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 " sheetId="1" r:id="rId5"/>
  </sheets>
  <definedNames>
    <definedName hidden="1" localSheetId="0" name="_xlnm._FilterDatabase">'AP '!$A$3:$Q$141</definedName>
  </definedNames>
  <calcPr/>
</workbook>
</file>

<file path=xl/sharedStrings.xml><?xml version="1.0" encoding="utf-8"?>
<sst xmlns="http://schemas.openxmlformats.org/spreadsheetml/2006/main" count="738" uniqueCount="203">
  <si>
    <t xml:space="preserve"> </t>
  </si>
  <si>
    <t>PAYMENT IN 2026</t>
  </si>
  <si>
    <t>OUTSTANDING</t>
  </si>
  <si>
    <t>PAYABLE</t>
  </si>
  <si>
    <t>YEAR</t>
  </si>
  <si>
    <t>VENDOR</t>
  </si>
  <si>
    <t>KETERANGAN</t>
  </si>
  <si>
    <t>IDR</t>
  </si>
  <si>
    <t>BCA Sahardjo</t>
  </si>
  <si>
    <t>BCA Juanda</t>
  </si>
  <si>
    <t>MANDIRI Mid Plaza</t>
  </si>
  <si>
    <t>BRI Sahardjo</t>
  </si>
  <si>
    <t>BTN</t>
  </si>
  <si>
    <t>BNI</t>
  </si>
  <si>
    <t>Bank Raya</t>
  </si>
  <si>
    <t>Cash IDR</t>
  </si>
  <si>
    <t>Non CB</t>
  </si>
  <si>
    <t>AP Temporary Loan</t>
  </si>
  <si>
    <t>Anne Hidayat</t>
  </si>
  <si>
    <t>Temporary Loan for operation expense</t>
  </si>
  <si>
    <t>David Harsamto</t>
  </si>
  <si>
    <t>Elly Hutabarat</t>
  </si>
  <si>
    <t>Intrareps</t>
  </si>
  <si>
    <t>H S B C</t>
  </si>
  <si>
    <t>AP Credit Card</t>
  </si>
  <si>
    <t>DBS Visa White</t>
  </si>
  <si>
    <t>UOB Master</t>
  </si>
  <si>
    <t>Mandiri Visa</t>
  </si>
  <si>
    <t>BRI Corporate Card</t>
  </si>
  <si>
    <t>OCBC Visa</t>
  </si>
  <si>
    <t>AP Deposit from customer</t>
  </si>
  <si>
    <t>Mandiri Pasar Murah</t>
  </si>
  <si>
    <t>Sembako Palembang</t>
  </si>
  <si>
    <t>Sembako Jakarta</t>
  </si>
  <si>
    <t>Sembako Jayapura</t>
  </si>
  <si>
    <t>Sembako Kupang : Rp. 134.757.000</t>
  </si>
  <si>
    <t>Sembako Semarang</t>
  </si>
  <si>
    <t>Sembako Medan</t>
  </si>
  <si>
    <t>Sembako Bandung</t>
  </si>
  <si>
    <t>Sembako Samarinda</t>
  </si>
  <si>
    <t>Sembako Surabaya</t>
  </si>
  <si>
    <t>Sembako Makasar</t>
  </si>
  <si>
    <t>Sisa sembako Jayapura</t>
  </si>
  <si>
    <t>Mandiri FGD IKN</t>
  </si>
  <si>
    <t>SETORAN TUNAI PEMBAYARAN MANDIRI FGD IKN,</t>
  </si>
  <si>
    <t>CR 12/22 Z27J1  TIKA RISKI ASTARI : WA Tika 2-Jan-26 - Mandiri FGD IKN dari Patrice</t>
  </si>
  <si>
    <t>Kom Bank Indonesia</t>
  </si>
  <si>
    <t>BRI BI Kunjungan Kerja Komisi XI Surabaya</t>
  </si>
  <si>
    <t>AP Leasing</t>
  </si>
  <si>
    <t>AP Tax</t>
  </si>
  <si>
    <t>PPh-23 tahun 2025</t>
  </si>
  <si>
    <t>PPh-23 yang Dipungut tapi Belum/Tidak Disetor</t>
  </si>
  <si>
    <t>PPh-23 BuPot 2026</t>
  </si>
  <si>
    <t>PPh-4 Ayat 2 BuPot 2026</t>
  </si>
  <si>
    <t>PPh-23 Th 2025</t>
  </si>
  <si>
    <t>PPh-23 Tahun 2025 : Disetor di 23-Jan-2026</t>
  </si>
  <si>
    <t>PPh-23</t>
  </si>
  <si>
    <t>Penerbitan Bukti Potong dan Setoran PPh-23 sepanjang 2024</t>
  </si>
  <si>
    <t>PPh-4 Ayat 2</t>
  </si>
  <si>
    <t>PPh-4 Ayat 2 yang Dipungut tapi Belum/Tidak Disetor</t>
  </si>
  <si>
    <t>PPh-4 Ayat 2 Tahun 2025 : Disetor di 23-Jan-2026</t>
  </si>
  <si>
    <t>PPN Masukan</t>
  </si>
  <si>
    <t>PPn Masukan 2025 dilaporkan 2026</t>
  </si>
  <si>
    <t>PPn WAPU - 2023</t>
  </si>
  <si>
    <t>Data di Rincian AP PPN 23</t>
  </si>
  <si>
    <t>PPn WAPU - 2024</t>
  </si>
  <si>
    <t>Data di Rincian AP PPN 24</t>
  </si>
  <si>
    <t>PPn WAPU - 2025</t>
  </si>
  <si>
    <t>Data di Rincian AP PPN 25</t>
  </si>
  <si>
    <t>PPn Keluaran 2026 - WAPU - Sales 2025</t>
  </si>
  <si>
    <t>WA Yogi 5-Jun-26 : Inv 044/227/PCMI/AR/II/2026 Telkomsel ANO Forum 2024 (Lampung, 24-26 Feb2025) : Rp. 221.286.887 MASUK SALES 2025</t>
  </si>
  <si>
    <t>PPn WAPU - 2026</t>
  </si>
  <si>
    <t>PPN Kurang Bayar</t>
  </si>
  <si>
    <t>PPn Masa - Nopember</t>
  </si>
  <si>
    <t>PPn Masa - Desenber</t>
  </si>
  <si>
    <t>PPh Badan</t>
  </si>
  <si>
    <t>PPh Badan 2025 sesuai Perhitungan dalam Laporan CoreTax PCMI SPT 2025</t>
  </si>
  <si>
    <t>AP Others</t>
  </si>
  <si>
    <t>Alex</t>
  </si>
  <si>
    <t>Analita</t>
  </si>
  <si>
    <t>Frieda</t>
  </si>
  <si>
    <t>Odhey</t>
  </si>
  <si>
    <t>Patrice</t>
  </si>
  <si>
    <t>Rizky</t>
  </si>
  <si>
    <t>Titing</t>
  </si>
  <si>
    <t>Yogi</t>
  </si>
  <si>
    <t>AP Trade</t>
  </si>
  <si>
    <t>Sisa Budget</t>
  </si>
  <si>
    <t>Sisa Budget  as per 7 Jan</t>
  </si>
  <si>
    <t>COGS</t>
  </si>
  <si>
    <t>Telkomsel Bootcamp and Mentoring TINC</t>
  </si>
  <si>
    <t>AP Expense</t>
  </si>
  <si>
    <t>Mutasi Mandiri 2025</t>
  </si>
  <si>
    <t xml:space="preserve">Sewa gedung Des      03793  MCM InhouseTrf  KE PANTRAVEL </t>
  </si>
  <si>
    <t>Office Rent</t>
  </si>
  <si>
    <t>Photocopy Des OSC OFFICE MACHINE : Rp. 736.486</t>
  </si>
  <si>
    <t>Photocopy</t>
  </si>
  <si>
    <t>PCMI Team</t>
  </si>
  <si>
    <t>WA AH 7-Mar-25 : Alokasi dana staff outing and training Rp. 250.000.000</t>
  </si>
  <si>
    <t>HR Development</t>
  </si>
  <si>
    <t>Mutasi BCA Sahardjo 2026</t>
  </si>
  <si>
    <t>Overtime Des 2025 : Adun, Sukanda, Ujer, Yadi</t>
  </si>
  <si>
    <t>Overtime</t>
  </si>
  <si>
    <t>Bonus Karyawan - 2025</t>
  </si>
  <si>
    <t>Incentive and Bonus</t>
  </si>
  <si>
    <t>Mutasi BCA Juanda 2026</t>
  </si>
  <si>
    <t>Internet Nop and Des 2025 MORA TELEMATIKA IN</t>
  </si>
  <si>
    <t>Internet</t>
  </si>
  <si>
    <t>Mutasi Mandiri MP 2026</t>
  </si>
  <si>
    <t xml:space="preserve"> Pembayaran Surat Tagihan Denda PPN Masa Agustus 2025 dan PPH Badan 2024</t>
  </si>
  <si>
    <t>Other Expense</t>
  </si>
  <si>
    <t>UBP60215001202FFFFFF041734140721304 : PPh-21 Karyawan, Masa Desember 2025 (Kurang Bayar)</t>
  </si>
  <si>
    <t>Salary and THR</t>
  </si>
  <si>
    <t>UBP60215001202FFFFFF042000088846803 : Kurang Bayar PPh-21 Tahun 2025</t>
  </si>
  <si>
    <t>UBP60215001202FFFFFF042082495394940 MCM CASA UBP Pym 1L  : STP Denda Pajak PPN Masa Nop</t>
  </si>
  <si>
    <t>Sisa Budget : Dikoreksi Yogi 31-Des-23 waktu kasih daftar sisa budget 31-12-23</t>
  </si>
  <si>
    <t>Telkomsel Undian Jelajah Nusantara</t>
  </si>
  <si>
    <t>Whatsapp Yogi : Rabu, 8-Maret-2023 (approval dari Ibu Anne)</t>
  </si>
  <si>
    <t>Telkomsel Pick Up point by U Q3</t>
  </si>
  <si>
    <t>eMail Yogi : Sunday, 31-Dec-2023 at 10:44</t>
  </si>
  <si>
    <t>Telkomsel Alignment Tools and Program and Site Visit Q3</t>
  </si>
  <si>
    <t>Telkomsel Data Solutions x IT Alignment</t>
  </si>
  <si>
    <t>Telkomsel Live Testing RoaMax Haji dan Umroh</t>
  </si>
  <si>
    <t>Whatsapp Yogi : 27-feb-2025 18:03 (File Report Telkomsel 2024)</t>
  </si>
  <si>
    <t>Telkomsel Hear Me at GraPARI 2024</t>
  </si>
  <si>
    <t>BRI KunKerBogorDPRTunai Selisih BOQ TIKA RISKI ASTARI</t>
  </si>
  <si>
    <t>BRI Kunjungan Kerja Bogor DPR Komisi XI</t>
  </si>
  <si>
    <t>BRI FGD Semarang  Tunai Selisih BOQ TIKA RISKI ASTARI</t>
  </si>
  <si>
    <t>BRI FGD Semarang</t>
  </si>
  <si>
    <t>HimbaraFGDSemarangTunai Selisih BOQ TIKA RISKI ASTARI</t>
  </si>
  <si>
    <t>HIMBARA FGD Semarang</t>
  </si>
  <si>
    <t>Mandiri PasarMurahPO Fee            M RIZKY AULIA</t>
  </si>
  <si>
    <t>Mandiri Pasar Murah 2025</t>
  </si>
  <si>
    <t>BSIN Tomo Gath    PO Fee            M RIZKY AULIA</t>
  </si>
  <si>
    <t>BSIN Tomo Gathering</t>
  </si>
  <si>
    <t>Cirebon Power EG  PO Fee            M RIZKY AULIA</t>
  </si>
  <si>
    <t>Cirebon Power Employee Gathering Bandung</t>
  </si>
  <si>
    <t>BTN Excellent Awd PO Fee            M RIZKY AULIA</t>
  </si>
  <si>
    <t>BTN Excellence Award</t>
  </si>
  <si>
    <t>BTN Mini Olympic  PO Fee            M RIZKY AULIA</t>
  </si>
  <si>
    <t>BTN Mini Olympic</t>
  </si>
  <si>
    <t>BRI Journalist BC PO Fee            M RIZKY AULIA</t>
  </si>
  <si>
    <t>BRI Journalist Bootcamp</t>
  </si>
  <si>
    <t xml:space="preserve">TSel Orbit HH Q4 DP VillaKanaAtas  POPY FERINA </t>
  </si>
  <si>
    <t>Telkomsel Orbit Household Q4 2024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</si>
  <si>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</si>
  <si>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</si>
  <si>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</si>
  <si>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>Mutasi Bank Mandiri MP 2026</t>
  </si>
  <si>
    <t xml:space="preserve">BRI FGD SEMARANG, Ke00026  BNINIDJA/PACTO </t>
  </si>
  <si>
    <t xml:space="preserve">BRI FGD SEMARANG KOM00044   CENAIDJA/TIKA RISKI ASTARI </t>
  </si>
  <si>
    <t>BRI PERINGATAN PUNCA00051  020601052431504/OI36000807492341</t>
  </si>
  <si>
    <t>BRI Peringatan Puncak HUT ke-26 DWP dan Hari Ibu ke-97 DWP BKN</t>
  </si>
  <si>
    <t xml:space="preserve">TSel Orbit HH Q4, 16 00083 MCM InhouseTrf  KE TOKOLARI MITRA KREASI </t>
  </si>
  <si>
    <t xml:space="preserve">Mandiri Pasar Murah, 27084 MCM InhouseTrf  KE GNC </t>
  </si>
  <si>
    <t>BSIN Supplier Mtg, P BRINIDJA/KREASI MILIMETER NUS</t>
  </si>
  <si>
    <t>BSIN Supplier Meeting</t>
  </si>
  <si>
    <t>Cash IDR - Mutasi 2026</t>
  </si>
  <si>
    <t>Tol dan Parkir</t>
  </si>
  <si>
    <t>Pembelian meals</t>
  </si>
  <si>
    <t>WA Message AH</t>
  </si>
  <si>
    <t>2025 PL Check as per 13-March - Pengembalian dana ke panitia</t>
  </si>
  <si>
    <t>KBUMN Natal 2024</t>
  </si>
  <si>
    <t>Laporan CA</t>
  </si>
  <si>
    <t>SNAPY TEBET I</t>
  </si>
  <si>
    <t>SERIBU RASA GATOT SUBROTO</t>
  </si>
  <si>
    <t>SUPERINDO PCA PANCORAN JAKARTA</t>
  </si>
  <si>
    <t>APOTEK ALPRO TEBET BRT JAKARTA SLT</t>
  </si>
  <si>
    <t>2271 ST EG TEBET Jakarta Selat</t>
  </si>
  <si>
    <t>RUMAH SEAFOOD-HO</t>
  </si>
  <si>
    <t>ALFAMRT 2JS5 NUSAPUTRA SUKABUMI</t>
  </si>
  <si>
    <t>Cetak signage dan based que card</t>
  </si>
  <si>
    <t>PYC Talks</t>
  </si>
  <si>
    <t>Lalamove dari percetakan ke kantor</t>
  </si>
  <si>
    <t>Lalamove dari kantor ke venue</t>
  </si>
  <si>
    <t>Makan malam Rizky, Ableh, Iyan, Agung</t>
  </si>
  <si>
    <t xml:space="preserve">Beli amplop </t>
  </si>
  <si>
    <t>Beli lakban hitam 3 pcs</t>
  </si>
  <si>
    <t>Beli trashbag &amp; tissue</t>
  </si>
  <si>
    <t>Beli lakban hitam 1 pcs</t>
  </si>
  <si>
    <t>Mineral cleo 4 dus</t>
  </si>
  <si>
    <t>Tipping security venue</t>
  </si>
  <si>
    <t>Makan Malam Loading Ableh &amp; Lonte</t>
  </si>
  <si>
    <t>Beli Snack Box Team</t>
  </si>
  <si>
    <t>Gosend Snack Box Team</t>
  </si>
  <si>
    <t>Makan Sarapan Ableh &amp; Lonte</t>
  </si>
  <si>
    <t>Parkir Motor Lonte</t>
  </si>
  <si>
    <t>Belanja Lakban &amp; Kertas HVS</t>
  </si>
  <si>
    <t>Belanja Air Mineral 330ml</t>
  </si>
  <si>
    <t>Belanja Label &amp; Tambahan Lakban</t>
  </si>
  <si>
    <t>Top Up Flazz (Tol Rizky)</t>
  </si>
  <si>
    <t>Print Cetakan Signage at Mahkota Print</t>
  </si>
  <si>
    <t xml:space="preserve">Gosend Cetakan </t>
  </si>
  <si>
    <t>Gosend Revisi Cetakan</t>
  </si>
  <si>
    <t>Makan Malam Loading : Rizky, Ableh, Praja, Komeng, Raka, Bokir &amp; Pak Yadi</t>
  </si>
  <si>
    <t>Beli Paket Internet Orbit</t>
  </si>
  <si>
    <t>Beli Kopi Kenangan untuk 4 Team Show Management &amp; 3 Team PCMI</t>
  </si>
  <si>
    <t>Reimburse Bensin Mobil Ableh</t>
  </si>
  <si>
    <t>Reimburse Tol Ableh (Pintu Tol Bambu Apus)</t>
  </si>
  <si>
    <t>Reimburse Tol Ableh (Pintu Tol Cikampek - Karawang Timur 2)</t>
  </si>
  <si>
    <t>Reimburse Tol Ableh (Tol Cikampek - Jakarta : Kertas Habis)</t>
  </si>
  <si>
    <t>Penukaran uang 1000 Real, 20 lembar pecahan 50</t>
  </si>
  <si>
    <t>Bucket Uang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</si>
</sst>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_);_(@_)"/>
    <numFmt numFmtId="165" formatCode="_(* #,##0.00_);_(* \(#,##0.00\);_(* &quot;-&quot;??_);_(@_)"/>
    <numFmt numFmtId="166" formatCode="_-* #,##0.00_-;\-* #,##0.00_-;_-* &quot;-&quot;??_-;_-@"/>
    <numFmt numFmtId="167" formatCode="_(* #,##0_);_(* \(#,##0\);_(* &quot;-&quot;_);_(@_)"/>
  </numFmts>
  <fonts count="11">
    <font>
      <sz val="12.0"/>
      <color theme="1"/>
      <name val="Times New Roman"/>
      <scheme val="minor"/>
    </font>
    <font>
      <sz val="12.0"/>
      <color theme="1"/>
      <name val="Times New Roman"/>
    </font>
    <font>
      <sz val="12.0"/>
      <color rgb="FF0070C0"/>
      <name val="Times New Roman"/>
    </font>
    <font>
      <sz val="12.0"/>
      <color theme="1"/>
      <name val="Arial"/>
    </font>
    <font>
      <b/>
      <sz val="12.0"/>
      <color theme="1"/>
      <name val="Times New Roman"/>
    </font>
    <font>
      <b/>
      <sz val="12.0"/>
      <color rgb="FF0070C0"/>
      <name val="Times New Roman"/>
    </font>
    <font>
      <b/>
      <sz val="12.0"/>
      <color theme="1"/>
      <name val="Arial"/>
    </font>
    <font>
      <color theme="1"/>
      <name val="Times New Roman"/>
      <scheme val="minor"/>
    </font>
    <font>
      <sz val="12.0"/>
      <color rgb="FF0070C0"/>
      <name val="Arial"/>
    </font>
    <font>
      <sz val="12.0"/>
      <color rgb="FFFF0000"/>
      <name val="Times New Roman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quotePrefix="1"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" numFmtId="166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quotePrefix="1" borderId="0" fillId="0" fontId="1" numFmtId="167" xfId="0" applyFont="1" applyNumberFormat="1"/>
    <xf borderId="0" fillId="0" fontId="7" numFmtId="0" xfId="0" applyFont="1"/>
    <xf borderId="0" fillId="0" fontId="2" numFmtId="164" xfId="0" applyFont="1" applyNumberFormat="1"/>
    <xf borderId="0" fillId="0" fontId="1" numFmtId="167" xfId="0" applyFont="1" applyNumberFormat="1"/>
    <xf borderId="0" fillId="0" fontId="1" numFmtId="165" xfId="0" applyFont="1" applyNumberFormat="1"/>
    <xf borderId="0" fillId="0" fontId="4" numFmtId="164" xfId="0" applyFont="1" applyNumberFormat="1"/>
    <xf borderId="0" fillId="0" fontId="2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164" xfId="0" applyFont="1" applyNumberForma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11"/>
    <col customWidth="1" min="2" max="2" width="11.11"/>
    <col customWidth="1" min="3" max="3" width="28.44"/>
    <col customWidth="1" min="4" max="4" width="67.0"/>
    <col customWidth="1" min="5" max="5" width="21.78"/>
    <col customWidth="1" min="6" max="6" width="27.67"/>
    <col customWidth="1" min="7" max="7" width="65.67"/>
    <col customWidth="1" min="8" max="8" width="20.33"/>
    <col customWidth="1" min="9" max="9" width="18.78"/>
    <col customWidth="1" min="10" max="10" width="20.78"/>
    <col customWidth="1" min="11" max="11" width="19.33"/>
    <col customWidth="1" min="12" max="15" width="17.0"/>
    <col customWidth="1" min="16" max="16" width="19.67"/>
    <col customWidth="1" min="17" max="17" width="19.78"/>
    <col customWidth="1" min="18" max="18" width="29.67"/>
    <col customWidth="1" min="19" max="19" width="12.44"/>
    <col customWidth="1" min="20" max="26" width="9.11"/>
  </cols>
  <sheetData>
    <row r="1" ht="15.75" customHeight="1">
      <c r="A1" s="1"/>
      <c r="B1" s="1"/>
      <c r="C1" s="2"/>
      <c r="D1" s="2"/>
      <c r="E1" s="3" t="s">
        <v>0</v>
      </c>
      <c r="F1" s="2"/>
      <c r="G1" s="2"/>
      <c r="H1" s="3"/>
      <c r="I1" s="3" t="str">
        <f>+#REF!+#REF!</f>
        <v>#REF!</v>
      </c>
      <c r="J1" s="3" t="str">
        <f>#REF!-#REF!</f>
        <v>#REF!</v>
      </c>
      <c r="K1" s="3"/>
      <c r="L1" s="3"/>
      <c r="M1" s="3"/>
      <c r="N1" s="3"/>
      <c r="O1" s="3"/>
      <c r="P1" s="3" t="s">
        <v>0</v>
      </c>
      <c r="Q1" s="3"/>
      <c r="R1" s="4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6"/>
      <c r="C2" s="2"/>
      <c r="D2" s="2"/>
      <c r="E2" s="7"/>
      <c r="F2" s="2"/>
      <c r="G2" s="2"/>
      <c r="H2" s="8" t="s">
        <v>1</v>
      </c>
      <c r="Q2" s="8" t="s">
        <v>2</v>
      </c>
      <c r="R2" s="4"/>
      <c r="S2" s="5"/>
      <c r="T2" s="5"/>
      <c r="U2" s="5"/>
      <c r="V2" s="5"/>
      <c r="W2" s="5"/>
      <c r="X2" s="5"/>
      <c r="Y2" s="5"/>
      <c r="Z2" s="5"/>
    </row>
    <row r="3" ht="15.75" customHeight="1">
      <c r="A3" s="9" t="s">
        <v>3</v>
      </c>
      <c r="B3" s="9" t="s">
        <v>4</v>
      </c>
      <c r="C3" s="9" t="s">
        <v>5</v>
      </c>
      <c r="D3" s="9" t="s">
        <v>6</v>
      </c>
      <c r="E3" s="8" t="s">
        <v>7</v>
      </c>
      <c r="F3" s="9"/>
      <c r="G3" s="9"/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7</v>
      </c>
      <c r="R3" s="10"/>
      <c r="S3" s="11"/>
      <c r="T3" s="11"/>
      <c r="U3" s="11"/>
      <c r="V3" s="11"/>
      <c r="W3" s="11"/>
      <c r="X3" s="11"/>
      <c r="Y3" s="11"/>
      <c r="Z3" s="11"/>
    </row>
    <row r="4" ht="15.0" customHeight="1">
      <c r="A4" s="12" t="s">
        <v>17</v>
      </c>
      <c r="B4" s="1" t="s">
        <v>0</v>
      </c>
      <c r="C4" s="2" t="s">
        <v>18</v>
      </c>
      <c r="D4" s="2" t="s">
        <v>19</v>
      </c>
      <c r="E4" s="3">
        <v>1.24935E9</v>
      </c>
      <c r="F4" s="2"/>
      <c r="G4" s="2"/>
      <c r="H4" s="3">
        <v>-1.24935E9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f t="shared" ref="Q4:Q141" si="1">E4+H4+I4+J4+K4+L4+M4+N4+O4+P4</f>
        <v>0</v>
      </c>
      <c r="R4" s="13"/>
      <c r="S4" s="14"/>
      <c r="T4" s="14"/>
      <c r="U4" s="14"/>
      <c r="V4" s="14"/>
      <c r="W4" s="14"/>
      <c r="X4" s="14"/>
      <c r="Y4" s="14"/>
      <c r="Z4" s="14"/>
    </row>
    <row r="5" ht="15.0" customHeight="1">
      <c r="A5" s="12" t="s">
        <v>17</v>
      </c>
      <c r="B5" s="1" t="s">
        <v>0</v>
      </c>
      <c r="C5" s="2" t="s">
        <v>20</v>
      </c>
      <c r="D5" s="2" t="s">
        <v>19</v>
      </c>
      <c r="E5" s="3">
        <v>1.01548E9</v>
      </c>
      <c r="F5" s="2"/>
      <c r="G5" s="2"/>
      <c r="H5" s="3">
        <v>-1.01548E9</v>
      </c>
      <c r="I5" s="3">
        <v>0.0</v>
      </c>
      <c r="J5" s="3">
        <v>-1.064165E9</v>
      </c>
      <c r="K5" s="3">
        <v>1.0088E9</v>
      </c>
      <c r="L5" s="3">
        <v>0.0</v>
      </c>
      <c r="M5" s="3">
        <v>0.0</v>
      </c>
      <c r="N5" s="3">
        <v>0.0</v>
      </c>
      <c r="O5" s="3">
        <v>0.0</v>
      </c>
      <c r="P5" s="3">
        <v>5.9720662E7</v>
      </c>
      <c r="Q5" s="3">
        <f t="shared" si="1"/>
        <v>4355662</v>
      </c>
      <c r="R5" s="15" t="s">
        <v>0</v>
      </c>
      <c r="S5" s="14"/>
      <c r="T5" s="14"/>
      <c r="U5" s="14"/>
      <c r="V5" s="14"/>
      <c r="W5" s="14"/>
      <c r="X5" s="14"/>
      <c r="Y5" s="14"/>
      <c r="Z5" s="14"/>
    </row>
    <row r="6" ht="15.0" customHeight="1">
      <c r="A6" s="12" t="s">
        <v>17</v>
      </c>
      <c r="B6" s="1" t="s">
        <v>0</v>
      </c>
      <c r="C6" s="2" t="s">
        <v>21</v>
      </c>
      <c r="D6" s="2" t="s">
        <v>19</v>
      </c>
      <c r="E6" s="16">
        <v>0.0</v>
      </c>
      <c r="F6" s="2"/>
      <c r="G6" s="2"/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f t="shared" si="1"/>
        <v>0</v>
      </c>
      <c r="R6" s="17" t="s">
        <v>0</v>
      </c>
      <c r="S6" s="14"/>
      <c r="T6" s="14"/>
      <c r="U6" s="14"/>
      <c r="V6" s="14"/>
      <c r="W6" s="14"/>
      <c r="X6" s="14"/>
      <c r="Y6" s="14"/>
      <c r="Z6" s="14"/>
    </row>
    <row r="7" ht="15.0" customHeight="1">
      <c r="A7" s="12" t="s">
        <v>17</v>
      </c>
      <c r="B7" s="1" t="s">
        <v>0</v>
      </c>
      <c r="C7" s="2" t="s">
        <v>22</v>
      </c>
      <c r="D7" s="2" t="s">
        <v>19</v>
      </c>
      <c r="E7" s="16">
        <v>3.546E8</v>
      </c>
      <c r="F7" s="2"/>
      <c r="G7" s="2"/>
      <c r="H7" s="3">
        <v>0.0</v>
      </c>
      <c r="I7" s="3">
        <v>-3.546E8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f t="shared" si="1"/>
        <v>0</v>
      </c>
      <c r="R7" s="17" t="s">
        <v>0</v>
      </c>
      <c r="S7" s="14"/>
      <c r="T7" s="14"/>
      <c r="U7" s="14"/>
      <c r="V7" s="14"/>
      <c r="W7" s="14"/>
      <c r="X7" s="14"/>
      <c r="Y7" s="14"/>
      <c r="Z7" s="14"/>
    </row>
    <row r="8" ht="15.0" customHeight="1">
      <c r="A8" s="12" t="s">
        <v>17</v>
      </c>
      <c r="B8" s="1" t="s">
        <v>0</v>
      </c>
      <c r="C8" s="2" t="s">
        <v>23</v>
      </c>
      <c r="D8" s="2" t="s">
        <v>19</v>
      </c>
      <c r="E8" s="3">
        <v>0.0</v>
      </c>
      <c r="F8" s="2"/>
      <c r="G8" s="2"/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f t="shared" si="1"/>
        <v>0</v>
      </c>
      <c r="R8" s="13"/>
      <c r="S8" s="14"/>
      <c r="T8" s="14"/>
      <c r="U8" s="14"/>
      <c r="V8" s="14"/>
      <c r="W8" s="14"/>
      <c r="X8" s="14"/>
      <c r="Y8" s="14"/>
      <c r="Z8" s="14"/>
    </row>
    <row r="9" ht="15.75" customHeight="1">
      <c r="A9" s="12" t="s">
        <v>24</v>
      </c>
      <c r="B9" s="1" t="s">
        <v>0</v>
      </c>
      <c r="C9" s="2" t="s">
        <v>25</v>
      </c>
      <c r="D9" s="2" t="s">
        <v>0</v>
      </c>
      <c r="E9" s="3">
        <v>2.5221305E7</v>
      </c>
      <c r="F9" s="2" t="s">
        <v>0</v>
      </c>
      <c r="G9" s="2"/>
      <c r="H9" s="3">
        <v>0.0</v>
      </c>
      <c r="I9" s="3">
        <v>0.0</v>
      </c>
      <c r="J9" s="3">
        <v>-2.5221305E7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f t="shared" si="1"/>
        <v>0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2" t="s">
        <v>24</v>
      </c>
      <c r="B10" s="1" t="s">
        <v>0</v>
      </c>
      <c r="C10" s="2" t="s">
        <v>26</v>
      </c>
      <c r="D10" s="2" t="s">
        <v>0</v>
      </c>
      <c r="E10" s="3">
        <v>1.8003677E8</v>
      </c>
      <c r="F10" s="2" t="s">
        <v>0</v>
      </c>
      <c r="G10" s="2"/>
      <c r="H10" s="3">
        <v>0.0</v>
      </c>
      <c r="I10" s="3">
        <v>0.0</v>
      </c>
      <c r="J10" s="3">
        <v>-1.8003677E8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f t="shared" si="1"/>
        <v>0</v>
      </c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2" t="s">
        <v>24</v>
      </c>
      <c r="B11" s="1" t="s">
        <v>0</v>
      </c>
      <c r="C11" s="2" t="s">
        <v>27</v>
      </c>
      <c r="D11" s="2" t="s">
        <v>0</v>
      </c>
      <c r="E11" s="3">
        <v>4.82E7</v>
      </c>
      <c r="F11" s="2" t="s">
        <v>0</v>
      </c>
      <c r="G11" s="2"/>
      <c r="H11" s="3">
        <v>0.0</v>
      </c>
      <c r="I11" s="3">
        <v>0.0</v>
      </c>
      <c r="J11" s="3">
        <v>-4.82E7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f t="shared" si="1"/>
        <v>0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2" t="s">
        <v>24</v>
      </c>
      <c r="B12" s="1" t="s">
        <v>0</v>
      </c>
      <c r="C12" s="2" t="s">
        <v>28</v>
      </c>
      <c r="D12" s="2" t="s">
        <v>0</v>
      </c>
      <c r="E12" s="3">
        <v>2.6924174E7</v>
      </c>
      <c r="F12" s="2" t="s">
        <v>0</v>
      </c>
      <c r="G12" s="2"/>
      <c r="H12" s="3">
        <v>0.0</v>
      </c>
      <c r="I12" s="3">
        <v>0.0</v>
      </c>
      <c r="J12" s="3">
        <v>0.0</v>
      </c>
      <c r="K12" s="3">
        <v>-2.6924174E7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f t="shared" si="1"/>
        <v>0</v>
      </c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2" t="s">
        <v>24</v>
      </c>
      <c r="B13" s="1" t="s">
        <v>0</v>
      </c>
      <c r="C13" s="2" t="s">
        <v>29</v>
      </c>
      <c r="D13" s="2" t="s">
        <v>0</v>
      </c>
      <c r="E13" s="3">
        <v>1.09792173E8</v>
      </c>
      <c r="F13" s="2" t="s">
        <v>0</v>
      </c>
      <c r="G13" s="2"/>
      <c r="H13" s="3">
        <v>0.0</v>
      </c>
      <c r="I13" s="3">
        <v>0.0</v>
      </c>
      <c r="J13" s="3">
        <v>-1.09792173E8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f t="shared" si="1"/>
        <v>0</v>
      </c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2" t="s">
        <v>30</v>
      </c>
      <c r="B14" s="1" t="s">
        <v>0</v>
      </c>
      <c r="C14" s="2" t="s">
        <v>31</v>
      </c>
      <c r="D14" s="18" t="s">
        <v>32</v>
      </c>
      <c r="E14" s="3">
        <v>1.3E7</v>
      </c>
      <c r="F14" s="2" t="s">
        <v>0</v>
      </c>
      <c r="G14" s="2"/>
      <c r="H14" s="3">
        <v>0.0</v>
      </c>
      <c r="I14" s="3">
        <v>0.0</v>
      </c>
      <c r="J14" s="3">
        <v>-1.3E7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f t="shared" si="1"/>
        <v>0</v>
      </c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2" t="s">
        <v>30</v>
      </c>
      <c r="B15" s="1" t="s">
        <v>0</v>
      </c>
      <c r="C15" s="2" t="s">
        <v>31</v>
      </c>
      <c r="D15" s="18" t="s">
        <v>33</v>
      </c>
      <c r="E15" s="3">
        <v>1.35E8</v>
      </c>
      <c r="F15" s="2" t="s">
        <v>0</v>
      </c>
      <c r="G15" s="2"/>
      <c r="H15" s="3">
        <v>0.0</v>
      </c>
      <c r="I15" s="3">
        <v>0.0</v>
      </c>
      <c r="J15" s="3">
        <v>-1.35E8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f t="shared" si="1"/>
        <v>0</v>
      </c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2" t="s">
        <v>30</v>
      </c>
      <c r="B16" s="1" t="s">
        <v>0</v>
      </c>
      <c r="C16" s="2" t="s">
        <v>31</v>
      </c>
      <c r="D16" s="18" t="s">
        <v>34</v>
      </c>
      <c r="E16" s="3">
        <v>2.5064E7</v>
      </c>
      <c r="F16" s="2" t="s">
        <v>0</v>
      </c>
      <c r="G16" s="2"/>
      <c r="H16" s="3">
        <v>0.0</v>
      </c>
      <c r="I16" s="3">
        <v>0.0</v>
      </c>
      <c r="J16" s="3">
        <v>-2.5064E7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f t="shared" si="1"/>
        <v>0</v>
      </c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2" t="s">
        <v>30</v>
      </c>
      <c r="B17" s="1" t="s">
        <v>0</v>
      </c>
      <c r="C17" s="2" t="s">
        <v>31</v>
      </c>
      <c r="D17" s="18" t="s">
        <v>35</v>
      </c>
      <c r="E17" s="3">
        <v>1.34757E8</v>
      </c>
      <c r="F17" s="2" t="s">
        <v>0</v>
      </c>
      <c r="G17" s="2"/>
      <c r="H17" s="3">
        <v>0.0</v>
      </c>
      <c r="I17" s="3">
        <v>0.0</v>
      </c>
      <c r="J17" s="3">
        <v>-1.34757E8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f t="shared" si="1"/>
        <v>0</v>
      </c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2" t="s">
        <v>30</v>
      </c>
      <c r="B18" s="1" t="s">
        <v>0</v>
      </c>
      <c r="C18" s="2" t="s">
        <v>31</v>
      </c>
      <c r="D18" s="18" t="s">
        <v>35</v>
      </c>
      <c r="E18" s="3">
        <v>243000.0</v>
      </c>
      <c r="F18" s="2" t="s">
        <v>0</v>
      </c>
      <c r="G18" s="2"/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f t="shared" si="1"/>
        <v>243000</v>
      </c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2" t="s">
        <v>30</v>
      </c>
      <c r="B19" s="1" t="s">
        <v>0</v>
      </c>
      <c r="C19" s="2" t="s">
        <v>31</v>
      </c>
      <c r="D19" s="18" t="s">
        <v>34</v>
      </c>
      <c r="E19" s="3">
        <v>1.0606E8</v>
      </c>
      <c r="F19" s="2" t="s">
        <v>0</v>
      </c>
      <c r="G19" s="2"/>
      <c r="H19" s="3">
        <v>0.0</v>
      </c>
      <c r="I19" s="3">
        <v>0.0</v>
      </c>
      <c r="J19" s="3">
        <v>-1.0606E8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f t="shared" si="1"/>
        <v>0</v>
      </c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2" t="s">
        <v>30</v>
      </c>
      <c r="B20" s="1" t="s">
        <v>0</v>
      </c>
      <c r="C20" s="2" t="s">
        <v>31</v>
      </c>
      <c r="D20" s="18" t="s">
        <v>32</v>
      </c>
      <c r="E20" s="3">
        <v>7.965E7</v>
      </c>
      <c r="F20" s="2" t="s">
        <v>0</v>
      </c>
      <c r="G20" s="2"/>
      <c r="H20" s="3">
        <v>0.0</v>
      </c>
      <c r="I20" s="3">
        <v>0.0</v>
      </c>
      <c r="J20" s="3">
        <v>-7.965E7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f t="shared" si="1"/>
        <v>0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 t="s">
        <v>30</v>
      </c>
      <c r="B21" s="1" t="s">
        <v>0</v>
      </c>
      <c r="C21" s="2" t="s">
        <v>31</v>
      </c>
      <c r="D21" s="18" t="s">
        <v>32</v>
      </c>
      <c r="E21" s="3">
        <v>4.235E7</v>
      </c>
      <c r="F21" s="2" t="s">
        <v>0</v>
      </c>
      <c r="G21" s="2"/>
      <c r="H21" s="3">
        <v>0.0</v>
      </c>
      <c r="I21" s="3">
        <v>0.0</v>
      </c>
      <c r="J21" s="3">
        <v>-4.235E7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f t="shared" si="1"/>
        <v>0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2" t="s">
        <v>30</v>
      </c>
      <c r="B22" s="1" t="s">
        <v>0</v>
      </c>
      <c r="C22" s="2" t="s">
        <v>31</v>
      </c>
      <c r="D22" s="18" t="s">
        <v>36</v>
      </c>
      <c r="E22" s="3">
        <v>1.35E8</v>
      </c>
      <c r="F22" s="2" t="s">
        <v>0</v>
      </c>
      <c r="G22" s="2"/>
      <c r="H22" s="3">
        <v>0.0</v>
      </c>
      <c r="I22" s="3">
        <v>0.0</v>
      </c>
      <c r="J22" s="3">
        <v>-1.35E8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f t="shared" si="1"/>
        <v>0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 t="s">
        <v>30</v>
      </c>
      <c r="B23" s="1" t="s">
        <v>0</v>
      </c>
      <c r="C23" s="2" t="s">
        <v>31</v>
      </c>
      <c r="D23" s="18" t="s">
        <v>37</v>
      </c>
      <c r="E23" s="3">
        <v>2.8431E7</v>
      </c>
      <c r="F23" s="2" t="s">
        <v>0</v>
      </c>
      <c r="G23" s="2"/>
      <c r="H23" s="3">
        <v>0.0</v>
      </c>
      <c r="I23" s="3">
        <v>0.0</v>
      </c>
      <c r="J23" s="3">
        <v>-2.8431E7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f t="shared" si="1"/>
        <v>0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 t="s">
        <v>30</v>
      </c>
      <c r="B24" s="1" t="s">
        <v>0</v>
      </c>
      <c r="C24" s="2" t="s">
        <v>31</v>
      </c>
      <c r="D24" s="18" t="s">
        <v>38</v>
      </c>
      <c r="E24" s="3">
        <v>1.00845E8</v>
      </c>
      <c r="F24" s="2" t="s">
        <v>0</v>
      </c>
      <c r="G24" s="2"/>
      <c r="H24" s="3">
        <v>0.0</v>
      </c>
      <c r="I24" s="3">
        <v>0.0</v>
      </c>
      <c r="J24" s="3">
        <v>-1.00845E8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f t="shared" si="1"/>
        <v>0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 t="s">
        <v>30</v>
      </c>
      <c r="B25" s="1" t="s">
        <v>0</v>
      </c>
      <c r="C25" s="2" t="s">
        <v>31</v>
      </c>
      <c r="D25" s="18" t="s">
        <v>39</v>
      </c>
      <c r="E25" s="3">
        <v>1.35E8</v>
      </c>
      <c r="F25" s="2" t="s">
        <v>0</v>
      </c>
      <c r="G25" s="2"/>
      <c r="H25" s="3">
        <v>0.0</v>
      </c>
      <c r="I25" s="3">
        <v>0.0</v>
      </c>
      <c r="J25" s="3">
        <v>-1.35E8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f t="shared" si="1"/>
        <v>0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 t="s">
        <v>30</v>
      </c>
      <c r="B26" s="1" t="s">
        <v>0</v>
      </c>
      <c r="C26" s="2" t="s">
        <v>31</v>
      </c>
      <c r="D26" s="18" t="s">
        <v>37</v>
      </c>
      <c r="E26" s="3">
        <v>1.06569E8</v>
      </c>
      <c r="F26" s="2" t="s">
        <v>0</v>
      </c>
      <c r="G26" s="2"/>
      <c r="H26" s="3">
        <v>0.0</v>
      </c>
      <c r="I26" s="3">
        <v>0.0</v>
      </c>
      <c r="J26" s="3">
        <v>-1.06569E8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f t="shared" si="1"/>
        <v>0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2" t="s">
        <v>30</v>
      </c>
      <c r="B27" s="1" t="s">
        <v>0</v>
      </c>
      <c r="C27" s="2" t="s">
        <v>31</v>
      </c>
      <c r="D27" s="18" t="s">
        <v>38</v>
      </c>
      <c r="E27" s="3">
        <v>3.4155E7</v>
      </c>
      <c r="F27" s="2" t="s">
        <v>0</v>
      </c>
      <c r="G27" s="2"/>
      <c r="H27" s="3">
        <v>0.0</v>
      </c>
      <c r="I27" s="3">
        <v>0.0</v>
      </c>
      <c r="J27" s="3">
        <v>-3.4155E7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f t="shared" si="1"/>
        <v>0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 t="s">
        <v>30</v>
      </c>
      <c r="B28" s="1" t="s">
        <v>0</v>
      </c>
      <c r="C28" s="2" t="s">
        <v>31</v>
      </c>
      <c r="D28" s="18" t="s">
        <v>40</v>
      </c>
      <c r="E28" s="3">
        <v>1.35E8</v>
      </c>
      <c r="F28" s="2" t="s">
        <v>0</v>
      </c>
      <c r="G28" s="2"/>
      <c r="H28" s="3">
        <v>0.0</v>
      </c>
      <c r="I28" s="3">
        <v>0.0</v>
      </c>
      <c r="J28" s="3">
        <v>-1.35E8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f t="shared" si="1"/>
        <v>0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2" t="s">
        <v>30</v>
      </c>
      <c r="B29" s="1" t="s">
        <v>0</v>
      </c>
      <c r="C29" s="2" t="s">
        <v>31</v>
      </c>
      <c r="D29" s="18" t="s">
        <v>41</v>
      </c>
      <c r="E29" s="3">
        <v>1.35E8</v>
      </c>
      <c r="F29" s="2" t="s">
        <v>0</v>
      </c>
      <c r="G29" s="2"/>
      <c r="H29" s="3">
        <v>0.0</v>
      </c>
      <c r="I29" s="3">
        <v>0.0</v>
      </c>
      <c r="J29" s="3">
        <v>-1.35E8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f t="shared" si="1"/>
        <v>0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2" t="s">
        <v>30</v>
      </c>
      <c r="B30" s="1" t="s">
        <v>0</v>
      </c>
      <c r="C30" s="2" t="s">
        <v>31</v>
      </c>
      <c r="D30" s="18" t="s">
        <v>42</v>
      </c>
      <c r="E30" s="3">
        <v>4000000.0</v>
      </c>
      <c r="F30" s="2" t="s">
        <v>0</v>
      </c>
      <c r="G30" s="2"/>
      <c r="H30" s="3">
        <v>-4000000.0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f t="shared" si="1"/>
        <v>0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" t="s">
        <v>30</v>
      </c>
      <c r="B31" s="1" t="s">
        <v>0</v>
      </c>
      <c r="C31" s="2" t="s">
        <v>31</v>
      </c>
      <c r="D31" s="18" t="s">
        <v>42</v>
      </c>
      <c r="E31" s="3">
        <v>-124000.0</v>
      </c>
      <c r="F31" s="2" t="s">
        <v>0</v>
      </c>
      <c r="G31" s="2"/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f t="shared" si="1"/>
        <v>-124000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 t="s">
        <v>30</v>
      </c>
      <c r="B32" s="1" t="s">
        <v>0</v>
      </c>
      <c r="C32" s="2" t="s">
        <v>43</v>
      </c>
      <c r="D32" s="18" t="s">
        <v>44</v>
      </c>
      <c r="E32" s="3">
        <v>1.2E8</v>
      </c>
      <c r="F32" s="2" t="s">
        <v>0</v>
      </c>
      <c r="G32" s="2"/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-1.2E8</v>
      </c>
      <c r="Q32" s="3">
        <f t="shared" si="1"/>
        <v>0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 t="s">
        <v>30</v>
      </c>
      <c r="B33" s="1" t="s">
        <v>0</v>
      </c>
      <c r="C33" s="2" t="s">
        <v>43</v>
      </c>
      <c r="D33" s="18" t="s">
        <v>45</v>
      </c>
      <c r="E33" s="3">
        <v>1000000.0</v>
      </c>
      <c r="F33" s="2" t="s">
        <v>0</v>
      </c>
      <c r="G33" s="2"/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-1000000.0</v>
      </c>
      <c r="Q33" s="3">
        <f t="shared" si="1"/>
        <v>0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 t="s">
        <v>30</v>
      </c>
      <c r="B34" s="1" t="s">
        <v>0</v>
      </c>
      <c r="C34" s="2" t="s">
        <v>46</v>
      </c>
      <c r="D34" s="18" t="s">
        <v>47</v>
      </c>
      <c r="E34" s="3">
        <v>0.0</v>
      </c>
      <c r="F34" s="2" t="s">
        <v>0</v>
      </c>
      <c r="G34" s="2"/>
      <c r="H34" s="3">
        <v>0.0</v>
      </c>
      <c r="I34" s="3">
        <v>0.0</v>
      </c>
      <c r="J34" s="3">
        <v>2.461875E8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f t="shared" si="1"/>
        <v>246187500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 t="s">
        <v>48</v>
      </c>
      <c r="B35" s="1" t="s">
        <v>0</v>
      </c>
      <c r="C35" s="2" t="s">
        <v>0</v>
      </c>
      <c r="D35" s="2" t="s">
        <v>0</v>
      </c>
      <c r="E35" s="3">
        <v>0.0</v>
      </c>
      <c r="F35" s="2" t="s">
        <v>0</v>
      </c>
      <c r="G35" s="19" t="s">
        <v>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f t="shared" si="1"/>
        <v>0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 t="s">
        <v>49</v>
      </c>
      <c r="B36" s="1" t="s">
        <v>0</v>
      </c>
      <c r="C36" s="13" t="s">
        <v>50</v>
      </c>
      <c r="D36" s="2" t="s">
        <v>51</v>
      </c>
      <c r="E36" s="3">
        <v>127688.0</v>
      </c>
      <c r="F36" s="2" t="s">
        <v>0</v>
      </c>
      <c r="G36" s="2" t="s">
        <v>0</v>
      </c>
      <c r="H36" s="3">
        <v>0.0</v>
      </c>
      <c r="I36" s="3">
        <v>0.0</v>
      </c>
      <c r="J36" s="3">
        <v>-127688.0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20">
        <v>0.0</v>
      </c>
      <c r="Q36" s="3">
        <f t="shared" si="1"/>
        <v>0</v>
      </c>
      <c r="R36" s="2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 t="s">
        <v>49</v>
      </c>
      <c r="B37" s="1" t="s">
        <v>0</v>
      </c>
      <c r="C37" s="13" t="s">
        <v>52</v>
      </c>
      <c r="D37" s="2" t="s">
        <v>0</v>
      </c>
      <c r="E37" s="3">
        <v>0.0</v>
      </c>
      <c r="F37" s="2" t="s">
        <v>0</v>
      </c>
      <c r="G37" s="2" t="s">
        <v>0</v>
      </c>
      <c r="H37" s="3">
        <v>0.0</v>
      </c>
      <c r="I37" s="3">
        <v>1.0747284E7</v>
      </c>
      <c r="J37" s="3">
        <v>1.0471323E7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20">
        <v>0.0</v>
      </c>
      <c r="Q37" s="3">
        <f t="shared" si="1"/>
        <v>21218607</v>
      </c>
      <c r="R37" s="2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 t="s">
        <v>49</v>
      </c>
      <c r="B38" s="1" t="s">
        <v>0</v>
      </c>
      <c r="C38" s="13" t="s">
        <v>53</v>
      </c>
      <c r="D38" s="2" t="s">
        <v>0</v>
      </c>
      <c r="E38" s="3">
        <v>0.0</v>
      </c>
      <c r="F38" s="2" t="s">
        <v>0</v>
      </c>
      <c r="G38" s="2" t="s">
        <v>0</v>
      </c>
      <c r="H38" s="3">
        <v>0.0</v>
      </c>
      <c r="I38" s="3">
        <v>0.0</v>
      </c>
      <c r="J38" s="3">
        <v>3603604.0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20">
        <v>0.0</v>
      </c>
      <c r="Q38" s="3">
        <f t="shared" si="1"/>
        <v>3603604</v>
      </c>
      <c r="R38" s="2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 t="s">
        <v>49</v>
      </c>
      <c r="B39" s="1" t="s">
        <v>0</v>
      </c>
      <c r="C39" s="13" t="s">
        <v>54</v>
      </c>
      <c r="D39" s="2" t="s">
        <v>55</v>
      </c>
      <c r="E39" s="3">
        <v>1.1325263E7</v>
      </c>
      <c r="F39" s="2" t="s">
        <v>0</v>
      </c>
      <c r="G39" s="2" t="s">
        <v>0</v>
      </c>
      <c r="H39" s="3">
        <v>0.0</v>
      </c>
      <c r="I39" s="3">
        <v>0.0</v>
      </c>
      <c r="J39" s="3">
        <v>-1.1325263E7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20">
        <v>0.0</v>
      </c>
      <c r="Q39" s="3">
        <f t="shared" si="1"/>
        <v>0</v>
      </c>
      <c r="R39" s="2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 t="s">
        <v>49</v>
      </c>
      <c r="B40" s="1">
        <v>2024.0</v>
      </c>
      <c r="C40" s="13" t="s">
        <v>56</v>
      </c>
      <c r="D40" s="2" t="s">
        <v>57</v>
      </c>
      <c r="E40" s="3">
        <v>0.0</v>
      </c>
      <c r="F40" s="2" t="s">
        <v>0</v>
      </c>
      <c r="G40" s="2" t="s">
        <v>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20">
        <v>0.0</v>
      </c>
      <c r="Q40" s="3">
        <f t="shared" si="1"/>
        <v>0</v>
      </c>
      <c r="R40" s="2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 t="s">
        <v>49</v>
      </c>
      <c r="B41" s="1">
        <v>2023.0</v>
      </c>
      <c r="C41" s="13" t="s">
        <v>58</v>
      </c>
      <c r="D41" s="2" t="s">
        <v>59</v>
      </c>
      <c r="E41" s="3">
        <v>1801802.0</v>
      </c>
      <c r="F41" s="2" t="s">
        <v>0</v>
      </c>
      <c r="G41" s="2" t="s">
        <v>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20">
        <v>0.0</v>
      </c>
      <c r="Q41" s="3">
        <f t="shared" si="1"/>
        <v>1801802</v>
      </c>
      <c r="R41" s="2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 t="s">
        <v>49</v>
      </c>
      <c r="B42" s="1">
        <v>2023.0</v>
      </c>
      <c r="C42" s="13" t="s">
        <v>58</v>
      </c>
      <c r="D42" s="2" t="s">
        <v>60</v>
      </c>
      <c r="E42" s="3">
        <v>3603604.0</v>
      </c>
      <c r="F42" s="2" t="s">
        <v>0</v>
      </c>
      <c r="G42" s="2" t="s">
        <v>0</v>
      </c>
      <c r="H42" s="3">
        <v>0.0</v>
      </c>
      <c r="I42" s="3">
        <v>0.0</v>
      </c>
      <c r="J42" s="3">
        <v>-3603604.0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20">
        <v>0.0</v>
      </c>
      <c r="Q42" s="3">
        <f t="shared" si="1"/>
        <v>0</v>
      </c>
      <c r="R42" s="2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 t="s">
        <v>49</v>
      </c>
      <c r="B43" s="1">
        <v>2025.0</v>
      </c>
      <c r="C43" s="13" t="s">
        <v>61</v>
      </c>
      <c r="D43" s="2" t="s">
        <v>62</v>
      </c>
      <c r="E43" s="3">
        <v>795850.0</v>
      </c>
      <c r="F43" s="2" t="s">
        <v>0</v>
      </c>
      <c r="G43" s="2" t="s">
        <v>0</v>
      </c>
      <c r="H43" s="3">
        <v>0.0</v>
      </c>
      <c r="I43" s="3">
        <v>-770000.0</v>
      </c>
      <c r="J43" s="3">
        <v>-25850.0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20">
        <v>0.0</v>
      </c>
      <c r="Q43" s="3">
        <f t="shared" si="1"/>
        <v>0</v>
      </c>
      <c r="R43" s="2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 t="s">
        <v>49</v>
      </c>
      <c r="B44" s="1">
        <v>2023.0</v>
      </c>
      <c r="C44" s="13" t="s">
        <v>63</v>
      </c>
      <c r="D44" s="13" t="s">
        <v>64</v>
      </c>
      <c r="E44" s="3">
        <v>0.0</v>
      </c>
      <c r="F44" s="13" t="s">
        <v>0</v>
      </c>
      <c r="G44" s="2" t="s">
        <v>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20">
        <v>0.0</v>
      </c>
      <c r="Q44" s="3">
        <f t="shared" si="1"/>
        <v>0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 t="s">
        <v>49</v>
      </c>
      <c r="B45" s="1">
        <v>2024.0</v>
      </c>
      <c r="C45" s="13" t="s">
        <v>65</v>
      </c>
      <c r="D45" s="13" t="s">
        <v>66</v>
      </c>
      <c r="E45" s="3">
        <v>3.1069416E7</v>
      </c>
      <c r="F45" s="13" t="s">
        <v>0</v>
      </c>
      <c r="G45" s="2" t="s">
        <v>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-3.1069416E7</v>
      </c>
      <c r="Q45" s="3">
        <f t="shared" si="1"/>
        <v>0</v>
      </c>
      <c r="R45" s="21" t="s">
        <v>0</v>
      </c>
      <c r="S45" s="22" t="s">
        <v>0</v>
      </c>
      <c r="T45" s="2"/>
      <c r="U45" s="2"/>
      <c r="V45" s="2"/>
      <c r="W45" s="2"/>
      <c r="X45" s="2"/>
      <c r="Y45" s="2"/>
      <c r="Z45" s="2"/>
    </row>
    <row r="46" ht="15.75" customHeight="1">
      <c r="A46" s="12" t="s">
        <v>49</v>
      </c>
      <c r="B46" s="1">
        <v>2025.0</v>
      </c>
      <c r="C46" s="13" t="s">
        <v>67</v>
      </c>
      <c r="D46" s="13" t="s">
        <v>68</v>
      </c>
      <c r="E46" s="3">
        <v>1.83268418E8</v>
      </c>
      <c r="F46" s="13" t="s">
        <v>0</v>
      </c>
      <c r="G46" s="2" t="s">
        <v>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-1.83268418E8</v>
      </c>
      <c r="Q46" s="3">
        <f t="shared" si="1"/>
        <v>0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2" t="s">
        <v>49</v>
      </c>
      <c r="B47" s="1">
        <v>2025.0</v>
      </c>
      <c r="C47" s="13" t="s">
        <v>69</v>
      </c>
      <c r="D47" s="13" t="s">
        <v>70</v>
      </c>
      <c r="E47" s="3">
        <v>2.1929331E7</v>
      </c>
      <c r="F47" s="13" t="s">
        <v>0</v>
      </c>
      <c r="G47" s="2" t="s">
        <v>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-2.1929331E7</v>
      </c>
      <c r="Q47" s="3">
        <f t="shared" si="1"/>
        <v>0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" t="s">
        <v>49</v>
      </c>
      <c r="B48" s="1">
        <v>2025.0</v>
      </c>
      <c r="C48" s="13" t="s">
        <v>71</v>
      </c>
      <c r="D48" s="13" t="s">
        <v>0</v>
      </c>
      <c r="E48" s="3">
        <v>0.0</v>
      </c>
      <c r="F48" s="13" t="s">
        <v>0</v>
      </c>
      <c r="G48" s="2" t="s">
        <v>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5.57725157E8</v>
      </c>
      <c r="Q48" s="3">
        <f t="shared" si="1"/>
        <v>557725157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" t="s">
        <v>49</v>
      </c>
      <c r="B49" s="1">
        <v>2025.0</v>
      </c>
      <c r="C49" s="13" t="s">
        <v>72</v>
      </c>
      <c r="D49" s="13" t="s">
        <v>73</v>
      </c>
      <c r="E49" s="3">
        <v>1.6754255E7</v>
      </c>
      <c r="F49" s="13" t="s">
        <v>0</v>
      </c>
      <c r="G49" s="2" t="s">
        <v>0</v>
      </c>
      <c r="H49" s="3">
        <v>0.0</v>
      </c>
      <c r="I49" s="3">
        <v>0.0</v>
      </c>
      <c r="J49" s="3">
        <v>-1.6754255E7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20">
        <v>0.0</v>
      </c>
      <c r="Q49" s="3">
        <f t="shared" si="1"/>
        <v>0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" t="s">
        <v>49</v>
      </c>
      <c r="B50" s="1">
        <v>2025.0</v>
      </c>
      <c r="C50" s="13" t="s">
        <v>72</v>
      </c>
      <c r="D50" s="13" t="s">
        <v>74</v>
      </c>
      <c r="E50" s="3">
        <v>1.4427195E7</v>
      </c>
      <c r="F50" s="13" t="s">
        <v>0</v>
      </c>
      <c r="G50" s="2" t="s">
        <v>0</v>
      </c>
      <c r="H50" s="3">
        <v>0.0</v>
      </c>
      <c r="I50" s="3">
        <v>0.0</v>
      </c>
      <c r="J50" s="3">
        <v>-1.4427195E7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20">
        <v>0.0</v>
      </c>
      <c r="Q50" s="3">
        <f t="shared" si="1"/>
        <v>0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" t="s">
        <v>49</v>
      </c>
      <c r="B51" s="1">
        <v>2025.0</v>
      </c>
      <c r="C51" s="13" t="s">
        <v>75</v>
      </c>
      <c r="D51" s="13" t="s">
        <v>76</v>
      </c>
      <c r="E51" s="3">
        <v>6.6207823E8</v>
      </c>
      <c r="F51" s="13" t="s">
        <v>0</v>
      </c>
      <c r="G51" s="2" t="s">
        <v>0</v>
      </c>
      <c r="H51" s="3">
        <v>0.0</v>
      </c>
      <c r="I51" s="3">
        <v>0.0</v>
      </c>
      <c r="J51" s="3">
        <v>-1700331.0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-6.60377899E8</v>
      </c>
      <c r="Q51" s="3">
        <f t="shared" si="1"/>
        <v>0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" t="s">
        <v>77</v>
      </c>
      <c r="B52" s="1" t="s">
        <v>0</v>
      </c>
      <c r="C52" s="2" t="s">
        <v>78</v>
      </c>
      <c r="D52" s="2" t="s">
        <v>0</v>
      </c>
      <c r="E52" s="3">
        <v>0.0</v>
      </c>
      <c r="F52" s="2" t="s">
        <v>0</v>
      </c>
      <c r="G52" s="2" t="s">
        <v>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f t="shared" si="1"/>
        <v>0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" t="s">
        <v>77</v>
      </c>
      <c r="B53" s="1" t="s">
        <v>0</v>
      </c>
      <c r="C53" s="2" t="s">
        <v>79</v>
      </c>
      <c r="D53" s="2" t="s">
        <v>0</v>
      </c>
      <c r="E53" s="3">
        <v>0.0</v>
      </c>
      <c r="F53" s="2" t="s">
        <v>0</v>
      </c>
      <c r="G53" s="2" t="s">
        <v>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f t="shared" si="1"/>
        <v>0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" t="s">
        <v>77</v>
      </c>
      <c r="B54" s="1" t="s">
        <v>0</v>
      </c>
      <c r="C54" s="2" t="s">
        <v>18</v>
      </c>
      <c r="D54" s="2" t="s">
        <v>0</v>
      </c>
      <c r="E54" s="3">
        <v>0.0</v>
      </c>
      <c r="F54" s="2" t="s">
        <v>0</v>
      </c>
      <c r="G54" s="2" t="s">
        <v>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f t="shared" si="1"/>
        <v>0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 t="s">
        <v>77</v>
      </c>
      <c r="B55" s="1" t="s">
        <v>0</v>
      </c>
      <c r="C55" s="2" t="s">
        <v>20</v>
      </c>
      <c r="D55" s="2" t="s">
        <v>0</v>
      </c>
      <c r="E55" s="3">
        <v>3000000.0</v>
      </c>
      <c r="F55" s="2" t="s">
        <v>0</v>
      </c>
      <c r="G55" s="2" t="s">
        <v>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f t="shared" si="1"/>
        <v>3000000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" t="s">
        <v>77</v>
      </c>
      <c r="B56" s="1" t="s">
        <v>0</v>
      </c>
      <c r="C56" s="2" t="s">
        <v>21</v>
      </c>
      <c r="D56" s="2" t="s">
        <v>0</v>
      </c>
      <c r="E56" s="3">
        <v>0.0</v>
      </c>
      <c r="F56" s="2" t="s">
        <v>0</v>
      </c>
      <c r="G56" s="2" t="s">
        <v>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2.4E8</v>
      </c>
      <c r="Q56" s="3">
        <f t="shared" si="1"/>
        <v>240000000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" t="s">
        <v>77</v>
      </c>
      <c r="B57" s="1" t="s">
        <v>0</v>
      </c>
      <c r="C57" s="2" t="s">
        <v>80</v>
      </c>
      <c r="D57" s="2" t="s">
        <v>0</v>
      </c>
      <c r="E57" s="3">
        <v>0.0</v>
      </c>
      <c r="F57" s="2" t="s">
        <v>0</v>
      </c>
      <c r="G57" s="2" t="s">
        <v>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f t="shared" si="1"/>
        <v>0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" t="s">
        <v>77</v>
      </c>
      <c r="B58" s="1" t="s">
        <v>0</v>
      </c>
      <c r="C58" s="2" t="s">
        <v>81</v>
      </c>
      <c r="D58" s="2" t="s">
        <v>0</v>
      </c>
      <c r="E58" s="3">
        <v>0.0</v>
      </c>
      <c r="F58" s="2" t="s">
        <v>0</v>
      </c>
      <c r="G58" s="2" t="s">
        <v>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f t="shared" si="1"/>
        <v>0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" t="s">
        <v>77</v>
      </c>
      <c r="B59" s="1" t="s">
        <v>0</v>
      </c>
      <c r="C59" s="2" t="s">
        <v>82</v>
      </c>
      <c r="D59" s="2" t="s">
        <v>0</v>
      </c>
      <c r="E59" s="3">
        <v>0.0</v>
      </c>
      <c r="F59" s="2" t="s">
        <v>0</v>
      </c>
      <c r="G59" s="2" t="s">
        <v>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f t="shared" si="1"/>
        <v>0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" t="s">
        <v>77</v>
      </c>
      <c r="B60" s="1" t="s">
        <v>0</v>
      </c>
      <c r="C60" s="2" t="s">
        <v>83</v>
      </c>
      <c r="D60" s="2" t="s">
        <v>0</v>
      </c>
      <c r="E60" s="3">
        <v>0.0</v>
      </c>
      <c r="F60" s="2" t="s">
        <v>0</v>
      </c>
      <c r="G60" s="2" t="s">
        <v>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f t="shared" si="1"/>
        <v>0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" t="s">
        <v>77</v>
      </c>
      <c r="B61" s="1" t="s">
        <v>0</v>
      </c>
      <c r="C61" s="2" t="s">
        <v>84</v>
      </c>
      <c r="D61" s="2" t="s">
        <v>0</v>
      </c>
      <c r="E61" s="3">
        <v>0.0</v>
      </c>
      <c r="F61" s="2" t="s">
        <v>0</v>
      </c>
      <c r="G61" s="2" t="s">
        <v>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f t="shared" si="1"/>
        <v>0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" t="s">
        <v>77</v>
      </c>
      <c r="B62" s="1" t="s">
        <v>0</v>
      </c>
      <c r="C62" s="2" t="s">
        <v>85</v>
      </c>
      <c r="D62" s="2" t="s">
        <v>0</v>
      </c>
      <c r="E62" s="3">
        <v>0.0</v>
      </c>
      <c r="F62" s="2" t="s">
        <v>0</v>
      </c>
      <c r="G62" s="2" t="s">
        <v>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f t="shared" si="1"/>
        <v>0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" t="s">
        <v>86</v>
      </c>
      <c r="B63" s="1">
        <v>2020.0</v>
      </c>
      <c r="C63" s="2" t="s">
        <v>87</v>
      </c>
      <c r="D63" s="2" t="s">
        <v>88</v>
      </c>
      <c r="E63" s="3">
        <v>8124732.0</v>
      </c>
      <c r="F63" s="2" t="s">
        <v>89</v>
      </c>
      <c r="G63" s="2" t="s">
        <v>90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f t="shared" si="1"/>
        <v>8124732</v>
      </c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" t="s">
        <v>91</v>
      </c>
      <c r="B64" s="1">
        <v>2024.0</v>
      </c>
      <c r="C64" s="13" t="s">
        <v>92</v>
      </c>
      <c r="D64" s="2" t="s">
        <v>93</v>
      </c>
      <c r="E64" s="3">
        <v>180180.0</v>
      </c>
      <c r="F64" s="13" t="s">
        <v>91</v>
      </c>
      <c r="G64" s="2" t="s">
        <v>94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f t="shared" si="1"/>
        <v>180180</v>
      </c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 t="s">
        <v>91</v>
      </c>
      <c r="B65" s="1">
        <v>2024.0</v>
      </c>
      <c r="C65" s="13" t="s">
        <v>9</v>
      </c>
      <c r="D65" s="2" t="s">
        <v>95</v>
      </c>
      <c r="E65" s="3">
        <v>74324.0</v>
      </c>
      <c r="F65" s="13" t="s">
        <v>91</v>
      </c>
      <c r="G65" s="2" t="s">
        <v>96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f t="shared" si="1"/>
        <v>74324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" t="s">
        <v>91</v>
      </c>
      <c r="B66" s="1">
        <v>2024.0</v>
      </c>
      <c r="C66" s="13" t="s">
        <v>97</v>
      </c>
      <c r="D66" s="19" t="s">
        <v>98</v>
      </c>
      <c r="E66" s="3">
        <v>2.5E8</v>
      </c>
      <c r="F66" s="13" t="s">
        <v>91</v>
      </c>
      <c r="G66" s="2" t="s">
        <v>99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f t="shared" si="1"/>
        <v>250000000</v>
      </c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" t="s">
        <v>91</v>
      </c>
      <c r="B67" s="1">
        <v>2025.0</v>
      </c>
      <c r="C67" s="13" t="s">
        <v>100</v>
      </c>
      <c r="D67" s="19" t="s">
        <v>101</v>
      </c>
      <c r="E67" s="3">
        <v>3595000.0</v>
      </c>
      <c r="F67" s="13" t="s">
        <v>91</v>
      </c>
      <c r="G67" s="2" t="s">
        <v>102</v>
      </c>
      <c r="H67" s="3">
        <v>-3595000.0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f t="shared" si="1"/>
        <v>0</v>
      </c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" t="s">
        <v>91</v>
      </c>
      <c r="B68" s="1">
        <v>2025.0</v>
      </c>
      <c r="C68" s="13" t="s">
        <v>100</v>
      </c>
      <c r="D68" s="19" t="s">
        <v>103</v>
      </c>
      <c r="E68" s="3">
        <v>1.9065E8</v>
      </c>
      <c r="F68" s="13" t="s">
        <v>91</v>
      </c>
      <c r="G68" s="2" t="s">
        <v>104</v>
      </c>
      <c r="H68" s="3">
        <v>-1.9065E8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f t="shared" si="1"/>
        <v>0</v>
      </c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" t="s">
        <v>91</v>
      </c>
      <c r="B69" s="1">
        <v>2025.0</v>
      </c>
      <c r="C69" s="13" t="s">
        <v>105</v>
      </c>
      <c r="D69" s="19" t="s">
        <v>106</v>
      </c>
      <c r="E69" s="3">
        <v>7000000.0</v>
      </c>
      <c r="F69" s="13" t="s">
        <v>91</v>
      </c>
      <c r="G69" s="2" t="s">
        <v>107</v>
      </c>
      <c r="H69" s="3">
        <v>0.0</v>
      </c>
      <c r="I69" s="3">
        <v>-7000000.0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f t="shared" si="1"/>
        <v>0</v>
      </c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" t="s">
        <v>91</v>
      </c>
      <c r="B70" s="1">
        <v>2025.0</v>
      </c>
      <c r="C70" s="13" t="s">
        <v>108</v>
      </c>
      <c r="D70" s="19" t="s">
        <v>109</v>
      </c>
      <c r="E70" s="3">
        <v>1678046.0</v>
      </c>
      <c r="F70" s="13" t="s">
        <v>91</v>
      </c>
      <c r="G70" s="2" t="s">
        <v>110</v>
      </c>
      <c r="H70" s="3">
        <v>0.0</v>
      </c>
      <c r="I70" s="3">
        <v>0.0</v>
      </c>
      <c r="J70" s="3">
        <v>-1678046.0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f t="shared" si="1"/>
        <v>0</v>
      </c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" t="s">
        <v>91</v>
      </c>
      <c r="B71" s="1">
        <v>2025.0</v>
      </c>
      <c r="C71" s="13" t="s">
        <v>108</v>
      </c>
      <c r="D71" s="19" t="s">
        <v>111</v>
      </c>
      <c r="E71" s="3">
        <v>1231050.0</v>
      </c>
      <c r="F71" s="13" t="s">
        <v>91</v>
      </c>
      <c r="G71" s="2" t="s">
        <v>112</v>
      </c>
      <c r="H71" s="3">
        <v>0.0</v>
      </c>
      <c r="I71" s="3">
        <v>0.0</v>
      </c>
      <c r="J71" s="3">
        <v>-1231050.0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f t="shared" si="1"/>
        <v>0</v>
      </c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" t="s">
        <v>91</v>
      </c>
      <c r="B72" s="1">
        <v>2025.0</v>
      </c>
      <c r="C72" s="13" t="s">
        <v>108</v>
      </c>
      <c r="D72" s="19" t="s">
        <v>113</v>
      </c>
      <c r="E72" s="3">
        <v>5.031885E7</v>
      </c>
      <c r="F72" s="13" t="s">
        <v>91</v>
      </c>
      <c r="G72" s="2" t="s">
        <v>112</v>
      </c>
      <c r="H72" s="3">
        <v>0.0</v>
      </c>
      <c r="I72" s="3">
        <v>0.0</v>
      </c>
      <c r="J72" s="3">
        <v>-5.031885E7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f t="shared" si="1"/>
        <v>0</v>
      </c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2" t="s">
        <v>91</v>
      </c>
      <c r="B73" s="1">
        <v>2025.0</v>
      </c>
      <c r="C73" s="13" t="s">
        <v>108</v>
      </c>
      <c r="D73" s="19" t="s">
        <v>114</v>
      </c>
      <c r="E73" s="3">
        <v>155814.0</v>
      </c>
      <c r="F73" s="13" t="s">
        <v>91</v>
      </c>
      <c r="G73" s="2" t="s">
        <v>110</v>
      </c>
      <c r="H73" s="3">
        <v>0.0</v>
      </c>
      <c r="I73" s="3">
        <v>0.0</v>
      </c>
      <c r="J73" s="3">
        <v>-155814.0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f t="shared" si="1"/>
        <v>0</v>
      </c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" t="s">
        <v>86</v>
      </c>
      <c r="B74" s="1">
        <v>2021.0</v>
      </c>
      <c r="C74" s="13" t="s">
        <v>87</v>
      </c>
      <c r="D74" s="13" t="s">
        <v>115</v>
      </c>
      <c r="E74" s="3">
        <v>7.97933E7</v>
      </c>
      <c r="F74" s="2" t="s">
        <v>89</v>
      </c>
      <c r="G74" s="2" t="s">
        <v>116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-4.0E7</v>
      </c>
      <c r="Q74" s="3">
        <f t="shared" si="1"/>
        <v>39793300</v>
      </c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2" t="s">
        <v>86</v>
      </c>
      <c r="B75" s="1">
        <v>2022.0</v>
      </c>
      <c r="C75" s="13" t="s">
        <v>87</v>
      </c>
      <c r="D75" s="2" t="s">
        <v>117</v>
      </c>
      <c r="E75" s="3">
        <v>2.75647507E8</v>
      </c>
      <c r="F75" s="2" t="s">
        <v>89</v>
      </c>
      <c r="G75" s="2" t="s">
        <v>118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f t="shared" si="1"/>
        <v>275647507</v>
      </c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" t="s">
        <v>86</v>
      </c>
      <c r="B76" s="1">
        <v>2023.0</v>
      </c>
      <c r="C76" s="13" t="s">
        <v>87</v>
      </c>
      <c r="D76" s="2" t="s">
        <v>119</v>
      </c>
      <c r="E76" s="3">
        <v>1.02116E7</v>
      </c>
      <c r="F76" s="2" t="s">
        <v>89</v>
      </c>
      <c r="G76" s="2" t="s">
        <v>120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f t="shared" si="1"/>
        <v>10211600</v>
      </c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2" t="s">
        <v>86</v>
      </c>
      <c r="B77" s="1">
        <v>2023.0</v>
      </c>
      <c r="C77" s="13" t="s">
        <v>87</v>
      </c>
      <c r="D77" s="2" t="s">
        <v>119</v>
      </c>
      <c r="E77" s="3">
        <v>7798061.0</v>
      </c>
      <c r="F77" s="2" t="s">
        <v>89</v>
      </c>
      <c r="G77" s="2" t="s">
        <v>121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f t="shared" si="1"/>
        <v>7798061</v>
      </c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2" t="s">
        <v>86</v>
      </c>
      <c r="B78" s="1">
        <v>2023.0</v>
      </c>
      <c r="C78" s="13" t="s">
        <v>87</v>
      </c>
      <c r="D78" s="2" t="s">
        <v>119</v>
      </c>
      <c r="E78" s="3">
        <v>6328939.0</v>
      </c>
      <c r="F78" s="2" t="s">
        <v>89</v>
      </c>
      <c r="G78" s="2" t="s">
        <v>122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f t="shared" si="1"/>
        <v>6328939</v>
      </c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2" t="s">
        <v>86</v>
      </c>
      <c r="B79" s="1">
        <v>2024.0</v>
      </c>
      <c r="C79" s="13" t="s">
        <v>87</v>
      </c>
      <c r="D79" s="2" t="s">
        <v>123</v>
      </c>
      <c r="E79" s="3">
        <v>526500.0</v>
      </c>
      <c r="F79" s="2" t="s">
        <v>89</v>
      </c>
      <c r="G79" s="2" t="s">
        <v>124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f t="shared" si="1"/>
        <v>526500</v>
      </c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" t="s">
        <v>86</v>
      </c>
      <c r="B80" s="1">
        <v>2025.0</v>
      </c>
      <c r="C80" s="13" t="s">
        <v>100</v>
      </c>
      <c r="D80" s="2" t="s">
        <v>125</v>
      </c>
      <c r="E80" s="3">
        <v>1.42796E7</v>
      </c>
      <c r="F80" s="2" t="s">
        <v>89</v>
      </c>
      <c r="G80" s="2" t="s">
        <v>126</v>
      </c>
      <c r="H80" s="3">
        <v>-1.42796E7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f t="shared" si="1"/>
        <v>0</v>
      </c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 t="s">
        <v>86</v>
      </c>
      <c r="B81" s="1">
        <v>2025.0</v>
      </c>
      <c r="C81" s="13" t="s">
        <v>100</v>
      </c>
      <c r="D81" s="2" t="s">
        <v>127</v>
      </c>
      <c r="E81" s="3">
        <v>7280000.0</v>
      </c>
      <c r="F81" s="2" t="s">
        <v>89</v>
      </c>
      <c r="G81" s="2" t="s">
        <v>128</v>
      </c>
      <c r="H81" s="3">
        <v>-7280000.0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f t="shared" si="1"/>
        <v>0</v>
      </c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" t="s">
        <v>86</v>
      </c>
      <c r="B82" s="1">
        <v>2025.0</v>
      </c>
      <c r="C82" s="13" t="s">
        <v>100</v>
      </c>
      <c r="D82" s="2" t="s">
        <v>129</v>
      </c>
      <c r="E82" s="3">
        <v>1477475.0</v>
      </c>
      <c r="F82" s="2" t="s">
        <v>89</v>
      </c>
      <c r="G82" s="2" t="s">
        <v>130</v>
      </c>
      <c r="H82" s="3">
        <v>-1477475.0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f t="shared" si="1"/>
        <v>0</v>
      </c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 t="s">
        <v>86</v>
      </c>
      <c r="B83" s="1">
        <v>2025.0</v>
      </c>
      <c r="C83" s="13" t="s">
        <v>100</v>
      </c>
      <c r="D83" s="2" t="s">
        <v>131</v>
      </c>
      <c r="E83" s="3">
        <v>1500000.0</v>
      </c>
      <c r="F83" s="2" t="s">
        <v>89</v>
      </c>
      <c r="G83" s="2" t="s">
        <v>132</v>
      </c>
      <c r="H83" s="3">
        <v>-1500000.0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f t="shared" si="1"/>
        <v>0</v>
      </c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" t="s">
        <v>86</v>
      </c>
      <c r="B84" s="1">
        <v>2025.0</v>
      </c>
      <c r="C84" s="13" t="s">
        <v>100</v>
      </c>
      <c r="D84" s="2" t="s">
        <v>133</v>
      </c>
      <c r="E84" s="3">
        <v>3500000.0</v>
      </c>
      <c r="F84" s="2" t="s">
        <v>89</v>
      </c>
      <c r="G84" s="2" t="s">
        <v>134</v>
      </c>
      <c r="H84" s="3">
        <v>-3500000.0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f t="shared" si="1"/>
        <v>0</v>
      </c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 t="s">
        <v>86</v>
      </c>
      <c r="B85" s="1">
        <v>2025.0</v>
      </c>
      <c r="C85" s="13" t="s">
        <v>100</v>
      </c>
      <c r="D85" s="2" t="s">
        <v>135</v>
      </c>
      <c r="E85" s="3">
        <v>2500000.0</v>
      </c>
      <c r="F85" s="2" t="s">
        <v>89</v>
      </c>
      <c r="G85" s="2" t="s">
        <v>136</v>
      </c>
      <c r="H85" s="3">
        <v>-2500000.0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f t="shared" si="1"/>
        <v>0</v>
      </c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" t="s">
        <v>86</v>
      </c>
      <c r="B86" s="1">
        <v>2025.0</v>
      </c>
      <c r="C86" s="13" t="s">
        <v>100</v>
      </c>
      <c r="D86" s="2" t="s">
        <v>137</v>
      </c>
      <c r="E86" s="3">
        <v>1500000.0</v>
      </c>
      <c r="F86" s="2" t="s">
        <v>89</v>
      </c>
      <c r="G86" s="2" t="s">
        <v>138</v>
      </c>
      <c r="H86" s="3">
        <v>-1500000.0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f t="shared" si="1"/>
        <v>0</v>
      </c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 t="s">
        <v>86</v>
      </c>
      <c r="B87" s="1">
        <v>2025.0</v>
      </c>
      <c r="C87" s="13" t="s">
        <v>100</v>
      </c>
      <c r="D87" s="2" t="s">
        <v>139</v>
      </c>
      <c r="E87" s="3">
        <v>3500000.0</v>
      </c>
      <c r="F87" s="2" t="s">
        <v>89</v>
      </c>
      <c r="G87" s="2" t="s">
        <v>140</v>
      </c>
      <c r="H87" s="3">
        <v>-3500000.0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f t="shared" si="1"/>
        <v>0</v>
      </c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 t="s">
        <v>86</v>
      </c>
      <c r="B88" s="1">
        <v>2025.0</v>
      </c>
      <c r="C88" s="13" t="s">
        <v>100</v>
      </c>
      <c r="D88" s="2" t="s">
        <v>141</v>
      </c>
      <c r="E88" s="3">
        <v>3500000.0</v>
      </c>
      <c r="F88" s="2" t="s">
        <v>89</v>
      </c>
      <c r="G88" s="2" t="s">
        <v>142</v>
      </c>
      <c r="H88" s="3">
        <v>-3500000.0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f t="shared" si="1"/>
        <v>0</v>
      </c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" t="s">
        <v>86</v>
      </c>
      <c r="B89" s="1">
        <v>2025.0</v>
      </c>
      <c r="C89" s="13" t="s">
        <v>105</v>
      </c>
      <c r="D89" s="2" t="s">
        <v>143</v>
      </c>
      <c r="E89" s="3">
        <v>2700000.0</v>
      </c>
      <c r="F89" s="2" t="s">
        <v>89</v>
      </c>
      <c r="G89" s="2" t="s">
        <v>144</v>
      </c>
      <c r="H89" s="3">
        <v>0.0</v>
      </c>
      <c r="I89" s="3">
        <v>-2700000.0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f t="shared" si="1"/>
        <v>0</v>
      </c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 t="s">
        <v>86</v>
      </c>
      <c r="B90" s="1">
        <v>2025.0</v>
      </c>
      <c r="C90" s="13" t="s">
        <v>105</v>
      </c>
      <c r="D90" s="2" t="s">
        <v>145</v>
      </c>
      <c r="E90" s="3">
        <v>8980000.0</v>
      </c>
      <c r="F90" s="2" t="s">
        <v>89</v>
      </c>
      <c r="G90" s="2" t="s">
        <v>144</v>
      </c>
      <c r="H90" s="3">
        <v>0.0</v>
      </c>
      <c r="I90" s="3">
        <v>-8980000.0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f t="shared" si="1"/>
        <v>0</v>
      </c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 t="s">
        <v>86</v>
      </c>
      <c r="B91" s="1">
        <v>2025.0</v>
      </c>
      <c r="C91" s="13" t="s">
        <v>105</v>
      </c>
      <c r="D91" s="2" t="s">
        <v>146</v>
      </c>
      <c r="E91" s="3">
        <v>3100000.0</v>
      </c>
      <c r="F91" s="2" t="s">
        <v>89</v>
      </c>
      <c r="G91" s="2" t="s">
        <v>144</v>
      </c>
      <c r="H91" s="3">
        <v>0.0</v>
      </c>
      <c r="I91" s="3">
        <v>-3100000.0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f t="shared" si="1"/>
        <v>0</v>
      </c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" t="s">
        <v>86</v>
      </c>
      <c r="B92" s="1">
        <v>2025.0</v>
      </c>
      <c r="C92" s="13" t="s">
        <v>105</v>
      </c>
      <c r="D92" s="2" t="s">
        <v>147</v>
      </c>
      <c r="E92" s="3">
        <v>1.2942E7</v>
      </c>
      <c r="F92" s="2" t="s">
        <v>89</v>
      </c>
      <c r="G92" s="2" t="s">
        <v>144</v>
      </c>
      <c r="H92" s="3">
        <v>0.0</v>
      </c>
      <c r="I92" s="3">
        <v>-1.2942E7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f t="shared" si="1"/>
        <v>0</v>
      </c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 t="s">
        <v>86</v>
      </c>
      <c r="B93" s="1">
        <v>2025.0</v>
      </c>
      <c r="C93" s="13" t="s">
        <v>105</v>
      </c>
      <c r="D93" s="2" t="s">
        <v>146</v>
      </c>
      <c r="E93" s="3">
        <v>331100.0</v>
      </c>
      <c r="F93" s="2" t="s">
        <v>89</v>
      </c>
      <c r="G93" s="2" t="s">
        <v>144</v>
      </c>
      <c r="H93" s="3">
        <v>0.0</v>
      </c>
      <c r="I93" s="3">
        <v>-331100.0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f t="shared" si="1"/>
        <v>0</v>
      </c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 t="s">
        <v>86</v>
      </c>
      <c r="B94" s="1">
        <v>2025.0</v>
      </c>
      <c r="C94" s="13" t="s">
        <v>105</v>
      </c>
      <c r="D94" s="2" t="s">
        <v>147</v>
      </c>
      <c r="E94" s="3">
        <v>1387155.0</v>
      </c>
      <c r="F94" s="2" t="s">
        <v>89</v>
      </c>
      <c r="G94" s="2" t="s">
        <v>144</v>
      </c>
      <c r="H94" s="3">
        <v>0.0</v>
      </c>
      <c r="I94" s="3">
        <v>-1387155.0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f t="shared" si="1"/>
        <v>0</v>
      </c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" t="s">
        <v>86</v>
      </c>
      <c r="B95" s="1">
        <v>2025.0</v>
      </c>
      <c r="C95" s="13" t="s">
        <v>148</v>
      </c>
      <c r="D95" s="2" t="s">
        <v>149</v>
      </c>
      <c r="E95" s="3">
        <v>2350000.0</v>
      </c>
      <c r="F95" s="2" t="s">
        <v>89</v>
      </c>
      <c r="G95" s="2" t="s">
        <v>128</v>
      </c>
      <c r="H95" s="3">
        <v>0.0</v>
      </c>
      <c r="I95" s="3">
        <v>0.0</v>
      </c>
      <c r="J95" s="3">
        <v>-2324150.0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-25850.0</v>
      </c>
      <c r="Q95" s="3">
        <f t="shared" si="1"/>
        <v>0</v>
      </c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" t="s">
        <v>86</v>
      </c>
      <c r="B96" s="1">
        <v>2025.0</v>
      </c>
      <c r="C96" s="13" t="s">
        <v>148</v>
      </c>
      <c r="D96" s="2" t="s">
        <v>150</v>
      </c>
      <c r="E96" s="3">
        <v>5.00535E7</v>
      </c>
      <c r="F96" s="2" t="s">
        <v>89</v>
      </c>
      <c r="G96" s="2" t="s">
        <v>128</v>
      </c>
      <c r="H96" s="3">
        <v>0.0</v>
      </c>
      <c r="I96" s="3">
        <v>0.0</v>
      </c>
      <c r="J96" s="3">
        <v>-5.00535E7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f t="shared" si="1"/>
        <v>0</v>
      </c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" t="s">
        <v>86</v>
      </c>
      <c r="B97" s="1">
        <v>2025.0</v>
      </c>
      <c r="C97" s="13" t="s">
        <v>148</v>
      </c>
      <c r="D97" s="2" t="s">
        <v>151</v>
      </c>
      <c r="E97" s="3">
        <v>5000000.0</v>
      </c>
      <c r="F97" s="2" t="s">
        <v>89</v>
      </c>
      <c r="G97" s="2" t="s">
        <v>152</v>
      </c>
      <c r="H97" s="3">
        <v>0.0</v>
      </c>
      <c r="I97" s="3">
        <v>0.0</v>
      </c>
      <c r="J97" s="3">
        <v>-5000000.0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f t="shared" si="1"/>
        <v>0</v>
      </c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" t="s">
        <v>86</v>
      </c>
      <c r="B98" s="1">
        <v>2025.0</v>
      </c>
      <c r="C98" s="13" t="s">
        <v>148</v>
      </c>
      <c r="D98" s="2" t="s">
        <v>153</v>
      </c>
      <c r="E98" s="3">
        <v>3345000.0</v>
      </c>
      <c r="F98" s="2" t="s">
        <v>89</v>
      </c>
      <c r="G98" s="2" t="s">
        <v>144</v>
      </c>
      <c r="H98" s="3">
        <v>0.0</v>
      </c>
      <c r="I98" s="3">
        <v>0.0</v>
      </c>
      <c r="J98" s="3">
        <v>-3345000.0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f t="shared" si="1"/>
        <v>0</v>
      </c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" t="s">
        <v>86</v>
      </c>
      <c r="B99" s="1">
        <v>2025.0</v>
      </c>
      <c r="C99" s="13" t="s">
        <v>148</v>
      </c>
      <c r="D99" s="2" t="s">
        <v>154</v>
      </c>
      <c r="E99" s="3">
        <v>119000.0</v>
      </c>
      <c r="F99" s="2" t="s">
        <v>89</v>
      </c>
      <c r="G99" s="2" t="s">
        <v>31</v>
      </c>
      <c r="H99" s="3">
        <v>0.0</v>
      </c>
      <c r="I99" s="3">
        <v>0.0</v>
      </c>
      <c r="J99" s="3">
        <v>-119000.0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f t="shared" si="1"/>
        <v>0</v>
      </c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" t="s">
        <v>86</v>
      </c>
      <c r="B100" s="1">
        <v>2025.0</v>
      </c>
      <c r="C100" s="13" t="s">
        <v>148</v>
      </c>
      <c r="D100" s="2" t="s">
        <v>155</v>
      </c>
      <c r="E100" s="3">
        <v>1.8E7</v>
      </c>
      <c r="F100" s="2" t="s">
        <v>89</v>
      </c>
      <c r="G100" s="2" t="s">
        <v>156</v>
      </c>
      <c r="H100" s="3">
        <v>0.0</v>
      </c>
      <c r="I100" s="3">
        <v>0.0</v>
      </c>
      <c r="J100" s="3">
        <v>-1.8E7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f t="shared" si="1"/>
        <v>0</v>
      </c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" t="s">
        <v>86</v>
      </c>
      <c r="B101" s="1">
        <v>2025.0</v>
      </c>
      <c r="C101" s="13" t="s">
        <v>157</v>
      </c>
      <c r="D101" s="19" t="s">
        <v>158</v>
      </c>
      <c r="E101" s="3">
        <v>183500.0</v>
      </c>
      <c r="F101" s="2" t="s">
        <v>89</v>
      </c>
      <c r="G101" s="2" t="s">
        <v>144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-183500.0</v>
      </c>
      <c r="P101" s="3">
        <v>0.0</v>
      </c>
      <c r="Q101" s="3">
        <f t="shared" si="1"/>
        <v>0</v>
      </c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" t="s">
        <v>86</v>
      </c>
      <c r="B102" s="1">
        <v>2025.0</v>
      </c>
      <c r="C102" s="13" t="s">
        <v>157</v>
      </c>
      <c r="D102" s="19" t="s">
        <v>159</v>
      </c>
      <c r="E102" s="3">
        <v>21000.0</v>
      </c>
      <c r="F102" s="2" t="s">
        <v>89</v>
      </c>
      <c r="G102" s="2" t="s">
        <v>144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-21000.0</v>
      </c>
      <c r="P102" s="3">
        <v>0.0</v>
      </c>
      <c r="Q102" s="3">
        <f t="shared" si="1"/>
        <v>0</v>
      </c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" t="s">
        <v>86</v>
      </c>
      <c r="B103" s="1">
        <v>2025.0</v>
      </c>
      <c r="C103" s="13" t="s">
        <v>160</v>
      </c>
      <c r="D103" s="2" t="s">
        <v>161</v>
      </c>
      <c r="E103" s="3">
        <v>3.27642222E8</v>
      </c>
      <c r="F103" s="2" t="s">
        <v>89</v>
      </c>
      <c r="G103" s="2" t="s">
        <v>162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f t="shared" si="1"/>
        <v>327642222</v>
      </c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" t="s">
        <v>86</v>
      </c>
      <c r="B104" s="1">
        <v>2025.0</v>
      </c>
      <c r="C104" s="13" t="s">
        <v>163</v>
      </c>
      <c r="D104" s="2" t="s">
        <v>164</v>
      </c>
      <c r="E104" s="3">
        <v>163415.0</v>
      </c>
      <c r="F104" s="2" t="s">
        <v>89</v>
      </c>
      <c r="G104" s="2" t="s">
        <v>156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-163415.0</v>
      </c>
      <c r="Q104" s="3">
        <f t="shared" si="1"/>
        <v>0</v>
      </c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" t="s">
        <v>86</v>
      </c>
      <c r="B105" s="1">
        <v>2025.0</v>
      </c>
      <c r="C105" s="13" t="s">
        <v>163</v>
      </c>
      <c r="D105" s="2" t="s">
        <v>165</v>
      </c>
      <c r="E105" s="3">
        <v>6806591.0</v>
      </c>
      <c r="F105" s="2" t="s">
        <v>89</v>
      </c>
      <c r="G105" s="2" t="s">
        <v>144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-6806591.0</v>
      </c>
      <c r="Q105" s="3">
        <f t="shared" si="1"/>
        <v>0</v>
      </c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 t="s">
        <v>86</v>
      </c>
      <c r="B106" s="1">
        <v>2025.0</v>
      </c>
      <c r="C106" s="13" t="s">
        <v>163</v>
      </c>
      <c r="D106" s="2" t="s">
        <v>166</v>
      </c>
      <c r="E106" s="3">
        <v>1360325.0</v>
      </c>
      <c r="F106" s="2" t="s">
        <v>89</v>
      </c>
      <c r="G106" s="2" t="s">
        <v>144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-1360325.0</v>
      </c>
      <c r="Q106" s="3">
        <f t="shared" si="1"/>
        <v>0</v>
      </c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" t="s">
        <v>86</v>
      </c>
      <c r="B107" s="1">
        <v>2025.0</v>
      </c>
      <c r="C107" s="13" t="s">
        <v>163</v>
      </c>
      <c r="D107" s="2" t="s">
        <v>167</v>
      </c>
      <c r="E107" s="3">
        <v>307701.0</v>
      </c>
      <c r="F107" s="2" t="s">
        <v>89</v>
      </c>
      <c r="G107" s="2" t="s">
        <v>144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-307701.0</v>
      </c>
      <c r="Q107" s="3">
        <f t="shared" si="1"/>
        <v>0</v>
      </c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" t="s">
        <v>86</v>
      </c>
      <c r="B108" s="1">
        <v>2025.0</v>
      </c>
      <c r="C108" s="13" t="s">
        <v>163</v>
      </c>
      <c r="D108" s="2" t="s">
        <v>168</v>
      </c>
      <c r="E108" s="3">
        <v>309000.0</v>
      </c>
      <c r="F108" s="2" t="s">
        <v>89</v>
      </c>
      <c r="G108" s="2" t="s">
        <v>144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-309000.0</v>
      </c>
      <c r="Q108" s="3">
        <f t="shared" si="1"/>
        <v>0</v>
      </c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" t="s">
        <v>86</v>
      </c>
      <c r="B109" s="1">
        <v>2025.0</v>
      </c>
      <c r="C109" s="13" t="s">
        <v>163</v>
      </c>
      <c r="D109" s="2" t="s">
        <v>169</v>
      </c>
      <c r="E109" s="3">
        <v>2371450.0</v>
      </c>
      <c r="F109" s="2" t="s">
        <v>89</v>
      </c>
      <c r="G109" s="2" t="s">
        <v>144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-2371450.0</v>
      </c>
      <c r="Q109" s="3">
        <f t="shared" si="1"/>
        <v>0</v>
      </c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" t="s">
        <v>86</v>
      </c>
      <c r="B110" s="1">
        <v>2025.0</v>
      </c>
      <c r="C110" s="13" t="s">
        <v>163</v>
      </c>
      <c r="D110" s="2" t="s">
        <v>170</v>
      </c>
      <c r="E110" s="3">
        <v>137300.0</v>
      </c>
      <c r="F110" s="2" t="s">
        <v>89</v>
      </c>
      <c r="G110" s="2" t="s">
        <v>144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-137300.0</v>
      </c>
      <c r="Q110" s="3">
        <f t="shared" si="1"/>
        <v>0</v>
      </c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" t="s">
        <v>86</v>
      </c>
      <c r="B111" s="1">
        <v>2025.0</v>
      </c>
      <c r="C111" s="13" t="s">
        <v>163</v>
      </c>
      <c r="D111" s="2" t="s">
        <v>171</v>
      </c>
      <c r="E111" s="3">
        <v>80400.0</v>
      </c>
      <c r="F111" s="2" t="s">
        <v>89</v>
      </c>
      <c r="G111" s="2" t="s">
        <v>172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-80400.0</v>
      </c>
      <c r="Q111" s="3">
        <f t="shared" si="1"/>
        <v>0</v>
      </c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" t="s">
        <v>86</v>
      </c>
      <c r="B112" s="1">
        <v>2025.0</v>
      </c>
      <c r="C112" s="13" t="s">
        <v>163</v>
      </c>
      <c r="D112" s="2" t="s">
        <v>173</v>
      </c>
      <c r="E112" s="3">
        <v>35959.0</v>
      </c>
      <c r="F112" s="2" t="s">
        <v>89</v>
      </c>
      <c r="G112" s="2" t="s">
        <v>172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-35959.0</v>
      </c>
      <c r="Q112" s="3">
        <f t="shared" si="1"/>
        <v>0</v>
      </c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" t="s">
        <v>86</v>
      </c>
      <c r="B113" s="1">
        <v>2025.0</v>
      </c>
      <c r="C113" s="13" t="s">
        <v>163</v>
      </c>
      <c r="D113" s="2" t="s">
        <v>174</v>
      </c>
      <c r="E113" s="3">
        <v>76297.0</v>
      </c>
      <c r="F113" s="2" t="s">
        <v>89</v>
      </c>
      <c r="G113" s="2" t="s">
        <v>172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-76297.0</v>
      </c>
      <c r="Q113" s="3">
        <f t="shared" si="1"/>
        <v>0</v>
      </c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" t="s">
        <v>86</v>
      </c>
      <c r="B114" s="1">
        <v>2025.0</v>
      </c>
      <c r="C114" s="13" t="s">
        <v>163</v>
      </c>
      <c r="D114" s="2" t="s">
        <v>175</v>
      </c>
      <c r="E114" s="3">
        <v>120000.0</v>
      </c>
      <c r="F114" s="2" t="s">
        <v>89</v>
      </c>
      <c r="G114" s="2" t="s">
        <v>172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-120000.0</v>
      </c>
      <c r="Q114" s="3">
        <f t="shared" si="1"/>
        <v>0</v>
      </c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" t="s">
        <v>86</v>
      </c>
      <c r="B115" s="1">
        <v>2025.0</v>
      </c>
      <c r="C115" s="13" t="s">
        <v>163</v>
      </c>
      <c r="D115" s="2" t="s">
        <v>176</v>
      </c>
      <c r="E115" s="3">
        <v>10000.0</v>
      </c>
      <c r="F115" s="2" t="s">
        <v>89</v>
      </c>
      <c r="G115" s="2" t="s">
        <v>172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-10000.0</v>
      </c>
      <c r="Q115" s="3">
        <f t="shared" si="1"/>
        <v>0</v>
      </c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 t="s">
        <v>86</v>
      </c>
      <c r="B116" s="1">
        <v>2025.0</v>
      </c>
      <c r="C116" s="13" t="s">
        <v>163</v>
      </c>
      <c r="D116" s="2" t="s">
        <v>177</v>
      </c>
      <c r="E116" s="3">
        <v>54000.0</v>
      </c>
      <c r="F116" s="2" t="s">
        <v>89</v>
      </c>
      <c r="G116" s="2" t="s">
        <v>172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-54000.0</v>
      </c>
      <c r="Q116" s="3">
        <f t="shared" si="1"/>
        <v>0</v>
      </c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 t="s">
        <v>86</v>
      </c>
      <c r="B117" s="1">
        <v>2025.0</v>
      </c>
      <c r="C117" s="13" t="s">
        <v>163</v>
      </c>
      <c r="D117" s="2" t="s">
        <v>178</v>
      </c>
      <c r="E117" s="3">
        <v>30000.0</v>
      </c>
      <c r="F117" s="2" t="s">
        <v>89</v>
      </c>
      <c r="G117" s="2" t="s">
        <v>172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-30000.0</v>
      </c>
      <c r="Q117" s="3">
        <f t="shared" si="1"/>
        <v>0</v>
      </c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 t="s">
        <v>86</v>
      </c>
      <c r="B118" s="1">
        <v>2025.0</v>
      </c>
      <c r="C118" s="13" t="s">
        <v>163</v>
      </c>
      <c r="D118" s="2" t="s">
        <v>179</v>
      </c>
      <c r="E118" s="3">
        <v>25000.0</v>
      </c>
      <c r="F118" s="2" t="s">
        <v>89</v>
      </c>
      <c r="G118" s="2" t="s">
        <v>172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-25000.0</v>
      </c>
      <c r="Q118" s="3">
        <f t="shared" si="1"/>
        <v>0</v>
      </c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 t="s">
        <v>86</v>
      </c>
      <c r="B119" s="1">
        <v>2025.0</v>
      </c>
      <c r="C119" s="13" t="s">
        <v>163</v>
      </c>
      <c r="D119" s="2" t="s">
        <v>180</v>
      </c>
      <c r="E119" s="3">
        <v>88000.0</v>
      </c>
      <c r="F119" s="2" t="s">
        <v>89</v>
      </c>
      <c r="G119" s="2" t="s">
        <v>172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-88000.0</v>
      </c>
      <c r="Q119" s="3">
        <f t="shared" si="1"/>
        <v>0</v>
      </c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 t="s">
        <v>86</v>
      </c>
      <c r="B120" s="1">
        <v>2025.0</v>
      </c>
      <c r="C120" s="13" t="s">
        <v>163</v>
      </c>
      <c r="D120" s="2" t="s">
        <v>181</v>
      </c>
      <c r="E120" s="3">
        <v>150000.0</v>
      </c>
      <c r="F120" s="2" t="s">
        <v>89</v>
      </c>
      <c r="G120" s="2" t="s">
        <v>172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-150000.0</v>
      </c>
      <c r="Q120" s="3">
        <f t="shared" si="1"/>
        <v>0</v>
      </c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 t="s">
        <v>86</v>
      </c>
      <c r="B121" s="1">
        <v>2025.0</v>
      </c>
      <c r="C121" s="13" t="s">
        <v>163</v>
      </c>
      <c r="D121" s="2" t="s">
        <v>182</v>
      </c>
      <c r="E121" s="3">
        <v>96000.0</v>
      </c>
      <c r="F121" s="2" t="s">
        <v>89</v>
      </c>
      <c r="G121" s="2" t="s">
        <v>172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-96000.0</v>
      </c>
      <c r="Q121" s="3">
        <f t="shared" si="1"/>
        <v>0</v>
      </c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 t="s">
        <v>86</v>
      </c>
      <c r="B122" s="1">
        <v>2025.0</v>
      </c>
      <c r="C122" s="13" t="s">
        <v>163</v>
      </c>
      <c r="D122" s="2" t="s">
        <v>183</v>
      </c>
      <c r="E122" s="3">
        <v>315000.0</v>
      </c>
      <c r="F122" s="2" t="s">
        <v>89</v>
      </c>
      <c r="G122" s="2" t="s">
        <v>172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-315000.0</v>
      </c>
      <c r="Q122" s="3">
        <f t="shared" si="1"/>
        <v>0</v>
      </c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 t="s">
        <v>86</v>
      </c>
      <c r="B123" s="1">
        <v>2025.0</v>
      </c>
      <c r="C123" s="13" t="s">
        <v>163</v>
      </c>
      <c r="D123" s="2" t="s">
        <v>184</v>
      </c>
      <c r="E123" s="3">
        <v>55500.0</v>
      </c>
      <c r="F123" s="2" t="s">
        <v>89</v>
      </c>
      <c r="G123" s="2" t="s">
        <v>172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-55500.0</v>
      </c>
      <c r="Q123" s="3">
        <f t="shared" si="1"/>
        <v>0</v>
      </c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 t="s">
        <v>86</v>
      </c>
      <c r="B124" s="1">
        <v>2025.0</v>
      </c>
      <c r="C124" s="13" t="s">
        <v>163</v>
      </c>
      <c r="D124" s="2" t="s">
        <v>185</v>
      </c>
      <c r="E124" s="3">
        <v>60000.0</v>
      </c>
      <c r="F124" s="2" t="s">
        <v>89</v>
      </c>
      <c r="G124" s="2" t="s">
        <v>172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-60000.0</v>
      </c>
      <c r="Q124" s="3">
        <f t="shared" si="1"/>
        <v>0</v>
      </c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 t="s">
        <v>86</v>
      </c>
      <c r="B125" s="1">
        <v>2025.0</v>
      </c>
      <c r="C125" s="13" t="s">
        <v>163</v>
      </c>
      <c r="D125" s="2" t="s">
        <v>186</v>
      </c>
      <c r="E125" s="3">
        <v>12000.0</v>
      </c>
      <c r="F125" s="2" t="s">
        <v>89</v>
      </c>
      <c r="G125" s="2" t="s">
        <v>172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-12000.0</v>
      </c>
      <c r="Q125" s="3">
        <f t="shared" si="1"/>
        <v>0</v>
      </c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 t="s">
        <v>86</v>
      </c>
      <c r="B126" s="1">
        <v>2025.0</v>
      </c>
      <c r="C126" s="13" t="s">
        <v>163</v>
      </c>
      <c r="D126" s="2" t="s">
        <v>187</v>
      </c>
      <c r="E126" s="3">
        <v>184000.0</v>
      </c>
      <c r="F126" s="2" t="s">
        <v>89</v>
      </c>
      <c r="G126" s="2" t="s">
        <v>156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-184000.0</v>
      </c>
      <c r="Q126" s="3">
        <f t="shared" si="1"/>
        <v>0</v>
      </c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 t="s">
        <v>86</v>
      </c>
      <c r="B127" s="1">
        <v>2025.0</v>
      </c>
      <c r="C127" s="13" t="s">
        <v>163</v>
      </c>
      <c r="D127" s="2" t="s">
        <v>188</v>
      </c>
      <c r="E127" s="3">
        <v>66000.0</v>
      </c>
      <c r="F127" s="2" t="s">
        <v>89</v>
      </c>
      <c r="G127" s="2" t="s">
        <v>156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-66000.0</v>
      </c>
      <c r="Q127" s="3">
        <f t="shared" si="1"/>
        <v>0</v>
      </c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 t="s">
        <v>86</v>
      </c>
      <c r="B128" s="1">
        <v>2025.0</v>
      </c>
      <c r="C128" s="13" t="s">
        <v>163</v>
      </c>
      <c r="D128" s="2" t="s">
        <v>189</v>
      </c>
      <c r="E128" s="3">
        <v>50000.0</v>
      </c>
      <c r="F128" s="2" t="s">
        <v>89</v>
      </c>
      <c r="G128" s="2" t="s">
        <v>156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-50000.0</v>
      </c>
      <c r="Q128" s="3">
        <f t="shared" si="1"/>
        <v>0</v>
      </c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86</v>
      </c>
      <c r="B129" s="1">
        <v>2025.0</v>
      </c>
      <c r="C129" s="13" t="s">
        <v>163</v>
      </c>
      <c r="D129" s="2" t="s">
        <v>190</v>
      </c>
      <c r="E129" s="3">
        <v>50000.0</v>
      </c>
      <c r="F129" s="2" t="s">
        <v>89</v>
      </c>
      <c r="G129" s="2" t="s">
        <v>156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-50000.0</v>
      </c>
      <c r="Q129" s="3">
        <f t="shared" si="1"/>
        <v>0</v>
      </c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 t="s">
        <v>86</v>
      </c>
      <c r="B130" s="1">
        <v>2025.0</v>
      </c>
      <c r="C130" s="13" t="s">
        <v>163</v>
      </c>
      <c r="D130" s="2" t="s">
        <v>191</v>
      </c>
      <c r="E130" s="3">
        <v>650000.0</v>
      </c>
      <c r="F130" s="2" t="s">
        <v>89</v>
      </c>
      <c r="G130" s="2" t="s">
        <v>156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-650000.0</v>
      </c>
      <c r="Q130" s="3">
        <f t="shared" si="1"/>
        <v>0</v>
      </c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 t="s">
        <v>86</v>
      </c>
      <c r="B131" s="1">
        <v>2025.0</v>
      </c>
      <c r="C131" s="13" t="s">
        <v>163</v>
      </c>
      <c r="D131" s="2" t="s">
        <v>192</v>
      </c>
      <c r="E131" s="3">
        <v>19500.0</v>
      </c>
      <c r="F131" s="2" t="s">
        <v>89</v>
      </c>
      <c r="G131" s="2" t="s">
        <v>156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-19500.0</v>
      </c>
      <c r="Q131" s="3">
        <f t="shared" si="1"/>
        <v>0</v>
      </c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 t="s">
        <v>86</v>
      </c>
      <c r="B132" s="1">
        <v>2025.0</v>
      </c>
      <c r="C132" s="13" t="s">
        <v>163</v>
      </c>
      <c r="D132" s="2" t="s">
        <v>193</v>
      </c>
      <c r="E132" s="3">
        <v>19500.0</v>
      </c>
      <c r="F132" s="2" t="s">
        <v>89</v>
      </c>
      <c r="G132" s="2" t="s">
        <v>156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-19500.0</v>
      </c>
      <c r="Q132" s="3">
        <f t="shared" si="1"/>
        <v>0</v>
      </c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 t="s">
        <v>86</v>
      </c>
      <c r="B133" s="1">
        <v>2025.0</v>
      </c>
      <c r="C133" s="13" t="s">
        <v>163</v>
      </c>
      <c r="D133" s="2" t="s">
        <v>194</v>
      </c>
      <c r="E133" s="3">
        <v>270000.0</v>
      </c>
      <c r="F133" s="2" t="s">
        <v>89</v>
      </c>
      <c r="G133" s="2" t="s">
        <v>156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-270000.0</v>
      </c>
      <c r="Q133" s="3">
        <f t="shared" si="1"/>
        <v>0</v>
      </c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 t="s">
        <v>86</v>
      </c>
      <c r="B134" s="1">
        <v>2025.0</v>
      </c>
      <c r="C134" s="13" t="s">
        <v>163</v>
      </c>
      <c r="D134" s="2" t="s">
        <v>195</v>
      </c>
      <c r="E134" s="3">
        <v>200000.0</v>
      </c>
      <c r="F134" s="2" t="s">
        <v>89</v>
      </c>
      <c r="G134" s="2" t="s">
        <v>156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-200000.0</v>
      </c>
      <c r="Q134" s="3">
        <f t="shared" si="1"/>
        <v>0</v>
      </c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 t="s">
        <v>86</v>
      </c>
      <c r="B135" s="1">
        <v>2025.0</v>
      </c>
      <c r="C135" s="13" t="s">
        <v>163</v>
      </c>
      <c r="D135" s="2" t="s">
        <v>196</v>
      </c>
      <c r="E135" s="3">
        <v>134000.0</v>
      </c>
      <c r="F135" s="2" t="s">
        <v>89</v>
      </c>
      <c r="G135" s="2" t="s">
        <v>156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-134000.0</v>
      </c>
      <c r="Q135" s="3">
        <f t="shared" si="1"/>
        <v>0</v>
      </c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86</v>
      </c>
      <c r="B136" s="1">
        <v>2025.0</v>
      </c>
      <c r="C136" s="13" t="s">
        <v>163</v>
      </c>
      <c r="D136" s="2" t="s">
        <v>197</v>
      </c>
      <c r="E136" s="3">
        <v>150000.0</v>
      </c>
      <c r="F136" s="2" t="s">
        <v>89</v>
      </c>
      <c r="G136" s="2" t="s">
        <v>156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-150000.0</v>
      </c>
      <c r="Q136" s="3">
        <f t="shared" si="1"/>
        <v>0</v>
      </c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 t="s">
        <v>86</v>
      </c>
      <c r="B137" s="1">
        <v>2025.0</v>
      </c>
      <c r="C137" s="13" t="s">
        <v>163</v>
      </c>
      <c r="D137" s="2" t="s">
        <v>198</v>
      </c>
      <c r="E137" s="3">
        <v>7000.0</v>
      </c>
      <c r="F137" s="2" t="s">
        <v>89</v>
      </c>
      <c r="G137" s="2" t="s">
        <v>156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-7000.0</v>
      </c>
      <c r="Q137" s="3">
        <f t="shared" si="1"/>
        <v>0</v>
      </c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 t="s">
        <v>86</v>
      </c>
      <c r="B138" s="1">
        <v>2025.0</v>
      </c>
      <c r="C138" s="13" t="s">
        <v>163</v>
      </c>
      <c r="D138" s="2" t="s">
        <v>199</v>
      </c>
      <c r="E138" s="3">
        <v>27000.0</v>
      </c>
      <c r="F138" s="2" t="s">
        <v>89</v>
      </c>
      <c r="G138" s="2" t="s">
        <v>156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-27000.0</v>
      </c>
      <c r="Q138" s="3">
        <f t="shared" si="1"/>
        <v>0</v>
      </c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 t="s">
        <v>86</v>
      </c>
      <c r="B139" s="1">
        <v>2025.0</v>
      </c>
      <c r="C139" s="13" t="s">
        <v>163</v>
      </c>
      <c r="D139" s="2" t="s">
        <v>200</v>
      </c>
      <c r="E139" s="3">
        <v>27000.0</v>
      </c>
      <c r="F139" s="2" t="s">
        <v>89</v>
      </c>
      <c r="G139" s="2" t="s">
        <v>156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-27000.0</v>
      </c>
      <c r="Q139" s="3">
        <f t="shared" si="1"/>
        <v>0</v>
      </c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 t="s">
        <v>86</v>
      </c>
      <c r="B140" s="1">
        <v>2025.0</v>
      </c>
      <c r="C140" s="13" t="s">
        <v>163</v>
      </c>
      <c r="D140" s="2" t="s">
        <v>201</v>
      </c>
      <c r="E140" s="3">
        <v>4717000.0</v>
      </c>
      <c r="F140" s="2" t="s">
        <v>89</v>
      </c>
      <c r="G140" s="2" t="s">
        <v>144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-4717000.0</v>
      </c>
      <c r="Q140" s="3">
        <f t="shared" si="1"/>
        <v>0</v>
      </c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 t="s">
        <v>86</v>
      </c>
      <c r="B141" s="1">
        <v>2025.0</v>
      </c>
      <c r="C141" s="13" t="s">
        <v>163</v>
      </c>
      <c r="D141" s="2" t="s">
        <v>202</v>
      </c>
      <c r="E141" s="3">
        <v>170000.0</v>
      </c>
      <c r="F141" s="2" t="s">
        <v>89</v>
      </c>
      <c r="G141" s="2" t="s">
        <v>144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-170000.0</v>
      </c>
      <c r="Q141" s="3">
        <f t="shared" si="1"/>
        <v>0</v>
      </c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2"/>
      <c r="D142" s="2"/>
      <c r="E142" s="3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1"/>
      <c r="C143" s="2"/>
      <c r="D143" s="2"/>
      <c r="E143" s="3">
        <f>SUBTOTAL(9,E4:E142)</f>
        <v>6818695867</v>
      </c>
      <c r="F143" s="2"/>
      <c r="G143" s="2"/>
      <c r="H143" s="23">
        <f t="shared" ref="H143:Q143" si="2">SUBTOTAL(9,H4:H142)</f>
        <v>-2502112075</v>
      </c>
      <c r="I143" s="23">
        <f t="shared" si="2"/>
        <v>-381062971</v>
      </c>
      <c r="J143" s="23">
        <f t="shared" si="2"/>
        <v>-2693223417</v>
      </c>
      <c r="K143" s="23">
        <f t="shared" si="2"/>
        <v>981875826</v>
      </c>
      <c r="L143" s="23">
        <f t="shared" si="2"/>
        <v>0</v>
      </c>
      <c r="M143" s="23">
        <f t="shared" si="2"/>
        <v>0</v>
      </c>
      <c r="N143" s="23">
        <f t="shared" si="2"/>
        <v>0</v>
      </c>
      <c r="O143" s="23">
        <f t="shared" si="2"/>
        <v>-204500</v>
      </c>
      <c r="P143" s="23">
        <f t="shared" si="2"/>
        <v>-219630033</v>
      </c>
      <c r="Q143" s="23">
        <f t="shared" si="2"/>
        <v>2004338697</v>
      </c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"/>
      <c r="B144" s="1"/>
      <c r="C144" s="2"/>
      <c r="D144" s="2" t="s">
        <v>0</v>
      </c>
      <c r="E144" s="3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4"/>
      <c r="B145" s="24"/>
      <c r="C145" s="4"/>
      <c r="D145" s="4"/>
      <c r="E145" s="20" t="s">
        <v>0</v>
      </c>
      <c r="F145" s="4"/>
      <c r="G145" s="4"/>
      <c r="H145" s="20">
        <v>-2.502112075E9</v>
      </c>
      <c r="I145" s="20">
        <v>-3.81062971E8</v>
      </c>
      <c r="J145" s="20">
        <v>-2.939436767E9</v>
      </c>
      <c r="K145" s="20">
        <v>9.81875826E8</v>
      </c>
      <c r="L145" s="20">
        <v>0.0</v>
      </c>
      <c r="M145" s="20">
        <v>0.0</v>
      </c>
      <c r="N145" s="20">
        <v>0.0</v>
      </c>
      <c r="O145" s="20">
        <v>-204500.0</v>
      </c>
      <c r="P145" s="20">
        <v>-2.27128241E8</v>
      </c>
      <c r="Q145" s="20"/>
      <c r="R145" s="4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"/>
      <c r="B146" s="1"/>
      <c r="C146" s="2"/>
      <c r="D146" s="2"/>
      <c r="E146" s="3" t="s">
        <v>0</v>
      </c>
      <c r="F146" s="2"/>
      <c r="G146" s="2"/>
      <c r="H146" s="3"/>
      <c r="I146" s="3" t="s">
        <v>0</v>
      </c>
      <c r="J146" s="3" t="s">
        <v>0</v>
      </c>
      <c r="K146" s="3" t="s">
        <v>0</v>
      </c>
      <c r="L146" s="3" t="s">
        <v>0</v>
      </c>
      <c r="M146" s="3" t="s">
        <v>0</v>
      </c>
      <c r="N146" s="3" t="s">
        <v>0</v>
      </c>
      <c r="O146" s="3" t="s">
        <v>0</v>
      </c>
      <c r="P146" s="3" t="s">
        <v>0</v>
      </c>
      <c r="Q146" s="3"/>
      <c r="R146" s="4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6"/>
      <c r="B147" s="26"/>
      <c r="C147" s="27"/>
      <c r="D147" s="27"/>
      <c r="E147" s="28"/>
      <c r="F147" s="27"/>
      <c r="G147" s="27"/>
      <c r="H147" s="28">
        <f t="shared" ref="H147:P147" si="3">H143-H145</f>
        <v>0</v>
      </c>
      <c r="I147" s="28">
        <f t="shared" si="3"/>
        <v>0</v>
      </c>
      <c r="J147" s="28">
        <f t="shared" si="3"/>
        <v>246213350</v>
      </c>
      <c r="K147" s="28">
        <f t="shared" si="3"/>
        <v>0</v>
      </c>
      <c r="L147" s="28">
        <f t="shared" si="3"/>
        <v>0</v>
      </c>
      <c r="M147" s="28">
        <f t="shared" si="3"/>
        <v>0</v>
      </c>
      <c r="N147" s="28">
        <f t="shared" si="3"/>
        <v>0</v>
      </c>
      <c r="O147" s="28">
        <f t="shared" si="3"/>
        <v>0</v>
      </c>
      <c r="P147" s="28">
        <f t="shared" si="3"/>
        <v>7498208</v>
      </c>
      <c r="Q147" s="28"/>
      <c r="R147" s="27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1"/>
      <c r="B148" s="1"/>
      <c r="C148" s="2"/>
      <c r="D148" s="2"/>
      <c r="E148" s="3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1"/>
      <c r="C149" s="2"/>
      <c r="D149" s="2"/>
      <c r="E149" s="3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 t="s">
        <v>0</v>
      </c>
      <c r="Q149" s="3"/>
      <c r="R149" s="4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1"/>
      <c r="C150" s="2"/>
      <c r="D150" s="2"/>
      <c r="E150" s="3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 t="s">
        <v>0</v>
      </c>
      <c r="Q150" s="3"/>
      <c r="R150" s="4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1"/>
      <c r="C151" s="2"/>
      <c r="D151" s="2"/>
      <c r="E151" s="3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1"/>
      <c r="C152" s="2"/>
      <c r="D152" s="2"/>
      <c r="E152" s="3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1"/>
      <c r="C153" s="2"/>
      <c r="D153" s="2"/>
      <c r="E153" s="3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1"/>
      <c r="C154" s="2"/>
      <c r="D154" s="2"/>
      <c r="E154" s="3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1"/>
      <c r="C155" s="2"/>
      <c r="D155" s="2"/>
      <c r="E155" s="3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1"/>
      <c r="C156" s="2"/>
      <c r="D156" s="2"/>
      <c r="E156" s="3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1"/>
      <c r="C157" s="2"/>
      <c r="D157" s="2"/>
      <c r="E157" s="3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1"/>
      <c r="C158" s="2"/>
      <c r="D158" s="2"/>
      <c r="E158" s="3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1"/>
      <c r="C159" s="2"/>
      <c r="D159" s="2"/>
      <c r="E159" s="3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1"/>
      <c r="C160" s="2"/>
      <c r="D160" s="2"/>
      <c r="E160" s="3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1"/>
      <c r="C161" s="2"/>
      <c r="D161" s="2"/>
      <c r="E161" s="3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1"/>
      <c r="C162" s="2"/>
      <c r="D162" s="2"/>
      <c r="E162" s="3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1"/>
      <c r="C163" s="2"/>
      <c r="D163" s="2"/>
      <c r="E163" s="3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1"/>
      <c r="C164" s="2"/>
      <c r="D164" s="2"/>
      <c r="E164" s="3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1"/>
      <c r="C165" s="2"/>
      <c r="D165" s="2"/>
      <c r="E165" s="3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1"/>
      <c r="C166" s="2"/>
      <c r="D166" s="2"/>
      <c r="E166" s="3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1"/>
      <c r="C167" s="2"/>
      <c r="D167" s="2"/>
      <c r="E167" s="3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1"/>
      <c r="C168" s="2"/>
      <c r="D168" s="2"/>
      <c r="E168" s="3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1"/>
      <c r="C169" s="2"/>
      <c r="D169" s="2"/>
      <c r="E169" s="3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1"/>
      <c r="C170" s="2"/>
      <c r="D170" s="2"/>
      <c r="E170" s="3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1"/>
      <c r="C171" s="2"/>
      <c r="D171" s="2"/>
      <c r="E171" s="3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1"/>
      <c r="C172" s="2"/>
      <c r="D172" s="2"/>
      <c r="E172" s="3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1"/>
      <c r="C173" s="2"/>
      <c r="D173" s="2"/>
      <c r="E173" s="3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1"/>
      <c r="C174" s="2"/>
      <c r="D174" s="2"/>
      <c r="E174" s="3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1"/>
      <c r="C175" s="2"/>
      <c r="D175" s="2"/>
      <c r="E175" s="3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1"/>
      <c r="C176" s="2"/>
      <c r="D176" s="2"/>
      <c r="E176" s="3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1"/>
      <c r="C177" s="2"/>
      <c r="D177" s="2"/>
      <c r="E177" s="3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1"/>
      <c r="C178" s="2"/>
      <c r="D178" s="2"/>
      <c r="E178" s="3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1"/>
      <c r="C179" s="2"/>
      <c r="D179" s="2"/>
      <c r="E179" s="3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1"/>
      <c r="C180" s="2"/>
      <c r="D180" s="2"/>
      <c r="E180" s="3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1"/>
      <c r="C181" s="2"/>
      <c r="D181" s="2"/>
      <c r="E181" s="3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1"/>
      <c r="C182" s="2"/>
      <c r="D182" s="2"/>
      <c r="E182" s="3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1"/>
      <c r="C183" s="2"/>
      <c r="D183" s="2"/>
      <c r="E183" s="3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1"/>
      <c r="C184" s="2"/>
      <c r="D184" s="2"/>
      <c r="E184" s="3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1"/>
      <c r="C185" s="2"/>
      <c r="D185" s="2"/>
      <c r="E185" s="3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1"/>
      <c r="C186" s="2"/>
      <c r="D186" s="2"/>
      <c r="E186" s="3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1"/>
      <c r="C187" s="2"/>
      <c r="D187" s="2"/>
      <c r="E187" s="3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1"/>
      <c r="C188" s="2"/>
      <c r="D188" s="2"/>
      <c r="E188" s="3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1"/>
      <c r="C189" s="2"/>
      <c r="D189" s="2"/>
      <c r="E189" s="3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1"/>
      <c r="C190" s="2"/>
      <c r="D190" s="2"/>
      <c r="E190" s="3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1"/>
      <c r="C191" s="2"/>
      <c r="D191" s="2"/>
      <c r="E191" s="3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1"/>
      <c r="C192" s="2"/>
      <c r="D192" s="2"/>
      <c r="E192" s="3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1"/>
      <c r="C193" s="2"/>
      <c r="D193" s="2"/>
      <c r="E193" s="3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1"/>
      <c r="C194" s="2"/>
      <c r="D194" s="2"/>
      <c r="E194" s="3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1"/>
      <c r="C195" s="2"/>
      <c r="D195" s="2"/>
      <c r="E195" s="3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1"/>
      <c r="C196" s="2"/>
      <c r="D196" s="2"/>
      <c r="E196" s="3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1"/>
      <c r="C197" s="2"/>
      <c r="D197" s="2"/>
      <c r="E197" s="3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1"/>
      <c r="C198" s="2"/>
      <c r="D198" s="2"/>
      <c r="E198" s="3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1"/>
      <c r="C199" s="2"/>
      <c r="D199" s="2"/>
      <c r="E199" s="3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1"/>
      <c r="C200" s="2"/>
      <c r="D200" s="2"/>
      <c r="E200" s="3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1"/>
      <c r="C201" s="2"/>
      <c r="D201" s="2"/>
      <c r="E201" s="3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1"/>
      <c r="C202" s="2"/>
      <c r="D202" s="2"/>
      <c r="E202" s="3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1"/>
      <c r="C203" s="2"/>
      <c r="D203" s="2"/>
      <c r="E203" s="3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1"/>
      <c r="C204" s="2"/>
      <c r="D204" s="2"/>
      <c r="E204" s="3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1"/>
      <c r="C205" s="2"/>
      <c r="D205" s="2"/>
      <c r="E205" s="3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1"/>
      <c r="C206" s="2"/>
      <c r="D206" s="2"/>
      <c r="E206" s="3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1"/>
      <c r="C207" s="2"/>
      <c r="D207" s="2"/>
      <c r="E207" s="3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1"/>
      <c r="C208" s="2"/>
      <c r="D208" s="2"/>
      <c r="E208" s="3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1"/>
      <c r="C209" s="2"/>
      <c r="D209" s="2"/>
      <c r="E209" s="3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1"/>
      <c r="C210" s="2"/>
      <c r="D210" s="2"/>
      <c r="E210" s="3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1"/>
      <c r="C211" s="2"/>
      <c r="D211" s="2"/>
      <c r="E211" s="3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1"/>
      <c r="C212" s="2"/>
      <c r="D212" s="2"/>
      <c r="E212" s="3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1"/>
      <c r="C213" s="2"/>
      <c r="D213" s="2"/>
      <c r="E213" s="3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1"/>
      <c r="C214" s="2"/>
      <c r="D214" s="2"/>
      <c r="E214" s="3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1"/>
      <c r="C215" s="2"/>
      <c r="D215" s="2"/>
      <c r="E215" s="3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1"/>
      <c r="C216" s="2"/>
      <c r="D216" s="2"/>
      <c r="E216" s="3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1"/>
      <c r="C217" s="2"/>
      <c r="D217" s="2"/>
      <c r="E217" s="3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1"/>
      <c r="C218" s="2"/>
      <c r="D218" s="2"/>
      <c r="E218" s="3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1"/>
      <c r="C219" s="2"/>
      <c r="D219" s="2"/>
      <c r="E219" s="3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1"/>
      <c r="C220" s="2"/>
      <c r="D220" s="2"/>
      <c r="E220" s="3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1"/>
      <c r="C221" s="2"/>
      <c r="D221" s="2"/>
      <c r="E221" s="3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1"/>
      <c r="C222" s="2"/>
      <c r="D222" s="2"/>
      <c r="E222" s="3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1"/>
      <c r="C223" s="2"/>
      <c r="D223" s="2"/>
      <c r="E223" s="3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1"/>
      <c r="C224" s="2"/>
      <c r="D224" s="2"/>
      <c r="E224" s="3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1"/>
      <c r="C225" s="2"/>
      <c r="D225" s="2"/>
      <c r="E225" s="3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1"/>
      <c r="C226" s="2"/>
      <c r="D226" s="2"/>
      <c r="E226" s="3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1"/>
      <c r="C227" s="2"/>
      <c r="D227" s="2"/>
      <c r="E227" s="3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1"/>
      <c r="C228" s="2"/>
      <c r="D228" s="2"/>
      <c r="E228" s="3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1"/>
      <c r="C229" s="2"/>
      <c r="D229" s="2"/>
      <c r="E229" s="3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1"/>
      <c r="C230" s="2"/>
      <c r="D230" s="2"/>
      <c r="E230" s="3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1"/>
      <c r="C231" s="2"/>
      <c r="D231" s="2"/>
      <c r="E231" s="3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1"/>
      <c r="C232" s="2"/>
      <c r="D232" s="2"/>
      <c r="E232" s="3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1"/>
      <c r="C233" s="2"/>
      <c r="D233" s="2"/>
      <c r="E233" s="3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1"/>
      <c r="C234" s="2"/>
      <c r="D234" s="2"/>
      <c r="E234" s="3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1"/>
      <c r="C235" s="2"/>
      <c r="D235" s="2"/>
      <c r="E235" s="3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1"/>
      <c r="C236" s="2"/>
      <c r="D236" s="2"/>
      <c r="E236" s="3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1"/>
      <c r="C237" s="2"/>
      <c r="D237" s="2"/>
      <c r="E237" s="3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1"/>
      <c r="C238" s="2"/>
      <c r="D238" s="2"/>
      <c r="E238" s="3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1"/>
      <c r="C239" s="2"/>
      <c r="D239" s="2"/>
      <c r="E239" s="3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1"/>
      <c r="C240" s="2"/>
      <c r="D240" s="2"/>
      <c r="E240" s="3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1"/>
      <c r="C241" s="2"/>
      <c r="D241" s="2"/>
      <c r="E241" s="3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1"/>
      <c r="C242" s="2"/>
      <c r="D242" s="2"/>
      <c r="E242" s="3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1"/>
      <c r="C243" s="2"/>
      <c r="D243" s="2"/>
      <c r="E243" s="3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1"/>
      <c r="C244" s="2"/>
      <c r="D244" s="2"/>
      <c r="E244" s="3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1"/>
      <c r="C245" s="2"/>
      <c r="D245" s="2"/>
      <c r="E245" s="3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1"/>
      <c r="C246" s="2"/>
      <c r="D246" s="2"/>
      <c r="E246" s="3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1"/>
      <c r="C247" s="2"/>
      <c r="D247" s="2"/>
      <c r="E247" s="3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1"/>
      <c r="C248" s="2"/>
      <c r="D248" s="2"/>
      <c r="E248" s="3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1"/>
      <c r="C249" s="2"/>
      <c r="D249" s="2"/>
      <c r="E249" s="3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1"/>
      <c r="C250" s="2"/>
      <c r="D250" s="2"/>
      <c r="E250" s="3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4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1"/>
      <c r="C251" s="2"/>
      <c r="D251" s="2"/>
      <c r="E251" s="3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4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1"/>
      <c r="C252" s="2"/>
      <c r="D252" s="2"/>
      <c r="E252" s="3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4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1"/>
      <c r="C253" s="2"/>
      <c r="D253" s="2"/>
      <c r="E253" s="3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4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1"/>
      <c r="C254" s="2"/>
      <c r="D254" s="2"/>
      <c r="E254" s="3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4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1"/>
      <c r="C255" s="2"/>
      <c r="D255" s="2"/>
      <c r="E255" s="3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4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1"/>
      <c r="C256" s="2"/>
      <c r="D256" s="2"/>
      <c r="E256" s="3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4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1"/>
      <c r="C257" s="2"/>
      <c r="D257" s="2"/>
      <c r="E257" s="3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4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1"/>
      <c r="C258" s="2"/>
      <c r="D258" s="2"/>
      <c r="E258" s="3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4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1"/>
      <c r="C259" s="2"/>
      <c r="D259" s="2"/>
      <c r="E259" s="3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4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1"/>
      <c r="C260" s="2"/>
      <c r="D260" s="2"/>
      <c r="E260" s="3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4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1"/>
      <c r="C261" s="2"/>
      <c r="D261" s="2"/>
      <c r="E261" s="3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4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1"/>
      <c r="C262" s="2"/>
      <c r="D262" s="2"/>
      <c r="E262" s="3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4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1"/>
      <c r="C263" s="2"/>
      <c r="D263" s="2"/>
      <c r="E263" s="3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4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1"/>
      <c r="C264" s="2"/>
      <c r="D264" s="2"/>
      <c r="E264" s="3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4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1"/>
      <c r="C265" s="2"/>
      <c r="D265" s="2"/>
      <c r="E265" s="3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4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1"/>
      <c r="C266" s="2"/>
      <c r="D266" s="2"/>
      <c r="E266" s="3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4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1"/>
      <c r="C267" s="2"/>
      <c r="D267" s="2"/>
      <c r="E267" s="3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4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1"/>
      <c r="C268" s="2"/>
      <c r="D268" s="2"/>
      <c r="E268" s="3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4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1"/>
      <c r="C269" s="2"/>
      <c r="D269" s="2"/>
      <c r="E269" s="3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4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1"/>
      <c r="C270" s="2"/>
      <c r="D270" s="2"/>
      <c r="E270" s="3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4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1"/>
      <c r="C271" s="2"/>
      <c r="D271" s="2"/>
      <c r="E271" s="3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4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1"/>
      <c r="C272" s="2"/>
      <c r="D272" s="2"/>
      <c r="E272" s="3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4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1"/>
      <c r="C273" s="2"/>
      <c r="D273" s="2"/>
      <c r="E273" s="3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4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1"/>
      <c r="C274" s="2"/>
      <c r="D274" s="2"/>
      <c r="E274" s="3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4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1"/>
      <c r="C275" s="2"/>
      <c r="D275" s="2"/>
      <c r="E275" s="3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4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1"/>
      <c r="C276" s="2"/>
      <c r="D276" s="2"/>
      <c r="E276" s="3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4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1"/>
      <c r="C277" s="2"/>
      <c r="D277" s="2"/>
      <c r="E277" s="3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4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1"/>
      <c r="C278" s="2"/>
      <c r="D278" s="2"/>
      <c r="E278" s="3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4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1"/>
      <c r="C279" s="2"/>
      <c r="D279" s="2"/>
      <c r="E279" s="3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4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1"/>
      <c r="C280" s="2"/>
      <c r="D280" s="2"/>
      <c r="E280" s="3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4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1"/>
      <c r="C281" s="2"/>
      <c r="D281" s="2"/>
      <c r="E281" s="3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4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1"/>
      <c r="C282" s="2"/>
      <c r="D282" s="2"/>
      <c r="E282" s="3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4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1"/>
      <c r="C283" s="2"/>
      <c r="D283" s="2"/>
      <c r="E283" s="3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4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1"/>
      <c r="C284" s="2"/>
      <c r="D284" s="2"/>
      <c r="E284" s="3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4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1"/>
      <c r="C285" s="2"/>
      <c r="D285" s="2"/>
      <c r="E285" s="3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4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1"/>
      <c r="C286" s="2"/>
      <c r="D286" s="2"/>
      <c r="E286" s="3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4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1"/>
      <c r="C287" s="2"/>
      <c r="D287" s="2"/>
      <c r="E287" s="3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4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1"/>
      <c r="C288" s="2"/>
      <c r="D288" s="2"/>
      <c r="E288" s="3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4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1"/>
      <c r="C289" s="2"/>
      <c r="D289" s="2"/>
      <c r="E289" s="3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4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1"/>
      <c r="C290" s="2"/>
      <c r="D290" s="2"/>
      <c r="E290" s="3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4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1"/>
      <c r="C291" s="2"/>
      <c r="D291" s="2"/>
      <c r="E291" s="3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4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1"/>
      <c r="C292" s="2"/>
      <c r="D292" s="2"/>
      <c r="E292" s="3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4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1"/>
      <c r="C293" s="2"/>
      <c r="D293" s="2"/>
      <c r="E293" s="3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4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1"/>
      <c r="C294" s="2"/>
      <c r="D294" s="2"/>
      <c r="E294" s="3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4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1"/>
      <c r="C295" s="2"/>
      <c r="D295" s="2"/>
      <c r="E295" s="3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4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1"/>
      <c r="C296" s="2"/>
      <c r="D296" s="2"/>
      <c r="E296" s="3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4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1"/>
      <c r="C297" s="2"/>
      <c r="D297" s="2"/>
      <c r="E297" s="3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4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1"/>
      <c r="C298" s="2"/>
      <c r="D298" s="2"/>
      <c r="E298" s="3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4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1"/>
      <c r="C299" s="2"/>
      <c r="D299" s="2"/>
      <c r="E299" s="3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4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1"/>
      <c r="C300" s="2"/>
      <c r="D300" s="2"/>
      <c r="E300" s="3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4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1"/>
      <c r="C301" s="2"/>
      <c r="D301" s="2"/>
      <c r="E301" s="3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4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1"/>
      <c r="C302" s="2"/>
      <c r="D302" s="2"/>
      <c r="E302" s="3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4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1"/>
      <c r="C303" s="2"/>
      <c r="D303" s="2"/>
      <c r="E303" s="3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4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1"/>
      <c r="C304" s="2"/>
      <c r="D304" s="2"/>
      <c r="E304" s="3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4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1"/>
      <c r="C305" s="2"/>
      <c r="D305" s="2"/>
      <c r="E305" s="3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4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1"/>
      <c r="C306" s="2"/>
      <c r="D306" s="2"/>
      <c r="E306" s="3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4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1"/>
      <c r="C307" s="2"/>
      <c r="D307" s="2"/>
      <c r="E307" s="3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4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1"/>
      <c r="C308" s="2"/>
      <c r="D308" s="2"/>
      <c r="E308" s="3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4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1"/>
      <c r="C309" s="2"/>
      <c r="D309" s="2"/>
      <c r="E309" s="3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4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1"/>
      <c r="C310" s="2"/>
      <c r="D310" s="2"/>
      <c r="E310" s="3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4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1"/>
      <c r="C311" s="2"/>
      <c r="D311" s="2"/>
      <c r="E311" s="3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4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1"/>
      <c r="C312" s="2"/>
      <c r="D312" s="2"/>
      <c r="E312" s="3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4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1"/>
      <c r="C313" s="2"/>
      <c r="D313" s="2"/>
      <c r="E313" s="3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4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1"/>
      <c r="C314" s="2"/>
      <c r="D314" s="2"/>
      <c r="E314" s="3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4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1"/>
      <c r="C315" s="2"/>
      <c r="D315" s="2"/>
      <c r="E315" s="3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4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1"/>
      <c r="C316" s="2"/>
      <c r="D316" s="2"/>
      <c r="E316" s="3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4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1"/>
      <c r="C317" s="2"/>
      <c r="D317" s="2"/>
      <c r="E317" s="3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4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1"/>
      <c r="C318" s="2"/>
      <c r="D318" s="2"/>
      <c r="E318" s="3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4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1"/>
      <c r="C319" s="2"/>
      <c r="D319" s="2"/>
      <c r="E319" s="3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4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1"/>
      <c r="C320" s="2"/>
      <c r="D320" s="2"/>
      <c r="E320" s="3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4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1"/>
      <c r="C321" s="2"/>
      <c r="D321" s="2"/>
      <c r="E321" s="3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4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1"/>
      <c r="C322" s="2"/>
      <c r="D322" s="2"/>
      <c r="E322" s="3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4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1"/>
      <c r="C323" s="2"/>
      <c r="D323" s="2"/>
      <c r="E323" s="3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4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1"/>
      <c r="C324" s="2"/>
      <c r="D324" s="2"/>
      <c r="E324" s="3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4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1"/>
      <c r="C325" s="2"/>
      <c r="D325" s="2"/>
      <c r="E325" s="3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4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1"/>
      <c r="C326" s="2"/>
      <c r="D326" s="2"/>
      <c r="E326" s="3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4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1"/>
      <c r="C327" s="2"/>
      <c r="D327" s="2"/>
      <c r="E327" s="3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4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1"/>
      <c r="C328" s="2"/>
      <c r="D328" s="2"/>
      <c r="E328" s="3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4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1"/>
      <c r="C329" s="2"/>
      <c r="D329" s="2"/>
      <c r="E329" s="3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4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1"/>
      <c r="C330" s="2"/>
      <c r="D330" s="2"/>
      <c r="E330" s="3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4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1"/>
      <c r="C331" s="2"/>
      <c r="D331" s="2"/>
      <c r="E331" s="3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4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1"/>
      <c r="C332" s="2"/>
      <c r="D332" s="2"/>
      <c r="E332" s="3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4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1"/>
      <c r="C333" s="2"/>
      <c r="D333" s="2"/>
      <c r="E333" s="3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4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1"/>
      <c r="C334" s="2"/>
      <c r="D334" s="2"/>
      <c r="E334" s="3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4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1"/>
      <c r="C335" s="2"/>
      <c r="D335" s="2"/>
      <c r="E335" s="3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4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1"/>
      <c r="C336" s="2"/>
      <c r="D336" s="2"/>
      <c r="E336" s="3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4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1"/>
      <c r="C337" s="2"/>
      <c r="D337" s="2"/>
      <c r="E337" s="3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4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1"/>
      <c r="C338" s="2"/>
      <c r="D338" s="2"/>
      <c r="E338" s="3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4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1"/>
      <c r="C339" s="2"/>
      <c r="D339" s="2"/>
      <c r="E339" s="3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4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1"/>
      <c r="C340" s="2"/>
      <c r="D340" s="2"/>
      <c r="E340" s="3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4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1"/>
      <c r="C341" s="2"/>
      <c r="D341" s="2"/>
      <c r="E341" s="3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4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1"/>
      <c r="C342" s="2"/>
      <c r="D342" s="2"/>
      <c r="E342" s="3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4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1"/>
      <c r="C343" s="2"/>
      <c r="D343" s="2"/>
      <c r="E343" s="3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4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1"/>
      <c r="C344" s="2"/>
      <c r="D344" s="2"/>
      <c r="E344" s="3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4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1"/>
      <c r="C345" s="2"/>
      <c r="D345" s="2"/>
      <c r="E345" s="3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4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1"/>
      <c r="C346" s="2"/>
      <c r="D346" s="2"/>
      <c r="E346" s="3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4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1"/>
      <c r="C347" s="2"/>
      <c r="D347" s="2"/>
      <c r="E347" s="3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4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1"/>
      <c r="C348" s="2"/>
      <c r="D348" s="2"/>
      <c r="E348" s="3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4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1"/>
      <c r="C349" s="2"/>
      <c r="D349" s="2"/>
      <c r="E349" s="3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4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1"/>
      <c r="C350" s="2"/>
      <c r="D350" s="2"/>
      <c r="E350" s="3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4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1"/>
      <c r="C351" s="2"/>
      <c r="D351" s="2"/>
      <c r="E351" s="3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4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1"/>
      <c r="C352" s="2"/>
      <c r="D352" s="2"/>
      <c r="E352" s="3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4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1"/>
      <c r="C353" s="2"/>
      <c r="D353" s="2"/>
      <c r="E353" s="3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4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1"/>
      <c r="C354" s="2"/>
      <c r="D354" s="2"/>
      <c r="E354" s="3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4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1"/>
      <c r="C355" s="2"/>
      <c r="D355" s="2"/>
      <c r="E355" s="3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4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1"/>
      <c r="C356" s="2"/>
      <c r="D356" s="2"/>
      <c r="E356" s="3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4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1"/>
      <c r="C357" s="2"/>
      <c r="D357" s="2"/>
      <c r="E357" s="3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4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1"/>
      <c r="C358" s="2"/>
      <c r="D358" s="2"/>
      <c r="E358" s="3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4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1"/>
      <c r="C359" s="2"/>
      <c r="D359" s="2"/>
      <c r="E359" s="3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4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1"/>
      <c r="C360" s="2"/>
      <c r="D360" s="2"/>
      <c r="E360" s="3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4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1"/>
      <c r="C361" s="2"/>
      <c r="D361" s="2"/>
      <c r="E361" s="3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4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1"/>
      <c r="C362" s="2"/>
      <c r="D362" s="2"/>
      <c r="E362" s="3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4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1"/>
      <c r="C363" s="2"/>
      <c r="D363" s="2"/>
      <c r="E363" s="3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4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1"/>
      <c r="C364" s="2"/>
      <c r="D364" s="2"/>
      <c r="E364" s="3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4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1"/>
      <c r="C365" s="2"/>
      <c r="D365" s="2"/>
      <c r="E365" s="3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4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1"/>
      <c r="C366" s="2"/>
      <c r="D366" s="2"/>
      <c r="E366" s="3"/>
      <c r="F366" s="2"/>
      <c r="G366" s="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4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1"/>
      <c r="C367" s="2"/>
      <c r="D367" s="2"/>
      <c r="E367" s="3"/>
      <c r="F367" s="2"/>
      <c r="G367" s="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4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1"/>
      <c r="C368" s="2"/>
      <c r="D368" s="2"/>
      <c r="E368" s="3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4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1"/>
      <c r="C369" s="2"/>
      <c r="D369" s="2"/>
      <c r="E369" s="3"/>
      <c r="F369" s="2"/>
      <c r="G369" s="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4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1"/>
      <c r="C370" s="2"/>
      <c r="D370" s="2"/>
      <c r="E370" s="3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4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1"/>
      <c r="C371" s="2"/>
      <c r="D371" s="2"/>
      <c r="E371" s="3"/>
      <c r="F371" s="2"/>
      <c r="G371" s="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4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1"/>
      <c r="C372" s="2"/>
      <c r="D372" s="2"/>
      <c r="E372" s="3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4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1"/>
      <c r="C373" s="2"/>
      <c r="D373" s="2"/>
      <c r="E373" s="3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4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1"/>
      <c r="C374" s="2"/>
      <c r="D374" s="2"/>
      <c r="E374" s="3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4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1"/>
      <c r="C375" s="2"/>
      <c r="D375" s="2"/>
      <c r="E375" s="3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4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1"/>
      <c r="C376" s="2"/>
      <c r="D376" s="2"/>
      <c r="E376" s="3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4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1"/>
      <c r="C377" s="2"/>
      <c r="D377" s="2"/>
      <c r="E377" s="3"/>
      <c r="F377" s="2"/>
      <c r="G377" s="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4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1"/>
      <c r="C378" s="2"/>
      <c r="D378" s="2"/>
      <c r="E378" s="3"/>
      <c r="F378" s="2"/>
      <c r="G378" s="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4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1"/>
      <c r="C379" s="2"/>
      <c r="D379" s="2"/>
      <c r="E379" s="3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4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1"/>
      <c r="C380" s="2"/>
      <c r="D380" s="2"/>
      <c r="E380" s="3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4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1"/>
      <c r="C381" s="2"/>
      <c r="D381" s="2"/>
      <c r="E381" s="3"/>
      <c r="F381" s="2"/>
      <c r="G381" s="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4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1"/>
      <c r="C382" s="2"/>
      <c r="D382" s="2"/>
      <c r="E382" s="3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4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1"/>
      <c r="C383" s="2"/>
      <c r="D383" s="2"/>
      <c r="E383" s="3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4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1"/>
      <c r="C384" s="2"/>
      <c r="D384" s="2"/>
      <c r="E384" s="3"/>
      <c r="F384" s="2"/>
      <c r="G384" s="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4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1"/>
      <c r="C385" s="2"/>
      <c r="D385" s="2"/>
      <c r="E385" s="3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4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1"/>
      <c r="C386" s="2"/>
      <c r="D386" s="2"/>
      <c r="E386" s="3"/>
      <c r="F386" s="2"/>
      <c r="G386" s="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4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1"/>
      <c r="C387" s="2"/>
      <c r="D387" s="2"/>
      <c r="E387" s="3"/>
      <c r="F387" s="2"/>
      <c r="G387" s="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4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1"/>
      <c r="C388" s="2"/>
      <c r="D388" s="2"/>
      <c r="E388" s="3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4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1"/>
      <c r="C389" s="2"/>
      <c r="D389" s="2"/>
      <c r="E389" s="3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4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1"/>
      <c r="C390" s="2"/>
      <c r="D390" s="2"/>
      <c r="E390" s="3"/>
      <c r="F390" s="2"/>
      <c r="G390" s="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4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1"/>
      <c r="C391" s="2"/>
      <c r="D391" s="2"/>
      <c r="E391" s="3"/>
      <c r="F391" s="2"/>
      <c r="G391" s="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4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1"/>
      <c r="C392" s="2"/>
      <c r="D392" s="2"/>
      <c r="E392" s="3"/>
      <c r="F392" s="2"/>
      <c r="G392" s="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4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1"/>
      <c r="C393" s="2"/>
      <c r="D393" s="2"/>
      <c r="E393" s="3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4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1"/>
      <c r="C394" s="2"/>
      <c r="D394" s="2"/>
      <c r="E394" s="3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4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1"/>
      <c r="C395" s="2"/>
      <c r="D395" s="2"/>
      <c r="E395" s="3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4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1"/>
      <c r="C396" s="2"/>
      <c r="D396" s="2"/>
      <c r="E396" s="3"/>
      <c r="F396" s="2"/>
      <c r="G396" s="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4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1"/>
      <c r="C397" s="2"/>
      <c r="D397" s="2"/>
      <c r="E397" s="3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4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1"/>
      <c r="C398" s="2"/>
      <c r="D398" s="2"/>
      <c r="E398" s="3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4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1"/>
      <c r="C399" s="2"/>
      <c r="D399" s="2"/>
      <c r="E399" s="3"/>
      <c r="F399" s="2"/>
      <c r="G399" s="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4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1"/>
      <c r="C400" s="2"/>
      <c r="D400" s="2"/>
      <c r="E400" s="3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4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1"/>
      <c r="C401" s="2"/>
      <c r="D401" s="2"/>
      <c r="E401" s="3"/>
      <c r="F401" s="2"/>
      <c r="G401" s="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4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1"/>
      <c r="C402" s="2"/>
      <c r="D402" s="2"/>
      <c r="E402" s="3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4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1"/>
      <c r="C403" s="2"/>
      <c r="D403" s="2"/>
      <c r="E403" s="3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4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1"/>
      <c r="C404" s="2"/>
      <c r="D404" s="2"/>
      <c r="E404" s="3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4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1"/>
      <c r="C405" s="2"/>
      <c r="D405" s="2"/>
      <c r="E405" s="3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4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1"/>
      <c r="C406" s="2"/>
      <c r="D406" s="2"/>
      <c r="E406" s="3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4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1"/>
      <c r="C407" s="2"/>
      <c r="D407" s="2"/>
      <c r="E407" s="3"/>
      <c r="F407" s="2"/>
      <c r="G407" s="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4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1"/>
      <c r="C408" s="2"/>
      <c r="D408" s="2"/>
      <c r="E408" s="3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4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1"/>
      <c r="C409" s="2"/>
      <c r="D409" s="2"/>
      <c r="E409" s="3"/>
      <c r="F409" s="2"/>
      <c r="G409" s="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4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1"/>
      <c r="C410" s="2"/>
      <c r="D410" s="2"/>
      <c r="E410" s="3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4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1"/>
      <c r="C411" s="2"/>
      <c r="D411" s="2"/>
      <c r="E411" s="3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4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1"/>
      <c r="C412" s="2"/>
      <c r="D412" s="2"/>
      <c r="E412" s="3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4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1"/>
      <c r="C413" s="2"/>
      <c r="D413" s="2"/>
      <c r="E413" s="3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4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1"/>
      <c r="C414" s="2"/>
      <c r="D414" s="2"/>
      <c r="E414" s="3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4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1"/>
      <c r="C415" s="2"/>
      <c r="D415" s="2"/>
      <c r="E415" s="3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4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1"/>
      <c r="C416" s="2"/>
      <c r="D416" s="2"/>
      <c r="E416" s="3"/>
      <c r="F416" s="2"/>
      <c r="G416" s="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4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1"/>
      <c r="C417" s="2"/>
      <c r="D417" s="2"/>
      <c r="E417" s="3"/>
      <c r="F417" s="2"/>
      <c r="G417" s="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4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1"/>
      <c r="C418" s="2"/>
      <c r="D418" s="2"/>
      <c r="E418" s="3"/>
      <c r="F418" s="2"/>
      <c r="G418" s="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4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1"/>
      <c r="C419" s="2"/>
      <c r="D419" s="2"/>
      <c r="E419" s="3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4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1"/>
      <c r="C420" s="2"/>
      <c r="D420" s="2"/>
      <c r="E420" s="3"/>
      <c r="F420" s="2"/>
      <c r="G420" s="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4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1"/>
      <c r="C421" s="2"/>
      <c r="D421" s="2"/>
      <c r="E421" s="3"/>
      <c r="F421" s="2"/>
      <c r="G421" s="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4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1"/>
      <c r="C422" s="2"/>
      <c r="D422" s="2"/>
      <c r="E422" s="3"/>
      <c r="F422" s="2"/>
      <c r="G422" s="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4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1"/>
      <c r="C423" s="2"/>
      <c r="D423" s="2"/>
      <c r="E423" s="3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4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1"/>
      <c r="C424" s="2"/>
      <c r="D424" s="2"/>
      <c r="E424" s="3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4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1"/>
      <c r="C425" s="2"/>
      <c r="D425" s="2"/>
      <c r="E425" s="3"/>
      <c r="F425" s="2"/>
      <c r="G425" s="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4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1"/>
      <c r="C426" s="2"/>
      <c r="D426" s="2"/>
      <c r="E426" s="3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4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1"/>
      <c r="C427" s="2"/>
      <c r="D427" s="2"/>
      <c r="E427" s="3"/>
      <c r="F427" s="2"/>
      <c r="G427" s="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4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1"/>
      <c r="C428" s="2"/>
      <c r="D428" s="2"/>
      <c r="E428" s="3"/>
      <c r="F428" s="2"/>
      <c r="G428" s="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4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1"/>
      <c r="C429" s="2"/>
      <c r="D429" s="2"/>
      <c r="E429" s="3"/>
      <c r="F429" s="2"/>
      <c r="G429" s="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4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1"/>
      <c r="C430" s="2"/>
      <c r="D430" s="2"/>
      <c r="E430" s="3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4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1"/>
      <c r="C431" s="2"/>
      <c r="D431" s="2"/>
      <c r="E431" s="3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4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1"/>
      <c r="C432" s="2"/>
      <c r="D432" s="2"/>
      <c r="E432" s="3"/>
      <c r="F432" s="2"/>
      <c r="G432" s="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4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1"/>
      <c r="C433" s="2"/>
      <c r="D433" s="2"/>
      <c r="E433" s="3"/>
      <c r="F433" s="2"/>
      <c r="G433" s="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4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1"/>
      <c r="C434" s="2"/>
      <c r="D434" s="2"/>
      <c r="E434" s="3"/>
      <c r="F434" s="2"/>
      <c r="G434" s="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4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1"/>
      <c r="C435" s="2"/>
      <c r="D435" s="2"/>
      <c r="E435" s="3"/>
      <c r="F435" s="2"/>
      <c r="G435" s="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4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1"/>
      <c r="C436" s="2"/>
      <c r="D436" s="2"/>
      <c r="E436" s="3"/>
      <c r="F436" s="2"/>
      <c r="G436" s="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4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1"/>
      <c r="C437" s="2"/>
      <c r="D437" s="2"/>
      <c r="E437" s="3"/>
      <c r="F437" s="2"/>
      <c r="G437" s="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4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1"/>
      <c r="C438" s="2"/>
      <c r="D438" s="2"/>
      <c r="E438" s="3"/>
      <c r="F438" s="2"/>
      <c r="G438" s="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4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1"/>
      <c r="C439" s="2"/>
      <c r="D439" s="2"/>
      <c r="E439" s="3"/>
      <c r="F439" s="2"/>
      <c r="G439" s="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4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1"/>
      <c r="C440" s="2"/>
      <c r="D440" s="2"/>
      <c r="E440" s="3"/>
      <c r="F440" s="2"/>
      <c r="G440" s="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4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1"/>
      <c r="C441" s="2"/>
      <c r="D441" s="2"/>
      <c r="E441" s="3"/>
      <c r="F441" s="2"/>
      <c r="G441" s="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4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1"/>
      <c r="C442" s="2"/>
      <c r="D442" s="2"/>
      <c r="E442" s="3"/>
      <c r="F442" s="2"/>
      <c r="G442" s="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4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1"/>
      <c r="C443" s="2"/>
      <c r="D443" s="2"/>
      <c r="E443" s="3"/>
      <c r="F443" s="2"/>
      <c r="G443" s="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4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1"/>
      <c r="C444" s="2"/>
      <c r="D444" s="2"/>
      <c r="E444" s="3"/>
      <c r="F444" s="2"/>
      <c r="G444" s="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4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1"/>
      <c r="C445" s="2"/>
      <c r="D445" s="2"/>
      <c r="E445" s="3"/>
      <c r="F445" s="2"/>
      <c r="G445" s="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4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1"/>
      <c r="C446" s="2"/>
      <c r="D446" s="2"/>
      <c r="E446" s="3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4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1"/>
      <c r="C447" s="2"/>
      <c r="D447" s="2"/>
      <c r="E447" s="3"/>
      <c r="F447" s="2"/>
      <c r="G447" s="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4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1"/>
      <c r="C448" s="2"/>
      <c r="D448" s="2"/>
      <c r="E448" s="3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4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1"/>
      <c r="C449" s="2"/>
      <c r="D449" s="2"/>
      <c r="E449" s="3"/>
      <c r="F449" s="2"/>
      <c r="G449" s="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4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1"/>
      <c r="C450" s="2"/>
      <c r="D450" s="2"/>
      <c r="E450" s="3"/>
      <c r="F450" s="2"/>
      <c r="G450" s="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4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1"/>
      <c r="C451" s="2"/>
      <c r="D451" s="2"/>
      <c r="E451" s="3"/>
      <c r="F451" s="2"/>
      <c r="G451" s="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4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1"/>
      <c r="C452" s="2"/>
      <c r="D452" s="2"/>
      <c r="E452" s="3"/>
      <c r="F452" s="2"/>
      <c r="G452" s="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4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1"/>
      <c r="C453" s="2"/>
      <c r="D453" s="2"/>
      <c r="E453" s="3"/>
      <c r="F453" s="2"/>
      <c r="G453" s="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4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1"/>
      <c r="C454" s="2"/>
      <c r="D454" s="2"/>
      <c r="E454" s="3"/>
      <c r="F454" s="2"/>
      <c r="G454" s="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4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1"/>
      <c r="C455" s="2"/>
      <c r="D455" s="2"/>
      <c r="E455" s="3"/>
      <c r="F455" s="2"/>
      <c r="G455" s="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4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1"/>
      <c r="C456" s="2"/>
      <c r="D456" s="2"/>
      <c r="E456" s="3"/>
      <c r="F456" s="2"/>
      <c r="G456" s="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4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1"/>
      <c r="C457" s="2"/>
      <c r="D457" s="2"/>
      <c r="E457" s="3"/>
      <c r="F457" s="2"/>
      <c r="G457" s="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4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1"/>
      <c r="C458" s="2"/>
      <c r="D458" s="2"/>
      <c r="E458" s="3"/>
      <c r="F458" s="2"/>
      <c r="G458" s="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4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1"/>
      <c r="C459" s="2"/>
      <c r="D459" s="2"/>
      <c r="E459" s="3"/>
      <c r="F459" s="2"/>
      <c r="G459" s="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4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1"/>
      <c r="C460" s="2"/>
      <c r="D460" s="2"/>
      <c r="E460" s="3"/>
      <c r="F460" s="2"/>
      <c r="G460" s="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4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1"/>
      <c r="C461" s="2"/>
      <c r="D461" s="2"/>
      <c r="E461" s="3"/>
      <c r="F461" s="2"/>
      <c r="G461" s="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4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1"/>
      <c r="C462" s="2"/>
      <c r="D462" s="2"/>
      <c r="E462" s="3"/>
      <c r="F462" s="2"/>
      <c r="G462" s="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4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1"/>
      <c r="C463" s="2"/>
      <c r="D463" s="2"/>
      <c r="E463" s="3"/>
      <c r="F463" s="2"/>
      <c r="G463" s="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4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1"/>
      <c r="C464" s="2"/>
      <c r="D464" s="2"/>
      <c r="E464" s="3"/>
      <c r="F464" s="2"/>
      <c r="G464" s="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4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1"/>
      <c r="C465" s="2"/>
      <c r="D465" s="2"/>
      <c r="E465" s="3"/>
      <c r="F465" s="2"/>
      <c r="G465" s="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4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1"/>
      <c r="C466" s="2"/>
      <c r="D466" s="2"/>
      <c r="E466" s="3"/>
      <c r="F466" s="2"/>
      <c r="G466" s="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4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1"/>
      <c r="C467" s="2"/>
      <c r="D467" s="2"/>
      <c r="E467" s="3"/>
      <c r="F467" s="2"/>
      <c r="G467" s="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4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1"/>
      <c r="C468" s="2"/>
      <c r="D468" s="2"/>
      <c r="E468" s="3"/>
      <c r="F468" s="2"/>
      <c r="G468" s="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4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1"/>
      <c r="C469" s="2"/>
      <c r="D469" s="2"/>
      <c r="E469" s="3"/>
      <c r="F469" s="2"/>
      <c r="G469" s="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4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1"/>
      <c r="C470" s="2"/>
      <c r="D470" s="2"/>
      <c r="E470" s="3"/>
      <c r="F470" s="2"/>
      <c r="G470" s="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4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1"/>
      <c r="C471" s="2"/>
      <c r="D471" s="2"/>
      <c r="E471" s="3"/>
      <c r="F471" s="2"/>
      <c r="G471" s="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4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1"/>
      <c r="C472" s="2"/>
      <c r="D472" s="2"/>
      <c r="E472" s="3"/>
      <c r="F472" s="2"/>
      <c r="G472" s="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4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1"/>
      <c r="C473" s="2"/>
      <c r="D473" s="2"/>
      <c r="E473" s="3"/>
      <c r="F473" s="2"/>
      <c r="G473" s="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4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1"/>
      <c r="C474" s="2"/>
      <c r="D474" s="2"/>
      <c r="E474" s="3"/>
      <c r="F474" s="2"/>
      <c r="G474" s="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4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1"/>
      <c r="C475" s="2"/>
      <c r="D475" s="2"/>
      <c r="E475" s="3"/>
      <c r="F475" s="2"/>
      <c r="G475" s="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4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1"/>
      <c r="C476" s="2"/>
      <c r="D476" s="2"/>
      <c r="E476" s="3"/>
      <c r="F476" s="2"/>
      <c r="G476" s="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4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1"/>
      <c r="C477" s="2"/>
      <c r="D477" s="2"/>
      <c r="E477" s="3"/>
      <c r="F477" s="2"/>
      <c r="G477" s="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4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1"/>
      <c r="C478" s="2"/>
      <c r="D478" s="2"/>
      <c r="E478" s="3"/>
      <c r="F478" s="2"/>
      <c r="G478" s="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4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1"/>
      <c r="C479" s="2"/>
      <c r="D479" s="2"/>
      <c r="E479" s="3"/>
      <c r="F479" s="2"/>
      <c r="G479" s="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4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1"/>
      <c r="C480" s="2"/>
      <c r="D480" s="2"/>
      <c r="E480" s="3"/>
      <c r="F480" s="2"/>
      <c r="G480" s="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4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1"/>
      <c r="C481" s="2"/>
      <c r="D481" s="2"/>
      <c r="E481" s="3"/>
      <c r="F481" s="2"/>
      <c r="G481" s="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4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1"/>
      <c r="C482" s="2"/>
      <c r="D482" s="2"/>
      <c r="E482" s="3"/>
      <c r="F482" s="2"/>
      <c r="G482" s="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4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1"/>
      <c r="C483" s="2"/>
      <c r="D483" s="2"/>
      <c r="E483" s="3"/>
      <c r="F483" s="2"/>
      <c r="G483" s="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4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1"/>
      <c r="C484" s="2"/>
      <c r="D484" s="2"/>
      <c r="E484" s="3"/>
      <c r="F484" s="2"/>
      <c r="G484" s="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4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1"/>
      <c r="C485" s="2"/>
      <c r="D485" s="2"/>
      <c r="E485" s="3"/>
      <c r="F485" s="2"/>
      <c r="G485" s="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4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1"/>
      <c r="C486" s="2"/>
      <c r="D486" s="2"/>
      <c r="E486" s="3"/>
      <c r="F486" s="2"/>
      <c r="G486" s="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4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1"/>
      <c r="C487" s="2"/>
      <c r="D487" s="2"/>
      <c r="E487" s="3"/>
      <c r="F487" s="2"/>
      <c r="G487" s="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4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1"/>
      <c r="C488" s="2"/>
      <c r="D488" s="2"/>
      <c r="E488" s="3"/>
      <c r="F488" s="2"/>
      <c r="G488" s="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4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1"/>
      <c r="C489" s="2"/>
      <c r="D489" s="2"/>
      <c r="E489" s="3"/>
      <c r="F489" s="2"/>
      <c r="G489" s="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4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1"/>
      <c r="C490" s="2"/>
      <c r="D490" s="2"/>
      <c r="E490" s="3"/>
      <c r="F490" s="2"/>
      <c r="G490" s="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4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1"/>
      <c r="C491" s="2"/>
      <c r="D491" s="2"/>
      <c r="E491" s="3"/>
      <c r="F491" s="2"/>
      <c r="G491" s="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4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1"/>
      <c r="C492" s="2"/>
      <c r="D492" s="2"/>
      <c r="E492" s="3"/>
      <c r="F492" s="2"/>
      <c r="G492" s="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4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1"/>
      <c r="C493" s="2"/>
      <c r="D493" s="2"/>
      <c r="E493" s="3"/>
      <c r="F493" s="2"/>
      <c r="G493" s="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4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1"/>
      <c r="C494" s="2"/>
      <c r="D494" s="2"/>
      <c r="E494" s="3"/>
      <c r="F494" s="2"/>
      <c r="G494" s="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4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1"/>
      <c r="C495" s="2"/>
      <c r="D495" s="2"/>
      <c r="E495" s="3"/>
      <c r="F495" s="2"/>
      <c r="G495" s="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4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1"/>
      <c r="C496" s="2"/>
      <c r="D496" s="2"/>
      <c r="E496" s="3"/>
      <c r="F496" s="2"/>
      <c r="G496" s="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4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1"/>
      <c r="C497" s="2"/>
      <c r="D497" s="2"/>
      <c r="E497" s="3"/>
      <c r="F497" s="2"/>
      <c r="G497" s="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4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1"/>
      <c r="C498" s="2"/>
      <c r="D498" s="2"/>
      <c r="E498" s="3"/>
      <c r="F498" s="2"/>
      <c r="G498" s="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4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1"/>
      <c r="C499" s="2"/>
      <c r="D499" s="2"/>
      <c r="E499" s="3"/>
      <c r="F499" s="2"/>
      <c r="G499" s="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4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1"/>
      <c r="C500" s="2"/>
      <c r="D500" s="2"/>
      <c r="E500" s="3"/>
      <c r="F500" s="2"/>
      <c r="G500" s="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4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1"/>
      <c r="C501" s="2"/>
      <c r="D501" s="2"/>
      <c r="E501" s="3"/>
      <c r="F501" s="2"/>
      <c r="G501" s="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4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1"/>
      <c r="C502" s="2"/>
      <c r="D502" s="2"/>
      <c r="E502" s="3"/>
      <c r="F502" s="2"/>
      <c r="G502" s="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4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1"/>
      <c r="C503" s="2"/>
      <c r="D503" s="2"/>
      <c r="E503" s="3"/>
      <c r="F503" s="2"/>
      <c r="G503" s="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4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1"/>
      <c r="C504" s="2"/>
      <c r="D504" s="2"/>
      <c r="E504" s="3"/>
      <c r="F504" s="2"/>
      <c r="G504" s="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4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1"/>
      <c r="C505" s="2"/>
      <c r="D505" s="2"/>
      <c r="E505" s="3"/>
      <c r="F505" s="2"/>
      <c r="G505" s="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4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1"/>
      <c r="C506" s="2"/>
      <c r="D506" s="2"/>
      <c r="E506" s="3"/>
      <c r="F506" s="2"/>
      <c r="G506" s="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4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1"/>
      <c r="C507" s="2"/>
      <c r="D507" s="2"/>
      <c r="E507" s="3"/>
      <c r="F507" s="2"/>
      <c r="G507" s="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4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1"/>
      <c r="C508" s="2"/>
      <c r="D508" s="2"/>
      <c r="E508" s="3"/>
      <c r="F508" s="2"/>
      <c r="G508" s="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4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1"/>
      <c r="C509" s="2"/>
      <c r="D509" s="2"/>
      <c r="E509" s="3"/>
      <c r="F509" s="2"/>
      <c r="G509" s="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4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1"/>
      <c r="C510" s="2"/>
      <c r="D510" s="2"/>
      <c r="E510" s="3"/>
      <c r="F510" s="2"/>
      <c r="G510" s="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4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1"/>
      <c r="C511" s="2"/>
      <c r="D511" s="2"/>
      <c r="E511" s="3"/>
      <c r="F511" s="2"/>
      <c r="G511" s="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4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1"/>
      <c r="C512" s="2"/>
      <c r="D512" s="2"/>
      <c r="E512" s="3"/>
      <c r="F512" s="2"/>
      <c r="G512" s="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4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1"/>
      <c r="C513" s="2"/>
      <c r="D513" s="2"/>
      <c r="E513" s="3"/>
      <c r="F513" s="2"/>
      <c r="G513" s="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4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1"/>
      <c r="C514" s="2"/>
      <c r="D514" s="2"/>
      <c r="E514" s="3"/>
      <c r="F514" s="2"/>
      <c r="G514" s="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4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1"/>
      <c r="C515" s="2"/>
      <c r="D515" s="2"/>
      <c r="E515" s="3"/>
      <c r="F515" s="2"/>
      <c r="G515" s="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4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1"/>
      <c r="C516" s="2"/>
      <c r="D516" s="2"/>
      <c r="E516" s="3"/>
      <c r="F516" s="2"/>
      <c r="G516" s="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4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1"/>
      <c r="C517" s="2"/>
      <c r="D517" s="2"/>
      <c r="E517" s="3"/>
      <c r="F517" s="2"/>
      <c r="G517" s="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4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1"/>
      <c r="C518" s="2"/>
      <c r="D518" s="2"/>
      <c r="E518" s="3"/>
      <c r="F518" s="2"/>
      <c r="G518" s="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4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1"/>
      <c r="C519" s="2"/>
      <c r="D519" s="2"/>
      <c r="E519" s="3"/>
      <c r="F519" s="2"/>
      <c r="G519" s="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4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1"/>
      <c r="C520" s="2"/>
      <c r="D520" s="2"/>
      <c r="E520" s="3"/>
      <c r="F520" s="2"/>
      <c r="G520" s="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4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1"/>
      <c r="C521" s="2"/>
      <c r="D521" s="2"/>
      <c r="E521" s="3"/>
      <c r="F521" s="2"/>
      <c r="G521" s="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4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1"/>
      <c r="C522" s="2"/>
      <c r="D522" s="2"/>
      <c r="E522" s="3"/>
      <c r="F522" s="2"/>
      <c r="G522" s="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4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1"/>
      <c r="C523" s="2"/>
      <c r="D523" s="2"/>
      <c r="E523" s="3"/>
      <c r="F523" s="2"/>
      <c r="G523" s="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4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1"/>
      <c r="C524" s="2"/>
      <c r="D524" s="2"/>
      <c r="E524" s="3"/>
      <c r="F524" s="2"/>
      <c r="G524" s="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4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1"/>
      <c r="C525" s="2"/>
      <c r="D525" s="2"/>
      <c r="E525" s="3"/>
      <c r="F525" s="2"/>
      <c r="G525" s="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4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1"/>
      <c r="C526" s="2"/>
      <c r="D526" s="2"/>
      <c r="E526" s="3"/>
      <c r="F526" s="2"/>
      <c r="G526" s="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4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1"/>
      <c r="C527" s="2"/>
      <c r="D527" s="2"/>
      <c r="E527" s="3"/>
      <c r="F527" s="2"/>
      <c r="G527" s="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4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1"/>
      <c r="C528" s="2"/>
      <c r="D528" s="2"/>
      <c r="E528" s="3"/>
      <c r="F528" s="2"/>
      <c r="G528" s="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4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1"/>
      <c r="C529" s="2"/>
      <c r="D529" s="2"/>
      <c r="E529" s="3"/>
      <c r="F529" s="2"/>
      <c r="G529" s="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4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1"/>
      <c r="C530" s="2"/>
      <c r="D530" s="2"/>
      <c r="E530" s="3"/>
      <c r="F530" s="2"/>
      <c r="G530" s="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4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1"/>
      <c r="C531" s="2"/>
      <c r="D531" s="2"/>
      <c r="E531" s="3"/>
      <c r="F531" s="2"/>
      <c r="G531" s="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4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1"/>
      <c r="C532" s="2"/>
      <c r="D532" s="2"/>
      <c r="E532" s="3"/>
      <c r="F532" s="2"/>
      <c r="G532" s="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4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1"/>
      <c r="C533" s="2"/>
      <c r="D533" s="2"/>
      <c r="E533" s="3"/>
      <c r="F533" s="2"/>
      <c r="G533" s="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4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1"/>
      <c r="C534" s="2"/>
      <c r="D534" s="2"/>
      <c r="E534" s="3"/>
      <c r="F534" s="2"/>
      <c r="G534" s="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4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1"/>
      <c r="C535" s="2"/>
      <c r="D535" s="2"/>
      <c r="E535" s="3"/>
      <c r="F535" s="2"/>
      <c r="G535" s="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4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1"/>
      <c r="C536" s="2"/>
      <c r="D536" s="2"/>
      <c r="E536" s="3"/>
      <c r="F536" s="2"/>
      <c r="G536" s="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4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1"/>
      <c r="C537" s="2"/>
      <c r="D537" s="2"/>
      <c r="E537" s="3"/>
      <c r="F537" s="2"/>
      <c r="G537" s="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4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1"/>
      <c r="C538" s="2"/>
      <c r="D538" s="2"/>
      <c r="E538" s="3"/>
      <c r="F538" s="2"/>
      <c r="G538" s="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4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1"/>
      <c r="C539" s="2"/>
      <c r="D539" s="2"/>
      <c r="E539" s="3"/>
      <c r="F539" s="2"/>
      <c r="G539" s="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4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1"/>
      <c r="C540" s="2"/>
      <c r="D540" s="2"/>
      <c r="E540" s="3"/>
      <c r="F540" s="2"/>
      <c r="G540" s="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4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1"/>
      <c r="C541" s="2"/>
      <c r="D541" s="2"/>
      <c r="E541" s="3"/>
      <c r="F541" s="2"/>
      <c r="G541" s="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4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1"/>
      <c r="C542" s="2"/>
      <c r="D542" s="2"/>
      <c r="E542" s="3"/>
      <c r="F542" s="2"/>
      <c r="G542" s="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4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1"/>
      <c r="C543" s="2"/>
      <c r="D543" s="2"/>
      <c r="E543" s="3"/>
      <c r="F543" s="2"/>
      <c r="G543" s="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4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1"/>
      <c r="C544" s="2"/>
      <c r="D544" s="2"/>
      <c r="E544" s="3"/>
      <c r="F544" s="2"/>
      <c r="G544" s="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4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1"/>
      <c r="C545" s="2"/>
      <c r="D545" s="2"/>
      <c r="E545" s="3"/>
      <c r="F545" s="2"/>
      <c r="G545" s="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4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1"/>
      <c r="C546" s="2"/>
      <c r="D546" s="2"/>
      <c r="E546" s="3"/>
      <c r="F546" s="2"/>
      <c r="G546" s="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4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1"/>
      <c r="C547" s="2"/>
      <c r="D547" s="2"/>
      <c r="E547" s="3"/>
      <c r="F547" s="2"/>
      <c r="G547" s="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4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1"/>
      <c r="C548" s="2"/>
      <c r="D548" s="2"/>
      <c r="E548" s="3"/>
      <c r="F548" s="2"/>
      <c r="G548" s="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4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1"/>
      <c r="C549" s="2"/>
      <c r="D549" s="2"/>
      <c r="E549" s="3"/>
      <c r="F549" s="2"/>
      <c r="G549" s="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4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1"/>
      <c r="C550" s="2"/>
      <c r="D550" s="2"/>
      <c r="E550" s="3"/>
      <c r="F550" s="2"/>
      <c r="G550" s="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4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1"/>
      <c r="C551" s="2"/>
      <c r="D551" s="2"/>
      <c r="E551" s="3"/>
      <c r="F551" s="2"/>
      <c r="G551" s="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4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1"/>
      <c r="C552" s="2"/>
      <c r="D552" s="2"/>
      <c r="E552" s="3"/>
      <c r="F552" s="2"/>
      <c r="G552" s="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4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1"/>
      <c r="C553" s="2"/>
      <c r="D553" s="2"/>
      <c r="E553" s="3"/>
      <c r="F553" s="2"/>
      <c r="G553" s="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4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1"/>
      <c r="C554" s="2"/>
      <c r="D554" s="2"/>
      <c r="E554" s="3"/>
      <c r="F554" s="2"/>
      <c r="G554" s="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4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1"/>
      <c r="C555" s="2"/>
      <c r="D555" s="2"/>
      <c r="E555" s="3"/>
      <c r="F555" s="2"/>
      <c r="G555" s="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4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1"/>
      <c r="C556" s="2"/>
      <c r="D556" s="2"/>
      <c r="E556" s="3"/>
      <c r="F556" s="2"/>
      <c r="G556" s="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4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1"/>
      <c r="C557" s="2"/>
      <c r="D557" s="2"/>
      <c r="E557" s="3"/>
      <c r="F557" s="2"/>
      <c r="G557" s="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4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1"/>
      <c r="C558" s="2"/>
      <c r="D558" s="2"/>
      <c r="E558" s="3"/>
      <c r="F558" s="2"/>
      <c r="G558" s="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4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1"/>
      <c r="C559" s="2"/>
      <c r="D559" s="2"/>
      <c r="E559" s="3"/>
      <c r="F559" s="2"/>
      <c r="G559" s="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4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1"/>
      <c r="C560" s="2"/>
      <c r="D560" s="2"/>
      <c r="E560" s="3"/>
      <c r="F560" s="2"/>
      <c r="G560" s="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4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1"/>
      <c r="C561" s="2"/>
      <c r="D561" s="2"/>
      <c r="E561" s="3"/>
      <c r="F561" s="2"/>
      <c r="G561" s="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4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1"/>
      <c r="C562" s="2"/>
      <c r="D562" s="2"/>
      <c r="E562" s="3"/>
      <c r="F562" s="2"/>
      <c r="G562" s="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4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1"/>
      <c r="C563" s="2"/>
      <c r="D563" s="2"/>
      <c r="E563" s="3"/>
      <c r="F563" s="2"/>
      <c r="G563" s="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4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1"/>
      <c r="C564" s="2"/>
      <c r="D564" s="2"/>
      <c r="E564" s="3"/>
      <c r="F564" s="2"/>
      <c r="G564" s="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4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1"/>
      <c r="C565" s="2"/>
      <c r="D565" s="2"/>
      <c r="E565" s="3"/>
      <c r="F565" s="2"/>
      <c r="G565" s="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4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1"/>
      <c r="C566" s="2"/>
      <c r="D566" s="2"/>
      <c r="E566" s="3"/>
      <c r="F566" s="2"/>
      <c r="G566" s="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4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1"/>
      <c r="C567" s="2"/>
      <c r="D567" s="2"/>
      <c r="E567" s="3"/>
      <c r="F567" s="2"/>
      <c r="G567" s="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4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1"/>
      <c r="C568" s="2"/>
      <c r="D568" s="2"/>
      <c r="E568" s="3"/>
      <c r="F568" s="2"/>
      <c r="G568" s="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4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1"/>
      <c r="C569" s="2"/>
      <c r="D569" s="2"/>
      <c r="E569" s="3"/>
      <c r="F569" s="2"/>
      <c r="G569" s="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4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1"/>
      <c r="C570" s="2"/>
      <c r="D570" s="2"/>
      <c r="E570" s="3"/>
      <c r="F570" s="2"/>
      <c r="G570" s="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4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1"/>
      <c r="C571" s="2"/>
      <c r="D571" s="2"/>
      <c r="E571" s="3"/>
      <c r="F571" s="2"/>
      <c r="G571" s="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4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1"/>
      <c r="C572" s="2"/>
      <c r="D572" s="2"/>
      <c r="E572" s="3"/>
      <c r="F572" s="2"/>
      <c r="G572" s="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4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1"/>
      <c r="C573" s="2"/>
      <c r="D573" s="2"/>
      <c r="E573" s="3"/>
      <c r="F573" s="2"/>
      <c r="G573" s="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4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1"/>
      <c r="C574" s="2"/>
      <c r="D574" s="2"/>
      <c r="E574" s="3"/>
      <c r="F574" s="2"/>
      <c r="G574" s="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4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1"/>
      <c r="C575" s="2"/>
      <c r="D575" s="2"/>
      <c r="E575" s="3"/>
      <c r="F575" s="2"/>
      <c r="G575" s="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4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1"/>
      <c r="C576" s="2"/>
      <c r="D576" s="2"/>
      <c r="E576" s="3"/>
      <c r="F576" s="2"/>
      <c r="G576" s="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4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1"/>
      <c r="C577" s="2"/>
      <c r="D577" s="2"/>
      <c r="E577" s="3"/>
      <c r="F577" s="2"/>
      <c r="G577" s="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4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1"/>
      <c r="C578" s="2"/>
      <c r="D578" s="2"/>
      <c r="E578" s="3"/>
      <c r="F578" s="2"/>
      <c r="G578" s="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4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1"/>
      <c r="C579" s="2"/>
      <c r="D579" s="2"/>
      <c r="E579" s="3"/>
      <c r="F579" s="2"/>
      <c r="G579" s="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4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1"/>
      <c r="C580" s="2"/>
      <c r="D580" s="2"/>
      <c r="E580" s="3"/>
      <c r="F580" s="2"/>
      <c r="G580" s="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4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1"/>
      <c r="C581" s="2"/>
      <c r="D581" s="2"/>
      <c r="E581" s="3"/>
      <c r="F581" s="2"/>
      <c r="G581" s="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4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1"/>
      <c r="C582" s="2"/>
      <c r="D582" s="2"/>
      <c r="E582" s="3"/>
      <c r="F582" s="2"/>
      <c r="G582" s="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4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1"/>
      <c r="C583" s="2"/>
      <c r="D583" s="2"/>
      <c r="E583" s="3"/>
      <c r="F583" s="2"/>
      <c r="G583" s="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4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1"/>
      <c r="C584" s="2"/>
      <c r="D584" s="2"/>
      <c r="E584" s="3"/>
      <c r="F584" s="2"/>
      <c r="G584" s="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4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1"/>
      <c r="C585" s="2"/>
      <c r="D585" s="2"/>
      <c r="E585" s="3"/>
      <c r="F585" s="2"/>
      <c r="G585" s="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4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1"/>
      <c r="C586" s="2"/>
      <c r="D586" s="2"/>
      <c r="E586" s="3"/>
      <c r="F586" s="2"/>
      <c r="G586" s="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4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1"/>
      <c r="C587" s="2"/>
      <c r="D587" s="2"/>
      <c r="E587" s="3"/>
      <c r="F587" s="2"/>
      <c r="G587" s="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4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1"/>
      <c r="C588" s="2"/>
      <c r="D588" s="2"/>
      <c r="E588" s="3"/>
      <c r="F588" s="2"/>
      <c r="G588" s="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4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1"/>
      <c r="C589" s="2"/>
      <c r="D589" s="2"/>
      <c r="E589" s="3"/>
      <c r="F589" s="2"/>
      <c r="G589" s="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4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1"/>
      <c r="C590" s="2"/>
      <c r="D590" s="2"/>
      <c r="E590" s="3"/>
      <c r="F590" s="2"/>
      <c r="G590" s="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4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1"/>
      <c r="C591" s="2"/>
      <c r="D591" s="2"/>
      <c r="E591" s="3"/>
      <c r="F591" s="2"/>
      <c r="G591" s="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4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1"/>
      <c r="C592" s="2"/>
      <c r="D592" s="2"/>
      <c r="E592" s="3"/>
      <c r="F592" s="2"/>
      <c r="G592" s="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4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1"/>
      <c r="C593" s="2"/>
      <c r="D593" s="2"/>
      <c r="E593" s="3"/>
      <c r="F593" s="2"/>
      <c r="G593" s="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4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1"/>
      <c r="C594" s="2"/>
      <c r="D594" s="2"/>
      <c r="E594" s="3"/>
      <c r="F594" s="2"/>
      <c r="G594" s="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4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1"/>
      <c r="C595" s="2"/>
      <c r="D595" s="2"/>
      <c r="E595" s="3"/>
      <c r="F595" s="2"/>
      <c r="G595" s="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4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1"/>
      <c r="C596" s="2"/>
      <c r="D596" s="2"/>
      <c r="E596" s="3"/>
      <c r="F596" s="2"/>
      <c r="G596" s="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4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1"/>
      <c r="C597" s="2"/>
      <c r="D597" s="2"/>
      <c r="E597" s="3"/>
      <c r="F597" s="2"/>
      <c r="G597" s="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4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1"/>
      <c r="C598" s="2"/>
      <c r="D598" s="2"/>
      <c r="E598" s="3"/>
      <c r="F598" s="2"/>
      <c r="G598" s="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4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1"/>
      <c r="C599" s="2"/>
      <c r="D599" s="2"/>
      <c r="E599" s="3"/>
      <c r="F599" s="2"/>
      <c r="G599" s="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4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1"/>
      <c r="C600" s="2"/>
      <c r="D600" s="2"/>
      <c r="E600" s="3"/>
      <c r="F600" s="2"/>
      <c r="G600" s="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4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1"/>
      <c r="C601" s="2"/>
      <c r="D601" s="2"/>
      <c r="E601" s="3"/>
      <c r="F601" s="2"/>
      <c r="G601" s="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4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1"/>
      <c r="C602" s="2"/>
      <c r="D602" s="2"/>
      <c r="E602" s="3"/>
      <c r="F602" s="2"/>
      <c r="G602" s="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4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1"/>
      <c r="C603" s="2"/>
      <c r="D603" s="2"/>
      <c r="E603" s="3"/>
      <c r="F603" s="2"/>
      <c r="G603" s="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4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1"/>
      <c r="C604" s="2"/>
      <c r="D604" s="2"/>
      <c r="E604" s="3"/>
      <c r="F604" s="2"/>
      <c r="G604" s="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4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1"/>
      <c r="C605" s="2"/>
      <c r="D605" s="2"/>
      <c r="E605" s="3"/>
      <c r="F605" s="2"/>
      <c r="G605" s="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4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1"/>
      <c r="C606" s="2"/>
      <c r="D606" s="2"/>
      <c r="E606" s="3"/>
      <c r="F606" s="2"/>
      <c r="G606" s="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4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1"/>
      <c r="C607" s="2"/>
      <c r="D607" s="2"/>
      <c r="E607" s="3"/>
      <c r="F607" s="2"/>
      <c r="G607" s="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4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1"/>
      <c r="C608" s="2"/>
      <c r="D608" s="2"/>
      <c r="E608" s="3"/>
      <c r="F608" s="2"/>
      <c r="G608" s="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4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1"/>
      <c r="C609" s="2"/>
      <c r="D609" s="2"/>
      <c r="E609" s="3"/>
      <c r="F609" s="2"/>
      <c r="G609" s="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4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1"/>
      <c r="C610" s="2"/>
      <c r="D610" s="2"/>
      <c r="E610" s="3"/>
      <c r="F610" s="2"/>
      <c r="G610" s="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4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1"/>
      <c r="C611" s="2"/>
      <c r="D611" s="2"/>
      <c r="E611" s="3"/>
      <c r="F611" s="2"/>
      <c r="G611" s="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4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1"/>
      <c r="C612" s="2"/>
      <c r="D612" s="2"/>
      <c r="E612" s="3"/>
      <c r="F612" s="2"/>
      <c r="G612" s="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4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1"/>
      <c r="C613" s="2"/>
      <c r="D613" s="2"/>
      <c r="E613" s="3"/>
      <c r="F613" s="2"/>
      <c r="G613" s="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4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1"/>
      <c r="C614" s="2"/>
      <c r="D614" s="2"/>
      <c r="E614" s="3"/>
      <c r="F614" s="2"/>
      <c r="G614" s="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4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1"/>
      <c r="C615" s="2"/>
      <c r="D615" s="2"/>
      <c r="E615" s="3"/>
      <c r="F615" s="2"/>
      <c r="G615" s="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4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1"/>
      <c r="C616" s="2"/>
      <c r="D616" s="2"/>
      <c r="E616" s="3"/>
      <c r="F616" s="2"/>
      <c r="G616" s="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4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1"/>
      <c r="C617" s="2"/>
      <c r="D617" s="2"/>
      <c r="E617" s="3"/>
      <c r="F617" s="2"/>
      <c r="G617" s="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4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1"/>
      <c r="C618" s="2"/>
      <c r="D618" s="2"/>
      <c r="E618" s="3"/>
      <c r="F618" s="2"/>
      <c r="G618" s="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4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1"/>
      <c r="C619" s="2"/>
      <c r="D619" s="2"/>
      <c r="E619" s="3"/>
      <c r="F619" s="2"/>
      <c r="G619" s="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4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1"/>
      <c r="C620" s="2"/>
      <c r="D620" s="2"/>
      <c r="E620" s="3"/>
      <c r="F620" s="2"/>
      <c r="G620" s="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4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1"/>
      <c r="C621" s="2"/>
      <c r="D621" s="2"/>
      <c r="E621" s="3"/>
      <c r="F621" s="2"/>
      <c r="G621" s="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4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1"/>
      <c r="C622" s="2"/>
      <c r="D622" s="2"/>
      <c r="E622" s="3"/>
      <c r="F622" s="2"/>
      <c r="G622" s="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4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1"/>
      <c r="C623" s="2"/>
      <c r="D623" s="2"/>
      <c r="E623" s="3"/>
      <c r="F623" s="2"/>
      <c r="G623" s="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4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1"/>
      <c r="C624" s="2"/>
      <c r="D624" s="2"/>
      <c r="E624" s="3"/>
      <c r="F624" s="2"/>
      <c r="G624" s="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4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1"/>
      <c r="C625" s="2"/>
      <c r="D625" s="2"/>
      <c r="E625" s="3"/>
      <c r="F625" s="2"/>
      <c r="G625" s="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4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1"/>
      <c r="C626" s="2"/>
      <c r="D626" s="2"/>
      <c r="E626" s="3"/>
      <c r="F626" s="2"/>
      <c r="G626" s="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4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1"/>
      <c r="C627" s="2"/>
      <c r="D627" s="2"/>
      <c r="E627" s="3"/>
      <c r="F627" s="2"/>
      <c r="G627" s="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4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1"/>
      <c r="C628" s="2"/>
      <c r="D628" s="2"/>
      <c r="E628" s="3"/>
      <c r="F628" s="2"/>
      <c r="G628" s="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4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1"/>
      <c r="C629" s="2"/>
      <c r="D629" s="2"/>
      <c r="E629" s="3"/>
      <c r="F629" s="2"/>
      <c r="G629" s="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4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1"/>
      <c r="C630" s="2"/>
      <c r="D630" s="2"/>
      <c r="E630" s="3"/>
      <c r="F630" s="2"/>
      <c r="G630" s="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4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1"/>
      <c r="C631" s="2"/>
      <c r="D631" s="2"/>
      <c r="E631" s="3"/>
      <c r="F631" s="2"/>
      <c r="G631" s="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4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1"/>
      <c r="C632" s="2"/>
      <c r="D632" s="2"/>
      <c r="E632" s="3"/>
      <c r="F632" s="2"/>
      <c r="G632" s="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4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1"/>
      <c r="C633" s="2"/>
      <c r="D633" s="2"/>
      <c r="E633" s="3"/>
      <c r="F633" s="2"/>
      <c r="G633" s="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4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1"/>
      <c r="C634" s="2"/>
      <c r="D634" s="2"/>
      <c r="E634" s="3"/>
      <c r="F634" s="2"/>
      <c r="G634" s="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4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1"/>
      <c r="C635" s="2"/>
      <c r="D635" s="2"/>
      <c r="E635" s="3"/>
      <c r="F635" s="2"/>
      <c r="G635" s="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4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1"/>
      <c r="C636" s="2"/>
      <c r="D636" s="2"/>
      <c r="E636" s="3"/>
      <c r="F636" s="2"/>
      <c r="G636" s="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4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1"/>
      <c r="C637" s="2"/>
      <c r="D637" s="2"/>
      <c r="E637" s="3"/>
      <c r="F637" s="2"/>
      <c r="G637" s="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4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1"/>
      <c r="C638" s="2"/>
      <c r="D638" s="2"/>
      <c r="E638" s="3"/>
      <c r="F638" s="2"/>
      <c r="G638" s="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4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1"/>
      <c r="C639" s="2"/>
      <c r="D639" s="2"/>
      <c r="E639" s="3"/>
      <c r="F639" s="2"/>
      <c r="G639" s="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4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1"/>
      <c r="C640" s="2"/>
      <c r="D640" s="2"/>
      <c r="E640" s="3"/>
      <c r="F640" s="2"/>
      <c r="G640" s="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4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1"/>
      <c r="C641" s="2"/>
      <c r="D641" s="2"/>
      <c r="E641" s="3"/>
      <c r="F641" s="2"/>
      <c r="G641" s="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4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1"/>
      <c r="C642" s="2"/>
      <c r="D642" s="2"/>
      <c r="E642" s="3"/>
      <c r="F642" s="2"/>
      <c r="G642" s="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4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1"/>
      <c r="C643" s="2"/>
      <c r="D643" s="2"/>
      <c r="E643" s="3"/>
      <c r="F643" s="2"/>
      <c r="G643" s="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4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1"/>
      <c r="C644" s="2"/>
      <c r="D644" s="2"/>
      <c r="E644" s="3"/>
      <c r="F644" s="2"/>
      <c r="G644" s="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4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1"/>
      <c r="C645" s="2"/>
      <c r="D645" s="2"/>
      <c r="E645" s="3"/>
      <c r="F645" s="2"/>
      <c r="G645" s="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4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1"/>
      <c r="C646" s="2"/>
      <c r="D646" s="2"/>
      <c r="E646" s="3"/>
      <c r="F646" s="2"/>
      <c r="G646" s="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4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1"/>
      <c r="C647" s="2"/>
      <c r="D647" s="2"/>
      <c r="E647" s="3"/>
      <c r="F647" s="2"/>
      <c r="G647" s="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4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1"/>
      <c r="C648" s="2"/>
      <c r="D648" s="2"/>
      <c r="E648" s="3"/>
      <c r="F648" s="2"/>
      <c r="G648" s="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4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1"/>
      <c r="C649" s="2"/>
      <c r="D649" s="2"/>
      <c r="E649" s="3"/>
      <c r="F649" s="2"/>
      <c r="G649" s="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4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1"/>
      <c r="C650" s="2"/>
      <c r="D650" s="2"/>
      <c r="E650" s="3"/>
      <c r="F650" s="2"/>
      <c r="G650" s="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4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1"/>
      <c r="C651" s="2"/>
      <c r="D651" s="2"/>
      <c r="E651" s="3"/>
      <c r="F651" s="2"/>
      <c r="G651" s="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4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1"/>
      <c r="C652" s="2"/>
      <c r="D652" s="2"/>
      <c r="E652" s="3"/>
      <c r="F652" s="2"/>
      <c r="G652" s="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4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1"/>
      <c r="C653" s="2"/>
      <c r="D653" s="2"/>
      <c r="E653" s="3"/>
      <c r="F653" s="2"/>
      <c r="G653" s="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4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1"/>
      <c r="C654" s="2"/>
      <c r="D654" s="2"/>
      <c r="E654" s="3"/>
      <c r="F654" s="2"/>
      <c r="G654" s="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4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1"/>
      <c r="C655" s="2"/>
      <c r="D655" s="2"/>
      <c r="E655" s="3"/>
      <c r="F655" s="2"/>
      <c r="G655" s="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4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1"/>
      <c r="C656" s="2"/>
      <c r="D656" s="2"/>
      <c r="E656" s="3"/>
      <c r="F656" s="2"/>
      <c r="G656" s="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4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1"/>
      <c r="C657" s="2"/>
      <c r="D657" s="2"/>
      <c r="E657" s="3"/>
      <c r="F657" s="2"/>
      <c r="G657" s="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4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1"/>
      <c r="C658" s="2"/>
      <c r="D658" s="2"/>
      <c r="E658" s="3"/>
      <c r="F658" s="2"/>
      <c r="G658" s="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4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1"/>
      <c r="C659" s="2"/>
      <c r="D659" s="2"/>
      <c r="E659" s="3"/>
      <c r="F659" s="2"/>
      <c r="G659" s="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4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1"/>
      <c r="C660" s="2"/>
      <c r="D660" s="2"/>
      <c r="E660" s="3"/>
      <c r="F660" s="2"/>
      <c r="G660" s="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4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1"/>
      <c r="C661" s="2"/>
      <c r="D661" s="2"/>
      <c r="E661" s="3"/>
      <c r="F661" s="2"/>
      <c r="G661" s="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4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1"/>
      <c r="C662" s="2"/>
      <c r="D662" s="2"/>
      <c r="E662" s="3"/>
      <c r="F662" s="2"/>
      <c r="G662" s="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4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1"/>
      <c r="C663" s="2"/>
      <c r="D663" s="2"/>
      <c r="E663" s="3"/>
      <c r="F663" s="2"/>
      <c r="G663" s="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4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1"/>
      <c r="C664" s="2"/>
      <c r="D664" s="2"/>
      <c r="E664" s="3"/>
      <c r="F664" s="2"/>
      <c r="G664" s="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4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1"/>
      <c r="C665" s="2"/>
      <c r="D665" s="2"/>
      <c r="E665" s="3"/>
      <c r="F665" s="2"/>
      <c r="G665" s="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4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1"/>
      <c r="C666" s="2"/>
      <c r="D666" s="2"/>
      <c r="E666" s="3"/>
      <c r="F666" s="2"/>
      <c r="G666" s="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4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1"/>
      <c r="C667" s="2"/>
      <c r="D667" s="2"/>
      <c r="E667" s="3"/>
      <c r="F667" s="2"/>
      <c r="G667" s="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4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1"/>
      <c r="C668" s="2"/>
      <c r="D668" s="2"/>
      <c r="E668" s="3"/>
      <c r="F668" s="2"/>
      <c r="G668" s="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4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1"/>
      <c r="C669" s="2"/>
      <c r="D669" s="2"/>
      <c r="E669" s="3"/>
      <c r="F669" s="2"/>
      <c r="G669" s="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4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1"/>
      <c r="C670" s="2"/>
      <c r="D670" s="2"/>
      <c r="E670" s="3"/>
      <c r="F670" s="2"/>
      <c r="G670" s="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4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1"/>
      <c r="C671" s="2"/>
      <c r="D671" s="2"/>
      <c r="E671" s="3"/>
      <c r="F671" s="2"/>
      <c r="G671" s="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4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1"/>
      <c r="C672" s="2"/>
      <c r="D672" s="2"/>
      <c r="E672" s="3"/>
      <c r="F672" s="2"/>
      <c r="G672" s="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4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1"/>
      <c r="C673" s="2"/>
      <c r="D673" s="2"/>
      <c r="E673" s="3"/>
      <c r="F673" s="2"/>
      <c r="G673" s="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4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1"/>
      <c r="C674" s="2"/>
      <c r="D674" s="2"/>
      <c r="E674" s="3"/>
      <c r="F674" s="2"/>
      <c r="G674" s="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4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1"/>
      <c r="C675" s="2"/>
      <c r="D675" s="2"/>
      <c r="E675" s="3"/>
      <c r="F675" s="2"/>
      <c r="G675" s="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4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1"/>
      <c r="C676" s="2"/>
      <c r="D676" s="2"/>
      <c r="E676" s="3"/>
      <c r="F676" s="2"/>
      <c r="G676" s="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4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1"/>
      <c r="C677" s="2"/>
      <c r="D677" s="2"/>
      <c r="E677" s="3"/>
      <c r="F677" s="2"/>
      <c r="G677" s="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4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1"/>
      <c r="C678" s="2"/>
      <c r="D678" s="2"/>
      <c r="E678" s="3"/>
      <c r="F678" s="2"/>
      <c r="G678" s="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4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1"/>
      <c r="C679" s="2"/>
      <c r="D679" s="2"/>
      <c r="E679" s="3"/>
      <c r="F679" s="2"/>
      <c r="G679" s="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4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1"/>
      <c r="C680" s="2"/>
      <c r="D680" s="2"/>
      <c r="E680" s="3"/>
      <c r="F680" s="2"/>
      <c r="G680" s="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4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1"/>
      <c r="C681" s="2"/>
      <c r="D681" s="2"/>
      <c r="E681" s="3"/>
      <c r="F681" s="2"/>
      <c r="G681" s="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4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1"/>
      <c r="C682" s="2"/>
      <c r="D682" s="2"/>
      <c r="E682" s="3"/>
      <c r="F682" s="2"/>
      <c r="G682" s="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4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1"/>
      <c r="C683" s="2"/>
      <c r="D683" s="2"/>
      <c r="E683" s="3"/>
      <c r="F683" s="2"/>
      <c r="G683" s="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4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1"/>
      <c r="C684" s="2"/>
      <c r="D684" s="2"/>
      <c r="E684" s="3"/>
      <c r="F684" s="2"/>
      <c r="G684" s="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4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1"/>
      <c r="C685" s="2"/>
      <c r="D685" s="2"/>
      <c r="E685" s="3"/>
      <c r="F685" s="2"/>
      <c r="G685" s="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4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1"/>
      <c r="C686" s="2"/>
      <c r="D686" s="2"/>
      <c r="E686" s="3"/>
      <c r="F686" s="2"/>
      <c r="G686" s="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4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1"/>
      <c r="C687" s="2"/>
      <c r="D687" s="2"/>
      <c r="E687" s="3"/>
      <c r="F687" s="2"/>
      <c r="G687" s="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4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1"/>
      <c r="C688" s="2"/>
      <c r="D688" s="2"/>
      <c r="E688" s="3"/>
      <c r="F688" s="2"/>
      <c r="G688" s="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4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1"/>
      <c r="C689" s="2"/>
      <c r="D689" s="2"/>
      <c r="E689" s="3"/>
      <c r="F689" s="2"/>
      <c r="G689" s="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4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1"/>
      <c r="C690" s="2"/>
      <c r="D690" s="2"/>
      <c r="E690" s="3"/>
      <c r="F690" s="2"/>
      <c r="G690" s="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4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1"/>
      <c r="C691" s="2"/>
      <c r="D691" s="2"/>
      <c r="E691" s="3"/>
      <c r="F691" s="2"/>
      <c r="G691" s="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4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1"/>
      <c r="C692" s="2"/>
      <c r="D692" s="2"/>
      <c r="E692" s="3"/>
      <c r="F692" s="2"/>
      <c r="G692" s="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4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1"/>
      <c r="C693" s="2"/>
      <c r="D693" s="2"/>
      <c r="E693" s="3"/>
      <c r="F693" s="2"/>
      <c r="G693" s="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4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1"/>
      <c r="C694" s="2"/>
      <c r="D694" s="2"/>
      <c r="E694" s="3"/>
      <c r="F694" s="2"/>
      <c r="G694" s="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4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1"/>
      <c r="C695" s="2"/>
      <c r="D695" s="2"/>
      <c r="E695" s="3"/>
      <c r="F695" s="2"/>
      <c r="G695" s="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4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1"/>
      <c r="C696" s="2"/>
      <c r="D696" s="2"/>
      <c r="E696" s="3"/>
      <c r="F696" s="2"/>
      <c r="G696" s="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4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1"/>
      <c r="C697" s="2"/>
      <c r="D697" s="2"/>
      <c r="E697" s="3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4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1"/>
      <c r="C698" s="2"/>
      <c r="D698" s="2"/>
      <c r="E698" s="3"/>
      <c r="F698" s="2"/>
      <c r="G698" s="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4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1"/>
      <c r="C699" s="2"/>
      <c r="D699" s="2"/>
      <c r="E699" s="3"/>
      <c r="F699" s="2"/>
      <c r="G699" s="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4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1"/>
      <c r="C700" s="2"/>
      <c r="D700" s="2"/>
      <c r="E700" s="3"/>
      <c r="F700" s="2"/>
      <c r="G700" s="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4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1"/>
      <c r="C701" s="2"/>
      <c r="D701" s="2"/>
      <c r="E701" s="3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4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1"/>
      <c r="C702" s="2"/>
      <c r="D702" s="2"/>
      <c r="E702" s="3"/>
      <c r="F702" s="2"/>
      <c r="G702" s="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4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1"/>
      <c r="C703" s="2"/>
      <c r="D703" s="2"/>
      <c r="E703" s="3"/>
      <c r="F703" s="2"/>
      <c r="G703" s="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4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1"/>
      <c r="C704" s="2"/>
      <c r="D704" s="2"/>
      <c r="E704" s="3"/>
      <c r="F704" s="2"/>
      <c r="G704" s="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4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1"/>
      <c r="C705" s="2"/>
      <c r="D705" s="2"/>
      <c r="E705" s="3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4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1"/>
      <c r="C706" s="2"/>
      <c r="D706" s="2"/>
      <c r="E706" s="3"/>
      <c r="F706" s="2"/>
      <c r="G706" s="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4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1"/>
      <c r="C707" s="2"/>
      <c r="D707" s="2"/>
      <c r="E707" s="3"/>
      <c r="F707" s="2"/>
      <c r="G707" s="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4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1"/>
      <c r="C708" s="2"/>
      <c r="D708" s="2"/>
      <c r="E708" s="3"/>
      <c r="F708" s="2"/>
      <c r="G708" s="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4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1"/>
      <c r="C709" s="2"/>
      <c r="D709" s="2"/>
      <c r="E709" s="3"/>
      <c r="F709" s="2"/>
      <c r="G709" s="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4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1"/>
      <c r="C710" s="2"/>
      <c r="D710" s="2"/>
      <c r="E710" s="3"/>
      <c r="F710" s="2"/>
      <c r="G710" s="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4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1"/>
      <c r="C711" s="2"/>
      <c r="D711" s="2"/>
      <c r="E711" s="3"/>
      <c r="F711" s="2"/>
      <c r="G711" s="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4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1"/>
      <c r="C712" s="2"/>
      <c r="D712" s="2"/>
      <c r="E712" s="3"/>
      <c r="F712" s="2"/>
      <c r="G712" s="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4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1"/>
      <c r="C713" s="2"/>
      <c r="D713" s="2"/>
      <c r="E713" s="3"/>
      <c r="F713" s="2"/>
      <c r="G713" s="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4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1"/>
      <c r="C714" s="2"/>
      <c r="D714" s="2"/>
      <c r="E714" s="3"/>
      <c r="F714" s="2"/>
      <c r="G714" s="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4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1"/>
      <c r="C715" s="2"/>
      <c r="D715" s="2"/>
      <c r="E715" s="3"/>
      <c r="F715" s="2"/>
      <c r="G715" s="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4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1"/>
      <c r="C716" s="2"/>
      <c r="D716" s="2"/>
      <c r="E716" s="3"/>
      <c r="F716" s="2"/>
      <c r="G716" s="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4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1"/>
      <c r="C717" s="2"/>
      <c r="D717" s="2"/>
      <c r="E717" s="3"/>
      <c r="F717" s="2"/>
      <c r="G717" s="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4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1"/>
      <c r="C718" s="2"/>
      <c r="D718" s="2"/>
      <c r="E718" s="3"/>
      <c r="F718" s="2"/>
      <c r="G718" s="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4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1"/>
      <c r="C719" s="2"/>
      <c r="D719" s="2"/>
      <c r="E719" s="3"/>
      <c r="F719" s="2"/>
      <c r="G719" s="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4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1"/>
      <c r="C720" s="2"/>
      <c r="D720" s="2"/>
      <c r="E720" s="3"/>
      <c r="F720" s="2"/>
      <c r="G720" s="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4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1"/>
      <c r="C721" s="2"/>
      <c r="D721" s="2"/>
      <c r="E721" s="3"/>
      <c r="F721" s="2"/>
      <c r="G721" s="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4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1"/>
      <c r="C722" s="2"/>
      <c r="D722" s="2"/>
      <c r="E722" s="3"/>
      <c r="F722" s="2"/>
      <c r="G722" s="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4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1"/>
      <c r="C723" s="2"/>
      <c r="D723" s="2"/>
      <c r="E723" s="3"/>
      <c r="F723" s="2"/>
      <c r="G723" s="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4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1"/>
      <c r="C724" s="2"/>
      <c r="D724" s="2"/>
      <c r="E724" s="3"/>
      <c r="F724" s="2"/>
      <c r="G724" s="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4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1"/>
      <c r="C725" s="2"/>
      <c r="D725" s="2"/>
      <c r="E725" s="3"/>
      <c r="F725" s="2"/>
      <c r="G725" s="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4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1"/>
      <c r="C726" s="2"/>
      <c r="D726" s="2"/>
      <c r="E726" s="3"/>
      <c r="F726" s="2"/>
      <c r="G726" s="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4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1"/>
      <c r="C727" s="2"/>
      <c r="D727" s="2"/>
      <c r="E727" s="3"/>
      <c r="F727" s="2"/>
      <c r="G727" s="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4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1"/>
      <c r="C728" s="2"/>
      <c r="D728" s="2"/>
      <c r="E728" s="3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4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1"/>
      <c r="C729" s="2"/>
      <c r="D729" s="2"/>
      <c r="E729" s="3"/>
      <c r="F729" s="2"/>
      <c r="G729" s="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4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1"/>
      <c r="C730" s="2"/>
      <c r="D730" s="2"/>
      <c r="E730" s="3"/>
      <c r="F730" s="2"/>
      <c r="G730" s="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4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1"/>
      <c r="C731" s="2"/>
      <c r="D731" s="2"/>
      <c r="E731" s="3"/>
      <c r="F731" s="2"/>
      <c r="G731" s="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4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1"/>
      <c r="C732" s="2"/>
      <c r="D732" s="2"/>
      <c r="E732" s="3"/>
      <c r="F732" s="2"/>
      <c r="G732" s="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4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1"/>
      <c r="C733" s="2"/>
      <c r="D733" s="2"/>
      <c r="E733" s="3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4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1"/>
      <c r="C734" s="2"/>
      <c r="D734" s="2"/>
      <c r="E734" s="3"/>
      <c r="F734" s="2"/>
      <c r="G734" s="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4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1"/>
      <c r="C735" s="2"/>
      <c r="D735" s="2"/>
      <c r="E735" s="3"/>
      <c r="F735" s="2"/>
      <c r="G735" s="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4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1"/>
      <c r="C736" s="2"/>
      <c r="D736" s="2"/>
      <c r="E736" s="3"/>
      <c r="F736" s="2"/>
      <c r="G736" s="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4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1"/>
      <c r="C737" s="2"/>
      <c r="D737" s="2"/>
      <c r="E737" s="3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4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1"/>
      <c r="C738" s="2"/>
      <c r="D738" s="2"/>
      <c r="E738" s="3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4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1"/>
      <c r="C739" s="2"/>
      <c r="D739" s="2"/>
      <c r="E739" s="3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4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1"/>
      <c r="C740" s="2"/>
      <c r="D740" s="2"/>
      <c r="E740" s="3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4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1"/>
      <c r="C741" s="2"/>
      <c r="D741" s="2"/>
      <c r="E741" s="3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4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1"/>
      <c r="C742" s="2"/>
      <c r="D742" s="2"/>
      <c r="E742" s="3"/>
      <c r="F742" s="2"/>
      <c r="G742" s="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4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1"/>
      <c r="C743" s="2"/>
      <c r="D743" s="2"/>
      <c r="E743" s="3"/>
      <c r="F743" s="2"/>
      <c r="G743" s="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4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1"/>
      <c r="C744" s="2"/>
      <c r="D744" s="2"/>
      <c r="E744" s="3"/>
      <c r="F744" s="2"/>
      <c r="G744" s="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4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1"/>
      <c r="C745" s="2"/>
      <c r="D745" s="2"/>
      <c r="E745" s="3"/>
      <c r="F745" s="2"/>
      <c r="G745" s="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4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1"/>
      <c r="C746" s="2"/>
      <c r="D746" s="2"/>
      <c r="E746" s="3"/>
      <c r="F746" s="2"/>
      <c r="G746" s="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4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1"/>
      <c r="C747" s="2"/>
      <c r="D747" s="2"/>
      <c r="E747" s="3"/>
      <c r="F747" s="2"/>
      <c r="G747" s="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4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1"/>
      <c r="C748" s="2"/>
      <c r="D748" s="2"/>
      <c r="E748" s="3"/>
      <c r="F748" s="2"/>
      <c r="G748" s="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4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1"/>
      <c r="C749" s="2"/>
      <c r="D749" s="2"/>
      <c r="E749" s="3"/>
      <c r="F749" s="2"/>
      <c r="G749" s="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4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1"/>
      <c r="C750" s="2"/>
      <c r="D750" s="2"/>
      <c r="E750" s="3"/>
      <c r="F750" s="2"/>
      <c r="G750" s="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4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1"/>
      <c r="C751" s="2"/>
      <c r="D751" s="2"/>
      <c r="E751" s="3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4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1"/>
      <c r="C752" s="2"/>
      <c r="D752" s="2"/>
      <c r="E752" s="3"/>
      <c r="F752" s="2"/>
      <c r="G752" s="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4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1"/>
      <c r="C753" s="2"/>
      <c r="D753" s="2"/>
      <c r="E753" s="3"/>
      <c r="F753" s="2"/>
      <c r="G753" s="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4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1"/>
      <c r="C754" s="2"/>
      <c r="D754" s="2"/>
      <c r="E754" s="3"/>
      <c r="F754" s="2"/>
      <c r="G754" s="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4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1"/>
      <c r="C755" s="2"/>
      <c r="D755" s="2"/>
      <c r="E755" s="3"/>
      <c r="F755" s="2"/>
      <c r="G755" s="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4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1"/>
      <c r="C756" s="2"/>
      <c r="D756" s="2"/>
      <c r="E756" s="3"/>
      <c r="F756" s="2"/>
      <c r="G756" s="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4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1"/>
      <c r="C757" s="2"/>
      <c r="D757" s="2"/>
      <c r="E757" s="3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4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1"/>
      <c r="C758" s="2"/>
      <c r="D758" s="2"/>
      <c r="E758" s="3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4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1"/>
      <c r="C759" s="2"/>
      <c r="D759" s="2"/>
      <c r="E759" s="3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4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1"/>
      <c r="C760" s="2"/>
      <c r="D760" s="2"/>
      <c r="E760" s="3"/>
      <c r="F760" s="2"/>
      <c r="G760" s="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4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1"/>
      <c r="C761" s="2"/>
      <c r="D761" s="2"/>
      <c r="E761" s="3"/>
      <c r="F761" s="2"/>
      <c r="G761" s="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4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1"/>
      <c r="C762" s="2"/>
      <c r="D762" s="2"/>
      <c r="E762" s="3"/>
      <c r="F762" s="2"/>
      <c r="G762" s="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4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1"/>
      <c r="C763" s="2"/>
      <c r="D763" s="2"/>
      <c r="E763" s="3"/>
      <c r="F763" s="2"/>
      <c r="G763" s="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4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1"/>
      <c r="C764" s="2"/>
      <c r="D764" s="2"/>
      <c r="E764" s="3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4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1"/>
      <c r="C765" s="2"/>
      <c r="D765" s="2"/>
      <c r="E765" s="3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4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1"/>
      <c r="C766" s="2"/>
      <c r="D766" s="2"/>
      <c r="E766" s="3"/>
      <c r="F766" s="2"/>
      <c r="G766" s="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4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1"/>
      <c r="C767" s="2"/>
      <c r="D767" s="2"/>
      <c r="E767" s="3"/>
      <c r="F767" s="2"/>
      <c r="G767" s="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4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1"/>
      <c r="C768" s="2"/>
      <c r="D768" s="2"/>
      <c r="E768" s="3"/>
      <c r="F768" s="2"/>
      <c r="G768" s="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4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1"/>
      <c r="C769" s="2"/>
      <c r="D769" s="2"/>
      <c r="E769" s="3"/>
      <c r="F769" s="2"/>
      <c r="G769" s="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4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1"/>
      <c r="C770" s="2"/>
      <c r="D770" s="2"/>
      <c r="E770" s="3"/>
      <c r="F770" s="2"/>
      <c r="G770" s="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4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1"/>
      <c r="C771" s="2"/>
      <c r="D771" s="2"/>
      <c r="E771" s="3"/>
      <c r="F771" s="2"/>
      <c r="G771" s="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4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1"/>
      <c r="C772" s="2"/>
      <c r="D772" s="2"/>
      <c r="E772" s="3"/>
      <c r="F772" s="2"/>
      <c r="G772" s="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4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1"/>
      <c r="C773" s="2"/>
      <c r="D773" s="2"/>
      <c r="E773" s="3"/>
      <c r="F773" s="2"/>
      <c r="G773" s="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4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1"/>
      <c r="C774" s="2"/>
      <c r="D774" s="2"/>
      <c r="E774" s="3"/>
      <c r="F774" s="2"/>
      <c r="G774" s="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4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1"/>
      <c r="C775" s="2"/>
      <c r="D775" s="2"/>
      <c r="E775" s="3"/>
      <c r="F775" s="2"/>
      <c r="G775" s="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4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1"/>
      <c r="C776" s="2"/>
      <c r="D776" s="2"/>
      <c r="E776" s="3"/>
      <c r="F776" s="2"/>
      <c r="G776" s="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4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1"/>
      <c r="C777" s="2"/>
      <c r="D777" s="2"/>
      <c r="E777" s="3"/>
      <c r="F777" s="2"/>
      <c r="G777" s="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4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1"/>
      <c r="C778" s="2"/>
      <c r="D778" s="2"/>
      <c r="E778" s="3"/>
      <c r="F778" s="2"/>
      <c r="G778" s="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4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1"/>
      <c r="C779" s="2"/>
      <c r="D779" s="2"/>
      <c r="E779" s="3"/>
      <c r="F779" s="2"/>
      <c r="G779" s="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4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1"/>
      <c r="C780" s="2"/>
      <c r="D780" s="2"/>
      <c r="E780" s="3"/>
      <c r="F780" s="2"/>
      <c r="G780" s="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4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1"/>
      <c r="C781" s="2"/>
      <c r="D781" s="2"/>
      <c r="E781" s="3"/>
      <c r="F781" s="2"/>
      <c r="G781" s="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4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1"/>
      <c r="C782" s="2"/>
      <c r="D782" s="2"/>
      <c r="E782" s="3"/>
      <c r="F782" s="2"/>
      <c r="G782" s="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4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1"/>
      <c r="C783" s="2"/>
      <c r="D783" s="2"/>
      <c r="E783" s="3"/>
      <c r="F783" s="2"/>
      <c r="G783" s="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4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1"/>
      <c r="C784" s="2"/>
      <c r="D784" s="2"/>
      <c r="E784" s="3"/>
      <c r="F784" s="2"/>
      <c r="G784" s="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4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1"/>
      <c r="C785" s="2"/>
      <c r="D785" s="2"/>
      <c r="E785" s="3"/>
      <c r="F785" s="2"/>
      <c r="G785" s="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4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1"/>
      <c r="C786" s="2"/>
      <c r="D786" s="2"/>
      <c r="E786" s="3"/>
      <c r="F786" s="2"/>
      <c r="G786" s="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4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1"/>
      <c r="C787" s="2"/>
      <c r="D787" s="2"/>
      <c r="E787" s="3"/>
      <c r="F787" s="2"/>
      <c r="G787" s="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4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1"/>
      <c r="C788" s="2"/>
      <c r="D788" s="2"/>
      <c r="E788" s="3"/>
      <c r="F788" s="2"/>
      <c r="G788" s="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4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1"/>
      <c r="C789" s="2"/>
      <c r="D789" s="2"/>
      <c r="E789" s="3"/>
      <c r="F789" s="2"/>
      <c r="G789" s="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4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1"/>
      <c r="C790" s="2"/>
      <c r="D790" s="2"/>
      <c r="E790" s="3"/>
      <c r="F790" s="2"/>
      <c r="G790" s="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4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1"/>
      <c r="C791" s="2"/>
      <c r="D791" s="2"/>
      <c r="E791" s="3"/>
      <c r="F791" s="2"/>
      <c r="G791" s="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4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1"/>
      <c r="C792" s="2"/>
      <c r="D792" s="2"/>
      <c r="E792" s="3"/>
      <c r="F792" s="2"/>
      <c r="G792" s="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4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1"/>
      <c r="C793" s="2"/>
      <c r="D793" s="2"/>
      <c r="E793" s="3"/>
      <c r="F793" s="2"/>
      <c r="G793" s="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4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1"/>
      <c r="C794" s="2"/>
      <c r="D794" s="2"/>
      <c r="E794" s="3"/>
      <c r="F794" s="2"/>
      <c r="G794" s="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4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1"/>
      <c r="C795" s="2"/>
      <c r="D795" s="2"/>
      <c r="E795" s="3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4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1"/>
      <c r="C796" s="2"/>
      <c r="D796" s="2"/>
      <c r="E796" s="3"/>
      <c r="F796" s="2"/>
      <c r="G796" s="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4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1"/>
      <c r="C797" s="2"/>
      <c r="D797" s="2"/>
      <c r="E797" s="3"/>
      <c r="F797" s="2"/>
      <c r="G797" s="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4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1"/>
      <c r="C798" s="2"/>
      <c r="D798" s="2"/>
      <c r="E798" s="3"/>
      <c r="F798" s="2"/>
      <c r="G798" s="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4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1"/>
      <c r="C799" s="2"/>
      <c r="D799" s="2"/>
      <c r="E799" s="3"/>
      <c r="F799" s="2"/>
      <c r="G799" s="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4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1"/>
      <c r="C800" s="2"/>
      <c r="D800" s="2"/>
      <c r="E800" s="3"/>
      <c r="F800" s="2"/>
      <c r="G800" s="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4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1"/>
      <c r="C801" s="2"/>
      <c r="D801" s="2"/>
      <c r="E801" s="3"/>
      <c r="F801" s="2"/>
      <c r="G801" s="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4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1"/>
      <c r="C802" s="2"/>
      <c r="D802" s="2"/>
      <c r="E802" s="3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4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1"/>
      <c r="C803" s="2"/>
      <c r="D803" s="2"/>
      <c r="E803" s="3"/>
      <c r="F803" s="2"/>
      <c r="G803" s="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4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1"/>
      <c r="C804" s="2"/>
      <c r="D804" s="2"/>
      <c r="E804" s="3"/>
      <c r="F804" s="2"/>
      <c r="G804" s="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4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1"/>
      <c r="C805" s="2"/>
      <c r="D805" s="2"/>
      <c r="E805" s="3"/>
      <c r="F805" s="2"/>
      <c r="G805" s="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4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1"/>
      <c r="C806" s="2"/>
      <c r="D806" s="2"/>
      <c r="E806" s="3"/>
      <c r="F806" s="2"/>
      <c r="G806" s="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4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1"/>
      <c r="C807" s="2"/>
      <c r="D807" s="2"/>
      <c r="E807" s="3"/>
      <c r="F807" s="2"/>
      <c r="G807" s="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4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1"/>
      <c r="C808" s="2"/>
      <c r="D808" s="2"/>
      <c r="E808" s="3"/>
      <c r="F808" s="2"/>
      <c r="G808" s="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4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1"/>
      <c r="C809" s="2"/>
      <c r="D809" s="2"/>
      <c r="E809" s="3"/>
      <c r="F809" s="2"/>
      <c r="G809" s="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4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1"/>
      <c r="C810" s="2"/>
      <c r="D810" s="2"/>
      <c r="E810" s="3"/>
      <c r="F810" s="2"/>
      <c r="G810" s="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4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1"/>
      <c r="C811" s="2"/>
      <c r="D811" s="2"/>
      <c r="E811" s="3"/>
      <c r="F811" s="2"/>
      <c r="G811" s="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4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1"/>
      <c r="C812" s="2"/>
      <c r="D812" s="2"/>
      <c r="E812" s="3"/>
      <c r="F812" s="2"/>
      <c r="G812" s="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4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1"/>
      <c r="C813" s="2"/>
      <c r="D813" s="2"/>
      <c r="E813" s="3"/>
      <c r="F813" s="2"/>
      <c r="G813" s="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4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1"/>
      <c r="C814" s="2"/>
      <c r="D814" s="2"/>
      <c r="E814" s="3"/>
      <c r="F814" s="2"/>
      <c r="G814" s="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4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1"/>
      <c r="C815" s="2"/>
      <c r="D815" s="2"/>
      <c r="E815" s="3"/>
      <c r="F815" s="2"/>
      <c r="G815" s="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4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1"/>
      <c r="C816" s="2"/>
      <c r="D816" s="2"/>
      <c r="E816" s="3"/>
      <c r="F816" s="2"/>
      <c r="G816" s="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4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1"/>
      <c r="C817" s="2"/>
      <c r="D817" s="2"/>
      <c r="E817" s="3"/>
      <c r="F817" s="2"/>
      <c r="G817" s="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4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1"/>
      <c r="C818" s="2"/>
      <c r="D818" s="2"/>
      <c r="E818" s="3"/>
      <c r="F818" s="2"/>
      <c r="G818" s="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4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1"/>
      <c r="C819" s="2"/>
      <c r="D819" s="2"/>
      <c r="E819" s="3"/>
      <c r="F819" s="2"/>
      <c r="G819" s="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4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1"/>
      <c r="C820" s="2"/>
      <c r="D820" s="2"/>
      <c r="E820" s="3"/>
      <c r="F820" s="2"/>
      <c r="G820" s="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4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1"/>
      <c r="C821" s="2"/>
      <c r="D821" s="2"/>
      <c r="E821" s="3"/>
      <c r="F821" s="2"/>
      <c r="G821" s="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4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1"/>
      <c r="C822" s="2"/>
      <c r="D822" s="2"/>
      <c r="E822" s="3"/>
      <c r="F822" s="2"/>
      <c r="G822" s="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4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1"/>
      <c r="C823" s="2"/>
      <c r="D823" s="2"/>
      <c r="E823" s="3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4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1"/>
      <c r="C824" s="2"/>
      <c r="D824" s="2"/>
      <c r="E824" s="3"/>
      <c r="F824" s="2"/>
      <c r="G824" s="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4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1"/>
      <c r="C825" s="2"/>
      <c r="D825" s="2"/>
      <c r="E825" s="3"/>
      <c r="F825" s="2"/>
      <c r="G825" s="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4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1"/>
      <c r="C826" s="2"/>
      <c r="D826" s="2"/>
      <c r="E826" s="3"/>
      <c r="F826" s="2"/>
      <c r="G826" s="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4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1"/>
      <c r="C827" s="2"/>
      <c r="D827" s="2"/>
      <c r="E827" s="3"/>
      <c r="F827" s="2"/>
      <c r="G827" s="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4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1"/>
      <c r="C828" s="2"/>
      <c r="D828" s="2"/>
      <c r="E828" s="3"/>
      <c r="F828" s="2"/>
      <c r="G828" s="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4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1"/>
      <c r="C829" s="2"/>
      <c r="D829" s="2"/>
      <c r="E829" s="3"/>
      <c r="F829" s="2"/>
      <c r="G829" s="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4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1"/>
      <c r="C830" s="2"/>
      <c r="D830" s="2"/>
      <c r="E830" s="3"/>
      <c r="F830" s="2"/>
      <c r="G830" s="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4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1"/>
      <c r="C831" s="2"/>
      <c r="D831" s="2"/>
      <c r="E831" s="3"/>
      <c r="F831" s="2"/>
      <c r="G831" s="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4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1"/>
      <c r="C832" s="2"/>
      <c r="D832" s="2"/>
      <c r="E832" s="3"/>
      <c r="F832" s="2"/>
      <c r="G832" s="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4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1"/>
      <c r="C833" s="2"/>
      <c r="D833" s="2"/>
      <c r="E833" s="3"/>
      <c r="F833" s="2"/>
      <c r="G833" s="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4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1"/>
      <c r="C834" s="2"/>
      <c r="D834" s="2"/>
      <c r="E834" s="3"/>
      <c r="F834" s="2"/>
      <c r="G834" s="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4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1"/>
      <c r="C835" s="2"/>
      <c r="D835" s="2"/>
      <c r="E835" s="3"/>
      <c r="F835" s="2"/>
      <c r="G835" s="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4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1"/>
      <c r="C836" s="2"/>
      <c r="D836" s="2"/>
      <c r="E836" s="3"/>
      <c r="F836" s="2"/>
      <c r="G836" s="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4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1"/>
      <c r="C837" s="2"/>
      <c r="D837" s="2"/>
      <c r="E837" s="3"/>
      <c r="F837" s="2"/>
      <c r="G837" s="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4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1"/>
      <c r="C838" s="2"/>
      <c r="D838" s="2"/>
      <c r="E838" s="3"/>
      <c r="F838" s="2"/>
      <c r="G838" s="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4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1"/>
      <c r="C839" s="2"/>
      <c r="D839" s="2"/>
      <c r="E839" s="3"/>
      <c r="F839" s="2"/>
      <c r="G839" s="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4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1"/>
      <c r="C840" s="2"/>
      <c r="D840" s="2"/>
      <c r="E840" s="3"/>
      <c r="F840" s="2"/>
      <c r="G840" s="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4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1"/>
      <c r="C841" s="2"/>
      <c r="D841" s="2"/>
      <c r="E841" s="3"/>
      <c r="F841" s="2"/>
      <c r="G841" s="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4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1"/>
      <c r="C842" s="2"/>
      <c r="D842" s="2"/>
      <c r="E842" s="3"/>
      <c r="F842" s="2"/>
      <c r="G842" s="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4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1"/>
      <c r="C843" s="2"/>
      <c r="D843" s="2"/>
      <c r="E843" s="3"/>
      <c r="F843" s="2"/>
      <c r="G843" s="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4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1"/>
      <c r="C844" s="2"/>
      <c r="D844" s="2"/>
      <c r="E844" s="3"/>
      <c r="F844" s="2"/>
      <c r="G844" s="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4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1"/>
      <c r="C845" s="2"/>
      <c r="D845" s="2"/>
      <c r="E845" s="3"/>
      <c r="F845" s="2"/>
      <c r="G845" s="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4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1"/>
      <c r="C846" s="2"/>
      <c r="D846" s="2"/>
      <c r="E846" s="3"/>
      <c r="F846" s="2"/>
      <c r="G846" s="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4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1"/>
      <c r="C847" s="2"/>
      <c r="D847" s="2"/>
      <c r="E847" s="3"/>
      <c r="F847" s="2"/>
      <c r="G847" s="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4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1"/>
      <c r="C848" s="2"/>
      <c r="D848" s="2"/>
      <c r="E848" s="3"/>
      <c r="F848" s="2"/>
      <c r="G848" s="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4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1"/>
      <c r="C849" s="2"/>
      <c r="D849" s="2"/>
      <c r="E849" s="3"/>
      <c r="F849" s="2"/>
      <c r="G849" s="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4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1"/>
      <c r="C850" s="2"/>
      <c r="D850" s="2"/>
      <c r="E850" s="3"/>
      <c r="F850" s="2"/>
      <c r="G850" s="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1"/>
      <c r="C851" s="2"/>
      <c r="D851" s="2"/>
      <c r="E851" s="3"/>
      <c r="F851" s="2"/>
      <c r="G851" s="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1"/>
      <c r="C852" s="2"/>
      <c r="D852" s="2"/>
      <c r="E852" s="3"/>
      <c r="F852" s="2"/>
      <c r="G852" s="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1"/>
      <c r="C853" s="2"/>
      <c r="D853" s="2"/>
      <c r="E853" s="3"/>
      <c r="F853" s="2"/>
      <c r="G853" s="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1"/>
      <c r="C854" s="2"/>
      <c r="D854" s="2"/>
      <c r="E854" s="3"/>
      <c r="F854" s="2"/>
      <c r="G854" s="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1"/>
      <c r="C855" s="2"/>
      <c r="D855" s="2"/>
      <c r="E855" s="3"/>
      <c r="F855" s="2"/>
      <c r="G855" s="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1"/>
      <c r="C856" s="2"/>
      <c r="D856" s="2"/>
      <c r="E856" s="3"/>
      <c r="F856" s="2"/>
      <c r="G856" s="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1"/>
      <c r="C857" s="2"/>
      <c r="D857" s="2"/>
      <c r="E857" s="3"/>
      <c r="F857" s="2"/>
      <c r="G857" s="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1"/>
      <c r="C858" s="2"/>
      <c r="D858" s="2"/>
      <c r="E858" s="3"/>
      <c r="F858" s="2"/>
      <c r="G858" s="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1"/>
      <c r="C859" s="2"/>
      <c r="D859" s="2"/>
      <c r="E859" s="3"/>
      <c r="F859" s="2"/>
      <c r="G859" s="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1"/>
      <c r="C860" s="2"/>
      <c r="D860" s="2"/>
      <c r="E860" s="3"/>
      <c r="F860" s="2"/>
      <c r="G860" s="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1"/>
      <c r="C861" s="2"/>
      <c r="D861" s="2"/>
      <c r="E861" s="3"/>
      <c r="F861" s="2"/>
      <c r="G861" s="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1"/>
      <c r="C862" s="2"/>
      <c r="D862" s="2"/>
      <c r="E862" s="3"/>
      <c r="F862" s="2"/>
      <c r="G862" s="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1"/>
      <c r="C863" s="2"/>
      <c r="D863" s="2"/>
      <c r="E863" s="3"/>
      <c r="F863" s="2"/>
      <c r="G863" s="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1"/>
      <c r="C864" s="2"/>
      <c r="D864" s="2"/>
      <c r="E864" s="3"/>
      <c r="F864" s="2"/>
      <c r="G864" s="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1"/>
      <c r="C865" s="2"/>
      <c r="D865" s="2"/>
      <c r="E865" s="3"/>
      <c r="F865" s="2"/>
      <c r="G865" s="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1"/>
      <c r="C866" s="2"/>
      <c r="D866" s="2"/>
      <c r="E866" s="3"/>
      <c r="F866" s="2"/>
      <c r="G866" s="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1"/>
      <c r="C867" s="2"/>
      <c r="D867" s="2"/>
      <c r="E867" s="3"/>
      <c r="F867" s="2"/>
      <c r="G867" s="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1"/>
      <c r="C868" s="2"/>
      <c r="D868" s="2"/>
      <c r="E868" s="3"/>
      <c r="F868" s="2"/>
      <c r="G868" s="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1"/>
      <c r="C869" s="2"/>
      <c r="D869" s="2"/>
      <c r="E869" s="3"/>
      <c r="F869" s="2"/>
      <c r="G869" s="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1"/>
      <c r="C870" s="2"/>
      <c r="D870" s="2"/>
      <c r="E870" s="3"/>
      <c r="F870" s="2"/>
      <c r="G870" s="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1"/>
      <c r="C871" s="2"/>
      <c r="D871" s="2"/>
      <c r="E871" s="3"/>
      <c r="F871" s="2"/>
      <c r="G871" s="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1"/>
      <c r="C872" s="2"/>
      <c r="D872" s="2"/>
      <c r="E872" s="3"/>
      <c r="F872" s="2"/>
      <c r="G872" s="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1"/>
      <c r="C873" s="2"/>
      <c r="D873" s="2"/>
      <c r="E873" s="3"/>
      <c r="F873" s="2"/>
      <c r="G873" s="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1"/>
      <c r="C874" s="2"/>
      <c r="D874" s="2"/>
      <c r="E874" s="3"/>
      <c r="F874" s="2"/>
      <c r="G874" s="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1"/>
      <c r="C875" s="2"/>
      <c r="D875" s="2"/>
      <c r="E875" s="3"/>
      <c r="F875" s="2"/>
      <c r="G875" s="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1"/>
      <c r="C876" s="2"/>
      <c r="D876" s="2"/>
      <c r="E876" s="3"/>
      <c r="F876" s="2"/>
      <c r="G876" s="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1"/>
      <c r="C877" s="2"/>
      <c r="D877" s="2"/>
      <c r="E877" s="3"/>
      <c r="F877" s="2"/>
      <c r="G877" s="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1"/>
      <c r="C878" s="2"/>
      <c r="D878" s="2"/>
      <c r="E878" s="3"/>
      <c r="F878" s="2"/>
      <c r="G878" s="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1"/>
      <c r="C879" s="2"/>
      <c r="D879" s="2"/>
      <c r="E879" s="3"/>
      <c r="F879" s="2"/>
      <c r="G879" s="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1"/>
      <c r="C880" s="2"/>
      <c r="D880" s="2"/>
      <c r="E880" s="3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1"/>
      <c r="C881" s="2"/>
      <c r="D881" s="2"/>
      <c r="E881" s="3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1"/>
      <c r="C882" s="2"/>
      <c r="D882" s="2"/>
      <c r="E882" s="3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1"/>
      <c r="C883" s="2"/>
      <c r="D883" s="2"/>
      <c r="E883" s="3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1"/>
      <c r="C884" s="2"/>
      <c r="D884" s="2"/>
      <c r="E884" s="3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1"/>
      <c r="C885" s="2"/>
      <c r="D885" s="2"/>
      <c r="E885" s="3"/>
      <c r="F885" s="2"/>
      <c r="G885" s="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1"/>
      <c r="C886" s="2"/>
      <c r="D886" s="2"/>
      <c r="E886" s="3"/>
      <c r="F886" s="2"/>
      <c r="G886" s="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1"/>
      <c r="C887" s="2"/>
      <c r="D887" s="2"/>
      <c r="E887" s="3"/>
      <c r="F887" s="2"/>
      <c r="G887" s="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1"/>
      <c r="C888" s="2"/>
      <c r="D888" s="2"/>
      <c r="E888" s="3"/>
      <c r="F888" s="2"/>
      <c r="G888" s="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1"/>
      <c r="C889" s="2"/>
      <c r="D889" s="2"/>
      <c r="E889" s="3"/>
      <c r="F889" s="2"/>
      <c r="G889" s="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1"/>
      <c r="C890" s="2"/>
      <c r="D890" s="2"/>
      <c r="E890" s="3"/>
      <c r="F890" s="2"/>
      <c r="G890" s="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1"/>
      <c r="C891" s="2"/>
      <c r="D891" s="2"/>
      <c r="E891" s="3"/>
      <c r="F891" s="2"/>
      <c r="G891" s="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1"/>
      <c r="C892" s="2"/>
      <c r="D892" s="2"/>
      <c r="E892" s="3"/>
      <c r="F892" s="2"/>
      <c r="G892" s="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1"/>
      <c r="C893" s="2"/>
      <c r="D893" s="2"/>
      <c r="E893" s="3"/>
      <c r="F893" s="2"/>
      <c r="G893" s="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1"/>
      <c r="C894" s="2"/>
      <c r="D894" s="2"/>
      <c r="E894" s="3"/>
      <c r="F894" s="2"/>
      <c r="G894" s="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1"/>
      <c r="C895" s="2"/>
      <c r="D895" s="2"/>
      <c r="E895" s="3"/>
      <c r="F895" s="2"/>
      <c r="G895" s="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1"/>
      <c r="C896" s="2"/>
      <c r="D896" s="2"/>
      <c r="E896" s="3"/>
      <c r="F896" s="2"/>
      <c r="G896" s="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1"/>
      <c r="C897" s="2"/>
      <c r="D897" s="2"/>
      <c r="E897" s="3"/>
      <c r="F897" s="2"/>
      <c r="G897" s="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1"/>
      <c r="C898" s="2"/>
      <c r="D898" s="2"/>
      <c r="E898" s="3"/>
      <c r="F898" s="2"/>
      <c r="G898" s="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1"/>
      <c r="C899" s="2"/>
      <c r="D899" s="2"/>
      <c r="E899" s="3"/>
      <c r="F899" s="2"/>
      <c r="G899" s="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1"/>
      <c r="C900" s="2"/>
      <c r="D900" s="2"/>
      <c r="E900" s="3"/>
      <c r="F900" s="2"/>
      <c r="G900" s="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1"/>
      <c r="C901" s="2"/>
      <c r="D901" s="2"/>
      <c r="E901" s="3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1"/>
      <c r="C902" s="2"/>
      <c r="D902" s="2"/>
      <c r="E902" s="3"/>
      <c r="F902" s="2"/>
      <c r="G902" s="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1"/>
      <c r="C903" s="2"/>
      <c r="D903" s="2"/>
      <c r="E903" s="3"/>
      <c r="F903" s="2"/>
      <c r="G903" s="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1"/>
      <c r="C904" s="2"/>
      <c r="D904" s="2"/>
      <c r="E904" s="3"/>
      <c r="F904" s="2"/>
      <c r="G904" s="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1"/>
      <c r="C905" s="2"/>
      <c r="D905" s="2"/>
      <c r="E905" s="3"/>
      <c r="F905" s="2"/>
      <c r="G905" s="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1"/>
      <c r="C906" s="2"/>
      <c r="D906" s="2"/>
      <c r="E906" s="3"/>
      <c r="F906" s="2"/>
      <c r="G906" s="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1"/>
      <c r="C907" s="2"/>
      <c r="D907" s="2"/>
      <c r="E907" s="3"/>
      <c r="F907" s="2"/>
      <c r="G907" s="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1"/>
      <c r="C908" s="2"/>
      <c r="D908" s="2"/>
      <c r="E908" s="3"/>
      <c r="F908" s="2"/>
      <c r="G908" s="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1"/>
      <c r="C909" s="2"/>
      <c r="D909" s="2"/>
      <c r="E909" s="3"/>
      <c r="F909" s="2"/>
      <c r="G909" s="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1"/>
      <c r="C910" s="2"/>
      <c r="D910" s="2"/>
      <c r="E910" s="3"/>
      <c r="F910" s="2"/>
      <c r="G910" s="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1"/>
      <c r="C911" s="2"/>
      <c r="D911" s="2"/>
      <c r="E911" s="3"/>
      <c r="F911" s="2"/>
      <c r="G911" s="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1"/>
      <c r="C912" s="2"/>
      <c r="D912" s="2"/>
      <c r="E912" s="3"/>
      <c r="F912" s="2"/>
      <c r="G912" s="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1"/>
      <c r="C913" s="2"/>
      <c r="D913" s="2"/>
      <c r="E913" s="3"/>
      <c r="F913" s="2"/>
      <c r="G913" s="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1"/>
      <c r="C914" s="2"/>
      <c r="D914" s="2"/>
      <c r="E914" s="3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1"/>
      <c r="C915" s="2"/>
      <c r="D915" s="2"/>
      <c r="E915" s="3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1"/>
      <c r="C916" s="2"/>
      <c r="D916" s="2"/>
      <c r="E916" s="3"/>
      <c r="F916" s="2"/>
      <c r="G916" s="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1"/>
      <c r="C917" s="2"/>
      <c r="D917" s="2"/>
      <c r="E917" s="3"/>
      <c r="F917" s="2"/>
      <c r="G917" s="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1"/>
      <c r="C918" s="2"/>
      <c r="D918" s="2"/>
      <c r="E918" s="3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1"/>
      <c r="C919" s="2"/>
      <c r="D919" s="2"/>
      <c r="E919" s="3"/>
      <c r="F919" s="2"/>
      <c r="G919" s="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1"/>
      <c r="C920" s="2"/>
      <c r="D920" s="2"/>
      <c r="E920" s="3"/>
      <c r="F920" s="2"/>
      <c r="G920" s="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1"/>
      <c r="C921" s="2"/>
      <c r="D921" s="2"/>
      <c r="E921" s="3"/>
      <c r="F921" s="2"/>
      <c r="G921" s="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1"/>
      <c r="C922" s="2"/>
      <c r="D922" s="2"/>
      <c r="E922" s="3"/>
      <c r="F922" s="2"/>
      <c r="G922" s="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1"/>
      <c r="C923" s="2"/>
      <c r="D923" s="2"/>
      <c r="E923" s="3"/>
      <c r="F923" s="2"/>
      <c r="G923" s="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1"/>
      <c r="C924" s="2"/>
      <c r="D924" s="2"/>
      <c r="E924" s="3"/>
      <c r="F924" s="2"/>
      <c r="G924" s="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1"/>
      <c r="C925" s="2"/>
      <c r="D925" s="2"/>
      <c r="E925" s="3"/>
      <c r="F925" s="2"/>
      <c r="G925" s="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1"/>
      <c r="C926" s="2"/>
      <c r="D926" s="2"/>
      <c r="E926" s="3"/>
      <c r="F926" s="2"/>
      <c r="G926" s="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1"/>
      <c r="C927" s="2"/>
      <c r="D927" s="2"/>
      <c r="E927" s="3"/>
      <c r="F927" s="2"/>
      <c r="G927" s="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1"/>
      <c r="C928" s="2"/>
      <c r="D928" s="2"/>
      <c r="E928" s="3"/>
      <c r="F928" s="2"/>
      <c r="G928" s="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1"/>
      <c r="C929" s="2"/>
      <c r="D929" s="2"/>
      <c r="E929" s="3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1"/>
      <c r="C930" s="2"/>
      <c r="D930" s="2"/>
      <c r="E930" s="3"/>
      <c r="F930" s="2"/>
      <c r="G930" s="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1"/>
      <c r="C931" s="2"/>
      <c r="D931" s="2"/>
      <c r="E931" s="3"/>
      <c r="F931" s="2"/>
      <c r="G931" s="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1"/>
      <c r="C932" s="2"/>
      <c r="D932" s="2"/>
      <c r="E932" s="3"/>
      <c r="F932" s="2"/>
      <c r="G932" s="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1"/>
      <c r="C933" s="2"/>
      <c r="D933" s="2"/>
      <c r="E933" s="3"/>
      <c r="F933" s="2"/>
      <c r="G933" s="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1"/>
      <c r="C934" s="2"/>
      <c r="D934" s="2"/>
      <c r="E934" s="3"/>
      <c r="F934" s="2"/>
      <c r="G934" s="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1"/>
      <c r="C935" s="2"/>
      <c r="D935" s="2"/>
      <c r="E935" s="3"/>
      <c r="F935" s="2"/>
      <c r="G935" s="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1"/>
      <c r="C936" s="2"/>
      <c r="D936" s="2"/>
      <c r="E936" s="3"/>
      <c r="F936" s="2"/>
      <c r="G936" s="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1"/>
      <c r="C937" s="2"/>
      <c r="D937" s="2"/>
      <c r="E937" s="3"/>
      <c r="F937" s="2"/>
      <c r="G937" s="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1"/>
      <c r="C938" s="2"/>
      <c r="D938" s="2"/>
      <c r="E938" s="3"/>
      <c r="F938" s="2"/>
      <c r="G938" s="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1"/>
      <c r="C939" s="2"/>
      <c r="D939" s="2"/>
      <c r="E939" s="3"/>
      <c r="F939" s="2"/>
      <c r="G939" s="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1"/>
      <c r="C940" s="2"/>
      <c r="D940" s="2"/>
      <c r="E940" s="3"/>
      <c r="F940" s="2"/>
      <c r="G940" s="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1"/>
      <c r="C941" s="2"/>
      <c r="D941" s="2"/>
      <c r="E941" s="3"/>
      <c r="F941" s="2"/>
      <c r="G941" s="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1"/>
      <c r="C942" s="2"/>
      <c r="D942" s="2"/>
      <c r="E942" s="3"/>
      <c r="F942" s="2"/>
      <c r="G942" s="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1"/>
      <c r="C943" s="2"/>
      <c r="D943" s="2"/>
      <c r="E943" s="3"/>
      <c r="F943" s="2"/>
      <c r="G943" s="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1"/>
      <c r="C944" s="2"/>
      <c r="D944" s="2"/>
      <c r="E944" s="3"/>
      <c r="F944" s="2"/>
      <c r="G944" s="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1"/>
      <c r="C945" s="2"/>
      <c r="D945" s="2"/>
      <c r="E945" s="3"/>
      <c r="F945" s="2"/>
      <c r="G945" s="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1"/>
      <c r="C946" s="2"/>
      <c r="D946" s="2"/>
      <c r="E946" s="3"/>
      <c r="F946" s="2"/>
      <c r="G946" s="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1"/>
      <c r="C947" s="2"/>
      <c r="D947" s="2"/>
      <c r="E947" s="3"/>
      <c r="F947" s="2"/>
      <c r="G947" s="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1"/>
      <c r="C948" s="2"/>
      <c r="D948" s="2"/>
      <c r="E948" s="3"/>
      <c r="F948" s="2"/>
      <c r="G948" s="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1"/>
      <c r="C949" s="2"/>
      <c r="D949" s="2"/>
      <c r="E949" s="3"/>
      <c r="F949" s="2"/>
      <c r="G949" s="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1"/>
      <c r="C950" s="2"/>
      <c r="D950" s="2"/>
      <c r="E950" s="3"/>
      <c r="F950" s="2"/>
      <c r="G950" s="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1"/>
      <c r="C951" s="2"/>
      <c r="D951" s="2"/>
      <c r="E951" s="3"/>
      <c r="F951" s="2"/>
      <c r="G951" s="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1"/>
      <c r="C952" s="2"/>
      <c r="D952" s="2"/>
      <c r="E952" s="3"/>
      <c r="F952" s="2"/>
      <c r="G952" s="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1"/>
      <c r="C953" s="2"/>
      <c r="D953" s="2"/>
      <c r="E953" s="3"/>
      <c r="F953" s="2"/>
      <c r="G953" s="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1"/>
      <c r="C954" s="2"/>
      <c r="D954" s="2"/>
      <c r="E954" s="3"/>
      <c r="F954" s="2"/>
      <c r="G954" s="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1"/>
      <c r="C955" s="2"/>
      <c r="D955" s="2"/>
      <c r="E955" s="3"/>
      <c r="F955" s="2"/>
      <c r="G955" s="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1"/>
      <c r="C956" s="2"/>
      <c r="D956" s="2"/>
      <c r="E956" s="3"/>
      <c r="F956" s="2"/>
      <c r="G956" s="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1"/>
      <c r="C957" s="2"/>
      <c r="D957" s="2"/>
      <c r="E957" s="3"/>
      <c r="F957" s="2"/>
      <c r="G957" s="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1"/>
      <c r="C958" s="2"/>
      <c r="D958" s="2"/>
      <c r="E958" s="3"/>
      <c r="F958" s="2"/>
      <c r="G958" s="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1"/>
      <c r="C959" s="2"/>
      <c r="D959" s="2"/>
      <c r="E959" s="3"/>
      <c r="F959" s="2"/>
      <c r="G959" s="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1"/>
      <c r="C960" s="2"/>
      <c r="D960" s="2"/>
      <c r="E960" s="3"/>
      <c r="F960" s="2"/>
      <c r="G960" s="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1"/>
      <c r="C961" s="2"/>
      <c r="D961" s="2"/>
      <c r="E961" s="3"/>
      <c r="F961" s="2"/>
      <c r="G961" s="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1"/>
      <c r="C962" s="2"/>
      <c r="D962" s="2"/>
      <c r="E962" s="3"/>
      <c r="F962" s="2"/>
      <c r="G962" s="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1"/>
      <c r="C963" s="2"/>
      <c r="D963" s="2"/>
      <c r="E963" s="3"/>
      <c r="F963" s="2"/>
      <c r="G963" s="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1"/>
      <c r="C964" s="2"/>
      <c r="D964" s="2"/>
      <c r="E964" s="3"/>
      <c r="F964" s="2"/>
      <c r="G964" s="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1"/>
      <c r="C965" s="2"/>
      <c r="D965" s="2"/>
      <c r="E965" s="3"/>
      <c r="F965" s="2"/>
      <c r="G965" s="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1"/>
      <c r="C966" s="2"/>
      <c r="D966" s="2"/>
      <c r="E966" s="3"/>
      <c r="F966" s="2"/>
      <c r="G966" s="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1"/>
      <c r="C967" s="2"/>
      <c r="D967" s="2"/>
      <c r="E967" s="3"/>
      <c r="F967" s="2"/>
      <c r="G967" s="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1"/>
      <c r="C968" s="2"/>
      <c r="D968" s="2"/>
      <c r="E968" s="3"/>
      <c r="F968" s="2"/>
      <c r="G968" s="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1"/>
      <c r="C969" s="2"/>
      <c r="D969" s="2"/>
      <c r="E969" s="3"/>
      <c r="F969" s="2"/>
      <c r="G969" s="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1"/>
      <c r="C970" s="2"/>
      <c r="D970" s="2"/>
      <c r="E970" s="3"/>
      <c r="F970" s="2"/>
      <c r="G970" s="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1"/>
      <c r="C971" s="2"/>
      <c r="D971" s="2"/>
      <c r="E971" s="3"/>
      <c r="F971" s="2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1"/>
      <c r="C972" s="2"/>
      <c r="D972" s="2"/>
      <c r="E972" s="3"/>
      <c r="F972" s="2"/>
      <c r="G972" s="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1"/>
      <c r="C973" s="2"/>
      <c r="D973" s="2"/>
      <c r="E973" s="3"/>
      <c r="F973" s="2"/>
      <c r="G973" s="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1"/>
      <c r="C974" s="2"/>
      <c r="D974" s="2"/>
      <c r="E974" s="3"/>
      <c r="F974" s="2"/>
      <c r="G974" s="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1"/>
      <c r="C975" s="2"/>
      <c r="D975" s="2"/>
      <c r="E975" s="3"/>
      <c r="F975" s="2"/>
      <c r="G975" s="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1"/>
      <c r="C976" s="2"/>
      <c r="D976" s="2"/>
      <c r="E976" s="3"/>
      <c r="F976" s="2"/>
      <c r="G976" s="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1"/>
      <c r="C977" s="2"/>
      <c r="D977" s="2"/>
      <c r="E977" s="3"/>
      <c r="F977" s="2"/>
      <c r="G977" s="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1"/>
      <c r="C978" s="2"/>
      <c r="D978" s="2"/>
      <c r="E978" s="3"/>
      <c r="F978" s="2"/>
      <c r="G978" s="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1"/>
      <c r="C979" s="2"/>
      <c r="D979" s="2"/>
      <c r="E979" s="3"/>
      <c r="F979" s="2"/>
      <c r="G979" s="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1"/>
      <c r="C980" s="2"/>
      <c r="D980" s="2"/>
      <c r="E980" s="3"/>
      <c r="F980" s="2"/>
      <c r="G980" s="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1"/>
      <c r="C981" s="2"/>
      <c r="D981" s="2"/>
      <c r="E981" s="3"/>
      <c r="F981" s="2"/>
      <c r="G981" s="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1"/>
      <c r="C982" s="2"/>
      <c r="D982" s="2"/>
      <c r="E982" s="3"/>
      <c r="F982" s="2"/>
      <c r="G982" s="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1"/>
      <c r="C983" s="2"/>
      <c r="D983" s="2"/>
      <c r="E983" s="3"/>
      <c r="F983" s="2"/>
      <c r="G983" s="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1"/>
      <c r="C984" s="2"/>
      <c r="D984" s="2"/>
      <c r="E984" s="3"/>
      <c r="F984" s="2"/>
      <c r="G984" s="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1"/>
      <c r="C985" s="2"/>
      <c r="D985" s="2"/>
      <c r="E985" s="3"/>
      <c r="F985" s="2"/>
      <c r="G985" s="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1"/>
      <c r="C986" s="2"/>
      <c r="D986" s="2"/>
      <c r="E986" s="3"/>
      <c r="F986" s="2"/>
      <c r="G986" s="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1"/>
      <c r="C987" s="2"/>
      <c r="D987" s="2"/>
      <c r="E987" s="3"/>
      <c r="F987" s="2"/>
      <c r="G987" s="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1"/>
      <c r="C988" s="2"/>
      <c r="D988" s="2"/>
      <c r="E988" s="3"/>
      <c r="F988" s="2"/>
      <c r="G988" s="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1"/>
      <c r="C989" s="2"/>
      <c r="D989" s="2"/>
      <c r="E989" s="3"/>
      <c r="F989" s="2"/>
      <c r="G989" s="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1"/>
      <c r="C990" s="2"/>
      <c r="D990" s="2"/>
      <c r="E990" s="3"/>
      <c r="F990" s="2"/>
      <c r="G990" s="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1"/>
      <c r="C991" s="2"/>
      <c r="D991" s="2"/>
      <c r="E991" s="3"/>
      <c r="F991" s="2"/>
      <c r="G991" s="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1"/>
      <c r="C992" s="2"/>
      <c r="D992" s="2"/>
      <c r="E992" s="3"/>
      <c r="F992" s="2"/>
      <c r="G992" s="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1"/>
      <c r="C993" s="2"/>
      <c r="D993" s="2"/>
      <c r="E993" s="3"/>
      <c r="F993" s="2"/>
      <c r="G993" s="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1"/>
      <c r="C994" s="2"/>
      <c r="D994" s="2"/>
      <c r="E994" s="3"/>
      <c r="F994" s="2"/>
      <c r="G994" s="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1"/>
      <c r="C995" s="2"/>
      <c r="D995" s="2"/>
      <c r="E995" s="3"/>
      <c r="F995" s="2"/>
      <c r="G995" s="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1"/>
      <c r="C996" s="2"/>
      <c r="D996" s="2"/>
      <c r="E996" s="3"/>
      <c r="F996" s="2"/>
      <c r="G996" s="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1"/>
      <c r="C997" s="2"/>
      <c r="D997" s="2"/>
      <c r="E997" s="3"/>
      <c r="F997" s="2"/>
      <c r="G997" s="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4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1"/>
      <c r="C998" s="2"/>
      <c r="D998" s="2"/>
      <c r="E998" s="3"/>
      <c r="F998" s="2"/>
      <c r="G998" s="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4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1"/>
      <c r="C999" s="2"/>
      <c r="D999" s="2"/>
      <c r="E999" s="3"/>
      <c r="F999" s="2"/>
      <c r="G999" s="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4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1"/>
      <c r="C1000" s="2"/>
      <c r="D1000" s="2"/>
      <c r="E1000" s="3"/>
      <c r="F1000" s="2"/>
      <c r="G1000" s="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4"/>
      <c r="S1000" s="5"/>
      <c r="T1000" s="5"/>
      <c r="U1000" s="5"/>
      <c r="V1000" s="5"/>
      <c r="W1000" s="5"/>
      <c r="X1000" s="5"/>
      <c r="Y1000" s="5"/>
      <c r="Z1000" s="5"/>
    </row>
  </sheetData>
  <autoFilter ref="$A$3:$Q$141"/>
  <mergeCells count="1">
    <mergeCell ref="H2:P2"/>
  </mergeCells>
  <printOptions/>
  <pageMargins bottom="0.75" footer="0.0" header="0.0" left="0.45" right="0.45" top="0.75"/>
  <pageSetup orientation="landscape"/>
  <drawing r:id="rId1"/>
</worksheet>
</file>