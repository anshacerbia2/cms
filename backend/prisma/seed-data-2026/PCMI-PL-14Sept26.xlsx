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" sheetId="1" r:id="rId4"/>
  </sheets>
  <definedNames/>
  <calcPr/>
  <extLst>
    <ext uri="GoogleSheetsCustomDataVersion2">
      <go:sheetsCustomData xmlns:go="http://customooxmlschemas.google.com/" r:id="rId5" roundtripDataChecksum="ng3h5HGWvu4qkwP8Ojye6kV2dRjltAFQ02JsCUsVLZQ="/>
    </ext>
  </extLst>
</workbook>
</file>

<file path=xl/sharedStrings.xml><?xml version="1.0" encoding="utf-8"?>
<sst xmlns="http://schemas.openxmlformats.org/spreadsheetml/2006/main" count="320" uniqueCount="141">
  <si>
    <t>PT. PANCONVINCE MITRA INTERNATIONAL</t>
  </si>
  <si>
    <t xml:space="preserve"> </t>
  </si>
  <si>
    <t>Profit and Loss Statement : 2026</t>
  </si>
  <si>
    <t>SALES</t>
  </si>
  <si>
    <t>Gross</t>
  </si>
  <si>
    <t>V A T</t>
  </si>
  <si>
    <t>NET SALES</t>
  </si>
  <si>
    <t>AXA AFI Rental LED Screen</t>
  </si>
  <si>
    <t xml:space="preserve">  </t>
  </si>
  <si>
    <t>BRI BPJS Meeting Solo</t>
  </si>
  <si>
    <t>BRI BSBI Kunjungan Kerja Banyuwangi</t>
  </si>
  <si>
    <t>BRI CSR HUT Danantara 2026</t>
  </si>
  <si>
    <t>BRI Farewell Lunch - Greyhound</t>
  </si>
  <si>
    <t>BRI FGD Semarang Komisi XI</t>
  </si>
  <si>
    <t>BRI Konsinyering Komisi VI Menara Brilian</t>
  </si>
  <si>
    <t>BRI Kunjungan Ibu Wapres Seruni ke Padang</t>
  </si>
  <si>
    <t>BRI Kunjungan Kerja BAKN Kota Bahru Parahyangan</t>
  </si>
  <si>
    <t xml:space="preserve">BRI Kunjungan Kerja BAKN Ujung Pandang </t>
  </si>
  <si>
    <t>BRI Kunjungan Kerja Komisi XI DPR RI - Bandung</t>
  </si>
  <si>
    <t>BRI Mudik Bersama BUMN</t>
  </si>
  <si>
    <t>BRI SAR Living Cost Haji</t>
  </si>
  <si>
    <t>BRI Sosialisasi KPP Pontianak</t>
  </si>
  <si>
    <t>BRI Workshop Corsec KBP</t>
  </si>
  <si>
    <t>BSI Kunjungan Kerja BAKN Pangkal Pinang</t>
  </si>
  <si>
    <t>BTN Digital Store Hari Koperasi Nasional</t>
  </si>
  <si>
    <t>BTN FGD Cirebon Komisi XI</t>
  </si>
  <si>
    <t>BTN Konsinyering Banyuwangi</t>
  </si>
  <si>
    <t>FIT Air tickets and others</t>
  </si>
  <si>
    <t>Himbara FGD Fairmont</t>
  </si>
  <si>
    <t>Himbara Konsinyering Pontianak</t>
  </si>
  <si>
    <t>Himbara Kunjungan Kerja Batam BRI dan BTN</t>
  </si>
  <si>
    <t>Himbara Kunjungan Kerja Medan BRI BTN</t>
  </si>
  <si>
    <t>Mandiri FGD Banten</t>
  </si>
  <si>
    <t>Mandiri Juragan Xtra Solo</t>
  </si>
  <si>
    <t>Mandiri Konsinyering Balikpapan</t>
  </si>
  <si>
    <t>Mandiri Mudik Bersama</t>
  </si>
  <si>
    <t>Mandiri Outing Bali</t>
  </si>
  <si>
    <t>Shell Bali Private Trip</t>
  </si>
  <si>
    <t>Shell Bangkok Customer Trip</t>
  </si>
  <si>
    <t>Shell Hexindo Trip Kuala Lumpur</t>
  </si>
  <si>
    <t>Shell Japan Formula 1 Trip</t>
  </si>
  <si>
    <t>Shell Visit Kuala Lumpur</t>
  </si>
  <si>
    <t>Telkom Infra Halal Bihalal ENOM 2.0 Area 1 dan Area 3</t>
  </si>
  <si>
    <t>Telkomsel Alignment Sales Strategy All Branch Sumbagteng Q4 2025</t>
  </si>
  <si>
    <t>Telkomsel ANO Sumatera Network Forum</t>
  </si>
  <si>
    <t>Telkomsel Batam Redesign Network Review</t>
  </si>
  <si>
    <t>Telkomsel Collaboration Pacu Jalur dan HUT Nias 2025</t>
  </si>
  <si>
    <t>Telkomsel Consolidate Pekanbaru</t>
  </si>
  <si>
    <t>Telkomsel Digital Placement Support Area Sumatera</t>
  </si>
  <si>
    <t>Telkomsel E2E Division Alignment Collaboration H1</t>
  </si>
  <si>
    <t>Telkomsel Event HCM - MPP dan Pensiun Q4 2025</t>
  </si>
  <si>
    <t>Telkomsel Event Safari RAFI BOD Palembang</t>
  </si>
  <si>
    <t>Telkomsel Event Securing Target Regional Sumatera Bagian Selatan</t>
  </si>
  <si>
    <t>Telkomsel FB, Reward and Merch Digiads</t>
  </si>
  <si>
    <t>Telkomsel FBP West Area</t>
  </si>
  <si>
    <t>Telkomsel Fiberisasi Target Sumatera</t>
  </si>
  <si>
    <t>Telkomsel Focus Action Paying User Sumatera Q3</t>
  </si>
  <si>
    <t>Telkomsel Ground Check Implementasi Program HH GTM</t>
  </si>
  <si>
    <t>Telkomsel Harmoni Sumatera</t>
  </si>
  <si>
    <t>Telkomsel HUT Telkomsel dan 5G Relaunch Batam</t>
  </si>
  <si>
    <t>Telkomsel Implentasi New Ways of Working</t>
  </si>
  <si>
    <t>Telkomsel International Event Leaders Meeting Q3 2025 PKU</t>
  </si>
  <si>
    <t>Telkomsel Market Visit All Branch Regional SumBagTeng Q4 2025</t>
  </si>
  <si>
    <t>Telkomsel Meeting Procurement Q2 2025</t>
  </si>
  <si>
    <t>Telkomsel Pengawalan Event Regional Sumatera Bagian Utara</t>
  </si>
  <si>
    <t>Telkomsel Pisah Sambut VP Sales A1</t>
  </si>
  <si>
    <t>Telkomsel Program Market Visit (SBU &amp; SBS)</t>
  </si>
  <si>
    <t>Telkomsel Reach Beyond Area Sumatera 2025</t>
  </si>
  <si>
    <t>Telkomsel Sales Academy September 2025</t>
  </si>
  <si>
    <t>Telkomsel Sales Townhall 2025</t>
  </si>
  <si>
    <t>Telkomsel Securing Target SM 1 2025</t>
  </si>
  <si>
    <t>Telkomsel Support Evaluasi GraPARI Optimalisasi Area 1</t>
  </si>
  <si>
    <t>Telkomsel Support Renego Backpacker BKL - LPG Q4 2025</t>
  </si>
  <si>
    <t>Telkomsel TLP</t>
  </si>
  <si>
    <t>Telkomsel Training TL Academy Session 2</t>
  </si>
  <si>
    <t>Telkomsel Workshop Reach Beyond Area Sumatera</t>
  </si>
  <si>
    <t>Telkomsel Workshop Sales A1 Play Hard Serve Harder</t>
  </si>
  <si>
    <t>Trimegah Sekuritas Employee Gathering</t>
  </si>
  <si>
    <t>Trimegah Trainning Camp 2026</t>
  </si>
  <si>
    <t>C O G S</t>
  </si>
  <si>
    <t>BCA Sahardjo</t>
  </si>
  <si>
    <t>BCA Juanda</t>
  </si>
  <si>
    <t>Mandiri Mid Plaza</t>
  </si>
  <si>
    <t>BRI Sahardjo</t>
  </si>
  <si>
    <t>B T N</t>
  </si>
  <si>
    <t>Bank Raya</t>
  </si>
  <si>
    <t>B N I</t>
  </si>
  <si>
    <t>Cash IDR</t>
  </si>
  <si>
    <t>Non CB</t>
  </si>
  <si>
    <t>AP/AR/Others</t>
  </si>
  <si>
    <t>GROSS PROFIT</t>
  </si>
  <si>
    <t>EXPENSES</t>
  </si>
  <si>
    <t>BTN</t>
  </si>
  <si>
    <t>Personal Expense</t>
  </si>
  <si>
    <t>BPJS Kesehatan</t>
  </si>
  <si>
    <t>BPJS Tenaga Kerja</t>
  </si>
  <si>
    <t>Health Insurance</t>
  </si>
  <si>
    <t>Honorarium</t>
  </si>
  <si>
    <t>HR Development</t>
  </si>
  <si>
    <t>Incentive and Bonus</t>
  </si>
  <si>
    <t>Meals Allowance</t>
  </si>
  <si>
    <t>Medical Allowance</t>
  </si>
  <si>
    <t>Overtime</t>
  </si>
  <si>
    <t>Salary and THR</t>
  </si>
  <si>
    <t>Office Expense</t>
  </si>
  <si>
    <t>Building Management</t>
  </si>
  <si>
    <t>Car Insurance</t>
  </si>
  <si>
    <t>Cleaning Service</t>
  </si>
  <si>
    <t>Computer Supplies</t>
  </si>
  <si>
    <t>Donation</t>
  </si>
  <si>
    <t>Groceries and Household Misc</t>
  </si>
  <si>
    <t>Internet and emails</t>
  </si>
  <si>
    <t>License</t>
  </si>
  <si>
    <t>Maintenance</t>
  </si>
  <si>
    <t>Office Rent</t>
  </si>
  <si>
    <t>Photocopy</t>
  </si>
  <si>
    <t>Post and Stamps</t>
  </si>
  <si>
    <t>Stationary</t>
  </si>
  <si>
    <t>Subscription</t>
  </si>
  <si>
    <t>Telephone</t>
  </si>
  <si>
    <t>Transportation</t>
  </si>
  <si>
    <t>Marketing Expense</t>
  </si>
  <si>
    <t>Entertainment</t>
  </si>
  <si>
    <t>Notarial Fee</t>
  </si>
  <si>
    <t>Research,Training and Product Development</t>
  </si>
  <si>
    <t>Sales and Promotion</t>
  </si>
  <si>
    <t>Sales Trip</t>
  </si>
  <si>
    <t>Financial Expense</t>
  </si>
  <si>
    <t>Bank Charge</t>
  </si>
  <si>
    <t>Interest Loan</t>
  </si>
  <si>
    <t>Other Income / Expense</t>
  </si>
  <si>
    <t>Forex Gain (Loss)</t>
  </si>
  <si>
    <t>Interest Income</t>
  </si>
  <si>
    <t>Other Expense</t>
  </si>
  <si>
    <t>Other Income</t>
  </si>
  <si>
    <t>Total Expense</t>
  </si>
  <si>
    <t>OPERATING PROFIT</t>
  </si>
  <si>
    <t>Depreciation</t>
  </si>
  <si>
    <t>PROFIT BEFORE TAX</t>
  </si>
  <si>
    <t>Income Tax</t>
  </si>
  <si>
    <t>PROFIT AFTER 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</si>
</sst>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_);_(@_)"/>
    <numFmt numFmtId="165" formatCode="_(* #,##0.00_);_(* \(#,##0.00\);_(* &quot;-&quot;??_);_(@_)"/>
    <numFmt numFmtId="166" formatCode="_(* #,##0_);_(* \(#,##0\);_(* &quot;-&quot;_);_(@_)"/>
  </numFmts>
  <fonts count="8">
    <font>
      <sz val="12.0"/>
      <color theme="1"/>
      <name val="Times New Roman"/>
      <scheme val="minor"/>
    </font>
    <font>
      <b/>
      <sz val="14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rgb="FFFF0000"/>
      <name val="Times New Roman"/>
    </font>
    <font>
      <color theme="1"/>
      <name val="Times New Roman"/>
      <scheme val="minor"/>
    </font>
    <font>
      <b/>
      <sz val="12.0"/>
      <color rgb="FF0070C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3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quotePrefix="1" borderId="0" fillId="0" fontId="2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3" numFmtId="164" xfId="0" applyFont="1" applyNumberFormat="1"/>
    <xf borderId="0" fillId="0" fontId="2" numFmtId="9" xfId="0" applyFont="1" applyNumberFormat="1"/>
    <xf borderId="0" fillId="0" fontId="4" numFmtId="164" xfId="0" applyAlignment="1" applyFont="1" applyNumberFormat="1">
      <alignment horizontal="center"/>
    </xf>
    <xf borderId="0" fillId="0" fontId="5" numFmtId="164" xfId="0" applyFont="1" applyNumberFormat="1"/>
    <xf borderId="0" fillId="0" fontId="5" numFmtId="0" xfId="0" applyFont="1"/>
    <xf borderId="0" fillId="0" fontId="3" numFmtId="10" xfId="0" applyFont="1" applyNumberFormat="1"/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6" numFmtId="0" xfId="0" applyFont="1"/>
    <xf borderId="0" fillId="0" fontId="7" numFmtId="164" xfId="0" applyFont="1" applyNumberFormat="1"/>
    <xf borderId="0" fillId="0" fontId="2" numFmtId="10" xfId="0" applyFont="1" applyNumberFormat="1"/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44"/>
    <col customWidth="1" min="2" max="2" width="67.67"/>
    <col customWidth="1" min="3" max="3" width="20.0"/>
    <col customWidth="1" min="4" max="4" width="19.44"/>
    <col customWidth="1" min="5" max="5" width="20.33"/>
    <col customWidth="1" min="6" max="12" width="17.78"/>
    <col customWidth="1" min="13" max="13" width="2.0"/>
    <col customWidth="1" min="14" max="14" width="19.44"/>
    <col customWidth="1" min="15" max="15" width="12.44"/>
    <col customWidth="1" min="16" max="16" width="10.56"/>
    <col customWidth="1" min="17" max="17" width="16.67"/>
    <col customWidth="1" min="18" max="26" width="10.56"/>
  </cols>
  <sheetData>
    <row r="1" ht="15.7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 t="s">
        <v>1</v>
      </c>
      <c r="L1" s="2" t="s">
        <v>1</v>
      </c>
      <c r="M1" s="2"/>
      <c r="N1" s="2"/>
    </row>
    <row r="2" ht="15.75" customHeight="1">
      <c r="A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.75" customHeight="1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.75" customHeight="1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5.75" customHeight="1">
      <c r="B5" s="3" t="s">
        <v>3</v>
      </c>
      <c r="C5" s="4" t="s">
        <v>4</v>
      </c>
      <c r="D5" s="4" t="s">
        <v>5</v>
      </c>
      <c r="E5" s="4" t="s">
        <v>1</v>
      </c>
      <c r="F5" s="4" t="s">
        <v>1</v>
      </c>
      <c r="G5" s="4" t="s">
        <v>1</v>
      </c>
      <c r="H5" s="4"/>
      <c r="I5" s="4"/>
      <c r="J5" s="4"/>
      <c r="K5" s="2"/>
      <c r="L5" s="2"/>
      <c r="M5" s="2"/>
      <c r="N5" s="4" t="s">
        <v>6</v>
      </c>
    </row>
    <row r="6" ht="15.75" customHeight="1">
      <c r="A6" s="5">
        <v>1.0</v>
      </c>
      <c r="B6" s="6" t="s">
        <v>7</v>
      </c>
      <c r="C6" s="2">
        <v>9780710.0</v>
      </c>
      <c r="D6" s="2">
        <v>969260.0</v>
      </c>
      <c r="E6" s="2">
        <v>0.0</v>
      </c>
      <c r="F6" s="2">
        <v>0.0</v>
      </c>
      <c r="G6" s="2" t="s">
        <v>8</v>
      </c>
      <c r="H6" s="2"/>
      <c r="I6" s="2"/>
      <c r="J6" s="2"/>
      <c r="K6" s="2"/>
      <c r="L6" s="2"/>
      <c r="M6" s="2"/>
      <c r="N6" s="2">
        <f t="shared" ref="N6:N76" si="1">C6-D6</f>
        <v>8811450</v>
      </c>
    </row>
    <row r="7" ht="15.75" customHeight="1">
      <c r="A7" s="5">
        <f t="shared" ref="A7:A76" si="2">+A6+1</f>
        <v>2</v>
      </c>
      <c r="B7" s="6" t="s">
        <v>9</v>
      </c>
      <c r="C7" s="2">
        <v>1.99139606E8</v>
      </c>
      <c r="D7" s="2">
        <v>1.9734556E7</v>
      </c>
      <c r="E7" s="2">
        <v>0.0</v>
      </c>
      <c r="F7" s="2">
        <v>0.0</v>
      </c>
      <c r="G7" s="2" t="s">
        <v>8</v>
      </c>
      <c r="H7" s="2"/>
      <c r="I7" s="2"/>
      <c r="J7" s="2"/>
      <c r="K7" s="2"/>
      <c r="L7" s="2"/>
      <c r="M7" s="2"/>
      <c r="N7" s="2">
        <f t="shared" si="1"/>
        <v>179405050</v>
      </c>
    </row>
    <row r="8" ht="15.75" customHeight="1">
      <c r="A8" s="5">
        <f t="shared" si="2"/>
        <v>3</v>
      </c>
      <c r="B8" s="6" t="s">
        <v>10</v>
      </c>
      <c r="C8" s="2">
        <v>1.02699261E9</v>
      </c>
      <c r="D8" s="2">
        <v>1.01774043E8</v>
      </c>
      <c r="E8" s="2">
        <v>0.0</v>
      </c>
      <c r="F8" s="2">
        <v>0.0</v>
      </c>
      <c r="G8" s="2" t="s">
        <v>8</v>
      </c>
      <c r="H8" s="2"/>
      <c r="I8" s="2"/>
      <c r="J8" s="2"/>
      <c r="K8" s="2"/>
      <c r="L8" s="2"/>
      <c r="M8" s="2"/>
      <c r="N8" s="2">
        <f t="shared" si="1"/>
        <v>925218567</v>
      </c>
    </row>
    <row r="9" ht="15.75" customHeight="1">
      <c r="A9" s="5">
        <f t="shared" si="2"/>
        <v>4</v>
      </c>
      <c r="B9" s="6" t="s">
        <v>11</v>
      </c>
      <c r="C9" s="2">
        <v>1.72282665E8</v>
      </c>
      <c r="D9" s="2">
        <v>1.7073057E7</v>
      </c>
      <c r="E9" s="2">
        <v>0.0</v>
      </c>
      <c r="F9" s="2">
        <v>0.0</v>
      </c>
      <c r="G9" s="2" t="s">
        <v>8</v>
      </c>
      <c r="H9" s="2"/>
      <c r="I9" s="2"/>
      <c r="J9" s="2"/>
      <c r="K9" s="2"/>
      <c r="L9" s="2"/>
      <c r="M9" s="2"/>
      <c r="N9" s="2">
        <f t="shared" si="1"/>
        <v>155209608</v>
      </c>
    </row>
    <row r="10" ht="15.75" customHeight="1">
      <c r="A10" s="5">
        <f t="shared" si="2"/>
        <v>5</v>
      </c>
      <c r="B10" s="6" t="s">
        <v>12</v>
      </c>
      <c r="C10" s="2">
        <v>8.5477247E7</v>
      </c>
      <c r="D10" s="2">
        <v>8470718.0</v>
      </c>
      <c r="E10" s="2">
        <v>0.0</v>
      </c>
      <c r="F10" s="2">
        <v>0.0</v>
      </c>
      <c r="G10" s="2" t="s">
        <v>8</v>
      </c>
      <c r="H10" s="2"/>
      <c r="I10" s="2"/>
      <c r="J10" s="2"/>
      <c r="K10" s="2"/>
      <c r="L10" s="2"/>
      <c r="M10" s="2"/>
      <c r="N10" s="2">
        <f t="shared" si="1"/>
        <v>77006529</v>
      </c>
    </row>
    <row r="11" ht="15.75" customHeight="1">
      <c r="A11" s="5">
        <f t="shared" si="2"/>
        <v>6</v>
      </c>
      <c r="B11" s="6" t="s">
        <v>13</v>
      </c>
      <c r="C11" s="2">
        <v>6.35E8</v>
      </c>
      <c r="D11" s="2">
        <v>6.2927928E7</v>
      </c>
      <c r="E11" s="2">
        <v>0.0</v>
      </c>
      <c r="F11" s="2">
        <v>0.0</v>
      </c>
      <c r="G11" s="2"/>
      <c r="H11" s="2"/>
      <c r="I11" s="2"/>
      <c r="J11" s="2"/>
      <c r="K11" s="2"/>
      <c r="L11" s="2"/>
      <c r="M11" s="2"/>
      <c r="N11" s="2">
        <f t="shared" si="1"/>
        <v>572072072</v>
      </c>
    </row>
    <row r="12" ht="15.75" customHeight="1">
      <c r="A12" s="5">
        <f t="shared" si="2"/>
        <v>7</v>
      </c>
      <c r="B12" s="6" t="s">
        <v>14</v>
      </c>
      <c r="C12" s="2">
        <v>1.0E9</v>
      </c>
      <c r="D12" s="2">
        <v>9.9099099E7</v>
      </c>
      <c r="E12" s="2">
        <v>0.0</v>
      </c>
      <c r="F12" s="2">
        <v>0.0</v>
      </c>
      <c r="G12" s="2"/>
      <c r="H12" s="2"/>
      <c r="I12" s="2"/>
      <c r="J12" s="2"/>
      <c r="K12" s="2"/>
      <c r="L12" s="2"/>
      <c r="M12" s="2"/>
      <c r="N12" s="2">
        <f t="shared" si="1"/>
        <v>900900901</v>
      </c>
    </row>
    <row r="13" ht="15.75" customHeight="1">
      <c r="A13" s="5">
        <f t="shared" si="2"/>
        <v>8</v>
      </c>
      <c r="B13" s="6" t="s">
        <v>15</v>
      </c>
      <c r="C13" s="2">
        <v>6.51588781E8</v>
      </c>
      <c r="D13" s="2">
        <v>6.4571861E7</v>
      </c>
      <c r="E13" s="2">
        <v>0.0</v>
      </c>
      <c r="F13" s="2">
        <v>0.0</v>
      </c>
      <c r="G13" s="2"/>
      <c r="H13" s="2"/>
      <c r="I13" s="2"/>
      <c r="J13" s="2"/>
      <c r="K13" s="2"/>
      <c r="L13" s="2"/>
      <c r="M13" s="2"/>
      <c r="N13" s="2">
        <f t="shared" si="1"/>
        <v>587016920</v>
      </c>
    </row>
    <row r="14" ht="15.75" customHeight="1">
      <c r="A14" s="5">
        <f t="shared" si="2"/>
        <v>9</v>
      </c>
      <c r="B14" s="6" t="s">
        <v>16</v>
      </c>
      <c r="C14" s="2">
        <v>5.90540541E8</v>
      </c>
      <c r="D14" s="2">
        <v>0.0</v>
      </c>
      <c r="E14" s="2">
        <v>0.0</v>
      </c>
      <c r="F14" s="2">
        <v>0.0</v>
      </c>
      <c r="G14" s="2"/>
      <c r="H14" s="2"/>
      <c r="I14" s="2"/>
      <c r="J14" s="2"/>
      <c r="K14" s="2"/>
      <c r="L14" s="2"/>
      <c r="M14" s="2"/>
      <c r="N14" s="2">
        <f t="shared" si="1"/>
        <v>590540541</v>
      </c>
    </row>
    <row r="15" ht="15.75" customHeight="1">
      <c r="A15" s="5">
        <f t="shared" si="2"/>
        <v>10</v>
      </c>
      <c r="B15" s="6" t="s">
        <v>17</v>
      </c>
      <c r="C15" s="2">
        <v>8.0E8</v>
      </c>
      <c r="D15" s="2">
        <v>0.0</v>
      </c>
      <c r="E15" s="2">
        <v>0.0</v>
      </c>
      <c r="F15" s="2">
        <v>0.0</v>
      </c>
      <c r="G15" s="2"/>
      <c r="H15" s="2"/>
      <c r="I15" s="2"/>
      <c r="J15" s="2"/>
      <c r="K15" s="2"/>
      <c r="L15" s="2"/>
      <c r="M15" s="2"/>
      <c r="N15" s="2">
        <f t="shared" si="1"/>
        <v>800000000</v>
      </c>
    </row>
    <row r="16" ht="15.75" customHeight="1">
      <c r="A16" s="5">
        <f t="shared" si="2"/>
        <v>11</v>
      </c>
      <c r="B16" s="6" t="s">
        <v>18</v>
      </c>
      <c r="C16" s="2">
        <v>6.98847576E8</v>
      </c>
      <c r="D16" s="2">
        <v>6.9255165E7</v>
      </c>
      <c r="E16" s="2">
        <v>0.0</v>
      </c>
      <c r="F16" s="2">
        <v>0.0</v>
      </c>
      <c r="G16" s="2"/>
      <c r="H16" s="2"/>
      <c r="I16" s="2"/>
      <c r="J16" s="2"/>
      <c r="K16" s="2"/>
      <c r="L16" s="2"/>
      <c r="M16" s="2"/>
      <c r="N16" s="2">
        <f t="shared" si="1"/>
        <v>629592411</v>
      </c>
    </row>
    <row r="17" ht="15.75" customHeight="1">
      <c r="A17" s="5">
        <f t="shared" si="2"/>
        <v>12</v>
      </c>
      <c r="B17" s="6" t="s">
        <v>19</v>
      </c>
      <c r="C17" s="2">
        <v>1.18473408E8</v>
      </c>
      <c r="D17" s="2">
        <v>1.1740608E7</v>
      </c>
      <c r="E17" s="2">
        <v>0.0</v>
      </c>
      <c r="F17" s="2">
        <v>0.0</v>
      </c>
      <c r="G17" s="2"/>
      <c r="H17" s="2"/>
      <c r="I17" s="2"/>
      <c r="J17" s="2"/>
      <c r="K17" s="2"/>
      <c r="L17" s="2"/>
      <c r="M17" s="2"/>
      <c r="N17" s="2">
        <f t="shared" si="1"/>
        <v>106732800</v>
      </c>
    </row>
    <row r="18" ht="15.75" customHeight="1">
      <c r="A18" s="5">
        <f t="shared" si="2"/>
        <v>13</v>
      </c>
      <c r="B18" s="6" t="s">
        <v>20</v>
      </c>
      <c r="C18" s="2">
        <v>9.41391E7</v>
      </c>
      <c r="D18" s="2">
        <v>9329100.0</v>
      </c>
      <c r="E18" s="2">
        <v>0.0</v>
      </c>
      <c r="F18" s="2">
        <v>0.0</v>
      </c>
      <c r="G18" s="2" t="s">
        <v>8</v>
      </c>
      <c r="H18" s="2"/>
      <c r="I18" s="2"/>
      <c r="J18" s="2"/>
      <c r="K18" s="2"/>
      <c r="L18" s="2"/>
      <c r="M18" s="2"/>
      <c r="N18" s="2">
        <f t="shared" si="1"/>
        <v>84810000</v>
      </c>
    </row>
    <row r="19" ht="15.75" customHeight="1">
      <c r="A19" s="5">
        <f t="shared" si="2"/>
        <v>14</v>
      </c>
      <c r="B19" s="6" t="s">
        <v>21</v>
      </c>
      <c r="C19" s="2">
        <v>3.457872E8</v>
      </c>
      <c r="D19" s="2">
        <v>3.42672E7</v>
      </c>
      <c r="E19" s="2">
        <v>0.0</v>
      </c>
      <c r="F19" s="2">
        <v>0.0</v>
      </c>
      <c r="G19" s="2" t="s">
        <v>8</v>
      </c>
      <c r="H19" s="2"/>
      <c r="I19" s="2"/>
      <c r="J19" s="2"/>
      <c r="K19" s="2"/>
      <c r="L19" s="2"/>
      <c r="M19" s="2"/>
      <c r="N19" s="2">
        <f t="shared" si="1"/>
        <v>311520000</v>
      </c>
    </row>
    <row r="20" ht="15.75" customHeight="1">
      <c r="A20" s="5">
        <f t="shared" si="2"/>
        <v>15</v>
      </c>
      <c r="B20" s="6" t="s">
        <v>22</v>
      </c>
      <c r="C20" s="2">
        <v>3.0E8</v>
      </c>
      <c r="D20" s="2">
        <v>2.972973E7</v>
      </c>
      <c r="E20" s="2">
        <v>0.0</v>
      </c>
      <c r="F20" s="2">
        <v>0.0</v>
      </c>
      <c r="G20" s="2"/>
      <c r="H20" s="2"/>
      <c r="I20" s="2"/>
      <c r="J20" s="2"/>
      <c r="K20" s="2"/>
      <c r="L20" s="2"/>
      <c r="M20" s="2"/>
      <c r="N20" s="2">
        <f t="shared" si="1"/>
        <v>270270270</v>
      </c>
    </row>
    <row r="21" ht="15.75" customHeight="1">
      <c r="A21" s="5">
        <f t="shared" si="2"/>
        <v>16</v>
      </c>
      <c r="B21" s="6" t="s">
        <v>23</v>
      </c>
      <c r="C21" s="2">
        <v>3.5E8</v>
      </c>
      <c r="D21" s="2">
        <v>3.4684685E7</v>
      </c>
      <c r="E21" s="2">
        <v>0.0</v>
      </c>
      <c r="F21" s="2">
        <v>0.0</v>
      </c>
      <c r="G21" s="2" t="s">
        <v>8</v>
      </c>
      <c r="H21" s="2"/>
      <c r="I21" s="2"/>
      <c r="J21" s="2"/>
      <c r="K21" s="2"/>
      <c r="L21" s="2"/>
      <c r="M21" s="2"/>
      <c r="N21" s="2">
        <f t="shared" si="1"/>
        <v>315315315</v>
      </c>
    </row>
    <row r="22" ht="15.75" customHeight="1">
      <c r="A22" s="5">
        <f t="shared" si="2"/>
        <v>17</v>
      </c>
      <c r="B22" s="6" t="s">
        <v>24</v>
      </c>
      <c r="C22" s="2">
        <v>8.587071E7</v>
      </c>
      <c r="D22" s="2">
        <v>8509710.0</v>
      </c>
      <c r="E22" s="2">
        <v>0.0</v>
      </c>
      <c r="F22" s="2">
        <v>0.0</v>
      </c>
      <c r="G22" s="2"/>
      <c r="H22" s="2"/>
      <c r="I22" s="2"/>
      <c r="J22" s="2"/>
      <c r="K22" s="2"/>
      <c r="L22" s="2"/>
      <c r="M22" s="2"/>
      <c r="N22" s="2">
        <f t="shared" si="1"/>
        <v>77361000</v>
      </c>
    </row>
    <row r="23" ht="15.75" customHeight="1">
      <c r="A23" s="5">
        <f t="shared" si="2"/>
        <v>18</v>
      </c>
      <c r="B23" s="6" t="s">
        <v>25</v>
      </c>
      <c r="C23" s="2">
        <v>6.5E8</v>
      </c>
      <c r="D23" s="2">
        <v>6.4414414E7</v>
      </c>
      <c r="E23" s="2">
        <v>0.0</v>
      </c>
      <c r="F23" s="2">
        <v>0.0</v>
      </c>
      <c r="G23" s="2" t="s">
        <v>8</v>
      </c>
      <c r="H23" s="2"/>
      <c r="I23" s="2"/>
      <c r="J23" s="2"/>
      <c r="K23" s="2"/>
      <c r="L23" s="2"/>
      <c r="M23" s="2"/>
      <c r="N23" s="2">
        <f t="shared" si="1"/>
        <v>585585586</v>
      </c>
    </row>
    <row r="24" ht="15.75" customHeight="1">
      <c r="A24" s="5">
        <f t="shared" si="2"/>
        <v>19</v>
      </c>
      <c r="B24" s="6" t="s">
        <v>26</v>
      </c>
      <c r="C24" s="2">
        <v>3.5E8</v>
      </c>
      <c r="D24" s="2">
        <v>3.4684685E7</v>
      </c>
      <c r="E24" s="2">
        <v>0.0</v>
      </c>
      <c r="F24" s="2">
        <v>0.0</v>
      </c>
      <c r="G24" s="2" t="s">
        <v>8</v>
      </c>
      <c r="H24" s="2"/>
      <c r="I24" s="2"/>
      <c r="J24" s="2"/>
      <c r="K24" s="2"/>
      <c r="L24" s="2"/>
      <c r="M24" s="2"/>
      <c r="N24" s="2">
        <f t="shared" si="1"/>
        <v>315315315</v>
      </c>
    </row>
    <row r="25" ht="15.75" customHeight="1">
      <c r="A25" s="5">
        <f t="shared" si="2"/>
        <v>20</v>
      </c>
      <c r="B25" s="6" t="s">
        <v>27</v>
      </c>
      <c r="C25" s="2">
        <v>6.1120866E7</v>
      </c>
      <c r="D25" s="2">
        <v>0.0</v>
      </c>
      <c r="E25" s="2">
        <v>0.0</v>
      </c>
      <c r="F25" s="2">
        <v>0.0</v>
      </c>
      <c r="G25" s="2"/>
      <c r="H25" s="2"/>
      <c r="I25" s="2"/>
      <c r="J25" s="2"/>
      <c r="K25" s="2"/>
      <c r="L25" s="2"/>
      <c r="M25" s="2"/>
      <c r="N25" s="2">
        <f t="shared" si="1"/>
        <v>61120866</v>
      </c>
    </row>
    <row r="26" ht="15.75" customHeight="1">
      <c r="A26" s="5">
        <f t="shared" si="2"/>
        <v>21</v>
      </c>
      <c r="B26" s="6" t="s">
        <v>28</v>
      </c>
      <c r="C26" s="2">
        <v>4.011898224E9</v>
      </c>
      <c r="D26" s="2">
        <v>3.97575499E8</v>
      </c>
      <c r="E26" s="2">
        <v>0.0</v>
      </c>
      <c r="F26" s="2">
        <v>0.0</v>
      </c>
      <c r="G26" s="2" t="s">
        <v>8</v>
      </c>
      <c r="H26" s="2"/>
      <c r="I26" s="2"/>
      <c r="J26" s="2"/>
      <c r="K26" s="2"/>
      <c r="L26" s="2"/>
      <c r="M26" s="2"/>
      <c r="N26" s="2">
        <f t="shared" si="1"/>
        <v>3614322725</v>
      </c>
    </row>
    <row r="27" ht="15.75" customHeight="1">
      <c r="A27" s="5">
        <f t="shared" si="2"/>
        <v>22</v>
      </c>
      <c r="B27" s="6" t="s">
        <v>29</v>
      </c>
      <c r="C27" s="2">
        <v>1.718574385E9</v>
      </c>
      <c r="D27" s="2">
        <v>1.70309173E8</v>
      </c>
      <c r="E27" s="2">
        <v>0.0</v>
      </c>
      <c r="F27" s="2">
        <v>0.0</v>
      </c>
      <c r="G27" s="2" t="s">
        <v>8</v>
      </c>
      <c r="H27" s="2"/>
      <c r="I27" s="2"/>
      <c r="J27" s="2"/>
      <c r="K27" s="2"/>
      <c r="L27" s="2"/>
      <c r="M27" s="2"/>
      <c r="N27" s="2">
        <f t="shared" si="1"/>
        <v>1548265212</v>
      </c>
    </row>
    <row r="28" ht="15.75" customHeight="1">
      <c r="A28" s="5">
        <f t="shared" si="2"/>
        <v>23</v>
      </c>
      <c r="B28" s="6" t="s">
        <v>30</v>
      </c>
      <c r="C28" s="2">
        <v>1.235E9</v>
      </c>
      <c r="D28" s="2">
        <v>1.22387388E8</v>
      </c>
      <c r="E28" s="2">
        <v>0.0</v>
      </c>
      <c r="F28" s="2">
        <v>0.0</v>
      </c>
      <c r="G28" s="2" t="s">
        <v>8</v>
      </c>
      <c r="H28" s="2"/>
      <c r="I28" s="2"/>
      <c r="J28" s="2"/>
      <c r="K28" s="2"/>
      <c r="L28" s="2"/>
      <c r="M28" s="2"/>
      <c r="N28" s="2">
        <f t="shared" si="1"/>
        <v>1112612612</v>
      </c>
    </row>
    <row r="29" ht="15.75" customHeight="1">
      <c r="A29" s="5">
        <f t="shared" si="2"/>
        <v>24</v>
      </c>
      <c r="B29" s="6" t="s">
        <v>31</v>
      </c>
      <c r="C29" s="2">
        <v>1.25E9</v>
      </c>
      <c r="D29" s="2">
        <v>1.23873874E8</v>
      </c>
      <c r="E29" s="2">
        <v>0.0</v>
      </c>
      <c r="F29" s="2">
        <v>0.0</v>
      </c>
      <c r="G29" s="2" t="s">
        <v>8</v>
      </c>
      <c r="H29" s="2"/>
      <c r="I29" s="2"/>
      <c r="J29" s="2"/>
      <c r="K29" s="2"/>
      <c r="L29" s="2"/>
      <c r="M29" s="2"/>
      <c r="N29" s="2">
        <f t="shared" si="1"/>
        <v>1126126126</v>
      </c>
    </row>
    <row r="30" ht="15.75" customHeight="1">
      <c r="A30" s="5">
        <f t="shared" si="2"/>
        <v>25</v>
      </c>
      <c r="B30" s="6" t="s">
        <v>32</v>
      </c>
      <c r="C30" s="2">
        <v>8.4939088E8</v>
      </c>
      <c r="D30" s="2">
        <v>7.218288E7</v>
      </c>
      <c r="E30" s="2">
        <v>0.0</v>
      </c>
      <c r="F30" s="2">
        <v>0.0</v>
      </c>
      <c r="G30" s="2" t="s">
        <v>8</v>
      </c>
      <c r="H30" s="2"/>
      <c r="I30" s="2"/>
      <c r="J30" s="2"/>
      <c r="K30" s="2"/>
      <c r="L30" s="2"/>
      <c r="M30" s="2"/>
      <c r="N30" s="2">
        <f t="shared" si="1"/>
        <v>777208000</v>
      </c>
    </row>
    <row r="31" ht="15.75" customHeight="1">
      <c r="A31" s="5">
        <f t="shared" si="2"/>
        <v>26</v>
      </c>
      <c r="B31" s="6" t="s">
        <v>33</v>
      </c>
      <c r="C31" s="2">
        <v>8.1842965E8</v>
      </c>
      <c r="D31" s="2">
        <v>8.1105641E7</v>
      </c>
      <c r="E31" s="2">
        <v>0.0</v>
      </c>
      <c r="F31" s="2">
        <v>0.0</v>
      </c>
      <c r="G31" s="2" t="s">
        <v>8</v>
      </c>
      <c r="H31" s="2"/>
      <c r="I31" s="2"/>
      <c r="J31" s="2"/>
      <c r="K31" s="2"/>
      <c r="L31" s="2"/>
      <c r="M31" s="2"/>
      <c r="N31" s="2">
        <f t="shared" si="1"/>
        <v>737324009</v>
      </c>
    </row>
    <row r="32" ht="15.75" customHeight="1">
      <c r="A32" s="5">
        <f t="shared" si="2"/>
        <v>27</v>
      </c>
      <c r="B32" s="6" t="s">
        <v>34</v>
      </c>
      <c r="C32" s="2">
        <v>9.14218858E8</v>
      </c>
      <c r="D32" s="2">
        <v>9.0598265E7</v>
      </c>
      <c r="E32" s="2">
        <v>0.0</v>
      </c>
      <c r="F32" s="2">
        <v>0.0</v>
      </c>
      <c r="G32" s="2" t="s">
        <v>8</v>
      </c>
      <c r="H32" s="2"/>
      <c r="I32" s="2"/>
      <c r="J32" s="2"/>
      <c r="K32" s="2"/>
      <c r="L32" s="2"/>
      <c r="M32" s="2"/>
      <c r="N32" s="2">
        <f t="shared" si="1"/>
        <v>823620593</v>
      </c>
    </row>
    <row r="33" ht="15.75" customHeight="1">
      <c r="A33" s="5">
        <f t="shared" si="2"/>
        <v>28</v>
      </c>
      <c r="B33" s="6" t="s">
        <v>35</v>
      </c>
      <c r="C33" s="2">
        <v>6.631222339E9</v>
      </c>
      <c r="D33" s="2">
        <v>6.56781494E8</v>
      </c>
      <c r="E33" s="2">
        <v>0.0</v>
      </c>
      <c r="F33" s="2">
        <v>0.0</v>
      </c>
      <c r="G33" s="2" t="s">
        <v>8</v>
      </c>
      <c r="H33" s="2"/>
      <c r="I33" s="2"/>
      <c r="J33" s="2"/>
      <c r="K33" s="2"/>
      <c r="L33" s="2"/>
      <c r="M33" s="2"/>
      <c r="N33" s="2">
        <f t="shared" si="1"/>
        <v>5974440845</v>
      </c>
    </row>
    <row r="34" ht="15.75" customHeight="1">
      <c r="A34" s="5">
        <f t="shared" si="2"/>
        <v>29</v>
      </c>
      <c r="B34" s="7" t="s">
        <v>36</v>
      </c>
      <c r="C34" s="2">
        <v>4.0974984E8</v>
      </c>
      <c r="D34" s="2">
        <v>4.060584E7</v>
      </c>
      <c r="E34" s="2">
        <v>0.0</v>
      </c>
      <c r="F34" s="2">
        <v>0.0</v>
      </c>
      <c r="G34" s="2" t="s">
        <v>8</v>
      </c>
      <c r="H34" s="2"/>
      <c r="I34" s="2"/>
      <c r="J34" s="2"/>
      <c r="K34" s="2"/>
      <c r="L34" s="2"/>
      <c r="M34" s="2"/>
      <c r="N34" s="2">
        <f t="shared" si="1"/>
        <v>369144000</v>
      </c>
    </row>
    <row r="35" ht="15.75" customHeight="1">
      <c r="A35" s="5">
        <f t="shared" si="2"/>
        <v>30</v>
      </c>
      <c r="B35" s="6" t="s">
        <v>37</v>
      </c>
      <c r="C35" s="2">
        <v>2.8469316E7</v>
      </c>
      <c r="D35" s="2">
        <v>309755.0</v>
      </c>
      <c r="E35" s="2">
        <v>0.0</v>
      </c>
      <c r="F35" s="2">
        <v>0.0</v>
      </c>
      <c r="G35" s="2" t="s">
        <v>8</v>
      </c>
      <c r="H35" s="2"/>
      <c r="I35" s="2"/>
      <c r="J35" s="2"/>
      <c r="K35" s="2"/>
      <c r="L35" s="2"/>
      <c r="M35" s="2"/>
      <c r="N35" s="2">
        <f t="shared" si="1"/>
        <v>28159561</v>
      </c>
    </row>
    <row r="36" ht="15.75" customHeight="1">
      <c r="A36" s="5">
        <f t="shared" si="2"/>
        <v>31</v>
      </c>
      <c r="B36" s="6" t="s">
        <v>38</v>
      </c>
      <c r="C36" s="2">
        <v>6.7693784E7</v>
      </c>
      <c r="D36" s="2">
        <v>736530.0</v>
      </c>
      <c r="E36" s="2">
        <v>0.0</v>
      </c>
      <c r="F36" s="2">
        <v>0.0</v>
      </c>
      <c r="G36" s="2" t="s">
        <v>8</v>
      </c>
      <c r="H36" s="2"/>
      <c r="I36" s="2"/>
      <c r="J36" s="2"/>
      <c r="K36" s="2"/>
      <c r="L36" s="2"/>
      <c r="M36" s="2"/>
      <c r="N36" s="2">
        <f t="shared" si="1"/>
        <v>66957254</v>
      </c>
    </row>
    <row r="37" ht="15.75" customHeight="1">
      <c r="A37" s="5">
        <f t="shared" si="2"/>
        <v>32</v>
      </c>
      <c r="B37" s="6" t="s">
        <v>39</v>
      </c>
      <c r="C37" s="2">
        <v>1.02397913E8</v>
      </c>
      <c r="D37" s="2">
        <v>1114122.0</v>
      </c>
      <c r="E37" s="2">
        <v>0.0</v>
      </c>
      <c r="F37" s="2">
        <v>0.0</v>
      </c>
      <c r="G37" s="2"/>
      <c r="H37" s="2"/>
      <c r="I37" s="2"/>
      <c r="J37" s="2"/>
      <c r="K37" s="2"/>
      <c r="L37" s="2"/>
      <c r="M37" s="2"/>
      <c r="N37" s="2">
        <f t="shared" si="1"/>
        <v>101283791</v>
      </c>
    </row>
    <row r="38" ht="15.75" customHeight="1">
      <c r="A38" s="5">
        <f t="shared" si="2"/>
        <v>33</v>
      </c>
      <c r="B38" s="6" t="s">
        <v>40</v>
      </c>
      <c r="C38" s="2">
        <v>1.182031929E9</v>
      </c>
      <c r="D38" s="2">
        <v>1.2860882E7</v>
      </c>
      <c r="E38" s="2">
        <v>0.0</v>
      </c>
      <c r="F38" s="2">
        <v>0.0</v>
      </c>
      <c r="G38" s="2" t="s">
        <v>8</v>
      </c>
      <c r="H38" s="2"/>
      <c r="I38" s="2"/>
      <c r="J38" s="2"/>
      <c r="K38" s="2"/>
      <c r="L38" s="2"/>
      <c r="M38" s="2"/>
      <c r="N38" s="2">
        <f t="shared" si="1"/>
        <v>1169171047</v>
      </c>
    </row>
    <row r="39" ht="15.75" customHeight="1">
      <c r="A39" s="5">
        <f t="shared" si="2"/>
        <v>34</v>
      </c>
      <c r="B39" s="6" t="s">
        <v>41</v>
      </c>
      <c r="C39" s="2">
        <v>1.19952774E8</v>
      </c>
      <c r="D39" s="2">
        <v>1305124.0</v>
      </c>
      <c r="E39" s="2">
        <v>0.0</v>
      </c>
      <c r="F39" s="2">
        <v>0.0</v>
      </c>
      <c r="G39" s="2" t="s">
        <v>8</v>
      </c>
      <c r="H39" s="2"/>
      <c r="I39" s="2"/>
      <c r="J39" s="2"/>
      <c r="K39" s="2"/>
      <c r="L39" s="2"/>
      <c r="M39" s="2"/>
      <c r="N39" s="2">
        <f t="shared" si="1"/>
        <v>118647650</v>
      </c>
    </row>
    <row r="40" ht="15.75" customHeight="1">
      <c r="A40" s="5">
        <f t="shared" si="2"/>
        <v>35</v>
      </c>
      <c r="B40" s="7" t="s">
        <v>42</v>
      </c>
      <c r="C40" s="2">
        <v>3.108E7</v>
      </c>
      <c r="D40" s="8">
        <v>3080000.0</v>
      </c>
      <c r="E40" s="2">
        <v>0.0</v>
      </c>
      <c r="F40" s="2">
        <v>0.0</v>
      </c>
      <c r="G40" s="2" t="s">
        <v>8</v>
      </c>
      <c r="H40" s="2"/>
      <c r="I40" s="2"/>
      <c r="J40" s="2"/>
      <c r="K40" s="2"/>
      <c r="L40" s="2"/>
      <c r="M40" s="2"/>
      <c r="N40" s="2">
        <f t="shared" si="1"/>
        <v>28000000</v>
      </c>
    </row>
    <row r="41" ht="15.75" customHeight="1">
      <c r="A41" s="5">
        <f t="shared" si="2"/>
        <v>36</v>
      </c>
      <c r="B41" s="6" t="s">
        <v>43</v>
      </c>
      <c r="C41" s="2">
        <v>3.8780625E7</v>
      </c>
      <c r="D41" s="2">
        <v>3843125.0</v>
      </c>
      <c r="E41" s="2">
        <v>0.0</v>
      </c>
      <c r="F41" s="2">
        <v>0.0</v>
      </c>
      <c r="G41" s="2" t="s">
        <v>8</v>
      </c>
      <c r="H41" s="2"/>
      <c r="I41" s="2"/>
      <c r="J41" s="2"/>
      <c r="K41" s="2"/>
      <c r="L41" s="2"/>
      <c r="M41" s="2"/>
      <c r="N41" s="2">
        <f t="shared" si="1"/>
        <v>34937500</v>
      </c>
    </row>
    <row r="42" ht="15.75" customHeight="1">
      <c r="A42" s="5">
        <f t="shared" si="2"/>
        <v>37</v>
      </c>
      <c r="B42" s="6" t="s">
        <v>44</v>
      </c>
      <c r="C42" s="2">
        <v>3.68748332E8</v>
      </c>
      <c r="D42" s="2">
        <v>3.0819725E7</v>
      </c>
      <c r="E42" s="2">
        <v>0.0</v>
      </c>
      <c r="F42" s="2">
        <v>0.0</v>
      </c>
      <c r="G42" s="2"/>
      <c r="H42" s="2"/>
      <c r="I42" s="2"/>
      <c r="J42" s="2"/>
      <c r="K42" s="2"/>
      <c r="L42" s="2"/>
      <c r="M42" s="2"/>
      <c r="N42" s="2">
        <f t="shared" si="1"/>
        <v>337928607</v>
      </c>
    </row>
    <row r="43" ht="15.75" customHeight="1">
      <c r="A43" s="5">
        <f t="shared" si="2"/>
        <v>38</v>
      </c>
      <c r="B43" s="6" t="s">
        <v>45</v>
      </c>
      <c r="C43" s="2">
        <v>2.5243048E7</v>
      </c>
      <c r="D43" s="2">
        <v>2501563.0</v>
      </c>
      <c r="E43" s="2">
        <v>0.0</v>
      </c>
      <c r="F43" s="2">
        <v>0.0</v>
      </c>
      <c r="G43" s="2" t="s">
        <v>8</v>
      </c>
      <c r="H43" s="2"/>
      <c r="I43" s="2"/>
      <c r="J43" s="2"/>
      <c r="K43" s="2"/>
      <c r="L43" s="2"/>
      <c r="M43" s="2"/>
      <c r="N43" s="2">
        <f t="shared" si="1"/>
        <v>22741485</v>
      </c>
    </row>
    <row r="44" ht="15.75" customHeight="1">
      <c r="A44" s="5">
        <f t="shared" si="2"/>
        <v>39</v>
      </c>
      <c r="B44" s="6" t="s">
        <v>46</v>
      </c>
      <c r="C44" s="2">
        <v>3.7385665E7</v>
      </c>
      <c r="D44" s="2">
        <v>3704886.0</v>
      </c>
      <c r="E44" s="2">
        <v>0.0</v>
      </c>
      <c r="F44" s="2">
        <v>0.0</v>
      </c>
      <c r="G44" s="2" t="s">
        <v>8</v>
      </c>
      <c r="H44" s="2"/>
      <c r="I44" s="2"/>
      <c r="J44" s="2"/>
      <c r="K44" s="2"/>
      <c r="L44" s="2"/>
      <c r="M44" s="2"/>
      <c r="N44" s="2">
        <f t="shared" si="1"/>
        <v>33680779</v>
      </c>
    </row>
    <row r="45" ht="15.75" customHeight="1">
      <c r="A45" s="5">
        <f t="shared" si="2"/>
        <v>40</v>
      </c>
      <c r="B45" s="6" t="s">
        <v>47</v>
      </c>
      <c r="C45" s="2">
        <v>3.5927671E7</v>
      </c>
      <c r="D45" s="2">
        <v>3560400.0</v>
      </c>
      <c r="E45" s="2">
        <v>0.0</v>
      </c>
      <c r="F45" s="2">
        <v>0.0</v>
      </c>
      <c r="G45" s="2" t="s">
        <v>8</v>
      </c>
      <c r="H45" s="2"/>
      <c r="I45" s="2"/>
      <c r="J45" s="2"/>
      <c r="K45" s="2"/>
      <c r="L45" s="2"/>
      <c r="M45" s="2"/>
      <c r="N45" s="2">
        <f t="shared" si="1"/>
        <v>32367271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">
        <f t="shared" si="2"/>
        <v>41</v>
      </c>
      <c r="B46" s="6" t="s">
        <v>48</v>
      </c>
      <c r="C46" s="2">
        <v>2.2913564E7</v>
      </c>
      <c r="D46" s="2">
        <v>2270714.0</v>
      </c>
      <c r="E46" s="2">
        <v>0.0</v>
      </c>
      <c r="F46" s="2">
        <v>0.0</v>
      </c>
      <c r="G46" s="2" t="s">
        <v>8</v>
      </c>
      <c r="H46" s="2"/>
      <c r="I46" s="2"/>
      <c r="J46" s="2"/>
      <c r="K46" s="2"/>
      <c r="L46" s="2"/>
      <c r="M46" s="2"/>
      <c r="N46" s="2">
        <f t="shared" si="1"/>
        <v>20642850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">
        <f t="shared" si="2"/>
        <v>42</v>
      </c>
      <c r="B47" s="6" t="s">
        <v>49</v>
      </c>
      <c r="C47" s="2">
        <v>5.29914E7</v>
      </c>
      <c r="D47" s="2">
        <v>5251400.0</v>
      </c>
      <c r="E47" s="2">
        <v>0.0</v>
      </c>
      <c r="F47" s="2">
        <v>0.0</v>
      </c>
      <c r="G47" s="2"/>
      <c r="H47" s="2"/>
      <c r="I47" s="2"/>
      <c r="J47" s="2"/>
      <c r="K47" s="2"/>
      <c r="L47" s="2"/>
      <c r="M47" s="2"/>
      <c r="N47" s="2">
        <f t="shared" si="1"/>
        <v>47740000</v>
      </c>
    </row>
    <row r="48" ht="15.75" customHeight="1">
      <c r="A48" s="5">
        <f t="shared" si="2"/>
        <v>43</v>
      </c>
      <c r="B48" s="6" t="s">
        <v>50</v>
      </c>
      <c r="C48" s="2">
        <v>2.1063176E7</v>
      </c>
      <c r="D48" s="2">
        <v>2087342.0</v>
      </c>
      <c r="E48" s="2">
        <v>0.0</v>
      </c>
      <c r="F48" s="2">
        <v>0.0</v>
      </c>
      <c r="G48" s="2" t="s">
        <v>8</v>
      </c>
      <c r="H48" s="2"/>
      <c r="I48" s="2"/>
      <c r="J48" s="2"/>
      <c r="K48" s="2"/>
      <c r="L48" s="2"/>
      <c r="M48" s="2"/>
      <c r="N48" s="2">
        <f t="shared" si="1"/>
        <v>18975834</v>
      </c>
    </row>
    <row r="49" ht="15.75" customHeight="1">
      <c r="A49" s="5">
        <f t="shared" si="2"/>
        <v>44</v>
      </c>
      <c r="B49" s="6" t="s">
        <v>51</v>
      </c>
      <c r="C49" s="2">
        <v>4.5868469E7</v>
      </c>
      <c r="D49" s="2">
        <v>4545524.0</v>
      </c>
      <c r="E49" s="2">
        <v>0.0</v>
      </c>
      <c r="F49" s="2">
        <v>0.0</v>
      </c>
      <c r="G49" s="2" t="s">
        <v>8</v>
      </c>
      <c r="H49" s="2"/>
      <c r="I49" s="2"/>
      <c r="J49" s="2"/>
      <c r="K49" s="2"/>
      <c r="L49" s="2"/>
      <c r="M49" s="2"/>
      <c r="N49" s="2">
        <f t="shared" si="1"/>
        <v>41322945</v>
      </c>
    </row>
    <row r="50" ht="15.75" customHeight="1">
      <c r="A50" s="5">
        <f t="shared" si="2"/>
        <v>45</v>
      </c>
      <c r="B50" s="6" t="s">
        <v>52</v>
      </c>
      <c r="C50" s="2">
        <v>3.3504322E7</v>
      </c>
      <c r="D50" s="2">
        <v>3320248.0</v>
      </c>
      <c r="E50" s="2">
        <v>0.0</v>
      </c>
      <c r="F50" s="2">
        <v>0.0</v>
      </c>
      <c r="G50" s="2" t="s">
        <v>8</v>
      </c>
      <c r="H50" s="2"/>
      <c r="I50" s="2"/>
      <c r="J50" s="2"/>
      <c r="K50" s="2"/>
      <c r="L50" s="2"/>
      <c r="M50" s="2"/>
      <c r="N50" s="2">
        <f t="shared" si="1"/>
        <v>30184074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5">
        <f t="shared" si="2"/>
        <v>46</v>
      </c>
      <c r="B51" s="7" t="s">
        <v>53</v>
      </c>
      <c r="C51" s="2">
        <v>7.1031586E8</v>
      </c>
      <c r="D51" s="2">
        <v>7.0391662E7</v>
      </c>
      <c r="E51" s="2">
        <v>0.0</v>
      </c>
      <c r="F51" s="2">
        <v>0.0</v>
      </c>
      <c r="G51" s="2" t="s">
        <v>8</v>
      </c>
      <c r="H51" s="2"/>
      <c r="I51" s="2"/>
      <c r="J51" s="2"/>
      <c r="K51" s="2"/>
      <c r="L51" s="2"/>
      <c r="M51" s="2"/>
      <c r="N51" s="2">
        <f t="shared" si="1"/>
        <v>639924198</v>
      </c>
    </row>
    <row r="52" ht="15.75" customHeight="1">
      <c r="A52" s="5">
        <f t="shared" si="2"/>
        <v>47</v>
      </c>
      <c r="B52" s="6" t="s">
        <v>54</v>
      </c>
      <c r="C52" s="2">
        <v>1.27259013E8</v>
      </c>
      <c r="D52" s="2">
        <v>1.2611254E7</v>
      </c>
      <c r="E52" s="2">
        <v>0.0</v>
      </c>
      <c r="F52" s="2">
        <v>0.0</v>
      </c>
      <c r="G52" s="2" t="s">
        <v>1</v>
      </c>
      <c r="H52" s="2"/>
      <c r="I52" s="2"/>
      <c r="J52" s="2"/>
      <c r="K52" s="2"/>
      <c r="L52" s="2"/>
      <c r="M52" s="2"/>
      <c r="N52" s="2">
        <f t="shared" si="1"/>
        <v>114647759</v>
      </c>
    </row>
    <row r="53" ht="15.75" customHeight="1">
      <c r="A53" s="5">
        <f t="shared" si="2"/>
        <v>48</v>
      </c>
      <c r="B53" s="6" t="s">
        <v>55</v>
      </c>
      <c r="C53" s="2">
        <v>5.4825776E7</v>
      </c>
      <c r="D53" s="2">
        <v>5433185.0</v>
      </c>
      <c r="E53" s="2">
        <v>0.0</v>
      </c>
      <c r="F53" s="2">
        <v>0.0</v>
      </c>
      <c r="G53" s="2"/>
      <c r="H53" s="2"/>
      <c r="I53" s="2"/>
      <c r="J53" s="2"/>
      <c r="K53" s="2"/>
      <c r="L53" s="2"/>
      <c r="M53" s="2"/>
      <c r="N53" s="2">
        <f t="shared" si="1"/>
        <v>49392591</v>
      </c>
    </row>
    <row r="54" ht="15.75" customHeight="1">
      <c r="A54" s="5">
        <f t="shared" si="2"/>
        <v>49</v>
      </c>
      <c r="B54" s="6" t="s">
        <v>56</v>
      </c>
      <c r="C54" s="2">
        <v>1.69709869E8</v>
      </c>
      <c r="D54" s="2">
        <v>1.6818095E7</v>
      </c>
      <c r="E54" s="2">
        <v>0.0</v>
      </c>
      <c r="F54" s="2">
        <v>0.0</v>
      </c>
      <c r="G54" s="2" t="s">
        <v>8</v>
      </c>
      <c r="H54" s="2"/>
      <c r="I54" s="2"/>
      <c r="J54" s="2"/>
      <c r="K54" s="2"/>
      <c r="L54" s="2"/>
      <c r="M54" s="2"/>
      <c r="N54" s="2">
        <f t="shared" si="1"/>
        <v>152891774</v>
      </c>
    </row>
    <row r="55" ht="15.75" customHeight="1">
      <c r="A55" s="5">
        <f t="shared" si="2"/>
        <v>50</v>
      </c>
      <c r="B55" s="6" t="s">
        <v>57</v>
      </c>
      <c r="C55" s="2">
        <v>3.372735E7</v>
      </c>
      <c r="D55" s="2">
        <v>3342350.0</v>
      </c>
      <c r="E55" s="2">
        <v>0.0</v>
      </c>
      <c r="F55" s="2">
        <v>0.0</v>
      </c>
      <c r="G55" s="2" t="s">
        <v>8</v>
      </c>
      <c r="H55" s="2"/>
      <c r="I55" s="2"/>
      <c r="J55" s="2"/>
      <c r="K55" s="2"/>
      <c r="L55" s="2"/>
      <c r="M55" s="2"/>
      <c r="N55" s="2">
        <f t="shared" si="1"/>
        <v>30385000</v>
      </c>
    </row>
    <row r="56" ht="15.75" customHeight="1">
      <c r="A56" s="5">
        <f t="shared" si="2"/>
        <v>51</v>
      </c>
      <c r="B56" s="6" t="s">
        <v>58</v>
      </c>
      <c r="C56" s="2">
        <v>3.5716514E7</v>
      </c>
      <c r="D56" s="2">
        <v>3539474.0</v>
      </c>
      <c r="E56" s="2">
        <v>0.0</v>
      </c>
      <c r="F56" s="2">
        <v>0.0</v>
      </c>
      <c r="G56" s="2" t="s">
        <v>8</v>
      </c>
      <c r="H56" s="2"/>
      <c r="I56" s="2"/>
      <c r="J56" s="2"/>
      <c r="K56" s="2"/>
      <c r="L56" s="2"/>
      <c r="M56" s="2"/>
      <c r="N56" s="2">
        <f t="shared" si="1"/>
        <v>32177040</v>
      </c>
    </row>
    <row r="57" ht="15.75" customHeight="1">
      <c r="A57" s="5">
        <f t="shared" si="2"/>
        <v>52</v>
      </c>
      <c r="B57" s="6" t="s">
        <v>59</v>
      </c>
      <c r="C57" s="2">
        <v>8.9320745E7</v>
      </c>
      <c r="D57" s="2">
        <v>8851605.0</v>
      </c>
      <c r="E57" s="2">
        <v>0.0</v>
      </c>
      <c r="F57" s="2">
        <v>0.0</v>
      </c>
      <c r="G57" s="2" t="s">
        <v>8</v>
      </c>
      <c r="H57" s="2"/>
      <c r="I57" s="2"/>
      <c r="J57" s="2"/>
      <c r="K57" s="2"/>
      <c r="L57" s="2"/>
      <c r="M57" s="2"/>
      <c r="N57" s="2">
        <f t="shared" si="1"/>
        <v>80469140</v>
      </c>
    </row>
    <row r="58" ht="15.75" customHeight="1">
      <c r="A58" s="5">
        <f t="shared" si="2"/>
        <v>53</v>
      </c>
      <c r="B58" s="6" t="s">
        <v>60</v>
      </c>
      <c r="C58" s="2">
        <v>1.54270668E8</v>
      </c>
      <c r="D58" s="2">
        <v>1.5288084E7</v>
      </c>
      <c r="E58" s="2">
        <v>0.0</v>
      </c>
      <c r="F58" s="2">
        <v>0.0</v>
      </c>
      <c r="G58" s="2" t="s">
        <v>8</v>
      </c>
      <c r="H58" s="2"/>
      <c r="I58" s="2"/>
      <c r="J58" s="2"/>
      <c r="K58" s="2"/>
      <c r="L58" s="2"/>
      <c r="M58" s="2"/>
      <c r="N58" s="2">
        <f t="shared" si="1"/>
        <v>138982584</v>
      </c>
    </row>
    <row r="59" ht="15.75" customHeight="1">
      <c r="A59" s="5">
        <f t="shared" si="2"/>
        <v>54</v>
      </c>
      <c r="B59" s="6" t="s">
        <v>61</v>
      </c>
      <c r="C59" s="2">
        <v>3.7954242E7</v>
      </c>
      <c r="D59" s="2">
        <v>3761231.0</v>
      </c>
      <c r="E59" s="2">
        <v>0.0</v>
      </c>
      <c r="F59" s="2">
        <v>0.0</v>
      </c>
      <c r="G59" s="2" t="s">
        <v>8</v>
      </c>
      <c r="H59" s="2"/>
      <c r="I59" s="2"/>
      <c r="J59" s="2"/>
      <c r="K59" s="2"/>
      <c r="L59" s="2"/>
      <c r="M59" s="2"/>
      <c r="N59" s="2">
        <f t="shared" si="1"/>
        <v>34193011</v>
      </c>
    </row>
    <row r="60" ht="15.75" customHeight="1">
      <c r="A60" s="5">
        <f t="shared" si="2"/>
        <v>55</v>
      </c>
      <c r="B60" s="6" t="s">
        <v>62</v>
      </c>
      <c r="C60" s="2">
        <v>2.52969E7</v>
      </c>
      <c r="D60" s="2">
        <v>2506900.0</v>
      </c>
      <c r="E60" s="2">
        <v>0.0</v>
      </c>
      <c r="F60" s="2">
        <v>0.0</v>
      </c>
      <c r="G60" s="2" t="s">
        <v>8</v>
      </c>
      <c r="H60" s="2"/>
      <c r="I60" s="2"/>
      <c r="J60" s="2"/>
      <c r="K60" s="2"/>
      <c r="L60" s="2"/>
      <c r="M60" s="2"/>
      <c r="N60" s="2">
        <f t="shared" si="1"/>
        <v>22790000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5">
        <f t="shared" si="2"/>
        <v>56</v>
      </c>
      <c r="B61" s="6" t="s">
        <v>63</v>
      </c>
      <c r="C61" s="2">
        <v>5.0819564E7</v>
      </c>
      <c r="D61" s="2">
        <v>5036173.0</v>
      </c>
      <c r="E61" s="2">
        <v>0.0</v>
      </c>
      <c r="F61" s="2">
        <v>0.0</v>
      </c>
      <c r="G61" s="2" t="s">
        <v>8</v>
      </c>
      <c r="H61" s="2"/>
      <c r="I61" s="2"/>
      <c r="J61" s="2"/>
      <c r="K61" s="2"/>
      <c r="L61" s="2"/>
      <c r="M61" s="2"/>
      <c r="N61" s="2">
        <f t="shared" si="1"/>
        <v>45783391</v>
      </c>
    </row>
    <row r="62" ht="15.75" customHeight="1">
      <c r="A62" s="5">
        <f t="shared" si="2"/>
        <v>57</v>
      </c>
      <c r="B62" s="6" t="s">
        <v>64</v>
      </c>
      <c r="C62" s="2">
        <v>2.7369822E7</v>
      </c>
      <c r="D62" s="2">
        <v>2712325.0</v>
      </c>
      <c r="E62" s="2">
        <v>0.0</v>
      </c>
      <c r="F62" s="2">
        <v>0.0</v>
      </c>
      <c r="G62" s="2" t="s">
        <v>8</v>
      </c>
      <c r="H62" s="2"/>
      <c r="I62" s="2"/>
      <c r="J62" s="2"/>
      <c r="K62" s="2"/>
      <c r="L62" s="2"/>
      <c r="M62" s="2"/>
      <c r="N62" s="2">
        <f t="shared" si="1"/>
        <v>24657497</v>
      </c>
    </row>
    <row r="63" ht="15.75" customHeight="1">
      <c r="A63" s="5">
        <f t="shared" si="2"/>
        <v>58</v>
      </c>
      <c r="B63" s="6" t="s">
        <v>65</v>
      </c>
      <c r="C63" s="2">
        <v>3.03724644E8</v>
      </c>
      <c r="D63" s="2">
        <v>3.0098839E7</v>
      </c>
      <c r="E63" s="2">
        <v>0.0</v>
      </c>
      <c r="F63" s="2">
        <v>0.0</v>
      </c>
      <c r="G63" s="2" t="s">
        <v>8</v>
      </c>
      <c r="H63" s="2"/>
      <c r="I63" s="2"/>
      <c r="J63" s="2"/>
      <c r="K63" s="2"/>
      <c r="L63" s="2"/>
      <c r="M63" s="2"/>
      <c r="N63" s="2">
        <f t="shared" si="1"/>
        <v>273625805</v>
      </c>
    </row>
    <row r="64" ht="15.75" customHeight="1">
      <c r="A64" s="5">
        <f t="shared" si="2"/>
        <v>59</v>
      </c>
      <c r="B64" s="6" t="s">
        <v>66</v>
      </c>
      <c r="C64" s="2">
        <v>2.504762E7</v>
      </c>
      <c r="D64" s="2">
        <v>2482197.0</v>
      </c>
      <c r="E64" s="2">
        <v>0.0</v>
      </c>
      <c r="F64" s="2">
        <v>0.0</v>
      </c>
      <c r="G64" s="2" t="s">
        <v>8</v>
      </c>
      <c r="H64" s="2"/>
      <c r="I64" s="2"/>
      <c r="J64" s="2"/>
      <c r="K64" s="2"/>
      <c r="L64" s="2"/>
      <c r="M64" s="2"/>
      <c r="N64" s="2">
        <f t="shared" si="1"/>
        <v>22565423</v>
      </c>
    </row>
    <row r="65" ht="15.75" customHeight="1">
      <c r="A65" s="5">
        <f t="shared" si="2"/>
        <v>60</v>
      </c>
      <c r="B65" s="6" t="s">
        <v>67</v>
      </c>
      <c r="C65" s="2">
        <v>1.6017445E8</v>
      </c>
      <c r="D65" s="2">
        <v>1.5873144E7</v>
      </c>
      <c r="E65" s="2">
        <v>0.0</v>
      </c>
      <c r="F65" s="2">
        <v>0.0</v>
      </c>
      <c r="G65" s="2" t="s">
        <v>8</v>
      </c>
      <c r="H65" s="2"/>
      <c r="I65" s="2"/>
      <c r="J65" s="2"/>
      <c r="K65" s="2"/>
      <c r="L65" s="2"/>
      <c r="M65" s="2"/>
      <c r="N65" s="2">
        <f t="shared" si="1"/>
        <v>144301306</v>
      </c>
    </row>
    <row r="66" ht="15.75" customHeight="1">
      <c r="A66" s="5">
        <f t="shared" si="2"/>
        <v>61</v>
      </c>
      <c r="B66" s="6" t="s">
        <v>68</v>
      </c>
      <c r="C66" s="2">
        <v>7.5337132E7</v>
      </c>
      <c r="D66" s="2">
        <v>7465842.0</v>
      </c>
      <c r="E66" s="2">
        <v>0.0</v>
      </c>
      <c r="F66" s="2">
        <v>0.0</v>
      </c>
      <c r="G66" s="2" t="s">
        <v>8</v>
      </c>
      <c r="H66" s="2"/>
      <c r="I66" s="2"/>
      <c r="J66" s="2"/>
      <c r="K66" s="2"/>
      <c r="L66" s="2"/>
      <c r="M66" s="2"/>
      <c r="N66" s="2">
        <f t="shared" si="1"/>
        <v>67871290</v>
      </c>
    </row>
    <row r="67" ht="15.75" customHeight="1">
      <c r="A67" s="5">
        <f t="shared" si="2"/>
        <v>62</v>
      </c>
      <c r="B67" s="6" t="s">
        <v>69</v>
      </c>
      <c r="C67" s="2">
        <v>1.51406579E8</v>
      </c>
      <c r="D67" s="2">
        <v>1.5004256E7</v>
      </c>
      <c r="E67" s="2">
        <v>0.0</v>
      </c>
      <c r="F67" s="2">
        <v>0.0</v>
      </c>
      <c r="G67" s="2" t="s">
        <v>8</v>
      </c>
      <c r="H67" s="2"/>
      <c r="I67" s="2"/>
      <c r="J67" s="2"/>
      <c r="K67" s="2"/>
      <c r="L67" s="2"/>
      <c r="M67" s="2"/>
      <c r="N67" s="2">
        <f t="shared" si="1"/>
        <v>136402323</v>
      </c>
    </row>
    <row r="68" ht="15.75" customHeight="1">
      <c r="A68" s="5">
        <f t="shared" si="2"/>
        <v>63</v>
      </c>
      <c r="B68" s="6" t="s">
        <v>70</v>
      </c>
      <c r="C68" s="2">
        <v>5.2891371E7</v>
      </c>
      <c r="D68" s="2">
        <v>5241487.0</v>
      </c>
      <c r="E68" s="2">
        <v>0.0</v>
      </c>
      <c r="F68" s="2">
        <v>0.0</v>
      </c>
      <c r="G68" s="2" t="s">
        <v>8</v>
      </c>
      <c r="H68" s="2"/>
      <c r="I68" s="2"/>
      <c r="J68" s="2"/>
      <c r="K68" s="2"/>
      <c r="L68" s="2"/>
      <c r="M68" s="2"/>
      <c r="N68" s="2">
        <f t="shared" si="1"/>
        <v>47649884</v>
      </c>
    </row>
    <row r="69" ht="15.75" customHeight="1">
      <c r="A69" s="5">
        <f t="shared" si="2"/>
        <v>64</v>
      </c>
      <c r="B69" s="6" t="s">
        <v>71</v>
      </c>
      <c r="C69" s="2">
        <v>6.0931995E7</v>
      </c>
      <c r="D69" s="2">
        <v>6038306.0</v>
      </c>
      <c r="E69" s="2">
        <v>0.0</v>
      </c>
      <c r="F69" s="2">
        <v>0.0</v>
      </c>
      <c r="G69" s="2" t="s">
        <v>8</v>
      </c>
      <c r="H69" s="2"/>
      <c r="I69" s="2"/>
      <c r="J69" s="2"/>
      <c r="K69" s="2"/>
      <c r="L69" s="2"/>
      <c r="M69" s="2"/>
      <c r="N69" s="2">
        <f t="shared" si="1"/>
        <v>54893689</v>
      </c>
    </row>
    <row r="70" ht="15.75" customHeight="1">
      <c r="A70" s="5">
        <f t="shared" si="2"/>
        <v>65</v>
      </c>
      <c r="B70" s="6" t="s">
        <v>72</v>
      </c>
      <c r="C70" s="2">
        <v>2.4973208E7</v>
      </c>
      <c r="D70" s="2">
        <v>2377115.0</v>
      </c>
      <c r="E70" s="2">
        <v>0.0</v>
      </c>
      <c r="F70" s="2">
        <v>0.0</v>
      </c>
      <c r="G70" s="2" t="s">
        <v>8</v>
      </c>
      <c r="H70" s="2"/>
      <c r="I70" s="2"/>
      <c r="J70" s="2"/>
      <c r="K70" s="2"/>
      <c r="L70" s="2"/>
      <c r="M70" s="2"/>
      <c r="N70" s="2">
        <f t="shared" si="1"/>
        <v>22596093</v>
      </c>
    </row>
    <row r="71" ht="15.75" customHeight="1">
      <c r="A71" s="5">
        <f t="shared" si="2"/>
        <v>66</v>
      </c>
      <c r="B71" s="6" t="s">
        <v>73</v>
      </c>
      <c r="C71" s="2">
        <v>7.1041888E7</v>
      </c>
      <c r="D71" s="2">
        <v>7040187.0</v>
      </c>
      <c r="E71" s="2">
        <v>0.0</v>
      </c>
      <c r="F71" s="2">
        <v>0.0</v>
      </c>
      <c r="G71" s="2" t="s">
        <v>8</v>
      </c>
      <c r="H71" s="2"/>
      <c r="I71" s="2"/>
      <c r="J71" s="2"/>
      <c r="K71" s="2"/>
      <c r="L71" s="2"/>
      <c r="M71" s="2"/>
      <c r="N71" s="2">
        <f t="shared" si="1"/>
        <v>64001701</v>
      </c>
    </row>
    <row r="72" ht="15.75" customHeight="1">
      <c r="A72" s="5">
        <f t="shared" si="2"/>
        <v>67</v>
      </c>
      <c r="B72" s="6" t="s">
        <v>74</v>
      </c>
      <c r="C72" s="2">
        <v>8.9047851E7</v>
      </c>
      <c r="D72" s="2">
        <v>8824562.0</v>
      </c>
      <c r="E72" s="2">
        <v>0.0</v>
      </c>
      <c r="F72" s="2">
        <v>0.0</v>
      </c>
      <c r="G72" s="2" t="s">
        <v>8</v>
      </c>
      <c r="H72" s="2"/>
      <c r="I72" s="2"/>
      <c r="J72" s="2"/>
      <c r="K72" s="2"/>
      <c r="L72" s="2"/>
      <c r="M72" s="2"/>
      <c r="N72" s="2">
        <f t="shared" si="1"/>
        <v>80223289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5">
        <f t="shared" si="2"/>
        <v>68</v>
      </c>
      <c r="B73" s="6" t="s">
        <v>75</v>
      </c>
      <c r="C73" s="2">
        <v>1.04E7</v>
      </c>
      <c r="D73" s="2">
        <v>0.0</v>
      </c>
      <c r="E73" s="2">
        <v>0.0</v>
      </c>
      <c r="F73" s="2">
        <v>0.0</v>
      </c>
      <c r="G73" s="2" t="s">
        <v>8</v>
      </c>
      <c r="H73" s="2"/>
      <c r="I73" s="2"/>
      <c r="J73" s="2"/>
      <c r="K73" s="2"/>
      <c r="L73" s="2"/>
      <c r="M73" s="2"/>
      <c r="N73" s="2">
        <f t="shared" si="1"/>
        <v>10400000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5">
        <f t="shared" si="2"/>
        <v>69</v>
      </c>
      <c r="B74" s="6" t="s">
        <v>76</v>
      </c>
      <c r="C74" s="2">
        <v>9.48111742E8</v>
      </c>
      <c r="D74" s="2">
        <v>9.3835722E7</v>
      </c>
      <c r="E74" s="2">
        <v>0.0</v>
      </c>
      <c r="F74" s="2">
        <v>0.0</v>
      </c>
      <c r="G74" s="2" t="s">
        <v>8</v>
      </c>
      <c r="H74" s="2"/>
      <c r="I74" s="2"/>
      <c r="J74" s="2"/>
      <c r="K74" s="2"/>
      <c r="L74" s="2"/>
      <c r="M74" s="2"/>
      <c r="N74" s="2">
        <f t="shared" si="1"/>
        <v>854276020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5">
        <f t="shared" si="2"/>
        <v>70</v>
      </c>
      <c r="B75" s="6" t="s">
        <v>77</v>
      </c>
      <c r="C75" s="2">
        <v>2.020761389E9</v>
      </c>
      <c r="D75" s="2">
        <v>2.1986524E7</v>
      </c>
      <c r="E75" s="2">
        <v>0.0</v>
      </c>
      <c r="F75" s="2">
        <v>0.0</v>
      </c>
      <c r="G75" s="2" t="s">
        <v>8</v>
      </c>
      <c r="H75" s="2"/>
      <c r="I75" s="2"/>
      <c r="J75" s="2"/>
      <c r="K75" s="2"/>
      <c r="L75" s="2"/>
      <c r="M75" s="2"/>
      <c r="N75" s="2">
        <f t="shared" si="1"/>
        <v>1998774865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5">
        <f t="shared" si="2"/>
        <v>71</v>
      </c>
      <c r="B76" s="6" t="s">
        <v>78</v>
      </c>
      <c r="C76" s="2">
        <v>1.719067003E9</v>
      </c>
      <c r="D76" s="2">
        <v>1.8703994E7</v>
      </c>
      <c r="E76" s="2">
        <v>0.0</v>
      </c>
      <c r="F76" s="2">
        <v>0.0</v>
      </c>
      <c r="G76" s="2" t="s">
        <v>8</v>
      </c>
      <c r="H76" s="2"/>
      <c r="I76" s="2"/>
      <c r="J76" s="2"/>
      <c r="K76" s="2"/>
      <c r="L76" s="2"/>
      <c r="M76" s="2"/>
      <c r="N76" s="2">
        <f t="shared" si="1"/>
        <v>1700363009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5" t="s">
        <v>1</v>
      </c>
      <c r="B77" s="6" t="s">
        <v>1</v>
      </c>
      <c r="C77" s="2" t="s">
        <v>1</v>
      </c>
      <c r="D77" s="2" t="s">
        <v>1</v>
      </c>
      <c r="E77" s="2" t="s">
        <v>1</v>
      </c>
      <c r="F77" s="2" t="s">
        <v>1</v>
      </c>
      <c r="G77" s="2" t="s">
        <v>1</v>
      </c>
      <c r="H77" s="2"/>
      <c r="I77" s="2"/>
      <c r="J77" s="2"/>
      <c r="K77" s="2" t="s">
        <v>1</v>
      </c>
      <c r="L77" s="2"/>
      <c r="M77" s="2"/>
      <c r="N77" s="2" t="s">
        <v>1</v>
      </c>
    </row>
    <row r="78" ht="15.75" customHeight="1">
      <c r="A78" s="5"/>
      <c r="B78" s="9" t="s">
        <v>1</v>
      </c>
      <c r="C78" s="10">
        <f t="shared" ref="C78:H78" si="3">SUM(C6:C77)</f>
        <v>35507080379</v>
      </c>
      <c r="D78" s="10">
        <f t="shared" si="3"/>
        <v>2893231726</v>
      </c>
      <c r="E78" s="10">
        <f t="shared" si="3"/>
        <v>0</v>
      </c>
      <c r="F78" s="10">
        <f t="shared" si="3"/>
        <v>0</v>
      </c>
      <c r="G78" s="10">
        <f t="shared" si="3"/>
        <v>0</v>
      </c>
      <c r="H78" s="10">
        <f t="shared" si="3"/>
        <v>0</v>
      </c>
      <c r="I78" s="10"/>
      <c r="J78" s="10">
        <f>SUM(J6:J77)</f>
        <v>0</v>
      </c>
      <c r="K78" s="2"/>
      <c r="L78" s="2"/>
      <c r="M78" s="2"/>
      <c r="N78" s="10">
        <f>SUM(N6:N77)</f>
        <v>32613848653</v>
      </c>
    </row>
    <row r="79" ht="15.75" customHeight="1">
      <c r="A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0" t="s">
        <v>1</v>
      </c>
      <c r="O79" s="11" t="s">
        <v>1</v>
      </c>
    </row>
    <row r="80" ht="15.75" customHeight="1">
      <c r="B80" s="3" t="s">
        <v>79</v>
      </c>
      <c r="C80" s="4" t="s">
        <v>80</v>
      </c>
      <c r="D80" s="4" t="s">
        <v>81</v>
      </c>
      <c r="E80" s="4" t="s">
        <v>82</v>
      </c>
      <c r="F80" s="4" t="s">
        <v>83</v>
      </c>
      <c r="G80" s="4" t="s">
        <v>84</v>
      </c>
      <c r="H80" s="12" t="s">
        <v>85</v>
      </c>
      <c r="I80" s="4" t="s">
        <v>86</v>
      </c>
      <c r="J80" s="12" t="s">
        <v>87</v>
      </c>
      <c r="K80" s="4" t="s">
        <v>88</v>
      </c>
      <c r="L80" s="4" t="s">
        <v>89</v>
      </c>
      <c r="M80" s="2"/>
      <c r="N80" s="2"/>
    </row>
    <row r="81" ht="15.75" customHeight="1">
      <c r="A81" s="5">
        <v>1.0</v>
      </c>
      <c r="B81" s="6" t="str">
        <f t="shared" ref="B81:B151" si="4">B6</f>
        <v>AXA AFI Rental LED Screen</v>
      </c>
      <c r="C81" s="2">
        <v>-1000000.0</v>
      </c>
      <c r="D81" s="2">
        <v>-5180000.0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-405201.0</v>
      </c>
      <c r="K81" s="2">
        <v>0.0</v>
      </c>
      <c r="L81" s="2">
        <v>0.0</v>
      </c>
      <c r="M81" s="2"/>
      <c r="N81" s="2">
        <f t="shared" ref="N81:N151" si="5">SUM(C81:L81)</f>
        <v>-6585201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5">
        <f t="shared" ref="A82:A151" si="6">+A81+1</f>
        <v>2</v>
      </c>
      <c r="B82" s="6" t="str">
        <f t="shared" si="4"/>
        <v>BRI BPJS Meeting Solo</v>
      </c>
      <c r="C82" s="2">
        <v>-4300000.0</v>
      </c>
      <c r="D82" s="2">
        <v>-1.3666E7</v>
      </c>
      <c r="E82" s="2">
        <v>-1.5787498E7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-3.3866673E7</v>
      </c>
      <c r="L82" s="2">
        <v>0.0</v>
      </c>
      <c r="M82" s="2"/>
      <c r="N82" s="2">
        <f t="shared" si="5"/>
        <v>-67620171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5">
        <f t="shared" si="6"/>
        <v>3</v>
      </c>
      <c r="B83" s="6" t="str">
        <f t="shared" si="4"/>
        <v>BRI BSBI Kunjungan Kerja Banyuwangi</v>
      </c>
      <c r="C83" s="2">
        <v>-3000000.0</v>
      </c>
      <c r="D83" s="2">
        <v>-1.11276882E8</v>
      </c>
      <c r="E83" s="2">
        <v>-3.57006E7</v>
      </c>
      <c r="F83" s="2">
        <v>0.0</v>
      </c>
      <c r="G83" s="2">
        <v>0.0</v>
      </c>
      <c r="H83" s="2">
        <v>0.0</v>
      </c>
      <c r="I83" s="2">
        <v>0.0</v>
      </c>
      <c r="J83" s="2">
        <v>-450000.0</v>
      </c>
      <c r="K83" s="2">
        <v>-6.63086843E8</v>
      </c>
      <c r="L83" s="2">
        <v>0.0</v>
      </c>
      <c r="M83" s="2"/>
      <c r="N83" s="2">
        <f t="shared" si="5"/>
        <v>-813514325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5">
        <f t="shared" si="6"/>
        <v>4</v>
      </c>
      <c r="B84" s="6" t="str">
        <f t="shared" si="4"/>
        <v>BRI CSR HUT Danantara 2026</v>
      </c>
      <c r="C84" s="2">
        <v>-1800000.0</v>
      </c>
      <c r="D84" s="2">
        <v>-3.959728E7</v>
      </c>
      <c r="E84" s="2">
        <v>-2.78892E7</v>
      </c>
      <c r="F84" s="2">
        <v>0.0</v>
      </c>
      <c r="G84" s="2">
        <v>0.0</v>
      </c>
      <c r="H84" s="2">
        <v>0.0</v>
      </c>
      <c r="I84" s="2">
        <v>0.0</v>
      </c>
      <c r="J84" s="2">
        <v>-1051000.0</v>
      </c>
      <c r="K84" s="2">
        <v>-5.1595466E7</v>
      </c>
      <c r="L84" s="2">
        <v>0.0</v>
      </c>
      <c r="M84" s="2"/>
      <c r="N84" s="2">
        <f t="shared" si="5"/>
        <v>-121932946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5">
        <f t="shared" si="6"/>
        <v>5</v>
      </c>
      <c r="B85" s="6" t="str">
        <f t="shared" si="4"/>
        <v>BRI Farewell Lunch - Greyhound</v>
      </c>
      <c r="C85" s="2">
        <v>-200000.0</v>
      </c>
      <c r="D85" s="2">
        <v>-5500000.0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-350000.0</v>
      </c>
      <c r="K85" s="2">
        <v>-5.8473385E7</v>
      </c>
      <c r="L85" s="2">
        <v>0.0</v>
      </c>
      <c r="M85" s="2"/>
      <c r="N85" s="2">
        <f t="shared" si="5"/>
        <v>-64523385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5">
        <f t="shared" si="6"/>
        <v>6</v>
      </c>
      <c r="B86" s="6" t="str">
        <f t="shared" si="4"/>
        <v>BRI FGD Semarang Komisi XI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-2.97039384E8</v>
      </c>
      <c r="L86" s="2">
        <v>0.0</v>
      </c>
      <c r="M86" s="2"/>
      <c r="N86" s="2">
        <f t="shared" si="5"/>
        <v>-297039384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5">
        <f t="shared" si="6"/>
        <v>7</v>
      </c>
      <c r="B87" s="6" t="str">
        <f t="shared" si="4"/>
        <v>BRI Konsinyering Komisi VI Menara Brilian</v>
      </c>
      <c r="C87" s="2">
        <v>-5250000.0</v>
      </c>
      <c r="D87" s="2">
        <v>-2.11740612E8</v>
      </c>
      <c r="E87" s="2">
        <v>-6.0010375E7</v>
      </c>
      <c r="F87" s="2">
        <v>0.0</v>
      </c>
      <c r="G87" s="2">
        <v>0.0</v>
      </c>
      <c r="H87" s="2">
        <v>0.0</v>
      </c>
      <c r="I87" s="2">
        <v>0.0</v>
      </c>
      <c r="J87" s="2">
        <v>-303600.0</v>
      </c>
      <c r="K87" s="2">
        <v>-6.93917979E8</v>
      </c>
      <c r="L87" s="2">
        <v>0.0</v>
      </c>
      <c r="M87" s="2"/>
      <c r="N87" s="2">
        <f t="shared" si="5"/>
        <v>-971222566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5">
        <f t="shared" si="6"/>
        <v>8</v>
      </c>
      <c r="B88" s="6" t="str">
        <f t="shared" si="4"/>
        <v>BRI Kunjungan Ibu Wapres Seruni ke Padang</v>
      </c>
      <c r="C88" s="2">
        <v>0.0</v>
      </c>
      <c r="D88" s="2">
        <v>-7.0E7</v>
      </c>
      <c r="E88" s="2">
        <v>-4.15082654E8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/>
      <c r="N88" s="2">
        <f t="shared" si="5"/>
        <v>-485082654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5">
        <f t="shared" si="6"/>
        <v>9</v>
      </c>
      <c r="B89" s="6" t="str">
        <f t="shared" si="4"/>
        <v>BRI Kunjungan Kerja BAKN Kota Bahru Parahyangan</v>
      </c>
      <c r="C89" s="2">
        <v>-3550000.0</v>
      </c>
      <c r="D89" s="2">
        <v>-1.05746902E8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-95000.0</v>
      </c>
      <c r="K89" s="2">
        <v>-3.22322574E8</v>
      </c>
      <c r="L89" s="2">
        <v>0.0</v>
      </c>
      <c r="M89" s="2"/>
      <c r="N89" s="2">
        <f t="shared" si="5"/>
        <v>-431714476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5">
        <f t="shared" si="6"/>
        <v>10</v>
      </c>
      <c r="B90" s="6" t="str">
        <f t="shared" si="4"/>
        <v>BRI Kunjungan Kerja BAKN Ujung Pandang </v>
      </c>
      <c r="C90" s="2">
        <v>-3000000.0</v>
      </c>
      <c r="D90" s="2">
        <v>-7500000.0</v>
      </c>
      <c r="E90" s="2">
        <v>-1.36479485E8</v>
      </c>
      <c r="F90" s="2">
        <v>0.0</v>
      </c>
      <c r="G90" s="2">
        <v>0.0</v>
      </c>
      <c r="H90" s="2">
        <v>0.0</v>
      </c>
      <c r="I90" s="2">
        <v>0.0</v>
      </c>
      <c r="J90" s="2">
        <v>-260000.0</v>
      </c>
      <c r="K90" s="2">
        <v>-3.17184397E8</v>
      </c>
      <c r="L90" s="2">
        <v>0.0</v>
      </c>
      <c r="M90" s="2"/>
      <c r="N90" s="2">
        <f t="shared" si="5"/>
        <v>-464423882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5">
        <f t="shared" si="6"/>
        <v>11</v>
      </c>
      <c r="B91" s="6" t="str">
        <f t="shared" si="4"/>
        <v>BRI Kunjungan Kerja Komisi XI DPR RI - Bandung</v>
      </c>
      <c r="C91" s="2">
        <v>-3550000.0</v>
      </c>
      <c r="D91" s="2">
        <v>-1.69916E8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-307500.0</v>
      </c>
      <c r="K91" s="2">
        <v>-3.05825002E8</v>
      </c>
      <c r="L91" s="2">
        <v>0.0</v>
      </c>
      <c r="M91" s="2"/>
      <c r="N91" s="2">
        <f t="shared" si="5"/>
        <v>-479598502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5">
        <f t="shared" si="6"/>
        <v>12</v>
      </c>
      <c r="B92" s="6" t="str">
        <f t="shared" si="4"/>
        <v>BRI Mudik Bersama BUMN</v>
      </c>
      <c r="C92" s="2">
        <v>0.0</v>
      </c>
      <c r="D92" s="2">
        <v>0.0</v>
      </c>
      <c r="E92" s="2">
        <v>-3.6E7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/>
      <c r="N92" s="2">
        <f t="shared" si="5"/>
        <v>-36000000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5">
        <f t="shared" si="6"/>
        <v>13</v>
      </c>
      <c r="B93" s="6" t="str">
        <f t="shared" si="4"/>
        <v>BRI SAR Living Cost Haji</v>
      </c>
      <c r="C93" s="2">
        <v>-150000.0</v>
      </c>
      <c r="D93" s="2">
        <v>-3.105119E7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/>
      <c r="N93" s="2">
        <f t="shared" si="5"/>
        <v>-31201190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5">
        <f t="shared" si="6"/>
        <v>14</v>
      </c>
      <c r="B94" s="6" t="str">
        <f t="shared" si="4"/>
        <v>BRI Sosialisasi KPP Pontianak</v>
      </c>
      <c r="C94" s="2">
        <v>-2400000.0</v>
      </c>
      <c r="D94" s="2">
        <v>-2.0449E8</v>
      </c>
      <c r="E94" s="2">
        <v>-3000000.0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-3.5043864E7</v>
      </c>
      <c r="L94" s="2">
        <v>0.0</v>
      </c>
      <c r="M94" s="2"/>
      <c r="N94" s="2">
        <f t="shared" si="5"/>
        <v>-244933864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5">
        <f t="shared" si="6"/>
        <v>15</v>
      </c>
      <c r="B95" s="6" t="str">
        <f t="shared" si="4"/>
        <v>BRI Workshop Corsec KBP</v>
      </c>
      <c r="C95" s="2">
        <v>-5250000.0</v>
      </c>
      <c r="D95" s="2">
        <v>-3.3885826E7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-500000.0</v>
      </c>
      <c r="K95" s="2">
        <v>-1.6822177E8</v>
      </c>
      <c r="L95" s="2">
        <v>0.0</v>
      </c>
      <c r="M95" s="2"/>
      <c r="N95" s="2">
        <f t="shared" si="5"/>
        <v>-207857596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5">
        <f t="shared" si="6"/>
        <v>16</v>
      </c>
      <c r="B96" s="6" t="str">
        <f t="shared" si="4"/>
        <v>BSI Kunjungan Kerja BAKN Pangkal Pinang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-2.0367531E8</v>
      </c>
      <c r="L96" s="2">
        <v>0.0</v>
      </c>
      <c r="M96" s="2"/>
      <c r="N96" s="2">
        <f t="shared" si="5"/>
        <v>-203675310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5">
        <f t="shared" si="6"/>
        <v>17</v>
      </c>
      <c r="B97" s="6" t="str">
        <f t="shared" si="4"/>
        <v>BTN Digital Store Hari Koperasi Nasional</v>
      </c>
      <c r="C97" s="2">
        <v>-950000.0</v>
      </c>
      <c r="D97" s="2">
        <v>-6.0916327E7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-405790.0</v>
      </c>
      <c r="K97" s="2">
        <v>-1350527.0</v>
      </c>
      <c r="L97" s="2">
        <v>0.0</v>
      </c>
      <c r="M97" s="2"/>
      <c r="N97" s="2">
        <f t="shared" si="5"/>
        <v>-63622644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5">
        <f t="shared" si="6"/>
        <v>18</v>
      </c>
      <c r="B98" s="6" t="str">
        <f t="shared" si="4"/>
        <v>BTN FGD Cirebon Komisi XI</v>
      </c>
      <c r="C98" s="2">
        <v>0.0</v>
      </c>
      <c r="D98" s="2">
        <v>-5.4196E7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-3.72711244E8</v>
      </c>
      <c r="L98" s="2">
        <v>0.0</v>
      </c>
      <c r="M98" s="2"/>
      <c r="N98" s="2">
        <f t="shared" si="5"/>
        <v>-426907244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5">
        <f t="shared" si="6"/>
        <v>19</v>
      </c>
      <c r="B99" s="6" t="str">
        <f t="shared" si="4"/>
        <v>BTN Konsinyering Banyuwangi</v>
      </c>
      <c r="C99" s="2">
        <v>0.0</v>
      </c>
      <c r="D99" s="2">
        <v>0.0</v>
      </c>
      <c r="E99" s="2">
        <v>-2.3986172E7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-7.0036E7</v>
      </c>
      <c r="L99" s="2">
        <v>0.0</v>
      </c>
      <c r="M99" s="2"/>
      <c r="N99" s="2">
        <f t="shared" si="5"/>
        <v>-94022172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5">
        <f t="shared" si="6"/>
        <v>20</v>
      </c>
      <c r="B100" s="6" t="str">
        <f t="shared" si="4"/>
        <v>FIT Air tickets and others</v>
      </c>
      <c r="C100" s="2">
        <v>0.0</v>
      </c>
      <c r="D100" s="2">
        <v>0.0</v>
      </c>
      <c r="E100" s="2">
        <v>-2.766129E7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-5280875.0</v>
      </c>
      <c r="L100" s="2">
        <v>0.0</v>
      </c>
      <c r="M100" s="2"/>
      <c r="N100" s="2">
        <f t="shared" si="5"/>
        <v>-32942165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5">
        <f t="shared" si="6"/>
        <v>21</v>
      </c>
      <c r="B101" s="6" t="str">
        <f t="shared" si="4"/>
        <v>Himbara FGD Fairmont</v>
      </c>
      <c r="C101" s="2">
        <v>0.0</v>
      </c>
      <c r="D101" s="2">
        <v>-2.88125E8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-515500.0</v>
      </c>
      <c r="K101" s="2">
        <v>-2.430595736E9</v>
      </c>
      <c r="L101" s="2">
        <v>0.0</v>
      </c>
      <c r="M101" s="2"/>
      <c r="N101" s="2">
        <f t="shared" si="5"/>
        <v>-2719236236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5">
        <f t="shared" si="6"/>
        <v>22</v>
      </c>
      <c r="B102" s="6" t="str">
        <f t="shared" si="4"/>
        <v>Himbara Konsinyering Pontianak</v>
      </c>
      <c r="C102" s="2">
        <v>-1500000.0</v>
      </c>
      <c r="D102" s="2">
        <v>-2.22103571E8</v>
      </c>
      <c r="E102" s="2">
        <v>-1.7879577E7</v>
      </c>
      <c r="F102" s="2">
        <v>0.0</v>
      </c>
      <c r="G102" s="2">
        <v>0.0</v>
      </c>
      <c r="H102" s="2">
        <v>0.0</v>
      </c>
      <c r="I102" s="2">
        <v>0.0</v>
      </c>
      <c r="J102" s="2">
        <v>-308000.0</v>
      </c>
      <c r="K102" s="2">
        <v>-6.10510597E8</v>
      </c>
      <c r="L102" s="2">
        <v>0.0</v>
      </c>
      <c r="M102" s="2"/>
      <c r="N102" s="2">
        <f t="shared" si="5"/>
        <v>-852301745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5">
        <f t="shared" si="6"/>
        <v>23</v>
      </c>
      <c r="B103" s="6" t="str">
        <f t="shared" si="4"/>
        <v>Himbara Kunjungan Kerja Batam BRI dan BTN</v>
      </c>
      <c r="C103" s="2">
        <v>-1.0E8</v>
      </c>
      <c r="D103" s="2">
        <v>-6.5685E7</v>
      </c>
      <c r="E103" s="2">
        <v>-2.8665E7</v>
      </c>
      <c r="F103" s="2">
        <v>0.0</v>
      </c>
      <c r="G103" s="2">
        <v>0.0</v>
      </c>
      <c r="H103" s="2">
        <v>0.0</v>
      </c>
      <c r="I103" s="2">
        <v>0.0</v>
      </c>
      <c r="J103" s="2">
        <v>-75000.0</v>
      </c>
      <c r="K103" s="2">
        <v>-7.13746208E8</v>
      </c>
      <c r="L103" s="2">
        <v>0.0</v>
      </c>
      <c r="M103" s="2"/>
      <c r="N103" s="2">
        <f t="shared" si="5"/>
        <v>-908171208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5">
        <f t="shared" si="6"/>
        <v>24</v>
      </c>
      <c r="B104" s="6" t="str">
        <f t="shared" si="4"/>
        <v>Himbara Kunjungan Kerja Medan BRI BTN</v>
      </c>
      <c r="C104" s="2">
        <v>-2800000.0</v>
      </c>
      <c r="D104" s="2">
        <v>-1.37889948E8</v>
      </c>
      <c r="E104" s="2">
        <v>-7.02E7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-4.96115566E8</v>
      </c>
      <c r="L104" s="2">
        <v>0.0</v>
      </c>
      <c r="M104" s="2"/>
      <c r="N104" s="2">
        <f t="shared" si="5"/>
        <v>-707005514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5">
        <f t="shared" si="6"/>
        <v>25</v>
      </c>
      <c r="B105" s="6" t="str">
        <f t="shared" si="4"/>
        <v>Mandiri FGD Banten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-93500.0</v>
      </c>
      <c r="K105" s="2">
        <v>-6.40947183E8</v>
      </c>
      <c r="L105" s="2">
        <v>0.0</v>
      </c>
      <c r="M105" s="2"/>
      <c r="N105" s="2">
        <f t="shared" si="5"/>
        <v>-641040683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5">
        <f t="shared" si="6"/>
        <v>26</v>
      </c>
      <c r="B106" s="6" t="str">
        <f t="shared" si="4"/>
        <v>Mandiri Juragan Xtra Solo</v>
      </c>
      <c r="C106" s="2">
        <v>-9500000.0</v>
      </c>
      <c r="D106" s="2">
        <v>-3.72158386E8</v>
      </c>
      <c r="E106" s="2">
        <v>-5.4915792E7</v>
      </c>
      <c r="F106" s="2">
        <v>0.0</v>
      </c>
      <c r="G106" s="2">
        <v>0.0</v>
      </c>
      <c r="H106" s="2">
        <v>0.0</v>
      </c>
      <c r="I106" s="2">
        <v>0.0</v>
      </c>
      <c r="J106" s="2">
        <v>-125000.0</v>
      </c>
      <c r="K106" s="2">
        <v>-1.41280145E8</v>
      </c>
      <c r="L106" s="2">
        <v>0.0</v>
      </c>
      <c r="M106" s="2"/>
      <c r="N106" s="2">
        <f t="shared" si="5"/>
        <v>-577979323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5">
        <f t="shared" si="6"/>
        <v>27</v>
      </c>
      <c r="B107" s="6" t="str">
        <f t="shared" si="4"/>
        <v>Mandiri Konsinyering Balikpapan</v>
      </c>
      <c r="C107" s="2">
        <v>-6000000.0</v>
      </c>
      <c r="D107" s="2">
        <v>-7.6E7</v>
      </c>
      <c r="E107" s="2">
        <v>-1.59964109E8</v>
      </c>
      <c r="F107" s="2">
        <v>0.0</v>
      </c>
      <c r="G107" s="2">
        <v>0.0</v>
      </c>
      <c r="H107" s="2">
        <v>0.0</v>
      </c>
      <c r="I107" s="2">
        <v>0.0</v>
      </c>
      <c r="J107" s="2">
        <v>-260000.0</v>
      </c>
      <c r="K107" s="2">
        <v>-3.25373162E8</v>
      </c>
      <c r="L107" s="2">
        <v>0.0</v>
      </c>
      <c r="M107" s="2"/>
      <c r="N107" s="2">
        <f t="shared" si="5"/>
        <v>-567597271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5">
        <f t="shared" si="6"/>
        <v>28</v>
      </c>
      <c r="B108" s="6" t="str">
        <f t="shared" si="4"/>
        <v>Mandiri Mudik Bersama</v>
      </c>
      <c r="C108" s="2">
        <v>-3.535E7</v>
      </c>
      <c r="D108" s="2">
        <v>-4.0506461E9</v>
      </c>
      <c r="E108" s="2">
        <v>-5.4577014E8</v>
      </c>
      <c r="F108" s="2">
        <v>0.0</v>
      </c>
      <c r="G108" s="2">
        <v>0.0</v>
      </c>
      <c r="H108" s="2">
        <v>0.0</v>
      </c>
      <c r="I108" s="2">
        <v>0.0</v>
      </c>
      <c r="J108" s="2">
        <v>-4678000.0</v>
      </c>
      <c r="K108" s="2">
        <v>-3.54944523E8</v>
      </c>
      <c r="L108" s="2">
        <v>0.0</v>
      </c>
      <c r="M108" s="2"/>
      <c r="N108" s="2">
        <f t="shared" si="5"/>
        <v>-4991388763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5">
        <f t="shared" si="6"/>
        <v>29</v>
      </c>
      <c r="B109" s="6" t="str">
        <f t="shared" si="4"/>
        <v>Mandiri Outing Bali</v>
      </c>
      <c r="C109" s="2">
        <v>-4000000.0</v>
      </c>
      <c r="D109" s="2">
        <v>-1.69196304E8</v>
      </c>
      <c r="E109" s="2">
        <v>-1.22708868E8</v>
      </c>
      <c r="F109" s="2">
        <v>0.0</v>
      </c>
      <c r="G109" s="2">
        <v>0.0</v>
      </c>
      <c r="H109" s="2">
        <v>0.0</v>
      </c>
      <c r="I109" s="2">
        <v>0.0</v>
      </c>
      <c r="J109" s="2">
        <v>-117500.0</v>
      </c>
      <c r="K109" s="2">
        <v>-1.1136648E8</v>
      </c>
      <c r="L109" s="2">
        <v>0.0</v>
      </c>
      <c r="M109" s="2"/>
      <c r="N109" s="2">
        <f t="shared" si="5"/>
        <v>-407389152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5">
        <f t="shared" si="6"/>
        <v>30</v>
      </c>
      <c r="B110" s="6" t="str">
        <f t="shared" si="4"/>
        <v>Shell Bali Private Trip</v>
      </c>
      <c r="C110" s="2">
        <v>0.0</v>
      </c>
      <c r="D110" s="2">
        <v>-3.2173645E7</v>
      </c>
      <c r="E110" s="2">
        <v>-6427514.0</v>
      </c>
      <c r="F110" s="2">
        <v>0.0</v>
      </c>
      <c r="G110" s="2">
        <v>0.0</v>
      </c>
      <c r="H110" s="2">
        <v>0.0</v>
      </c>
      <c r="I110" s="2">
        <v>0.0</v>
      </c>
      <c r="J110" s="2">
        <v>-295300.0</v>
      </c>
      <c r="K110" s="2">
        <v>-2.0780429E7</v>
      </c>
      <c r="L110" s="2">
        <v>0.0</v>
      </c>
      <c r="M110" s="2"/>
      <c r="N110" s="2">
        <f t="shared" si="5"/>
        <v>-59676888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5">
        <f t="shared" si="6"/>
        <v>31</v>
      </c>
      <c r="B111" s="6" t="str">
        <f t="shared" si="4"/>
        <v>Shell Bangkok Customer Trip</v>
      </c>
      <c r="C111" s="2">
        <v>-400000.0</v>
      </c>
      <c r="D111" s="2">
        <v>-4.8760925E7</v>
      </c>
      <c r="E111" s="2">
        <v>-1.150895E7</v>
      </c>
      <c r="F111" s="2">
        <v>0.0</v>
      </c>
      <c r="G111" s="2">
        <v>0.0</v>
      </c>
      <c r="H111" s="2">
        <v>0.0</v>
      </c>
      <c r="I111" s="2">
        <v>0.0</v>
      </c>
      <c r="J111" s="2">
        <v>-100000.0</v>
      </c>
      <c r="K111" s="2">
        <v>-800553.0</v>
      </c>
      <c r="L111" s="2">
        <v>0.0</v>
      </c>
      <c r="M111" s="2"/>
      <c r="N111" s="2">
        <f t="shared" si="5"/>
        <v>-61570428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5">
        <f t="shared" si="6"/>
        <v>32</v>
      </c>
      <c r="B112" s="6" t="str">
        <f t="shared" si="4"/>
        <v>Shell Hexindo Trip Kuala Lumpur</v>
      </c>
      <c r="C112" s="2">
        <v>0.0</v>
      </c>
      <c r="D112" s="2">
        <v>-7.29434E7</v>
      </c>
      <c r="E112" s="2">
        <v>-8244409.0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-1565600.0</v>
      </c>
      <c r="L112" s="2">
        <v>0.0</v>
      </c>
      <c r="M112" s="2"/>
      <c r="N112" s="2">
        <f t="shared" si="5"/>
        <v>-82753409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5">
        <f t="shared" si="6"/>
        <v>33</v>
      </c>
      <c r="B113" s="6" t="str">
        <f t="shared" si="4"/>
        <v>Shell Japan Formula 1 Trip</v>
      </c>
      <c r="C113" s="2">
        <v>-400000.0</v>
      </c>
      <c r="D113" s="2">
        <v>-4.99904324E8</v>
      </c>
      <c r="E113" s="2">
        <v>-3.07244472E8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-2.99543707E8</v>
      </c>
      <c r="L113" s="2">
        <v>0.0</v>
      </c>
      <c r="M113" s="2"/>
      <c r="N113" s="2">
        <f t="shared" si="5"/>
        <v>-1107092503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5">
        <f t="shared" si="6"/>
        <v>34</v>
      </c>
      <c r="B114" s="6" t="str">
        <f t="shared" si="4"/>
        <v>Shell Visit Kuala Lumpur</v>
      </c>
      <c r="C114" s="2">
        <v>-400000.0</v>
      </c>
      <c r="D114" s="2">
        <v>-7.091891E7</v>
      </c>
      <c r="E114" s="2">
        <v>-1.9850409E7</v>
      </c>
      <c r="F114" s="2">
        <v>0.0</v>
      </c>
      <c r="G114" s="2">
        <v>0.0</v>
      </c>
      <c r="H114" s="2">
        <v>0.0</v>
      </c>
      <c r="I114" s="2">
        <v>0.0</v>
      </c>
      <c r="J114" s="2">
        <v>-188850.0</v>
      </c>
      <c r="K114" s="2">
        <v>-1073710.0</v>
      </c>
      <c r="L114" s="2">
        <v>0.0</v>
      </c>
      <c r="M114" s="2"/>
      <c r="N114" s="2">
        <f t="shared" si="5"/>
        <v>-92431879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5">
        <f t="shared" si="6"/>
        <v>35</v>
      </c>
      <c r="B115" s="6" t="str">
        <f t="shared" si="4"/>
        <v>Telkom Infra Halal Bihalal ENOM 2.0 Area 1 dan Area 3</v>
      </c>
      <c r="C115" s="2">
        <v>0.0</v>
      </c>
      <c r="D115" s="2">
        <v>-1.365975E7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-1.134025E7</v>
      </c>
      <c r="L115" s="2">
        <v>0.0</v>
      </c>
      <c r="M115" s="2"/>
      <c r="N115" s="2">
        <f t="shared" si="5"/>
        <v>-25000000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5">
        <f t="shared" si="6"/>
        <v>36</v>
      </c>
      <c r="B116" s="6" t="str">
        <f t="shared" si="4"/>
        <v>Telkomsel Alignment Sales Strategy All Branch Sumbagteng Q4 2025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-3.25E7</v>
      </c>
      <c r="L116" s="2">
        <v>0.0</v>
      </c>
      <c r="M116" s="2"/>
      <c r="N116" s="2">
        <f t="shared" si="5"/>
        <v>-32500000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5">
        <f t="shared" si="6"/>
        <v>37</v>
      </c>
      <c r="B117" s="6" t="str">
        <f t="shared" si="4"/>
        <v>Telkomsel ANO Sumatera Network Forum</v>
      </c>
      <c r="C117" s="2">
        <v>-6650000.0</v>
      </c>
      <c r="D117" s="2">
        <v>-5.38298E7</v>
      </c>
      <c r="E117" s="2">
        <v>-3.94287201E8</v>
      </c>
      <c r="F117" s="2">
        <v>0.0</v>
      </c>
      <c r="G117" s="2">
        <v>0.0</v>
      </c>
      <c r="H117" s="2">
        <v>0.0</v>
      </c>
      <c r="I117" s="2">
        <v>0.0</v>
      </c>
      <c r="J117" s="2">
        <v>-285500.0</v>
      </c>
      <c r="K117" s="2">
        <v>-1.93337992E8</v>
      </c>
      <c r="L117" s="2">
        <v>0.0</v>
      </c>
      <c r="M117" s="2"/>
      <c r="N117" s="2">
        <f t="shared" si="5"/>
        <v>-648390493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5">
        <f t="shared" si="6"/>
        <v>38</v>
      </c>
      <c r="B118" s="6" t="str">
        <f t="shared" si="4"/>
        <v>Telkomsel Batam Redesign Network Review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-1.6162768E7</v>
      </c>
      <c r="L118" s="2">
        <v>0.0</v>
      </c>
      <c r="M118" s="2"/>
      <c r="N118" s="2">
        <f t="shared" si="5"/>
        <v>-16162768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5">
        <f t="shared" si="6"/>
        <v>39</v>
      </c>
      <c r="B119" s="6" t="str">
        <f t="shared" si="4"/>
        <v>Telkomsel Collaboration Pacu Jalur dan HUT Nias 2025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-2.9860694E7</v>
      </c>
      <c r="L119" s="2">
        <v>0.0</v>
      </c>
      <c r="M119" s="2"/>
      <c r="N119" s="2">
        <f t="shared" si="5"/>
        <v>-29860694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5">
        <f t="shared" si="6"/>
        <v>40</v>
      </c>
      <c r="B120" s="6" t="str">
        <f t="shared" si="4"/>
        <v>Telkomsel Consolidate Pekanbaru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-2.6373208E7</v>
      </c>
      <c r="L120" s="2">
        <v>0.0</v>
      </c>
      <c r="M120" s="2"/>
      <c r="N120" s="2">
        <f t="shared" si="5"/>
        <v>-26373208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5">
        <f t="shared" si="6"/>
        <v>41</v>
      </c>
      <c r="B121" s="6" t="str">
        <f t="shared" si="4"/>
        <v>Telkomsel Digital Placement Support Area Sumatera</v>
      </c>
      <c r="C121" s="2">
        <v>0.0</v>
      </c>
      <c r="D121" s="2">
        <v>0.0</v>
      </c>
      <c r="E121" s="2">
        <v>-1.0533599E7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-1.7368199E7</v>
      </c>
      <c r="L121" s="2">
        <v>0.0</v>
      </c>
      <c r="M121" s="2"/>
      <c r="N121" s="2">
        <f t="shared" si="5"/>
        <v>-27901798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5">
        <f t="shared" si="6"/>
        <v>42</v>
      </c>
      <c r="B122" s="6" t="str">
        <f t="shared" si="4"/>
        <v>Telkomsel E2E Division Alignment Collaboration H1</v>
      </c>
      <c r="C122" s="2">
        <v>-1500000.0</v>
      </c>
      <c r="D122" s="2">
        <v>-1000000.0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-3.9204305E7</v>
      </c>
      <c r="L122" s="2">
        <v>0.0</v>
      </c>
      <c r="M122" s="2"/>
      <c r="N122" s="2">
        <f t="shared" si="5"/>
        <v>-41704305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5">
        <f t="shared" si="6"/>
        <v>43</v>
      </c>
      <c r="B123" s="6" t="str">
        <f t="shared" si="4"/>
        <v>Telkomsel Event HCM - MPP dan Pensiun Q4 2025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/>
      <c r="N123" s="2">
        <f t="shared" si="5"/>
        <v>0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5">
        <f t="shared" si="6"/>
        <v>44</v>
      </c>
      <c r="B124" s="6" t="str">
        <f t="shared" si="4"/>
        <v>Telkomsel Event Safari RAFI BOD Palembang</v>
      </c>
      <c r="C124" s="2">
        <v>0.0</v>
      </c>
      <c r="D124" s="2">
        <v>0.0</v>
      </c>
      <c r="E124" s="2">
        <v>-3559070.0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-1.382028E7</v>
      </c>
      <c r="L124" s="2">
        <v>0.0</v>
      </c>
      <c r="M124" s="2"/>
      <c r="N124" s="2">
        <f t="shared" si="5"/>
        <v>-17379350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5">
        <f t="shared" si="6"/>
        <v>45</v>
      </c>
      <c r="B125" s="6" t="str">
        <f t="shared" si="4"/>
        <v>Telkomsel Event Securing Target Regional Sumatera Bagian Selatan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-2.854054E7</v>
      </c>
      <c r="L125" s="2">
        <v>0.0</v>
      </c>
      <c r="M125" s="2"/>
      <c r="N125" s="2">
        <f t="shared" si="5"/>
        <v>-28540540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5">
        <f t="shared" si="6"/>
        <v>46</v>
      </c>
      <c r="B126" s="6" t="str">
        <f t="shared" si="4"/>
        <v>Telkomsel FB, Reward and Merch Digiads</v>
      </c>
      <c r="C126" s="2">
        <v>-1200000.0</v>
      </c>
      <c r="D126" s="2">
        <v>-1.83209933E8</v>
      </c>
      <c r="E126" s="2">
        <v>-1.60114287E8</v>
      </c>
      <c r="F126" s="2">
        <v>0.0</v>
      </c>
      <c r="G126" s="2">
        <v>0.0</v>
      </c>
      <c r="H126" s="2">
        <v>0.0</v>
      </c>
      <c r="I126" s="2">
        <v>0.0</v>
      </c>
      <c r="J126" s="2">
        <v>-217800.0</v>
      </c>
      <c r="K126" s="2">
        <v>-1.20513156E8</v>
      </c>
      <c r="L126" s="2">
        <v>0.0</v>
      </c>
      <c r="M126" s="2"/>
      <c r="N126" s="2">
        <f t="shared" si="5"/>
        <v>-465255176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5">
        <f t="shared" si="6"/>
        <v>47</v>
      </c>
      <c r="B127" s="6" t="str">
        <f t="shared" si="4"/>
        <v>Telkomsel FBP West Area</v>
      </c>
      <c r="C127" s="2">
        <v>0.0</v>
      </c>
      <c r="D127" s="2">
        <v>0.0</v>
      </c>
      <c r="E127" s="2">
        <v>-3625552.0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-1.04619073E8</v>
      </c>
      <c r="L127" s="2">
        <v>0.0</v>
      </c>
      <c r="M127" s="2"/>
      <c r="N127" s="2">
        <f t="shared" si="5"/>
        <v>-108244625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5">
        <f t="shared" si="6"/>
        <v>48</v>
      </c>
      <c r="B128" s="6" t="str">
        <f t="shared" si="4"/>
        <v>Telkomsel Fiberisasi Target Sumatera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-4.4959316E7</v>
      </c>
      <c r="L128" s="2">
        <v>0.0</v>
      </c>
      <c r="M128" s="2"/>
      <c r="N128" s="2">
        <f t="shared" si="5"/>
        <v>-44959316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5">
        <f t="shared" si="6"/>
        <v>49</v>
      </c>
      <c r="B129" s="6" t="str">
        <f t="shared" si="4"/>
        <v>Telkomsel Focus Action Paying User Sumatera Q3</v>
      </c>
      <c r="C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-1.15175573E8</v>
      </c>
      <c r="L129" s="2">
        <v>0.0</v>
      </c>
      <c r="M129" s="2"/>
      <c r="N129" s="2">
        <f t="shared" si="5"/>
        <v>-115175573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5">
        <f t="shared" si="6"/>
        <v>50</v>
      </c>
      <c r="B130" s="6" t="str">
        <f t="shared" si="4"/>
        <v>Telkomsel Ground Check Implementasi Program HH GTM</v>
      </c>
      <c r="C130" s="2">
        <v>0.0</v>
      </c>
      <c r="D130" s="2">
        <v>0.0</v>
      </c>
      <c r="E130" s="2">
        <v>-1803000.0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-2.182095E7</v>
      </c>
      <c r="L130" s="2">
        <v>0.0</v>
      </c>
      <c r="M130" s="2"/>
      <c r="N130" s="2">
        <f t="shared" si="5"/>
        <v>-23623950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5">
        <f t="shared" si="6"/>
        <v>51</v>
      </c>
      <c r="B131" s="6" t="str">
        <f t="shared" si="4"/>
        <v>Telkomsel Harmoni Sumatera</v>
      </c>
      <c r="C131" s="2">
        <v>0.0</v>
      </c>
      <c r="D131" s="2">
        <v>0.0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-3.004276E7</v>
      </c>
      <c r="L131" s="2">
        <v>0.0</v>
      </c>
      <c r="M131" s="2"/>
      <c r="N131" s="2">
        <f t="shared" si="5"/>
        <v>-30042760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5">
        <f t="shared" si="6"/>
        <v>52</v>
      </c>
      <c r="B132" s="6" t="str">
        <f t="shared" si="4"/>
        <v>Telkomsel HUT Telkomsel dan 5G Relaunch Batam</v>
      </c>
      <c r="C132" s="2">
        <v>0.0</v>
      </c>
      <c r="D132" s="2">
        <v>0.0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-7.6410118E7</v>
      </c>
      <c r="L132" s="2">
        <v>0.0</v>
      </c>
      <c r="M132" s="2"/>
      <c r="N132" s="2">
        <f t="shared" si="5"/>
        <v>-76410118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5">
        <f t="shared" si="6"/>
        <v>53</v>
      </c>
      <c r="B133" s="6" t="str">
        <f t="shared" si="4"/>
        <v>Telkomsel Implentasi New Ways of Working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-1.33178391E8</v>
      </c>
      <c r="L133" s="2">
        <v>0.0</v>
      </c>
      <c r="M133" s="2"/>
      <c r="N133" s="2">
        <f t="shared" si="5"/>
        <v>-133178391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5">
        <f t="shared" si="6"/>
        <v>54</v>
      </c>
      <c r="B134" s="6" t="str">
        <f t="shared" si="4"/>
        <v>Telkomsel International Event Leaders Meeting Q3 2025 PKU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-3.1956085E7</v>
      </c>
      <c r="L134" s="2">
        <v>0.0</v>
      </c>
      <c r="M134" s="2"/>
      <c r="N134" s="2">
        <f t="shared" si="5"/>
        <v>-31956085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5">
        <f t="shared" si="6"/>
        <v>55</v>
      </c>
      <c r="B135" s="6" t="str">
        <f t="shared" si="4"/>
        <v>Telkomsel Market Visit All Branch Regional SumBagTeng Q4 2025</v>
      </c>
      <c r="C135" s="2">
        <v>0.0</v>
      </c>
      <c r="D135" s="2">
        <v>0.0</v>
      </c>
      <c r="E135" s="2">
        <v>-2.12E7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/>
      <c r="N135" s="2">
        <f t="shared" si="5"/>
        <v>-21200000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5">
        <f t="shared" si="6"/>
        <v>56</v>
      </c>
      <c r="B136" s="6" t="str">
        <f t="shared" si="4"/>
        <v>Telkomsel Meeting Procurement Q2 2025</v>
      </c>
      <c r="C136" s="2">
        <v>0.0</v>
      </c>
      <c r="D136" s="2">
        <v>0.0</v>
      </c>
      <c r="E136" s="2">
        <v>-1.4254853E7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f>-12343000-16028089</f>
        <v>-28371089</v>
      </c>
      <c r="L136" s="2">
        <v>0.0</v>
      </c>
      <c r="M136" s="2"/>
      <c r="N136" s="2">
        <f t="shared" si="5"/>
        <v>-42625942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5">
        <f t="shared" si="6"/>
        <v>57</v>
      </c>
      <c r="B137" s="6" t="str">
        <f t="shared" si="4"/>
        <v>Telkomsel Pengawalan Event Regional Sumatera Bagian Utara</v>
      </c>
      <c r="C137" s="2">
        <v>0.0</v>
      </c>
      <c r="D137" s="2">
        <v>0.0</v>
      </c>
      <c r="E137" s="2">
        <v>-1.0699915E7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-1.764119E7</v>
      </c>
      <c r="L137" s="2">
        <v>0.0</v>
      </c>
      <c r="M137" s="2"/>
      <c r="N137" s="2">
        <f t="shared" si="5"/>
        <v>-28341105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5">
        <f t="shared" si="6"/>
        <v>58</v>
      </c>
      <c r="B138" s="6" t="str">
        <f t="shared" si="4"/>
        <v>Telkomsel Pisah Sambut VP Sales A1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-3.18351497E8</v>
      </c>
      <c r="L138" s="2">
        <v>0.0</v>
      </c>
      <c r="M138" s="2"/>
      <c r="N138" s="2">
        <f t="shared" si="5"/>
        <v>-318351497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5">
        <f t="shared" si="6"/>
        <v>59</v>
      </c>
      <c r="B139" s="6" t="str">
        <f t="shared" si="4"/>
        <v>Telkomsel Program Market Visit (SBU &amp; SBS)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-2.108918E7</v>
      </c>
      <c r="L139" s="2">
        <v>0.0</v>
      </c>
      <c r="M139" s="2"/>
      <c r="N139" s="2">
        <f t="shared" si="5"/>
        <v>-21089180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5">
        <f t="shared" si="6"/>
        <v>60</v>
      </c>
      <c r="B140" s="6" t="str">
        <f t="shared" si="4"/>
        <v>Telkomsel Reach Beyond Area Sumatera 2025</v>
      </c>
      <c r="C140" s="2">
        <v>0.0</v>
      </c>
      <c r="D140" s="2">
        <v>0.0</v>
      </c>
      <c r="E140" s="2">
        <v>-2.7924573E7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-1.91878955E8</v>
      </c>
      <c r="L140" s="2">
        <v>0.0</v>
      </c>
      <c r="M140" s="2"/>
      <c r="N140" s="2">
        <f t="shared" si="5"/>
        <v>-219803528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5">
        <f t="shared" si="6"/>
        <v>61</v>
      </c>
      <c r="B141" s="6" t="str">
        <f t="shared" si="4"/>
        <v>Telkomsel Sales Academy September 2025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-6.1108588E7</v>
      </c>
      <c r="L141" s="2">
        <v>0.0</v>
      </c>
      <c r="M141" s="2"/>
      <c r="N141" s="2">
        <f t="shared" si="5"/>
        <v>-61108588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5">
        <f t="shared" si="6"/>
        <v>62</v>
      </c>
      <c r="B142" s="6" t="str">
        <f t="shared" si="4"/>
        <v>Telkomsel Sales Townhall 2025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-1.23719418E8</v>
      </c>
      <c r="L142" s="2">
        <v>0.0</v>
      </c>
      <c r="M142" s="2"/>
      <c r="N142" s="2">
        <f t="shared" si="5"/>
        <v>-123719418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5">
        <f t="shared" si="6"/>
        <v>63</v>
      </c>
      <c r="B143" s="6" t="str">
        <f t="shared" si="4"/>
        <v>Telkomsel Securing Target SM 1 2025</v>
      </c>
      <c r="C143" s="2">
        <v>0.0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-3.2204111E7</v>
      </c>
      <c r="L143" s="2">
        <v>0.0</v>
      </c>
      <c r="M143" s="2"/>
      <c r="N143" s="2">
        <f t="shared" si="5"/>
        <v>-32204111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5">
        <f t="shared" si="6"/>
        <v>64</v>
      </c>
      <c r="B144" s="6" t="str">
        <f t="shared" si="4"/>
        <v>Telkomsel Support Evaluasi GraPARI Optimalisasi Area 1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-4.9981182E7</v>
      </c>
      <c r="L144" s="2">
        <v>0.0</v>
      </c>
      <c r="M144" s="2"/>
      <c r="N144" s="2">
        <f t="shared" si="5"/>
        <v>-49981182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5">
        <f t="shared" si="6"/>
        <v>65</v>
      </c>
      <c r="B145" s="6" t="str">
        <f t="shared" si="4"/>
        <v>Telkomsel Support Renego Backpacker BKL - LPG Q4 2025</v>
      </c>
      <c r="C145" s="2">
        <v>0.0</v>
      </c>
      <c r="D145" s="2">
        <v>0.0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-1.9971209E7</v>
      </c>
      <c r="L145" s="2">
        <v>0.0</v>
      </c>
      <c r="M145" s="2"/>
      <c r="N145" s="2">
        <f t="shared" si="5"/>
        <v>-19971209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5">
        <f t="shared" si="6"/>
        <v>66</v>
      </c>
      <c r="B146" s="6" t="str">
        <f t="shared" si="4"/>
        <v>Telkomsel TLP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-5.9894614E7</v>
      </c>
      <c r="L146" s="2">
        <v>0.0</v>
      </c>
      <c r="M146" s="2"/>
      <c r="N146" s="2">
        <f t="shared" si="5"/>
        <v>-59894614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5">
        <f t="shared" si="6"/>
        <v>67</v>
      </c>
      <c r="B147" s="6" t="str">
        <f t="shared" si="4"/>
        <v>Telkomsel Training TL Academy Session 2</v>
      </c>
      <c r="C147" s="2">
        <v>0.0</v>
      </c>
      <c r="D147" s="2">
        <v>0.0</v>
      </c>
      <c r="E147" s="2">
        <v>-1.9975036E7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-5.5E7</v>
      </c>
      <c r="L147" s="2">
        <v>0.0</v>
      </c>
      <c r="M147" s="2"/>
      <c r="N147" s="2">
        <f t="shared" si="5"/>
        <v>-74975036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5">
        <f t="shared" si="6"/>
        <v>68</v>
      </c>
      <c r="B148" s="6" t="str">
        <f t="shared" si="4"/>
        <v>Telkomsel Workshop Reach Beyond Area Sumatera</v>
      </c>
      <c r="C148" s="2">
        <v>-5400000.0</v>
      </c>
      <c r="D148" s="2">
        <v>-2.16463E8</v>
      </c>
      <c r="E148" s="2">
        <v>-3.7040608E8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-3.57167055E8</v>
      </c>
      <c r="L148" s="2">
        <v>0.0</v>
      </c>
      <c r="M148" s="2"/>
      <c r="N148" s="2">
        <f t="shared" si="5"/>
        <v>-949436135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5">
        <f t="shared" si="6"/>
        <v>69</v>
      </c>
      <c r="B149" s="6" t="str">
        <f t="shared" si="4"/>
        <v>Telkomsel Workshop Sales A1 Play Hard Serve Harder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-7.90579418E8</v>
      </c>
      <c r="L149" s="2">
        <v>0.0</v>
      </c>
      <c r="M149" s="2"/>
      <c r="N149" s="2">
        <f t="shared" si="5"/>
        <v>-790579418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5">
        <f t="shared" si="6"/>
        <v>70</v>
      </c>
      <c r="B150" s="6" t="str">
        <f t="shared" si="4"/>
        <v>Trimegah Sekuritas Employee Gathering</v>
      </c>
      <c r="C150" s="2">
        <v>-7200000.0</v>
      </c>
      <c r="D150" s="2">
        <v>-5.5542666E8</v>
      </c>
      <c r="E150" s="2">
        <v>-1.396323826E9</v>
      </c>
      <c r="F150" s="2">
        <v>0.0</v>
      </c>
      <c r="G150" s="2">
        <v>0.0</v>
      </c>
      <c r="H150" s="2">
        <v>0.0</v>
      </c>
      <c r="I150" s="2">
        <v>0.0</v>
      </c>
      <c r="J150" s="2">
        <v>-70000.0</v>
      </c>
      <c r="K150" s="2">
        <v>-1.47409537E8</v>
      </c>
      <c r="L150" s="2">
        <v>0.0</v>
      </c>
      <c r="M150" s="2"/>
      <c r="N150" s="2">
        <f t="shared" si="5"/>
        <v>-2106430023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5">
        <f t="shared" si="6"/>
        <v>71</v>
      </c>
      <c r="B151" s="6" t="str">
        <f t="shared" si="4"/>
        <v>Trimegah Trainning Camp 2026</v>
      </c>
      <c r="C151" s="2">
        <v>-3518250.0</v>
      </c>
      <c r="D151" s="2">
        <v>-5.16229372E8</v>
      </c>
      <c r="E151" s="2">
        <v>-9.00303265E8</v>
      </c>
      <c r="F151" s="2">
        <v>0.0</v>
      </c>
      <c r="G151" s="2">
        <v>0.0</v>
      </c>
      <c r="H151" s="2">
        <v>0.0</v>
      </c>
      <c r="I151" s="2">
        <v>0.0</v>
      </c>
      <c r="J151" s="2">
        <v>-1279000.0</v>
      </c>
      <c r="K151" s="2">
        <v>-2.1711285E7</v>
      </c>
      <c r="L151" s="2">
        <v>0.0</v>
      </c>
      <c r="M151" s="2"/>
      <c r="N151" s="2">
        <f t="shared" si="5"/>
        <v>-1443041172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5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C153" s="10">
        <f t="shared" ref="C153:L153" si="7">SUBTOTAL(9,C81:C151)</f>
        <v>-220218250</v>
      </c>
      <c r="D153" s="10">
        <f t="shared" si="7"/>
        <v>-8770987047</v>
      </c>
      <c r="E153" s="10">
        <f t="shared" si="7"/>
        <v>-5469986771</v>
      </c>
      <c r="F153" s="10">
        <f t="shared" si="7"/>
        <v>0</v>
      </c>
      <c r="G153" s="10">
        <f t="shared" si="7"/>
        <v>0</v>
      </c>
      <c r="H153" s="10">
        <f t="shared" si="7"/>
        <v>0</v>
      </c>
      <c r="I153" s="10">
        <f t="shared" si="7"/>
        <v>0</v>
      </c>
      <c r="J153" s="10">
        <f t="shared" si="7"/>
        <v>-12737041</v>
      </c>
      <c r="K153" s="10">
        <f t="shared" si="7"/>
        <v>-13131536878</v>
      </c>
      <c r="L153" s="10">
        <f t="shared" si="7"/>
        <v>0</v>
      </c>
      <c r="M153" s="2"/>
      <c r="N153" s="10">
        <f>SUBTOTAL(9,N81:N151)</f>
        <v>-27605465987</v>
      </c>
    </row>
    <row r="154" ht="15.75" customHeight="1">
      <c r="B154" s="3" t="s">
        <v>90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5.75" customHeight="1">
      <c r="A155" s="5">
        <v>1.0</v>
      </c>
      <c r="B155" s="6" t="str">
        <f t="shared" ref="B155:B225" si="8">B6</f>
        <v>AXA AFI Rental LED Screen</v>
      </c>
      <c r="C155" s="2" t="s">
        <v>1</v>
      </c>
      <c r="D155" s="2" t="s">
        <v>1</v>
      </c>
      <c r="E155" s="2" t="s">
        <v>1</v>
      </c>
      <c r="F155" s="2" t="s">
        <v>1</v>
      </c>
      <c r="G155" s="2" t="s">
        <v>1</v>
      </c>
      <c r="H155" s="2" t="s">
        <v>1</v>
      </c>
      <c r="I155" s="2" t="s">
        <v>1</v>
      </c>
      <c r="J155" s="2" t="s">
        <v>1</v>
      </c>
      <c r="K155" s="2" t="s">
        <v>1</v>
      </c>
      <c r="L155" s="2" t="s">
        <v>1</v>
      </c>
      <c r="M155" s="2"/>
      <c r="N155" s="2">
        <f t="shared" ref="N155:N225" si="9">N6+N81</f>
        <v>2226249</v>
      </c>
      <c r="O155" s="11">
        <f t="shared" ref="O155:O225" si="10">N155/N6</f>
        <v>0.2526541035</v>
      </c>
    </row>
    <row r="156" ht="15.75" customHeight="1">
      <c r="A156" s="5">
        <f t="shared" ref="A156:A225" si="11">A155+1</f>
        <v>2</v>
      </c>
      <c r="B156" s="6" t="str">
        <f t="shared" si="8"/>
        <v>BRI BPJS Meeting Solo</v>
      </c>
      <c r="C156" s="2"/>
      <c r="D156" s="2"/>
      <c r="E156" s="2" t="s">
        <v>1</v>
      </c>
      <c r="F156" s="2"/>
      <c r="G156" s="2"/>
      <c r="H156" s="2"/>
      <c r="I156" s="2"/>
      <c r="J156" s="2"/>
      <c r="K156" s="2"/>
      <c r="L156" s="2"/>
      <c r="M156" s="2"/>
      <c r="N156" s="2">
        <f t="shared" si="9"/>
        <v>111784879</v>
      </c>
      <c r="O156" s="11">
        <f t="shared" si="10"/>
        <v>0.6230865798</v>
      </c>
    </row>
    <row r="157" ht="15.75" customHeight="1">
      <c r="A157" s="5">
        <f t="shared" si="11"/>
        <v>3</v>
      </c>
      <c r="B157" s="6" t="str">
        <f t="shared" si="8"/>
        <v>BRI BSBI Kunjungan Kerja Banyuwangi</v>
      </c>
      <c r="C157" s="2" t="s">
        <v>1</v>
      </c>
      <c r="D157" s="2" t="s">
        <v>1</v>
      </c>
      <c r="E157" s="2" t="s">
        <v>1</v>
      </c>
      <c r="F157" s="2"/>
      <c r="G157" s="2"/>
      <c r="H157" s="2"/>
      <c r="I157" s="2"/>
      <c r="J157" s="2" t="s">
        <v>1</v>
      </c>
      <c r="K157" s="2" t="s">
        <v>1</v>
      </c>
      <c r="L157" s="2"/>
      <c r="M157" s="2"/>
      <c r="N157" s="2">
        <f t="shared" si="9"/>
        <v>111704242</v>
      </c>
      <c r="O157" s="11">
        <f t="shared" si="10"/>
        <v>0.1207328149</v>
      </c>
    </row>
    <row r="158" ht="15.75" customHeight="1">
      <c r="A158" s="5">
        <f t="shared" si="11"/>
        <v>4</v>
      </c>
      <c r="B158" s="6" t="str">
        <f t="shared" si="8"/>
        <v>BRI CSR HUT Danantara 2026</v>
      </c>
      <c r="C158" s="2" t="s">
        <v>1</v>
      </c>
      <c r="D158" s="2" t="s">
        <v>1</v>
      </c>
      <c r="E158" s="2" t="s">
        <v>1</v>
      </c>
      <c r="F158" s="2"/>
      <c r="G158" s="2"/>
      <c r="H158" s="2"/>
      <c r="I158" s="2"/>
      <c r="J158" s="2"/>
      <c r="K158" s="2"/>
      <c r="L158" s="2"/>
      <c r="M158" s="2"/>
      <c r="N158" s="2">
        <f t="shared" si="9"/>
        <v>33276662</v>
      </c>
      <c r="O158" s="11">
        <f t="shared" si="10"/>
        <v>0.2143982092</v>
      </c>
    </row>
    <row r="159" ht="15.75" customHeight="1">
      <c r="A159" s="5">
        <f t="shared" si="11"/>
        <v>5</v>
      </c>
      <c r="B159" s="6" t="str">
        <f t="shared" si="8"/>
        <v>BRI Farewell Lunch - Greyhound</v>
      </c>
      <c r="C159" s="2"/>
      <c r="D159" s="2" t="s">
        <v>1</v>
      </c>
      <c r="E159" s="2"/>
      <c r="F159" s="2"/>
      <c r="G159" s="2"/>
      <c r="H159" s="2"/>
      <c r="I159" s="2"/>
      <c r="J159" s="2"/>
      <c r="K159" s="2"/>
      <c r="L159" s="2"/>
      <c r="M159" s="2"/>
      <c r="N159" s="2">
        <f t="shared" si="9"/>
        <v>12483144</v>
      </c>
      <c r="O159" s="11">
        <f t="shared" si="10"/>
        <v>0.162105008</v>
      </c>
    </row>
    <row r="160" ht="15.75" customHeight="1">
      <c r="A160" s="5">
        <f t="shared" si="11"/>
        <v>6</v>
      </c>
      <c r="B160" s="6" t="str">
        <f t="shared" si="8"/>
        <v>BRI FGD Semarang Komisi XI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>
        <f t="shared" si="9"/>
        <v>275032688</v>
      </c>
      <c r="O160" s="11">
        <f t="shared" si="10"/>
        <v>0.4807658011</v>
      </c>
    </row>
    <row r="161" ht="15.75" customHeight="1">
      <c r="A161" s="5">
        <f t="shared" si="11"/>
        <v>7</v>
      </c>
      <c r="B161" s="6" t="str">
        <f t="shared" si="8"/>
        <v>BRI Konsinyering Komisi VI Menara Brilian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>
        <f t="shared" si="9"/>
        <v>-70321665</v>
      </c>
      <c r="O161" s="11">
        <f t="shared" si="10"/>
        <v>-0.07805704814</v>
      </c>
    </row>
    <row r="162" ht="15.75" customHeight="1">
      <c r="A162" s="5">
        <f t="shared" si="11"/>
        <v>8</v>
      </c>
      <c r="B162" s="6" t="str">
        <f t="shared" si="8"/>
        <v>BRI Kunjungan Ibu Wapres Seruni ke Padang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>
        <f t="shared" si="9"/>
        <v>101934266</v>
      </c>
      <c r="O162" s="11">
        <f t="shared" si="10"/>
        <v>0.173647918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5">
        <f t="shared" si="11"/>
        <v>9</v>
      </c>
      <c r="B163" s="6" t="str">
        <f t="shared" si="8"/>
        <v>BRI Kunjungan Kerja BAKN Kota Bahru Parahyangan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>
        <f t="shared" si="9"/>
        <v>158826065</v>
      </c>
      <c r="O163" s="11">
        <f t="shared" si="10"/>
        <v>0.2689503158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5">
        <f t="shared" si="11"/>
        <v>10</v>
      </c>
      <c r="B164" s="6" t="str">
        <f t="shared" si="8"/>
        <v>BRI Kunjungan Kerja BAKN Ujung Pandang 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>
        <f t="shared" si="9"/>
        <v>335576118</v>
      </c>
      <c r="O164" s="11">
        <f t="shared" si="10"/>
        <v>0.4194701475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5">
        <f t="shared" si="11"/>
        <v>11</v>
      </c>
      <c r="B165" s="6" t="str">
        <f t="shared" si="8"/>
        <v>BRI Kunjungan Kerja Komisi XI DPR RI - Bandung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>
        <f t="shared" si="9"/>
        <v>149993909</v>
      </c>
      <c r="O165" s="11">
        <f t="shared" si="10"/>
        <v>0.238239703</v>
      </c>
    </row>
    <row r="166" ht="15.75" customHeight="1">
      <c r="A166" s="5">
        <f t="shared" si="11"/>
        <v>12</v>
      </c>
      <c r="B166" s="6" t="str">
        <f t="shared" si="8"/>
        <v>BRI Mudik Bersama BUMN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>
        <f t="shared" si="9"/>
        <v>70732800</v>
      </c>
      <c r="O166" s="11">
        <f t="shared" si="10"/>
        <v>0.6627091203</v>
      </c>
    </row>
    <row r="167" ht="15.75" customHeight="1">
      <c r="A167" s="5">
        <f t="shared" si="11"/>
        <v>13</v>
      </c>
      <c r="B167" s="6" t="str">
        <f t="shared" si="8"/>
        <v>BRI SAR Living Cost Haji</v>
      </c>
      <c r="C167" s="2"/>
      <c r="D167" s="2" t="s">
        <v>1</v>
      </c>
      <c r="E167" s="2"/>
      <c r="F167" s="2"/>
      <c r="G167" s="2"/>
      <c r="H167" s="2"/>
      <c r="I167" s="2"/>
      <c r="J167" s="2"/>
      <c r="K167" s="2"/>
      <c r="L167" s="2"/>
      <c r="M167" s="2"/>
      <c r="N167" s="2">
        <f t="shared" si="9"/>
        <v>53608810</v>
      </c>
      <c r="O167" s="11">
        <f t="shared" si="10"/>
        <v>0.6321048225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5">
        <f t="shared" si="11"/>
        <v>14</v>
      </c>
      <c r="B168" s="6" t="str">
        <f t="shared" si="8"/>
        <v>BRI Sosialisasi KPP Pontianak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>
        <f t="shared" si="9"/>
        <v>66586136</v>
      </c>
      <c r="O168" s="11">
        <f t="shared" si="10"/>
        <v>0.2137459425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5">
        <f t="shared" si="11"/>
        <v>15</v>
      </c>
      <c r="B169" s="6" t="str">
        <f t="shared" si="8"/>
        <v>BRI Workshop Corsec KBP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>
        <f t="shared" si="9"/>
        <v>62412674</v>
      </c>
      <c r="O169" s="11">
        <f t="shared" si="10"/>
        <v>0.230926894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5">
        <f t="shared" si="11"/>
        <v>16</v>
      </c>
      <c r="B170" s="6" t="str">
        <f t="shared" si="8"/>
        <v>BSI Kunjungan Kerja BAKN Pangkal Pinang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>
        <f t="shared" si="9"/>
        <v>111640005</v>
      </c>
      <c r="O170" s="11">
        <f t="shared" si="10"/>
        <v>0.3540583019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5">
        <f t="shared" si="11"/>
        <v>17</v>
      </c>
      <c r="B171" s="6" t="str">
        <f t="shared" si="8"/>
        <v>BTN Digital Store Hari Koperasi Nasional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>
        <f t="shared" si="9"/>
        <v>13738356</v>
      </c>
      <c r="O171" s="11">
        <f t="shared" si="10"/>
        <v>0.1775876217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5">
        <f t="shared" si="11"/>
        <v>18</v>
      </c>
      <c r="B172" s="6" t="str">
        <f t="shared" si="8"/>
        <v>BTN FGD Cirebon Komisi XI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>
        <f t="shared" si="9"/>
        <v>158678342</v>
      </c>
      <c r="O172" s="11">
        <f t="shared" si="10"/>
        <v>0.2709737838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5">
        <f t="shared" si="11"/>
        <v>19</v>
      </c>
      <c r="B173" s="6" t="str">
        <f t="shared" si="8"/>
        <v>BTN Konsinyering Banyuwangi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>
        <f t="shared" si="9"/>
        <v>221293143</v>
      </c>
      <c r="O173" s="11">
        <f t="shared" si="10"/>
        <v>0.7018153971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5">
        <f t="shared" si="11"/>
        <v>20</v>
      </c>
      <c r="B174" s="6" t="str">
        <f t="shared" si="8"/>
        <v>FIT Air tickets and others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>
        <f t="shared" si="9"/>
        <v>28178701</v>
      </c>
      <c r="O174" s="11">
        <f t="shared" si="10"/>
        <v>0.4610324239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5">
        <f t="shared" si="11"/>
        <v>21</v>
      </c>
      <c r="B175" s="6" t="str">
        <f t="shared" si="8"/>
        <v>Himbara FGD Fairmont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>
        <f t="shared" si="9"/>
        <v>895086489</v>
      </c>
      <c r="O175" s="11">
        <f t="shared" si="10"/>
        <v>0.2476498523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5">
        <f t="shared" si="11"/>
        <v>22</v>
      </c>
      <c r="B176" s="6" t="str">
        <f t="shared" si="8"/>
        <v>Himbara Konsinyering Pontianak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>
        <f t="shared" si="9"/>
        <v>695963467</v>
      </c>
      <c r="O176" s="11">
        <f t="shared" si="10"/>
        <v>0.4495117901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5">
        <f t="shared" si="11"/>
        <v>23</v>
      </c>
      <c r="B177" s="6" t="str">
        <f t="shared" si="8"/>
        <v>Himbara Kunjungan Kerja Batam BRI dan BTN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>
        <f t="shared" si="9"/>
        <v>204441404</v>
      </c>
      <c r="O177" s="11">
        <f t="shared" si="10"/>
        <v>0.1837489543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5">
        <f t="shared" si="11"/>
        <v>24</v>
      </c>
      <c r="B178" s="6" t="str">
        <f t="shared" si="8"/>
        <v>Himbara Kunjungan Kerja Medan BRI BTN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>
        <f t="shared" si="9"/>
        <v>419120612</v>
      </c>
      <c r="O178" s="11">
        <f t="shared" si="10"/>
        <v>0.3721791035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5">
        <f t="shared" si="11"/>
        <v>25</v>
      </c>
      <c r="B179" s="6" t="str">
        <f t="shared" si="8"/>
        <v>Mandiri FGD Banten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>
        <f t="shared" si="9"/>
        <v>136167317</v>
      </c>
      <c r="O179" s="11">
        <f t="shared" si="10"/>
        <v>0.1752006117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5">
        <f t="shared" si="11"/>
        <v>26</v>
      </c>
      <c r="B180" s="6" t="str">
        <f t="shared" si="8"/>
        <v>Mandiri Juragan Xtra Solo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>
        <f t="shared" si="9"/>
        <v>159344686</v>
      </c>
      <c r="O180" s="11">
        <f t="shared" si="10"/>
        <v>0.2161121624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5">
        <f t="shared" si="11"/>
        <v>27</v>
      </c>
      <c r="B181" s="6" t="str">
        <f t="shared" si="8"/>
        <v>Mandiri Konsinyering Balikpapan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>
        <f t="shared" si="9"/>
        <v>256023322</v>
      </c>
      <c r="O181" s="11">
        <f t="shared" si="10"/>
        <v>0.310851045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5">
        <f t="shared" si="11"/>
        <v>28</v>
      </c>
      <c r="B182" s="6" t="str">
        <f t="shared" si="8"/>
        <v>Mandiri Mudik Bersama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>
        <f t="shared" si="9"/>
        <v>983052082</v>
      </c>
      <c r="O182" s="11">
        <f t="shared" si="10"/>
        <v>0.1645429434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5">
        <f t="shared" si="11"/>
        <v>29</v>
      </c>
      <c r="B183" s="6" t="str">
        <f t="shared" si="8"/>
        <v>Mandiri Outing Bali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>
        <f t="shared" si="9"/>
        <v>-38245152</v>
      </c>
      <c r="O183" s="11">
        <f t="shared" si="10"/>
        <v>-0.1036049672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5">
        <f t="shared" si="11"/>
        <v>30</v>
      </c>
      <c r="B184" s="6" t="str">
        <f t="shared" si="8"/>
        <v>Shell Bali Private Trip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>
        <f t="shared" si="9"/>
        <v>-31517327</v>
      </c>
      <c r="O184" s="11">
        <f t="shared" si="10"/>
        <v>-1.119240708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5">
        <f t="shared" si="11"/>
        <v>31</v>
      </c>
      <c r="B185" s="6" t="str">
        <f t="shared" si="8"/>
        <v>Shell Bangkok Customer Trip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>
        <f t="shared" si="9"/>
        <v>5386826</v>
      </c>
      <c r="O185" s="11">
        <f t="shared" si="10"/>
        <v>0.08045171625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5">
        <f t="shared" si="11"/>
        <v>32</v>
      </c>
      <c r="B186" s="6" t="str">
        <f t="shared" si="8"/>
        <v>Shell Hexindo Trip Kuala Lumpur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>
        <f t="shared" si="9"/>
        <v>18530382</v>
      </c>
      <c r="O186" s="11">
        <f t="shared" si="10"/>
        <v>0.1829550594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5">
        <f t="shared" si="11"/>
        <v>33</v>
      </c>
      <c r="B187" s="6" t="str">
        <f t="shared" si="8"/>
        <v>Shell Japan Formula 1 Trip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>
        <f t="shared" si="9"/>
        <v>62078544</v>
      </c>
      <c r="O187" s="11">
        <f t="shared" si="10"/>
        <v>0.05309620364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5">
        <f t="shared" si="11"/>
        <v>34</v>
      </c>
      <c r="B188" s="6" t="str">
        <f t="shared" si="8"/>
        <v>Shell Visit Kuala Lumpur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>
        <f t="shared" si="9"/>
        <v>26215771</v>
      </c>
      <c r="O188" s="11">
        <f t="shared" si="10"/>
        <v>0.2209548272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5">
        <f t="shared" si="11"/>
        <v>35</v>
      </c>
      <c r="B189" s="6" t="str">
        <f t="shared" si="8"/>
        <v>Telkom Infra Halal Bihalal ENOM 2.0 Area 1 dan Area 3</v>
      </c>
      <c r="C189" s="13"/>
      <c r="D189" s="13"/>
      <c r="E189" s="13"/>
      <c r="F189" s="13"/>
      <c r="G189" s="13"/>
      <c r="H189" s="13"/>
      <c r="I189" s="13"/>
      <c r="J189" s="13"/>
      <c r="K189" s="2"/>
      <c r="L189" s="13"/>
      <c r="M189" s="13"/>
      <c r="N189" s="2">
        <f t="shared" si="9"/>
        <v>3000000</v>
      </c>
      <c r="O189" s="11">
        <f t="shared" si="10"/>
        <v>0.1071428571</v>
      </c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5">
        <f t="shared" si="11"/>
        <v>36</v>
      </c>
      <c r="B190" s="6" t="str">
        <f t="shared" si="8"/>
        <v>Telkomsel Alignment Sales Strategy All Branch Sumbagteng Q4 2025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>
        <f t="shared" si="9"/>
        <v>2437500</v>
      </c>
      <c r="O190" s="11">
        <f t="shared" si="10"/>
        <v>0.06976744186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5">
        <f t="shared" si="11"/>
        <v>37</v>
      </c>
      <c r="B191" s="6" t="str">
        <f t="shared" si="8"/>
        <v>Telkomsel ANO Sumatera Network Forum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>
        <f t="shared" si="9"/>
        <v>-310461886</v>
      </c>
      <c r="O191" s="11">
        <f t="shared" si="10"/>
        <v>-0.9187203438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5">
        <f t="shared" si="11"/>
        <v>38</v>
      </c>
      <c r="B192" s="6" t="str">
        <f t="shared" si="8"/>
        <v>Telkomsel Batam Redesign Network Review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>
        <f t="shared" si="9"/>
        <v>6578717</v>
      </c>
      <c r="O192" s="11">
        <f t="shared" si="10"/>
        <v>0.289282648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5">
        <f t="shared" si="11"/>
        <v>39</v>
      </c>
      <c r="B193" s="6" t="str">
        <f t="shared" si="8"/>
        <v>Telkomsel Collaboration Pacu Jalur dan HUT Nias 2025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>
        <f t="shared" si="9"/>
        <v>3820085</v>
      </c>
      <c r="O193" s="11">
        <f t="shared" si="10"/>
        <v>0.113420328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5">
        <f t="shared" si="11"/>
        <v>40</v>
      </c>
      <c r="B194" s="6" t="str">
        <f t="shared" si="8"/>
        <v>Telkomsel Consolidate Pekanbaru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>
        <f t="shared" si="9"/>
        <v>5994063</v>
      </c>
      <c r="O194" s="11">
        <f t="shared" si="10"/>
        <v>0.1851890139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5">
        <f t="shared" si="11"/>
        <v>41</v>
      </c>
      <c r="B195" s="6" t="str">
        <f t="shared" si="8"/>
        <v>Telkomsel Digital Placement Support Area Sumatera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>
        <f t="shared" si="9"/>
        <v>-7258948</v>
      </c>
      <c r="O195" s="11">
        <f t="shared" si="10"/>
        <v>-0.3516446615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5">
        <f t="shared" si="11"/>
        <v>42</v>
      </c>
      <c r="B196" s="6" t="str">
        <f t="shared" si="8"/>
        <v>Telkomsel E2E Division Alignment Collaboration H1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>
        <f t="shared" si="9"/>
        <v>6035695</v>
      </c>
      <c r="O196" s="11">
        <f t="shared" si="10"/>
        <v>0.1264284667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5">
        <f t="shared" si="11"/>
        <v>43</v>
      </c>
      <c r="B197" s="6" t="str">
        <f t="shared" si="8"/>
        <v>Telkomsel Event HCM - MPP dan Pensiun Q4 2025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>
        <f t="shared" si="9"/>
        <v>18975834</v>
      </c>
      <c r="O197" s="11">
        <f t="shared" si="10"/>
        <v>1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5">
        <f t="shared" si="11"/>
        <v>44</v>
      </c>
      <c r="B198" s="6" t="str">
        <f t="shared" si="8"/>
        <v>Telkomsel Event Safari RAFI BOD Palembang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>
        <f t="shared" si="9"/>
        <v>23943595</v>
      </c>
      <c r="O198" s="11">
        <f t="shared" si="10"/>
        <v>0.5794261517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5">
        <f t="shared" si="11"/>
        <v>45</v>
      </c>
      <c r="B199" s="6" t="str">
        <f t="shared" si="8"/>
        <v>Telkomsel Event Securing Target Regional Sumatera Bagian Selatan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>
        <f t="shared" si="9"/>
        <v>1643534</v>
      </c>
      <c r="O199" s="11">
        <f t="shared" si="10"/>
        <v>0.05445037009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5">
        <f t="shared" si="11"/>
        <v>46</v>
      </c>
      <c r="B200" s="6" t="str">
        <f t="shared" si="8"/>
        <v>Telkomsel FB, Reward and Merch Digiads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>
        <f t="shared" si="9"/>
        <v>174669022</v>
      </c>
      <c r="O200" s="11">
        <f t="shared" si="10"/>
        <v>0.2729526756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5">
        <f t="shared" si="11"/>
        <v>47</v>
      </c>
      <c r="B201" s="6" t="str">
        <f t="shared" si="8"/>
        <v>Telkomsel FBP West Area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>
        <f t="shared" si="9"/>
        <v>6403134</v>
      </c>
      <c r="O201" s="11">
        <f t="shared" si="10"/>
        <v>0.05585049421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5">
        <f t="shared" si="11"/>
        <v>48</v>
      </c>
      <c r="B202" s="6" t="str">
        <f t="shared" si="8"/>
        <v>Telkomsel Fiberisasi Target Sumatera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>
        <f t="shared" si="9"/>
        <v>4433275</v>
      </c>
      <c r="O202" s="11">
        <f t="shared" si="10"/>
        <v>0.08975587047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5">
        <f t="shared" si="11"/>
        <v>49</v>
      </c>
      <c r="B203" s="6" t="str">
        <f t="shared" si="8"/>
        <v>Telkomsel Focus Action Paying User Sumatera Q3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>
        <f t="shared" si="9"/>
        <v>37716201</v>
      </c>
      <c r="O203" s="11">
        <f t="shared" si="10"/>
        <v>0.2466856131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5">
        <f t="shared" si="11"/>
        <v>50</v>
      </c>
      <c r="B204" s="6" t="str">
        <f t="shared" si="8"/>
        <v>Telkomsel Ground Check Implementasi Program HH GTM</v>
      </c>
      <c r="C204" s="2"/>
      <c r="D204" s="2" t="s">
        <v>1</v>
      </c>
      <c r="E204" s="2"/>
      <c r="F204" s="2"/>
      <c r="G204" s="2"/>
      <c r="H204" s="2"/>
      <c r="I204" s="2"/>
      <c r="J204" s="2"/>
      <c r="K204" s="2"/>
      <c r="L204" s="2"/>
      <c r="M204" s="2"/>
      <c r="N204" s="2">
        <f t="shared" si="9"/>
        <v>6761050</v>
      </c>
      <c r="O204" s="11">
        <f t="shared" si="10"/>
        <v>0.222512753</v>
      </c>
    </row>
    <row r="205" ht="15.75" customHeight="1">
      <c r="A205" s="5">
        <f t="shared" si="11"/>
        <v>51</v>
      </c>
      <c r="B205" s="6" t="str">
        <f t="shared" si="8"/>
        <v>Telkomsel Harmoni Sumatera</v>
      </c>
      <c r="C205" s="2"/>
      <c r="D205" s="2" t="s">
        <v>1</v>
      </c>
      <c r="E205" s="2"/>
      <c r="F205" s="2"/>
      <c r="G205" s="2"/>
      <c r="H205" s="2"/>
      <c r="I205" s="2"/>
      <c r="J205" s="2"/>
      <c r="K205" s="2"/>
      <c r="L205" s="2"/>
      <c r="M205" s="2"/>
      <c r="N205" s="2">
        <f t="shared" si="9"/>
        <v>2134280</v>
      </c>
      <c r="O205" s="11">
        <f t="shared" si="10"/>
        <v>0.06632928324</v>
      </c>
    </row>
    <row r="206" ht="15.75" customHeight="1">
      <c r="A206" s="5">
        <f t="shared" si="11"/>
        <v>52</v>
      </c>
      <c r="B206" s="6" t="str">
        <f t="shared" si="8"/>
        <v>Telkomsel HUT Telkomsel dan 5G Relaunch Batam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>
        <f t="shared" si="9"/>
        <v>4059022</v>
      </c>
      <c r="O206" s="11">
        <f t="shared" si="10"/>
        <v>0.05044197067</v>
      </c>
    </row>
    <row r="207" ht="15.75" customHeight="1">
      <c r="A207" s="5">
        <f t="shared" si="11"/>
        <v>53</v>
      </c>
      <c r="B207" s="6" t="str">
        <f t="shared" si="8"/>
        <v>Telkomsel Implentasi New Ways of Working</v>
      </c>
      <c r="C207" s="2"/>
      <c r="D207" s="2" t="s">
        <v>1</v>
      </c>
      <c r="E207" s="2"/>
      <c r="F207" s="2"/>
      <c r="G207" s="2"/>
      <c r="H207" s="2"/>
      <c r="I207" s="2"/>
      <c r="J207" s="2"/>
      <c r="K207" s="2"/>
      <c r="L207" s="2"/>
      <c r="M207" s="2"/>
      <c r="N207" s="2">
        <f t="shared" si="9"/>
        <v>5804193</v>
      </c>
      <c r="O207" s="11">
        <f t="shared" si="10"/>
        <v>0.04176201674</v>
      </c>
    </row>
    <row r="208" ht="15.75" customHeight="1">
      <c r="A208" s="5">
        <f t="shared" si="11"/>
        <v>54</v>
      </c>
      <c r="B208" s="6" t="str">
        <f t="shared" si="8"/>
        <v>Telkomsel International Event Leaders Meeting Q3 2025 PKU</v>
      </c>
      <c r="C208" s="2"/>
      <c r="D208" s="2" t="s">
        <v>1</v>
      </c>
      <c r="E208" s="2"/>
      <c r="F208" s="2"/>
      <c r="G208" s="2"/>
      <c r="H208" s="2"/>
      <c r="I208" s="2"/>
      <c r="J208" s="2"/>
      <c r="K208" s="2"/>
      <c r="L208" s="2"/>
      <c r="M208" s="2"/>
      <c r="N208" s="2">
        <f t="shared" si="9"/>
        <v>2236926</v>
      </c>
      <c r="O208" s="11">
        <f t="shared" si="10"/>
        <v>0.06542056211</v>
      </c>
    </row>
    <row r="209" ht="15.75" customHeight="1">
      <c r="A209" s="5">
        <f t="shared" si="11"/>
        <v>55</v>
      </c>
      <c r="B209" s="6" t="str">
        <f t="shared" si="8"/>
        <v>Telkomsel Market Visit All Branch Regional SumBagTeng Q4 2025</v>
      </c>
      <c r="C209" s="2"/>
      <c r="D209" s="2" t="s">
        <v>1</v>
      </c>
      <c r="E209" s="2"/>
      <c r="F209" s="2"/>
      <c r="G209" s="2"/>
      <c r="H209" s="2"/>
      <c r="I209" s="2"/>
      <c r="J209" s="2"/>
      <c r="K209" s="2"/>
      <c r="L209" s="2"/>
      <c r="M209" s="2"/>
      <c r="N209" s="2">
        <f t="shared" si="9"/>
        <v>1590000</v>
      </c>
      <c r="O209" s="11">
        <f t="shared" si="10"/>
        <v>0.06976744186</v>
      </c>
    </row>
    <row r="210" ht="15.75" customHeight="1">
      <c r="A210" s="5">
        <f t="shared" si="11"/>
        <v>56</v>
      </c>
      <c r="B210" s="6" t="str">
        <f t="shared" si="8"/>
        <v>Telkomsel Meeting Procurement Q2 2025</v>
      </c>
      <c r="C210" s="2"/>
      <c r="D210" s="2" t="s">
        <v>1</v>
      </c>
      <c r="E210" s="2"/>
      <c r="F210" s="2"/>
      <c r="G210" s="2"/>
      <c r="H210" s="2"/>
      <c r="I210" s="2"/>
      <c r="J210" s="2"/>
      <c r="K210" s="2"/>
      <c r="L210" s="2"/>
      <c r="M210" s="2"/>
      <c r="N210" s="2">
        <f t="shared" si="9"/>
        <v>3157449</v>
      </c>
      <c r="O210" s="11">
        <f t="shared" si="10"/>
        <v>0.06896494408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5">
        <f t="shared" si="11"/>
        <v>57</v>
      </c>
      <c r="B211" s="6" t="str">
        <f t="shared" si="8"/>
        <v>Telkomsel Pengawalan Event Regional Sumatera Bagian Utara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>
        <f t="shared" si="9"/>
        <v>-3683608</v>
      </c>
      <c r="O211" s="11">
        <f t="shared" si="10"/>
        <v>-0.1493909946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5">
        <f t="shared" si="11"/>
        <v>58</v>
      </c>
      <c r="B212" s="6" t="str">
        <f t="shared" si="8"/>
        <v>Telkomsel Pisah Sambut VP Sales A1</v>
      </c>
      <c r="C212" s="2"/>
      <c r="D212" s="2" t="s">
        <v>1</v>
      </c>
      <c r="E212" s="2"/>
      <c r="F212" s="2"/>
      <c r="G212" s="2"/>
      <c r="H212" s="2"/>
      <c r="I212" s="2"/>
      <c r="J212" s="2"/>
      <c r="K212" s="2"/>
      <c r="L212" s="2"/>
      <c r="M212" s="2"/>
      <c r="N212" s="2">
        <f t="shared" si="9"/>
        <v>-44725692</v>
      </c>
      <c r="O212" s="11">
        <f t="shared" si="10"/>
        <v>-0.1634556799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5">
        <f t="shared" si="11"/>
        <v>59</v>
      </c>
      <c r="B213" s="6" t="str">
        <f t="shared" si="8"/>
        <v>Telkomsel Program Market Visit (SBU &amp; SBS)</v>
      </c>
      <c r="C213" s="2"/>
      <c r="D213" s="2" t="s">
        <v>1</v>
      </c>
      <c r="E213" s="2"/>
      <c r="F213" s="2"/>
      <c r="G213" s="2"/>
      <c r="H213" s="2"/>
      <c r="I213" s="2"/>
      <c r="J213" s="2"/>
      <c r="K213" s="2"/>
      <c r="L213" s="2"/>
      <c r="M213" s="2"/>
      <c r="N213" s="2">
        <f t="shared" si="9"/>
        <v>1476243</v>
      </c>
      <c r="O213" s="11">
        <f t="shared" si="10"/>
        <v>0.06542057731</v>
      </c>
    </row>
    <row r="214" ht="15.75" customHeight="1">
      <c r="A214" s="5">
        <f t="shared" si="11"/>
        <v>60</v>
      </c>
      <c r="B214" s="6" t="str">
        <f t="shared" si="8"/>
        <v>Telkomsel Reach Beyond Area Sumatera 2025</v>
      </c>
      <c r="C214" s="2"/>
      <c r="D214" s="2" t="s">
        <v>1</v>
      </c>
      <c r="E214" s="2"/>
      <c r="F214" s="2"/>
      <c r="G214" s="2"/>
      <c r="H214" s="2"/>
      <c r="I214" s="2"/>
      <c r="J214" s="2"/>
      <c r="K214" s="2"/>
      <c r="L214" s="2"/>
      <c r="M214" s="2"/>
      <c r="N214" s="2">
        <f t="shared" si="9"/>
        <v>-75502222</v>
      </c>
      <c r="O214" s="11">
        <f t="shared" si="10"/>
        <v>-0.5232261862</v>
      </c>
    </row>
    <row r="215" ht="15.75" customHeight="1">
      <c r="A215" s="5">
        <f t="shared" si="11"/>
        <v>61</v>
      </c>
      <c r="B215" s="6" t="str">
        <f t="shared" si="8"/>
        <v>Telkomsel Sales Academy September 2025</v>
      </c>
      <c r="C215" s="2"/>
      <c r="D215" s="2" t="s">
        <v>1</v>
      </c>
      <c r="E215" s="2"/>
      <c r="F215" s="2"/>
      <c r="G215" s="2"/>
      <c r="H215" s="2"/>
      <c r="I215" s="2"/>
      <c r="J215" s="2"/>
      <c r="K215" s="2"/>
      <c r="L215" s="2"/>
      <c r="M215" s="2"/>
      <c r="N215" s="2">
        <f t="shared" si="9"/>
        <v>6762702</v>
      </c>
      <c r="O215" s="11">
        <f t="shared" si="10"/>
        <v>0.09964009819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5">
        <f t="shared" si="11"/>
        <v>62</v>
      </c>
      <c r="B216" s="6" t="str">
        <f t="shared" si="8"/>
        <v>Telkomsel Sales Townhall 2025</v>
      </c>
      <c r="C216" s="2"/>
      <c r="D216" s="2" t="s">
        <v>1</v>
      </c>
      <c r="E216" s="2"/>
      <c r="F216" s="2"/>
      <c r="G216" s="2"/>
      <c r="H216" s="2"/>
      <c r="I216" s="2"/>
      <c r="J216" s="2"/>
      <c r="K216" s="2"/>
      <c r="L216" s="2"/>
      <c r="M216" s="2"/>
      <c r="N216" s="2">
        <f t="shared" si="9"/>
        <v>12682905</v>
      </c>
      <c r="O216" s="11">
        <f t="shared" si="10"/>
        <v>0.09298159094</v>
      </c>
    </row>
    <row r="217" ht="15.75" customHeight="1">
      <c r="A217" s="5">
        <f t="shared" si="11"/>
        <v>63</v>
      </c>
      <c r="B217" s="6" t="str">
        <f t="shared" si="8"/>
        <v>Telkomsel Securing Target SM 1 2025</v>
      </c>
      <c r="C217" s="2"/>
      <c r="D217" s="2" t="s">
        <v>1</v>
      </c>
      <c r="E217" s="2"/>
      <c r="F217" s="2"/>
      <c r="G217" s="2"/>
      <c r="H217" s="2"/>
      <c r="I217" s="2"/>
      <c r="J217" s="2"/>
      <c r="K217" s="2"/>
      <c r="L217" s="2"/>
      <c r="M217" s="2"/>
      <c r="N217" s="2">
        <f t="shared" si="9"/>
        <v>15445773</v>
      </c>
      <c r="O217" s="11">
        <f t="shared" si="10"/>
        <v>0.3241513243</v>
      </c>
    </row>
    <row r="218" ht="15.75" customHeight="1">
      <c r="A218" s="5">
        <f t="shared" si="11"/>
        <v>64</v>
      </c>
      <c r="B218" s="6" t="str">
        <f t="shared" si="8"/>
        <v>Telkomsel Support Evaluasi GraPARI Optimalisasi Area 1</v>
      </c>
      <c r="C218" s="2"/>
      <c r="D218" s="2" t="s">
        <v>1</v>
      </c>
      <c r="E218" s="2"/>
      <c r="F218" s="2"/>
      <c r="G218" s="2"/>
      <c r="H218" s="2"/>
      <c r="I218" s="2"/>
      <c r="J218" s="2"/>
      <c r="K218" s="2"/>
      <c r="L218" s="2"/>
      <c r="M218" s="2"/>
      <c r="N218" s="2">
        <f t="shared" si="9"/>
        <v>4912507</v>
      </c>
      <c r="O218" s="11">
        <f t="shared" si="10"/>
        <v>0.08949128924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5">
        <f t="shared" si="11"/>
        <v>65</v>
      </c>
      <c r="B219" s="6" t="str">
        <f t="shared" si="8"/>
        <v>Telkomsel Support Renego Backpacker BKL - LPG Q4 2025</v>
      </c>
      <c r="C219" s="2"/>
      <c r="D219" s="2" t="s">
        <v>1</v>
      </c>
      <c r="E219" s="2"/>
      <c r="F219" s="2"/>
      <c r="G219" s="2"/>
      <c r="H219" s="2"/>
      <c r="I219" s="2"/>
      <c r="J219" s="2"/>
      <c r="K219" s="2"/>
      <c r="L219" s="2"/>
      <c r="M219" s="2"/>
      <c r="N219" s="2">
        <f t="shared" si="9"/>
        <v>2624884</v>
      </c>
      <c r="O219" s="11">
        <f t="shared" si="10"/>
        <v>0.116165392</v>
      </c>
    </row>
    <row r="220" ht="15.75" customHeight="1">
      <c r="A220" s="5">
        <f t="shared" si="11"/>
        <v>66</v>
      </c>
      <c r="B220" s="6" t="str">
        <f t="shared" si="8"/>
        <v>Telkomsel TLP</v>
      </c>
      <c r="C220" s="13"/>
      <c r="D220" s="13" t="s">
        <v>1</v>
      </c>
      <c r="E220" s="13"/>
      <c r="F220" s="13"/>
      <c r="G220" s="13"/>
      <c r="H220" s="13"/>
      <c r="I220" s="13"/>
      <c r="J220" s="13"/>
      <c r="K220" s="2"/>
      <c r="L220" s="13"/>
      <c r="M220" s="13"/>
      <c r="N220" s="2">
        <f t="shared" si="9"/>
        <v>4107087</v>
      </c>
      <c r="O220" s="11">
        <f t="shared" si="10"/>
        <v>0.06417152882</v>
      </c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5">
        <f t="shared" si="11"/>
        <v>67</v>
      </c>
      <c r="B221" s="6" t="str">
        <f t="shared" si="8"/>
        <v>Telkomsel Training TL Academy Session 2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>
        <f t="shared" si="9"/>
        <v>5248253</v>
      </c>
      <c r="O221" s="11">
        <f t="shared" si="10"/>
        <v>0.06542056634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5">
        <f t="shared" si="11"/>
        <v>68</v>
      </c>
      <c r="B222" s="6" t="str">
        <f t="shared" si="8"/>
        <v>Telkomsel Workshop Reach Beyond Area Sumatera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>
        <f t="shared" si="9"/>
        <v>-939036135</v>
      </c>
      <c r="O222" s="11">
        <f t="shared" si="10"/>
        <v>-90.29193606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5">
        <f t="shared" si="11"/>
        <v>69</v>
      </c>
      <c r="B223" s="6" t="str">
        <f t="shared" si="8"/>
        <v>Telkomsel Workshop Sales A1 Play Hard Serve Harder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>
        <f t="shared" si="9"/>
        <v>63696602</v>
      </c>
      <c r="O223" s="11">
        <f t="shared" si="10"/>
        <v>0.07456208592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5">
        <f t="shared" si="11"/>
        <v>70</v>
      </c>
      <c r="B224" s="6" t="str">
        <f t="shared" si="8"/>
        <v>Trimegah Sekuritas Employee Gathering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>
        <f t="shared" si="9"/>
        <v>-107655158</v>
      </c>
      <c r="O224" s="11">
        <f t="shared" si="10"/>
        <v>-0.05386057224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5">
        <f t="shared" si="11"/>
        <v>71</v>
      </c>
      <c r="B225" s="6" t="str">
        <f t="shared" si="8"/>
        <v>Trimegah Trainning Camp 2026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>
        <f t="shared" si="9"/>
        <v>257321837</v>
      </c>
      <c r="O225" s="11">
        <f t="shared" si="10"/>
        <v>0.1513334715</v>
      </c>
    </row>
    <row r="226" ht="15.7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0" t="s">
        <v>1</v>
      </c>
      <c r="O226" s="15" t="s">
        <v>1</v>
      </c>
    </row>
    <row r="227" ht="15.7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10">
        <f>SUBTOTAL(9,N155:N226)</f>
        <v>5008382666</v>
      </c>
      <c r="O227" s="15">
        <f>N227/N78</f>
        <v>0.1535661344</v>
      </c>
    </row>
    <row r="228" ht="15.75" customHeight="1">
      <c r="B228" s="3" t="s">
        <v>91</v>
      </c>
      <c r="C228" s="4" t="s">
        <v>80</v>
      </c>
      <c r="D228" s="4" t="s">
        <v>81</v>
      </c>
      <c r="E228" s="4" t="s">
        <v>82</v>
      </c>
      <c r="F228" s="4" t="s">
        <v>83</v>
      </c>
      <c r="G228" s="4" t="s">
        <v>92</v>
      </c>
      <c r="H228" s="12" t="s">
        <v>85</v>
      </c>
      <c r="I228" s="12" t="s">
        <v>86</v>
      </c>
      <c r="J228" s="12" t="s">
        <v>87</v>
      </c>
      <c r="K228" s="4" t="s">
        <v>88</v>
      </c>
      <c r="L228" s="4" t="s">
        <v>89</v>
      </c>
      <c r="M228" s="2"/>
      <c r="N228" s="2"/>
    </row>
    <row r="229" ht="15.75" customHeight="1">
      <c r="B229" s="16" t="s">
        <v>1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5.75" customHeight="1">
      <c r="B230" s="3" t="s">
        <v>93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5.75" customHeight="1">
      <c r="B231" s="17" t="s">
        <v>94</v>
      </c>
      <c r="C231" s="2">
        <v>0.0</v>
      </c>
      <c r="D231" s="2">
        <v>0.0</v>
      </c>
      <c r="E231" s="2">
        <v>-4.9202594E7</v>
      </c>
      <c r="F231" s="2">
        <v>0.0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/>
      <c r="N231" s="2">
        <f t="shared" ref="N231:N240" si="12">SUM(C231:L231)</f>
        <v>-49202594</v>
      </c>
    </row>
    <row r="232" ht="15.75" customHeight="1">
      <c r="B232" s="17" t="s">
        <v>95</v>
      </c>
      <c r="C232" s="2">
        <v>0.0</v>
      </c>
      <c r="D232" s="2">
        <v>0.0</v>
      </c>
      <c r="E232" s="2">
        <v>-1.26950769E8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/>
      <c r="N232" s="2">
        <f t="shared" si="12"/>
        <v>-126950769</v>
      </c>
    </row>
    <row r="233" ht="15.75" customHeight="1">
      <c r="B233" s="17" t="s">
        <v>96</v>
      </c>
      <c r="C233" s="2">
        <v>0.0</v>
      </c>
      <c r="D233" s="2">
        <v>0.0</v>
      </c>
      <c r="E233" s="2">
        <v>0.0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/>
      <c r="N233" s="2">
        <f t="shared" si="12"/>
        <v>0</v>
      </c>
    </row>
    <row r="234" ht="15.75" customHeight="1">
      <c r="B234" s="17" t="s">
        <v>97</v>
      </c>
      <c r="C234" s="2">
        <v>-1600000.0</v>
      </c>
      <c r="D234" s="2">
        <v>0.0</v>
      </c>
      <c r="E234" s="2">
        <v>0.0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/>
      <c r="N234" s="2">
        <f t="shared" si="12"/>
        <v>-1600000</v>
      </c>
    </row>
    <row r="235" ht="15.75" customHeight="1">
      <c r="B235" s="17" t="s">
        <v>98</v>
      </c>
      <c r="C235" s="2">
        <v>-3811250.0</v>
      </c>
      <c r="D235" s="2">
        <v>-2.09845E7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-2236000.0</v>
      </c>
      <c r="K235" s="2">
        <v>-7106857.0</v>
      </c>
      <c r="L235" s="2">
        <v>0.0</v>
      </c>
      <c r="M235" s="2"/>
      <c r="N235" s="2">
        <f t="shared" si="12"/>
        <v>-34138607</v>
      </c>
    </row>
    <row r="236" ht="15.75" customHeight="1">
      <c r="B236" s="17" t="s">
        <v>99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/>
      <c r="N236" s="2">
        <f t="shared" si="12"/>
        <v>0</v>
      </c>
    </row>
    <row r="237" ht="15.75" customHeight="1">
      <c r="B237" s="17" t="s">
        <v>100</v>
      </c>
      <c r="C237" s="2">
        <v>0.0</v>
      </c>
      <c r="D237" s="2">
        <v>-1686000.0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-1291800.0</v>
      </c>
      <c r="K237" s="2">
        <v>-1.343877E7</v>
      </c>
      <c r="L237" s="2">
        <v>0.0</v>
      </c>
      <c r="M237" s="2"/>
      <c r="N237" s="2">
        <f t="shared" si="12"/>
        <v>-16416570</v>
      </c>
    </row>
    <row r="238" ht="15.75" customHeight="1">
      <c r="B238" s="17" t="s">
        <v>101</v>
      </c>
      <c r="C238" s="2">
        <v>-210000.0</v>
      </c>
      <c r="D238" s="2">
        <v>-3.4773811E7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-2080100.0</v>
      </c>
      <c r="K238" s="2">
        <v>-9.0840467E7</v>
      </c>
      <c r="L238" s="2">
        <v>0.0</v>
      </c>
      <c r="M238" s="2"/>
      <c r="N238" s="2">
        <f t="shared" si="12"/>
        <v>-127904378</v>
      </c>
    </row>
    <row r="239" ht="15.75" customHeight="1">
      <c r="B239" s="17" t="s">
        <v>102</v>
      </c>
      <c r="C239" s="2">
        <v>-2.7610555E7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/>
      <c r="N239" s="2">
        <f t="shared" si="12"/>
        <v>-27610555</v>
      </c>
    </row>
    <row r="240" ht="15.75" customHeight="1">
      <c r="B240" s="17" t="s">
        <v>103</v>
      </c>
      <c r="C240" s="2">
        <v>-7.72280914E8</v>
      </c>
      <c r="D240" s="2">
        <v>-2.9665E8</v>
      </c>
      <c r="E240" s="2">
        <v>-1.7842E9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/>
      <c r="N240" s="2">
        <f t="shared" si="12"/>
        <v>-2853130914</v>
      </c>
    </row>
    <row r="241" ht="15.75" customHeight="1">
      <c r="B241" s="3" t="s">
        <v>104</v>
      </c>
      <c r="C241" s="2" t="s">
        <v>1</v>
      </c>
      <c r="D241" s="2" t="s">
        <v>1</v>
      </c>
      <c r="E241" s="2" t="s">
        <v>1</v>
      </c>
      <c r="F241" s="2" t="s">
        <v>1</v>
      </c>
      <c r="G241" s="2" t="s">
        <v>1</v>
      </c>
      <c r="H241" s="2" t="s">
        <v>1</v>
      </c>
      <c r="I241" s="2" t="s">
        <v>1</v>
      </c>
      <c r="J241" s="2" t="s">
        <v>1</v>
      </c>
      <c r="K241" s="2" t="s">
        <v>1</v>
      </c>
      <c r="L241" s="2" t="s">
        <v>1</v>
      </c>
      <c r="M241" s="2" t="s">
        <v>1</v>
      </c>
      <c r="N241" s="2" t="s">
        <v>1</v>
      </c>
    </row>
    <row r="242" ht="15.75" customHeight="1">
      <c r="B242" s="17" t="s">
        <v>105</v>
      </c>
      <c r="C242" s="2">
        <v>0.0</v>
      </c>
      <c r="D242" s="2">
        <v>0.0</v>
      </c>
      <c r="E242" s="2">
        <v>-1.46216E7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/>
      <c r="N242" s="2">
        <f t="shared" ref="N242:N263" si="13">SUM(C242:L242)</f>
        <v>-14621600</v>
      </c>
    </row>
    <row r="243" ht="15.75" customHeight="1">
      <c r="B243" s="17" t="s">
        <v>106</v>
      </c>
      <c r="C243" s="2">
        <v>0.0</v>
      </c>
      <c r="D243" s="2">
        <v>-9471500.0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/>
      <c r="N243" s="2">
        <f t="shared" si="13"/>
        <v>-9471500</v>
      </c>
    </row>
    <row r="244" ht="15.75" customHeight="1">
      <c r="A244" s="6"/>
      <c r="B244" s="17" t="s">
        <v>107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13">
        <v>0.0</v>
      </c>
      <c r="L244" s="2">
        <v>0.0</v>
      </c>
      <c r="M244" s="2"/>
      <c r="N244" s="2">
        <f t="shared" si="13"/>
        <v>0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B245" s="17" t="s">
        <v>108</v>
      </c>
      <c r="C245" s="2">
        <v>0.0</v>
      </c>
      <c r="D245" s="2">
        <v>-80000.0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-6527268.0</v>
      </c>
      <c r="K245" s="2">
        <v>-1.11859E7</v>
      </c>
      <c r="L245" s="2">
        <v>0.0</v>
      </c>
      <c r="M245" s="2"/>
      <c r="N245" s="2">
        <f t="shared" si="13"/>
        <v>-17793168</v>
      </c>
    </row>
    <row r="246" ht="15.75" customHeight="1">
      <c r="B246" s="17" t="s">
        <v>109</v>
      </c>
      <c r="C246" s="2">
        <v>0.0</v>
      </c>
      <c r="D246" s="2">
        <v>-2000000.0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/>
      <c r="N246" s="2">
        <f t="shared" si="13"/>
        <v>-2000000</v>
      </c>
    </row>
    <row r="247" ht="15.75" customHeight="1">
      <c r="B247" s="17" t="s">
        <v>110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2">
        <v>-5074456.0</v>
      </c>
      <c r="K247" s="2">
        <v>-6056500.0</v>
      </c>
      <c r="L247" s="2">
        <v>0.0</v>
      </c>
      <c r="M247" s="2"/>
      <c r="N247" s="2">
        <f t="shared" si="13"/>
        <v>-11130956</v>
      </c>
    </row>
    <row r="248" ht="15.75" customHeight="1">
      <c r="B248" s="17" t="s">
        <v>111</v>
      </c>
      <c r="C248" s="2">
        <v>0.0</v>
      </c>
      <c r="D248" s="2">
        <v>-3.5477246E7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2">
        <v>-543607.0</v>
      </c>
      <c r="K248" s="2">
        <v>-2524208.0</v>
      </c>
      <c r="L248" s="2">
        <v>0.0</v>
      </c>
      <c r="M248" s="2"/>
      <c r="N248" s="2">
        <f t="shared" si="13"/>
        <v>-38545061</v>
      </c>
    </row>
    <row r="249" ht="15.75" customHeight="1">
      <c r="B249" s="17" t="s">
        <v>112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/>
      <c r="N249" s="2">
        <f t="shared" si="13"/>
        <v>0</v>
      </c>
    </row>
    <row r="250" ht="15.75" customHeight="1">
      <c r="B250" s="17" t="s">
        <v>113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-5111700.0</v>
      </c>
      <c r="K250" s="2">
        <v>-7987050.0</v>
      </c>
      <c r="L250" s="2">
        <v>0.0</v>
      </c>
      <c r="M250" s="2"/>
      <c r="N250" s="2">
        <f t="shared" si="13"/>
        <v>-13098750</v>
      </c>
    </row>
    <row r="251" ht="15.75" customHeight="1">
      <c r="B251" s="17" t="s">
        <v>114</v>
      </c>
      <c r="C251" s="2">
        <v>0.0</v>
      </c>
      <c r="D251" s="2">
        <v>2788950.0</v>
      </c>
      <c r="E251" s="2">
        <v>-1.40666308E8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/>
      <c r="N251" s="2">
        <f t="shared" si="13"/>
        <v>-137877358</v>
      </c>
    </row>
    <row r="252" ht="15.75" customHeight="1">
      <c r="B252" s="17" t="s">
        <v>115</v>
      </c>
      <c r="C252" s="2">
        <v>0.0</v>
      </c>
      <c r="D252" s="2">
        <v>-5685678.0</v>
      </c>
      <c r="E252" s="2">
        <v>0.0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/>
      <c r="N252" s="2">
        <f t="shared" si="13"/>
        <v>-5685678</v>
      </c>
    </row>
    <row r="253" ht="15.75" customHeight="1">
      <c r="B253" s="17" t="s">
        <v>116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0.0</v>
      </c>
      <c r="J253" s="2">
        <v>-5372300.0</v>
      </c>
      <c r="K253" s="2">
        <v>0.0</v>
      </c>
      <c r="L253" s="2">
        <v>0.0</v>
      </c>
      <c r="M253" s="2"/>
      <c r="N253" s="2">
        <f t="shared" si="13"/>
        <v>-5372300</v>
      </c>
    </row>
    <row r="254" ht="15.75" customHeight="1">
      <c r="B254" s="17" t="s">
        <v>117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0.0</v>
      </c>
      <c r="I254" s="2">
        <v>0.0</v>
      </c>
      <c r="J254" s="2">
        <v>-5678900.0</v>
      </c>
      <c r="K254" s="2">
        <v>-122000.0</v>
      </c>
      <c r="L254" s="2">
        <v>0.0</v>
      </c>
      <c r="M254" s="2"/>
      <c r="N254" s="2">
        <f t="shared" si="13"/>
        <v>-5800900</v>
      </c>
    </row>
    <row r="255" ht="15.75" customHeight="1">
      <c r="B255" s="17" t="s">
        <v>118</v>
      </c>
      <c r="C255" s="2">
        <v>0.0</v>
      </c>
      <c r="D255" s="2">
        <v>-2176566.0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-3852690.0</v>
      </c>
      <c r="L255" s="2">
        <v>0.0</v>
      </c>
      <c r="M255" s="2"/>
      <c r="N255" s="2">
        <f t="shared" si="13"/>
        <v>-6029256</v>
      </c>
    </row>
    <row r="256" ht="15.75" customHeight="1">
      <c r="B256" s="17" t="s">
        <v>119</v>
      </c>
      <c r="C256" s="2">
        <v>-900000.0</v>
      </c>
      <c r="D256" s="2">
        <v>-4943929.0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-1778717.0</v>
      </c>
      <c r="K256" s="2">
        <v>0.0</v>
      </c>
      <c r="L256" s="2">
        <v>0.0</v>
      </c>
      <c r="M256" s="2"/>
      <c r="N256" s="2">
        <f t="shared" si="13"/>
        <v>-7622646</v>
      </c>
    </row>
    <row r="257" ht="15.75" customHeight="1">
      <c r="B257" s="17" t="s">
        <v>120</v>
      </c>
      <c r="C257" s="2">
        <v>-3.18E7</v>
      </c>
      <c r="D257" s="2">
        <v>-4.7814E7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-3.4177395E7</v>
      </c>
      <c r="K257" s="2">
        <v>-2.578874E7</v>
      </c>
      <c r="L257" s="2">
        <v>0.0</v>
      </c>
      <c r="M257" s="2"/>
      <c r="N257" s="2">
        <f t="shared" si="13"/>
        <v>-139580135</v>
      </c>
    </row>
    <row r="258" ht="15.75" customHeight="1">
      <c r="B258" s="3" t="s">
        <v>121</v>
      </c>
      <c r="C258" s="2" t="s">
        <v>1</v>
      </c>
      <c r="D258" s="2" t="s">
        <v>1</v>
      </c>
      <c r="E258" s="2" t="s">
        <v>1</v>
      </c>
      <c r="F258" s="2" t="s">
        <v>1</v>
      </c>
      <c r="G258" s="2" t="s">
        <v>1</v>
      </c>
      <c r="H258" s="2" t="s">
        <v>1</v>
      </c>
      <c r="I258" s="2" t="s">
        <v>1</v>
      </c>
      <c r="J258" s="2" t="s">
        <v>1</v>
      </c>
      <c r="K258" s="2" t="s">
        <v>1</v>
      </c>
      <c r="L258" s="2" t="s">
        <v>1</v>
      </c>
      <c r="M258" s="2" t="s">
        <v>1</v>
      </c>
      <c r="N258" s="2">
        <f t="shared" si="13"/>
        <v>0</v>
      </c>
    </row>
    <row r="259" ht="15.75" customHeight="1">
      <c r="B259" s="17" t="s">
        <v>122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-2.1799011E7</v>
      </c>
      <c r="L259" s="2">
        <v>0.0</v>
      </c>
      <c r="M259" s="2"/>
      <c r="N259" s="2">
        <f t="shared" si="13"/>
        <v>-21799011</v>
      </c>
    </row>
    <row r="260" ht="15.75" customHeight="1">
      <c r="B260" s="17" t="s">
        <v>123</v>
      </c>
      <c r="C260" s="2">
        <v>0.0</v>
      </c>
      <c r="D260" s="2">
        <v>-4250000.0</v>
      </c>
      <c r="E260" s="2">
        <v>0.0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/>
      <c r="N260" s="2">
        <f t="shared" si="13"/>
        <v>-4250000</v>
      </c>
    </row>
    <row r="261" ht="15.75" customHeight="1">
      <c r="B261" s="17" t="s">
        <v>124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/>
      <c r="N261" s="2">
        <f t="shared" si="13"/>
        <v>0</v>
      </c>
    </row>
    <row r="262" ht="15.75" customHeight="1">
      <c r="B262" s="17" t="s">
        <v>125</v>
      </c>
      <c r="C262" s="2">
        <v>0.0</v>
      </c>
      <c r="D262" s="2">
        <v>-2700000.0</v>
      </c>
      <c r="E262" s="2">
        <v>-1231875.0</v>
      </c>
      <c r="F262" s="2">
        <v>0.0</v>
      </c>
      <c r="G262" s="2">
        <v>0.0</v>
      </c>
      <c r="H262" s="2">
        <v>0.0</v>
      </c>
      <c r="I262" s="2">
        <v>0.0</v>
      </c>
      <c r="J262" s="2">
        <v>-645000.0</v>
      </c>
      <c r="K262" s="2">
        <v>-8862161.0</v>
      </c>
      <c r="L262" s="2">
        <v>0.0</v>
      </c>
      <c r="M262" s="2">
        <v>0.0</v>
      </c>
      <c r="N262" s="2">
        <f t="shared" si="13"/>
        <v>-13439036</v>
      </c>
    </row>
    <row r="263" ht="15.75" customHeight="1">
      <c r="B263" s="17" t="s">
        <v>126</v>
      </c>
      <c r="C263" s="2">
        <v>0.0</v>
      </c>
      <c r="D263" s="2">
        <v>0.0</v>
      </c>
      <c r="E263" s="2">
        <v>0.0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f t="shared" si="13"/>
        <v>0</v>
      </c>
    </row>
    <row r="264" ht="15.75" customHeight="1">
      <c r="B264" s="3" t="s">
        <v>127</v>
      </c>
      <c r="C264" s="2" t="s">
        <v>1</v>
      </c>
      <c r="D264" s="2" t="s">
        <v>1</v>
      </c>
      <c r="E264" s="2" t="s">
        <v>1</v>
      </c>
      <c r="F264" s="2" t="s">
        <v>1</v>
      </c>
      <c r="G264" s="2" t="s">
        <v>1</v>
      </c>
      <c r="H264" s="2" t="s">
        <v>1</v>
      </c>
      <c r="I264" s="2" t="s">
        <v>1</v>
      </c>
      <c r="J264" s="2" t="s">
        <v>1</v>
      </c>
      <c r="K264" s="2" t="s">
        <v>1</v>
      </c>
      <c r="L264" s="2" t="s">
        <v>1</v>
      </c>
      <c r="M264" s="2" t="s">
        <v>1</v>
      </c>
      <c r="N264" s="2" t="s">
        <v>1</v>
      </c>
    </row>
    <row r="265" ht="15.75" customHeight="1">
      <c r="B265" s="17" t="s">
        <v>128</v>
      </c>
      <c r="C265" s="2">
        <v>-252500.0</v>
      </c>
      <c r="D265" s="2">
        <v>-1566087.0</v>
      </c>
      <c r="E265" s="2">
        <v>-1043500.0</v>
      </c>
      <c r="F265" s="2">
        <v>-2184100.0</v>
      </c>
      <c r="G265" s="2">
        <v>-387500.0</v>
      </c>
      <c r="H265" s="2">
        <v>-291500.0</v>
      </c>
      <c r="I265" s="2">
        <v>-320000.0</v>
      </c>
      <c r="J265" s="2">
        <v>-7500.0</v>
      </c>
      <c r="K265" s="2">
        <v>-2654833.0</v>
      </c>
      <c r="L265" s="2">
        <v>0.0</v>
      </c>
      <c r="M265" s="2"/>
      <c r="N265" s="2">
        <f t="shared" ref="N265:N266" si="14">SUM(C265:L265)</f>
        <v>-8707520</v>
      </c>
    </row>
    <row r="266" ht="15.75" customHeight="1">
      <c r="B266" s="17" t="s">
        <v>129</v>
      </c>
      <c r="C266" s="2">
        <v>0.0</v>
      </c>
      <c r="D266" s="2">
        <v>-873000.0</v>
      </c>
      <c r="E266" s="2">
        <v>-1.42663538E8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-8813413.0</v>
      </c>
      <c r="L266" s="2">
        <v>0.0</v>
      </c>
      <c r="M266" s="2"/>
      <c r="N266" s="2">
        <f t="shared" si="14"/>
        <v>-152349951</v>
      </c>
    </row>
    <row r="267" ht="15.75" customHeight="1">
      <c r="B267" s="3" t="s">
        <v>130</v>
      </c>
      <c r="C267" s="2" t="s">
        <v>1</v>
      </c>
      <c r="D267" s="2" t="s">
        <v>1</v>
      </c>
      <c r="E267" s="2" t="s">
        <v>1</v>
      </c>
      <c r="F267" s="2" t="s">
        <v>1</v>
      </c>
      <c r="G267" s="2" t="s">
        <v>1</v>
      </c>
      <c r="H267" s="2" t="s">
        <v>1</v>
      </c>
      <c r="I267" s="2" t="s">
        <v>1</v>
      </c>
      <c r="J267" s="2" t="s">
        <v>1</v>
      </c>
      <c r="K267" s="2" t="s">
        <v>1</v>
      </c>
      <c r="L267" s="2" t="s">
        <v>1</v>
      </c>
      <c r="M267" s="2" t="s">
        <v>1</v>
      </c>
      <c r="N267" s="2" t="s">
        <v>1</v>
      </c>
    </row>
    <row r="268" ht="15.75" customHeight="1">
      <c r="B268" s="17" t="s">
        <v>131</v>
      </c>
      <c r="C268" s="2">
        <v>0.0</v>
      </c>
      <c r="D268" s="2">
        <v>-3600000.0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0.3293342590332031</v>
      </c>
      <c r="L268" s="2">
        <v>0.0</v>
      </c>
      <c r="M268" s="2"/>
      <c r="N268" s="2">
        <f t="shared" ref="N268:N271" si="15">SUM(C268:L268)</f>
        <v>-3599999.671</v>
      </c>
    </row>
    <row r="269" ht="15.75" customHeight="1">
      <c r="B269" s="17" t="s">
        <v>132</v>
      </c>
      <c r="C269" s="2">
        <v>5055.32</v>
      </c>
      <c r="D269" s="2">
        <v>0.0</v>
      </c>
      <c r="E269" s="2">
        <v>1265238.2800000007</v>
      </c>
      <c r="F269" s="2">
        <v>5579521.0</v>
      </c>
      <c r="G269" s="2">
        <v>640384.6300000001</v>
      </c>
      <c r="H269" s="2">
        <v>0.0</v>
      </c>
      <c r="I269" s="2">
        <v>224802.0</v>
      </c>
      <c r="J269" s="2">
        <v>0.0</v>
      </c>
      <c r="K269" s="2">
        <v>0.0</v>
      </c>
      <c r="L269" s="2">
        <v>0.0</v>
      </c>
      <c r="M269" s="2"/>
      <c r="N269" s="2">
        <f t="shared" si="15"/>
        <v>7715001.23</v>
      </c>
    </row>
    <row r="270" ht="15.75" customHeight="1">
      <c r="B270" s="17" t="s">
        <v>133</v>
      </c>
      <c r="C270" s="2">
        <v>0.0</v>
      </c>
      <c r="D270" s="2">
        <v>-1.08E7</v>
      </c>
      <c r="E270" s="2">
        <v>-1.4384133E7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-1.123916548000002E7</v>
      </c>
      <c r="L270" s="2">
        <v>0.0</v>
      </c>
      <c r="M270" s="2"/>
      <c r="N270" s="2">
        <f t="shared" si="15"/>
        <v>-36423298.48</v>
      </c>
    </row>
    <row r="271" ht="15.75" customHeight="1">
      <c r="B271" s="17" t="s">
        <v>134</v>
      </c>
      <c r="C271" s="2">
        <v>0.0</v>
      </c>
      <c r="D271" s="2">
        <v>248314.0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2.7914641200000048E7</v>
      </c>
      <c r="L271" s="2">
        <v>0.0</v>
      </c>
      <c r="M271" s="2"/>
      <c r="N271" s="2">
        <f t="shared" si="15"/>
        <v>28162955.2</v>
      </c>
    </row>
    <row r="272" ht="15.75" customHeight="1">
      <c r="B272" s="1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B273" s="18" t="s">
        <v>135</v>
      </c>
      <c r="C273" s="10">
        <f t="shared" ref="C273:L273" si="16">SUBTOTAL(9,C231:C271)</f>
        <v>-838460163.7</v>
      </c>
      <c r="D273" s="10">
        <f t="shared" si="16"/>
        <v>-482495053</v>
      </c>
      <c r="E273" s="10">
        <f t="shared" si="16"/>
        <v>-2273699079</v>
      </c>
      <c r="F273" s="10">
        <f t="shared" si="16"/>
        <v>3395421</v>
      </c>
      <c r="G273" s="10">
        <f t="shared" si="16"/>
        <v>252884.63</v>
      </c>
      <c r="H273" s="10">
        <f t="shared" si="16"/>
        <v>-291500</v>
      </c>
      <c r="I273" s="10">
        <f t="shared" si="16"/>
        <v>-95198</v>
      </c>
      <c r="J273" s="10">
        <f t="shared" si="16"/>
        <v>-70524743</v>
      </c>
      <c r="K273" s="10">
        <f t="shared" si="16"/>
        <v>-194357124</v>
      </c>
      <c r="L273" s="10">
        <f t="shared" si="16"/>
        <v>0</v>
      </c>
      <c r="M273" s="2"/>
      <c r="N273" s="10">
        <f>SUBTOTAL(9,N231:N271)</f>
        <v>-3856274555</v>
      </c>
    </row>
    <row r="274" ht="15.7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6"/>
      <c r="B275" s="18" t="s">
        <v>136</v>
      </c>
      <c r="C275" s="2" t="s">
        <v>1</v>
      </c>
      <c r="D275" s="2" t="s">
        <v>1</v>
      </c>
      <c r="E275" s="2" t="s">
        <v>1</v>
      </c>
      <c r="F275" s="2" t="s">
        <v>1</v>
      </c>
      <c r="G275" s="2" t="s">
        <v>1</v>
      </c>
      <c r="H275" s="2" t="s">
        <v>1</v>
      </c>
      <c r="I275" s="2" t="s">
        <v>1</v>
      </c>
      <c r="J275" s="2" t="s">
        <v>1</v>
      </c>
      <c r="K275" s="2" t="s">
        <v>1</v>
      </c>
      <c r="L275" s="2"/>
      <c r="M275" s="2"/>
      <c r="N275" s="10">
        <f>N227+N273</f>
        <v>1152108111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14"/>
      <c r="B276" s="14"/>
      <c r="C276" s="13"/>
      <c r="D276" s="13" t="s">
        <v>1</v>
      </c>
      <c r="E276" s="13"/>
      <c r="F276" s="13"/>
      <c r="G276" s="13"/>
      <c r="H276" s="13"/>
      <c r="I276" s="13"/>
      <c r="J276" s="13"/>
      <c r="K276" s="2"/>
      <c r="L276" s="13"/>
      <c r="M276" s="13"/>
      <c r="N276" s="13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B277" s="19" t="s">
        <v>137</v>
      </c>
      <c r="C277" s="2">
        <v>0.0</v>
      </c>
      <c r="D277" s="2">
        <v>0.0</v>
      </c>
      <c r="E277" s="2">
        <v>0.0</v>
      </c>
      <c r="F277" s="2"/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/>
      <c r="N277" s="2" t="str">
        <f>-'Deprec 2026'!S113</f>
        <v>#REF!</v>
      </c>
    </row>
    <row r="278" ht="15.7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B279" s="18" t="s">
        <v>138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10" t="str">
        <f>N275+N277</f>
        <v>#REF!</v>
      </c>
    </row>
    <row r="280" ht="15.7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B281" s="19" t="s">
        <v>139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/>
      <c r="N281" s="2">
        <f>SUM(C281:L281)</f>
        <v>0</v>
      </c>
    </row>
    <row r="282" ht="15.7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B283" s="18" t="s">
        <v>140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0" t="str">
        <f>N279+N281</f>
        <v>#REF!</v>
      </c>
      <c r="O283" s="21" t="str">
        <f>N283/N78</f>
        <v>#REF!</v>
      </c>
      <c r="Q283" s="8" t="s">
        <v>1</v>
      </c>
      <c r="R283" s="11" t="s">
        <v>1</v>
      </c>
    </row>
    <row r="284" ht="15.7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conditionalFormatting sqref="N155:N225">
    <cfRule type="cellIs" dxfId="0" priority="1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2022-01-08T11:05:28Z</dcterms:created>
  <dc:creator>David Harsamto</dc:creator>
</cp:coreProperties>
</file>