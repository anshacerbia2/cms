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" sheetId="1" r:id="rId5"/>
  </sheets>
  <definedNames>
    <definedName hidden="1" localSheetId="0" name="_xlnm._FilterDatabase">AR!$A$4:$P$1245</definedName>
  </definedNames>
  <calcPr/>
</workbook>
</file>

<file path=xl/sharedStrings.xml><?xml version="1.0" encoding="utf-8"?>
<sst xmlns="http://schemas.openxmlformats.org/spreadsheetml/2006/main" count="3796" uniqueCount="1305">
  <si>
    <t xml:space="preserve"> </t>
  </si>
  <si>
    <t>DESCRIPTION</t>
  </si>
  <si>
    <t>END OF 2025</t>
  </si>
  <si>
    <t>MUTASI 2026</t>
  </si>
  <si>
    <t>OUTSTANDING</t>
  </si>
  <si>
    <t>IDR</t>
  </si>
  <si>
    <t>BCA Sahardjo</t>
  </si>
  <si>
    <t>BCA Juanda</t>
  </si>
  <si>
    <t>MANDIRI MP</t>
  </si>
  <si>
    <t>BRI Sho</t>
  </si>
  <si>
    <t>BTN</t>
  </si>
  <si>
    <t>BNI</t>
  </si>
  <si>
    <t>Bank Raya</t>
  </si>
  <si>
    <t>Cash IDR</t>
  </si>
  <si>
    <t>Non CB</t>
  </si>
  <si>
    <t>AP PPN Non WAPU</t>
  </si>
  <si>
    <t>AR Cash Advance</t>
  </si>
  <si>
    <t>Alex</t>
  </si>
  <si>
    <t>Analita</t>
  </si>
  <si>
    <t>Anne Hidayat</t>
  </si>
  <si>
    <t>David Harsamto</t>
  </si>
  <si>
    <t>Frieda</t>
  </si>
  <si>
    <t>Odhey</t>
  </si>
  <si>
    <t>Patrice</t>
  </si>
  <si>
    <t>Rizky</t>
  </si>
  <si>
    <t>Sukanda</t>
  </si>
  <si>
    <t>Tika</t>
  </si>
  <si>
    <t>Titing</t>
  </si>
  <si>
    <t>Yogi</t>
  </si>
  <si>
    <t>AR Deposit to vendor</t>
  </si>
  <si>
    <t>Telkomsel Sales Townhall 2025</t>
  </si>
  <si>
    <t>Tsel SalesTownHallSPJ 25May         ADUN SOPANDI,</t>
  </si>
  <si>
    <t>TSel SalesTownHallSPJ 25-26 May     DEDI PURWANTO SE,</t>
  </si>
  <si>
    <t>TSel SalesTownHallSPJ 25-26 May     CLARA LIA RESTU SA,</t>
  </si>
  <si>
    <t>Telkomsel Implentasi New Ways of Working</t>
  </si>
  <si>
    <t>TSel Implement NWWSPJ 28-April      YOGI PURWO WIDODO,</t>
  </si>
  <si>
    <t>TSel SalesTownHallSPJ 25-26May      SUPRIYADI,</t>
  </si>
  <si>
    <t>TSel SalesTownHallSPJ 25-26 May     YOGI PURWO WIDODO,</t>
  </si>
  <si>
    <t>Telkomsel Pisah Sambut VP Sales A1</t>
  </si>
  <si>
    <t>TSel PisahSambut  SPJ 3D+meals      YOGI PURWO WIDODO,</t>
  </si>
  <si>
    <t>TSel PisSamVPSalesSPJ 3D + Meals    M RIZKY AULIA,</t>
  </si>
  <si>
    <t>Telkomsel Support Evaluasi GraPARI Optimalisasi Area 1</t>
  </si>
  <si>
    <t>BI-FAST CR TRANSFER DR ADE IRMA SARTIKA T, Retur Mandiri MP 30-Sep</t>
  </si>
  <si>
    <t>Telkomsel WS Sales A1 Play Hard Serve Harder</t>
  </si>
  <si>
    <t>TSel  WS Sales A1 SPJ 3D + Meals    MARIA PATRICIA SUG,</t>
  </si>
  <si>
    <t>TSel WSSalesA1PlaySPJ 5D +Meals     DEDI PURWANTO SE,</t>
  </si>
  <si>
    <t>TSelWSSalesA1Play SPJ 5D +Meals     YOGI PURWO WIDODO,</t>
  </si>
  <si>
    <t>Telkomsel Focus Action Paying User Sumatera Q3</t>
  </si>
  <si>
    <t>TSel Focus Act PaySPJ 1D+Meal       YOGI PURWO WIDODO,</t>
  </si>
  <si>
    <t>Mandiri FGD Banten</t>
  </si>
  <si>
    <t>Mandiri FGD BantenSPJ 1D 7Nop       SUPRIYADI,Mandiri Plasa</t>
  </si>
  <si>
    <t>BTN FGD Cirebon Komisi XI</t>
  </si>
  <si>
    <t>BTN FGD CirebonKXISPJ 3D +Meals     MARIA PATRICIA SUG,</t>
  </si>
  <si>
    <t>BSI Kunjungan Kerja BAKN Pangkal Pinang</t>
  </si>
  <si>
    <t>BSI KunKer BAKN PPSPJ 3D + Meals    MARIA PATRICIA SUG,</t>
  </si>
  <si>
    <t>MANDIRI FGD BantenSPJ 2D + Meals    MARIA PATRICIA SUG,</t>
  </si>
  <si>
    <t>BRI FGD Semarang Komisi XI</t>
  </si>
  <si>
    <t>BRI FGD Smg Kom XISPJ 2D+Meals      M RIZKY AULIA,</t>
  </si>
  <si>
    <t>MANDIRI FGD BantenSPJ 2D+Meals      ALEXADRUS NULIADY,</t>
  </si>
  <si>
    <t>BRI FGD Smg KomXI SPJ 2D + Meals    ANALITA YULISTYA C,</t>
  </si>
  <si>
    <t>BSI KunKer BAKN PPSPJ 2D+Meals      ANALITA YULISTYA C,</t>
  </si>
  <si>
    <t>MANDIRI FGD BantenSPJ 2D + Meals    ANALITA YULISTYA C,</t>
  </si>
  <si>
    <t>MANDIRI FGD BantenSPJ 1D 6Nop       SUPRIYADI,</t>
  </si>
  <si>
    <t>BTN FGD CirebonKXISPJ 4D + Meals    ALEXADRUS NULIADY,</t>
  </si>
  <si>
    <t>Mandiri FGD Banten (ex Mandiri FGD IKN)</t>
  </si>
  <si>
    <t>MANDIRI FGD IKN   SPJ 2D + Meals    FRIDA ACHMADI,</t>
  </si>
  <si>
    <t>Himbara Kunjungan Kerja Batam BRI dan BTN</t>
  </si>
  <si>
    <t>HimbaraKunKerBatamSPJ 4D+MMOps+MealsALEXADRUS NULIADY,</t>
  </si>
  <si>
    <t>HimbaraKunKerBatamSPJ 4D + Meals    ANALITA YULISTYA C,</t>
  </si>
  <si>
    <t>HimbaraKunKerBatamSPJ 4D + Meals    MARIA PATRICIA SUG,</t>
  </si>
  <si>
    <t>Telkomsel Fiberisasi Target Sumatera</t>
  </si>
  <si>
    <t xml:space="preserve">TSel Fiberisasi TS Fave PLG 12-14Feb  YOGI PURWO WIDODO </t>
  </si>
  <si>
    <t>Telkomsel Harmoni Sumatera</t>
  </si>
  <si>
    <t xml:space="preserve">TSel Harmoni Sum BackDrop+Dekor Pkb MAS DERU KURLI  </t>
  </si>
  <si>
    <t xml:space="preserve">TSel Harmoni Sum BackDropHalbil MES DEDDY SOFYAN  </t>
  </si>
  <si>
    <t xml:space="preserve">TSel Implement NWW Santika 11Rms27Mei PESONA INDONESIA M  </t>
  </si>
  <si>
    <t xml:space="preserve">TSel SalesTownHall PIC Prod+Load 2D R DINAR KUSUMAYANT  </t>
  </si>
  <si>
    <t xml:space="preserve">TSel SalesTownHall CrewLog Komeng 2D MOCH SUPRIYADI  </t>
  </si>
  <si>
    <t xml:space="preserve">TSel SaleTownHall Crew Runner 2D MOH SUPRIYATNA  </t>
  </si>
  <si>
    <t xml:space="preserve">TSel SalesTownHall Taman Area Booth HARTONO  </t>
  </si>
  <si>
    <t xml:space="preserve">TSel SalesTownHall Dekor Booth Sum BAMBANG SUPRIYANTO  </t>
  </si>
  <si>
    <t xml:space="preserve">TSel SalesTownHall 30 Pin Logo YOSEFINA JUNIARTA  </t>
  </si>
  <si>
    <t xml:space="preserve">Refund Santika Bkt kelebihan pemby PESONA INDONESIA M  </t>
  </si>
  <si>
    <t>Refund Ongkir Corp PT Panconvince SITI NURHAYATI : WA Yogi 30Nop Telkomsel Focus Paying Auction Sumatera pak</t>
  </si>
  <si>
    <t xml:space="preserve">TSel Pisah Sambut 11Sep 267Paxs ADIMULIA GOLDEN LE  </t>
  </si>
  <si>
    <t>Telkomsel Sales Academy September 2025</t>
  </si>
  <si>
    <t>LINKAJA 9903883534 : Telkomsel Sales Academy September 2025 : Tiket Woosh Jakarta Bandung PP 20</t>
  </si>
  <si>
    <t xml:space="preserve">TSel Sales Academy LO 1D 18Sep+Meals RATNAMETTHA SUGAMA  </t>
  </si>
  <si>
    <t xml:space="preserve">TSel Sales Academy 21 Dinner 18Sep YOGI PURWO WIDODO  </t>
  </si>
  <si>
    <t xml:space="preserve">Tsel PisSamVPSales Event 10-Sep VALDI RUSLI  </t>
  </si>
  <si>
    <t>Telkomsel Support Renego Backpacker BKL - LPG Q4 2025</t>
  </si>
  <si>
    <t xml:space="preserve">TSel Supp Renego 4Rms Gr Mercure YOGI PURWO WIDODO  </t>
  </si>
  <si>
    <t>Telkomsel O&amp;M Consolidation Tahap 2</t>
  </si>
  <si>
    <t xml:space="preserve">TSel O&amp;M Consol T2 2Rm+BFast 1-3Oct DINAMIKA SENTOSA J  </t>
  </si>
  <si>
    <t>Telkomsel FBP West Area</t>
  </si>
  <si>
    <t xml:space="preserve">TSel FBP West Area Support  A1 Sep YOGI PURWO WIDODO  </t>
  </si>
  <si>
    <t xml:space="preserve">TSel SuppRenegoBP Villa Zimzala 8Pax YOGI PURWO WIDODO  </t>
  </si>
  <si>
    <t>LINKAJA 08111991665 : Telkomsel Sales Academy September 2025 - tambahan Reimburse Tiket Woosh PP an Agra Andhyka Chandra</t>
  </si>
  <si>
    <t xml:space="preserve">TSel Supp RenegoBP 4Rms GoldenTulip PESONA ALAM LAMPUN  </t>
  </si>
  <si>
    <t>Grand Indonesia</t>
  </si>
  <si>
    <t xml:space="preserve">PYC IEC 2025 Deposit venue GRAND INDONESIA PT  </t>
  </si>
  <si>
    <t xml:space="preserve">TSel WSSalesA1Play DP 52Rms+125Dnr  MULTI DAYA INVESTA </t>
  </si>
  <si>
    <t xml:space="preserve">TSEL WSSalesA1PHSH MotivatorJamesGwee  ACADEMIA CITRA ABA </t>
  </si>
  <si>
    <t xml:space="preserve">TSel WSSalesA1PHSH Catering Batam  MANVIA MEGA SOLUSI </t>
  </si>
  <si>
    <t xml:space="preserve">TSel WS Sales A1 Produksi All in  ZEHRA BALINA </t>
  </si>
  <si>
    <t xml:space="preserve">TSel WSSalesA1P Kend Crew 13-17Okt  HARI SUSANTO </t>
  </si>
  <si>
    <t xml:space="preserve">TSel FocusActPay MtgSeniorLeaderJkt  ZULFAHMI </t>
  </si>
  <si>
    <t xml:space="preserve">Mandiri FGD Banten Courier 25Box 6Nop  ANALITA YULISTYA C </t>
  </si>
  <si>
    <t xml:space="preserve">Mandiri FGD Banten LO 2D JHLSolitaire  MOCH SUPRIYADI </t>
  </si>
  <si>
    <t xml:space="preserve">Mandiri FGD Banten PIC Produksi 2D  R DINAR KUSUMAYANT </t>
  </si>
  <si>
    <t xml:space="preserve">Mandiri FGD Banten +an 10Pcs Batik  ANALITA YULISTYA C </t>
  </si>
  <si>
    <t xml:space="preserve">TSel FBP West Area Reimb Div Fin  YOGI PURWO WIDODO </t>
  </si>
  <si>
    <t>LINKAJA 08122020294 : Telkomsel WS Sales A1 Play Hard Serve Harder -Reimburse Meals dan pembelian spidol di Batam</t>
  </si>
  <si>
    <t>BSI Kunker BAKN PP DP Produksi  AFANDI Mandiri Plasa</t>
  </si>
  <si>
    <t>BRI FGD SEM KomXI Biaya Ops  ROBERTUS BELLARMIN Mandiri Plasa</t>
  </si>
  <si>
    <t>Mandiri FGD Banten Doc PhotoVideo 1D  KATHERIN VICENTIA Mandiri Plasa</t>
  </si>
  <si>
    <t>Mandiri FGD Banten SD,MC&amp;Stage Crew  TEUKU DONNYA SYAHP Mandiri Plasa</t>
  </si>
  <si>
    <t>Mandiri FGD Banten 35 DelegateMic-JL  ADITYA CHANDRA KUS Mandiri Plasa</t>
  </si>
  <si>
    <t>Mandiri FGD Banten LiveCam JHL 7Nov  SUTRISNO Mandiri Plasa</t>
  </si>
  <si>
    <t>BTN FGDCirebon KXI DP Production  HARRY SUSANTO Mandiri Plasa</t>
  </si>
  <si>
    <t>Telkomsel Reach Beyond Area Sumatera 2025</t>
  </si>
  <si>
    <t>TSel ReachBeyondSu LO Dinner SLM  RATNAMETTHA SUGAMA Mandiri Plasa</t>
  </si>
  <si>
    <t>TSel ReachBeyondSu Meals MtgSLM 19Nov  MARIA PATRICIA SUG Mandiri Plasa</t>
  </si>
  <si>
    <t>TSel FBP West Area Tunai Div Finance  YOGI PURWO WIDODO Mandiri Plasa</t>
  </si>
  <si>
    <t xml:space="preserve">Mandiri FGD Banten Gardening JHL 7Nop  HARTONO </t>
  </si>
  <si>
    <t>Retur PV 06644 MARIA PATRICIA SUG : WA Pat 13-Dec BRI FGD Semarang Komisi XI</t>
  </si>
  <si>
    <t xml:space="preserve">BTN FGD Cirebon Lunas EO BTNLuxton  HARRY SUSANTO </t>
  </si>
  <si>
    <t xml:space="preserve">BSI KunKer BAKN PP Lunas BSI Bangka  AFANDI </t>
  </si>
  <si>
    <t xml:space="preserve">BTN FGD Cirebon SD+Stage crew 2D  TEUKU DONNYA SYAHP </t>
  </si>
  <si>
    <t xml:space="preserve">BSI KunKer BAKN PP SD,Stage+MC Crew  TEUKU DONNYA SYAHP </t>
  </si>
  <si>
    <t xml:space="preserve">Mandiri FGD Banten LED dan Matador  WIDI SURYA BUDIANA </t>
  </si>
  <si>
    <t xml:space="preserve">BTN FGD CirebonKXI 35 MicDel 28Nop  ADITYA CHANDRA KUS </t>
  </si>
  <si>
    <t xml:space="preserve">BRI FGD Smg KomXI Stage+MC Crew AHMAD WIDYA NUGRAH  </t>
  </si>
  <si>
    <t xml:space="preserve">BSI KunKer BAKN PP Prod 25-27Nop AHMAD WIDYA NUGRAH  </t>
  </si>
  <si>
    <t>Telkomsel Leaders Meeting Q4 Area 1</t>
  </si>
  <si>
    <t xml:space="preserve">TSel LeadersMtg Q4 Santika Rm+BFast MULTI DAYA INVESTA  </t>
  </si>
  <si>
    <t xml:space="preserve">HimbaranKunKerBata Show Mgt+GR TEUKU DONNYA SYAHP  </t>
  </si>
  <si>
    <t xml:space="preserve">TSel LeadersMtgQ4 4Rms BatiqaLampung SURYA INTERNUSA HO  </t>
  </si>
  <si>
    <t xml:space="preserve">TSel  LeadersMtgQ4 AriFarizki+AyuAuli MULTI DAYA INVESTA  </t>
  </si>
  <si>
    <t xml:space="preserve">HimbaraKunKerBatam 35Mic11DecMarriott MARIA PATRICIA SUG  </t>
  </si>
  <si>
    <t xml:space="preserve">TSel LeadersMtg Q4 Devisiasi Kamar MULTI DAYA INVESTA  </t>
  </si>
  <si>
    <t xml:space="preserve">HimbaraKunKerBatam Produksi 11Dec ZEHRA BALINA  </t>
  </si>
  <si>
    <t xml:space="preserve">TSel LeadersMtg Q4 Deviasi kamar MULTI DAYA INVESTA  </t>
  </si>
  <si>
    <t xml:space="preserve">TSel FiberasiTargetS 04273  Trf  KE PANTRAVEL </t>
  </si>
  <si>
    <t>TSel FiberTargetSum  04329  MCM InhouseTrf  KE PANTRAVEL</t>
  </si>
  <si>
    <t xml:space="preserve">TSel Fiber TargetSum 04436  MCM InhouseTrf  KE PANTRAVEL </t>
  </si>
  <si>
    <t xml:space="preserve">TSel Fiber TargetSum 04367 MCM InhouseTrf  KE PANTRAVEL </t>
  </si>
  <si>
    <t>Telkomsel Safari Ramadhan BOD Aceh - Pekanbaru 2025</t>
  </si>
  <si>
    <t xml:space="preserve">TSel Safari Ramadhan 04529 MCM InhouseTrf  KE PANTRAVEL </t>
  </si>
  <si>
    <t>TSel Safari Ramadhan 04545 MCM InhouseTrf  KE PANTRAVEL</t>
  </si>
  <si>
    <t xml:space="preserve">TSel Safari Ramadhan 04519 MCM InhouseTrf  KE PANTRAVEL </t>
  </si>
  <si>
    <t xml:space="preserve">TSel Safari Ramadhan 04552 MCM InhouseTrf  KE PANTRAVEL </t>
  </si>
  <si>
    <t>TSel Harmoni Sumatra 04689  MCM InhouseTrf  KE HOTEL RAZ INDONESIA</t>
  </si>
  <si>
    <t xml:space="preserve">TSel Harmoni Sumatra04709  BSMDIDJA/MAJELIS TELKOMSEL TAQWA SUMBAGS </t>
  </si>
  <si>
    <t xml:space="preserve">TSel FaberisasiTarSu04532  BNINIDJA/HADI PRASTYA UTAMA </t>
  </si>
  <si>
    <t xml:space="preserve">TSel Harmoni Sum    04787   MAJELIS TELKOMSEL TAQWA R SUMBA </t>
  </si>
  <si>
    <t xml:space="preserve">Tsel SafariRamadaBOD04559   I PUTU EKA UDAYANA RUDITA,ST </t>
  </si>
  <si>
    <t>TSel Harmoni Sum    04728  AULIA AYU ASYURA</t>
  </si>
  <si>
    <t>Telkomsel Townhall Network Q2 2025</t>
  </si>
  <si>
    <t xml:space="preserve">Tsel Townhall NW Q2  04730  Trf  KE PANTRAVEL </t>
  </si>
  <si>
    <t xml:space="preserve">TSel Harmoni Sum    04685   AULIA AYU ASYURA </t>
  </si>
  <si>
    <t xml:space="preserve">TSel Harmoni Sum    04711   BESTAR SUMATERA </t>
  </si>
  <si>
    <t>Telkomsel Market Validationn Backpacker BKL - MRE Q2 - 2025</t>
  </si>
  <si>
    <t xml:space="preserve">TSel Mkt Valid BP Q2 04821  Trf  KE BUKIT MULTI PROPERTI </t>
  </si>
  <si>
    <t xml:space="preserve">TSel TownHall NW Q2  04779  Trf  KE PANTRAVEL </t>
  </si>
  <si>
    <t xml:space="preserve">TSel SalesTownHall  04927  BNINIDJA/JOHN APRYANTO </t>
  </si>
  <si>
    <t xml:space="preserve">TSel Implement NWW  04804    BSMDIDJA/AULIA AYU ASYURA </t>
  </si>
  <si>
    <t>TSel Safari Ramadan 04825  BNINIDJA/HADI PRASTYA UTAMA</t>
  </si>
  <si>
    <t xml:space="preserve">TSel Implement NWW  04788  BSMDIDJA/AULIA AYU ASYURA </t>
  </si>
  <si>
    <t xml:space="preserve">TSel Mkt Valid BP Q2 04823  Trf  KE PANTRAVEL </t>
  </si>
  <si>
    <t xml:space="preserve">TSel Mkt Valid BP Q2 04855 Trf  KE PANTRAVEL </t>
  </si>
  <si>
    <t xml:space="preserve">TSel Harmoni Sum    04743   BSMDIDJA/AULIA AYU ASYURA </t>
  </si>
  <si>
    <t xml:space="preserve">TSel Mkt Valid BP Q2 04837  Trf  KE PANTRAVEL </t>
  </si>
  <si>
    <t xml:space="preserve">TSel Harmoni Sum     04807  Trf  KE YURIANDA SAPUTRA PANE </t>
  </si>
  <si>
    <t xml:space="preserve">TSel Mkt Valid BP Q2 04834  Trf  KE PANTRAVEL </t>
  </si>
  <si>
    <t xml:space="preserve">TSel Implement NWW  04948  BSMDIDJA/AULIA AYU ASYURA </t>
  </si>
  <si>
    <t>TSel Implemet NWW   04879   BSMDIDJA/AULIA AYU ASYURA</t>
  </si>
  <si>
    <t xml:space="preserve">TSel SalesTownHall   04920 Trf  KE PANTRAVEL </t>
  </si>
  <si>
    <t>Telkomsel Securing Target SM 1 2025</t>
  </si>
  <si>
    <t xml:space="preserve">TSel SecureTarget SM 04931  Trf  KE PANTRAVEL </t>
  </si>
  <si>
    <t xml:space="preserve">TSel SalesTownHall   04919   Trf  KE PANTRAVEL </t>
  </si>
  <si>
    <t xml:space="preserve">TSel Implement NWW   04884  Trf  KE PANTRAVEL </t>
  </si>
  <si>
    <t xml:space="preserve">TSel SecureTarget SM 04940 Trf  KE PANTRAVEL </t>
  </si>
  <si>
    <t xml:space="preserve">TSel Implement NWW   04905  Trf  KE PANTRAVEL </t>
  </si>
  <si>
    <t>TSel SalesTownHall   04930 Trf  KE PANTRAVEL</t>
  </si>
  <si>
    <t xml:space="preserve">TSel Implement NWW   04883 Trf  KE PANTRAVEL </t>
  </si>
  <si>
    <t>TSel SalesTownHall   04928   Trf  KE PANTRAVEL</t>
  </si>
  <si>
    <t>Telkomsel HUT Tsel dan 5G Relaunch Batam</t>
  </si>
  <si>
    <t xml:space="preserve">TSel HUT 5G Batam   05062  BNINIDJA/KINARYA SELARAS PIRANTI </t>
  </si>
  <si>
    <t>TSel HUT 5G Batam    05166-151-150  Trf  KE PANTRAVEL</t>
  </si>
  <si>
    <t xml:space="preserve">TSel Implement NWW   05169-127-061 Trf  KE PANTRAVEL </t>
  </si>
  <si>
    <t xml:space="preserve">TSel SecureTargetSM1 04976  Trf  KE PANTRAVEL </t>
  </si>
  <si>
    <t>TSel SecureTargetSM105029  BSMDIDJA/AULIA AYU ASYURA</t>
  </si>
  <si>
    <t xml:space="preserve">TSel Sales Townhall 04967  BSMDIDJA/AULIA AYU ASYURA </t>
  </si>
  <si>
    <t xml:space="preserve">TSel Implement NWW  05210 BSMDIDJA/AULIA AYU ASYURA </t>
  </si>
  <si>
    <t xml:space="preserve">TSel Implent NWW    05047   JAGBIDJA/RAIHAN RAZAFUAD </t>
  </si>
  <si>
    <t xml:space="preserve">TSel HUT 5G Batam    05178 Trf  KE PANTRAVEL </t>
  </si>
  <si>
    <t xml:space="preserve">TSel Mkt Valid BP Q205229  BNINIDJA/HADI PRASTYA UTAMA </t>
  </si>
  <si>
    <t>TSel Implement NWW   05215 MCM InhouseTrf  KE PANTRAVEL</t>
  </si>
  <si>
    <t xml:space="preserve">TSel HUT 5G Ralaunch 05310 MCM InhouseTrf  KE PANTRAVEL </t>
  </si>
  <si>
    <t>TSel SecureTargetSM1 05297  MCM InhouseTrf  KE PANTRAVEL</t>
  </si>
  <si>
    <t>TSel Implement NWW   05311 MCM InhouseTrf  KE PANTRAVEL</t>
  </si>
  <si>
    <t>BNINIDJA010O0240350233 BNINIDJA/HADI PRASTYA UTAMA 227848114 : Retur Tsel Market Validation BKL-MRE (WA Yogi 29Nop)</t>
  </si>
  <si>
    <t xml:space="preserve">TSel HUT 5G RB, Ruma05209   BNINIDJA/KINARYA SELARAS PIRANTI </t>
  </si>
  <si>
    <t>TSel Implement NWW,  05275 MCM InhouseTrf  KE PANTRAVEL</t>
  </si>
  <si>
    <t>TSel Implement NWW, 05415 BSMDIDJA/AULIA AYU ASYURA</t>
  </si>
  <si>
    <t>Telkomsel Visit Ringfence Mentawai dan Lampung 2025</t>
  </si>
  <si>
    <t xml:space="preserve">TSel Visit Ringfenc 05478 MCM InhouseTrf  KE PANTRAVEL </t>
  </si>
  <si>
    <t>Telkomsel Consolidate Pekanbaru</t>
  </si>
  <si>
    <t xml:space="preserve">TSel Consolidate Pek 05528  MCM InhouseTrf  KE PANTRAVEL </t>
  </si>
  <si>
    <t xml:space="preserve">TSel Focus Act Pay U 05671 MCM InhouseTrf  KE SADAMINA LAOLI </t>
  </si>
  <si>
    <t xml:space="preserve">TSel Focus Act Pay U05679 BRINIDJA/LURUSKAN ZEBUA </t>
  </si>
  <si>
    <t>Telkomsel Collaboration Pacu Jalur dan HUT Nias 2025</t>
  </si>
  <si>
    <t xml:space="preserve">TSel Collab Pacu Jal 05672  MCM InhouseTrf  KE SADAMINA LAOLI </t>
  </si>
  <si>
    <t xml:space="preserve">TSel Focus Act Pay U 05701  MCM InhouseTrf  KE PANTRAVEL </t>
  </si>
  <si>
    <t>Telkomsel Digital Placement Support Area Sumatera</t>
  </si>
  <si>
    <t xml:space="preserve">TSel Dig Placement S 05686   MCM InhouseTrf  KE PANTRAVEL </t>
  </si>
  <si>
    <t xml:space="preserve">TSel Focus Act Pay U 05615  MCM InhouseTrf  KE PANTRAVEL </t>
  </si>
  <si>
    <t xml:space="preserve">TSel Implent NWW, Ti05532  BSMDIDJA/AULIA AYU ASYURA </t>
  </si>
  <si>
    <t>TSel Focus Act Pay U05604  BSMDIDJA/AULIA AYU ASYURA</t>
  </si>
  <si>
    <t>Telkomsel TLP</t>
  </si>
  <si>
    <t xml:space="preserve">TSel TLP 2025, 01250 05676  MCM InhouseTrf  KE PANTRAVEL </t>
  </si>
  <si>
    <t xml:space="preserve">TSel TLP 2025, 01250 05677 MCM InhouseTrf  KE PANTRAVEL </t>
  </si>
  <si>
    <t xml:space="preserve">TSel Collab PacuJalu 05683 MCM InhouseTrf  KE PANTRAVEL </t>
  </si>
  <si>
    <t xml:space="preserve">TSel Focus Act Pay U 05684  MCM InhouseTrf  KE PANTRAVEL </t>
  </si>
  <si>
    <t xml:space="preserve">TSel Dig Placement S 05703  MCM InhouseTrf  KE PANTRAVEL </t>
  </si>
  <si>
    <t>TSel Collab PacuJalu 05685 MCM InhouseTrf  KE PANTRAVEL</t>
  </si>
  <si>
    <t xml:space="preserve">TSel Consolidate Pek 05678 MCM InhouseTrf  KE PANTRAVEL </t>
  </si>
  <si>
    <t>Telkomsel Batam Redesign Network Review</t>
  </si>
  <si>
    <t xml:space="preserve">TSel Batam Redesign 05806  BNINIDJA/KINARYA SELARAS PIRANTI </t>
  </si>
  <si>
    <t xml:space="preserve">TSel Focus Act Pay U05730  BSMDIDJA/AULIA AYU ASYURA </t>
  </si>
  <si>
    <t xml:space="preserve">TSel Visit Ringfence 05759  MCM InhouseTrf  KE PANTRAVEL </t>
  </si>
  <si>
    <t xml:space="preserve">TSel Collab Pacu Jal 05706   MCM InhouseTrf  KE PANTRAVEL </t>
  </si>
  <si>
    <t xml:space="preserve">TSel Collab Pacu Jal 05745  MCM InhouseTrf  KE PANTRAVEL </t>
  </si>
  <si>
    <t xml:space="preserve">TSel Batam Redesign  05862  MCM InhouseTrf  KE PANTRAVEL </t>
  </si>
  <si>
    <t xml:space="preserve">TSel Focus Act Pay 05851  BNINIDJA/DELFIRA RAHMAN </t>
  </si>
  <si>
    <t xml:space="preserve">TSel Focus Act Pay S05815  BSMDIDJA/AULIA AYU ASYURA </t>
  </si>
  <si>
    <t xml:space="preserve">TSel Batam Redesign  05863  MCM InhouseTrf  KE PANTRAVEL </t>
  </si>
  <si>
    <t>TSel Pisah Sambut, M05938 BRINIDJA/NAJEB MUBARAK</t>
  </si>
  <si>
    <t xml:space="preserve">TSel Focus Act Pay S05852  BSMDIDJA/AULIA AYU ASYURA </t>
  </si>
  <si>
    <t xml:space="preserve">TSel Collab Pacu Jal 05849  MCM InhouseTrf  KE PANTRAVEL </t>
  </si>
  <si>
    <t xml:space="preserve">TSel Pisah Sambut, 0 05868 MCM InhouseTrf  KE PANTRAVEL </t>
  </si>
  <si>
    <t>TSel Focus Act Pay S 05854  MCM InhouseTrf  KE PANTRAVEL</t>
  </si>
  <si>
    <t>TSel Focus Act Pay S 05865 MCM InhouseTrf  KE PANTRAVEL</t>
  </si>
  <si>
    <t>Telkomsel International Event Leaders Meeting Q3 2025 PKU</t>
  </si>
  <si>
    <t>TSel Int Event Leade 05971  BNINIDJA/DELFIRA RAHMAN</t>
  </si>
  <si>
    <t xml:space="preserve">TSel Foc Act Pay Use 05872  BSMDIDJA/AULIA AYU ASYURA </t>
  </si>
  <si>
    <t xml:space="preserve">TSel PisSam VPSales  05976 MCM InhouseTrf  KE PANTRAVEL </t>
  </si>
  <si>
    <t xml:space="preserve">TSEL TLP 2025, 01250 05954   MCM InhouseTrf  KE PANTRAVEL </t>
  </si>
  <si>
    <t>TSel Sales Academy,  06011-12  MCM InhouseTrf  KE PANTRAVEL</t>
  </si>
  <si>
    <t xml:space="preserve">TSel Focus Act Pay U 06008  MCM InhouseTrf  KE NIRWANA TURISINDO </t>
  </si>
  <si>
    <t>TSel Supp Renego Bac 06009 MCM InhouseTrf  KE PANTRAVEL Transfer Fee         0600999102</t>
  </si>
  <si>
    <t>Telkomsel Pengawalan Event Regional Sumatera Bagian Utara</t>
  </si>
  <si>
    <t xml:space="preserve">TSel Pengawalan Even 06051 BNINIDJA/FERNANDO PASARIBU </t>
  </si>
  <si>
    <t xml:space="preserve">TSel  Visit Ringfenc 06037 BNINIDJA/SULIDAIYA </t>
  </si>
  <si>
    <t>Telkomsel HUT Tsel d 06018 BRINIDJA/NOVLI FELISIA SITUMO</t>
  </si>
  <si>
    <t xml:space="preserve">TSel Evaluasi GraPAR 06057 SSPIIDJA/ADE IRMA SARTIKA.T </t>
  </si>
  <si>
    <t>Telkomsel Training TL Academy Session 2</t>
  </si>
  <si>
    <t>TSel Training TL Aca 06058 BNINIDJA/TARISYA FERINA FITRI</t>
  </si>
  <si>
    <t>Telkomsel Program Market Visit (SBU &amp; SBS)</t>
  </si>
  <si>
    <t>TSel Prog Mkt Visit  06077 MCM InhouseTrf  KE EMIL SATRIA PUTRA</t>
  </si>
  <si>
    <t>Telkomsel Support Outlet Visit and Backcheck</t>
  </si>
  <si>
    <t xml:space="preserve">TSel Supp Outlet Vis06056 SSPIIDJA/ADE IRMA SARTIKA.T </t>
  </si>
  <si>
    <t xml:space="preserve">TSel Prog Mkt Visit 06078 BNINIDJA/ZENY THAHIRA KRISMA SARI </t>
  </si>
  <si>
    <t>TSel Focus Act Pay U 06048  MCM InhouseTrf  KE PANTRAVEL</t>
  </si>
  <si>
    <t xml:space="preserve">TSel Sales Academy S 06044   MCM InhouseTrf  KE PANTRAVEL </t>
  </si>
  <si>
    <t xml:space="preserve">TSel HUT Tsel dan 5G 06040  MCM InhouseTrf  KE PANTRAVEL </t>
  </si>
  <si>
    <t>TSel Focus Act Pay U 06039 MCM InhouseTrf  KE PANTRAVEL</t>
  </si>
  <si>
    <t xml:space="preserve">TSel  WS Sales A1 Pl 06220 MCM InhouseTrf  KE RAHMAD RIVANDA DEWRO BANGUN </t>
  </si>
  <si>
    <t xml:space="preserve">TSel Supp Renego BP  06045 MCM InhouseTrf  KE PANTRAVEL </t>
  </si>
  <si>
    <t>TSel Pisah Sambut VP 06049 MCM InhouseTrf  KE PANTRAVEL</t>
  </si>
  <si>
    <t xml:space="preserve">TSel OM Consolidatio06176  BNINIDJA/KINARYA SELARAS PIRANTI </t>
  </si>
  <si>
    <t xml:space="preserve">TSel Focus Act Pay U06244  BSMDIDJA/AULIA AYU ASYURA </t>
  </si>
  <si>
    <t xml:space="preserve">TSel WS Sales A1 Pla06243  BNINIDJA/FERRY HERNAWAN </t>
  </si>
  <si>
    <t>0207511866 CENAIDJA/TATYANA MANVIASARI : WA FA 11-Jan-26 - tyt komisi Catering event Tsel Batam nya yg Yogi</t>
  </si>
  <si>
    <t>Telkomsel Sosialisasi dan Training Billco Sumatera Bagian Selatan</t>
  </si>
  <si>
    <t>TSel Sosialisasi Tra 06050  MCM InhouseTrf  KE PANTRAVEL</t>
  </si>
  <si>
    <t>TSel TLP 2025, Reimb06129  BNINIDJA/T SY AMANDA REFITA</t>
  </si>
  <si>
    <t>TSel Focus Act Pay U06128  BSMDIDJA/AULIA AYU ASYURA</t>
  </si>
  <si>
    <t xml:space="preserve">TSel Focus Act Pay U 06067 MCM InhouseTrf  KE PANTRAVEL </t>
  </si>
  <si>
    <t xml:space="preserve">TSel Support Outlet  06066-60  MCM InhouseTrf  KE PANTRAVEL </t>
  </si>
  <si>
    <t xml:space="preserve">TSel Supp Renego BPB 06059   MCM InhouseTrf  KE PANTRAVEL </t>
  </si>
  <si>
    <t xml:space="preserve">TSel O&amp;M Consolidati 06075  MCM InhouseTrf  KE PANTRAVEL </t>
  </si>
  <si>
    <t xml:space="preserve">TSel O&amp;M Consolidati 06136  MCM InhouseTrf  KE PANTRAVEL </t>
  </si>
  <si>
    <t>TSel WS Sales A1 Pla06304 SUNIIDJA/MATHIUS FELIX WATTIMENA</t>
  </si>
  <si>
    <t xml:space="preserve">TSel O&amp;M Consolidati 06247 MCM InhouseTrf  KE PANTRAVEL </t>
  </si>
  <si>
    <t>TSel WS Sales A1 Pla 06279  MCM InhouseTrf  KE PANTRAVEL</t>
  </si>
  <si>
    <t xml:space="preserve">TSel Focus Act Pay U 06138 MCM InhouseTrf  KE PANTRAVEL </t>
  </si>
  <si>
    <t>TSel FBP West Area,  06268 MCM InhouseTrf  KE PANTRAVEL</t>
  </si>
  <si>
    <t>TSel  O&amp;M Consolidat06365 BIFAST Out CS-GL  BRINIDJA/NOVLI FELISIA SITUMO</t>
  </si>
  <si>
    <t>TSel O&amp;M Consolidati06364 BIFAST Out CS-GL  BBIJIDJA/I PUTU EKA UDAYANA RUDITA,ST</t>
  </si>
  <si>
    <t>TSel WS Sales A1 Pla MCM InhouseTrf CS-CS  KE PANTRAVEL</t>
  </si>
  <si>
    <t>TSel Reach Beyond Ar06483  BNINIDJA/SINAR LAUT LAMPUNG PERMAI</t>
  </si>
  <si>
    <t>TSel Reach Beyond Ar06476  BNINIDJA/SINAR LAUT LAMPUNG PERMAI</t>
  </si>
  <si>
    <t xml:space="preserve">TSel Focus Act Pay U06456 BSMDIDJA/AULIA AYU ASYURA </t>
  </si>
  <si>
    <t xml:space="preserve">TSel WS Sales A1 Pla 06411,349,324,315   MCM InhouseTrf  KE PANTRAVEL </t>
  </si>
  <si>
    <t xml:space="preserve">TSel Reach Beyond Ar 06432, 06421 MCM InhouseTrf  KE PANTRAVEL </t>
  </si>
  <si>
    <t>TSel Supp Evaluasi G 06450,06444 06450,06444 MCM InhouseTrf CS-CS  KE PANTRAVEL</t>
  </si>
  <si>
    <t>TSel Reach Beyond Ar 06479 06479 MCM InhouseTrf CS-CS  KE PANTRAVEL</t>
  </si>
  <si>
    <t xml:space="preserve">TSel ReachBeyondArea06448   BSMDIDJA/AULIA AYU ASYURA </t>
  </si>
  <si>
    <t xml:space="preserve">TSel Reach Beyond Ar 06538 MCM InhouseTrf  KE PANTRAVEL </t>
  </si>
  <si>
    <t>Telkomsel Event Securing Target Regional Sumatera Bagian Selatan</t>
  </si>
  <si>
    <t>TSel Event Sec Targe06598 BNINIDJA/NABILA ASY SYIFA</t>
  </si>
  <si>
    <t>TSel Reach Beyond Ar06447  BSMDIDJA/AULIA AYU ASYURA</t>
  </si>
  <si>
    <t xml:space="preserve">TSel FBP West Area, 06539,24,07 MCM InhouseTrf  KE PANTRAVEL </t>
  </si>
  <si>
    <t xml:space="preserve">TSel Pengawalan Even06466  BNINIDJA/FERNANDO PASARIBU </t>
  </si>
  <si>
    <t xml:space="preserve">TSel FocusActPayUser06486  BNINIDJA/YESSI NOPRIANI </t>
  </si>
  <si>
    <t xml:space="preserve">Tsel ReachBeyondArea 06525,20,06  MCM InhouseTrf  KE PANTRAVEL </t>
  </si>
  <si>
    <t>Telkomsel Alignment Sales Strategy All Branch SumBagTeng Q4 2025</t>
  </si>
  <si>
    <t xml:space="preserve">TSel Alignment Sales06628   BNINIDJA/RADIATUL ADAWIYAH </t>
  </si>
  <si>
    <t>TSel Alignment Sales06629  BNINIDJA/ULFA SARTIKA</t>
  </si>
  <si>
    <t>TSel Alignment Sales06631    BNINIDJA/RINO OKTABRILA</t>
  </si>
  <si>
    <t xml:space="preserve">TSel Alignment Sales06630  BNINIDJA/EKA PUTRIANA </t>
  </si>
  <si>
    <t xml:space="preserve">TSel Alignment Sales  BNINIDJA/DINA YULIANTARI </t>
  </si>
  <si>
    <t>BRI FGD Semarang Kom MCM InhouseTrf CS-CS  KE ROBERTUS BELLARMINO DHANY AS</t>
  </si>
  <si>
    <t xml:space="preserve">TSel Reach Beyond Ar 06594  MCM InhouseTrf  KE PANTRAVEL </t>
  </si>
  <si>
    <t>TSel Reach Beyond Ar06449  BSMDIDJA/AULIA AYU ASYURA</t>
  </si>
  <si>
    <t xml:space="preserve">TSel Reach Beyond Ar 06623  MCM InhouseTrf  KE PANTRAVEL </t>
  </si>
  <si>
    <t xml:space="preserve">TSel Reach Beyond Ar06558  BSMDIDJA/AULIA AYU ASYURA </t>
  </si>
  <si>
    <t xml:space="preserve">TSel Reach Beyond Ar06601 BSMDIDJA/AULIA AYU ASYURA </t>
  </si>
  <si>
    <t>TSel Reach Beyond Ar 06603   BSMDIDJA/AULIA AYU ASYURA</t>
  </si>
  <si>
    <t xml:space="preserve">TSel Reach Beyond Ar 06602  BSMDIDJA/AULIA AYU ASYURA </t>
  </si>
  <si>
    <t>Telkomsel Ground Check Implementasi Program HH GTM</t>
  </si>
  <si>
    <t xml:space="preserve">TSel Ground Check Im 06690  MCM InhouseTrf  KE PANTRAVEL </t>
  </si>
  <si>
    <t>TSel Focus Act Pay U 06674  BSMDIDJA/AULIA AYU ASYURA</t>
  </si>
  <si>
    <t xml:space="preserve">TSel Reach Beyond Ar 06643 MCM InhouseTrf  KE PANTRAVEL </t>
  </si>
  <si>
    <t>TSel Sosialisasi Tra 06686 MCM InhouseTrf  KE FAUZAN ZAMZAMI</t>
  </si>
  <si>
    <t xml:space="preserve">TSel Reach Beyond Ar 06673  BSMDIDJA/AULIA AYU ASYURA </t>
  </si>
  <si>
    <t xml:space="preserve">TSel Ground Check Im 06645  MCM InhouseTrf  KE PANTRAVEL </t>
  </si>
  <si>
    <t>TSel Reach Beyond Ar 06692 MCM InhouseTrf  KE PANTRAVEL</t>
  </si>
  <si>
    <t>Telkomsel Singtel Forum - Store in Grapari Singapura Nov 2025</t>
  </si>
  <si>
    <t>TSel Singtel Forum-S06648  BNINIDJA/AZHIRA SALZABILLA MAHESWARI</t>
  </si>
  <si>
    <t xml:space="preserve">TSel Reach Beyond Ar 06662   MCM InhouseTrf  KE PANTRAVEL </t>
  </si>
  <si>
    <t xml:space="preserve">BSI KunKer BAKN Pang 06691   MCM InhouseTrf  KE PANTRAVEL </t>
  </si>
  <si>
    <t xml:space="preserve">TSel Reach Beyond Ar 06693   MCM InhouseTrf  KE PANTRAVEL </t>
  </si>
  <si>
    <t>BSI KunKer BAKN Pang 06647   MCM InhouseTrf  KE PANTRAVEL</t>
  </si>
  <si>
    <t>BRI FGD Smg Kom XI,  06778 06778 MCM InhouseTrf CS-CS  KE ROBERTUS BELLARMINO DHANY AS</t>
  </si>
  <si>
    <t>TSel Ground Check Im 06786  MCM InhouseTrf  KE TJAHAYA</t>
  </si>
  <si>
    <t xml:space="preserve">BRI FGD Smg Kom XI,  06736    MCM InhouseTrf  KE PANTRAVEL </t>
  </si>
  <si>
    <t xml:space="preserve">TSel Reach Beyond Ar06700  BSMDIDJA/AULIA AYU ASYURA </t>
  </si>
  <si>
    <t>TSel Reach Beyond Ar06804   BSMDIDJA/AULIA AYU ASYURA</t>
  </si>
  <si>
    <t xml:space="preserve">TSel FBP West Area,  06791  MCM InhouseTrf  KE PANTRAVEL </t>
  </si>
  <si>
    <t xml:space="preserve">Himbara KunKer Batam 06772   MCM InhouseTrf  KE PANTRAVEL </t>
  </si>
  <si>
    <t xml:space="preserve">TSel Ground Check Im 06789  MCM InhouseTrf  KE PANTRAVEL </t>
  </si>
  <si>
    <t xml:space="preserve">TSel Leaders Mtg Q4  MCM InhouseTrf  KE PANTRAVEL </t>
  </si>
  <si>
    <t xml:space="preserve">TSel Ground Check Im 06699  MCM InhouseTrf  KE PANTRAVEL </t>
  </si>
  <si>
    <t>TSel Securing Target SM1 - 29-30Mei IFT_TO_SENTRAL THETA JAYA</t>
  </si>
  <si>
    <t>TSel Townhall NW Q2 Tix Citilink CGKPKU IFT_TO_NOVLI FELISIA SITUMO</t>
  </si>
  <si>
    <t>penyewaan ruangan fullday meeting TLT Lt 7 tgl 29 April 2025 : Indofood Court</t>
  </si>
  <si>
    <t>Snack Meeting 29 April 2025</t>
  </si>
  <si>
    <t>Parkir Valey 29 April 2025</t>
  </si>
  <si>
    <t>Pembayaran Upgrade Room Kamar a/n Muh Saleh Usman</t>
  </si>
  <si>
    <t xml:space="preserve">Kap Risol </t>
  </si>
  <si>
    <t xml:space="preserve">Piring, Sendok, Garpu Plastik Dan Kertas Nasi </t>
  </si>
  <si>
    <t>Makan malam + minum (ableh &amp; odhey) - loading</t>
  </si>
  <si>
    <t>Tipping security loading in</t>
  </si>
  <si>
    <t>Taxi dari kantor TLT - kantor (pulang loading)</t>
  </si>
  <si>
    <t>Gocar Kosan - Kantor TLT (event)</t>
  </si>
  <si>
    <t>Taxi dari kantor TLT - kantor (pulang event)</t>
  </si>
  <si>
    <t>Tipping security loading out</t>
  </si>
  <si>
    <t>Biaya Reschedule Tiket Pelita Air an I Wayan PKU - CGK</t>
  </si>
  <si>
    <t>Biaya Ongkir Bajaj - Pengiriman 25 pcs Keranjang Anyaman dari Mayestik</t>
  </si>
  <si>
    <t>Pembelian Goody Bag</t>
  </si>
  <si>
    <t>Pembelian Nestle di TSO dan Biaya Manpower</t>
  </si>
  <si>
    <t>Amplop Coklat</t>
  </si>
  <si>
    <t>Biaya Bensin, Parkir dan makan Pak Ableh - Produksian</t>
  </si>
  <si>
    <t>Bensin mobil Alex, 5Nov 2025</t>
  </si>
  <si>
    <t>Parkir Inap Bandara CGK - Alex, 6-7Nov 2025</t>
  </si>
  <si>
    <t>Cetak Laporan Mandiri FGD Banten</t>
  </si>
  <si>
    <t>Traveloka3Ds-1224883446 - Inv 1224883446 tiket an. Agus</t>
  </si>
  <si>
    <t>Traveloka3Ds-1224882239 - inv 1224882239 tiket an. Agus</t>
  </si>
  <si>
    <t>Traveloka3Ds-1224897124 - inv 1224897124 tiket an. Franky</t>
  </si>
  <si>
    <t>Traveloka3Ds-1224897064 - inv 1224897064 tiket an. Guntur</t>
  </si>
  <si>
    <t>Hotel Aryaduta Palembang - Room &amp; Bfast Hotel Aryaduta Palembang 3 rooms 12-14 Feb 2025</t>
  </si>
  <si>
    <t>Traveloka3Ds-1226887382 - inv 1226887382 tiket an. M Saleh</t>
  </si>
  <si>
    <t>Traveloka3Ds-1226884869 - Inv 1226884869 tiket an. Agus</t>
  </si>
  <si>
    <t>Traveloka3Ds-1227253219 - inv 1227253219 tiket an. M saleh</t>
  </si>
  <si>
    <t>Tiket.Com - Hotel Axana Padang 26-28 Feb 2025 an Dony Arlian Nst</t>
  </si>
  <si>
    <t>Tiket.Com - Hotel Ayani Aceh 11-13 Mar 2025 an Fridolin Silalahi</t>
  </si>
  <si>
    <t>Tiket.Com - Hotel Ayani Aceh 11-13 Mar 2025 an Surya Hamdani</t>
  </si>
  <si>
    <t>Tiket.Com - Hotel Ayani Aceh 11-13 Mar 2025 an Nurdianto</t>
  </si>
  <si>
    <t>Traveloka3Ds-1234379185 - inv 1234379185 tiket an. Hendri</t>
  </si>
  <si>
    <t>Traveloka3Ds-1235237028 - Inv 1235237028 tiket an. Nugroho</t>
  </si>
  <si>
    <t>Pelita Air-Ipg - FOFRCF tiket an. Wawan, Alya : WA FA 15-Dec-25 – PV 04543/ 13Mar 2025 – Telkomsel Safari Ramadhan BOD Aceh – Pekanbaru 2025</t>
  </si>
  <si>
    <t>Pelita Air-Ipg : Info Praja 18-Dec - Telkomsel Safari Ramadhan BOD Aceh - Pekanbaru  2025</t>
  </si>
  <si>
    <t>Traveloka3Ds-1236628508 - inv 1236628508 tiket an. Hendri</t>
  </si>
  <si>
    <t>Traveloka3Ds-1236628508 - refund inv 1236628508 tiket an. Hendri</t>
  </si>
  <si>
    <t>Pelita Air-Ipg - Inv 000200566 tiket an. Nurdianto</t>
  </si>
  <si>
    <t>Tiket.Com - Hotel Ibis Style Serpong an Nurdianto 23-25 April 2025</t>
  </si>
  <si>
    <t>Pelita Air-Ipg - inv 000202130 tiket an. Hendri, Nurdianto</t>
  </si>
  <si>
    <t>Senyata Mbl - Fullday Meeting @Senyata Senopati tgl 28 Apr 2025</t>
  </si>
  <si>
    <t>Csz*Indifoodcourt-Kasi - Snack Meeting TLT tgl 29 April 2025 Bpk Yuli Haryadi</t>
  </si>
  <si>
    <t>Csz*Indifoodcourt-Waru - Snack Meeting TLT tgl 29 April 2025 Bpk Yuli Haryadi</t>
  </si>
  <si>
    <t>Csz*Indifoodcourt-Drin - Snack Meeting TLT tgl 29 April 2025 Bpk Yuli Haryadi</t>
  </si>
  <si>
    <t>Csz*Indifoodcourt-Depo - Snack Meeting TLT tgl 29 April 2025 Bpk Yuli Haryadi</t>
  </si>
  <si>
    <t>Pelita Air-Ipg</t>
  </si>
  <si>
    <t>Tiket.Com - room and bfast Hotel Amaris Bengkulu 12-13 Mei 2025 an Beni Asmara &amp; Alya Solehat ( total 2 kamar)</t>
  </si>
  <si>
    <t xml:space="preserve">Tiket.Com - Hotel Aston Palembang 15-16 Mei 2025 an Muhammad Saleh Usman </t>
  </si>
  <si>
    <t>Tiket.Com - Hotel Aston Palembang 15-16 Mei 2025 an Nugroho Adi Wibowo</t>
  </si>
  <si>
    <t>Tiket.Com - Hotel Fave Palembang 15-16 Mei 2025 an Hadi Prastya Utama</t>
  </si>
  <si>
    <t>Tiket.Com - Hotel Aston Palembang 15-16 Mei 2025 an Muhammad Saleh Usman switch to Hendri M Tarigan</t>
  </si>
  <si>
    <t>Traveloka3Ds-1253088798 - inv 1253088798 tiket an. Ari , Agra</t>
  </si>
  <si>
    <t>Tiket.Com - Hotel Mercure Gatsu 19-22 Mei 2025 an Ari Pariski @Rp.1.523.273,-</t>
  </si>
  <si>
    <t>Pelita Air-Ipg - Inv 000211606 tiket an. Andri</t>
  </si>
  <si>
    <t>Tokopedia - Invoice Kursi Bar 6 pcs</t>
  </si>
  <si>
    <t>Mercure Jakarta Gatot Sub - Hotel Mercure gatsu Jkt 25-27 Mei 2025 total 4 Kamar 2 malam Telkomsel Grp</t>
  </si>
  <si>
    <t>Tokopedia - invoice tissue roll minyak</t>
  </si>
  <si>
    <t>Pelita Air-Ipg - inv 000212001 tiket an. Jakson</t>
  </si>
  <si>
    <t>Pelita Air-Ipg - inv CHOGMG tiket an. Wahyu</t>
  </si>
  <si>
    <t>Pelita Air-Ipg - inv 000212003 tiket an. Mustakim</t>
  </si>
  <si>
    <t>Pelita Air-Ipg - inv 000211929 tiket an. Mulya, Yuli</t>
  </si>
  <si>
    <t>Pelita Air-Ipg - inv 000211944 tiket an. Alfon, Agung, Fachrul, Fahmy, Erric</t>
  </si>
  <si>
    <t>Tiket.Com - Hotel Santika premiere Padang an Raulni Ghandi 26-27 Mei 2025</t>
  </si>
  <si>
    <t>Indomaret - Invoice Piring kertas</t>
  </si>
  <si>
    <t>Indomaret - Invoice Minyak Goreng</t>
  </si>
  <si>
    <t>Gojek Recurring Non3Ds - Gosend return Sewa baju adat</t>
  </si>
  <si>
    <t>Tiket.Com - Hotel Santika Bukittinggi An Aswar 28 -29 Mei 2025</t>
  </si>
  <si>
    <t>Tiket.Com - Hotel Santika Bukittinggi An Herul Hidayatullah 28-29 Mei 2025</t>
  </si>
  <si>
    <t>Tiket.Com - Hotel Santika Bukittinggi An Rendy 28-29 Mei 2025</t>
  </si>
  <si>
    <t>Pelita Air-Ipg - inv 000212956 tiket an. Mustakim</t>
  </si>
  <si>
    <t>Pelita Air-Ipg - inv 000213011 tiket an. Herul</t>
  </si>
  <si>
    <t>Tiket.Com - Hotel Santika Bukittinggi An Mustakim Wahyudi 28 -29 Mei 2025</t>
  </si>
  <si>
    <t>Tiket.Com - Hotel Santika Padang an Jackson Sihombing 29-30 Mei 2025</t>
  </si>
  <si>
    <t>Tiket.Com - Hotel Santika Medan 11-13 Jun 2025 an Ali AKbar Rafsanjani</t>
  </si>
  <si>
    <t>Tiket.Com - Hotel Santika Medan 11-13 Jun 2025 an Vivi Oktaviani Damanik</t>
  </si>
  <si>
    <t>Citilink Mobile Apps - Inv T95676 pembayaran block seat an. Agus</t>
  </si>
  <si>
    <t>Tiket.Com - favehotel Medan 11-13 Jun 2025 an Hendra Irawan</t>
  </si>
  <si>
    <t>Tiket.Com - favehotel Medan 11-13 Jun 2025 an Hotma Eduard HT</t>
  </si>
  <si>
    <t>Tiket.Com - favehotel Medan 11-13 Jun 2025 an Perdana Candra Desusetyo</t>
  </si>
  <si>
    <t>Tiket.Com - favehotel Medan 11-13 Jun 2025 an Alya Solehat</t>
  </si>
  <si>
    <t>Tiket.Com - favehotel Medan 11-13 Jun 2025 an Agus Sugiarto</t>
  </si>
  <si>
    <t>Tiket.Com - Hotel Aston Tanjung Pinang 13-14 Jun 2025 an Muh Saleh Usman</t>
  </si>
  <si>
    <t xml:space="preserve">Tiket.Com - Hotel Aston Tanjung Pinang 13-14 Jun 2025 an Hadi P Utama	</t>
  </si>
  <si>
    <t xml:space="preserve">Tiket.Com - Hotel Aston Tanjung Pinang 14-15 Jun 2025 an Agus Sugiarto	</t>
  </si>
  <si>
    <t>Tiket.Com - Hotel Aston Tanjung Pinang 13-14 Jun 2025 an Nugroho Adi Wibowo</t>
  </si>
  <si>
    <t>Tiket.Com - Hotel Santika Medan 11-12 Jun 2025 an Arinda Layla Alfira</t>
  </si>
  <si>
    <t>Tiket.Com - Hotel Santika Medan 11-12 Jun 2025 an Aulia Ayu Asyura</t>
  </si>
  <si>
    <t>Tiket.Com - Hotel Aston Tanjung Pinang 13-14 Jun 2025 an Agus Sugiarto</t>
  </si>
  <si>
    <t>Tiket.Com - Hotel Aston Tanjung Pinang 14-15 Jun 2025 an Hadi P Utama</t>
  </si>
  <si>
    <t>Tiket.Com - Hotel Aston Tanjung Pinang 14-15 Jun 2025 an Muh Saleh Usman</t>
  </si>
  <si>
    <t>Tiket.Com - Hotel Aston Tanjung Pinang 14-15 Jun 2025 an Nugroho Adi Wibowo</t>
  </si>
  <si>
    <t>Traveloka3Ds-1260254273 - inv 1260254273 tiket an. Maulydia</t>
  </si>
  <si>
    <t xml:space="preserve">Tiket.Com - Hotel Santika Medan 14-15 Jun 2025 an Wahyu Gunawan	</t>
  </si>
  <si>
    <t>Tiket.Com - Hotel Santika Medan 14-15 Jun 2025 an Maulydia Trivania</t>
  </si>
  <si>
    <t>Tiket.Com - Hotel Mercure Gatsu JKt 18-19 Jun 2025 an Fachrul Rizzal</t>
  </si>
  <si>
    <t>Tiket.Com - Deviasi an Fachrul Rizzal 19-20 jun 2025 ( Hotel Mercure Gatsu JKT)</t>
  </si>
  <si>
    <t>Tiket.Com - Hotel Mercure Gatsu JKT 22-25 Jun 2025 an Rizal Nur Andy &amp; Habyasa Perdana Putra</t>
  </si>
  <si>
    <t>Tiket.Com - Hotel D Prima Airport Terminal 1A Jakarta , 25 - 26 Jun 2025 an Mustakim Wahyudi</t>
  </si>
  <si>
    <t>Pelita Air-Ipg - inv 000223193 tiket an. Yuli</t>
  </si>
  <si>
    <t>Pelita Air-Ipg  - inv 000223377 tiket an. Mustakim</t>
  </si>
  <si>
    <t>Pelita Air-Ipg - Inv 000223276 tiket an. Mustakim</t>
  </si>
  <si>
    <t xml:space="preserve">Tiket.Com - Hotel Mercure Gatsu Jakarta an Akhdiat Suryana 17-18 Jul 2025	</t>
  </si>
  <si>
    <t>Tiket.Com - Invoice 1  Ade Firmansyah</t>
  </si>
  <si>
    <t>Tiket.Com - Inv 2 Andri Robiyana</t>
  </si>
  <si>
    <t>Traveloka3Ds-1272262882 - inv 1272262882 tiket an. Zulhelmi</t>
  </si>
  <si>
    <t>Traveloka3Ds-1272263570 - inv 1272263570 tiket an. Hollyanto</t>
  </si>
  <si>
    <t>Traveloka3Ds-1272270892 - inv 1272270892 tiket an. Anwirman</t>
  </si>
  <si>
    <t>Traveloka3Ds-1272271353 - inv 1272271353 tiket an. Mario</t>
  </si>
  <si>
    <t>Traveloka3Ds-1272271592 - inv 1272271592 tiket an. Jaya</t>
  </si>
  <si>
    <t>Traveloka3Ds-1272279809 - inv 1272279809 tiket an. Rylo</t>
  </si>
  <si>
    <t>Tiket.Com - Hotel The Premiere Pekanbaru 04-06 Aug 2025 an Mustakim Wahyudi type Executive Room</t>
  </si>
  <si>
    <t>Pelita Air-Ipg - inv 000250495 tiket an Hendri</t>
  </si>
  <si>
    <t>Traveloka3Ds*1276181885 - Hotel Kaliki Nias 15-18 Aug 2025 an Nurdianto</t>
  </si>
  <si>
    <t>Traveloka3Ds*1276237938 - Hotel Kaliki Nias 15-18 Aug 2025 an Ari Fariski</t>
  </si>
  <si>
    <t>Tiket.Com - Hotel Mercure Gatsu 14-15 Aug 2025 an Bambang Prayogi</t>
  </si>
  <si>
    <t>Tiket.Com - Hotel The Premiere Pekanbaru 20 -22 Aug (2 kamar) an Nugroho Adi Wibowo &amp; Muhammad Saleh Usman , periode 21 - 22 Aug 2025 (1 kamar) an Hendri Morelta Tarigan</t>
  </si>
  <si>
    <t>Telkomsel Meeting Procurement Q2 2025</t>
  </si>
  <si>
    <t>Tiket.Com - Hotel Kuretakeso Kemang Jakarta Ci 25-27 Aug 2025 an Saifuzzuhri &amp; Heru Mursalin</t>
  </si>
  <si>
    <t>Tiket.Com - Hotel Swissbell Lampung 27-29 AUg 2025 an Budi Kusuma</t>
  </si>
  <si>
    <t>Pelita Air-Ipg - inv 000258584 tiket an Mulya</t>
  </si>
  <si>
    <t>Tiket.Com - Hotel Azana Boutique Bandar Lampung 28-29 Aug 2025 an Fachrul Rizzal</t>
  </si>
  <si>
    <t>Tiket.Com - Hotel d'primahotel Airport Jakarta Terminal 1A 27 - 28 Aug 2025 an Fachrul Rizzal</t>
  </si>
  <si>
    <t>Pelita Air-Ipg : Info Praja 18-Dec - Refund Telkomsel O&amp;M Consolidation Tahap 2</t>
  </si>
  <si>
    <t>Tiket.Com - Hotel Mercure Gatsu Jakarta 03-04 Sept 2025 an Fachrul Rizzal</t>
  </si>
  <si>
    <t>Tiket.Com - Hotel Selecta Medan 10-12 Sept 2025 (2 malam) an Yogi &amp; Rizky Aulia</t>
  </si>
  <si>
    <t>Tokopedia - Pembelian LM Antam 10 Gr</t>
  </si>
  <si>
    <t>Gojek Recurring Non3Ds - Transport Yogi to Aiirport Soetta</t>
  </si>
  <si>
    <t xml:space="preserve">Tiket.Com - Hotel Selecta Medan 09-11 Sept 2025 an Yog &amp; Rizky (reschedule)	</t>
  </si>
  <si>
    <t>Tiket.Com - Hotel Aston Nagoya Batam (2 kamar) 10-12 Sept 2025 an Josia Prananta Tarigan &amp; Eko Widyatmoko</t>
  </si>
  <si>
    <t>Gojek Recurring Non3Ds - pembelian meals pagi untuk Crew Show management , runner, driver dan Band</t>
  </si>
  <si>
    <t>Gojek Recurring Non3Ds - pembelian meals siang untuk Crew Show management , runner, driver dan Band</t>
  </si>
  <si>
    <t>Gojek Recurring Non3Ds - Gocar Hotel Selecta Medan - Stasiun Kereta Medan tgl 11 Sept 2025</t>
  </si>
  <si>
    <t>Tiket.Com - Hotel Neo+ Airport Jakarta 14-15 Sept 2025 an I Putu Eka Udayana Rudita</t>
  </si>
  <si>
    <t>Tiket.Com - Hotel Mercure Gatsu Jakarta 15-16 Sept 2025 an Fachrul Rizzal</t>
  </si>
  <si>
    <t>Traveloka3Ds-1284709231 - inv 1284709231 tiket an Muzlin</t>
  </si>
  <si>
    <t>Traveloka3Ds-1285120806 - inv 1285120806 tiket an. I Putu</t>
  </si>
  <si>
    <t>Traveloka3Ds-1285120642 - inv 1285120642 tiket an. Nugroho dengan pinaltu atas pembatalan</t>
  </si>
  <si>
    <t>Tiket.Com - Tiket Air Asia TKG CGK 18 Sept an Nugroho Adi Wibowo</t>
  </si>
  <si>
    <t>Tiket.Com - Hotel Hermes Aceh 18 -19 Sept an Ahson Masud dan Franky Tumbelaka ( 2 kamar )</t>
  </si>
  <si>
    <t>Pelita Air-Ipg - inv 000266530 tiket an Franky</t>
  </si>
  <si>
    <t>Pelita Air-Ipg - inv 000266537 tiket an Ahson</t>
  </si>
  <si>
    <t>Traveloka3Ds-1285120642 retur tiket an. Nugroho dengan pinaltu atas pembatalan</t>
  </si>
  <si>
    <t>Tiket.Com - Invoice an Fredy Siburian</t>
  </si>
  <si>
    <t>Tiket.Com - Invoice an Franky</t>
  </si>
  <si>
    <t>Tiket.Com - Hotel Amaris Palembang 24-25 Sept 2025 (Total 4 kamar) , an Randy , Mita, Irfan, Syafriadi</t>
  </si>
  <si>
    <t>Tiket.Com - Hotel Amaris Palembang Deviasi / extend 25 -26 Sept 2025 an Randy , Mita, Irfan , Syafriadi total 4 kamar</t>
  </si>
  <si>
    <t>Pelita Air-Ipg - inv 000269549 tiket an Nurdianto</t>
  </si>
  <si>
    <t>Pelita Air-Ipg : Info Praja 18-Dec - Telkomsel O&amp;M Consolidation Tahap 2</t>
  </si>
  <si>
    <t>Tiket.Com - Hotel Swissbell Cawan Jakarta 28- 29 Sept 2025 an I Putu Eka Udayana Rudita</t>
  </si>
  <si>
    <t>Pelita Air-Ipg - inv 000269844 tiket an. Fauzan</t>
  </si>
  <si>
    <t>Pelita Air-Ipg - inv 000269837 tiket an I wayan</t>
  </si>
  <si>
    <t>Tiket.Com - Hotel Mercure Gatsu Jakarta 28 - 29 Sept 2025 an Muhammad Ilham</t>
  </si>
  <si>
    <t>PELITA AIR-IPG JAKARTA ID -Pelita Air inv 000272338, 000272346, 000272361, 000272390, 000272447, 000272450, 000927249 tiket 7 pax</t>
  </si>
  <si>
    <t>PELITA AIR-IPG JAKARTA ID : WA Praja Tgl 11-Jan-26 - Untuk refund pelita Telkomsel O&amp;M Consolidation tahap 2 Pak</t>
  </si>
  <si>
    <t>PELITA AIR-IPG JAKARTA ID - Pelita Air inv 000272338, 000272346, 000272361, 000272390, 000272447, 000272450, 000927249 tiket 7 pax</t>
  </si>
  <si>
    <t>PELITA AIR-IPG JAKARTA ID - inv 000269010, 000269006 tiket an Franky, Freddy</t>
  </si>
  <si>
    <t>Retail IDN JAKARTA UTARA MERCURE JAKARTA - Meeting Private Senior Leader PIK tgl 20 Oct 2025</t>
  </si>
  <si>
    <t xml:space="preserve">Retail IDN JAKARTA BARAT TIKET.COM </t>
  </si>
  <si>
    <t>Retail IDN TANGERANG KOT ESPAY*CITILINK - Pembayaran block seat citilink an Ahson, franky</t>
  </si>
  <si>
    <t>Retail IDN JAKARTA Traveloka3DS-1297609033 - Telkomsel Single Forum - Store in Gaprari Sinagpura Nov 2025"</t>
  </si>
  <si>
    <t>Retail IDN JAKARTA Traveloka3DS-1298036437 -  Telkomsel SIngtel Forum - Store in Grapari Singapura Nov 2025"</t>
  </si>
  <si>
    <t>Retail IDN JAKARTA Traveloka3DS-1298115094 - Telkomsel SIngtel Forum - Store in Grapari Singapura Nov 2025</t>
  </si>
  <si>
    <t>Retail IDN Tangerang (K PT INDONESIA AIR - Airasia 350919240607 - Telkomsel Reach Beyond Area Sumatera 2025</t>
  </si>
  <si>
    <t>Retail IDN Jakarta Tokopedia - Tokopedia - Pembelian Dodol Ny Lauw 75 Pcs</t>
  </si>
  <si>
    <t>Retail IDN Jakarta Tokopedia - Tokopedia - Pembelian tambahan 15 Pcs Dodol Ny Lauw</t>
  </si>
  <si>
    <t>Retail IDN Jakarta Tokopedia - Whoosh - inv GA29432490 tiket an. Vivi, Sri, Dedih</t>
  </si>
  <si>
    <t>Retail IDN JAKARTA SELAT GOJEK RECURRING - Gofood - Pembelian Kopi Fore 10 cup Late untuk tgl 11 Nov TLT lanrai 20</t>
  </si>
  <si>
    <t>Retail IDN JAKARTA HB MAMPANG II - Holland Bakery Mampang - Pengadaan Snack Box untuk di TLT lantai 20 tgl 11 Nov 2025 total 10 snackbox</t>
  </si>
  <si>
    <t>Retail IDN JAKARTA PELITA AIR-IPG - HOTEL DI MEGAMENDUNG - Pembayaran hotel utk team 16-17 Nov</t>
  </si>
  <si>
    <t>The Premiere Ho*000063625Pekanbaru Id - Room &amp; bfat 4 rooms (1exec+3Sup ) twn 04-08 Aug 2025 ( Nugroho Adi Wibowo, M Saleh Usman, Hendri M Tarigan , I Putu Eka Udayana )</t>
  </si>
  <si>
    <t xml:space="preserve">The Premiere Ho*000063631Pekanbaru Id - Hotel The Premiere Pekanbaru 04-05 Agustus 2025 an Yuli Haryadi	</t>
  </si>
  <si>
    <t>Adimulia Hotel - Ho Medan - Pelunasan halfday meeting 267 paxs 10 Sept 2025 dan 8 rooms 9-12 Sept 2025 Telkomsel Grp</t>
  </si>
  <si>
    <t>Adimulia Hotel - Ho Medan - Dinner day 2 - 10 Sept 2025 di Hotel Adimulia Medan</t>
  </si>
  <si>
    <t>Pilastro Signature -Ho Medan - Dinner Day 02 (10 Sept 25) @ Pilastro Signature</t>
  </si>
  <si>
    <t>HOTEL SANTIKA BATAM-HO BATAM - Pelunasan Hotel dan paket dinner</t>
  </si>
  <si>
    <t>WEY WEY PALACE BATAM - Pembayaran makan malam Telkomsel Region dan VIP</t>
  </si>
  <si>
    <t>HOODS COFFEE-HO BATAM - Bayar Makan Malam VIP dan Regional Tsel</t>
  </si>
  <si>
    <t>HOTEL SANTIKA BATAM-HO BATAM - Pembayaran 3 malam utk Extra bed dan 1 malam tambahan as per rqst TSEL</t>
  </si>
  <si>
    <t>TIKET.COM Jakarta PusatID - Hotel Grand City Hall Medan 2 kamar tgl 08 -10 Okt 2025 an Mirza Fachlevy &amp; Desti Sadene</t>
  </si>
  <si>
    <t>TIKET.COM Jakarta PusatID - Hotel d'Primahotel Kualanamu Airport Medan 13-14 Okt 2025 an Fadlan Azmi</t>
  </si>
  <si>
    <t>TIKET.COM Jakarta PusatID - Favehotel Olo Padang 13-14 Okt 2025 an Muhammad Ridho Simatupang</t>
  </si>
  <si>
    <t>XDT*PALAM MANSION https://wwwxeID - Apartemen One Residence Batam 13-17 Okt 2025 an Wahyu Gunawan</t>
  </si>
  <si>
    <t>HARRIS HOTEL BA*000031944BATAM ID - Room adn Bfast 3 Kamar Speaker James Gwee dan asistant tgl 13-15 Oct 2025</t>
  </si>
  <si>
    <t>TIKET.COM Jakarta PusatID - Hotel Desatu Medan 19-20 Okt 2025 an Zulhelmi</t>
  </si>
  <si>
    <t>MORNING BAKERY GREENLAND Batam (Kota) ID - Pembelian Kopi Susu 50 cup untuk meeting lantai 3 breakout TSO Batam tgl 15 Okt 2025</t>
  </si>
  <si>
    <t>BATAMIA-HO BATAM ID - Pembelian Luti Gendang 3 Kotak isi 20 Pcs ( Tambahan Mbak Ayu )</t>
  </si>
  <si>
    <t>LAPIS MULIA GB BATAM KOT. ID - Pembelian LapisNo 1 Batam Bang Ican dan Pak Saki</t>
  </si>
  <si>
    <t>Traveloka3DS-1294318370 Jakarta ID - Tiket Citilink KNO CGK tgl 22 Oct an Henny Purweni &amp; Duma Sianipar</t>
  </si>
  <si>
    <t>HARRIS HOTEL BA*000044804BATAM ID - Harris Batam Centre Pembayaran 7 Kamar Tsel Grp 29 -31 Oct 2025</t>
  </si>
  <si>
    <t>HARRIS HOTEL BA*000045245BATAM ID - Telkomsel Dinner 29 Oct 2025 40 Paxs</t>
  </si>
  <si>
    <t>HOTEL THE EXCEL*000049290PALEMBANG ID - Hotel Excelton Palembang Room and Bfast 2 kamar 2 malam 3-5Nov 2025 an Agra Andhyka &amp; Muhammad Ilham</t>
  </si>
  <si>
    <t>HOTEL THE EXCEL*000049299PALEMBANG ID - Deviasi kamar tgl 06-07 Nov 2025 an Agra Andhyka Chandra dan Josia</t>
  </si>
  <si>
    <t>TIKET.COM Jakarta PusatID - Hotel harper Palembang 06-07 Nov 2025 (2 kamar ) an Agra Andhyika Chandra &amp; Muhammad Ilham</t>
  </si>
  <si>
    <t>TIKET.COM Jakarta PusatID - Hotel Fave Medan 05-08 Nov 2025 an Rio Ramadhan</t>
  </si>
  <si>
    <t>TIKET.COM Jakarta PusatID - Hotel Mercure Gatsu Jakarta 09-11 Nov 2025 ( 2 kamar) an Ari Farizki &amp; Josia Prananta Tarigan</t>
  </si>
  <si>
    <t>TIKET.COM Jakarta PusatID - Hotel Mercure Gatsu 09-11 Nov 2025 an Jackson Sihombing</t>
  </si>
  <si>
    <t>MERCURE JAKARTA*000060296JAKARTA SLT ID - Hotel Mercure Gatot Subroto Jakarta Room and Bfast 17-19 Nov 2025 an Fachrul Rizzal</t>
  </si>
  <si>
    <t>SOLITAIRE HOTEL INDONE TANGERANG KAB - BBM B 2313 BRN, 29 Oct 2025</t>
  </si>
  <si>
    <t>ALFAMRT T893 MDRS MEND TANGERANG - Indomaret dan Alfamart - Pembelian permen Fisherman utk semua peserta FGD</t>
  </si>
  <si>
    <t>IDM T9W2-KEBAYORAN LAM TANGERANG - Indomaret dan Alfamart - Pembelian permen Fisherman utk semua peserta FGD</t>
  </si>
  <si>
    <t>INDOMARET TWKZ - MEDRI Tangerang (Ka - Indomaret dan Alfamart - Pembelian permen Fisherman utk semua peserta FGD</t>
  </si>
  <si>
    <t>PIGMA TANGERANG - Pembayaran print materi OJK</t>
  </si>
  <si>
    <t>RM PAYAKUMBUAH GADING TANGERANG KOT - Beli makan siang team PCMI dan PIC Mandiri</t>
  </si>
  <si>
    <t>SOLITAIRE HOTEL INDONE TANGERANG </t>
  </si>
  <si>
    <t>Gojek ke Rumah Komeng- TSO</t>
  </si>
  <si>
    <t>Gojek ke TSO - Rumah Komeng</t>
  </si>
  <si>
    <t>Meals komeng</t>
  </si>
  <si>
    <t>Gojek ke Rumah Komeng- Hotel Mercure</t>
  </si>
  <si>
    <t>Gojek ke Hotel Mercure - Rumah Komeng</t>
  </si>
  <si>
    <t>Meals Siang 2 Pax</t>
  </si>
  <si>
    <t>Print Table menu + Cutting Art Carton</t>
  </si>
  <si>
    <t xml:space="preserve">Gojek Table menu </t>
  </si>
  <si>
    <t>Bensin ambil baju adat</t>
  </si>
  <si>
    <t xml:space="preserve">Parkir  </t>
  </si>
  <si>
    <t>Beli roti kadet rolls 54 pcs</t>
  </si>
  <si>
    <t>Gosend umbul" booth</t>
  </si>
  <si>
    <t>Sewa kaleng kerupuk untuk dekorasi 2 pcs</t>
  </si>
  <si>
    <t>Meals malam - nasi padang 4 pax</t>
  </si>
  <si>
    <t>Gojek dodol</t>
  </si>
  <si>
    <t>Lakban Bening</t>
  </si>
  <si>
    <t>Kapur tulis</t>
  </si>
  <si>
    <t>Cetak sticker 300X60</t>
  </si>
  <si>
    <t>Sewa HT 1day (5 x @30.000)</t>
  </si>
  <si>
    <t>Gojek sticker</t>
  </si>
  <si>
    <t>Otak - Otak Vacum 200 pcs</t>
  </si>
  <si>
    <t>Ketam Is 350 gr (7 x 99.000)</t>
  </si>
  <si>
    <t>Biaya Pengiriman JNE Express otak-otak dan ketam</t>
  </si>
  <si>
    <t>Keripik Pisang Coklat</t>
  </si>
  <si>
    <t>Biaya Admin Linkaja</t>
  </si>
  <si>
    <t>Dodol (1200k), Kue dan kopi sisip (140k) + Pengiriman (110k)</t>
  </si>
  <si>
    <t>biaya transfer</t>
  </si>
  <si>
    <t>Cetak Bendera Satin 40cm x 3 m (BB) 2 pcs</t>
  </si>
  <si>
    <t xml:space="preserve">Stempel Mie Balap </t>
  </si>
  <si>
    <t>Kopi Tarik 200 cup + 2 crew</t>
  </si>
  <si>
    <t>Sate Padang Uda Kanduang 15 porsi req pak yuli GM</t>
  </si>
  <si>
    <t>Gosend Sate Padang Uda Kanduang</t>
  </si>
  <si>
    <t>Gosend Stampel Mie balap</t>
  </si>
  <si>
    <t xml:space="preserve">Standing Pouch Ziplock </t>
  </si>
  <si>
    <t>Kipas Pisang Super Jumbo 40 pcs</t>
  </si>
  <si>
    <t>Kripik sanjai, sala lauk, karakak, dakak</t>
  </si>
  <si>
    <t>Patin Fish Skin +Packing</t>
  </si>
  <si>
    <t>Uang Makan Event Cash @50.000 x 2 (Lunch n Dinner) Yogi, Odhey, Clara</t>
  </si>
  <si>
    <t>DP Pembayaran Cathering Event Indie Food Court</t>
  </si>
  <si>
    <t>Air Lemineral 330 ml (6 dus x Rp 38.000)</t>
  </si>
  <si>
    <t>Reimburse Pulsa telp callcenter TIKI untuk percepatan pengiriman Dodol</t>
  </si>
  <si>
    <t xml:space="preserve">cetakan mahkota die cut </t>
  </si>
  <si>
    <t>sewa topi dan selendang sumbat</t>
  </si>
  <si>
    <t xml:space="preserve">sewa kostum sepasang minangkabau </t>
  </si>
  <si>
    <t xml:space="preserve">Sewa Speaker </t>
  </si>
  <si>
    <t xml:space="preserve">Photographer dari client </t>
  </si>
  <si>
    <t xml:space="preserve">Gojek ke tempat sewa Topi dan selendang </t>
  </si>
  <si>
    <t>Bika Ambon , Bolu meranti dan selai</t>
  </si>
  <si>
    <t>biaya transfer  2x</t>
  </si>
  <si>
    <t>Bayar seragam event Townhall</t>
  </si>
  <si>
    <t xml:space="preserve">Makan Malam H-1 Wayang Café </t>
  </si>
  <si>
    <t xml:space="preserve">Makan Malam H-1 Shapire Lounge </t>
  </si>
  <si>
    <t>Transportasi Aulia Ayu to Bandara Soeta</t>
  </si>
  <si>
    <t>Beringin Tanjung Api-Api</t>
  </si>
  <si>
    <t>Pempek Candy</t>
  </si>
  <si>
    <t>Lokok Café Bandung</t>
  </si>
  <si>
    <t>Kopi Anjis</t>
  </si>
  <si>
    <t>Nasi Bancakan</t>
  </si>
  <si>
    <t>Teh Aba</t>
  </si>
  <si>
    <t>Bika Ambon Zulaikha</t>
  </si>
  <si>
    <t>Bolu Meranti</t>
  </si>
  <si>
    <t>Warung Humairoh S.S.K (Sop, Soto, Kari)</t>
  </si>
  <si>
    <t>Nelayan Kafe</t>
  </si>
  <si>
    <t>Kok Tong Express Kualanamu Airport</t>
  </si>
  <si>
    <t>Ichiban Sushi</t>
  </si>
  <si>
    <t>Hotel Kuretakeso Kemang</t>
  </si>
  <si>
    <t>Ayam Penyet Ria PS</t>
  </si>
  <si>
    <t>Pepper Lunch</t>
  </si>
  <si>
    <t>Jawara Roti &amp; Kue</t>
  </si>
  <si>
    <t>Asli Soto Medan 1930</t>
  </si>
  <si>
    <t>Mie Sop AbuDin</t>
  </si>
  <si>
    <t>K Kupi</t>
  </si>
  <si>
    <t>RM Gumarang Jaya 2</t>
  </si>
  <si>
    <t>Pempek Nabti Resto</t>
  </si>
  <si>
    <t>Kok Tong</t>
  </si>
  <si>
    <t>Fore Coffee</t>
  </si>
  <si>
    <t>Soto Tom and Jerry</t>
  </si>
  <si>
    <t>Kopikuni</t>
  </si>
  <si>
    <t>Hai Sushi</t>
  </si>
  <si>
    <t>Coffee Box Wahid Hasyim</t>
  </si>
  <si>
    <t>Moscot</t>
  </si>
  <si>
    <t>Terang Bulan Martabak Bangka</t>
  </si>
  <si>
    <t xml:space="preserve">Dara Kupi Medan </t>
  </si>
  <si>
    <t>Misop Gurilla</t>
  </si>
  <si>
    <t>Soto Medan 1930</t>
  </si>
  <si>
    <t>Lalapan Pojok Raya Panjaitan</t>
  </si>
  <si>
    <t>Kak Yus</t>
  </si>
  <si>
    <t>Martabak Har</t>
  </si>
  <si>
    <t>Sadah Teduh</t>
  </si>
  <si>
    <t>Snack dan Lunch MC 2 orang</t>
  </si>
  <si>
    <t xml:space="preserve">Pembelian Souvenir </t>
  </si>
  <si>
    <t xml:space="preserve">Sewa Topi Tanjak, Keris dan Ulos </t>
  </si>
  <si>
    <t xml:space="preserve">Meals Telkomsel di Santika Dyandra </t>
  </si>
  <si>
    <t>Meals Driver Telkomsel ( ampolp Tunai ) 2 hari @Rp.150K</t>
  </si>
  <si>
    <t xml:space="preserve">Taxi Airport ke Rumah (Yogi) - Penutupan jalan / alt routse </t>
  </si>
  <si>
    <t xml:space="preserve">Reimburse Ayu Meals Pisah Sambut </t>
  </si>
  <si>
    <t>Isi Flazz Rizky (Toll Airport)</t>
  </si>
  <si>
    <t>Wraping Bandara</t>
  </si>
  <si>
    <t>Beli Air Mineral 5 Dos</t>
  </si>
  <si>
    <t>Beli ATK &amp; Lakban</t>
  </si>
  <si>
    <t>Beli kertas A4 &amp; Kertas Photo</t>
  </si>
  <si>
    <t>Beli trashbag</t>
  </si>
  <si>
    <t>Beli Ballpoint Gel &amp; Amplop Batik untuk Penandatanganan</t>
  </si>
  <si>
    <t>Gosend Pengiriman Sewa Baju Adat Melayu untuk VIP</t>
  </si>
  <si>
    <t>Gosend Pengembalian Sewa Baju Adat Melayu untuk VIP</t>
  </si>
  <si>
    <t>Beli Kopi Team (Rizky, Yogi dan Team Show Management)</t>
  </si>
  <si>
    <t>Gosend Kopi</t>
  </si>
  <si>
    <t>Cetak Poster Albatros</t>
  </si>
  <si>
    <t>Gosend Cetakan Poster</t>
  </si>
  <si>
    <t>Tip Driver 2 Day (9 - 10 Sept 2025)</t>
  </si>
  <si>
    <t>Parkir Liar Mobil (Indomaret, Makan Malam at Wajir, Toko ATK, Beli Makan Siang Team, Makan Malam Peserta at Kopi Pilastro)</t>
  </si>
  <si>
    <t>Tip Bunquet &amp; Operator Sound System Hotel                                            (Payement via Kemal / Crew Loading)</t>
  </si>
  <si>
    <t>Parkir Inap Bandara Soeta</t>
  </si>
  <si>
    <t xml:space="preserve">Gocar Yogi to Airport </t>
  </si>
  <si>
    <t xml:space="preserve">Sewa Kursi Futura Tambahan 30 Pcs </t>
  </si>
  <si>
    <t xml:space="preserve">Seragam Uniqlo Bang Ari </t>
  </si>
  <si>
    <t xml:space="preserve">Monitor  MSI Pro Bang Naufal </t>
  </si>
  <si>
    <t xml:space="preserve">Morning Bakery Briefing Koordinasi Transportasi hari ke 2 </t>
  </si>
  <si>
    <t xml:space="preserve">Meeting Point Airport Kedatangan Peserta </t>
  </si>
  <si>
    <t xml:space="preserve">Jersey Bola </t>
  </si>
  <si>
    <t>Tiping Hiace 2 hari @Rp. 150.000 *8 unit Hiace</t>
  </si>
  <si>
    <t xml:space="preserve">Meals Driver Avanza  dan Cord Transport </t>
  </si>
  <si>
    <t xml:space="preserve">Meals Driver dan minum  13-15 Okt 2025 </t>
  </si>
  <si>
    <t xml:space="preserve">Tipping Avanza crew  5 hari </t>
  </si>
  <si>
    <t xml:space="preserve">Luti Gendang 1 Box tambahan oleh oleh </t>
  </si>
  <si>
    <t xml:space="preserve">Lapis no 1 Tambahan Oleh oleh </t>
  </si>
  <si>
    <t xml:space="preserve">Taxi Airport ke Rumah </t>
  </si>
  <si>
    <t>Inject Meals to 0811916244</t>
  </si>
  <si>
    <t>Inject Meals to 0811655566</t>
  </si>
  <si>
    <t>Inject Meals to 0811626234</t>
  </si>
  <si>
    <t>Inject Meals to 08116207457</t>
  </si>
  <si>
    <t>Inject Meals to 081190090119</t>
  </si>
  <si>
    <t>Inject Meals to 08127072006</t>
  </si>
  <si>
    <t>Inject Meals to 0811716663</t>
  </si>
  <si>
    <t>Inject Meals to 9903883534</t>
  </si>
  <si>
    <t xml:space="preserve">Pembelian Luti Gendang 15 Box dan Dus 5 buah </t>
  </si>
  <si>
    <t>Beli Luti Gendang Tsel - Yogi 7 Dus</t>
  </si>
  <si>
    <t>Beli Luti utk Herry Simbollon dan Saiful</t>
  </si>
  <si>
    <t xml:space="preserve">Bayar Makan Pak Saki dan Mba Ayu </t>
  </si>
  <si>
    <t xml:space="preserve">Tambahan Luti Gendang 2 Box </t>
  </si>
  <si>
    <t xml:space="preserve">Sewa Mixer </t>
  </si>
  <si>
    <t xml:space="preserve">Tiket Zulfahmi </t>
  </si>
  <si>
    <t>Beli Luti Gendang Tsel - Yogi</t>
  </si>
  <si>
    <t xml:space="preserve">Beli Air mineral </t>
  </si>
  <si>
    <t>Beli Luti sarapan GM Pak Saki</t>
  </si>
  <si>
    <t>Uang Makan Tunai utk James Gwee</t>
  </si>
  <si>
    <t>Tipping OB Tsel yg bersih2</t>
  </si>
  <si>
    <t xml:space="preserve">Beli Luti utk Mba Fai 2 box as per Yogi </t>
  </si>
  <si>
    <t>Pembayaran Wakil Ketua (1 orang @Rp. 15.000.000)</t>
  </si>
  <si>
    <t>Pembayaran Anggota (17 orang @Rp. 10.000.000)</t>
  </si>
  <si>
    <t>Pembayaran Setkom Kasubag (1 orang @Rp. 5.000.000)</t>
  </si>
  <si>
    <t>Pembayarab Setkom Staff (4 orang @Rp. 2.000.000)</t>
  </si>
  <si>
    <t>Gallery Batik Organik</t>
  </si>
  <si>
    <t>Madu &amp; Emping</t>
  </si>
  <si>
    <t>Tipping &amp; Toll Gosend (Mas Yogi)</t>
  </si>
  <si>
    <t>Tambahan Bandeng</t>
  </si>
  <si>
    <t>Cetak Table name di Snapy</t>
  </si>
  <si>
    <t>Cetak Produksian &amp; Printingan</t>
  </si>
  <si>
    <t>Paper Bag Batik</t>
  </si>
  <si>
    <t>Gosend ambil Paper bag Batik (Isi Gopay + admin 1.300)</t>
  </si>
  <si>
    <t>Paper Bag Batik (Salah Ukuran)</t>
  </si>
  <si>
    <t>Tambahan sate Bandeng (10 pcs)</t>
  </si>
  <si>
    <t>Tambahan madu emping (10pcs)</t>
  </si>
  <si>
    <t>Tambahan Tas Anyam (10pcs)</t>
  </si>
  <si>
    <t>Bayar Tas Anyam (5pcs)</t>
  </si>
  <si>
    <t>Payment add cost Mandiri</t>
  </si>
  <si>
    <t>Bayar Meals Ibu Nina</t>
  </si>
  <si>
    <t xml:space="preserve">Pembelian Keranjang </t>
  </si>
  <si>
    <t xml:space="preserve">Pembelian ikan Bandeng req OJK </t>
  </si>
  <si>
    <t>Pembelian Emping &amp; Madu req OJK</t>
  </si>
  <si>
    <t>Req Pembayaran Transportasi di Labuan Bajo oleh Pak Arie</t>
  </si>
  <si>
    <t>Req pembayaran oleh Pak Arie</t>
  </si>
  <si>
    <t>Tipping Banquet JHL Hotel Serpong</t>
  </si>
  <si>
    <t>Req Cash Pak Arie</t>
  </si>
  <si>
    <t>Pembayaran utk stakeholder diberikan ke Pak Arie oleh Bu Frida</t>
  </si>
  <si>
    <t>Tipping Driver 2 hari</t>
  </si>
  <si>
    <t>- Pimpinan Rapat (1 orang)</t>
  </si>
  <si>
    <t>- Anggota (5 orang)</t>
  </si>
  <si>
    <t>- Setkom</t>
  </si>
  <si>
    <t>Tipping Hotel</t>
  </si>
  <si>
    <t>Tipping Driver (2 Hari)</t>
  </si>
  <si>
    <t>Fee MC</t>
  </si>
  <si>
    <t>Fee Qori</t>
  </si>
  <si>
    <t>Sewa Table Clothes</t>
  </si>
  <si>
    <t>Cetak  Table Name - art paper</t>
  </si>
  <si>
    <t>Reimburse BSI PGK as per rqst Ibu Andini</t>
  </si>
  <si>
    <t>Fee Qory baca Quran</t>
  </si>
  <si>
    <t xml:space="preserve">Bayar tambahan kopi dan minuman di Resto </t>
  </si>
  <si>
    <t>Request Cash dari Ibu Andini per tgl 17 Dec</t>
  </si>
  <si>
    <t>Pembayaran Pimpinan Rapat (1 orang @Rp. 20.000.000)</t>
  </si>
  <si>
    <t>Pembayaran Setkom, Kasubag (1 orang @Rp. 3.000.000)</t>
  </si>
  <si>
    <t>Pembayaran Setkom, Staff (4 orang @Rp. 2.000.000)</t>
  </si>
  <si>
    <t>Permintaan Ibu Helda</t>
  </si>
  <si>
    <t>Pembelian Oleh Oleh Cirebon</t>
  </si>
  <si>
    <t>Reimburs Biaya Bensin dan Tol Alex</t>
  </si>
  <si>
    <t xml:space="preserve">Restaurant Garuda Medan </t>
  </si>
  <si>
    <t xml:space="preserve">Toko Abadi ( Le minerale ) 3 dus </t>
  </si>
  <si>
    <t xml:space="preserve">Beli Nestle Pure Life 6 dus </t>
  </si>
  <si>
    <t xml:space="preserve">Tambahan Meals Rest Garuda Medan </t>
  </si>
  <si>
    <t xml:space="preserve">Gofood beli Kopi Titik Koma </t>
  </si>
  <si>
    <t xml:space="preserve">Gofood Risol dan lemper </t>
  </si>
  <si>
    <t>Gofood Fore Coffee</t>
  </si>
  <si>
    <t xml:space="preserve">Rumah Makan Padang Sidempuan </t>
  </si>
  <si>
    <t xml:space="preserve">Kopi Titik Temu Medan </t>
  </si>
  <si>
    <t xml:space="preserve">Biaya Transfer ke Client </t>
  </si>
  <si>
    <t>Pimpinan Rapat (3 orang) @15,000,000 x 2</t>
  </si>
  <si>
    <t>Anggota (17 orang) @10,000,000 x 2</t>
  </si>
  <si>
    <t>Setkom, Kabag (1 orang)</t>
  </si>
  <si>
    <t>Setkom, Staff (4 orang) @2,000,000</t>
  </si>
  <si>
    <t>Fee MC as per rqst Atuy BRI</t>
  </si>
  <si>
    <t>Paper bag batik</t>
  </si>
  <si>
    <t>Luti Gendang</t>
  </si>
  <si>
    <t>Oleh-oleh BTN (tambahan)</t>
  </si>
  <si>
    <t>Wrapping Bandara Soekarno Hatta</t>
  </si>
  <si>
    <t>Wrapping Bandara Hang Nadim, Batam</t>
  </si>
  <si>
    <t>Tipping Hotel Banquet</t>
  </si>
  <si>
    <t>Tipping Driver (4 hari)</t>
  </si>
  <si>
    <t>Req cash dari BTN (Mba Helda) utk PA Pak Hekal (Frank)</t>
  </si>
  <si>
    <t>Req cash dari BTN (Mba Helda) tanggal 15 Dec</t>
  </si>
  <si>
    <t>Traveloka*1308275473 Jakarta ID - inv 1308275473, 1308277910 tiket an frida</t>
  </si>
  <si>
    <t>Traveloka-1308277910 Jakarta ID - inv 1308275473, 1308277910 tiket an frida</t>
  </si>
  <si>
    <t>MERCURE JAKARTA*000061051JAKARTA SLT ID - Room and Bfast an Ari Fariski 18-20 nov 2025</t>
  </si>
  <si>
    <t>MERCURE JAKARTA*000061174JAKARTA SLT ID - Room and Bfast an Ari Fariski 18-20 nov 2025</t>
  </si>
  <si>
    <t>TIKET.COM Jakarta PusatID - Hotel Jayakarta Suites Bandung, 19-21 Nov 2025 an Josia Prananta Tarigan</t>
  </si>
  <si>
    <t>MERCURE JAKARTA*000061756JAKARTA SLT ID - deviasi Kamar ke 2 tgl 19-20 Nov 2025 an Ari Fariski</t>
  </si>
  <si>
    <t>TIKET.COM Jakarta PusatID - Hotel Best Western Senayan 23-25 Nov 2025 an Rizal Nur Andy</t>
  </si>
  <si>
    <t>TIKET.COM Jakarta PusatID - Hotel Amel Banda Aceh 26-28 Nov 2025 3 kamar an Avanty , Budi Kusuma , Eko Widyatmoko</t>
  </si>
  <si>
    <t>TIKET.COM Jakarta PusatID - Biaya reschedule Kamar an Rizal Nur Andy</t>
  </si>
  <si>
    <t>TIKET.COM Jakarta PusatID - Hotel Artotel Gelora Senayan, 24-25 Nov 2025 an Rizal Nur Andy</t>
  </si>
  <si>
    <t>Traveloka3DS-130362829 Jakarta ID - inv 1303628294, 1303696484 tiket KAI an Maria, Teuku, Aditya</t>
  </si>
  <si>
    <t>Traveloka-1303696484 Jakarta ID - inv 1303628294, 1303696484 tiket KAI an Maria, Teuku, Aditya</t>
  </si>
  <si>
    <t>TIKET.COM Jakarta PusatID - Hotel Artotel Gelora Senayan , 25-26 Nov 2025 an Rizal Nur Andy</t>
  </si>
  <si>
    <t>TIKET.COM Jakarta PusatID - Hotel Ibis Simpang lima semarang an Mas Rizky dan Analita ( 2 kamar ) 27 -28 Nov 2025</t>
  </si>
  <si>
    <t>IPAY88*ARYADUTA MEDAN MEDAN KOT. ID - Pembayaran Room and Bfast checkin 26- 28 Nov ( 2 kamar ) an Purnama Adiputra &amp; Budi Ramizon/Muzlin Manurung</t>
  </si>
  <si>
    <t>Traveloka3DS-130421694 Jakarta ID - inv 1304216940 tiket KAI an Teuku</t>
  </si>
  <si>
    <t>TIKET.COM Jakarta PusatID - Hotel Fave Gatsu Jakarta 30 Nov - 02 Dec 2025 an Trinanda Aditya Arya Wibisono</t>
  </si>
  <si>
    <t>TIKET.COM Jakarta PusatID - Hotel JS Luwansa 03-04 Dec 1 kamar Twn &amp; Hotel Studio One Thamrin 04-05 Dec db bed an Josia Prananta &amp; Trinanda</t>
  </si>
  <si>
    <t>JSLUWANSA.COM Jakarta SelatID - Hotel JS Luwansa 03-04 Dec 1 kamar Twn &amp; Hotel Studio One Thamrin 04-05 Dec db bed an Josia Prananta &amp; Trinanda</t>
  </si>
  <si>
    <t>RAILINK.CO.ID *H25120817JAKARTA PUSATID - inv 3468366792553, 1650333884427 tiket kereta an Fachrul</t>
  </si>
  <si>
    <t>RAILINK.CO.ID-IPG2 JAKARTA ID - inv 3468366792553, 1650333884427 tiket kereta an Fachrul</t>
  </si>
  <si>
    <t>BKG*HOTEL AT BOOKING.C (888)850-3958NL - Zest Hotel Batam Pembayaran kamar hotel untuk Team PCMI tanggal 9 - 12 Desember 2 rooms</t>
  </si>
  <si>
    <t>HARRIS HTL&amp;SUIT*000076342BATAM ID - Room &amp; Bfast 15 -17 Dec 2025 2 kamar an Riris &amp; Chicio // Eko Susanto &amp; Raihan Razafuad</t>
  </si>
  <si>
    <t>TIKET.COM Jakarta PusatID - Hotel Santika Batam type executive deluxe 09-10 Dec 2025 an Tohom Deddy Purba</t>
  </si>
  <si>
    <t>Traveloka3DS-130814912 Jakarta ID - inv 1308149128 tiket an chicio, riris</t>
  </si>
  <si>
    <t>HOTEL GRAND MER*000077011BATAM ID - inv 1308149128 tiket an chicio, riris</t>
  </si>
  <si>
    <t>HOTEL SANTIKA P*000077031PADANG ID - Room and Bfast Tsel Grp 17-20 Dec 2025 ( 6 kamar ) dan 18-20 Dec 2025 ( 6 Kamar )</t>
  </si>
  <si>
    <t>HOTEL SANTIKA P*000077037PADANG ID - Room and Bfast Tsel Grp 17-20 Dec 2025 ( 6 kamar ) dan 18-20 Dec 2025 ( 6 Kamar )</t>
  </si>
  <si>
    <t>HOTEL THE EXCEL*000077928PALEMBANG ID - Room and Bfast 11-12 Dec 2025 an Ivan Angga Utama</t>
  </si>
  <si>
    <t>TIKET.COM Jakarta PusatID - Hotel Grand Central Medan 30 Dec 2025 - 01 Jan 2026 an Ilham Jani Lubis</t>
  </si>
  <si>
    <t>TIKET.COM Jakarta PusatID - Hotel Amaris Lampung 30 Dec 2025 - 01 Jan 2026</t>
  </si>
  <si>
    <t>TIKET.COM Jakarta PusatID - Hotel Grand Zuri Pekanbaru 17 -19 Dec 2025 an Zulfahmi</t>
  </si>
  <si>
    <t>TIKET.COM Jakarta PusatID - Hotel KHAS Pekanbaru 30 Dec2025 - 01 Jan 2026 an Septryan Akbar Tenrisauk</t>
  </si>
  <si>
    <t>LION AIR-IPG KOTA JAKARTA ID - Pembelian ekstra bagasi 10 Kg an Saki KNOPDG</t>
  </si>
  <si>
    <t>TIKET.COM Jakarta PusatID - Hotel Ibis Padang 17-19 Dec 2025 an Wahyu Gunawan</t>
  </si>
  <si>
    <t>HOTEL TENTREM SEMARANG - Pembayaran Kamar atas Nama Adnan (User BRI)</t>
  </si>
  <si>
    <t>HOTEL TENTREM SEMARANG - Pembayaran Ballroom Hotel Tentrem Semarang dilakukan dalam 4 termin pembayaran agar tidak kena charge 2%</t>
  </si>
  <si>
    <t>GUMAYA TOWER HOTEL-HO SEMARANG - Pembayaran Kamar Hotel Gumaya atas Nama Bapak Harris Turino (DPR)</t>
  </si>
  <si>
    <t>MARRIOTT HOTEL BATAM-H BATAM - Pembayaran paket meeting dan kamar BRI dan BTN</t>
  </si>
  <si>
    <t>TOP 100 GRAND BATAM - Beli coklat oleh2 utk goodybag Peserta BRI dan BTN</t>
  </si>
  <si>
    <t>TOP 100 GRAND BATAM - Bayar oleh2 untuk kantor BRI sesuai request Adnan dan Atuy</t>
  </si>
  <si>
    <t>GODAI SEJIWA-HO BANGKA TENGAH ID - Pembayaran oleh2 BSI</t>
  </si>
  <si>
    <t xml:space="preserve">SWISS-BELHOTEL PANGKAL PGKL PINANG ID - Pembayaran paket meeting Halfday tanggal 27Nov	</t>
  </si>
  <si>
    <t>LUXTON HOTEL CIREBON CIREBON KOT. ID - Pembayaran paket meeting HD dan kamar Pak Hekal</t>
  </si>
  <si>
    <t>THE LUXTON CRB HOTEL MBL CIREBON ID - Pembayaran penambahan makanan dan kamar as per rqst Helda</t>
  </si>
  <si>
    <t>Refund Setyobudi/Agung Erwan Mr PDG-KNO</t>
  </si>
  <si>
    <t>Refund Nugroho Adi Wibowo KNO-BTH</t>
  </si>
  <si>
    <t>Refund Muh Saleh Usman KNO-BTH</t>
  </si>
  <si>
    <t>Refund Hendri M Tarigan KNO-BTH</t>
  </si>
  <si>
    <t>Refund I Putu Eka Udayana Rudita KNO-BTH</t>
  </si>
  <si>
    <t>Refund NOVLI FELISIA SITUMORANG ms BTH-KNO</t>
  </si>
  <si>
    <t>Refund Mustakim Wahyudi mr PKU-CGK</t>
  </si>
  <si>
    <t>Refund Mustakim Wahyudi PKU-CGK</t>
  </si>
  <si>
    <t>Refund Wibowo/Nugroho Adi Mr PKU-HLP</t>
  </si>
  <si>
    <t>Refund Budiman/Mulya Mr KNO-CGK</t>
  </si>
  <si>
    <t>Refund Budiman/Mulya Mr KNO-HLP</t>
  </si>
  <si>
    <t>Refund Budiman/Mulya Mr CGK-KNO</t>
  </si>
  <si>
    <t>Refund Muhammad Farhan PDG-KNO</t>
  </si>
  <si>
    <t>Refund Andre Firdaus Ginting Munthe PKU-KNO</t>
  </si>
  <si>
    <t>Refund Andri Sulaeman PKU-KNO</t>
  </si>
  <si>
    <t>Refund Alfon Oktrianda KNO-BTH</t>
  </si>
  <si>
    <t>Refund Hasanul Haq KNO-BTH-PKU</t>
  </si>
  <si>
    <t>Refund Alfon Oktrianda HLP-KNO</t>
  </si>
  <si>
    <t>Refund Hasanul Haq PKU-KNO</t>
  </si>
  <si>
    <t>Refund Mario Carolus Beato Gelu PKU-KNO</t>
  </si>
  <si>
    <t>Refund Citra dwisatyawan PLM-KNO</t>
  </si>
  <si>
    <t>Refund Budi febri ramizon PLM-KNO</t>
  </si>
  <si>
    <t>Refund Purnama Adhiputra KNO-CGK</t>
  </si>
  <si>
    <t>Refund Hollyanto PGK-CGK-KNO-CGK-PGK</t>
  </si>
  <si>
    <t>Refund Nopi Afandi KNO-CGK</t>
  </si>
  <si>
    <t>Refund Nopi Afandi CGK-KNO</t>
  </si>
  <si>
    <t>Refund Dheni Haryanto PLM-KNO-PLM</t>
  </si>
  <si>
    <t>Refund M. Rizky Aulia CGK-KNO-CGK</t>
  </si>
  <si>
    <t>Refund Yogi Purwo Widodo CGK-KNO-CGK</t>
  </si>
  <si>
    <t>Refund Wawan kuswandono CGK-KNO : WA Yogi 9-Jan-25 = Telkomsel Pisah Sambut VP Sales A1</t>
  </si>
  <si>
    <t>Refund Mario Carolus Beato Gelu KNO-PKU</t>
  </si>
  <si>
    <t>Refund Purnama Adhiputra CGK-PLM</t>
  </si>
  <si>
    <t>Refund Agus Supranowo KNO-BTH</t>
  </si>
  <si>
    <t>Refund Nopi Afandi PLM-BTH</t>
  </si>
  <si>
    <t>Refund Muhammad ronni lubis CGK-BTH</t>
  </si>
  <si>
    <t>Refund Agung Erwan Setyobudi BTH-CGK</t>
  </si>
  <si>
    <t>Refund Ahson Mas'ud KNO-CGK</t>
  </si>
  <si>
    <t>Refund Freddy Siburian KNO-CGK</t>
  </si>
  <si>
    <t>Refund Azrin Ayub BTH-KNO</t>
  </si>
  <si>
    <t>Refund Darmawan Damanik BTH-KNO</t>
  </si>
  <si>
    <t>Refund Fadlan Azmi BTH-KNO</t>
  </si>
  <si>
    <t>Refund Randy Noary BTH-TKG</t>
  </si>
  <si>
    <t>Refund Nopi Afandi BTH-PLM</t>
  </si>
  <si>
    <t>Refund Muhammad Naufal Rizaldy BTH-CGK</t>
  </si>
  <si>
    <t>Refund Riki Agus Setiawan BTH-KNO</t>
  </si>
  <si>
    <t>Refund Henni Purweni CGK-KNO</t>
  </si>
  <si>
    <t>Refund Duma Sianipar CGK-KNO</t>
  </si>
  <si>
    <t>Refund CAMELIA RIZKIKA BTH-KNO</t>
  </si>
  <si>
    <t>Refund Muhammad Ilham KNO-CGK</t>
  </si>
  <si>
    <t>Refund EKO SUSANTO BTH-KNO </t>
  </si>
  <si>
    <t>Refund Dian Abdillah BTJ-KNO</t>
  </si>
  <si>
    <t>Refund Budi Kusuma BTJ-KNO</t>
  </si>
  <si>
    <t>Refund Trinanda Aditya Arya Wibisono BTJ-KNO</t>
  </si>
  <si>
    <t>Refund Avanty Fariska Hafdar BTJ-KNO</t>
  </si>
  <si>
    <t>Refund Rina Agustina Anggraeni BTJ-KNO</t>
  </si>
  <si>
    <t>Refund Fachrul Rizzal KNO-PKU</t>
  </si>
  <si>
    <t>Refund ASYURA AULIA AYU MS TKG-CGK</t>
  </si>
  <si>
    <t>Refund ASYURA/AULIAAYUMS KNO-BTH</t>
  </si>
  <si>
    <t>Refund FARIZKI/ARIMR KNO-BTH</t>
  </si>
  <si>
    <t>Refund MS AULIA AYU ASYURA       CGK-KNO</t>
  </si>
  <si>
    <t>Refund MS AULIA AYU ASYURA KNO-CGK-TKG</t>
  </si>
  <si>
    <t>Refund BRAMONO SAKI HAMSAT MR PKU-CGK</t>
  </si>
  <si>
    <t>Refund TAMBUNAN/RIRISYULIANAMRS BTH-KNO</t>
  </si>
  <si>
    <t>Refund SEMBIRING/CHICIOZEVENIAMRS       BTH-KNO</t>
  </si>
  <si>
    <t>Refund RAZAFUAD/RAIHANMR       BTH-KNO</t>
  </si>
  <si>
    <t>Refund SUGIARTO/AGUS MR BTH-CGK : WA Praja 9-Jan-26 - kata Yogi untuk Telkomsel O&amp;M Consolidation Tahap 2</t>
  </si>
  <si>
    <t>Refund TARIGAN/HENDRIMORELTA MR CGK-PKU</t>
  </si>
  <si>
    <t>Refund Ivan Angga Utama PKU-CGK</t>
  </si>
  <si>
    <t>Refund Ivan Angga Utama CGK-TKG</t>
  </si>
  <si>
    <t>Refund Ivan Angga Utama TKG-CGK</t>
  </si>
  <si>
    <t>Refund Fachrul Rizzal PKU-CGK</t>
  </si>
  <si>
    <t>Refund Fachrul Rizzal CGK-TKG</t>
  </si>
  <si>
    <t>Refund Fachrul Rizzal TKG-CGK</t>
  </si>
  <si>
    <t>Shell Bali Private Trip 2026</t>
  </si>
  <si>
    <t>Retail IDN Gianyar (Kab BALI SUPERHOST B : Pembayaran 1 unit Villa Arroyo Ubud (10-12 Januari 2026)</t>
  </si>
  <si>
    <t>Retail IDN Gianyar (Kab BALI SUPERHOST B : Balinese Spa 90mnt (11-Jan) dan Breakfast (12-Jan)</t>
  </si>
  <si>
    <t>Telkomsel Pengamanan Target Akhir Tahun 2025</t>
  </si>
  <si>
    <t>NABILA ASY SYIFA : WA FA/YW 12-May - Penyesuaian Nilai PO - Selisih Budget Telkomsel Pengamanan Target Akhir Tahun</t>
  </si>
  <si>
    <t>BTN Pembuatan Booth DIgital Store di Townhall Meeting CXD BTN</t>
  </si>
  <si>
    <t>BTN BDS Townhall  SPJ Load 15Jul    DEDI PURWANTO SE,</t>
  </si>
  <si>
    <t>XL Smart Booth DTI-CX 2026 JICC</t>
  </si>
  <si>
    <t>XL Smart Booth DTISPJ Dokumentasi 1DYOGI PURWO WIDODO</t>
  </si>
  <si>
    <t>XL Smart Booth DTISPJ 3D 4-6 Aug    PRAJA SAPUTRA S</t>
  </si>
  <si>
    <t>BRI Board Retreat Tahap 2</t>
  </si>
  <si>
    <t>BRI BoardRetreatT2SPJ 5D+ProjOfficerM RIZKY AULIA,</t>
  </si>
  <si>
    <t>XL Smart Booth DTISPJ 3D + GR       M RIZKY AULIA,</t>
  </si>
  <si>
    <t>BRI BoardRetreatT2SPJ 5D 11-15Aug   DIMAS DANANG JOYO,</t>
  </si>
  <si>
    <t>BRI BoardRetreatT2SPJ 5D 11-15Aug   DEDI PURWANTO SE,</t>
  </si>
  <si>
    <t>BRI BoardRetreatT2SPJ 5D 11-15 Aug  MUHAMMAD FADLI AKB,</t>
  </si>
  <si>
    <t>BRI BoardRetreatT2SPJ 4D PIC VIP+KoFRIDA ACHMADI,</t>
  </si>
  <si>
    <t>XL Smart Booth DTISPJ 2D 5-6 Aug    SUPRIYADI,</t>
  </si>
  <si>
    <t>BRI BoardRetreatT2SPJ 1D 10Aug      SUPRIYADI,</t>
  </si>
  <si>
    <t>BRI BI Kunjungan Kerja Komisi XI Surabaya</t>
  </si>
  <si>
    <t>BRI BI KunKer KXI SPJ 2D+1D 27-29Aug ANALITA YULISTYA C</t>
  </si>
  <si>
    <t>BRI BI KunKer KXI SPJ 2D+2D 26-29Aug MARIA PATRICIA SUG</t>
  </si>
  <si>
    <t>BRI KunKer KXI SubSPJ 2D+2D         ALEXADRUS NULIADY,</t>
  </si>
  <si>
    <t>Telkomsel Sumatera On Ground Recovery Review Q1 2026</t>
  </si>
  <si>
    <t xml:space="preserve">TSel Sum On Ground Rm+BFast 3-5Feb SETRA GITA NUSANTA  </t>
  </si>
  <si>
    <t xml:space="preserve">TSel Sum OnGround Room Bfast 3-5 Feb  SETRA GITA NUSANTA </t>
  </si>
  <si>
    <t xml:space="preserve">TSel Sum OnGround 2Rms 3-5Feb  SETRA GITA NUSANTA </t>
  </si>
  <si>
    <t xml:space="preserve">BTN BDS TownHall Produksi  BAMBANG SUPRIYANTO </t>
  </si>
  <si>
    <t xml:space="preserve">BTN BDS TownHall PIC Prod Loading  ANDRI LUKITO RD </t>
  </si>
  <si>
    <t xml:space="preserve">BTN BDS Townhall Crew Load 15Jul  MOCH SUPRIYADI </t>
  </si>
  <si>
    <t xml:space="preserve">BRI BoardRetreat 2 DP KLA Project  KINARYA LEGENDA AB </t>
  </si>
  <si>
    <t xml:space="preserve">XL Smart Booth DTI 1 Supp Log Crew  MOCH SUPRIYADI </t>
  </si>
  <si>
    <t xml:space="preserve">XL Smart Booth DTI 2D Prod+Booth Crew  ANDRI LUKITO RD </t>
  </si>
  <si>
    <t xml:space="preserve">XL Smart Booth DTI 3D Booth Logistic  MUHAMAD IYAN SURYA </t>
  </si>
  <si>
    <t xml:space="preserve">XL Smart Booth DTI 3D Booth Crew  AJENG PUTRI HARYAN </t>
  </si>
  <si>
    <t xml:space="preserve">BRI BoardRetreatT2 Transport JktJogPP  KINARYA LEGENDA AB </t>
  </si>
  <si>
    <t xml:space="preserve">BRI BroadRetreatT2 DP Prod Jog 13Aug  ROBERTUS BELLARMIN </t>
  </si>
  <si>
    <t xml:space="preserve">XL Smart Booth DTI PhotoboothTotem2D  GUNGGI GIANNASKAF </t>
  </si>
  <si>
    <t xml:space="preserve">BRI BoardRetreatT2 Mobil Band KLAProj  SUWARDI </t>
  </si>
  <si>
    <t xml:space="preserve">BRI BoardRetreatT2 U.Mkn KLAProj 2D  KINARYA LEGENDA AB </t>
  </si>
  <si>
    <t xml:space="preserve">XL Smart PG DC ID PG West  MUHAMMAD KHAIDIR B </t>
  </si>
  <si>
    <t xml:space="preserve">XL Smart PG DC ID PG East  YOHANES WIDIATMOKO </t>
  </si>
  <si>
    <t xml:space="preserve">XL Smart PG DC ID PG Central  ANNISA FIRDA SETIA </t>
  </si>
  <si>
    <t xml:space="preserve">XL Smart PG DC ID PG Jabo  NURLAILA AL QODRIA </t>
  </si>
  <si>
    <t xml:space="preserve">BRI BoardRetreatT2 Lunas KLA Project  KINARYA LEGENDA AB </t>
  </si>
  <si>
    <t xml:space="preserve">BRI BoardRetreatT2 Runner Log JKT 2D  MOCH SUPRIYADI </t>
  </si>
  <si>
    <t xml:space="preserve">BRI BoardRetreatT2 PIC Cargo 5D  MUHAMAD IYAN SURYA </t>
  </si>
  <si>
    <t xml:space="preserve">BRI BoardRetreatT2 PIC Deco+Accom 5D  AJENG PUTRI HARYAN </t>
  </si>
  <si>
    <t xml:space="preserve">XL Smart BoothDTI 200 Cup Kopi  SAFERUS ARLIN </t>
  </si>
  <si>
    <t xml:space="preserve">BRI BoardRetreatT2 Talent grand piano  AG FENGKY ANJAS PR </t>
  </si>
  <si>
    <t xml:space="preserve">BRI BoardRetreatT2 Show Mgt + Meals  DEDE RACHMAN </t>
  </si>
  <si>
    <t xml:space="preserve">BRI BoardRetreatT2 PPH 15/KLA/VIII/26  KINARYA LEGENDA AB </t>
  </si>
  <si>
    <t>XL Smart Booth DTI Sewa Elektronik  KARINDO MITRA JAKA : RP. 27.468.000</t>
  </si>
  <si>
    <t xml:space="preserve">BRI BoardRetreatT2 AzurChair,Dekor,Mj  CHRISTINE SUSILOWA </t>
  </si>
  <si>
    <t xml:space="preserve">BRI BoardRetreatT2 40 Azzura Chair  CHRISTINE SUSILOWA </t>
  </si>
  <si>
    <t>Telkomsel Pengawalan Event Regional Sumatera Bagian Tengah</t>
  </si>
  <si>
    <t xml:space="preserve">TSel PengEvRegS Cambai Hill Solok  YOGI PURWO WIDODO </t>
  </si>
  <si>
    <t xml:space="preserve">XL Smart Booth DTI MejaDealing+Kursi  DIAZ MUBAROK </t>
  </si>
  <si>
    <t xml:space="preserve">BRI BoardRetreatT2 Team PhotoVideo 3D  YOSE ABDURRAHMAN B </t>
  </si>
  <si>
    <t xml:space="preserve">XL Smart Booth DTI 2Usher FD+Uniform  DESTI MARGIANINGSI </t>
  </si>
  <si>
    <t xml:space="preserve">BRI BoardRetreatT2 Trans+Dokumentasi  YOGI PURWO WIDODO </t>
  </si>
  <si>
    <t>XL Smart Payment Gateway Direct Channel Independence Day</t>
  </si>
  <si>
    <t>XL Smart PG DCI GOPay08816600100 TIKA RISKI ASTARI</t>
  </si>
  <si>
    <t>XL Smart PG DCI GoPay0287759539129 TIKA RISKI ASTARI</t>
  </si>
  <si>
    <t>XL Smart PG DCI GoPay0819667555 TIKA RISKI ASTARI</t>
  </si>
  <si>
    <t>BRI Relawan Bakti BUMN</t>
  </si>
  <si>
    <t xml:space="preserve">BRI RelaBhaktiBUMN PA Tedy Barata VERY CRISTIAN SAMB  </t>
  </si>
  <si>
    <t xml:space="preserve">BRI BoardRetreatT2 Crew+Accom PRADITA BERLIANI  </t>
  </si>
  <si>
    <t>XL Smart PG DCI GoPay 087820770108 SITI MOOZANAH</t>
  </si>
  <si>
    <t>Telkomsel Operation Consolidation Program H2 ANO Sumatera</t>
  </si>
  <si>
    <t>TSel OpsConsulPH2 Grp Room+Bfast SINAR LAUT LAMPUNG</t>
  </si>
  <si>
    <t>BRI BoardRetreatT2 Lunas Prod Jogja ROBERTUS BELLARMIN</t>
  </si>
  <si>
    <t xml:space="preserve">BRI KunKer KXI Sub Transport  FERA NENGSIH </t>
  </si>
  <si>
    <t xml:space="preserve">BRI Relawan Bakti Tiket CSR Agusman  ASTRINDO SATRYA KH </t>
  </si>
  <si>
    <t xml:space="preserve">BRI KunKer KXI Sub Prod 1D LO 2D  MOCH SUPRIYADI </t>
  </si>
  <si>
    <t xml:space="preserve">TSel Op Conso PH2 Kamar 1-4 Sep  SINAR LAUT LAMPUNG </t>
  </si>
  <si>
    <t xml:space="preserve">BRI KunKer KXI Sub Show Mgt 28Aug  TEUKU DONNYA SYAHP </t>
  </si>
  <si>
    <t xml:space="preserve">BRI KunKer KXI Sub Trans Lombok 5D  I MADE BAGUS SUHAR </t>
  </si>
  <si>
    <t xml:space="preserve">BRI Relawan Bakti Ops Tedi Bharata  MARIA PATRICIA SUG </t>
  </si>
  <si>
    <t>BRI Konsinyering BAKN Plataran Bandung</t>
  </si>
  <si>
    <t xml:space="preserve">BRI Kons Plataran Mobil Wicaksono  BPW SAHADEWA BASUN </t>
  </si>
  <si>
    <t xml:space="preserve">BRI Kons Plataran DP Prod Bandung  M ILYAS ROHMAN </t>
  </si>
  <si>
    <t xml:space="preserve">BRI BoardRetreatT2 Rompi+Topi VIP  MUHAMMAD ANGGARA D </t>
  </si>
  <si>
    <t xml:space="preserve">XL Smart Booth DTI Prod Merchandize  MUHAMMAD ANGGARA D </t>
  </si>
  <si>
    <t>Sabic Tumbler</t>
  </si>
  <si>
    <t xml:space="preserve">Sabic Tumbler Merchandize  CAHAYA MANDIRI DIG </t>
  </si>
  <si>
    <t>Telkomsel Pengamanan 06869   BNINIDJA/NABILA ASY SYIFA</t>
  </si>
  <si>
    <t xml:space="preserve">TSel Leaders Mtg Q4  06898  MCM InhouseTrf  KE PANTRAVEL </t>
  </si>
  <si>
    <t xml:space="preserve">TSel Leaders Mtg Q4  06897 MCM InhouseTrf  KE PANTRAVEL </t>
  </si>
  <si>
    <t>Telkomsel Leadership Plan and Ops Continuity Q1 2026</t>
  </si>
  <si>
    <t xml:space="preserve">TSel Leadership Plan00082   BNINIDJA/KINARYA SELARAS PIRANTI </t>
  </si>
  <si>
    <t xml:space="preserve">TSel Leadership Plan00070  BNINIDJA/KINARYA SELARAS PIRANTI </t>
  </si>
  <si>
    <t xml:space="preserve">TSel Leadership Plan 00071  MCM InhouseTrf  KE PANTRAVEL </t>
  </si>
  <si>
    <t>TSel Sum On Ground R00117  BSMDIDJA/AULIA AYU ASYURA</t>
  </si>
  <si>
    <t xml:space="preserve">TSel Sum On Ground R00155    BSMDIDJA/AULIA AYU ASYURA </t>
  </si>
  <si>
    <t xml:space="preserve">TSel Sum On Ground R00153  BSMDIDJA/AULIA AYU ASYURA </t>
  </si>
  <si>
    <t xml:space="preserve">TSel Sum On Ground R00156  BSMDIDJA/AULIA AYU ASYURA </t>
  </si>
  <si>
    <t>TSel Sum On Ground R00159  BSMDIDJA/AULIA AYU ASYURA</t>
  </si>
  <si>
    <t xml:space="preserve">TSel Sum On Ground R00158  BSMDIDJA/AULIA AYU ASYURA </t>
  </si>
  <si>
    <t>TSel Leadership Plan 00076  MCM InhouseTrf  KE PANTRAVEL</t>
  </si>
  <si>
    <t xml:space="preserve">TSel Sum On Ground R00255 BSMDIDJA/AULIA AYU ASYURA </t>
  </si>
  <si>
    <t xml:space="preserve">TSel Sum On Ground R00247 BNINIDJA/T SY AMANDA REFITA </t>
  </si>
  <si>
    <t>TSel Sum On Ground R00249 BNINIDJA/T SY AMANDA REFITA</t>
  </si>
  <si>
    <t>TSel Sum On Ground R00248  BSMDIDJA/AULIA AYU ASYURA</t>
  </si>
  <si>
    <t xml:space="preserve">Telkomsel Sumatera O   MCM InhouseTrf  KE PANTRAVEL </t>
  </si>
  <si>
    <t>GBK Senayan</t>
  </si>
  <si>
    <t>UBP60218836902FFFFFF8836920212400001 - PPKGBK : Rp. 148.050.000</t>
  </si>
  <si>
    <t xml:space="preserve">TSel Sum On Ground R27136 BSMDIDJA/AULIA AYU ASYURA </t>
  </si>
  <si>
    <t>TSel Sum On Ground R27132  BSMDIDJA/AULIA AYU ASYURA</t>
  </si>
  <si>
    <t>TSel Sum On Ground R27135 BSMDIDJA/AULIA AYU ASYURA</t>
  </si>
  <si>
    <t>Telkomsel Meeting CP2 and Townhall Network Jakarta</t>
  </si>
  <si>
    <t xml:space="preserve">TSel Mtg CP2 &amp; Townh00599 BRINIDJA/NOVLI FELISIA SITUMO </t>
  </si>
  <si>
    <t>Telkomsel Operational Review Meeting Sumatera</t>
  </si>
  <si>
    <t xml:space="preserve">TSel Operational Rev00600 BRINIDJA/NOVLI FELISIA SITUMO </t>
  </si>
  <si>
    <t xml:space="preserve">TSel Mtg CP2 &amp; Townh 00490  MCM InhouseTrf  KE PANTRAVEL </t>
  </si>
  <si>
    <t xml:space="preserve">TSel Mtg CP2 &amp; Townh 00575 MCM InhouseTrf  KE PANTRAVEL </t>
  </si>
  <si>
    <t xml:space="preserve">TSel Mtg CP2 &amp; Townh 00577 MCM InhouseTrf  KE PANTRAVEL </t>
  </si>
  <si>
    <t>TSel Sum On Ground R00372 BSMDIDJA/AULIA AYU ASYURA 20260526BMRIIDJA010O9937333877</t>
  </si>
  <si>
    <t xml:space="preserve">TSel Mtg CP2 &amp; Townh 00569 MCM InhouseTrf  KE PANTRAVEL </t>
  </si>
  <si>
    <t xml:space="preserve">TSel Sum On Ground R00729  BSMDIDJA/AULIA AYU ASYURA </t>
  </si>
  <si>
    <t xml:space="preserve">TSel Sum On Ground R00618  BSMDIDJA/AULIA AYU ASYURA </t>
  </si>
  <si>
    <t xml:space="preserve">TSel Sum On Ground R00730  BSMDIDJA/AULIA AYU ASYURA </t>
  </si>
  <si>
    <t>Telkomsel Pengawalan Visit Direktur Network di Palembang</t>
  </si>
  <si>
    <t xml:space="preserve">TSel Pengawalan Visi 00719  MCM InhouseTrf  KE PANTRAVEL </t>
  </si>
  <si>
    <t xml:space="preserve">TSel Leadership Plan 00076  MCM InhouseTrf  KE PANTRAVEL </t>
  </si>
  <si>
    <t>TSel Pengawalan Visi 00787   MCM InhouseTrf  KE PANTRAVEL</t>
  </si>
  <si>
    <t xml:space="preserve">TSel Pengawalan Visi 00684  MCM InhouseTrf  KE PANTRAVEL </t>
  </si>
  <si>
    <t>TSel Sum On Ground R 00821 00821 MCM InhouseTrf CS-CS  KE PANTRAVEL</t>
  </si>
  <si>
    <t xml:space="preserve">TSel Sum On Ground R 00817  MCM InhouseTrf  KE PANTRAVEL </t>
  </si>
  <si>
    <t>XL Smart Booth DTI-C 01028 MCM InhouseTrf  KE ADHOUSE CLARION EVENTS</t>
  </si>
  <si>
    <t>XL Smart Booth DTI-C MCM InhouseTrf  KE ADHOUSE CLARION EVENTS</t>
  </si>
  <si>
    <t>XL Smart Payment Gat01057   SBJKIDJA/A HARDIANTI ARMARINI RACHMAN</t>
  </si>
  <si>
    <t>UBP60216040102FFFFFF08116289027 : Telkomsel Pengawalan Event Regional Sumbagteng - Junaidi Siregar</t>
  </si>
  <si>
    <t>UBP60216040102FFFFFF08111000865 : Telkomsel Pengawalan Event Regional Sumbagteng - Mukhlis Pasaribu</t>
  </si>
  <si>
    <t xml:space="preserve">TSel Pengawalan Even 00996  BRINIDJA/NOVLI FELISIA SITUMO </t>
  </si>
  <si>
    <t>TSel Pengawalan Even 00997 MCM InhouseTrf  KE BERNITO ARDIAWAN</t>
  </si>
  <si>
    <t xml:space="preserve">BRI Board Retreat T201118 BNINIDJA/PACTO </t>
  </si>
  <si>
    <t>BRI Board Retreat T2 01173 BNINIDJA/PACTO</t>
  </si>
  <si>
    <t>BRI Board retreat T2 01124 MCM InhouseTrf  KE PANTRAVEL</t>
  </si>
  <si>
    <t>Perubahan tiket katon</t>
  </si>
  <si>
    <t>Biaya overbagasi nya mas Katon</t>
  </si>
  <si>
    <t>Sample Paper Bag 3 pcs</t>
  </si>
  <si>
    <t>HOTEL GRAND MER*00085383BATAM : Grand Mercure Batam
Room &amp; Bfast 4 rooms Tsel Grp Saki Hamsat Bramono, Fachrul Rizzal, Ivan Anngga , Dedfriady Masta 22-23 Dec2025"</t>
  </si>
  <si>
    <t xml:space="preserve">TRAVELOKA : inv 1313242490 tiket an wahyu, </t>
  </si>
  <si>
    <t>THE PREMIER H0*000088459 PEKANBARU : Room and Bfast 4 kamar Telkomsel tgl 26-27 Dec 2025 an Saki Hamsat Bramono, Fachrul Rizzal, Ivan Angga Utama , Aulia Ayu</t>
  </si>
  <si>
    <t>TRAVELOKA - 1313694510 : Reddoorz Syariah Near Terminal Terpadu Langsa 27-28 Dec 2025 (2 kamar ) an Ivan Angga Utama &amp; Fachrul Rizzal"</t>
  </si>
  <si>
    <t>TRAVELOKA - 1313691947 : Reddoorz Syariah Near Terminal Terpadu Langsa 27-28 Dec 2025 (2 kamar ) an Ivan Angga Utama &amp; Fachrul Rizzal"</t>
  </si>
  <si>
    <t>Telkomsel Leadership Plan and Operation Continuity Q1 2026</t>
  </si>
  <si>
    <t>Retail IDN JAKARTA PUSAT TIKET.COM</t>
  </si>
  <si>
    <t>Retails IDN PEKANBARU THE PREMIERE HO *000008</t>
  </si>
  <si>
    <t>PELITA AIR-IPG</t>
  </si>
  <si>
    <t>TIKET.COM</t>
  </si>
  <si>
    <t>MERCURE JAKARTA*000019526JAKARTA SLT</t>
  </si>
  <si>
    <t xml:space="preserve">Telkomsel Sumatera On Ground Recovery Review Q1 2026 </t>
  </si>
  <si>
    <t>TIKET.COM                           Jakarta  PusatID</t>
  </si>
  <si>
    <t>Traveloka3DS-1334730494   Jakarta          ID</t>
  </si>
  <si>
    <t>RAILINK.CO.ID *H26030613JAKARTA PUSAT</t>
  </si>
  <si>
    <t>MERCURE JAKARTA*000040028JAKARTA SLT</t>
  </si>
  <si>
    <t>MERCURE JAKARTA*000041082JAKARTA SLT</t>
  </si>
  <si>
    <t>HOTEL GRAND MER*000040881BATAM</t>
  </si>
  <si>
    <t>PELITA AIR-IPG JAKARTA ID</t>
  </si>
  <si>
    <t>Retail IDN JAKARTA SLT MERCURE JAKARTA*0</t>
  </si>
  <si>
    <t xml:space="preserve"> HARYONO TOURS &amp; TRAVEL   JAKARTA PUSATID</t>
  </si>
  <si>
    <t xml:space="preserve"> Tiket.Com      *134586825JAKARTA SLT  ID</t>
  </si>
  <si>
    <t xml:space="preserve"> Tiket.Com      *134564960JAKARTA SLT  ID</t>
  </si>
  <si>
    <t xml:space="preserve"> Tiket.Com      *134620014JAKARTA SLT  ID</t>
  </si>
  <si>
    <t xml:space="preserve"> Tiket.Com      *134571975JAKARTA SLT  ID</t>
  </si>
  <si>
    <t xml:space="preserve"> Tiket.Com      *134504908JAKARTA SLT  ID</t>
  </si>
  <si>
    <t xml:space="preserve"> Tiket.Com      *134689124JAKARTA SLT  ID</t>
  </si>
  <si>
    <t>THE PREMIERE HO*000096017PEKANBARU ID</t>
  </si>
  <si>
    <t>HOTEL THE EXCEL*000009365PALEMBANG ID</t>
  </si>
  <si>
    <t>Tiket.Com *135098132JAKARTA SLT ID</t>
  </si>
  <si>
    <t>HOTEL THE EXCEL*000016144PALEMBANG ID</t>
  </si>
  <si>
    <t>ESPAY*CITILINK TANGERANG KOTID</t>
  </si>
  <si>
    <t>THE PREMIERE HO*000022508PEKANBARU ID</t>
  </si>
  <si>
    <t>Tiket.Com *135147088JAKARTA SLT ID</t>
  </si>
  <si>
    <t>PANTRAVEL SAHARJO JAKARTA SLT</t>
  </si>
  <si>
    <t>Mandiri Visa</t>
  </si>
  <si>
    <t>Lebih Bayar pada Mandiri Visa 11-Jul-26</t>
  </si>
  <si>
    <t>THE ZURI DUMAI DUMAI ID</t>
  </si>
  <si>
    <t>ASTON HOTEL BAT*000035472BATAM ID</t>
  </si>
  <si>
    <t>ASTON HOTEL BAT*000037523BATAM</t>
  </si>
  <si>
    <t>Lebih Bayar pada Mandiri Visa JT 10-Aug-26</t>
  </si>
  <si>
    <t>BURSA SAJADAH, SAHARJO JAKARTA SLT ID Contoh Sejadah Tebal merk Kashmir</t>
  </si>
  <si>
    <t>CITITEX TEBET JAKARTA SLT I Tshirt Polo Putih utk Team PCMI, 6pcs</t>
  </si>
  <si>
    <t>SHOPEE JAKSEL ID : Pembelian Rompi</t>
  </si>
  <si>
    <t>BURSA SAJADAH, SAHARJO JAKARTA SLT ID 30 pcs Sejadah Direksi</t>
  </si>
  <si>
    <t>CITITEX TEBET JAKARTA SLT ID 3 Tshirt Polo, Utk Team PCMI</t>
  </si>
  <si>
    <t>SHOPEE JAKSEL I 5 ps box tissue kayu transparan kecil Acrylic 2 of 2 ( total 10 box)</t>
  </si>
  <si>
    <t>MANDAPA FARMA Bogor (Kota) ID Obat Bulanan FA</t>
  </si>
  <si>
    <t>ALFAMRT OA79 AMSANGAJI YOGYAKARTA ID Permen kamar VIP, 5 bks</t>
  </si>
  <si>
    <t>EBONI HTY YOGYAKARTA ID : minum utk mbk Yuli - PIC VIP BRI, 12 Aug 2026</t>
  </si>
  <si>
    <t>SUPERINDO MONJALI Sleman (Kab) ID Permen Mentos, 15 Bks Kamar VIP</t>
  </si>
  <si>
    <t>FO HTY YOGYAKARTA ID 1Pax Butler Utk Dirut BRI, 13-15Aug 2026</t>
  </si>
  <si>
    <t>INDOMARET F8A5 MONJALI 63Sleman (Kab) ID tambahan 6 tisu basah Paseo 3 tisu basah Dettol, utk di Resto Roso</t>
  </si>
  <si>
    <t>SUPERINDO MONJALI Sleman (Kab) ID Tamb 12 tisu basah Dettol 4 tisu basah Paseo 1 kispray</t>
  </si>
  <si>
    <t>SM GALLERY HTY YOGYAKARTA ID Pewangi Tentrem utk mushola dan sejadah pd saat shalat jumat Direksi</t>
  </si>
  <si>
    <t>SNAPY TEBET 1 JAKARTA SLT ID laporan kegiatan BRI Retreat</t>
  </si>
  <si>
    <t>GRAND HOTEL DE *000078528YOGYAKARTA ID Hotel 8 R 2 N (Crew artis KLA Project)</t>
  </si>
  <si>
    <t>Traveloka-1382074826 Jakarta ID inv 1382074826 tiket team KLA Project</t>
  </si>
  <si>
    <t>Traveloka3DS-138206502 Jakarta ID Tiket KAI tim Kla project an Yudiarina</t>
  </si>
  <si>
    <t>Traveloka-1382157968 Jakarta ID inv 1382157968 tiket KAI Team PCMI</t>
  </si>
  <si>
    <t>Traveloka-1382156463 Jakarta ID Inv 1382105842 tiket KAI Team KLA Project</t>
  </si>
  <si>
    <t>Traveloka-1382100418 Jakarta ID Inv 1382100418 tiket Team KLA Project</t>
  </si>
  <si>
    <t>Traveloka-1382105842 Jakarta ID Inv 1382156463 tiket KAI Tim PCMI &amp; Freelance PCMI</t>
  </si>
  <si>
    <t>ROYAL AMBARRUKMO YOGYAKARSleman (Kab) ID Hotel 4 R 2 N (Artis KLA Project)</t>
  </si>
  <si>
    <t>ESPAY*CITILINK TANGERANG KOTID : Tiket KLA Project an Ignatius JOG-HLP</t>
  </si>
  <si>
    <t>SHOPEE JAKSEL ID Rompi Puffer Versi Parasut Unisex 3 pcs</t>
  </si>
  <si>
    <t>Traveloka-1382722166 Jakarta ID inv 1382722166 tiket an Junaidi, Team KLA Project</t>
  </si>
  <si>
    <t>PELITA AIR-IPG JAKARTA ID : Pelita an Mira</t>
  </si>
  <si>
    <t>PELITA AIR-IPG JAKARTA ID : Pelita an Thea</t>
  </si>
  <si>
    <t>PELITA AIR-IPG JAKARTA ID : Pelita an Hendro</t>
  </si>
  <si>
    <t>SHOPEE JAKSEL ID pembelian rompi</t>
  </si>
  <si>
    <t>SHOPEE JAKSEL ID  pembelian rompi</t>
  </si>
  <si>
    <t>GRAND HOTEL DE *000082102YOGYAKARTA I hotel AH dan FA</t>
  </si>
  <si>
    <t>Tokopedia Jakarta ID Pengadaan Facial Tissue merk Paseo 540 lembar total 12 pcs</t>
  </si>
  <si>
    <t>Tokopedia Jakarta ID Pengadaan Dettol Hand Sanitizer Spray 50 Ml total 66 pcs</t>
  </si>
  <si>
    <t>Tokopedia Jakarta ID Pengadaan Tisue Basah edisi Travel merk Dettol 45 Pcs</t>
  </si>
  <si>
    <t>Tokopedia Jakarta ID Clicker Laser Pointer Baseus 1 unit</t>
  </si>
  <si>
    <t>Tokopedia Jakarta ID Pengadaan Tissue Meja Pop Up Gajah Halus 1 Dus isi 48 pack</t>
  </si>
  <si>
    <t>SHOPEE JAKSEL ID 5 ps box tissue kayu transparan kecil Acrylic</t>
  </si>
  <si>
    <t>SHOPEE JAKSEL ID Pengadaan Box Tissue besar kayu Transparan Modern total 5 box total 11 pcs</t>
  </si>
  <si>
    <t>SHOPEE JAKSEL ID Pengadaan Box Tissue kayu Transparan Modern total 6 box ( 1 of 2 )</t>
  </si>
  <si>
    <t>SHOPEE JAKSEL ID Pengadaan Stella Pengharum Ruangan Stella Lavender 350 ml ( 3 botol)</t>
  </si>
  <si>
    <t>Tiket.Com *135757418JAKARTA SLT ID Tiket Citilink YIA - CGK 15 Aug</t>
  </si>
  <si>
    <t>Traveloka3DS-138410304 Jakarta ID Inv 1384103045 tiket Team PCMI</t>
  </si>
  <si>
    <t>Tiket.Com *135773739JAKARTA SLT IDTiket Kereta Gajayana YK - BKS tgl 15 Aug 2026</t>
  </si>
  <si>
    <t>Tiket.Com *135787566JAKARTA SLT ID Tiket Kereta Gajayana YK - GMR 15 Aug 2026 2 paxs</t>
  </si>
  <si>
    <t>Tiket.Com *135718616JAKARTA SLT IDTiket Kereta Argo Wilis YK - BD 15 Aug</t>
  </si>
  <si>
    <t>Tiket.Com *135742674JAKARTA SLT ID tiket kereta refund 350.000 cgk kac</t>
  </si>
  <si>
    <t>Traveloka-1384340467 Jakarta ID</t>
  </si>
  <si>
    <t>SNAPY TEBET 1 JAKARTA SLT ID</t>
  </si>
  <si>
    <t>Porseni Mandiri</t>
  </si>
  <si>
    <t>Lebih Bayar pada Mandiri Visa JT 10-Sep-26</t>
  </si>
  <si>
    <t>Operational Loading Ableh (2 Hari)</t>
  </si>
  <si>
    <t>Top Up Flazz (Parkir &amp; Toll)</t>
  </si>
  <si>
    <t>Makan Loading Day 1 (Rizky &amp; Ableh)</t>
  </si>
  <si>
    <t>Makan Loading Day 1 (Praja)</t>
  </si>
  <si>
    <t>Cetak Fliers as Request Client (Mba Mery)</t>
  </si>
  <si>
    <t>Gosend Cetak Fliers Client</t>
  </si>
  <si>
    <t>Makan Loading Day 2 (Rizky)</t>
  </si>
  <si>
    <t>Makan Loading Day 2 (Ajeng)</t>
  </si>
  <si>
    <t>Beli Minum Es Teh Manis</t>
  </si>
  <si>
    <t>Makan Loading Day 2 (Praja)</t>
  </si>
  <si>
    <t>Beli Minum di Kantin JCC (Numpang Meeting BRI)</t>
  </si>
  <si>
    <t>Beli Minum Loading Day 2 (Rizky &amp; Praja)</t>
  </si>
  <si>
    <t>Beli Sarapan Event Day 1 (Team PCMI &amp; Usher)</t>
  </si>
  <si>
    <t>Beli Makan Siang Event Day 1 (Usher 2 Pax)</t>
  </si>
  <si>
    <t>Beli Makan Siang Event Day 1 (Yogi &amp; Lonte)</t>
  </si>
  <si>
    <t>Beli Makan Siang Event Day 1 (Rizky &amp; Praja)</t>
  </si>
  <si>
    <t>Beli Makan Siang Event Day 1 (Ajeng)</t>
  </si>
  <si>
    <t>Beli Apron untuk Barista Coffee Corner</t>
  </si>
  <si>
    <t>Ongkir Beli Apron</t>
  </si>
  <si>
    <t>Cetak Signage Tripod</t>
  </si>
  <si>
    <t>Gosend Signage Tripod</t>
  </si>
  <si>
    <t>Beli Sarapan Event Day 2 (Team PCMI)</t>
  </si>
  <si>
    <t>Beli Sarapan Event Day 2 (Usher)</t>
  </si>
  <si>
    <t>Beli Makan Siang Event Day 2 (Team PCMI &amp; Usher)</t>
  </si>
  <si>
    <t xml:space="preserve">Beli Es Teh Manis &amp; Kopi Team </t>
  </si>
  <si>
    <t xml:space="preserve">Laporan Operasional Komeng </t>
  </si>
  <si>
    <t xml:space="preserve">Laporan Operasional Iyan  </t>
  </si>
  <si>
    <t>Gocar Kantor - Rumah ( pending Berangkat 13 Aug 2026)</t>
  </si>
  <si>
    <t xml:space="preserve">Wrapping Bagasi </t>
  </si>
  <si>
    <t xml:space="preserve">Lunch with team airport </t>
  </si>
  <si>
    <t>Laporan Operasional Bu Frida</t>
  </si>
  <si>
    <t xml:space="preserve">Refreshment FG dan VG ( Kopi Kenangan ) </t>
  </si>
  <si>
    <t xml:space="preserve">Pembelian Polo Shirt Hitam untuk ke Prambanan </t>
  </si>
  <si>
    <t>tips Security Venue Prambanan Akses Masuk Parkir Terdekat 2 orang</t>
  </si>
  <si>
    <t xml:space="preserve">Gocar Prambanan  to Hotel Fave Malioboro </t>
  </si>
  <si>
    <t xml:space="preserve">Reimburse Paket Data </t>
  </si>
  <si>
    <t xml:space="preserve">Meals Dinner Dokumentasi Prambanan  ( Mcdonalds) </t>
  </si>
  <si>
    <t xml:space="preserve">Gocar Hotel - Padel </t>
  </si>
  <si>
    <t xml:space="preserve">Gocar Padel - Stasiun Tugu </t>
  </si>
  <si>
    <t xml:space="preserve">Reimburse Bensin (13Aug Rumah - Airport), (15 Aug Airport - Kantor - retur barang Indopaket - Rumah ) </t>
  </si>
  <si>
    <t xml:space="preserve">Parkir Airport Soetta </t>
  </si>
  <si>
    <t xml:space="preserve">Tol Dalam Kota Airport to Kantor </t>
  </si>
  <si>
    <t xml:space="preserve">Parkir Indomaret 3 lokasi </t>
  </si>
  <si>
    <t xml:space="preserve">Print Label retur Rompi ( Shopee) </t>
  </si>
  <si>
    <t>Biaya Operasional Panitia BRI - Di req oleh Mas Harry W (Ketua Panitia)</t>
  </si>
  <si>
    <t>Tambahan Biaya Operasional Panitia BRI - Di req oleh Mas Harry W (Ketua Panitia)</t>
  </si>
  <si>
    <t>Cokelat BRI - Wakil Ketua (1 orang) - Anggota (15 orang) - Setkom, Kasubag (1 orang) - Setkom, Staff (4 orang)</t>
  </si>
  <si>
    <t>Cokelat BI - Wakil Ketua (1 orang) - Anggota (15 orang) - Setkom (5 orang)</t>
  </si>
  <si>
    <t>MC</t>
  </si>
  <si>
    <t xml:space="preserve">Cash ke Atuy utk uang operasional kas </t>
  </si>
  <si>
    <t>Beli goodie bag</t>
  </si>
  <si>
    <t xml:space="preserve">Bayar Mkn Atuy dan Pak Felik tanggal 27 Aug </t>
  </si>
  <si>
    <t>Tipping Banquet Hotel</t>
  </si>
  <si>
    <t>Tipping Driver (100,000 x 4 hari)</t>
  </si>
  <si>
    <t>Transfer ke Wasis BI - Reimburse Souvenir</t>
  </si>
  <si>
    <t>AR Others</t>
  </si>
  <si>
    <t>Pemindahan Sementara Akhir Tahun</t>
  </si>
  <si>
    <t>F 1138 ABU Jan FRIDA ACHMADI : RP. 5.777.000</t>
  </si>
  <si>
    <t>AR Prepaid Tax</t>
  </si>
  <si>
    <t>PPn</t>
  </si>
  <si>
    <t>PPn Masukan - Yang Belum/Tidak di kreditkan</t>
  </si>
  <si>
    <t>PPn Masukan 2026</t>
  </si>
  <si>
    <t>PPn Masa Aug - Lebih Bayar</t>
  </si>
  <si>
    <t>PPh-23</t>
  </si>
  <si>
    <t>Bukti Potong PPh-23 terkumpul di Tahun 2025</t>
  </si>
  <si>
    <t>PPH-23 Th 2024 - Income Tax</t>
  </si>
  <si>
    <t>PPH-23 Th 2025 - Income Tax</t>
  </si>
  <si>
    <t>PPH-23 Th 2026 - Income Tax</t>
  </si>
  <si>
    <t>PPh-4 Ayat 2</t>
  </si>
  <si>
    <t xml:space="preserve">PPh-4 Ayat 2 Tahun 2024 </t>
  </si>
  <si>
    <t>Yang sudah dipotong oleh pelanggan</t>
  </si>
  <si>
    <t>AR Refund</t>
  </si>
  <si>
    <t>Mutasi 2026</t>
  </si>
  <si>
    <t>Pantravel</t>
  </si>
  <si>
    <t>File via WA dari AH dan Praja 8-Jan-2026 : REFUND PCMI recons 2025</t>
  </si>
  <si>
    <t>Padi Telkom</t>
  </si>
  <si>
    <t>L48Sxq PD 539695104 DARI SINAR DIGITAL TERDEP (Biaya Transaksi Penjual PADi ) : Rp. 30.336.244</t>
  </si>
  <si>
    <t>AR Staff Loan</t>
  </si>
  <si>
    <t>Adun Sopandi</t>
  </si>
  <si>
    <t>Akbar</t>
  </si>
  <si>
    <t>Atno</t>
  </si>
  <si>
    <t>Marlena</t>
  </si>
  <si>
    <t>Patricia</t>
  </si>
  <si>
    <t>Praja</t>
  </si>
  <si>
    <t>Supriyadi</t>
  </si>
  <si>
    <t>Ujer</t>
  </si>
  <si>
    <t>Yulie Yahya</t>
  </si>
  <si>
    <t>AR Temporary Notes</t>
  </si>
  <si>
    <t>Elly Hutabarat</t>
  </si>
  <si>
    <t>CSA Lift</t>
  </si>
  <si>
    <t>AR Time Deposit</t>
  </si>
  <si>
    <t>USD 25K Saving, approved by AH 30Jul DAVID HARSAMTO2241379576</t>
  </si>
  <si>
    <t>AR Trade</t>
  </si>
  <si>
    <t>124/PCMI/AR/VI/2024 = 277/PCMI/AR/XI/2025</t>
  </si>
  <si>
    <t>Telkomsel Town Hall Sales 2024</t>
  </si>
  <si>
    <t>218/PCMI/AR/X/2024</t>
  </si>
  <si>
    <t>Telkomsel JPP 2025 Sumatera Heart</t>
  </si>
  <si>
    <t>286/PCMI/AR/XII/2024 : 292/PCMI/AR/XI/2-26</t>
  </si>
  <si>
    <t>PLN Indonesia Power PIKK Festival Bazaar UMKM</t>
  </si>
  <si>
    <t>288/PCMI/AR/XII/2024 = 293/PCMI/AR/XI/2-27</t>
  </si>
  <si>
    <t>078/PCMI/AR/IV/2025</t>
  </si>
  <si>
    <t>Telkomsel ANO Forum 2024 (Lampung)</t>
  </si>
  <si>
    <t>080/PCMI/AR/IV/2025</t>
  </si>
  <si>
    <t>083/PCMI/AR/X/2025</t>
  </si>
  <si>
    <t>Shell Visit Factory Bangkok 2025</t>
  </si>
  <si>
    <t>178/PCMI/AR/VIII/2025</t>
  </si>
  <si>
    <t>Trimegah Training Camp Lombok</t>
  </si>
  <si>
    <t>199/PCMI/AR/IX/2025</t>
  </si>
  <si>
    <t>212/PCMI/AR/X/2025</t>
  </si>
  <si>
    <t>Shell MotoGp Sepang 2025</t>
  </si>
  <si>
    <t>217/PCMI/AR/XII/2025</t>
  </si>
  <si>
    <t>FIF NMC ACT Handling</t>
  </si>
  <si>
    <t>219/PCMI/AR/XII/2025</t>
  </si>
  <si>
    <t>Telkomsel Delight &amp; Excellent Execution 2025</t>
  </si>
  <si>
    <t>226/PCMI/AR/XII/2025</t>
  </si>
  <si>
    <t>BRI Peringatan Puncak HUT ke-26 DWP dan Hari Ibu ke-97 DWP BKN</t>
  </si>
  <si>
    <t>228/PCMI/AR/XII/2025</t>
  </si>
  <si>
    <t>Telkomsel MICE Piala byU Q2 2025</t>
  </si>
  <si>
    <t>044/97/PCMI/AR/II/2026</t>
  </si>
  <si>
    <t>229/PCMI/AR/XII/2025</t>
  </si>
  <si>
    <t>BSIN Supplier Meeting</t>
  </si>
  <si>
    <t>235/PCMI/AR/XII/2025</t>
  </si>
  <si>
    <t>253/PCMI/AR/XII/2025</t>
  </si>
  <si>
    <t>Telkomsel Pengamanan Target Sem II Reg. Sumbagsel</t>
  </si>
  <si>
    <t>254/PCMI/AR/XII/2025</t>
  </si>
  <si>
    <t>Telkomsel Event Direksi Visit Medan &amp; OM Consolidation</t>
  </si>
  <si>
    <t>261/PCMI/AR/XII/2025</t>
  </si>
  <si>
    <t>Telkomsel Pengadaan untuk visit Cluster Area Sumatera Q3</t>
  </si>
  <si>
    <t>268/PCMI/AR/XII/2025</t>
  </si>
  <si>
    <t>Telkomsel Event Market Recovery &amp; City Fokus Q3</t>
  </si>
  <si>
    <t>269/PCMI/AR/XII/2025</t>
  </si>
  <si>
    <t>Telkomsel Alignment SIFA Mobile &amp; Fixed</t>
  </si>
  <si>
    <t>072/271/PCMI/AR/V/2026</t>
  </si>
  <si>
    <t>PLN IP Energy Business Forum 2025</t>
  </si>
  <si>
    <t>278/PCMI/AR/XI/2025</t>
  </si>
  <si>
    <t>282/PCMI/AR/XI/2025</t>
  </si>
  <si>
    <t>Himbara FGD Semarang</t>
  </si>
  <si>
    <t>298/PCMI/AR/XI/2025</t>
  </si>
  <si>
    <t>Telkomsel Orbit Household Q4 2024</t>
  </si>
  <si>
    <t>048/285/PCMI/AR/V/2026</t>
  </si>
  <si>
    <t>059/281/PCMI/AR/V/2026</t>
  </si>
  <si>
    <t>066/322/PCMI/AR/VIII/2026</t>
  </si>
  <si>
    <t>074/PCMI/AR/VIII/2026</t>
  </si>
  <si>
    <t xml:space="preserve">076/PCMI/AR/IV/2026 </t>
  </si>
  <si>
    <t xml:space="preserve">093/277/PCMI/AR/V/2026	</t>
  </si>
  <si>
    <t>Telkomsel Market Visit All Branch Regional SumBagTeng Q4 2025</t>
  </si>
  <si>
    <t>135/309/PCMI/AR/VII/2026</t>
  </si>
  <si>
    <t>BRI Sosialisasi KPP Pontianak</t>
  </si>
  <si>
    <t>140/239/PCMI/AR/IV/2026</t>
  </si>
  <si>
    <t>Telkomsel ANO Sumatera Network Forum</t>
  </si>
  <si>
    <t>142/241/PCMI/AR/IV/2026</t>
  </si>
  <si>
    <t>173/319/PCMI/AR/VIII/2026</t>
  </si>
  <si>
    <t>Mandiri Konsinyering Balikpapan</t>
  </si>
  <si>
    <t xml:space="preserve">184/PCMI/AR/VII/2026	</t>
  </si>
  <si>
    <t xml:space="preserve">BRI Kunjungan Kerja BAKN Ujung Pandang </t>
  </si>
  <si>
    <t xml:space="preserve">185/291/PCMI/AR/VI/2026	</t>
  </si>
  <si>
    <t>Mandiri Outing Bali</t>
  </si>
  <si>
    <t xml:space="preserve">187/PCMI/AR/VI/2026	</t>
  </si>
  <si>
    <t>Himbara Konsinyering Pontianak</t>
  </si>
  <si>
    <t>190/325/PCMI/AR/VIII/2026</t>
  </si>
  <si>
    <t>BTN Konsinyering Banyuwangi</t>
  </si>
  <si>
    <t>197/323/PCMI/AR/VIII/2026</t>
  </si>
  <si>
    <t>BRI Konsinyering Komisi VI Menara Brilian</t>
  </si>
  <si>
    <t>202/318/PCMI/AR/VIII/2026</t>
  </si>
  <si>
    <t>BRI Workshop Corsec KBP</t>
  </si>
  <si>
    <t xml:space="preserve">203/PCMI/AR/VII/2026	</t>
  </si>
  <si>
    <t>FIT Air tickets and others</t>
  </si>
  <si>
    <t>204/PCMI/AR/VII/2026</t>
  </si>
  <si>
    <t>208/316/PCMI/AR/VIII/2026</t>
  </si>
  <si>
    <t>Himbara FGD Fairmont</t>
  </si>
  <si>
    <t>210/320/PCMI/AR/VIII/2026</t>
  </si>
  <si>
    <t>BRI BSBI Kunjungan Kerja Banyuwangi</t>
  </si>
  <si>
    <t>218/324/PCMI/AR/IX/2026</t>
  </si>
  <si>
    <t>BRI Kunjungan Kerja Komisi XI DPR RI - Bandung</t>
  </si>
  <si>
    <t>219/326/PCMI/AR/IX/2026</t>
  </si>
  <si>
    <t>Mandiri Mudik Bersama</t>
  </si>
  <si>
    <t>220/327/PCMI/AR/IX/2026</t>
  </si>
  <si>
    <t>223/331/PCMI/AR/IX/2026</t>
  </si>
  <si>
    <t>Trimegah Sekuritas Employee Gathering 2026</t>
  </si>
  <si>
    <t>224/332/PCMI/AR/IX/2026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</si>
</sst>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_);_(@_)"/>
    <numFmt numFmtId="165" formatCode="_(* #,##0.00_);_(* \(#,##0.00\);_(* &quot;-&quot;??_);_(@_)"/>
    <numFmt numFmtId="166" formatCode="_(* #,##0_);_(* \(#,##0\);_(* &quot;-&quot;_);_(@_)"/>
    <numFmt numFmtId="167" formatCode="_(* #,##0_);_(* \(#,##0\);_(* &quot;-&quot;??_);_(@_)"/>
    <numFmt numFmtId="168" formatCode="_(* #,##0.0_);_(* \(#,##0.0\);_(* &quot;-&quot;_);_(@_)"/>
  </numFmts>
  <fonts count="10">
    <font>
      <sz val="12.0"/>
      <color theme="1"/>
      <name val="Times New Roman"/>
      <scheme val="minor"/>
    </font>
    <font>
      <sz val="12.0"/>
      <color theme="1"/>
      <name val="Times New Roman"/>
    </font>
    <font>
      <sz val="10.0"/>
      <color theme="1"/>
      <name val="Times New Roman"/>
    </font>
    <font>
      <b/>
      <sz val="12.0"/>
      <color theme="1"/>
      <name val="Times New Roman"/>
    </font>
    <font>
      <color theme="1"/>
      <name val="Times New Roman"/>
      <scheme val="minor"/>
    </font>
    <font>
      <sz val="12.0"/>
      <color rgb="FF000000"/>
      <name val="Times New Roman"/>
    </font>
    <font>
      <sz val="12.0"/>
      <color rgb="FFFF0000"/>
      <name val="Times New Roman"/>
    </font>
    <font>
      <sz val="12.0"/>
      <color rgb="FF0070C0"/>
      <name val="Times New Roman"/>
    </font>
    <font>
      <sz val="10.0"/>
      <color rgb="FF0070C0"/>
      <name val="Times New Roman"/>
    </font>
    <font>
      <sz val="10.0"/>
      <color rgb="FFFF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4" numFmtId="0" xfId="0" applyFont="1"/>
    <xf quotePrefix="1" borderId="0" fillId="0" fontId="1" numFmtId="0" xfId="0" applyFont="1"/>
    <xf borderId="0" fillId="0" fontId="5" numFmtId="0" xfId="0" applyFont="1"/>
    <xf borderId="0" fillId="0" fontId="5" numFmtId="164" xfId="0" applyFont="1" applyNumberFormat="1"/>
    <xf borderId="0" fillId="0" fontId="6" numFmtId="164" xfId="0" applyFont="1" applyNumberFormat="1"/>
    <xf borderId="0" fillId="0" fontId="1" numFmtId="2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164" xfId="0" applyAlignment="1" applyFont="1" applyNumberFormat="1">
      <alignment horizontal="center"/>
    </xf>
    <xf borderId="0" fillId="0" fontId="8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164" xfId="0" applyAlignment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3.33"/>
    <col customWidth="1" min="3" max="3" width="56.33"/>
    <col customWidth="1" min="4" max="4" width="70.78"/>
    <col customWidth="1" min="5" max="5" width="22.44"/>
    <col customWidth="1" min="6" max="7" width="20.67"/>
    <col customWidth="1" min="8" max="8" width="19.67"/>
    <col customWidth="1" min="9" max="12" width="20.11"/>
    <col customWidth="1" min="13" max="13" width="15.67"/>
    <col customWidth="1" min="14" max="14" width="21.0"/>
    <col customWidth="1" min="15" max="15" width="20.33"/>
    <col customWidth="1" min="16" max="16" width="19.78"/>
    <col customWidth="1" min="17" max="23" width="9.11"/>
  </cols>
  <sheetData>
    <row r="1" ht="15.75" customHeight="1">
      <c r="A1" s="1"/>
      <c r="B1" s="1"/>
      <c r="C1" s="1"/>
      <c r="D1" s="1"/>
      <c r="E1" s="2">
        <f>E1217*1.5%</f>
        <v>3750000</v>
      </c>
      <c r="F1" s="3" t="s">
        <v>0</v>
      </c>
      <c r="G1" s="2" t="s">
        <v>0</v>
      </c>
      <c r="H1" s="4" t="s">
        <v>0</v>
      </c>
      <c r="I1" s="3" t="s">
        <v>0</v>
      </c>
      <c r="J1" s="3"/>
      <c r="K1" s="3"/>
      <c r="L1" s="3"/>
      <c r="M1" s="5" t="s">
        <v>0</v>
      </c>
      <c r="N1" s="3" t="s">
        <v>0</v>
      </c>
      <c r="O1" s="1"/>
      <c r="P1" s="3" t="s">
        <v>0</v>
      </c>
      <c r="Q1" s="1"/>
      <c r="R1" s="1"/>
      <c r="S1" s="1"/>
      <c r="T1" s="1"/>
      <c r="U1" s="1"/>
      <c r="V1" s="1"/>
      <c r="W1" s="1"/>
    </row>
    <row r="2" ht="15.75" customHeight="1">
      <c r="A2" s="1"/>
      <c r="B2" s="1"/>
      <c r="C2" s="1"/>
      <c r="D2" s="1" t="s">
        <v>0</v>
      </c>
      <c r="E2" s="2"/>
      <c r="F2" s="1"/>
      <c r="G2" s="2"/>
      <c r="H2" s="1"/>
      <c r="I2" s="1"/>
      <c r="J2" s="1"/>
      <c r="K2" s="1"/>
      <c r="L2" s="1"/>
      <c r="M2" s="5"/>
      <c r="N2" s="1"/>
      <c r="O2" s="1"/>
      <c r="P2" s="1"/>
      <c r="Q2" s="1"/>
      <c r="R2" s="1"/>
      <c r="S2" s="1"/>
      <c r="T2" s="1"/>
      <c r="U2" s="1"/>
      <c r="V2" s="6"/>
      <c r="W2" s="6"/>
    </row>
    <row r="3" ht="15.75" customHeight="1">
      <c r="A3" s="1"/>
      <c r="B3" s="1"/>
      <c r="C3" s="1" t="s">
        <v>0</v>
      </c>
      <c r="D3" s="7" t="s">
        <v>1</v>
      </c>
      <c r="E3" s="8" t="s">
        <v>2</v>
      </c>
      <c r="F3" s="7" t="s">
        <v>3</v>
      </c>
      <c r="P3" s="7" t="s">
        <v>4</v>
      </c>
      <c r="Q3" s="1"/>
      <c r="R3" s="1"/>
      <c r="S3" s="1"/>
      <c r="T3" s="1"/>
      <c r="U3" s="1"/>
      <c r="V3" s="6"/>
      <c r="W3" s="6"/>
    </row>
    <row r="4" ht="15.75" customHeight="1">
      <c r="A4" s="1"/>
      <c r="B4" s="1"/>
      <c r="C4" s="1"/>
      <c r="D4" s="1"/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7" t="s">
        <v>5</v>
      </c>
      <c r="Q4" s="1"/>
      <c r="R4" s="1"/>
      <c r="S4" s="1"/>
      <c r="T4" s="1"/>
      <c r="U4" s="1"/>
      <c r="V4" s="6"/>
      <c r="W4" s="6"/>
    </row>
    <row r="5" ht="15.75" customHeight="1">
      <c r="A5" s="9" t="s">
        <v>16</v>
      </c>
      <c r="B5" s="10" t="s">
        <v>0</v>
      </c>
      <c r="C5" s="1" t="s">
        <v>17</v>
      </c>
      <c r="D5" s="9" t="s">
        <v>0</v>
      </c>
      <c r="E5" s="11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f t="shared" ref="P5:P1245" si="1">E5-F5-G5-H5-I5--J5-K5-L5-M5-N5-O5</f>
        <v>0</v>
      </c>
      <c r="Q5" s="1"/>
      <c r="R5" s="1"/>
      <c r="S5" s="1"/>
      <c r="T5" s="1"/>
      <c r="U5" s="1"/>
      <c r="V5" s="6"/>
      <c r="W5" s="6"/>
    </row>
    <row r="6" ht="15.75" customHeight="1">
      <c r="A6" s="9" t="s">
        <v>16</v>
      </c>
      <c r="B6" s="10" t="s">
        <v>0</v>
      </c>
      <c r="C6" s="1" t="s">
        <v>18</v>
      </c>
      <c r="D6" s="9" t="s">
        <v>0</v>
      </c>
      <c r="E6" s="11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f t="shared" si="1"/>
        <v>0</v>
      </c>
      <c r="Q6" s="1"/>
      <c r="R6" s="1"/>
      <c r="S6" s="1"/>
      <c r="T6" s="1"/>
      <c r="U6" s="1"/>
      <c r="V6" s="6"/>
      <c r="W6" s="6"/>
    </row>
    <row r="7" ht="15.75" customHeight="1">
      <c r="A7" s="9" t="s">
        <v>16</v>
      </c>
      <c r="B7" s="10" t="s">
        <v>0</v>
      </c>
      <c r="C7" s="1" t="s">
        <v>19</v>
      </c>
      <c r="D7" s="9" t="s">
        <v>0</v>
      </c>
      <c r="E7" s="11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f t="shared" si="1"/>
        <v>0</v>
      </c>
      <c r="Q7" s="1"/>
      <c r="R7" s="1"/>
      <c r="S7" s="1"/>
      <c r="T7" s="1"/>
      <c r="U7" s="1"/>
      <c r="V7" s="6"/>
      <c r="W7" s="6"/>
    </row>
    <row r="8" ht="15.75" customHeight="1">
      <c r="A8" s="9" t="s">
        <v>16</v>
      </c>
      <c r="B8" s="10" t="s">
        <v>0</v>
      </c>
      <c r="C8" s="1" t="s">
        <v>20</v>
      </c>
      <c r="D8" s="9" t="s">
        <v>0</v>
      </c>
      <c r="E8" s="11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f t="shared" si="1"/>
        <v>0</v>
      </c>
      <c r="Q8" s="1"/>
      <c r="R8" s="1"/>
      <c r="S8" s="1"/>
      <c r="T8" s="1"/>
      <c r="U8" s="1"/>
      <c r="V8" s="6"/>
      <c r="W8" s="6"/>
    </row>
    <row r="9" ht="15.75" customHeight="1">
      <c r="A9" s="9" t="s">
        <v>16</v>
      </c>
      <c r="B9" s="10" t="s">
        <v>0</v>
      </c>
      <c r="C9" s="1" t="s">
        <v>21</v>
      </c>
      <c r="D9" s="9" t="s">
        <v>0</v>
      </c>
      <c r="E9" s="11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f t="shared" si="1"/>
        <v>0</v>
      </c>
      <c r="Q9" s="1"/>
      <c r="R9" s="1"/>
      <c r="S9" s="1"/>
      <c r="T9" s="1"/>
      <c r="U9" s="1"/>
      <c r="V9" s="6"/>
      <c r="W9" s="6"/>
    </row>
    <row r="10" ht="15.75" customHeight="1">
      <c r="A10" s="9" t="s">
        <v>16</v>
      </c>
      <c r="B10" s="10" t="s">
        <v>0</v>
      </c>
      <c r="C10" s="1" t="s">
        <v>22</v>
      </c>
      <c r="D10" s="9" t="s">
        <v>0</v>
      </c>
      <c r="E10" s="11">
        <v>2.3096E7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1.2E7</v>
      </c>
      <c r="O10" s="2">
        <v>0.0</v>
      </c>
      <c r="P10" s="2">
        <f t="shared" si="1"/>
        <v>11096000</v>
      </c>
      <c r="Q10" s="1"/>
      <c r="R10" s="1"/>
      <c r="S10" s="1"/>
      <c r="T10" s="1"/>
      <c r="U10" s="1"/>
      <c r="V10" s="6"/>
      <c r="W10" s="6"/>
    </row>
    <row r="11" ht="15.75" customHeight="1">
      <c r="A11" s="9" t="s">
        <v>16</v>
      </c>
      <c r="B11" s="10" t="s">
        <v>0</v>
      </c>
      <c r="C11" s="1" t="s">
        <v>23</v>
      </c>
      <c r="D11" s="9" t="s">
        <v>0</v>
      </c>
      <c r="E11" s="11">
        <v>0.0</v>
      </c>
      <c r="F11" s="2">
        <v>0.0</v>
      </c>
      <c r="G11" s="2">
        <v>0.0</v>
      </c>
      <c r="H11" s="2">
        <v>-4.5E8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f t="shared" si="1"/>
        <v>450000000</v>
      </c>
      <c r="Q11" s="1"/>
      <c r="R11" s="1"/>
      <c r="S11" s="1"/>
      <c r="T11" s="1"/>
      <c r="U11" s="1"/>
      <c r="V11" s="6"/>
      <c r="W11" s="6"/>
    </row>
    <row r="12" ht="15.75" customHeight="1">
      <c r="A12" s="9" t="s">
        <v>16</v>
      </c>
      <c r="B12" s="10" t="s">
        <v>0</v>
      </c>
      <c r="C12" s="1" t="s">
        <v>24</v>
      </c>
      <c r="D12" s="9" t="s">
        <v>0</v>
      </c>
      <c r="E12" s="11">
        <v>5000000.0</v>
      </c>
      <c r="F12" s="2">
        <v>0.0</v>
      </c>
      <c r="G12" s="2">
        <v>-2.405E7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5000000.0</v>
      </c>
      <c r="O12" s="2">
        <v>0.0</v>
      </c>
      <c r="P12" s="2">
        <f t="shared" si="1"/>
        <v>24050000</v>
      </c>
      <c r="Q12" s="1"/>
      <c r="R12" s="1"/>
      <c r="S12" s="1"/>
      <c r="T12" s="1"/>
      <c r="U12" s="1"/>
      <c r="V12" s="6"/>
      <c r="W12" s="6"/>
    </row>
    <row r="13" ht="15.75" customHeight="1">
      <c r="A13" s="9" t="s">
        <v>16</v>
      </c>
      <c r="B13" s="10" t="s">
        <v>0</v>
      </c>
      <c r="C13" s="1" t="s">
        <v>25</v>
      </c>
      <c r="D13" s="9" t="s">
        <v>0</v>
      </c>
      <c r="E13" s="11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f t="shared" si="1"/>
        <v>0</v>
      </c>
      <c r="Q13" s="1"/>
      <c r="R13" s="1"/>
      <c r="S13" s="1"/>
      <c r="T13" s="1"/>
      <c r="U13" s="1"/>
      <c r="V13" s="6"/>
      <c r="W13" s="6"/>
    </row>
    <row r="14" ht="15.75" customHeight="1">
      <c r="A14" s="9" t="s">
        <v>16</v>
      </c>
      <c r="B14" s="10" t="s">
        <v>0</v>
      </c>
      <c r="C14" s="1" t="s">
        <v>26</v>
      </c>
      <c r="D14" s="9" t="s">
        <v>0</v>
      </c>
      <c r="E14" s="11">
        <v>0.0</v>
      </c>
      <c r="F14" s="2">
        <v>0.0</v>
      </c>
      <c r="G14" s="2">
        <v>-5.0E8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f t="shared" si="1"/>
        <v>500000000</v>
      </c>
      <c r="Q14" s="1"/>
      <c r="R14" s="1"/>
      <c r="S14" s="1"/>
      <c r="T14" s="1"/>
      <c r="U14" s="1"/>
      <c r="V14" s="6"/>
      <c r="W14" s="6"/>
    </row>
    <row r="15" ht="15.75" customHeight="1">
      <c r="A15" s="9" t="s">
        <v>16</v>
      </c>
      <c r="B15" s="10" t="s">
        <v>0</v>
      </c>
      <c r="C15" s="1" t="s">
        <v>27</v>
      </c>
      <c r="D15" s="9" t="s">
        <v>0</v>
      </c>
      <c r="E15" s="11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f t="shared" si="1"/>
        <v>0</v>
      </c>
      <c r="Q15" s="1"/>
      <c r="R15" s="1"/>
      <c r="S15" s="1"/>
      <c r="T15" s="1"/>
      <c r="U15" s="1"/>
      <c r="V15" s="6"/>
      <c r="W15" s="6"/>
    </row>
    <row r="16" ht="15.75" customHeight="1">
      <c r="A16" s="9" t="s">
        <v>16</v>
      </c>
      <c r="B16" s="10" t="s">
        <v>0</v>
      </c>
      <c r="C16" s="1" t="s">
        <v>28</v>
      </c>
      <c r="D16" s="9" t="s">
        <v>0</v>
      </c>
      <c r="E16" s="11">
        <v>0.0</v>
      </c>
      <c r="F16" s="2">
        <v>0.0</v>
      </c>
      <c r="G16" s="2">
        <v>-1.0E7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f t="shared" si="1"/>
        <v>10000000</v>
      </c>
      <c r="Q16" s="1"/>
      <c r="R16" s="1"/>
      <c r="S16" s="1"/>
      <c r="T16" s="1"/>
      <c r="U16" s="1"/>
      <c r="V16" s="6"/>
      <c r="W16" s="6"/>
    </row>
    <row r="17" ht="15.75" customHeight="1">
      <c r="A17" s="9" t="s">
        <v>29</v>
      </c>
      <c r="B17" s="10">
        <v>2025.0</v>
      </c>
      <c r="C17" s="12" t="s">
        <v>30</v>
      </c>
      <c r="D17" s="1" t="s">
        <v>31</v>
      </c>
      <c r="E17" s="2">
        <v>400000.0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400000.0</v>
      </c>
      <c r="O17" s="2">
        <v>0.0</v>
      </c>
      <c r="P17" s="2">
        <f t="shared" si="1"/>
        <v>0</v>
      </c>
      <c r="Q17" s="1"/>
      <c r="R17" s="1"/>
      <c r="S17" s="1"/>
      <c r="T17" s="1"/>
      <c r="U17" s="1"/>
      <c r="V17" s="6"/>
      <c r="W17" s="6"/>
    </row>
    <row r="18" ht="15.75" customHeight="1">
      <c r="A18" s="9" t="s">
        <v>29</v>
      </c>
      <c r="B18" s="10">
        <v>2025.0</v>
      </c>
      <c r="C18" s="12" t="s">
        <v>30</v>
      </c>
      <c r="D18" s="1" t="s">
        <v>32</v>
      </c>
      <c r="E18" s="2">
        <v>800000.0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800000.0</v>
      </c>
      <c r="O18" s="2">
        <v>0.0</v>
      </c>
      <c r="P18" s="2">
        <f t="shared" si="1"/>
        <v>0</v>
      </c>
      <c r="Q18" s="1"/>
      <c r="R18" s="1"/>
      <c r="S18" s="1"/>
      <c r="T18" s="1"/>
      <c r="U18" s="1"/>
      <c r="V18" s="6"/>
      <c r="W18" s="6"/>
    </row>
    <row r="19" ht="15.75" customHeight="1">
      <c r="A19" s="9" t="s">
        <v>29</v>
      </c>
      <c r="B19" s="10">
        <v>2025.0</v>
      </c>
      <c r="C19" s="12" t="s">
        <v>30</v>
      </c>
      <c r="D19" s="1" t="s">
        <v>33</v>
      </c>
      <c r="E19" s="2">
        <v>800000.0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800000.0</v>
      </c>
      <c r="O19" s="2">
        <v>0.0</v>
      </c>
      <c r="P19" s="2">
        <f t="shared" si="1"/>
        <v>0</v>
      </c>
      <c r="Q19" s="1"/>
      <c r="R19" s="1"/>
      <c r="S19" s="1"/>
      <c r="T19" s="1"/>
      <c r="U19" s="1"/>
      <c r="V19" s="6"/>
      <c r="W19" s="6"/>
    </row>
    <row r="20" ht="15.75" customHeight="1">
      <c r="A20" s="9" t="s">
        <v>29</v>
      </c>
      <c r="B20" s="10">
        <v>2025.0</v>
      </c>
      <c r="C20" s="12" t="s">
        <v>34</v>
      </c>
      <c r="D20" s="1" t="s">
        <v>35</v>
      </c>
      <c r="E20" s="2">
        <v>400000.0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400000.0</v>
      </c>
      <c r="O20" s="2">
        <v>0.0</v>
      </c>
      <c r="P20" s="2">
        <f t="shared" si="1"/>
        <v>0</v>
      </c>
      <c r="Q20" s="1"/>
      <c r="R20" s="1"/>
      <c r="S20" s="1"/>
      <c r="T20" s="1"/>
      <c r="U20" s="1"/>
      <c r="V20" s="6"/>
      <c r="W20" s="6"/>
    </row>
    <row r="21" ht="15.75" customHeight="1">
      <c r="A21" s="9" t="s">
        <v>29</v>
      </c>
      <c r="B21" s="10">
        <v>2025.0</v>
      </c>
      <c r="C21" s="12" t="s">
        <v>30</v>
      </c>
      <c r="D21" s="13" t="s">
        <v>36</v>
      </c>
      <c r="E21" s="2">
        <v>300000.0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300000.0</v>
      </c>
      <c r="O21" s="2">
        <v>0.0</v>
      </c>
      <c r="P21" s="2">
        <f t="shared" si="1"/>
        <v>0</v>
      </c>
      <c r="Q21" s="1"/>
      <c r="R21" s="1"/>
      <c r="S21" s="1"/>
      <c r="T21" s="1"/>
      <c r="U21" s="1"/>
      <c r="V21" s="6"/>
      <c r="W21" s="6"/>
    </row>
    <row r="22" ht="15.75" customHeight="1">
      <c r="A22" s="9" t="s">
        <v>29</v>
      </c>
      <c r="B22" s="10">
        <v>2025.0</v>
      </c>
      <c r="C22" s="12" t="s">
        <v>30</v>
      </c>
      <c r="D22" s="13" t="s">
        <v>37</v>
      </c>
      <c r="E22" s="2">
        <v>800000.0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800000.0</v>
      </c>
      <c r="O22" s="2">
        <v>0.0</v>
      </c>
      <c r="P22" s="2">
        <f t="shared" si="1"/>
        <v>0</v>
      </c>
      <c r="Q22" s="1"/>
      <c r="R22" s="1"/>
      <c r="S22" s="1"/>
      <c r="T22" s="1"/>
      <c r="U22" s="1"/>
      <c r="V22" s="6"/>
      <c r="W22" s="6"/>
    </row>
    <row r="23" ht="15.75" customHeight="1">
      <c r="A23" s="9" t="s">
        <v>29</v>
      </c>
      <c r="B23" s="10">
        <v>2025.0</v>
      </c>
      <c r="C23" s="12" t="s">
        <v>38</v>
      </c>
      <c r="D23" s="1" t="s">
        <v>39</v>
      </c>
      <c r="E23" s="2">
        <v>1500000.0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1500000.0</v>
      </c>
      <c r="O23" s="2">
        <v>0.0</v>
      </c>
      <c r="P23" s="2">
        <f t="shared" si="1"/>
        <v>0</v>
      </c>
      <c r="Q23" s="1"/>
      <c r="R23" s="1"/>
      <c r="S23" s="1"/>
      <c r="T23" s="1"/>
      <c r="U23" s="1"/>
      <c r="V23" s="6"/>
      <c r="W23" s="6"/>
    </row>
    <row r="24" ht="15.75" customHeight="1">
      <c r="A24" s="9" t="s">
        <v>29</v>
      </c>
      <c r="B24" s="10">
        <v>2025.0</v>
      </c>
      <c r="C24" s="12" t="s">
        <v>38</v>
      </c>
      <c r="D24" s="1" t="s">
        <v>40</v>
      </c>
      <c r="E24" s="2">
        <v>1500000.0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1500000.0</v>
      </c>
      <c r="O24" s="2">
        <v>0.0</v>
      </c>
      <c r="P24" s="2">
        <f t="shared" si="1"/>
        <v>0</v>
      </c>
      <c r="Q24" s="1"/>
      <c r="R24" s="1"/>
      <c r="S24" s="1"/>
      <c r="T24" s="1"/>
      <c r="U24" s="1"/>
      <c r="V24" s="6"/>
      <c r="W24" s="6"/>
    </row>
    <row r="25" ht="15.75" customHeight="1">
      <c r="A25" s="9" t="s">
        <v>29</v>
      </c>
      <c r="B25" s="10">
        <v>2025.0</v>
      </c>
      <c r="C25" s="12" t="s">
        <v>41</v>
      </c>
      <c r="D25" s="1" t="s">
        <v>42</v>
      </c>
      <c r="E25" s="2">
        <v>-3.75E7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-3.75E7</v>
      </c>
      <c r="O25" s="2">
        <v>0.0</v>
      </c>
      <c r="P25" s="2">
        <f t="shared" si="1"/>
        <v>0</v>
      </c>
      <c r="Q25" s="1"/>
      <c r="R25" s="1"/>
      <c r="S25" s="1"/>
      <c r="T25" s="1"/>
      <c r="U25" s="1"/>
      <c r="V25" s="6"/>
      <c r="W25" s="6"/>
    </row>
    <row r="26" ht="15.75" customHeight="1">
      <c r="A26" s="9" t="s">
        <v>29</v>
      </c>
      <c r="B26" s="10">
        <v>2025.0</v>
      </c>
      <c r="C26" s="12" t="s">
        <v>43</v>
      </c>
      <c r="D26" s="1" t="s">
        <v>44</v>
      </c>
      <c r="E26" s="2">
        <v>2050000.0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2050000.0</v>
      </c>
      <c r="O26" s="2">
        <v>0.0</v>
      </c>
      <c r="P26" s="2">
        <f t="shared" si="1"/>
        <v>0</v>
      </c>
      <c r="Q26" s="1"/>
      <c r="R26" s="1"/>
      <c r="S26" s="1"/>
      <c r="T26" s="1"/>
      <c r="U26" s="1"/>
      <c r="V26" s="6"/>
      <c r="W26" s="6"/>
    </row>
    <row r="27" ht="15.75" customHeight="1">
      <c r="A27" s="9" t="s">
        <v>29</v>
      </c>
      <c r="B27" s="10">
        <v>2025.0</v>
      </c>
      <c r="C27" s="14" t="s">
        <v>43</v>
      </c>
      <c r="D27" s="1" t="s">
        <v>45</v>
      </c>
      <c r="E27" s="2">
        <v>2050000.0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2050000.0</v>
      </c>
      <c r="O27" s="2">
        <v>0.0</v>
      </c>
      <c r="P27" s="2">
        <f t="shared" si="1"/>
        <v>0</v>
      </c>
      <c r="Q27" s="1"/>
      <c r="R27" s="1"/>
      <c r="S27" s="1"/>
      <c r="T27" s="1"/>
      <c r="U27" s="1"/>
      <c r="V27" s="6"/>
      <c r="W27" s="6"/>
    </row>
    <row r="28" ht="15.75" customHeight="1">
      <c r="A28" s="9" t="s">
        <v>29</v>
      </c>
      <c r="B28" s="10">
        <v>2025.0</v>
      </c>
      <c r="C28" s="14" t="s">
        <v>43</v>
      </c>
      <c r="D28" s="1" t="s">
        <v>46</v>
      </c>
      <c r="E28" s="2">
        <v>2050000.0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2050000.0</v>
      </c>
      <c r="O28" s="2">
        <v>0.0</v>
      </c>
      <c r="P28" s="2">
        <f t="shared" si="1"/>
        <v>0</v>
      </c>
      <c r="Q28" s="1"/>
      <c r="R28" s="1"/>
      <c r="S28" s="1"/>
      <c r="T28" s="1"/>
      <c r="U28" s="1"/>
      <c r="V28" s="6"/>
      <c r="W28" s="6"/>
    </row>
    <row r="29" ht="15.75" customHeight="1">
      <c r="A29" s="9" t="s">
        <v>29</v>
      </c>
      <c r="B29" s="10">
        <v>2025.0</v>
      </c>
      <c r="C29" s="14" t="s">
        <v>47</v>
      </c>
      <c r="D29" s="1" t="s">
        <v>48</v>
      </c>
      <c r="E29" s="2">
        <v>450000.0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450000.0</v>
      </c>
      <c r="O29" s="2">
        <v>0.0</v>
      </c>
      <c r="P29" s="2">
        <f t="shared" si="1"/>
        <v>0</v>
      </c>
      <c r="Q29" s="1"/>
      <c r="R29" s="1"/>
      <c r="S29" s="1"/>
      <c r="T29" s="1"/>
      <c r="U29" s="1"/>
      <c r="V29" s="6"/>
      <c r="W29" s="6"/>
    </row>
    <row r="30" ht="15.75" customHeight="1">
      <c r="A30" s="9" t="s">
        <v>29</v>
      </c>
      <c r="B30" s="10">
        <v>2025.0</v>
      </c>
      <c r="C30" s="14" t="s">
        <v>49</v>
      </c>
      <c r="D30" s="1" t="s">
        <v>50</v>
      </c>
      <c r="E30" s="2">
        <v>150000.0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150000.0</v>
      </c>
      <c r="O30" s="2">
        <v>0.0</v>
      </c>
      <c r="P30" s="2">
        <f t="shared" si="1"/>
        <v>0</v>
      </c>
      <c r="Q30" s="1"/>
      <c r="R30" s="1"/>
      <c r="S30" s="1"/>
      <c r="T30" s="1"/>
      <c r="U30" s="1"/>
      <c r="V30" s="6"/>
      <c r="W30" s="6"/>
    </row>
    <row r="31" ht="15.75" customHeight="1">
      <c r="A31" s="9" t="s">
        <v>29</v>
      </c>
      <c r="B31" s="10">
        <v>2025.0</v>
      </c>
      <c r="C31" s="14" t="s">
        <v>51</v>
      </c>
      <c r="D31" s="1" t="s">
        <v>52</v>
      </c>
      <c r="E31" s="2">
        <v>1400000.0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1400000.0</v>
      </c>
      <c r="O31" s="2">
        <v>0.0</v>
      </c>
      <c r="P31" s="2">
        <f t="shared" si="1"/>
        <v>0</v>
      </c>
      <c r="Q31" s="1"/>
      <c r="R31" s="1"/>
      <c r="S31" s="1"/>
      <c r="T31" s="1"/>
      <c r="U31" s="1"/>
      <c r="V31" s="6"/>
      <c r="W31" s="6"/>
    </row>
    <row r="32" ht="15.75" customHeight="1">
      <c r="A32" s="9" t="s">
        <v>29</v>
      </c>
      <c r="B32" s="10">
        <v>2025.0</v>
      </c>
      <c r="C32" s="14" t="s">
        <v>53</v>
      </c>
      <c r="D32" s="1" t="s">
        <v>54</v>
      </c>
      <c r="E32" s="2">
        <v>1450000.0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1450000.0</v>
      </c>
      <c r="O32" s="2">
        <v>0.0</v>
      </c>
      <c r="P32" s="2">
        <f t="shared" si="1"/>
        <v>0</v>
      </c>
      <c r="Q32" s="1"/>
      <c r="R32" s="1"/>
      <c r="S32" s="1"/>
      <c r="T32" s="1"/>
      <c r="U32" s="1"/>
      <c r="V32" s="6"/>
      <c r="W32" s="6"/>
    </row>
    <row r="33" ht="15.75" customHeight="1">
      <c r="A33" s="9" t="s">
        <v>29</v>
      </c>
      <c r="B33" s="10">
        <v>2025.0</v>
      </c>
      <c r="C33" s="14" t="s">
        <v>49</v>
      </c>
      <c r="D33" s="1" t="s">
        <v>55</v>
      </c>
      <c r="E33" s="2">
        <v>950000.0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950000.0</v>
      </c>
      <c r="O33" s="2">
        <v>0.0</v>
      </c>
      <c r="P33" s="2">
        <f t="shared" si="1"/>
        <v>0</v>
      </c>
      <c r="Q33" s="1"/>
      <c r="R33" s="1"/>
      <c r="S33" s="1"/>
      <c r="T33" s="1"/>
      <c r="U33" s="1"/>
      <c r="V33" s="6"/>
      <c r="W33" s="6"/>
    </row>
    <row r="34" ht="15.75" customHeight="1">
      <c r="A34" s="9" t="s">
        <v>29</v>
      </c>
      <c r="B34" s="10">
        <v>2025.0</v>
      </c>
      <c r="C34" s="14" t="s">
        <v>56</v>
      </c>
      <c r="D34" s="1" t="s">
        <v>57</v>
      </c>
      <c r="E34" s="2">
        <v>950000.0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950000.0</v>
      </c>
      <c r="O34" s="2">
        <v>0.0</v>
      </c>
      <c r="P34" s="2">
        <f t="shared" si="1"/>
        <v>0</v>
      </c>
      <c r="Q34" s="1"/>
      <c r="R34" s="1"/>
      <c r="S34" s="1"/>
      <c r="T34" s="1"/>
      <c r="U34" s="1"/>
      <c r="V34" s="6"/>
      <c r="W34" s="6"/>
    </row>
    <row r="35" ht="15.75" customHeight="1">
      <c r="A35" s="9" t="s">
        <v>29</v>
      </c>
      <c r="B35" s="10">
        <v>2025.0</v>
      </c>
      <c r="C35" s="14" t="s">
        <v>49</v>
      </c>
      <c r="D35" s="1" t="s">
        <v>58</v>
      </c>
      <c r="E35" s="2">
        <v>1350000.0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1350000.0</v>
      </c>
      <c r="O35" s="2">
        <v>0.0</v>
      </c>
      <c r="P35" s="2">
        <f t="shared" si="1"/>
        <v>0</v>
      </c>
      <c r="Q35" s="1"/>
      <c r="R35" s="1"/>
      <c r="S35" s="1"/>
      <c r="T35" s="1"/>
      <c r="U35" s="1"/>
      <c r="V35" s="6"/>
      <c r="W35" s="6"/>
    </row>
    <row r="36" ht="15.75" customHeight="1">
      <c r="A36" s="9" t="s">
        <v>29</v>
      </c>
      <c r="B36" s="10">
        <v>2025.0</v>
      </c>
      <c r="C36" s="14" t="s">
        <v>56</v>
      </c>
      <c r="D36" s="1" t="s">
        <v>59</v>
      </c>
      <c r="E36" s="2">
        <v>950000.0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950000.0</v>
      </c>
      <c r="O36" s="2">
        <v>0.0</v>
      </c>
      <c r="P36" s="2">
        <f t="shared" si="1"/>
        <v>0</v>
      </c>
      <c r="Q36" s="1"/>
      <c r="R36" s="1"/>
      <c r="S36" s="1"/>
      <c r="T36" s="1"/>
      <c r="U36" s="1"/>
      <c r="V36" s="6"/>
      <c r="W36" s="6"/>
    </row>
    <row r="37" ht="15.75" customHeight="1">
      <c r="A37" s="9" t="s">
        <v>29</v>
      </c>
      <c r="B37" s="10">
        <v>2025.0</v>
      </c>
      <c r="C37" s="14" t="s">
        <v>53</v>
      </c>
      <c r="D37" s="1" t="s">
        <v>60</v>
      </c>
      <c r="E37" s="2">
        <v>900000.0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900000.0</v>
      </c>
      <c r="O37" s="2">
        <v>0.0</v>
      </c>
      <c r="P37" s="2">
        <f t="shared" si="1"/>
        <v>0</v>
      </c>
      <c r="Q37" s="1"/>
      <c r="R37" s="1"/>
      <c r="S37" s="1"/>
      <c r="T37" s="1"/>
      <c r="U37" s="1"/>
      <c r="V37" s="6"/>
      <c r="W37" s="6"/>
    </row>
    <row r="38" ht="15.75" customHeight="1">
      <c r="A38" s="9" t="s">
        <v>29</v>
      </c>
      <c r="B38" s="10">
        <v>2025.0</v>
      </c>
      <c r="C38" s="14" t="s">
        <v>49</v>
      </c>
      <c r="D38" s="1" t="s">
        <v>61</v>
      </c>
      <c r="E38" s="2">
        <v>900000.0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900000.0</v>
      </c>
      <c r="O38" s="2">
        <v>0.0</v>
      </c>
      <c r="P38" s="2">
        <f t="shared" si="1"/>
        <v>0</v>
      </c>
      <c r="Q38" s="1"/>
      <c r="R38" s="1"/>
      <c r="S38" s="1"/>
      <c r="T38" s="1"/>
      <c r="U38" s="1"/>
      <c r="V38" s="6"/>
      <c r="W38" s="6"/>
    </row>
    <row r="39" ht="15.75" customHeight="1">
      <c r="A39" s="9" t="s">
        <v>29</v>
      </c>
      <c r="B39" s="10">
        <v>2025.0</v>
      </c>
      <c r="C39" s="14" t="s">
        <v>49</v>
      </c>
      <c r="D39" s="1" t="s">
        <v>62</v>
      </c>
      <c r="E39" s="2">
        <v>150000.0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150000.0</v>
      </c>
      <c r="O39" s="2">
        <v>0.0</v>
      </c>
      <c r="P39" s="2">
        <f t="shared" si="1"/>
        <v>0</v>
      </c>
      <c r="Q39" s="1"/>
      <c r="R39" s="1"/>
      <c r="S39" s="1"/>
      <c r="T39" s="1"/>
      <c r="U39" s="1"/>
      <c r="V39" s="6"/>
      <c r="W39" s="6"/>
    </row>
    <row r="40" ht="15.75" customHeight="1">
      <c r="A40" s="9" t="s">
        <v>29</v>
      </c>
      <c r="B40" s="10">
        <v>2025.0</v>
      </c>
      <c r="C40" s="14" t="s">
        <v>51</v>
      </c>
      <c r="D40" s="1" t="s">
        <v>63</v>
      </c>
      <c r="E40" s="2">
        <v>2100000.0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2100000.0</v>
      </c>
      <c r="O40" s="2">
        <v>0.0</v>
      </c>
      <c r="P40" s="2">
        <f t="shared" si="1"/>
        <v>0</v>
      </c>
      <c r="Q40" s="1"/>
      <c r="R40" s="1"/>
      <c r="S40" s="1"/>
      <c r="T40" s="1"/>
      <c r="U40" s="1"/>
      <c r="V40" s="6"/>
      <c r="W40" s="6"/>
    </row>
    <row r="41" ht="15.75" customHeight="1">
      <c r="A41" s="9" t="s">
        <v>29</v>
      </c>
      <c r="B41" s="10">
        <v>2025.0</v>
      </c>
      <c r="C41" s="14" t="s">
        <v>64</v>
      </c>
      <c r="D41" s="1" t="s">
        <v>65</v>
      </c>
      <c r="E41" s="2">
        <v>1250000.0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1250000.0</v>
      </c>
      <c r="O41" s="2">
        <v>0.0</v>
      </c>
      <c r="P41" s="2">
        <f t="shared" si="1"/>
        <v>0</v>
      </c>
      <c r="Q41" s="1"/>
      <c r="R41" s="1"/>
      <c r="S41" s="1"/>
      <c r="T41" s="1"/>
      <c r="U41" s="1"/>
      <c r="V41" s="6"/>
      <c r="W41" s="6"/>
    </row>
    <row r="42" ht="15.75" customHeight="1">
      <c r="A42" s="9" t="s">
        <v>29</v>
      </c>
      <c r="B42" s="10">
        <v>2025.0</v>
      </c>
      <c r="C42" s="14" t="s">
        <v>66</v>
      </c>
      <c r="D42" s="1" t="s">
        <v>67</v>
      </c>
      <c r="E42" s="2">
        <v>2000000.0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2000000.0</v>
      </c>
      <c r="O42" s="2">
        <v>0.0</v>
      </c>
      <c r="P42" s="2">
        <f t="shared" si="1"/>
        <v>0</v>
      </c>
      <c r="Q42" s="1"/>
      <c r="R42" s="1"/>
      <c r="S42" s="1"/>
      <c r="T42" s="1"/>
      <c r="U42" s="1"/>
      <c r="V42" s="6"/>
      <c r="W42" s="6"/>
    </row>
    <row r="43" ht="15.75" customHeight="1">
      <c r="A43" s="9" t="s">
        <v>29</v>
      </c>
      <c r="B43" s="10">
        <v>2025.0</v>
      </c>
      <c r="C43" s="14" t="s">
        <v>66</v>
      </c>
      <c r="D43" s="1" t="s">
        <v>68</v>
      </c>
      <c r="E43" s="2">
        <v>1450000.0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1450000.0</v>
      </c>
      <c r="O43" s="2">
        <v>0.0</v>
      </c>
      <c r="P43" s="2">
        <f t="shared" si="1"/>
        <v>0</v>
      </c>
      <c r="Q43" s="1"/>
      <c r="R43" s="1"/>
      <c r="S43" s="1"/>
      <c r="T43" s="1"/>
      <c r="U43" s="1"/>
      <c r="V43" s="6"/>
      <c r="W43" s="6"/>
    </row>
    <row r="44" ht="15.75" customHeight="1">
      <c r="A44" s="9" t="s">
        <v>29</v>
      </c>
      <c r="B44" s="10">
        <v>2025.0</v>
      </c>
      <c r="C44" s="14" t="s">
        <v>66</v>
      </c>
      <c r="D44" s="1" t="s">
        <v>69</v>
      </c>
      <c r="E44" s="2">
        <v>1450000.0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1450000.0</v>
      </c>
      <c r="O44" s="2">
        <v>0.0</v>
      </c>
      <c r="P44" s="2">
        <f t="shared" si="1"/>
        <v>0</v>
      </c>
      <c r="Q44" s="1"/>
      <c r="R44" s="1"/>
      <c r="S44" s="1"/>
      <c r="T44" s="1"/>
      <c r="U44" s="1"/>
      <c r="V44" s="6"/>
      <c r="W44" s="6"/>
    </row>
    <row r="45" ht="15.75" customHeight="1">
      <c r="A45" s="9" t="s">
        <v>29</v>
      </c>
      <c r="B45" s="10">
        <v>2025.0</v>
      </c>
      <c r="C45" s="14" t="s">
        <v>70</v>
      </c>
      <c r="D45" s="1" t="s">
        <v>71</v>
      </c>
      <c r="E45" s="2">
        <v>4080000.0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4080000.0</v>
      </c>
      <c r="O45" s="2">
        <v>0.0</v>
      </c>
      <c r="P45" s="2">
        <f t="shared" si="1"/>
        <v>0</v>
      </c>
      <c r="Q45" s="1"/>
      <c r="R45" s="1"/>
      <c r="S45" s="1"/>
      <c r="T45" s="1"/>
      <c r="U45" s="1"/>
      <c r="V45" s="6"/>
      <c r="W45" s="6"/>
    </row>
    <row r="46" ht="15.75" customHeight="1">
      <c r="A46" s="9" t="s">
        <v>29</v>
      </c>
      <c r="B46" s="10">
        <v>2025.0</v>
      </c>
      <c r="C46" s="14" t="s">
        <v>72</v>
      </c>
      <c r="D46" s="1" t="s">
        <v>73</v>
      </c>
      <c r="E46" s="2">
        <v>3640000.0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3640000.0</v>
      </c>
      <c r="O46" s="2">
        <v>0.0</v>
      </c>
      <c r="P46" s="2">
        <f t="shared" si="1"/>
        <v>0</v>
      </c>
      <c r="Q46" s="1"/>
      <c r="R46" s="1"/>
      <c r="S46" s="1"/>
      <c r="T46" s="1"/>
      <c r="U46" s="1"/>
      <c r="V46" s="6"/>
      <c r="W46" s="6"/>
    </row>
    <row r="47" ht="15.75" customHeight="1">
      <c r="A47" s="9" t="s">
        <v>29</v>
      </c>
      <c r="B47" s="10">
        <v>2025.0</v>
      </c>
      <c r="C47" s="14" t="s">
        <v>72</v>
      </c>
      <c r="D47" s="1" t="s">
        <v>74</v>
      </c>
      <c r="E47" s="2">
        <v>1432760.0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1432760.0</v>
      </c>
      <c r="O47" s="2">
        <v>0.0</v>
      </c>
      <c r="P47" s="2">
        <f t="shared" si="1"/>
        <v>0</v>
      </c>
      <c r="Q47" s="1"/>
      <c r="R47" s="1"/>
      <c r="S47" s="1"/>
      <c r="T47" s="1"/>
      <c r="U47" s="1"/>
      <c r="V47" s="6"/>
      <c r="W47" s="6"/>
    </row>
    <row r="48" ht="15.75" customHeight="1">
      <c r="A48" s="9" t="s">
        <v>29</v>
      </c>
      <c r="B48" s="10">
        <v>2025.0</v>
      </c>
      <c r="C48" s="14" t="s">
        <v>34</v>
      </c>
      <c r="D48" s="1" t="s">
        <v>75</v>
      </c>
      <c r="E48" s="2">
        <v>1.638E7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1.638E7</v>
      </c>
      <c r="O48" s="2">
        <v>0.0</v>
      </c>
      <c r="P48" s="2">
        <f t="shared" si="1"/>
        <v>0</v>
      </c>
      <c r="Q48" s="1"/>
      <c r="R48" s="1"/>
      <c r="S48" s="1"/>
      <c r="T48" s="1"/>
      <c r="U48" s="1"/>
      <c r="V48" s="6"/>
      <c r="W48" s="6"/>
    </row>
    <row r="49" ht="15.75" customHeight="1">
      <c r="A49" s="9" t="s">
        <v>29</v>
      </c>
      <c r="B49" s="10">
        <v>2025.0</v>
      </c>
      <c r="C49" s="14" t="s">
        <v>30</v>
      </c>
      <c r="D49" s="1" t="s">
        <v>76</v>
      </c>
      <c r="E49" s="2">
        <v>1500000.0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1500000.0</v>
      </c>
      <c r="O49" s="2">
        <v>0.0</v>
      </c>
      <c r="P49" s="2">
        <f t="shared" si="1"/>
        <v>0</v>
      </c>
      <c r="Q49" s="1"/>
      <c r="R49" s="1"/>
      <c r="S49" s="1"/>
      <c r="T49" s="1"/>
      <c r="U49" s="1"/>
      <c r="V49" s="6"/>
      <c r="W49" s="6"/>
    </row>
    <row r="50" ht="15.75" customHeight="1">
      <c r="A50" s="9" t="s">
        <v>29</v>
      </c>
      <c r="B50" s="10">
        <v>2025.0</v>
      </c>
      <c r="C50" s="14" t="s">
        <v>30</v>
      </c>
      <c r="D50" s="1" t="s">
        <v>77</v>
      </c>
      <c r="E50" s="2">
        <v>1000000.0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1000000.0</v>
      </c>
      <c r="O50" s="2">
        <v>0.0</v>
      </c>
      <c r="P50" s="2">
        <f t="shared" si="1"/>
        <v>0</v>
      </c>
      <c r="Q50" s="1"/>
      <c r="R50" s="1"/>
      <c r="S50" s="1"/>
      <c r="T50" s="1"/>
      <c r="U50" s="1"/>
      <c r="V50" s="6"/>
      <c r="W50" s="6"/>
    </row>
    <row r="51" ht="15.75" customHeight="1">
      <c r="A51" s="9" t="s">
        <v>29</v>
      </c>
      <c r="B51" s="10">
        <v>2025.0</v>
      </c>
      <c r="C51" s="14" t="s">
        <v>30</v>
      </c>
      <c r="D51" s="1" t="s">
        <v>78</v>
      </c>
      <c r="E51" s="2">
        <v>1000000.0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1000000.0</v>
      </c>
      <c r="O51" s="2">
        <v>0.0</v>
      </c>
      <c r="P51" s="2">
        <f t="shared" si="1"/>
        <v>0</v>
      </c>
      <c r="Q51" s="1"/>
      <c r="R51" s="1"/>
      <c r="S51" s="1"/>
      <c r="T51" s="1"/>
      <c r="U51" s="1"/>
      <c r="V51" s="6"/>
      <c r="W51" s="6"/>
    </row>
    <row r="52" ht="15.75" customHeight="1">
      <c r="A52" s="9" t="s">
        <v>29</v>
      </c>
      <c r="B52" s="10">
        <v>2025.0</v>
      </c>
      <c r="C52" s="14" t="s">
        <v>30</v>
      </c>
      <c r="D52" s="1" t="s">
        <v>79</v>
      </c>
      <c r="E52" s="2">
        <v>2000000.0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2000000.0</v>
      </c>
      <c r="O52" s="2">
        <v>0.0</v>
      </c>
      <c r="P52" s="2">
        <f t="shared" si="1"/>
        <v>0</v>
      </c>
      <c r="Q52" s="1"/>
      <c r="R52" s="1"/>
      <c r="S52" s="1"/>
      <c r="T52" s="1"/>
      <c r="U52" s="1"/>
      <c r="V52" s="6"/>
      <c r="W52" s="6"/>
    </row>
    <row r="53" ht="15.75" customHeight="1">
      <c r="A53" s="9" t="s">
        <v>29</v>
      </c>
      <c r="B53" s="10">
        <v>2025.0</v>
      </c>
      <c r="C53" s="14" t="s">
        <v>30</v>
      </c>
      <c r="D53" s="1" t="s">
        <v>80</v>
      </c>
      <c r="E53" s="2">
        <v>1.28E7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1.28E7</v>
      </c>
      <c r="O53" s="2">
        <v>0.0</v>
      </c>
      <c r="P53" s="2">
        <f t="shared" si="1"/>
        <v>0</v>
      </c>
      <c r="Q53" s="1"/>
      <c r="R53" s="1"/>
      <c r="S53" s="1"/>
      <c r="T53" s="1"/>
      <c r="U53" s="1"/>
      <c r="V53" s="6"/>
      <c r="W53" s="6"/>
    </row>
    <row r="54" ht="15.75" customHeight="1">
      <c r="A54" s="9" t="s">
        <v>29</v>
      </c>
      <c r="B54" s="10">
        <v>2025.0</v>
      </c>
      <c r="C54" s="14" t="s">
        <v>30</v>
      </c>
      <c r="D54" s="1" t="s">
        <v>81</v>
      </c>
      <c r="E54" s="2">
        <v>560000.0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560000.0</v>
      </c>
      <c r="O54" s="2">
        <v>0.0</v>
      </c>
      <c r="P54" s="2">
        <f t="shared" si="1"/>
        <v>0</v>
      </c>
      <c r="Q54" s="1"/>
      <c r="R54" s="1"/>
      <c r="S54" s="1"/>
      <c r="T54" s="1"/>
      <c r="U54" s="1"/>
      <c r="V54" s="6"/>
      <c r="W54" s="6"/>
    </row>
    <row r="55" ht="15.75" customHeight="1">
      <c r="A55" s="9" t="s">
        <v>29</v>
      </c>
      <c r="B55" s="10">
        <v>2025.0</v>
      </c>
      <c r="C55" s="14" t="s">
        <v>34</v>
      </c>
      <c r="D55" s="1" t="s">
        <v>82</v>
      </c>
      <c r="E55" s="2">
        <v>-780000.0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-780000.0</v>
      </c>
      <c r="O55" s="2">
        <v>0.0</v>
      </c>
      <c r="P55" s="2">
        <f t="shared" si="1"/>
        <v>0</v>
      </c>
      <c r="Q55" s="1"/>
      <c r="R55" s="1"/>
      <c r="S55" s="1"/>
      <c r="T55" s="1"/>
      <c r="U55" s="1"/>
      <c r="V55" s="6"/>
      <c r="W55" s="6"/>
    </row>
    <row r="56" ht="15.75" customHeight="1">
      <c r="A56" s="9" t="s">
        <v>29</v>
      </c>
      <c r="B56" s="10">
        <v>2025.0</v>
      </c>
      <c r="C56" s="14" t="s">
        <v>47</v>
      </c>
      <c r="D56" s="1" t="s">
        <v>83</v>
      </c>
      <c r="E56" s="2">
        <v>-80000.0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-80000.0</v>
      </c>
      <c r="O56" s="2">
        <v>0.0</v>
      </c>
      <c r="P56" s="2">
        <f t="shared" si="1"/>
        <v>0</v>
      </c>
      <c r="Q56" s="1"/>
      <c r="R56" s="1"/>
      <c r="S56" s="1"/>
      <c r="T56" s="1"/>
      <c r="U56" s="1"/>
      <c r="V56" s="6"/>
      <c r="W56" s="6"/>
    </row>
    <row r="57" ht="15.75" customHeight="1">
      <c r="A57" s="9" t="s">
        <v>29</v>
      </c>
      <c r="B57" s="10">
        <v>2025.0</v>
      </c>
      <c r="C57" s="14" t="s">
        <v>38</v>
      </c>
      <c r="D57" s="1" t="s">
        <v>84</v>
      </c>
      <c r="E57" s="2">
        <v>5.005E7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5.005E7</v>
      </c>
      <c r="O57" s="2">
        <v>0.0</v>
      </c>
      <c r="P57" s="2">
        <f t="shared" si="1"/>
        <v>0</v>
      </c>
      <c r="Q57" s="1"/>
      <c r="R57" s="1"/>
      <c r="S57" s="1"/>
      <c r="T57" s="1"/>
      <c r="U57" s="1"/>
      <c r="V57" s="6"/>
      <c r="W57" s="6"/>
    </row>
    <row r="58" ht="15.75" customHeight="1">
      <c r="A58" s="9" t="s">
        <v>29</v>
      </c>
      <c r="B58" s="10">
        <v>2025.0</v>
      </c>
      <c r="C58" s="14" t="s">
        <v>85</v>
      </c>
      <c r="D58" s="1" t="s">
        <v>86</v>
      </c>
      <c r="E58" s="2">
        <v>1.40215E7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1.40215E7</v>
      </c>
      <c r="O58" s="2">
        <v>0.0</v>
      </c>
      <c r="P58" s="2">
        <f t="shared" si="1"/>
        <v>0</v>
      </c>
      <c r="Q58" s="1"/>
      <c r="R58" s="1"/>
      <c r="S58" s="1"/>
      <c r="T58" s="1"/>
      <c r="U58" s="1"/>
      <c r="V58" s="6"/>
      <c r="W58" s="6"/>
    </row>
    <row r="59" ht="15.75" customHeight="1">
      <c r="A59" s="9" t="s">
        <v>29</v>
      </c>
      <c r="B59" s="10">
        <v>2025.0</v>
      </c>
      <c r="C59" s="14" t="s">
        <v>85</v>
      </c>
      <c r="D59" s="1" t="s">
        <v>87</v>
      </c>
      <c r="E59" s="2">
        <v>550000.0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550000.0</v>
      </c>
      <c r="O59" s="2">
        <v>0.0</v>
      </c>
      <c r="P59" s="2">
        <f t="shared" si="1"/>
        <v>0</v>
      </c>
      <c r="Q59" s="1"/>
      <c r="R59" s="1"/>
      <c r="S59" s="1"/>
      <c r="T59" s="1"/>
      <c r="U59" s="1"/>
      <c r="V59" s="6"/>
      <c r="W59" s="6"/>
    </row>
    <row r="60" ht="15.75" customHeight="1">
      <c r="A60" s="9" t="s">
        <v>29</v>
      </c>
      <c r="B60" s="10">
        <v>2025.0</v>
      </c>
      <c r="C60" s="14" t="s">
        <v>85</v>
      </c>
      <c r="D60" s="1" t="s">
        <v>88</v>
      </c>
      <c r="E60" s="2">
        <v>4182300.0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4182300.0</v>
      </c>
      <c r="O60" s="2">
        <v>0.0</v>
      </c>
      <c r="P60" s="2">
        <f t="shared" si="1"/>
        <v>0</v>
      </c>
      <c r="Q60" s="1"/>
      <c r="R60" s="1"/>
      <c r="S60" s="1"/>
      <c r="T60" s="1"/>
      <c r="U60" s="1"/>
      <c r="V60" s="6"/>
      <c r="W60" s="6"/>
    </row>
    <row r="61" ht="15.75" customHeight="1">
      <c r="A61" s="9" t="s">
        <v>29</v>
      </c>
      <c r="B61" s="10">
        <v>2025.0</v>
      </c>
      <c r="C61" s="14" t="s">
        <v>38</v>
      </c>
      <c r="D61" s="1" t="s">
        <v>89</v>
      </c>
      <c r="E61" s="2">
        <v>2.35125E7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2.35125E7</v>
      </c>
      <c r="O61" s="2">
        <v>0.0</v>
      </c>
      <c r="P61" s="2">
        <f t="shared" si="1"/>
        <v>0</v>
      </c>
      <c r="Q61" s="1"/>
      <c r="R61" s="1"/>
      <c r="S61" s="1"/>
      <c r="T61" s="1"/>
      <c r="U61" s="1"/>
      <c r="V61" s="6"/>
      <c r="W61" s="6"/>
    </row>
    <row r="62" ht="15.75" customHeight="1">
      <c r="A62" s="9" t="s">
        <v>29</v>
      </c>
      <c r="B62" s="10">
        <v>2025.0</v>
      </c>
      <c r="C62" s="14" t="s">
        <v>90</v>
      </c>
      <c r="D62" s="1" t="s">
        <v>91</v>
      </c>
      <c r="E62" s="2">
        <v>3240000.0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3240000.0</v>
      </c>
      <c r="O62" s="2">
        <v>0.0</v>
      </c>
      <c r="P62" s="2">
        <f t="shared" si="1"/>
        <v>0</v>
      </c>
      <c r="Q62" s="1"/>
      <c r="R62" s="1"/>
      <c r="S62" s="1"/>
      <c r="T62" s="1"/>
      <c r="U62" s="1"/>
      <c r="V62" s="6"/>
      <c r="W62" s="6"/>
    </row>
    <row r="63" ht="15.75" customHeight="1">
      <c r="A63" s="9" t="s">
        <v>29</v>
      </c>
      <c r="B63" s="10">
        <v>2025.0</v>
      </c>
      <c r="C63" s="14" t="s">
        <v>92</v>
      </c>
      <c r="D63" s="1" t="s">
        <v>93</v>
      </c>
      <c r="E63" s="2">
        <v>2400000.0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f t="shared" si="1"/>
        <v>2400000</v>
      </c>
      <c r="Q63" s="1"/>
      <c r="R63" s="1"/>
      <c r="S63" s="1"/>
      <c r="T63" s="1"/>
      <c r="U63" s="1"/>
      <c r="V63" s="6"/>
      <c r="W63" s="6"/>
    </row>
    <row r="64" ht="15.75" customHeight="1">
      <c r="A64" s="9" t="s">
        <v>29</v>
      </c>
      <c r="B64" s="10">
        <v>2025.0</v>
      </c>
      <c r="C64" s="14" t="s">
        <v>94</v>
      </c>
      <c r="D64" s="1" t="s">
        <v>95</v>
      </c>
      <c r="E64" s="2">
        <v>2.3101903E7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2.3101903E7</v>
      </c>
      <c r="O64" s="2">
        <v>0.0</v>
      </c>
      <c r="P64" s="2">
        <f t="shared" si="1"/>
        <v>0</v>
      </c>
      <c r="Q64" s="1"/>
      <c r="R64" s="1"/>
      <c r="S64" s="1"/>
      <c r="T64" s="1"/>
      <c r="U64" s="1"/>
      <c r="V64" s="6"/>
      <c r="W64" s="6"/>
    </row>
    <row r="65" ht="15.75" customHeight="1">
      <c r="A65" s="9" t="s">
        <v>29</v>
      </c>
      <c r="B65" s="10">
        <v>2025.0</v>
      </c>
      <c r="C65" s="14" t="s">
        <v>90</v>
      </c>
      <c r="D65" s="1" t="s">
        <v>96</v>
      </c>
      <c r="E65" s="2">
        <v>3202500.0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3202500.0</v>
      </c>
      <c r="O65" s="2">
        <v>0.0</v>
      </c>
      <c r="P65" s="2">
        <f t="shared" si="1"/>
        <v>0</v>
      </c>
      <c r="Q65" s="1"/>
      <c r="R65" s="1"/>
      <c r="S65" s="1"/>
      <c r="T65" s="1"/>
      <c r="U65" s="1"/>
      <c r="V65" s="6"/>
      <c r="W65" s="6"/>
    </row>
    <row r="66" ht="15.75" customHeight="1">
      <c r="A66" s="9" t="s">
        <v>29</v>
      </c>
      <c r="B66" s="10">
        <v>2025.0</v>
      </c>
      <c r="C66" s="14" t="s">
        <v>85</v>
      </c>
      <c r="D66" s="1" t="s">
        <v>97</v>
      </c>
      <c r="E66" s="2">
        <v>701000.0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701000.0</v>
      </c>
      <c r="O66" s="2">
        <v>0.0</v>
      </c>
      <c r="P66" s="2">
        <f t="shared" si="1"/>
        <v>0</v>
      </c>
      <c r="Q66" s="1"/>
      <c r="R66" s="1"/>
      <c r="S66" s="1"/>
      <c r="T66" s="1"/>
      <c r="U66" s="1"/>
      <c r="V66" s="6"/>
      <c r="W66" s="6"/>
    </row>
    <row r="67" ht="15.75" customHeight="1">
      <c r="A67" s="9" t="s">
        <v>29</v>
      </c>
      <c r="B67" s="10">
        <v>2025.0</v>
      </c>
      <c r="C67" s="14" t="s">
        <v>90</v>
      </c>
      <c r="D67" s="1" t="s">
        <v>98</v>
      </c>
      <c r="E67" s="2">
        <v>2800000.0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2800000.0</v>
      </c>
      <c r="O67" s="2">
        <v>0.0</v>
      </c>
      <c r="P67" s="2">
        <f t="shared" si="1"/>
        <v>0</v>
      </c>
      <c r="Q67" s="1"/>
      <c r="R67" s="1"/>
      <c r="S67" s="1"/>
      <c r="T67" s="1"/>
      <c r="U67" s="1"/>
      <c r="V67" s="6"/>
      <c r="W67" s="6"/>
    </row>
    <row r="68" ht="15.75" customHeight="1">
      <c r="A68" s="9" t="s">
        <v>29</v>
      </c>
      <c r="B68" s="10">
        <v>2025.0</v>
      </c>
      <c r="C68" s="14" t="s">
        <v>99</v>
      </c>
      <c r="D68" s="1" t="s">
        <v>100</v>
      </c>
      <c r="E68" s="2">
        <v>1500000.0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f t="shared" si="1"/>
        <v>1500000</v>
      </c>
      <c r="Q68" s="1"/>
      <c r="R68" s="1"/>
      <c r="S68" s="1"/>
      <c r="T68" s="1"/>
      <c r="U68" s="1"/>
      <c r="V68" s="6"/>
      <c r="W68" s="6"/>
    </row>
    <row r="69" ht="15.75" customHeight="1">
      <c r="A69" s="9" t="s">
        <v>29</v>
      </c>
      <c r="B69" s="10">
        <v>2025.0</v>
      </c>
      <c r="C69" s="14" t="s">
        <v>43</v>
      </c>
      <c r="D69" s="1" t="s">
        <v>101</v>
      </c>
      <c r="E69" s="2">
        <v>6.679E7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6.679E7</v>
      </c>
      <c r="O69" s="2">
        <v>0.0</v>
      </c>
      <c r="P69" s="2">
        <f t="shared" si="1"/>
        <v>0</v>
      </c>
      <c r="Q69" s="1"/>
      <c r="R69" s="1"/>
      <c r="S69" s="1"/>
      <c r="T69" s="1"/>
      <c r="U69" s="1"/>
      <c r="V69" s="6"/>
      <c r="W69" s="6"/>
    </row>
    <row r="70" ht="15.75" customHeight="1">
      <c r="A70" s="9" t="s">
        <v>29</v>
      </c>
      <c r="B70" s="10">
        <v>2025.0</v>
      </c>
      <c r="C70" s="14" t="s">
        <v>43</v>
      </c>
      <c r="D70" s="1" t="s">
        <v>102</v>
      </c>
      <c r="E70" s="2">
        <v>6.85E7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6.85E7</v>
      </c>
      <c r="O70" s="2">
        <v>0.0</v>
      </c>
      <c r="P70" s="2">
        <f t="shared" si="1"/>
        <v>0</v>
      </c>
      <c r="Q70" s="1"/>
      <c r="R70" s="1"/>
      <c r="S70" s="1"/>
      <c r="T70" s="1"/>
      <c r="U70" s="1"/>
      <c r="V70" s="6"/>
      <c r="W70" s="6"/>
    </row>
    <row r="71" ht="15.75" customHeight="1">
      <c r="A71" s="9" t="s">
        <v>29</v>
      </c>
      <c r="B71" s="10">
        <v>2025.0</v>
      </c>
      <c r="C71" s="14" t="s">
        <v>43</v>
      </c>
      <c r="D71" s="1" t="s">
        <v>103</v>
      </c>
      <c r="E71" s="2">
        <v>8.4375E7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8.4375E7</v>
      </c>
      <c r="O71" s="2">
        <v>0.0</v>
      </c>
      <c r="P71" s="2">
        <f t="shared" si="1"/>
        <v>0</v>
      </c>
      <c r="Q71" s="1"/>
      <c r="R71" s="1"/>
      <c r="S71" s="1"/>
      <c r="T71" s="1"/>
      <c r="U71" s="1"/>
      <c r="V71" s="6"/>
      <c r="W71" s="6"/>
    </row>
    <row r="72" ht="15.75" customHeight="1">
      <c r="A72" s="9" t="s">
        <v>29</v>
      </c>
      <c r="B72" s="10">
        <v>2025.0</v>
      </c>
      <c r="C72" s="14" t="s">
        <v>43</v>
      </c>
      <c r="D72" s="1" t="s">
        <v>104</v>
      </c>
      <c r="E72" s="2">
        <v>6.5562E7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6.5562E7</v>
      </c>
      <c r="O72" s="2">
        <v>0.0</v>
      </c>
      <c r="P72" s="2">
        <f t="shared" si="1"/>
        <v>0</v>
      </c>
      <c r="Q72" s="1"/>
      <c r="R72" s="1"/>
      <c r="S72" s="1"/>
      <c r="T72" s="1"/>
      <c r="U72" s="1"/>
      <c r="V72" s="6"/>
      <c r="W72" s="6"/>
    </row>
    <row r="73" ht="15.75" customHeight="1">
      <c r="A73" s="9" t="s">
        <v>29</v>
      </c>
      <c r="B73" s="10">
        <v>2025.0</v>
      </c>
      <c r="C73" s="14" t="s">
        <v>43</v>
      </c>
      <c r="D73" s="1" t="s">
        <v>105</v>
      </c>
      <c r="E73" s="2">
        <v>2.875E7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2.875E7</v>
      </c>
      <c r="O73" s="2">
        <v>0.0</v>
      </c>
      <c r="P73" s="2">
        <f t="shared" si="1"/>
        <v>0</v>
      </c>
      <c r="Q73" s="1"/>
      <c r="R73" s="1"/>
      <c r="S73" s="1"/>
      <c r="T73" s="1"/>
      <c r="U73" s="1"/>
      <c r="V73" s="6"/>
      <c r="W73" s="6"/>
    </row>
    <row r="74" ht="15.75" customHeight="1">
      <c r="A74" s="9" t="s">
        <v>29</v>
      </c>
      <c r="B74" s="10">
        <v>2025.0</v>
      </c>
      <c r="C74" s="14" t="s">
        <v>47</v>
      </c>
      <c r="D74" s="1" t="s">
        <v>106</v>
      </c>
      <c r="E74" s="2">
        <v>1626910.0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1626910.0</v>
      </c>
      <c r="O74" s="2">
        <v>0.0</v>
      </c>
      <c r="P74" s="2">
        <f t="shared" si="1"/>
        <v>0</v>
      </c>
      <c r="Q74" s="1"/>
      <c r="R74" s="1"/>
      <c r="S74" s="1"/>
      <c r="T74" s="1"/>
      <c r="U74" s="1"/>
      <c r="V74" s="6"/>
      <c r="W74" s="6"/>
    </row>
    <row r="75" ht="15.75" customHeight="1">
      <c r="A75" s="9" t="s">
        <v>29</v>
      </c>
      <c r="B75" s="10">
        <v>2025.0</v>
      </c>
      <c r="C75" s="14" t="s">
        <v>49</v>
      </c>
      <c r="D75" s="1" t="s">
        <v>107</v>
      </c>
      <c r="E75" s="2">
        <v>577000.0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577000.0</v>
      </c>
      <c r="O75" s="2">
        <v>0.0</v>
      </c>
      <c r="P75" s="2">
        <f t="shared" si="1"/>
        <v>0</v>
      </c>
      <c r="Q75" s="1"/>
      <c r="R75" s="1"/>
      <c r="S75" s="1"/>
      <c r="T75" s="1"/>
      <c r="U75" s="1"/>
      <c r="V75" s="6"/>
      <c r="W75" s="6"/>
    </row>
    <row r="76" ht="15.75" customHeight="1">
      <c r="A76" s="9" t="s">
        <v>29</v>
      </c>
      <c r="B76" s="10">
        <v>2025.0</v>
      </c>
      <c r="C76" s="14" t="s">
        <v>49</v>
      </c>
      <c r="D76" s="1" t="s">
        <v>108</v>
      </c>
      <c r="E76" s="2">
        <v>1000000.0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1000000.0</v>
      </c>
      <c r="O76" s="2">
        <v>0.0</v>
      </c>
      <c r="P76" s="2">
        <f t="shared" si="1"/>
        <v>0</v>
      </c>
      <c r="Q76" s="1"/>
      <c r="R76" s="1"/>
      <c r="S76" s="1"/>
      <c r="T76" s="1"/>
      <c r="U76" s="1"/>
      <c r="V76" s="6"/>
      <c r="W76" s="6"/>
    </row>
    <row r="77" ht="15.75" customHeight="1">
      <c r="A77" s="9" t="s">
        <v>29</v>
      </c>
      <c r="B77" s="10">
        <v>2025.0</v>
      </c>
      <c r="C77" s="14" t="s">
        <v>49</v>
      </c>
      <c r="D77" s="1" t="s">
        <v>109</v>
      </c>
      <c r="E77" s="2">
        <v>1500000.0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1500000.0</v>
      </c>
      <c r="O77" s="2">
        <v>0.0</v>
      </c>
      <c r="P77" s="2">
        <f t="shared" si="1"/>
        <v>0</v>
      </c>
      <c r="Q77" s="1"/>
      <c r="R77" s="1"/>
      <c r="S77" s="1"/>
      <c r="T77" s="1"/>
      <c r="U77" s="1"/>
      <c r="V77" s="6"/>
      <c r="W77" s="6"/>
    </row>
    <row r="78" ht="15.75" customHeight="1">
      <c r="A78" s="9" t="s">
        <v>29</v>
      </c>
      <c r="B78" s="10">
        <v>2025.0</v>
      </c>
      <c r="C78" s="14" t="s">
        <v>49</v>
      </c>
      <c r="D78" s="1" t="s">
        <v>110</v>
      </c>
      <c r="E78" s="2">
        <v>1718500.0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1718500.0</v>
      </c>
      <c r="O78" s="2">
        <v>0.0</v>
      </c>
      <c r="P78" s="2">
        <f t="shared" si="1"/>
        <v>0</v>
      </c>
      <c r="Q78" s="1"/>
      <c r="R78" s="1"/>
      <c r="S78" s="1"/>
      <c r="T78" s="1"/>
      <c r="U78" s="1"/>
      <c r="V78" s="6"/>
      <c r="W78" s="6"/>
    </row>
    <row r="79" ht="15.75" customHeight="1">
      <c r="A79" s="9" t="s">
        <v>29</v>
      </c>
      <c r="B79" s="10">
        <v>2025.0</v>
      </c>
      <c r="C79" s="14" t="s">
        <v>94</v>
      </c>
      <c r="D79" s="1" t="s">
        <v>111</v>
      </c>
      <c r="E79" s="2">
        <v>1.184812E7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1.184812E7</v>
      </c>
      <c r="O79" s="2">
        <v>0.0</v>
      </c>
      <c r="P79" s="2">
        <f t="shared" si="1"/>
        <v>0</v>
      </c>
      <c r="Q79" s="1"/>
      <c r="R79" s="1"/>
      <c r="S79" s="1"/>
      <c r="T79" s="1"/>
      <c r="U79" s="1"/>
      <c r="V79" s="6"/>
      <c r="W79" s="6"/>
    </row>
    <row r="80" ht="15.75" customHeight="1">
      <c r="A80" s="9" t="s">
        <v>29</v>
      </c>
      <c r="B80" s="10">
        <v>2025.0</v>
      </c>
      <c r="C80" s="14" t="s">
        <v>43</v>
      </c>
      <c r="D80" s="1" t="s">
        <v>112</v>
      </c>
      <c r="E80" s="2">
        <v>717501.0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717501.0</v>
      </c>
      <c r="O80" s="2">
        <v>0.0</v>
      </c>
      <c r="P80" s="2">
        <f t="shared" si="1"/>
        <v>0</v>
      </c>
      <c r="Q80" s="1"/>
      <c r="R80" s="1"/>
      <c r="S80" s="1"/>
      <c r="T80" s="1"/>
      <c r="U80" s="1"/>
      <c r="V80" s="6"/>
      <c r="W80" s="6"/>
    </row>
    <row r="81" ht="15.75" customHeight="1">
      <c r="A81" s="9" t="s">
        <v>29</v>
      </c>
      <c r="B81" s="10">
        <v>2025.0</v>
      </c>
      <c r="C81" s="14" t="s">
        <v>53</v>
      </c>
      <c r="D81" s="1" t="s">
        <v>113</v>
      </c>
      <c r="E81" s="2">
        <v>1.75E7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1.75E7</v>
      </c>
      <c r="O81" s="2">
        <v>0.0</v>
      </c>
      <c r="P81" s="2">
        <f t="shared" si="1"/>
        <v>0</v>
      </c>
      <c r="Q81" s="1"/>
      <c r="R81" s="1"/>
      <c r="S81" s="1"/>
      <c r="T81" s="1"/>
      <c r="U81" s="1"/>
      <c r="V81" s="6"/>
      <c r="W81" s="6"/>
    </row>
    <row r="82" ht="15.75" customHeight="1">
      <c r="A82" s="9" t="s">
        <v>29</v>
      </c>
      <c r="B82" s="10">
        <v>2025.0</v>
      </c>
      <c r="C82" s="14" t="s">
        <v>56</v>
      </c>
      <c r="D82" s="1" t="s">
        <v>114</v>
      </c>
      <c r="E82" s="2">
        <v>2.0E8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2.0E8</v>
      </c>
      <c r="O82" s="2">
        <v>0.0</v>
      </c>
      <c r="P82" s="2">
        <f t="shared" si="1"/>
        <v>0</v>
      </c>
      <c r="Q82" s="1"/>
      <c r="R82" s="1"/>
      <c r="S82" s="1"/>
      <c r="T82" s="1"/>
      <c r="U82" s="1"/>
      <c r="V82" s="6"/>
      <c r="W82" s="6"/>
    </row>
    <row r="83" ht="15.75" customHeight="1">
      <c r="A83" s="9" t="s">
        <v>29</v>
      </c>
      <c r="B83" s="10">
        <v>2025.0</v>
      </c>
      <c r="C83" s="14" t="s">
        <v>49</v>
      </c>
      <c r="D83" s="1" t="s">
        <v>115</v>
      </c>
      <c r="E83" s="2">
        <v>7000000.0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7000000.0</v>
      </c>
      <c r="O83" s="2">
        <v>0.0</v>
      </c>
      <c r="P83" s="2">
        <f t="shared" si="1"/>
        <v>0</v>
      </c>
      <c r="Q83" s="1"/>
      <c r="R83" s="1"/>
      <c r="S83" s="1"/>
      <c r="T83" s="1"/>
      <c r="U83" s="1"/>
      <c r="V83" s="6"/>
      <c r="W83" s="6"/>
    </row>
    <row r="84" ht="15.75" customHeight="1">
      <c r="A84" s="9" t="s">
        <v>29</v>
      </c>
      <c r="B84" s="10">
        <v>2025.0</v>
      </c>
      <c r="C84" s="14" t="s">
        <v>49</v>
      </c>
      <c r="D84" s="1" t="s">
        <v>116</v>
      </c>
      <c r="E84" s="2">
        <v>7000000.0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7000000.0</v>
      </c>
      <c r="O84" s="2">
        <v>0.0</v>
      </c>
      <c r="P84" s="2">
        <f t="shared" si="1"/>
        <v>0</v>
      </c>
      <c r="Q84" s="1"/>
      <c r="R84" s="1"/>
      <c r="S84" s="1"/>
      <c r="T84" s="1"/>
      <c r="U84" s="1"/>
      <c r="V84" s="6"/>
      <c r="W84" s="6"/>
    </row>
    <row r="85" ht="15.75" customHeight="1">
      <c r="A85" s="9" t="s">
        <v>29</v>
      </c>
      <c r="B85" s="10">
        <v>2025.0</v>
      </c>
      <c r="C85" s="14" t="s">
        <v>49</v>
      </c>
      <c r="D85" s="1" t="s">
        <v>117</v>
      </c>
      <c r="E85" s="2">
        <v>6125000.0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6125000.0</v>
      </c>
      <c r="O85" s="2">
        <v>0.0</v>
      </c>
      <c r="P85" s="2">
        <f t="shared" si="1"/>
        <v>0</v>
      </c>
      <c r="Q85" s="1"/>
      <c r="R85" s="1"/>
      <c r="S85" s="1"/>
      <c r="T85" s="1"/>
      <c r="U85" s="1"/>
      <c r="V85" s="6"/>
      <c r="W85" s="6"/>
    </row>
    <row r="86" ht="15.75" customHeight="1">
      <c r="A86" s="9" t="s">
        <v>29</v>
      </c>
      <c r="B86" s="10">
        <v>2025.0</v>
      </c>
      <c r="C86" s="14" t="s">
        <v>49</v>
      </c>
      <c r="D86" s="1" t="s">
        <v>118</v>
      </c>
      <c r="E86" s="2">
        <v>5400000.0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5400000.0</v>
      </c>
      <c r="O86" s="2">
        <v>0.0</v>
      </c>
      <c r="P86" s="2">
        <f t="shared" si="1"/>
        <v>0</v>
      </c>
      <c r="Q86" s="1"/>
      <c r="R86" s="1"/>
      <c r="S86" s="1"/>
      <c r="T86" s="1"/>
      <c r="U86" s="1"/>
      <c r="V86" s="6"/>
      <c r="W86" s="6"/>
    </row>
    <row r="87" ht="15.75" customHeight="1">
      <c r="A87" s="9" t="s">
        <v>29</v>
      </c>
      <c r="B87" s="10">
        <v>2025.0</v>
      </c>
      <c r="C87" s="14" t="s">
        <v>51</v>
      </c>
      <c r="D87" s="1" t="s">
        <v>119</v>
      </c>
      <c r="E87" s="2">
        <v>1.8639E7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1.8639E7</v>
      </c>
      <c r="O87" s="2">
        <v>0.0</v>
      </c>
      <c r="P87" s="2">
        <f t="shared" si="1"/>
        <v>0</v>
      </c>
      <c r="Q87" s="1"/>
      <c r="R87" s="1"/>
      <c r="S87" s="1"/>
      <c r="T87" s="1"/>
      <c r="U87" s="1"/>
      <c r="V87" s="6"/>
      <c r="W87" s="6"/>
    </row>
    <row r="88" ht="15.75" customHeight="1">
      <c r="A88" s="9" t="s">
        <v>29</v>
      </c>
      <c r="B88" s="10">
        <v>2025.0</v>
      </c>
      <c r="C88" s="14" t="s">
        <v>120</v>
      </c>
      <c r="D88" s="1" t="s">
        <v>121</v>
      </c>
      <c r="E88" s="2">
        <v>550000.0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550000.0</v>
      </c>
      <c r="O88" s="2">
        <v>0.0</v>
      </c>
      <c r="P88" s="2">
        <f t="shared" si="1"/>
        <v>0</v>
      </c>
      <c r="Q88" s="1"/>
      <c r="R88" s="1"/>
      <c r="S88" s="1"/>
      <c r="T88" s="1"/>
      <c r="U88" s="1"/>
      <c r="V88" s="6"/>
      <c r="W88" s="6"/>
    </row>
    <row r="89" ht="15.75" customHeight="1">
      <c r="A89" s="9" t="s">
        <v>29</v>
      </c>
      <c r="B89" s="10">
        <v>2025.0</v>
      </c>
      <c r="C89" s="14" t="s">
        <v>120</v>
      </c>
      <c r="D89" s="1" t="s">
        <v>122</v>
      </c>
      <c r="E89" s="2">
        <v>1985445.0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1985445.0</v>
      </c>
      <c r="O89" s="2">
        <v>0.0</v>
      </c>
      <c r="P89" s="2">
        <f t="shared" si="1"/>
        <v>0</v>
      </c>
      <c r="Q89" s="1"/>
      <c r="R89" s="1"/>
      <c r="S89" s="1"/>
      <c r="T89" s="1"/>
      <c r="U89" s="1"/>
      <c r="V89" s="6"/>
      <c r="W89" s="6"/>
    </row>
    <row r="90" ht="15.75" customHeight="1">
      <c r="A90" s="9" t="s">
        <v>29</v>
      </c>
      <c r="B90" s="10">
        <v>2025.0</v>
      </c>
      <c r="C90" s="14" t="s">
        <v>94</v>
      </c>
      <c r="D90" s="1" t="s">
        <v>123</v>
      </c>
      <c r="E90" s="2">
        <v>1.747982E7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1.747982E7</v>
      </c>
      <c r="O90" s="2">
        <v>0.0</v>
      </c>
      <c r="P90" s="2">
        <f t="shared" si="1"/>
        <v>0</v>
      </c>
      <c r="Q90" s="1"/>
      <c r="R90" s="1"/>
      <c r="S90" s="1"/>
      <c r="T90" s="1"/>
      <c r="U90" s="1"/>
      <c r="V90" s="6"/>
      <c r="W90" s="6"/>
    </row>
    <row r="91" ht="15.75" customHeight="1">
      <c r="A91" s="9" t="s">
        <v>29</v>
      </c>
      <c r="B91" s="10">
        <v>2025.0</v>
      </c>
      <c r="C91" s="14" t="s">
        <v>49</v>
      </c>
      <c r="D91" s="1" t="s">
        <v>124</v>
      </c>
      <c r="E91" s="2">
        <v>1.0625E7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1.0625E7</v>
      </c>
      <c r="O91" s="2">
        <v>0.0</v>
      </c>
      <c r="P91" s="2">
        <f t="shared" si="1"/>
        <v>0</v>
      </c>
      <c r="Q91" s="1"/>
      <c r="R91" s="1"/>
      <c r="S91" s="1"/>
      <c r="T91" s="1"/>
      <c r="U91" s="1"/>
      <c r="V91" s="6"/>
      <c r="W91" s="6"/>
    </row>
    <row r="92" ht="15.75" customHeight="1">
      <c r="A92" s="9" t="s">
        <v>29</v>
      </c>
      <c r="B92" s="10">
        <v>2025.0</v>
      </c>
      <c r="C92" s="14" t="s">
        <v>56</v>
      </c>
      <c r="D92" s="1" t="s">
        <v>125</v>
      </c>
      <c r="E92" s="2">
        <v>-6.7948E7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-6.7948E7</v>
      </c>
      <c r="O92" s="2">
        <v>0.0</v>
      </c>
      <c r="P92" s="2">
        <f t="shared" si="1"/>
        <v>0</v>
      </c>
      <c r="Q92" s="1"/>
      <c r="R92" s="1"/>
      <c r="S92" s="1"/>
      <c r="T92" s="1"/>
      <c r="U92" s="1"/>
      <c r="V92" s="6"/>
      <c r="W92" s="6"/>
    </row>
    <row r="93" ht="15.75" customHeight="1">
      <c r="A93" s="9" t="s">
        <v>29</v>
      </c>
      <c r="B93" s="10">
        <v>2025.0</v>
      </c>
      <c r="C93" s="14" t="s">
        <v>51</v>
      </c>
      <c r="D93" s="1" t="s">
        <v>126</v>
      </c>
      <c r="E93" s="2">
        <v>2.1819E7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2.1819E7</v>
      </c>
      <c r="O93" s="2">
        <v>0.0</v>
      </c>
      <c r="P93" s="2">
        <f t="shared" si="1"/>
        <v>0</v>
      </c>
      <c r="Q93" s="1"/>
      <c r="R93" s="1"/>
      <c r="S93" s="1"/>
      <c r="T93" s="1"/>
      <c r="U93" s="1"/>
      <c r="V93" s="6"/>
      <c r="W93" s="6"/>
    </row>
    <row r="94" ht="15.75" customHeight="1">
      <c r="A94" s="9" t="s">
        <v>29</v>
      </c>
      <c r="B94" s="10">
        <v>2025.0</v>
      </c>
      <c r="C94" s="14" t="s">
        <v>53</v>
      </c>
      <c r="D94" s="1" t="s">
        <v>127</v>
      </c>
      <c r="E94" s="2">
        <v>3.1137E7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3.1137E7</v>
      </c>
      <c r="O94" s="2">
        <v>0.0</v>
      </c>
      <c r="P94" s="2">
        <f t="shared" si="1"/>
        <v>0</v>
      </c>
      <c r="Q94" s="1"/>
      <c r="R94" s="1"/>
      <c r="S94" s="1"/>
      <c r="T94" s="1"/>
      <c r="U94" s="1"/>
      <c r="V94" s="6"/>
      <c r="W94" s="6"/>
    </row>
    <row r="95" ht="15.75" customHeight="1">
      <c r="A95" s="9" t="s">
        <v>29</v>
      </c>
      <c r="B95" s="10">
        <v>2025.0</v>
      </c>
      <c r="C95" s="14" t="s">
        <v>51</v>
      </c>
      <c r="D95" s="1" t="s">
        <v>128</v>
      </c>
      <c r="E95" s="2">
        <v>6000000.0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6000000.0</v>
      </c>
      <c r="O95" s="2">
        <v>0.0</v>
      </c>
      <c r="P95" s="2">
        <f t="shared" si="1"/>
        <v>0</v>
      </c>
      <c r="Q95" s="1"/>
      <c r="R95" s="1"/>
      <c r="S95" s="1"/>
      <c r="T95" s="1"/>
      <c r="U95" s="1"/>
      <c r="V95" s="6"/>
      <c r="W95" s="6"/>
    </row>
    <row r="96" ht="15.75" customHeight="1">
      <c r="A96" s="9" t="s">
        <v>29</v>
      </c>
      <c r="B96" s="10">
        <v>2025.0</v>
      </c>
      <c r="C96" s="14" t="s">
        <v>53</v>
      </c>
      <c r="D96" s="1" t="s">
        <v>129</v>
      </c>
      <c r="E96" s="2">
        <v>6000000.0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6000000.0</v>
      </c>
      <c r="O96" s="2">
        <v>0.0</v>
      </c>
      <c r="P96" s="2">
        <f t="shared" si="1"/>
        <v>0</v>
      </c>
      <c r="Q96" s="1"/>
      <c r="R96" s="1"/>
      <c r="S96" s="1"/>
      <c r="T96" s="1"/>
      <c r="U96" s="1"/>
      <c r="V96" s="6"/>
      <c r="W96" s="6"/>
    </row>
    <row r="97" ht="15.75" customHeight="1">
      <c r="A97" s="9" t="s">
        <v>29</v>
      </c>
      <c r="B97" s="10">
        <v>2025.0</v>
      </c>
      <c r="C97" s="14" t="s">
        <v>49</v>
      </c>
      <c r="D97" s="1" t="s">
        <v>130</v>
      </c>
      <c r="E97" s="2">
        <v>1.47E7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1.47E7</v>
      </c>
      <c r="O97" s="2">
        <v>0.0</v>
      </c>
      <c r="P97" s="2">
        <f t="shared" si="1"/>
        <v>0</v>
      </c>
      <c r="Q97" s="1"/>
      <c r="R97" s="1"/>
      <c r="S97" s="1"/>
      <c r="T97" s="1"/>
      <c r="U97" s="1"/>
      <c r="V97" s="6"/>
      <c r="W97" s="6"/>
    </row>
    <row r="98" ht="15.75" customHeight="1">
      <c r="A98" s="9" t="s">
        <v>29</v>
      </c>
      <c r="B98" s="10">
        <v>2025.0</v>
      </c>
      <c r="C98" s="14" t="s">
        <v>51</v>
      </c>
      <c r="D98" s="1" t="s">
        <v>131</v>
      </c>
      <c r="E98" s="2">
        <v>6125000.0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6125000.0</v>
      </c>
      <c r="O98" s="2">
        <v>0.0</v>
      </c>
      <c r="P98" s="2">
        <f t="shared" si="1"/>
        <v>0</v>
      </c>
      <c r="Q98" s="1"/>
      <c r="R98" s="1"/>
      <c r="S98" s="1"/>
      <c r="T98" s="1"/>
      <c r="U98" s="1"/>
      <c r="V98" s="6"/>
      <c r="W98" s="6"/>
    </row>
    <row r="99" ht="15.75" customHeight="1">
      <c r="A99" s="9" t="s">
        <v>29</v>
      </c>
      <c r="B99" s="10">
        <v>2025.0</v>
      </c>
      <c r="C99" s="14" t="s">
        <v>56</v>
      </c>
      <c r="D99" s="1" t="s">
        <v>132</v>
      </c>
      <c r="E99" s="2">
        <v>1000000.0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1000000.0</v>
      </c>
      <c r="O99" s="2">
        <v>0.0</v>
      </c>
      <c r="P99" s="2">
        <f t="shared" si="1"/>
        <v>0</v>
      </c>
      <c r="Q99" s="1"/>
      <c r="R99" s="1"/>
      <c r="S99" s="1"/>
      <c r="T99" s="1"/>
      <c r="U99" s="1"/>
      <c r="V99" s="6"/>
      <c r="W99" s="6"/>
    </row>
    <row r="100" ht="15.75" customHeight="1">
      <c r="A100" s="9" t="s">
        <v>29</v>
      </c>
      <c r="B100" s="10">
        <v>2025.0</v>
      </c>
      <c r="C100" s="14" t="s">
        <v>53</v>
      </c>
      <c r="D100" s="1" t="s">
        <v>133</v>
      </c>
      <c r="E100" s="2">
        <v>2250000.0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2250000.0</v>
      </c>
      <c r="O100" s="2">
        <v>0.0</v>
      </c>
      <c r="P100" s="2">
        <f t="shared" si="1"/>
        <v>0</v>
      </c>
      <c r="Q100" s="1"/>
      <c r="R100" s="1"/>
      <c r="S100" s="1"/>
      <c r="T100" s="1"/>
      <c r="U100" s="1"/>
      <c r="V100" s="6"/>
      <c r="W100" s="6"/>
    </row>
    <row r="101" ht="15.75" customHeight="1">
      <c r="A101" s="9" t="s">
        <v>29</v>
      </c>
      <c r="B101" s="10">
        <v>2025.0</v>
      </c>
      <c r="C101" s="14" t="s">
        <v>134</v>
      </c>
      <c r="D101" s="1" t="s">
        <v>135</v>
      </c>
      <c r="E101" s="2">
        <v>4100000.0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f t="shared" si="1"/>
        <v>4100000</v>
      </c>
      <c r="Q101" s="1"/>
      <c r="R101" s="1"/>
      <c r="S101" s="1"/>
      <c r="T101" s="1"/>
      <c r="U101" s="1"/>
      <c r="V101" s="6"/>
      <c r="W101" s="6"/>
    </row>
    <row r="102" ht="15.75" customHeight="1">
      <c r="A102" s="9" t="s">
        <v>29</v>
      </c>
      <c r="B102" s="10">
        <v>2025.0</v>
      </c>
      <c r="C102" s="14" t="s">
        <v>66</v>
      </c>
      <c r="D102" s="1" t="s">
        <v>136</v>
      </c>
      <c r="E102" s="2">
        <v>7500000.0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7500000.0</v>
      </c>
      <c r="O102" s="2">
        <v>0.0</v>
      </c>
      <c r="P102" s="2">
        <f t="shared" si="1"/>
        <v>0</v>
      </c>
      <c r="Q102" s="1"/>
      <c r="R102" s="1"/>
      <c r="S102" s="1"/>
      <c r="T102" s="1"/>
      <c r="U102" s="1"/>
      <c r="V102" s="6"/>
      <c r="W102" s="6"/>
    </row>
    <row r="103" ht="15.75" customHeight="1">
      <c r="A103" s="9" t="s">
        <v>29</v>
      </c>
      <c r="B103" s="10">
        <v>2025.0</v>
      </c>
      <c r="C103" s="14" t="s">
        <v>134</v>
      </c>
      <c r="D103" s="1" t="s">
        <v>137</v>
      </c>
      <c r="E103" s="2">
        <v>4480000.0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f t="shared" si="1"/>
        <v>4480000</v>
      </c>
      <c r="Q103" s="1"/>
      <c r="R103" s="1"/>
      <c r="S103" s="1"/>
      <c r="T103" s="1"/>
      <c r="U103" s="1"/>
      <c r="V103" s="6"/>
      <c r="W103" s="6"/>
    </row>
    <row r="104" ht="15.75" customHeight="1">
      <c r="A104" s="9" t="s">
        <v>29</v>
      </c>
      <c r="B104" s="10">
        <v>2025.0</v>
      </c>
      <c r="C104" s="14" t="s">
        <v>134</v>
      </c>
      <c r="D104" s="1" t="s">
        <v>138</v>
      </c>
      <c r="E104" s="2">
        <v>1600000.0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f t="shared" si="1"/>
        <v>1600000</v>
      </c>
      <c r="Q104" s="1"/>
      <c r="R104" s="1"/>
      <c r="S104" s="1"/>
      <c r="T104" s="1"/>
      <c r="U104" s="1"/>
      <c r="V104" s="6"/>
      <c r="W104" s="6"/>
    </row>
    <row r="105" ht="15.75" customHeight="1">
      <c r="A105" s="9" t="s">
        <v>29</v>
      </c>
      <c r="B105" s="10">
        <v>2025.0</v>
      </c>
      <c r="C105" s="14" t="s">
        <v>66</v>
      </c>
      <c r="D105" s="1" t="s">
        <v>139</v>
      </c>
      <c r="E105" s="2">
        <v>1.225E7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1.225E7</v>
      </c>
      <c r="O105" s="2">
        <v>0.0</v>
      </c>
      <c r="P105" s="2">
        <f t="shared" si="1"/>
        <v>0</v>
      </c>
      <c r="Q105" s="1"/>
      <c r="R105" s="1"/>
      <c r="S105" s="1"/>
      <c r="T105" s="1"/>
      <c r="U105" s="1"/>
      <c r="V105" s="6"/>
      <c r="W105" s="6"/>
    </row>
    <row r="106" ht="15.75" customHeight="1">
      <c r="A106" s="9" t="s">
        <v>29</v>
      </c>
      <c r="B106" s="10">
        <v>2025.0</v>
      </c>
      <c r="C106" s="14" t="s">
        <v>134</v>
      </c>
      <c r="D106" s="1" t="s">
        <v>140</v>
      </c>
      <c r="E106" s="2">
        <v>700000.0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f t="shared" si="1"/>
        <v>700000</v>
      </c>
      <c r="Q106" s="1"/>
      <c r="R106" s="1"/>
      <c r="S106" s="1"/>
      <c r="T106" s="1"/>
      <c r="U106" s="1"/>
      <c r="V106" s="6"/>
      <c r="W106" s="6"/>
    </row>
    <row r="107" ht="15.75" customHeight="1">
      <c r="A107" s="9" t="s">
        <v>29</v>
      </c>
      <c r="B107" s="10">
        <v>2025.0</v>
      </c>
      <c r="C107" s="14" t="s">
        <v>66</v>
      </c>
      <c r="D107" s="1" t="s">
        <v>141</v>
      </c>
      <c r="E107" s="2">
        <v>1.049544E8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1.049544E8</v>
      </c>
      <c r="O107" s="2">
        <v>0.0</v>
      </c>
      <c r="P107" s="2">
        <f t="shared" si="1"/>
        <v>0</v>
      </c>
      <c r="Q107" s="1"/>
      <c r="R107" s="1"/>
      <c r="S107" s="1"/>
      <c r="T107" s="1"/>
      <c r="U107" s="1"/>
      <c r="V107" s="6"/>
      <c r="W107" s="6"/>
    </row>
    <row r="108" ht="15.75" customHeight="1">
      <c r="A108" s="9" t="s">
        <v>29</v>
      </c>
      <c r="B108" s="10">
        <v>2025.0</v>
      </c>
      <c r="C108" s="14" t="s">
        <v>134</v>
      </c>
      <c r="D108" s="1" t="s">
        <v>142</v>
      </c>
      <c r="E108" s="2">
        <v>1000000.0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f t="shared" si="1"/>
        <v>1000000</v>
      </c>
      <c r="Q108" s="1"/>
      <c r="R108" s="1"/>
      <c r="S108" s="1"/>
      <c r="T108" s="1"/>
      <c r="U108" s="1"/>
      <c r="V108" s="6"/>
      <c r="W108" s="6"/>
    </row>
    <row r="109" ht="15.75" customHeight="1">
      <c r="A109" s="9" t="s">
        <v>29</v>
      </c>
      <c r="B109" s="10">
        <v>2025.0</v>
      </c>
      <c r="C109" s="14" t="s">
        <v>70</v>
      </c>
      <c r="D109" s="1" t="s">
        <v>143</v>
      </c>
      <c r="E109" s="2">
        <v>7067269.0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7067269.0</v>
      </c>
      <c r="O109" s="2">
        <v>0.0</v>
      </c>
      <c r="P109" s="2">
        <f t="shared" si="1"/>
        <v>0</v>
      </c>
      <c r="Q109" s="1"/>
      <c r="R109" s="1"/>
      <c r="S109" s="1"/>
      <c r="T109" s="1"/>
      <c r="U109" s="1"/>
      <c r="V109" s="6"/>
      <c r="W109" s="6"/>
    </row>
    <row r="110" ht="15.75" customHeight="1">
      <c r="A110" s="9" t="s">
        <v>29</v>
      </c>
      <c r="B110" s="10">
        <v>2025.0</v>
      </c>
      <c r="C110" s="14" t="s">
        <v>70</v>
      </c>
      <c r="D110" s="1" t="s">
        <v>144</v>
      </c>
      <c r="E110" s="2">
        <v>907855.0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907855.0</v>
      </c>
      <c r="O110" s="2">
        <v>0.0</v>
      </c>
      <c r="P110" s="2">
        <f t="shared" si="1"/>
        <v>0</v>
      </c>
      <c r="Q110" s="1"/>
      <c r="R110" s="1"/>
      <c r="S110" s="1"/>
      <c r="T110" s="1"/>
      <c r="U110" s="1"/>
      <c r="V110" s="6"/>
      <c r="W110" s="6"/>
    </row>
    <row r="111" ht="15.75" customHeight="1">
      <c r="A111" s="9" t="s">
        <v>29</v>
      </c>
      <c r="B111" s="10">
        <v>2025.0</v>
      </c>
      <c r="C111" s="14" t="s">
        <v>70</v>
      </c>
      <c r="D111" s="1" t="s">
        <v>145</v>
      </c>
      <c r="E111" s="2">
        <v>4945404.0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4945404.0</v>
      </c>
      <c r="O111" s="2">
        <v>0.0</v>
      </c>
      <c r="P111" s="2">
        <f t="shared" si="1"/>
        <v>0</v>
      </c>
      <c r="Q111" s="1"/>
      <c r="R111" s="1"/>
      <c r="S111" s="1"/>
      <c r="T111" s="1"/>
      <c r="U111" s="1"/>
      <c r="V111" s="6"/>
      <c r="W111" s="6"/>
    </row>
    <row r="112" ht="15.75" customHeight="1">
      <c r="A112" s="9" t="s">
        <v>29</v>
      </c>
      <c r="B112" s="10">
        <v>2025.0</v>
      </c>
      <c r="C112" s="14" t="s">
        <v>70</v>
      </c>
      <c r="D112" s="1" t="s">
        <v>146</v>
      </c>
      <c r="E112" s="2">
        <v>1.008642E7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1.008642E7</v>
      </c>
      <c r="O112" s="2">
        <v>0.0</v>
      </c>
      <c r="P112" s="2">
        <f t="shared" si="1"/>
        <v>0</v>
      </c>
      <c r="Q112" s="1"/>
      <c r="R112" s="1"/>
      <c r="S112" s="1"/>
      <c r="T112" s="1"/>
      <c r="U112" s="1"/>
      <c r="V112" s="6"/>
      <c r="W112" s="6"/>
    </row>
    <row r="113" ht="15.75" customHeight="1">
      <c r="A113" s="9" t="s">
        <v>29</v>
      </c>
      <c r="B113" s="10">
        <v>2025.0</v>
      </c>
      <c r="C113" s="14" t="s">
        <v>147</v>
      </c>
      <c r="D113" s="1" t="s">
        <v>148</v>
      </c>
      <c r="E113" s="2">
        <v>3518140.0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f t="shared" si="1"/>
        <v>3518140</v>
      </c>
      <c r="Q113" s="1"/>
      <c r="R113" s="1"/>
      <c r="S113" s="1"/>
      <c r="T113" s="1"/>
      <c r="U113" s="1"/>
      <c r="V113" s="6"/>
      <c r="W113" s="6"/>
    </row>
    <row r="114" ht="15.75" customHeight="1">
      <c r="A114" s="9" t="s">
        <v>29</v>
      </c>
      <c r="B114" s="10">
        <v>2025.0</v>
      </c>
      <c r="C114" s="14" t="s">
        <v>147</v>
      </c>
      <c r="D114" s="1" t="s">
        <v>149</v>
      </c>
      <c r="E114" s="2">
        <v>2383958.0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f t="shared" si="1"/>
        <v>2383958</v>
      </c>
      <c r="Q114" s="1"/>
      <c r="R114" s="1"/>
      <c r="S114" s="1"/>
      <c r="T114" s="1"/>
      <c r="U114" s="1"/>
      <c r="V114" s="6"/>
      <c r="W114" s="6"/>
    </row>
    <row r="115" ht="15.75" customHeight="1">
      <c r="A115" s="9" t="s">
        <v>29</v>
      </c>
      <c r="B115" s="10">
        <v>2025.0</v>
      </c>
      <c r="C115" s="14" t="s">
        <v>147</v>
      </c>
      <c r="D115" s="1" t="s">
        <v>150</v>
      </c>
      <c r="E115" s="2">
        <v>3037655.0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f t="shared" si="1"/>
        <v>3037655</v>
      </c>
      <c r="Q115" s="1"/>
      <c r="R115" s="1"/>
      <c r="S115" s="1"/>
      <c r="T115" s="1"/>
      <c r="U115" s="1"/>
      <c r="V115" s="6"/>
      <c r="W115" s="6"/>
    </row>
    <row r="116" ht="15.75" customHeight="1">
      <c r="A116" s="9" t="s">
        <v>29</v>
      </c>
      <c r="B116" s="10">
        <v>2025.0</v>
      </c>
      <c r="C116" s="14" t="s">
        <v>147</v>
      </c>
      <c r="D116" s="1" t="s">
        <v>151</v>
      </c>
      <c r="E116" s="2">
        <v>2123130.0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f t="shared" si="1"/>
        <v>2123130</v>
      </c>
      <c r="Q116" s="1"/>
      <c r="R116" s="1"/>
      <c r="S116" s="1"/>
      <c r="T116" s="1"/>
      <c r="U116" s="1"/>
      <c r="V116" s="6"/>
      <c r="W116" s="6"/>
    </row>
    <row r="117" ht="15.75" customHeight="1">
      <c r="A117" s="9" t="s">
        <v>29</v>
      </c>
      <c r="B117" s="10">
        <v>2025.0</v>
      </c>
      <c r="C117" s="14" t="s">
        <v>72</v>
      </c>
      <c r="D117" s="1" t="s">
        <v>152</v>
      </c>
      <c r="E117" s="2">
        <v>1.0E7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1.0E7</v>
      </c>
      <c r="O117" s="2">
        <v>0.0</v>
      </c>
      <c r="P117" s="2">
        <f t="shared" si="1"/>
        <v>0</v>
      </c>
      <c r="Q117" s="1"/>
      <c r="R117" s="1"/>
      <c r="S117" s="1"/>
      <c r="T117" s="1"/>
      <c r="U117" s="1"/>
      <c r="V117" s="6"/>
      <c r="W117" s="6"/>
    </row>
    <row r="118" ht="15.75" customHeight="1">
      <c r="A118" s="9" t="s">
        <v>29</v>
      </c>
      <c r="B118" s="10">
        <v>2025.0</v>
      </c>
      <c r="C118" s="14" t="s">
        <v>72</v>
      </c>
      <c r="D118" s="1" t="s">
        <v>153</v>
      </c>
      <c r="E118" s="2">
        <v>1000000.0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1000000.0</v>
      </c>
      <c r="O118" s="2">
        <v>0.0</v>
      </c>
      <c r="P118" s="2">
        <f t="shared" si="1"/>
        <v>0</v>
      </c>
      <c r="Q118" s="1"/>
      <c r="R118" s="1"/>
      <c r="S118" s="1"/>
      <c r="T118" s="1"/>
      <c r="U118" s="1"/>
      <c r="V118" s="6"/>
      <c r="W118" s="6"/>
    </row>
    <row r="119" ht="15.75" customHeight="1">
      <c r="A119" s="9" t="s">
        <v>29</v>
      </c>
      <c r="B119" s="10">
        <v>2025.0</v>
      </c>
      <c r="C119" s="14" t="s">
        <v>70</v>
      </c>
      <c r="D119" s="1" t="s">
        <v>154</v>
      </c>
      <c r="E119" s="2">
        <v>3972608.0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3972608.0</v>
      </c>
      <c r="O119" s="2">
        <v>0.0</v>
      </c>
      <c r="P119" s="2">
        <f t="shared" si="1"/>
        <v>0</v>
      </c>
      <c r="Q119" s="1"/>
      <c r="R119" s="1"/>
      <c r="S119" s="1"/>
      <c r="T119" s="1"/>
      <c r="U119" s="1"/>
      <c r="V119" s="6"/>
      <c r="W119" s="6"/>
    </row>
    <row r="120" ht="15.75" customHeight="1">
      <c r="A120" s="9" t="s">
        <v>29</v>
      </c>
      <c r="B120" s="10">
        <v>2025.0</v>
      </c>
      <c r="C120" s="14" t="s">
        <v>72</v>
      </c>
      <c r="D120" s="1" t="s">
        <v>155</v>
      </c>
      <c r="E120" s="2">
        <v>1000000.0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1000000.0</v>
      </c>
      <c r="O120" s="2">
        <v>0.0</v>
      </c>
      <c r="P120" s="2">
        <f t="shared" si="1"/>
        <v>0</v>
      </c>
      <c r="Q120" s="1"/>
      <c r="R120" s="1"/>
      <c r="S120" s="1"/>
      <c r="T120" s="1"/>
      <c r="U120" s="1"/>
      <c r="V120" s="6"/>
      <c r="W120" s="6"/>
    </row>
    <row r="121" ht="15.75" customHeight="1">
      <c r="A121" s="9" t="s">
        <v>29</v>
      </c>
      <c r="B121" s="10">
        <v>2025.0</v>
      </c>
      <c r="C121" s="14" t="s">
        <v>147</v>
      </c>
      <c r="D121" s="1" t="s">
        <v>156</v>
      </c>
      <c r="E121" s="2">
        <v>1.1904958E7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f t="shared" si="1"/>
        <v>11904958</v>
      </c>
      <c r="Q121" s="1"/>
      <c r="R121" s="1"/>
      <c r="S121" s="1"/>
      <c r="T121" s="1"/>
      <c r="U121" s="1"/>
      <c r="V121" s="6"/>
      <c r="W121" s="6"/>
    </row>
    <row r="122" ht="15.75" customHeight="1">
      <c r="A122" s="9" t="s">
        <v>29</v>
      </c>
      <c r="B122" s="10">
        <v>2025.0</v>
      </c>
      <c r="C122" s="14" t="s">
        <v>72</v>
      </c>
      <c r="D122" s="1" t="s">
        <v>157</v>
      </c>
      <c r="E122" s="2">
        <v>600000.0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600000.0</v>
      </c>
      <c r="O122" s="2">
        <v>0.0</v>
      </c>
      <c r="P122" s="2">
        <f t="shared" si="1"/>
        <v>0</v>
      </c>
      <c r="Q122" s="1"/>
      <c r="R122" s="1"/>
      <c r="S122" s="1"/>
      <c r="T122" s="1"/>
      <c r="U122" s="1"/>
      <c r="V122" s="6"/>
      <c r="W122" s="6"/>
    </row>
    <row r="123" ht="15.75" customHeight="1">
      <c r="A123" s="9" t="s">
        <v>29</v>
      </c>
      <c r="B123" s="10">
        <v>2025.0</v>
      </c>
      <c r="C123" s="14" t="s">
        <v>158</v>
      </c>
      <c r="D123" s="1" t="s">
        <v>159</v>
      </c>
      <c r="E123" s="2">
        <v>6178610.0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f t="shared" si="1"/>
        <v>6178610</v>
      </c>
      <c r="Q123" s="1"/>
      <c r="R123" s="1"/>
      <c r="S123" s="1"/>
      <c r="T123" s="1"/>
      <c r="U123" s="1"/>
      <c r="V123" s="6"/>
      <c r="W123" s="6"/>
    </row>
    <row r="124" ht="15.75" customHeight="1">
      <c r="A124" s="9" t="s">
        <v>29</v>
      </c>
      <c r="B124" s="10">
        <v>2025.0</v>
      </c>
      <c r="C124" s="14" t="s">
        <v>72</v>
      </c>
      <c r="D124" s="1" t="s">
        <v>160</v>
      </c>
      <c r="E124" s="2">
        <v>5000000.0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5000000.0</v>
      </c>
      <c r="O124" s="2">
        <v>0.0</v>
      </c>
      <c r="P124" s="2">
        <f t="shared" si="1"/>
        <v>0</v>
      </c>
      <c r="Q124" s="1"/>
      <c r="R124" s="1"/>
      <c r="S124" s="1"/>
      <c r="T124" s="1"/>
      <c r="U124" s="1"/>
      <c r="V124" s="6"/>
      <c r="W124" s="6"/>
    </row>
    <row r="125" ht="15.75" customHeight="1">
      <c r="A125" s="9" t="s">
        <v>29</v>
      </c>
      <c r="B125" s="10">
        <v>2025.0</v>
      </c>
      <c r="C125" s="14" t="s">
        <v>72</v>
      </c>
      <c r="D125" s="1" t="s">
        <v>161</v>
      </c>
      <c r="E125" s="2">
        <v>5000000.0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5000000.0</v>
      </c>
      <c r="O125" s="2">
        <v>0.0</v>
      </c>
      <c r="P125" s="2">
        <f t="shared" si="1"/>
        <v>0</v>
      </c>
      <c r="Q125" s="1"/>
      <c r="R125" s="1"/>
      <c r="S125" s="1"/>
      <c r="T125" s="1"/>
      <c r="U125" s="1"/>
      <c r="V125" s="6"/>
      <c r="W125" s="6"/>
    </row>
    <row r="126" ht="15.75" customHeight="1">
      <c r="A126" s="9" t="s">
        <v>29</v>
      </c>
      <c r="B126" s="10">
        <v>2025.0</v>
      </c>
      <c r="C126" s="14" t="s">
        <v>162</v>
      </c>
      <c r="D126" s="1" t="s">
        <v>163</v>
      </c>
      <c r="E126" s="2">
        <v>5080000.0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f t="shared" si="1"/>
        <v>5080000</v>
      </c>
      <c r="Q126" s="1"/>
      <c r="R126" s="1"/>
      <c r="S126" s="1"/>
      <c r="T126" s="1"/>
      <c r="U126" s="1"/>
      <c r="V126" s="6"/>
      <c r="W126" s="6"/>
    </row>
    <row r="127" ht="15.75" customHeight="1">
      <c r="A127" s="9" t="s">
        <v>29</v>
      </c>
      <c r="B127" s="10">
        <v>2025.0</v>
      </c>
      <c r="C127" s="14" t="s">
        <v>158</v>
      </c>
      <c r="D127" s="1" t="s">
        <v>164</v>
      </c>
      <c r="E127" s="2">
        <v>5200826.0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f t="shared" si="1"/>
        <v>5200826</v>
      </c>
      <c r="Q127" s="1"/>
      <c r="R127" s="1"/>
      <c r="S127" s="1"/>
      <c r="T127" s="1"/>
      <c r="U127" s="1"/>
      <c r="V127" s="6"/>
      <c r="W127" s="6"/>
    </row>
    <row r="128" ht="15.75" customHeight="1">
      <c r="A128" s="9" t="s">
        <v>29</v>
      </c>
      <c r="B128" s="10">
        <v>2025.0</v>
      </c>
      <c r="C128" s="14" t="s">
        <v>30</v>
      </c>
      <c r="D128" s="1" t="s">
        <v>165</v>
      </c>
      <c r="E128" s="2">
        <v>5200000.0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5200000.0</v>
      </c>
      <c r="O128" s="2">
        <v>0.0</v>
      </c>
      <c r="P128" s="2">
        <f t="shared" si="1"/>
        <v>0</v>
      </c>
      <c r="Q128" s="1"/>
      <c r="R128" s="1"/>
      <c r="S128" s="1"/>
      <c r="T128" s="1"/>
      <c r="U128" s="1"/>
      <c r="V128" s="6"/>
      <c r="W128" s="6"/>
    </row>
    <row r="129" ht="15.75" customHeight="1">
      <c r="A129" s="9" t="s">
        <v>29</v>
      </c>
      <c r="B129" s="10">
        <v>2025.0</v>
      </c>
      <c r="C129" s="14" t="s">
        <v>34</v>
      </c>
      <c r="D129" s="1" t="s">
        <v>166</v>
      </c>
      <c r="E129" s="2">
        <v>4237005.0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4237005.0</v>
      </c>
      <c r="O129" s="2">
        <v>0.0</v>
      </c>
      <c r="P129" s="2">
        <f t="shared" si="1"/>
        <v>0</v>
      </c>
      <c r="Q129" s="1"/>
      <c r="R129" s="1"/>
      <c r="S129" s="1"/>
      <c r="T129" s="1"/>
      <c r="U129" s="1"/>
      <c r="V129" s="6"/>
      <c r="W129" s="6"/>
    </row>
    <row r="130" ht="15.75" customHeight="1">
      <c r="A130" s="9" t="s">
        <v>29</v>
      </c>
      <c r="B130" s="10">
        <v>2025.0</v>
      </c>
      <c r="C130" s="14" t="s">
        <v>147</v>
      </c>
      <c r="D130" s="1" t="s">
        <v>167</v>
      </c>
      <c r="E130" s="2">
        <v>1535095.0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f t="shared" si="1"/>
        <v>1535095</v>
      </c>
      <c r="Q130" s="1"/>
      <c r="R130" s="1"/>
      <c r="S130" s="1"/>
      <c r="T130" s="1"/>
      <c r="U130" s="1"/>
      <c r="V130" s="6"/>
      <c r="W130" s="6"/>
    </row>
    <row r="131" ht="15.75" customHeight="1">
      <c r="A131" s="9" t="s">
        <v>29</v>
      </c>
      <c r="B131" s="10">
        <v>2025.0</v>
      </c>
      <c r="C131" s="14" t="s">
        <v>34</v>
      </c>
      <c r="D131" s="1" t="s">
        <v>168</v>
      </c>
      <c r="E131" s="2">
        <v>2387900.0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2387900.0</v>
      </c>
      <c r="O131" s="2">
        <v>0.0</v>
      </c>
      <c r="P131" s="2">
        <f t="shared" si="1"/>
        <v>0</v>
      </c>
      <c r="Q131" s="1"/>
      <c r="R131" s="1"/>
      <c r="S131" s="1"/>
      <c r="T131" s="1"/>
      <c r="U131" s="1"/>
      <c r="V131" s="6"/>
      <c r="W131" s="6"/>
    </row>
    <row r="132" ht="15.75" customHeight="1">
      <c r="A132" s="9" t="s">
        <v>29</v>
      </c>
      <c r="B132" s="10">
        <v>2025.0</v>
      </c>
      <c r="C132" s="14" t="s">
        <v>162</v>
      </c>
      <c r="D132" s="1" t="s">
        <v>169</v>
      </c>
      <c r="E132" s="2">
        <v>1.272606E7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f t="shared" si="1"/>
        <v>12726060</v>
      </c>
      <c r="Q132" s="1"/>
      <c r="R132" s="1"/>
      <c r="S132" s="1"/>
      <c r="T132" s="1"/>
      <c r="U132" s="1"/>
      <c r="V132" s="6"/>
      <c r="W132" s="6"/>
    </row>
    <row r="133" ht="15.75" customHeight="1">
      <c r="A133" s="9" t="s">
        <v>29</v>
      </c>
      <c r="B133" s="10">
        <v>2025.0</v>
      </c>
      <c r="C133" s="14" t="s">
        <v>162</v>
      </c>
      <c r="D133" s="1" t="s">
        <v>170</v>
      </c>
      <c r="E133" s="2">
        <v>861770.0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f t="shared" si="1"/>
        <v>861770</v>
      </c>
      <c r="Q133" s="1"/>
      <c r="R133" s="1"/>
      <c r="S133" s="1"/>
      <c r="T133" s="1"/>
      <c r="U133" s="1"/>
      <c r="V133" s="6"/>
      <c r="W133" s="6"/>
    </row>
    <row r="134" ht="15.75" customHeight="1">
      <c r="A134" s="9" t="s">
        <v>29</v>
      </c>
      <c r="B134" s="10">
        <v>2025.0</v>
      </c>
      <c r="C134" s="14" t="s">
        <v>72</v>
      </c>
      <c r="D134" s="1" t="s">
        <v>171</v>
      </c>
      <c r="E134" s="2">
        <v>600000.0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600000.0</v>
      </c>
      <c r="O134" s="2">
        <v>0.0</v>
      </c>
      <c r="P134" s="2">
        <f t="shared" si="1"/>
        <v>0</v>
      </c>
      <c r="Q134" s="1"/>
      <c r="R134" s="1"/>
      <c r="S134" s="1"/>
      <c r="T134" s="1"/>
      <c r="U134" s="1"/>
      <c r="V134" s="6"/>
      <c r="W134" s="6"/>
    </row>
    <row r="135" ht="15.75" customHeight="1">
      <c r="A135" s="9" t="s">
        <v>29</v>
      </c>
      <c r="B135" s="10">
        <v>2025.0</v>
      </c>
      <c r="C135" s="14" t="s">
        <v>162</v>
      </c>
      <c r="D135" s="1" t="s">
        <v>172</v>
      </c>
      <c r="E135" s="2">
        <v>1447970.0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f t="shared" si="1"/>
        <v>1447970</v>
      </c>
      <c r="Q135" s="1"/>
      <c r="R135" s="1"/>
      <c r="S135" s="1"/>
      <c r="T135" s="1"/>
      <c r="U135" s="1"/>
      <c r="V135" s="6"/>
      <c r="W135" s="6"/>
    </row>
    <row r="136" ht="15.75" customHeight="1">
      <c r="A136" s="9" t="s">
        <v>29</v>
      </c>
      <c r="B136" s="10">
        <v>2025.0</v>
      </c>
      <c r="C136" s="14" t="s">
        <v>72</v>
      </c>
      <c r="D136" s="1" t="s">
        <v>173</v>
      </c>
      <c r="E136" s="2">
        <v>1770000.0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1770000.0</v>
      </c>
      <c r="O136" s="2">
        <v>0.0</v>
      </c>
      <c r="P136" s="2">
        <f t="shared" si="1"/>
        <v>0</v>
      </c>
      <c r="Q136" s="1"/>
      <c r="R136" s="1"/>
      <c r="S136" s="1"/>
      <c r="T136" s="1"/>
      <c r="U136" s="1"/>
      <c r="V136" s="6"/>
      <c r="W136" s="6"/>
    </row>
    <row r="137" ht="15.75" customHeight="1">
      <c r="A137" s="9" t="s">
        <v>29</v>
      </c>
      <c r="B137" s="10">
        <v>2025.0</v>
      </c>
      <c r="C137" s="14" t="s">
        <v>162</v>
      </c>
      <c r="D137" s="1" t="s">
        <v>174</v>
      </c>
      <c r="E137" s="2">
        <v>1038970.0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f t="shared" si="1"/>
        <v>1038970</v>
      </c>
      <c r="Q137" s="1"/>
      <c r="R137" s="1"/>
      <c r="S137" s="1"/>
      <c r="T137" s="1"/>
      <c r="U137" s="1"/>
      <c r="V137" s="6"/>
      <c r="W137" s="6"/>
    </row>
    <row r="138" ht="15.75" customHeight="1">
      <c r="A138" s="9" t="s">
        <v>29</v>
      </c>
      <c r="B138" s="10">
        <v>2025.0</v>
      </c>
      <c r="C138" s="14" t="s">
        <v>34</v>
      </c>
      <c r="D138" s="1" t="s">
        <v>175</v>
      </c>
      <c r="E138" s="2">
        <v>3766800.0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3766800.0</v>
      </c>
      <c r="O138" s="2">
        <v>0.0</v>
      </c>
      <c r="P138" s="2">
        <f t="shared" si="1"/>
        <v>0</v>
      </c>
      <c r="Q138" s="1"/>
      <c r="R138" s="1"/>
      <c r="S138" s="1"/>
      <c r="T138" s="1"/>
      <c r="U138" s="1"/>
      <c r="V138" s="6"/>
      <c r="W138" s="6"/>
    </row>
    <row r="139" ht="15.75" customHeight="1">
      <c r="A139" s="9" t="s">
        <v>29</v>
      </c>
      <c r="B139" s="10">
        <v>2025.0</v>
      </c>
      <c r="C139" s="14" t="s">
        <v>34</v>
      </c>
      <c r="D139" s="1" t="s">
        <v>176</v>
      </c>
      <c r="E139" s="2">
        <v>5702500.0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5702500.0</v>
      </c>
      <c r="O139" s="2">
        <v>0.0</v>
      </c>
      <c r="P139" s="2">
        <f t="shared" si="1"/>
        <v>0</v>
      </c>
      <c r="Q139" s="1"/>
      <c r="R139" s="1"/>
      <c r="S139" s="1"/>
      <c r="T139" s="1"/>
      <c r="U139" s="1"/>
      <c r="V139" s="6"/>
      <c r="W139" s="6"/>
    </row>
    <row r="140" ht="15.75" customHeight="1">
      <c r="A140" s="9" t="s">
        <v>29</v>
      </c>
      <c r="B140" s="10">
        <v>2025.0</v>
      </c>
      <c r="C140" s="14" t="s">
        <v>30</v>
      </c>
      <c r="D140" s="1" t="s">
        <v>177</v>
      </c>
      <c r="E140" s="2">
        <v>246080.0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246080.0</v>
      </c>
      <c r="O140" s="2">
        <v>0.0</v>
      </c>
      <c r="P140" s="2">
        <f t="shared" si="1"/>
        <v>0</v>
      </c>
      <c r="Q140" s="1"/>
      <c r="R140" s="1"/>
      <c r="S140" s="1"/>
      <c r="T140" s="1"/>
      <c r="U140" s="1"/>
      <c r="V140" s="6"/>
      <c r="W140" s="6"/>
    </row>
    <row r="141" ht="15.75" customHeight="1">
      <c r="A141" s="9" t="s">
        <v>29</v>
      </c>
      <c r="B141" s="10">
        <v>2025.0</v>
      </c>
      <c r="C141" s="14" t="s">
        <v>178</v>
      </c>
      <c r="D141" s="1" t="s">
        <v>179</v>
      </c>
      <c r="E141" s="2">
        <v>1795335.0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1795335.0</v>
      </c>
      <c r="O141" s="2">
        <v>0.0</v>
      </c>
      <c r="P141" s="2">
        <f t="shared" si="1"/>
        <v>0</v>
      </c>
      <c r="Q141" s="1"/>
      <c r="R141" s="1"/>
      <c r="S141" s="1"/>
      <c r="T141" s="1"/>
      <c r="U141" s="1"/>
      <c r="V141" s="6"/>
      <c r="W141" s="6"/>
    </row>
    <row r="142" ht="15.75" customHeight="1">
      <c r="A142" s="9" t="s">
        <v>29</v>
      </c>
      <c r="B142" s="10">
        <v>2025.0</v>
      </c>
      <c r="C142" s="14" t="s">
        <v>30</v>
      </c>
      <c r="D142" s="1" t="s">
        <v>180</v>
      </c>
      <c r="E142" s="2">
        <v>1.3590245E7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1.3590245E7</v>
      </c>
      <c r="O142" s="2">
        <v>0.0</v>
      </c>
      <c r="P142" s="2">
        <f t="shared" si="1"/>
        <v>0</v>
      </c>
      <c r="Q142" s="1"/>
      <c r="R142" s="1"/>
      <c r="S142" s="1"/>
      <c r="T142" s="1"/>
      <c r="U142" s="1"/>
      <c r="V142" s="6"/>
      <c r="W142" s="6"/>
    </row>
    <row r="143" ht="15.75" customHeight="1">
      <c r="A143" s="9" t="s">
        <v>29</v>
      </c>
      <c r="B143" s="10">
        <v>2025.0</v>
      </c>
      <c r="C143" s="14" t="s">
        <v>34</v>
      </c>
      <c r="D143" s="1" t="s">
        <v>181</v>
      </c>
      <c r="E143" s="2">
        <v>2839232.0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2839232.0</v>
      </c>
      <c r="O143" s="2">
        <v>0.0</v>
      </c>
      <c r="P143" s="2">
        <f t="shared" si="1"/>
        <v>0</v>
      </c>
      <c r="Q143" s="1"/>
      <c r="R143" s="1"/>
      <c r="S143" s="1"/>
      <c r="T143" s="1"/>
      <c r="U143" s="1"/>
      <c r="V143" s="6"/>
      <c r="W143" s="6"/>
    </row>
    <row r="144" ht="15.75" customHeight="1">
      <c r="A144" s="9" t="s">
        <v>29</v>
      </c>
      <c r="B144" s="10">
        <v>2025.0</v>
      </c>
      <c r="C144" s="14" t="s">
        <v>178</v>
      </c>
      <c r="D144" s="1" t="s">
        <v>182</v>
      </c>
      <c r="E144" s="2">
        <v>6095260.0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6095260.0</v>
      </c>
      <c r="O144" s="2">
        <v>0.0</v>
      </c>
      <c r="P144" s="2">
        <f t="shared" si="1"/>
        <v>0</v>
      </c>
      <c r="Q144" s="1"/>
      <c r="R144" s="1"/>
      <c r="S144" s="1"/>
      <c r="T144" s="1"/>
      <c r="U144" s="1"/>
      <c r="V144" s="6"/>
      <c r="W144" s="6"/>
    </row>
    <row r="145" ht="15.75" customHeight="1">
      <c r="A145" s="9" t="s">
        <v>29</v>
      </c>
      <c r="B145" s="10">
        <v>2025.0</v>
      </c>
      <c r="C145" s="14" t="s">
        <v>34</v>
      </c>
      <c r="D145" s="1" t="s">
        <v>183</v>
      </c>
      <c r="E145" s="2">
        <v>1760770.0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1760770.0</v>
      </c>
      <c r="O145" s="2">
        <v>0.0</v>
      </c>
      <c r="P145" s="2">
        <f t="shared" si="1"/>
        <v>0</v>
      </c>
      <c r="Q145" s="1"/>
      <c r="R145" s="1"/>
      <c r="S145" s="1"/>
      <c r="T145" s="1"/>
      <c r="U145" s="1"/>
      <c r="V145" s="6"/>
      <c r="W145" s="6"/>
    </row>
    <row r="146" ht="15.75" customHeight="1">
      <c r="A146" s="9" t="s">
        <v>29</v>
      </c>
      <c r="B146" s="10">
        <v>2025.0</v>
      </c>
      <c r="C146" s="14" t="s">
        <v>30</v>
      </c>
      <c r="D146" s="1" t="s">
        <v>184</v>
      </c>
      <c r="E146" s="2">
        <v>8321360.0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8321360.0</v>
      </c>
      <c r="O146" s="2">
        <v>0.0</v>
      </c>
      <c r="P146" s="2">
        <f t="shared" si="1"/>
        <v>0</v>
      </c>
      <c r="Q146" s="1"/>
      <c r="R146" s="1"/>
      <c r="S146" s="1"/>
      <c r="T146" s="1"/>
      <c r="U146" s="1"/>
      <c r="V146" s="6"/>
      <c r="W146" s="6"/>
    </row>
    <row r="147" ht="15.75" customHeight="1">
      <c r="A147" s="9" t="s">
        <v>29</v>
      </c>
      <c r="B147" s="10">
        <v>2025.0</v>
      </c>
      <c r="C147" s="14" t="s">
        <v>34</v>
      </c>
      <c r="D147" s="1" t="s">
        <v>185</v>
      </c>
      <c r="E147" s="2">
        <v>2289780.0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2289780.0</v>
      </c>
      <c r="O147" s="2">
        <v>0.0</v>
      </c>
      <c r="P147" s="2">
        <f t="shared" si="1"/>
        <v>0</v>
      </c>
      <c r="Q147" s="1"/>
      <c r="R147" s="1"/>
      <c r="S147" s="1"/>
      <c r="T147" s="1"/>
      <c r="U147" s="1"/>
      <c r="V147" s="6"/>
      <c r="W147" s="6"/>
    </row>
    <row r="148" ht="15.75" customHeight="1">
      <c r="A148" s="9" t="s">
        <v>29</v>
      </c>
      <c r="B148" s="10">
        <v>2025.0</v>
      </c>
      <c r="C148" s="14" t="s">
        <v>30</v>
      </c>
      <c r="D148" s="1" t="s">
        <v>186</v>
      </c>
      <c r="E148" s="2">
        <v>2900350.0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2900350.0</v>
      </c>
      <c r="O148" s="2">
        <v>0.0</v>
      </c>
      <c r="P148" s="2">
        <f t="shared" si="1"/>
        <v>0</v>
      </c>
      <c r="Q148" s="1"/>
      <c r="R148" s="1"/>
      <c r="S148" s="1"/>
      <c r="T148" s="1"/>
      <c r="U148" s="1"/>
      <c r="V148" s="6"/>
      <c r="W148" s="6"/>
    </row>
    <row r="149" ht="15.75" customHeight="1">
      <c r="A149" s="9" t="s">
        <v>29</v>
      </c>
      <c r="B149" s="10">
        <v>2025.0</v>
      </c>
      <c r="C149" s="14" t="s">
        <v>187</v>
      </c>
      <c r="D149" s="1" t="s">
        <v>188</v>
      </c>
      <c r="E149" s="2">
        <v>8800000.0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8800000.0</v>
      </c>
      <c r="O149" s="2">
        <v>0.0</v>
      </c>
      <c r="P149" s="2">
        <f t="shared" si="1"/>
        <v>0</v>
      </c>
      <c r="Q149" s="1"/>
      <c r="R149" s="1"/>
      <c r="S149" s="1"/>
      <c r="T149" s="1"/>
      <c r="U149" s="1"/>
      <c r="V149" s="6"/>
      <c r="W149" s="6"/>
    </row>
    <row r="150" ht="15.75" customHeight="1">
      <c r="A150" s="9" t="s">
        <v>29</v>
      </c>
      <c r="B150" s="10">
        <v>2025.0</v>
      </c>
      <c r="C150" s="14" t="s">
        <v>187</v>
      </c>
      <c r="D150" s="1" t="s">
        <v>189</v>
      </c>
      <c r="E150" s="2">
        <v>4.4176926E7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4.4176926E7</v>
      </c>
      <c r="O150" s="2">
        <v>0.0</v>
      </c>
      <c r="P150" s="2">
        <f t="shared" si="1"/>
        <v>0</v>
      </c>
      <c r="Q150" s="1"/>
      <c r="R150" s="1"/>
      <c r="S150" s="1"/>
      <c r="T150" s="1"/>
      <c r="U150" s="1"/>
      <c r="V150" s="6"/>
      <c r="W150" s="6"/>
    </row>
    <row r="151" ht="15.75" customHeight="1">
      <c r="A151" s="9" t="s">
        <v>29</v>
      </c>
      <c r="B151" s="10">
        <v>2025.0</v>
      </c>
      <c r="C151" s="14" t="s">
        <v>34</v>
      </c>
      <c r="D151" s="1" t="s">
        <v>190</v>
      </c>
      <c r="E151" s="2">
        <v>1.8023037E7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1.8023037E7</v>
      </c>
      <c r="O151" s="2">
        <v>0.0</v>
      </c>
      <c r="P151" s="2">
        <f t="shared" si="1"/>
        <v>0</v>
      </c>
      <c r="Q151" s="1"/>
      <c r="R151" s="1"/>
      <c r="S151" s="1"/>
      <c r="T151" s="1"/>
      <c r="U151" s="1"/>
      <c r="V151" s="6"/>
      <c r="W151" s="6"/>
    </row>
    <row r="152" ht="15.75" customHeight="1">
      <c r="A152" s="9" t="s">
        <v>29</v>
      </c>
      <c r="B152" s="10">
        <v>2025.0</v>
      </c>
      <c r="C152" s="14" t="s">
        <v>178</v>
      </c>
      <c r="D152" s="1" t="s">
        <v>191</v>
      </c>
      <c r="E152" s="2">
        <v>1875125.0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1875125.0</v>
      </c>
      <c r="O152" s="2">
        <v>0.0</v>
      </c>
      <c r="P152" s="2">
        <f t="shared" si="1"/>
        <v>0</v>
      </c>
      <c r="Q152" s="1"/>
      <c r="R152" s="1"/>
      <c r="S152" s="1"/>
      <c r="T152" s="1"/>
      <c r="U152" s="1"/>
      <c r="V152" s="6"/>
      <c r="W152" s="6"/>
    </row>
    <row r="153" ht="15.75" customHeight="1">
      <c r="A153" s="9" t="s">
        <v>29</v>
      </c>
      <c r="B153" s="10">
        <v>2025.0</v>
      </c>
      <c r="C153" s="14" t="s">
        <v>178</v>
      </c>
      <c r="D153" s="1" t="s">
        <v>192</v>
      </c>
      <c r="E153" s="2">
        <v>1131200.0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1131200.0</v>
      </c>
      <c r="O153" s="2">
        <v>0.0</v>
      </c>
      <c r="P153" s="2">
        <f t="shared" si="1"/>
        <v>0</v>
      </c>
      <c r="Q153" s="1"/>
      <c r="R153" s="1"/>
      <c r="S153" s="1"/>
      <c r="T153" s="1"/>
      <c r="U153" s="1"/>
      <c r="V153" s="6"/>
      <c r="W153" s="6"/>
    </row>
    <row r="154" ht="15.75" customHeight="1">
      <c r="A154" s="9" t="s">
        <v>29</v>
      </c>
      <c r="B154" s="10">
        <v>2025.0</v>
      </c>
      <c r="C154" s="14" t="s">
        <v>30</v>
      </c>
      <c r="D154" s="1" t="s">
        <v>193</v>
      </c>
      <c r="E154" s="2">
        <v>4500000.0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4500000.0</v>
      </c>
      <c r="O154" s="2">
        <v>0.0</v>
      </c>
      <c r="P154" s="2">
        <f t="shared" si="1"/>
        <v>0</v>
      </c>
      <c r="Q154" s="1"/>
      <c r="R154" s="1"/>
      <c r="S154" s="1"/>
      <c r="T154" s="1"/>
      <c r="U154" s="1"/>
      <c r="V154" s="6"/>
      <c r="W154" s="6"/>
    </row>
    <row r="155" ht="15.75" customHeight="1">
      <c r="A155" s="9" t="s">
        <v>29</v>
      </c>
      <c r="B155" s="10">
        <v>2025.0</v>
      </c>
      <c r="C155" s="14" t="s">
        <v>34</v>
      </c>
      <c r="D155" s="1" t="s">
        <v>194</v>
      </c>
      <c r="E155" s="2">
        <v>900500.0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900500.0</v>
      </c>
      <c r="O155" s="2">
        <v>0.0</v>
      </c>
      <c r="P155" s="2">
        <f t="shared" si="1"/>
        <v>0</v>
      </c>
      <c r="Q155" s="1"/>
      <c r="R155" s="1"/>
      <c r="S155" s="1"/>
      <c r="T155" s="1"/>
      <c r="U155" s="1"/>
      <c r="V155" s="6"/>
      <c r="W155" s="6"/>
    </row>
    <row r="156" ht="15.75" customHeight="1">
      <c r="A156" s="9" t="s">
        <v>29</v>
      </c>
      <c r="B156" s="10">
        <v>2025.0</v>
      </c>
      <c r="C156" s="14" t="s">
        <v>34</v>
      </c>
      <c r="D156" s="1" t="s">
        <v>195</v>
      </c>
      <c r="E156" s="2">
        <v>2911700.0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2911700.0</v>
      </c>
      <c r="O156" s="2">
        <v>0.0</v>
      </c>
      <c r="P156" s="2">
        <f t="shared" si="1"/>
        <v>0</v>
      </c>
      <c r="Q156" s="1"/>
      <c r="R156" s="1"/>
      <c r="S156" s="1"/>
      <c r="T156" s="1"/>
      <c r="U156" s="1"/>
      <c r="V156" s="6"/>
      <c r="W156" s="6"/>
    </row>
    <row r="157" ht="15.75" customHeight="1">
      <c r="A157" s="9" t="s">
        <v>29</v>
      </c>
      <c r="B157" s="10">
        <v>2025.0</v>
      </c>
      <c r="C157" s="14" t="s">
        <v>187</v>
      </c>
      <c r="D157" s="1" t="s">
        <v>196</v>
      </c>
      <c r="E157" s="2">
        <v>5070200.0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5070200.0</v>
      </c>
      <c r="O157" s="2">
        <v>0.0</v>
      </c>
      <c r="P157" s="2">
        <f t="shared" si="1"/>
        <v>0</v>
      </c>
      <c r="Q157" s="1"/>
      <c r="R157" s="1"/>
      <c r="S157" s="1"/>
      <c r="T157" s="1"/>
      <c r="U157" s="1"/>
      <c r="V157" s="6"/>
      <c r="W157" s="6"/>
    </row>
    <row r="158" ht="15.75" customHeight="1">
      <c r="A158" s="9" t="s">
        <v>29</v>
      </c>
      <c r="B158" s="10">
        <v>2025.0</v>
      </c>
      <c r="C158" s="14" t="s">
        <v>162</v>
      </c>
      <c r="D158" s="1" t="s">
        <v>197</v>
      </c>
      <c r="E158" s="2">
        <v>8903470.0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f t="shared" si="1"/>
        <v>8903470</v>
      </c>
      <c r="Q158" s="1"/>
      <c r="R158" s="1"/>
      <c r="S158" s="1"/>
      <c r="T158" s="1"/>
      <c r="U158" s="1"/>
      <c r="V158" s="6"/>
      <c r="W158" s="6"/>
    </row>
    <row r="159" ht="15.75" customHeight="1">
      <c r="A159" s="9" t="s">
        <v>29</v>
      </c>
      <c r="B159" s="10">
        <v>2025.0</v>
      </c>
      <c r="C159" s="14" t="s">
        <v>34</v>
      </c>
      <c r="D159" s="1" t="s">
        <v>198</v>
      </c>
      <c r="E159" s="2">
        <v>8381286.0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8381286.0</v>
      </c>
      <c r="O159" s="2">
        <v>0.0</v>
      </c>
      <c r="P159" s="2">
        <f t="shared" si="1"/>
        <v>0</v>
      </c>
      <c r="Q159" s="1"/>
      <c r="R159" s="1"/>
      <c r="S159" s="1"/>
      <c r="T159" s="1"/>
      <c r="U159" s="1"/>
      <c r="V159" s="6"/>
      <c r="W159" s="6"/>
    </row>
    <row r="160" ht="15.75" customHeight="1">
      <c r="A160" s="9" t="s">
        <v>29</v>
      </c>
      <c r="B160" s="10">
        <v>2025.0</v>
      </c>
      <c r="C160" s="14" t="s">
        <v>187</v>
      </c>
      <c r="D160" s="1" t="s">
        <v>199</v>
      </c>
      <c r="E160" s="2">
        <v>1087180.0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1087180.0</v>
      </c>
      <c r="O160" s="2">
        <v>0.0</v>
      </c>
      <c r="P160" s="2">
        <f t="shared" si="1"/>
        <v>0</v>
      </c>
      <c r="Q160" s="1"/>
      <c r="R160" s="1"/>
      <c r="S160" s="1"/>
      <c r="T160" s="1"/>
      <c r="U160" s="1"/>
      <c r="V160" s="6"/>
      <c r="W160" s="6"/>
    </row>
    <row r="161" ht="15.75" customHeight="1">
      <c r="A161" s="9" t="s">
        <v>29</v>
      </c>
      <c r="B161" s="10">
        <v>2025.0</v>
      </c>
      <c r="C161" s="14" t="s">
        <v>178</v>
      </c>
      <c r="D161" s="1" t="s">
        <v>200</v>
      </c>
      <c r="E161" s="2">
        <v>1875125.0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1875125.0</v>
      </c>
      <c r="O161" s="2">
        <v>0.0</v>
      </c>
      <c r="P161" s="2">
        <f t="shared" si="1"/>
        <v>0</v>
      </c>
      <c r="Q161" s="1"/>
      <c r="R161" s="1"/>
      <c r="S161" s="1"/>
      <c r="T161" s="1"/>
      <c r="U161" s="1"/>
      <c r="V161" s="6"/>
      <c r="W161" s="6"/>
    </row>
    <row r="162" ht="15.75" customHeight="1">
      <c r="A162" s="9" t="s">
        <v>29</v>
      </c>
      <c r="B162" s="10">
        <v>2025.0</v>
      </c>
      <c r="C162" s="14" t="s">
        <v>34</v>
      </c>
      <c r="D162" s="1" t="s">
        <v>201</v>
      </c>
      <c r="E162" s="2">
        <v>4952188.0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4952188.0</v>
      </c>
      <c r="O162" s="2">
        <v>0.0</v>
      </c>
      <c r="P162" s="2">
        <f t="shared" si="1"/>
        <v>0</v>
      </c>
      <c r="Q162" s="1"/>
      <c r="R162" s="1"/>
      <c r="S162" s="1"/>
      <c r="T162" s="1"/>
      <c r="U162" s="1"/>
      <c r="V162" s="6"/>
      <c r="W162" s="6"/>
    </row>
    <row r="163" ht="15.75" customHeight="1">
      <c r="A163" s="9" t="s">
        <v>29</v>
      </c>
      <c r="B163" s="10">
        <v>2025.0</v>
      </c>
      <c r="C163" s="1" t="s">
        <v>162</v>
      </c>
      <c r="D163" s="1" t="s">
        <v>202</v>
      </c>
      <c r="E163" s="2">
        <v>-582470.0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f t="shared" si="1"/>
        <v>-582470</v>
      </c>
      <c r="Q163" s="1"/>
      <c r="R163" s="1"/>
      <c r="S163" s="1"/>
      <c r="T163" s="1"/>
      <c r="U163" s="1"/>
      <c r="V163" s="6"/>
      <c r="W163" s="6"/>
    </row>
    <row r="164" ht="15.75" customHeight="1">
      <c r="A164" s="9" t="s">
        <v>29</v>
      </c>
      <c r="B164" s="10">
        <v>2025.0</v>
      </c>
      <c r="C164" s="1" t="s">
        <v>187</v>
      </c>
      <c r="D164" s="1" t="s">
        <v>203</v>
      </c>
      <c r="E164" s="2">
        <v>7600000.0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7600000.0</v>
      </c>
      <c r="O164" s="2">
        <v>0.0</v>
      </c>
      <c r="P164" s="2">
        <f t="shared" si="1"/>
        <v>0</v>
      </c>
      <c r="Q164" s="1"/>
      <c r="R164" s="1"/>
      <c r="S164" s="1"/>
      <c r="T164" s="1"/>
      <c r="U164" s="1"/>
      <c r="V164" s="6"/>
      <c r="W164" s="6"/>
    </row>
    <row r="165" ht="15.75" customHeight="1">
      <c r="A165" s="9" t="s">
        <v>29</v>
      </c>
      <c r="B165" s="10">
        <v>2025.0</v>
      </c>
      <c r="C165" s="14" t="s">
        <v>34</v>
      </c>
      <c r="D165" s="1" t="s">
        <v>204</v>
      </c>
      <c r="E165" s="2">
        <v>7308700.0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7308700.0</v>
      </c>
      <c r="O165" s="2">
        <v>0.0</v>
      </c>
      <c r="P165" s="2">
        <f t="shared" si="1"/>
        <v>0</v>
      </c>
      <c r="Q165" s="1"/>
      <c r="R165" s="1"/>
      <c r="S165" s="1"/>
      <c r="T165" s="1"/>
      <c r="U165" s="1"/>
      <c r="V165" s="6"/>
      <c r="W165" s="6"/>
    </row>
    <row r="166" ht="15.75" customHeight="1">
      <c r="A166" s="9" t="s">
        <v>29</v>
      </c>
      <c r="B166" s="10">
        <v>2025.0</v>
      </c>
      <c r="C166" s="14" t="s">
        <v>34</v>
      </c>
      <c r="D166" s="1" t="s">
        <v>205</v>
      </c>
      <c r="E166" s="2">
        <v>364000.0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364000.0</v>
      </c>
      <c r="O166" s="2">
        <v>0.0</v>
      </c>
      <c r="P166" s="2">
        <f t="shared" si="1"/>
        <v>0</v>
      </c>
      <c r="Q166" s="1"/>
      <c r="R166" s="1"/>
      <c r="S166" s="1"/>
      <c r="T166" s="1"/>
      <c r="U166" s="1"/>
      <c r="V166" s="6"/>
      <c r="W166" s="6"/>
    </row>
    <row r="167" ht="15.75" customHeight="1">
      <c r="A167" s="9" t="s">
        <v>29</v>
      </c>
      <c r="B167" s="10">
        <v>2025.0</v>
      </c>
      <c r="C167" s="14" t="s">
        <v>206</v>
      </c>
      <c r="D167" s="1" t="s">
        <v>207</v>
      </c>
      <c r="E167" s="2">
        <v>170811.0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f t="shared" si="1"/>
        <v>170811</v>
      </c>
      <c r="Q167" s="1"/>
      <c r="R167" s="1"/>
      <c r="S167" s="1"/>
      <c r="T167" s="1"/>
      <c r="U167" s="1"/>
      <c r="V167" s="6"/>
      <c r="W167" s="6"/>
    </row>
    <row r="168" ht="15.75" customHeight="1">
      <c r="A168" s="9" t="s">
        <v>29</v>
      </c>
      <c r="B168" s="10">
        <v>2025.0</v>
      </c>
      <c r="C168" s="14" t="s">
        <v>208</v>
      </c>
      <c r="D168" s="14" t="s">
        <v>209</v>
      </c>
      <c r="E168" s="2">
        <v>7631766.0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7631766.0</v>
      </c>
      <c r="O168" s="2">
        <v>0.0</v>
      </c>
      <c r="P168" s="2">
        <f t="shared" si="1"/>
        <v>0</v>
      </c>
      <c r="Q168" s="1"/>
      <c r="R168" s="1"/>
      <c r="S168" s="1"/>
      <c r="T168" s="1"/>
      <c r="U168" s="1"/>
      <c r="V168" s="6"/>
      <c r="W168" s="6"/>
    </row>
    <row r="169" ht="15.75" customHeight="1">
      <c r="A169" s="9" t="s">
        <v>29</v>
      </c>
      <c r="B169" s="10">
        <v>2025.0</v>
      </c>
      <c r="C169" s="14" t="s">
        <v>47</v>
      </c>
      <c r="D169" s="1" t="s">
        <v>210</v>
      </c>
      <c r="E169" s="2">
        <v>1452000.0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1452000.0</v>
      </c>
      <c r="O169" s="2">
        <v>0.0</v>
      </c>
      <c r="P169" s="2">
        <f t="shared" si="1"/>
        <v>0</v>
      </c>
      <c r="Q169" s="1"/>
      <c r="R169" s="1"/>
      <c r="S169" s="1"/>
      <c r="T169" s="1"/>
      <c r="U169" s="1"/>
      <c r="V169" s="6"/>
      <c r="W169" s="6"/>
    </row>
    <row r="170" ht="15.75" customHeight="1">
      <c r="A170" s="9" t="s">
        <v>29</v>
      </c>
      <c r="B170" s="10">
        <v>2025.0</v>
      </c>
      <c r="C170" s="14" t="s">
        <v>47</v>
      </c>
      <c r="D170" s="1" t="s">
        <v>211</v>
      </c>
      <c r="E170" s="2">
        <v>1.17E7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1.17E7</v>
      </c>
      <c r="O170" s="2">
        <v>0.0</v>
      </c>
      <c r="P170" s="2">
        <f t="shared" si="1"/>
        <v>0</v>
      </c>
      <c r="Q170" s="1"/>
      <c r="R170" s="1"/>
      <c r="S170" s="1"/>
      <c r="T170" s="1"/>
      <c r="U170" s="1"/>
      <c r="V170" s="6"/>
      <c r="W170" s="6"/>
    </row>
    <row r="171" ht="15.75" customHeight="1">
      <c r="A171" s="9" t="s">
        <v>29</v>
      </c>
      <c r="B171" s="10">
        <v>2025.0</v>
      </c>
      <c r="C171" s="14" t="s">
        <v>212</v>
      </c>
      <c r="D171" s="1" t="s">
        <v>213</v>
      </c>
      <c r="E171" s="2">
        <v>2904000.0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2904000.0</v>
      </c>
      <c r="O171" s="2">
        <v>0.0</v>
      </c>
      <c r="P171" s="2">
        <f t="shared" si="1"/>
        <v>0</v>
      </c>
      <c r="Q171" s="1"/>
      <c r="R171" s="1"/>
      <c r="S171" s="1"/>
      <c r="T171" s="1"/>
      <c r="U171" s="1"/>
      <c r="V171" s="6"/>
      <c r="W171" s="6"/>
    </row>
    <row r="172" ht="15.75" customHeight="1">
      <c r="A172" s="9" t="s">
        <v>29</v>
      </c>
      <c r="B172" s="10">
        <v>2025.0</v>
      </c>
      <c r="C172" s="14" t="s">
        <v>47</v>
      </c>
      <c r="D172" s="1" t="s">
        <v>214</v>
      </c>
      <c r="E172" s="2">
        <v>5157771.0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5157771.0</v>
      </c>
      <c r="O172" s="2">
        <v>0.0</v>
      </c>
      <c r="P172" s="2">
        <f t="shared" si="1"/>
        <v>0</v>
      </c>
      <c r="Q172" s="1"/>
      <c r="R172" s="1"/>
      <c r="S172" s="1"/>
      <c r="T172" s="1"/>
      <c r="U172" s="1"/>
      <c r="V172" s="6"/>
      <c r="W172" s="6"/>
    </row>
    <row r="173" ht="15.75" customHeight="1">
      <c r="A173" s="9" t="s">
        <v>29</v>
      </c>
      <c r="B173" s="10">
        <v>2025.0</v>
      </c>
      <c r="C173" s="14" t="s">
        <v>215</v>
      </c>
      <c r="D173" s="1" t="s">
        <v>216</v>
      </c>
      <c r="E173" s="2">
        <v>3884850.0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3884850.0</v>
      </c>
      <c r="O173" s="2">
        <v>0.0</v>
      </c>
      <c r="P173" s="2">
        <f t="shared" si="1"/>
        <v>0</v>
      </c>
      <c r="Q173" s="1"/>
      <c r="R173" s="1"/>
      <c r="S173" s="1"/>
      <c r="T173" s="1"/>
      <c r="U173" s="1"/>
      <c r="V173" s="6"/>
      <c r="W173" s="6"/>
    </row>
    <row r="174" ht="15.75" customHeight="1">
      <c r="A174" s="9" t="s">
        <v>29</v>
      </c>
      <c r="B174" s="10">
        <v>2025.0</v>
      </c>
      <c r="C174" s="14" t="s">
        <v>47</v>
      </c>
      <c r="D174" s="1" t="s">
        <v>217</v>
      </c>
      <c r="E174" s="2">
        <v>8498830.0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8498830.0</v>
      </c>
      <c r="O174" s="2">
        <v>0.0</v>
      </c>
      <c r="P174" s="2">
        <f t="shared" si="1"/>
        <v>0</v>
      </c>
      <c r="Q174" s="1"/>
      <c r="R174" s="1"/>
      <c r="S174" s="1"/>
      <c r="T174" s="1"/>
      <c r="U174" s="1"/>
      <c r="V174" s="6"/>
      <c r="W174" s="6"/>
    </row>
    <row r="175" ht="15.75" customHeight="1">
      <c r="A175" s="9" t="s">
        <v>29</v>
      </c>
      <c r="B175" s="10">
        <v>2025.0</v>
      </c>
      <c r="C175" s="14" t="s">
        <v>34</v>
      </c>
      <c r="D175" s="1" t="s">
        <v>218</v>
      </c>
      <c r="E175" s="2">
        <v>1900500.0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1900500.0</v>
      </c>
      <c r="O175" s="2">
        <v>0.0</v>
      </c>
      <c r="P175" s="2">
        <f t="shared" si="1"/>
        <v>0</v>
      </c>
      <c r="Q175" s="1"/>
      <c r="R175" s="1"/>
      <c r="S175" s="1"/>
      <c r="T175" s="1"/>
      <c r="U175" s="1"/>
      <c r="V175" s="6"/>
      <c r="W175" s="6"/>
    </row>
    <row r="176" ht="15.75" customHeight="1">
      <c r="A176" s="9" t="s">
        <v>29</v>
      </c>
      <c r="B176" s="10">
        <v>2025.0</v>
      </c>
      <c r="C176" s="14" t="s">
        <v>47</v>
      </c>
      <c r="D176" s="1" t="s">
        <v>219</v>
      </c>
      <c r="E176" s="2">
        <v>8016000.0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8016000.0</v>
      </c>
      <c r="O176" s="2">
        <v>0.0</v>
      </c>
      <c r="P176" s="2">
        <f t="shared" si="1"/>
        <v>0</v>
      </c>
      <c r="Q176" s="1"/>
      <c r="R176" s="1"/>
      <c r="S176" s="1"/>
      <c r="T176" s="1"/>
      <c r="U176" s="1"/>
      <c r="V176" s="6"/>
      <c r="W176" s="6"/>
    </row>
    <row r="177" ht="15.75" customHeight="1">
      <c r="A177" s="9" t="s">
        <v>29</v>
      </c>
      <c r="B177" s="10">
        <v>2025.0</v>
      </c>
      <c r="C177" s="14" t="s">
        <v>220</v>
      </c>
      <c r="D177" s="1" t="s">
        <v>221</v>
      </c>
      <c r="E177" s="2">
        <v>1.6802989E7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1.6802989E7</v>
      </c>
      <c r="O177" s="2">
        <v>0.0</v>
      </c>
      <c r="P177" s="2">
        <f t="shared" si="1"/>
        <v>0</v>
      </c>
      <c r="Q177" s="1"/>
      <c r="R177" s="1"/>
      <c r="S177" s="1"/>
      <c r="T177" s="1"/>
      <c r="U177" s="1"/>
      <c r="V177" s="6"/>
      <c r="W177" s="6"/>
    </row>
    <row r="178" ht="15.75" customHeight="1">
      <c r="A178" s="9" t="s">
        <v>29</v>
      </c>
      <c r="B178" s="10">
        <v>2025.0</v>
      </c>
      <c r="C178" s="14" t="s">
        <v>220</v>
      </c>
      <c r="D178" s="1" t="s">
        <v>222</v>
      </c>
      <c r="E178" s="2">
        <v>2.2851673E7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2.2851673E7</v>
      </c>
      <c r="O178" s="2">
        <v>0.0</v>
      </c>
      <c r="P178" s="2">
        <f t="shared" si="1"/>
        <v>0</v>
      </c>
      <c r="Q178" s="1"/>
      <c r="R178" s="1"/>
      <c r="S178" s="1"/>
      <c r="T178" s="1"/>
      <c r="U178" s="1"/>
      <c r="V178" s="6"/>
      <c r="W178" s="6"/>
    </row>
    <row r="179" ht="15.75" customHeight="1">
      <c r="A179" s="9" t="s">
        <v>29</v>
      </c>
      <c r="B179" s="10">
        <v>2025.0</v>
      </c>
      <c r="C179" s="14" t="s">
        <v>212</v>
      </c>
      <c r="D179" s="1" t="s">
        <v>223</v>
      </c>
      <c r="E179" s="2">
        <v>3199550.0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3199550.0</v>
      </c>
      <c r="O179" s="2">
        <v>0.0</v>
      </c>
      <c r="P179" s="2">
        <f t="shared" si="1"/>
        <v>0</v>
      </c>
      <c r="Q179" s="1"/>
      <c r="R179" s="1"/>
      <c r="S179" s="1"/>
      <c r="T179" s="1"/>
      <c r="U179" s="1"/>
      <c r="V179" s="6"/>
      <c r="W179" s="6"/>
    </row>
    <row r="180" ht="15.75" customHeight="1">
      <c r="A180" s="9" t="s">
        <v>29</v>
      </c>
      <c r="B180" s="10">
        <v>2025.0</v>
      </c>
      <c r="C180" s="14" t="s">
        <v>47</v>
      </c>
      <c r="D180" s="1" t="s">
        <v>224</v>
      </c>
      <c r="E180" s="2">
        <v>7519700.0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7519700.0</v>
      </c>
      <c r="O180" s="2">
        <v>0.0</v>
      </c>
      <c r="P180" s="2">
        <f t="shared" si="1"/>
        <v>0</v>
      </c>
      <c r="Q180" s="1"/>
      <c r="R180" s="1"/>
      <c r="S180" s="1"/>
      <c r="T180" s="1"/>
      <c r="U180" s="1"/>
      <c r="V180" s="6"/>
      <c r="W180" s="6"/>
    </row>
    <row r="181" ht="15.75" customHeight="1">
      <c r="A181" s="9" t="s">
        <v>29</v>
      </c>
      <c r="B181" s="10">
        <v>2025.0</v>
      </c>
      <c r="C181" s="14" t="s">
        <v>215</v>
      </c>
      <c r="D181" s="1" t="s">
        <v>225</v>
      </c>
      <c r="E181" s="2">
        <v>510000.0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510000.0</v>
      </c>
      <c r="O181" s="2">
        <v>0.0</v>
      </c>
      <c r="P181" s="2">
        <f t="shared" si="1"/>
        <v>0</v>
      </c>
      <c r="Q181" s="1"/>
      <c r="R181" s="1"/>
      <c r="S181" s="1"/>
      <c r="T181" s="1"/>
      <c r="U181" s="1"/>
      <c r="V181" s="6"/>
      <c r="W181" s="6"/>
    </row>
    <row r="182" ht="15.75" customHeight="1">
      <c r="A182" s="9" t="s">
        <v>29</v>
      </c>
      <c r="B182" s="10">
        <v>2025.0</v>
      </c>
      <c r="C182" s="14" t="s">
        <v>212</v>
      </c>
      <c r="D182" s="1" t="s">
        <v>226</v>
      </c>
      <c r="E182" s="2">
        <v>3198350.0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3198350.0</v>
      </c>
      <c r="O182" s="2">
        <v>0.0</v>
      </c>
      <c r="P182" s="2">
        <f t="shared" si="1"/>
        <v>0</v>
      </c>
      <c r="Q182" s="1"/>
      <c r="R182" s="1"/>
      <c r="S182" s="1"/>
      <c r="T182" s="1"/>
      <c r="U182" s="1"/>
      <c r="V182" s="6"/>
      <c r="W182" s="6"/>
    </row>
    <row r="183" ht="15.75" customHeight="1">
      <c r="A183" s="9" t="s">
        <v>29</v>
      </c>
      <c r="B183" s="10">
        <v>2025.0</v>
      </c>
      <c r="C183" s="14" t="s">
        <v>208</v>
      </c>
      <c r="D183" s="12" t="s">
        <v>227</v>
      </c>
      <c r="E183" s="2">
        <v>4838322.0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4838322.0</v>
      </c>
      <c r="O183" s="2">
        <v>0.0</v>
      </c>
      <c r="P183" s="2">
        <f t="shared" si="1"/>
        <v>0</v>
      </c>
      <c r="Q183" s="1"/>
      <c r="R183" s="1"/>
      <c r="S183" s="1"/>
      <c r="T183" s="1"/>
      <c r="U183" s="1"/>
      <c r="V183" s="6"/>
      <c r="W183" s="6"/>
    </row>
    <row r="184" ht="15.75" customHeight="1">
      <c r="A184" s="9" t="s">
        <v>29</v>
      </c>
      <c r="B184" s="10">
        <v>2025.0</v>
      </c>
      <c r="C184" s="14" t="s">
        <v>228</v>
      </c>
      <c r="D184" s="12" t="s">
        <v>229</v>
      </c>
      <c r="E184" s="2">
        <v>3600000.0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3600000.0</v>
      </c>
      <c r="O184" s="2">
        <v>0.0</v>
      </c>
      <c r="P184" s="2">
        <f t="shared" si="1"/>
        <v>0</v>
      </c>
      <c r="Q184" s="1"/>
      <c r="R184" s="1"/>
      <c r="S184" s="1"/>
      <c r="T184" s="1"/>
      <c r="U184" s="1"/>
      <c r="V184" s="6"/>
      <c r="W184" s="6"/>
    </row>
    <row r="185" ht="15.75" customHeight="1">
      <c r="A185" s="9" t="s">
        <v>29</v>
      </c>
      <c r="B185" s="10">
        <v>2025.0</v>
      </c>
      <c r="C185" s="14" t="s">
        <v>47</v>
      </c>
      <c r="D185" s="1" t="s">
        <v>230</v>
      </c>
      <c r="E185" s="2">
        <v>1708600.0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1708600.0</v>
      </c>
      <c r="O185" s="2">
        <v>0.0</v>
      </c>
      <c r="P185" s="2">
        <f t="shared" si="1"/>
        <v>0</v>
      </c>
      <c r="Q185" s="1"/>
      <c r="R185" s="1"/>
      <c r="S185" s="1"/>
      <c r="T185" s="1"/>
      <c r="U185" s="1"/>
      <c r="V185" s="6"/>
      <c r="W185" s="6"/>
    </row>
    <row r="186" ht="15.75" customHeight="1">
      <c r="A186" s="9" t="s">
        <v>29</v>
      </c>
      <c r="B186" s="10">
        <v>2025.0</v>
      </c>
      <c r="C186" s="14" t="s">
        <v>206</v>
      </c>
      <c r="D186" s="1" t="s">
        <v>231</v>
      </c>
      <c r="E186" s="2">
        <v>3705170.0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f t="shared" si="1"/>
        <v>3705170</v>
      </c>
      <c r="Q186" s="1"/>
      <c r="R186" s="1"/>
      <c r="S186" s="1"/>
      <c r="T186" s="1"/>
      <c r="U186" s="1"/>
      <c r="V186" s="6"/>
      <c r="W186" s="6"/>
    </row>
    <row r="187" ht="15.75" customHeight="1">
      <c r="A187" s="9" t="s">
        <v>29</v>
      </c>
      <c r="B187" s="10">
        <v>2025.0</v>
      </c>
      <c r="C187" s="14" t="s">
        <v>212</v>
      </c>
      <c r="D187" s="1" t="s">
        <v>232</v>
      </c>
      <c r="E187" s="2">
        <v>5916650.0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5916650.0</v>
      </c>
      <c r="O187" s="2">
        <v>0.0</v>
      </c>
      <c r="P187" s="2">
        <f t="shared" si="1"/>
        <v>0</v>
      </c>
      <c r="Q187" s="1"/>
      <c r="R187" s="1"/>
      <c r="S187" s="1"/>
      <c r="T187" s="1"/>
      <c r="U187" s="1"/>
      <c r="V187" s="6"/>
      <c r="W187" s="6"/>
    </row>
    <row r="188" ht="15.75" customHeight="1">
      <c r="A188" s="9" t="s">
        <v>29</v>
      </c>
      <c r="B188" s="10">
        <v>2025.0</v>
      </c>
      <c r="C188" s="14" t="s">
        <v>212</v>
      </c>
      <c r="D188" s="1" t="s">
        <v>233</v>
      </c>
      <c r="E188" s="2">
        <v>3168270.0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3168270.0</v>
      </c>
      <c r="O188" s="2">
        <v>0.0</v>
      </c>
      <c r="P188" s="2">
        <f t="shared" si="1"/>
        <v>0</v>
      </c>
      <c r="Q188" s="1"/>
      <c r="R188" s="1"/>
      <c r="S188" s="1"/>
      <c r="T188" s="1"/>
      <c r="U188" s="1"/>
      <c r="V188" s="6"/>
      <c r="W188" s="6"/>
    </row>
    <row r="189" ht="15.75" customHeight="1">
      <c r="A189" s="9" t="s">
        <v>29</v>
      </c>
      <c r="B189" s="10">
        <v>2025.0</v>
      </c>
      <c r="C189" s="14" t="s">
        <v>228</v>
      </c>
      <c r="D189" s="1" t="s">
        <v>234</v>
      </c>
      <c r="E189" s="2">
        <v>9002474.0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9002474.0</v>
      </c>
      <c r="O189" s="2">
        <v>0.0</v>
      </c>
      <c r="P189" s="2">
        <f t="shared" si="1"/>
        <v>0</v>
      </c>
      <c r="Q189" s="1"/>
      <c r="R189" s="1"/>
      <c r="S189" s="1"/>
      <c r="T189" s="1"/>
      <c r="U189" s="1"/>
      <c r="V189" s="6"/>
      <c r="W189" s="6"/>
    </row>
    <row r="190" ht="15.75" customHeight="1">
      <c r="A190" s="9" t="s">
        <v>29</v>
      </c>
      <c r="B190" s="10">
        <v>2025.0</v>
      </c>
      <c r="C190" s="14" t="s">
        <v>47</v>
      </c>
      <c r="D190" s="1" t="s">
        <v>235</v>
      </c>
      <c r="E190" s="2">
        <v>3522000.0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3522000.0</v>
      </c>
      <c r="O190" s="2">
        <v>0.0</v>
      </c>
      <c r="P190" s="2">
        <f t="shared" si="1"/>
        <v>0</v>
      </c>
      <c r="Q190" s="1"/>
      <c r="R190" s="1"/>
      <c r="S190" s="1"/>
      <c r="T190" s="1"/>
      <c r="U190" s="1"/>
      <c r="V190" s="6"/>
      <c r="W190" s="6"/>
    </row>
    <row r="191" ht="15.75" customHeight="1">
      <c r="A191" s="9" t="s">
        <v>29</v>
      </c>
      <c r="B191" s="10">
        <v>2025.0</v>
      </c>
      <c r="C191" s="14" t="s">
        <v>47</v>
      </c>
      <c r="D191" s="1" t="s">
        <v>236</v>
      </c>
      <c r="E191" s="2">
        <v>2867945.0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2867945.0</v>
      </c>
      <c r="O191" s="2">
        <v>0.0</v>
      </c>
      <c r="P191" s="2">
        <f t="shared" si="1"/>
        <v>0</v>
      </c>
      <c r="Q191" s="1"/>
      <c r="R191" s="1"/>
      <c r="S191" s="1"/>
      <c r="T191" s="1"/>
      <c r="U191" s="1"/>
      <c r="V191" s="6"/>
      <c r="W191" s="6"/>
    </row>
    <row r="192" ht="15.75" customHeight="1">
      <c r="A192" s="9" t="s">
        <v>29</v>
      </c>
      <c r="B192" s="10">
        <v>2025.0</v>
      </c>
      <c r="C192" s="14" t="s">
        <v>228</v>
      </c>
      <c r="D192" s="1" t="s">
        <v>237</v>
      </c>
      <c r="E192" s="2">
        <v>3560294.0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3560294.0</v>
      </c>
      <c r="O192" s="2">
        <v>0.0</v>
      </c>
      <c r="P192" s="2">
        <f t="shared" si="1"/>
        <v>0</v>
      </c>
      <c r="Q192" s="1"/>
      <c r="R192" s="1"/>
      <c r="S192" s="1"/>
      <c r="T192" s="1"/>
      <c r="U192" s="1"/>
      <c r="V192" s="6"/>
      <c r="W192" s="6"/>
    </row>
    <row r="193" ht="15.75" customHeight="1">
      <c r="A193" s="9" t="s">
        <v>29</v>
      </c>
      <c r="B193" s="10">
        <v>2025.0</v>
      </c>
      <c r="C193" s="14" t="s">
        <v>38</v>
      </c>
      <c r="D193" s="1" t="s">
        <v>238</v>
      </c>
      <c r="E193" s="2">
        <v>6500000.0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6500000.0</v>
      </c>
      <c r="O193" s="2">
        <v>0.0</v>
      </c>
      <c r="P193" s="2">
        <f t="shared" si="1"/>
        <v>0</v>
      </c>
      <c r="Q193" s="1"/>
      <c r="R193" s="1"/>
      <c r="S193" s="1"/>
      <c r="T193" s="1"/>
      <c r="U193" s="1"/>
      <c r="V193" s="6"/>
      <c r="W193" s="6"/>
    </row>
    <row r="194" ht="15.75" customHeight="1">
      <c r="A194" s="9" t="s">
        <v>29</v>
      </c>
      <c r="B194" s="10">
        <v>2025.0</v>
      </c>
      <c r="C194" s="14" t="s">
        <v>47</v>
      </c>
      <c r="D194" s="1" t="s">
        <v>239</v>
      </c>
      <c r="E194" s="2">
        <v>6002690.0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6002690.0</v>
      </c>
      <c r="O194" s="2">
        <v>0.0</v>
      </c>
      <c r="P194" s="2">
        <f t="shared" si="1"/>
        <v>0</v>
      </c>
      <c r="Q194" s="1"/>
      <c r="R194" s="1"/>
      <c r="S194" s="1"/>
      <c r="T194" s="1"/>
      <c r="U194" s="1"/>
      <c r="V194" s="6"/>
      <c r="W194" s="6"/>
    </row>
    <row r="195" ht="15.75" customHeight="1">
      <c r="A195" s="9" t="s">
        <v>29</v>
      </c>
      <c r="B195" s="10">
        <v>2025.0</v>
      </c>
      <c r="C195" s="14" t="s">
        <v>212</v>
      </c>
      <c r="D195" s="1" t="s">
        <v>240</v>
      </c>
      <c r="E195" s="2">
        <v>3980157.0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3980157.0</v>
      </c>
      <c r="O195" s="2">
        <v>0.0</v>
      </c>
      <c r="P195" s="2">
        <f t="shared" si="1"/>
        <v>0</v>
      </c>
      <c r="Q195" s="1"/>
      <c r="R195" s="1"/>
      <c r="S195" s="1"/>
      <c r="T195" s="1"/>
      <c r="U195" s="1"/>
      <c r="V195" s="6"/>
      <c r="W195" s="6"/>
    </row>
    <row r="196" ht="15.75" customHeight="1">
      <c r="A196" s="9" t="s">
        <v>29</v>
      </c>
      <c r="B196" s="10">
        <v>2025.0</v>
      </c>
      <c r="C196" s="14" t="s">
        <v>38</v>
      </c>
      <c r="D196" s="1" t="s">
        <v>241</v>
      </c>
      <c r="E196" s="2">
        <v>6997284.0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6997284.0</v>
      </c>
      <c r="O196" s="2">
        <v>0.0</v>
      </c>
      <c r="P196" s="2">
        <f t="shared" si="1"/>
        <v>0</v>
      </c>
      <c r="Q196" s="1"/>
      <c r="R196" s="1"/>
      <c r="S196" s="1"/>
      <c r="T196" s="1"/>
      <c r="U196" s="1"/>
      <c r="V196" s="6"/>
      <c r="W196" s="6"/>
    </row>
    <row r="197" ht="15.75" customHeight="1">
      <c r="A197" s="9" t="s">
        <v>29</v>
      </c>
      <c r="B197" s="10">
        <v>2025.0</v>
      </c>
      <c r="C197" s="14" t="s">
        <v>47</v>
      </c>
      <c r="D197" s="1" t="s">
        <v>242</v>
      </c>
      <c r="E197" s="2">
        <v>1.2938555E7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1.2938555E7</v>
      </c>
      <c r="O197" s="2">
        <v>0.0</v>
      </c>
      <c r="P197" s="2">
        <f t="shared" si="1"/>
        <v>0</v>
      </c>
      <c r="Q197" s="1"/>
      <c r="R197" s="1"/>
      <c r="S197" s="1"/>
      <c r="T197" s="1"/>
      <c r="U197" s="1"/>
      <c r="V197" s="6"/>
      <c r="W197" s="6"/>
    </row>
    <row r="198" ht="15.75" customHeight="1">
      <c r="A198" s="9" t="s">
        <v>29</v>
      </c>
      <c r="B198" s="10">
        <v>2025.0</v>
      </c>
      <c r="C198" s="14" t="s">
        <v>47</v>
      </c>
      <c r="D198" s="1" t="s">
        <v>243</v>
      </c>
      <c r="E198" s="2">
        <v>2219105.0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2219105.0</v>
      </c>
      <c r="O198" s="2">
        <v>0.0</v>
      </c>
      <c r="P198" s="2">
        <f t="shared" si="1"/>
        <v>0</v>
      </c>
      <c r="Q198" s="1"/>
      <c r="R198" s="1"/>
      <c r="S198" s="1"/>
      <c r="T198" s="1"/>
      <c r="U198" s="1"/>
      <c r="V198" s="6"/>
      <c r="W198" s="6"/>
    </row>
    <row r="199" ht="15.75" customHeight="1">
      <c r="A199" s="9" t="s">
        <v>29</v>
      </c>
      <c r="B199" s="10">
        <v>2025.0</v>
      </c>
      <c r="C199" s="1" t="s">
        <v>244</v>
      </c>
      <c r="D199" s="1" t="s">
        <v>245</v>
      </c>
      <c r="E199" s="2">
        <v>3.1956085E7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3.1956085E7</v>
      </c>
      <c r="O199" s="2">
        <v>0.0</v>
      </c>
      <c r="P199" s="2">
        <f t="shared" si="1"/>
        <v>0</v>
      </c>
      <c r="Q199" s="1"/>
      <c r="R199" s="1"/>
      <c r="S199" s="1"/>
      <c r="T199" s="1"/>
      <c r="U199" s="1"/>
      <c r="V199" s="6"/>
      <c r="W199" s="6"/>
    </row>
    <row r="200" ht="15.75" customHeight="1">
      <c r="A200" s="9" t="s">
        <v>29</v>
      </c>
      <c r="B200" s="10">
        <v>2025.0</v>
      </c>
      <c r="C200" s="14" t="s">
        <v>47</v>
      </c>
      <c r="D200" s="1" t="s">
        <v>246</v>
      </c>
      <c r="E200" s="2">
        <v>7599633.0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7599633.0</v>
      </c>
      <c r="O200" s="2">
        <v>0.0</v>
      </c>
      <c r="P200" s="2">
        <f t="shared" si="1"/>
        <v>0</v>
      </c>
      <c r="Q200" s="1"/>
      <c r="R200" s="1"/>
      <c r="S200" s="1"/>
      <c r="T200" s="1"/>
      <c r="U200" s="1"/>
      <c r="V200" s="6"/>
      <c r="W200" s="6"/>
    </row>
    <row r="201" ht="15.75" customHeight="1">
      <c r="A201" s="9" t="s">
        <v>29</v>
      </c>
      <c r="B201" s="10">
        <v>2025.0</v>
      </c>
      <c r="C201" s="14" t="s">
        <v>38</v>
      </c>
      <c r="D201" s="1" t="s">
        <v>247</v>
      </c>
      <c r="E201" s="2">
        <v>9.891912E7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9.891912E7</v>
      </c>
      <c r="O201" s="2">
        <v>0.0</v>
      </c>
      <c r="P201" s="2">
        <f t="shared" si="1"/>
        <v>0</v>
      </c>
      <c r="Q201" s="1"/>
      <c r="R201" s="1"/>
      <c r="S201" s="1"/>
      <c r="T201" s="1"/>
      <c r="U201" s="1"/>
      <c r="V201" s="6"/>
      <c r="W201" s="6"/>
    </row>
    <row r="202" ht="15.75" customHeight="1">
      <c r="A202" s="9" t="s">
        <v>29</v>
      </c>
      <c r="B202" s="10">
        <v>2025.0</v>
      </c>
      <c r="C202" s="14" t="s">
        <v>220</v>
      </c>
      <c r="D202" s="1" t="s">
        <v>248</v>
      </c>
      <c r="E202" s="2">
        <v>3888028.0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3888028.0</v>
      </c>
      <c r="O202" s="2">
        <v>0.0</v>
      </c>
      <c r="P202" s="2">
        <f t="shared" si="1"/>
        <v>0</v>
      </c>
      <c r="Q202" s="1"/>
      <c r="R202" s="1"/>
      <c r="S202" s="1"/>
      <c r="T202" s="1"/>
      <c r="U202" s="1"/>
      <c r="V202" s="6"/>
      <c r="W202" s="6"/>
    </row>
    <row r="203" ht="15.75" customHeight="1">
      <c r="A203" s="9" t="s">
        <v>29</v>
      </c>
      <c r="B203" s="10">
        <v>2025.0</v>
      </c>
      <c r="C203" s="14" t="s">
        <v>85</v>
      </c>
      <c r="D203" s="1" t="s">
        <v>249</v>
      </c>
      <c r="E203" s="2">
        <v>3.629986E7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3.629986E7</v>
      </c>
      <c r="O203" s="2">
        <v>0.0</v>
      </c>
      <c r="P203" s="2">
        <f t="shared" si="1"/>
        <v>0</v>
      </c>
      <c r="Q203" s="1"/>
      <c r="R203" s="1"/>
      <c r="S203" s="1"/>
      <c r="T203" s="1"/>
      <c r="U203" s="1"/>
      <c r="V203" s="6"/>
      <c r="W203" s="6"/>
    </row>
    <row r="204" ht="15.75" customHeight="1">
      <c r="A204" s="9" t="s">
        <v>29</v>
      </c>
      <c r="B204" s="10">
        <v>2025.0</v>
      </c>
      <c r="C204" s="14" t="s">
        <v>47</v>
      </c>
      <c r="D204" s="1" t="s">
        <v>250</v>
      </c>
      <c r="E204" s="2">
        <v>1630000.0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1630000.0</v>
      </c>
      <c r="O204" s="2">
        <v>0.0</v>
      </c>
      <c r="P204" s="2">
        <f t="shared" si="1"/>
        <v>0</v>
      </c>
      <c r="Q204" s="1"/>
      <c r="R204" s="1"/>
      <c r="S204" s="1"/>
      <c r="T204" s="1"/>
      <c r="U204" s="1"/>
      <c r="V204" s="6"/>
      <c r="W204" s="6"/>
    </row>
    <row r="205" ht="15.75" customHeight="1">
      <c r="A205" s="9" t="s">
        <v>29</v>
      </c>
      <c r="B205" s="10">
        <v>2025.0</v>
      </c>
      <c r="C205" s="14" t="s">
        <v>90</v>
      </c>
      <c r="D205" s="1" t="s">
        <v>251</v>
      </c>
      <c r="E205" s="2">
        <v>5808118.0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5808118.0</v>
      </c>
      <c r="O205" s="2">
        <v>0.0</v>
      </c>
      <c r="P205" s="2">
        <f t="shared" si="1"/>
        <v>0</v>
      </c>
      <c r="Q205" s="1"/>
      <c r="R205" s="1"/>
      <c r="S205" s="1"/>
      <c r="T205" s="1"/>
      <c r="U205" s="1"/>
      <c r="V205" s="6"/>
      <c r="W205" s="6"/>
    </row>
    <row r="206" ht="15.75" customHeight="1">
      <c r="A206" s="9" t="s">
        <v>29</v>
      </c>
      <c r="B206" s="10">
        <v>2025.0</v>
      </c>
      <c r="C206" s="14" t="s">
        <v>252</v>
      </c>
      <c r="D206" s="1" t="s">
        <v>253</v>
      </c>
      <c r="E206" s="2">
        <v>1.594019E7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1.594019E7</v>
      </c>
      <c r="O206" s="2">
        <v>0.0</v>
      </c>
      <c r="P206" s="2">
        <f t="shared" si="1"/>
        <v>0</v>
      </c>
      <c r="Q206" s="1"/>
      <c r="R206" s="1"/>
      <c r="S206" s="1"/>
      <c r="T206" s="1"/>
      <c r="U206" s="1"/>
      <c r="V206" s="6"/>
      <c r="W206" s="6"/>
    </row>
    <row r="207" ht="15.75" customHeight="1">
      <c r="A207" s="9" t="s">
        <v>29</v>
      </c>
      <c r="B207" s="10">
        <v>2025.0</v>
      </c>
      <c r="C207" s="14" t="s">
        <v>206</v>
      </c>
      <c r="D207" s="1" t="s">
        <v>254</v>
      </c>
      <c r="E207" s="2">
        <v>1.6E7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f t="shared" si="1"/>
        <v>16000000</v>
      </c>
      <c r="Q207" s="1"/>
      <c r="R207" s="1"/>
      <c r="S207" s="1"/>
      <c r="T207" s="1"/>
      <c r="U207" s="1"/>
      <c r="V207" s="6"/>
      <c r="W207" s="6"/>
    </row>
    <row r="208" ht="15.75" customHeight="1">
      <c r="A208" s="9" t="s">
        <v>29</v>
      </c>
      <c r="B208" s="10">
        <v>2025.0</v>
      </c>
      <c r="C208" s="14" t="s">
        <v>187</v>
      </c>
      <c r="D208" s="1" t="s">
        <v>255</v>
      </c>
      <c r="E208" s="2">
        <v>1421082.0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1421082.0</v>
      </c>
      <c r="O208" s="2">
        <v>0.0</v>
      </c>
      <c r="P208" s="2">
        <f t="shared" si="1"/>
        <v>0</v>
      </c>
      <c r="Q208" s="1"/>
      <c r="R208" s="1"/>
      <c r="S208" s="1"/>
      <c r="T208" s="1"/>
      <c r="U208" s="1"/>
      <c r="V208" s="6"/>
      <c r="W208" s="6"/>
    </row>
    <row r="209" ht="15.75" customHeight="1">
      <c r="A209" s="9" t="s">
        <v>29</v>
      </c>
      <c r="B209" s="10">
        <v>2025.0</v>
      </c>
      <c r="C209" s="14" t="s">
        <v>41</v>
      </c>
      <c r="D209" s="1" t="s">
        <v>256</v>
      </c>
      <c r="E209" s="2">
        <v>5.0E7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5.0E7</v>
      </c>
      <c r="O209" s="2">
        <v>0.0</v>
      </c>
      <c r="P209" s="2">
        <f t="shared" si="1"/>
        <v>0</v>
      </c>
      <c r="Q209" s="1"/>
      <c r="R209" s="1"/>
      <c r="S209" s="1"/>
      <c r="T209" s="1"/>
      <c r="U209" s="1"/>
      <c r="V209" s="6"/>
      <c r="W209" s="6"/>
    </row>
    <row r="210" ht="15.75" customHeight="1">
      <c r="A210" s="9" t="s">
        <v>29</v>
      </c>
      <c r="B210" s="10">
        <v>2025.0</v>
      </c>
      <c r="C210" s="14" t="s">
        <v>257</v>
      </c>
      <c r="D210" s="1" t="s">
        <v>258</v>
      </c>
      <c r="E210" s="2">
        <v>5.5E7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5.5E7</v>
      </c>
      <c r="O210" s="2">
        <v>0.0</v>
      </c>
      <c r="P210" s="2">
        <f t="shared" si="1"/>
        <v>0</v>
      </c>
      <c r="Q210" s="1"/>
      <c r="R210" s="1"/>
      <c r="S210" s="1"/>
      <c r="T210" s="1"/>
      <c r="U210" s="1"/>
      <c r="V210" s="6"/>
      <c r="W210" s="6"/>
    </row>
    <row r="211" ht="15.75" customHeight="1">
      <c r="A211" s="9" t="s">
        <v>29</v>
      </c>
      <c r="B211" s="10">
        <v>2025.0</v>
      </c>
      <c r="C211" s="14" t="s">
        <v>259</v>
      </c>
      <c r="D211" s="1" t="s">
        <v>260</v>
      </c>
      <c r="E211" s="2">
        <v>9896540.0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9896540.0</v>
      </c>
      <c r="O211" s="2">
        <v>0.0</v>
      </c>
      <c r="P211" s="2">
        <f t="shared" si="1"/>
        <v>0</v>
      </c>
      <c r="Q211" s="1"/>
      <c r="R211" s="1"/>
      <c r="S211" s="1"/>
      <c r="T211" s="1"/>
      <c r="U211" s="1"/>
      <c r="V211" s="6"/>
      <c r="W211" s="6"/>
    </row>
    <row r="212" ht="15.75" customHeight="1">
      <c r="A212" s="9" t="s">
        <v>29</v>
      </c>
      <c r="B212" s="10">
        <v>2025.0</v>
      </c>
      <c r="C212" s="14" t="s">
        <v>261</v>
      </c>
      <c r="D212" s="1" t="s">
        <v>262</v>
      </c>
      <c r="E212" s="2">
        <v>1.1E7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f t="shared" si="1"/>
        <v>11000000</v>
      </c>
      <c r="Q212" s="1"/>
      <c r="R212" s="1"/>
      <c r="S212" s="1"/>
      <c r="T212" s="1"/>
      <c r="U212" s="1"/>
      <c r="V212" s="6"/>
      <c r="W212" s="6"/>
    </row>
    <row r="213" ht="15.75" customHeight="1">
      <c r="A213" s="9" t="s">
        <v>29</v>
      </c>
      <c r="B213" s="10">
        <v>2025.0</v>
      </c>
      <c r="C213" s="14" t="s">
        <v>259</v>
      </c>
      <c r="D213" s="1" t="s">
        <v>263</v>
      </c>
      <c r="E213" s="2">
        <v>1.119264E7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1.119264E7</v>
      </c>
      <c r="O213" s="2">
        <v>0.0</v>
      </c>
      <c r="P213" s="2">
        <f t="shared" si="1"/>
        <v>0</v>
      </c>
      <c r="Q213" s="1"/>
      <c r="R213" s="1"/>
      <c r="S213" s="1"/>
      <c r="T213" s="1"/>
      <c r="U213" s="1"/>
      <c r="V213" s="6"/>
      <c r="W213" s="6"/>
    </row>
    <row r="214" ht="15.75" customHeight="1">
      <c r="A214" s="9" t="s">
        <v>29</v>
      </c>
      <c r="B214" s="10">
        <v>2025.0</v>
      </c>
      <c r="C214" s="14" t="s">
        <v>47</v>
      </c>
      <c r="D214" s="1" t="s">
        <v>264</v>
      </c>
      <c r="E214" s="2">
        <v>2243230.0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2243230.0</v>
      </c>
      <c r="O214" s="2">
        <v>0.0</v>
      </c>
      <c r="P214" s="2">
        <f t="shared" si="1"/>
        <v>0</v>
      </c>
      <c r="Q214" s="1"/>
      <c r="R214" s="1"/>
      <c r="S214" s="1"/>
      <c r="T214" s="1"/>
      <c r="U214" s="1"/>
      <c r="V214" s="6"/>
      <c r="W214" s="6"/>
    </row>
    <row r="215" ht="15.75" customHeight="1">
      <c r="A215" s="9" t="s">
        <v>29</v>
      </c>
      <c r="B215" s="10">
        <v>2025.0</v>
      </c>
      <c r="C215" s="14" t="s">
        <v>85</v>
      </c>
      <c r="D215" s="1" t="s">
        <v>265</v>
      </c>
      <c r="E215" s="2">
        <v>5685993.0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5685993.0</v>
      </c>
      <c r="O215" s="2">
        <v>0.0</v>
      </c>
      <c r="P215" s="2">
        <f t="shared" si="1"/>
        <v>0</v>
      </c>
      <c r="Q215" s="1"/>
      <c r="R215" s="1"/>
      <c r="S215" s="1"/>
      <c r="T215" s="1"/>
      <c r="U215" s="1"/>
      <c r="V215" s="6"/>
      <c r="W215" s="6"/>
    </row>
    <row r="216" ht="15.75" customHeight="1">
      <c r="A216" s="9" t="s">
        <v>29</v>
      </c>
      <c r="B216" s="10">
        <v>2025.0</v>
      </c>
      <c r="C216" s="14" t="s">
        <v>187</v>
      </c>
      <c r="D216" s="1" t="s">
        <v>266</v>
      </c>
      <c r="E216" s="2">
        <v>993470.0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993470.0</v>
      </c>
      <c r="O216" s="2">
        <v>0.0</v>
      </c>
      <c r="P216" s="2">
        <f t="shared" si="1"/>
        <v>0</v>
      </c>
      <c r="Q216" s="1"/>
      <c r="R216" s="1"/>
      <c r="S216" s="1"/>
      <c r="T216" s="1"/>
      <c r="U216" s="1"/>
      <c r="V216" s="6"/>
      <c r="W216" s="6"/>
    </row>
    <row r="217" ht="15.75" customHeight="1">
      <c r="A217" s="9" t="s">
        <v>29</v>
      </c>
      <c r="B217" s="10">
        <v>2025.0</v>
      </c>
      <c r="C217" s="14" t="s">
        <v>47</v>
      </c>
      <c r="D217" s="1" t="s">
        <v>267</v>
      </c>
      <c r="E217" s="2">
        <v>8696600.0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8696600.0</v>
      </c>
      <c r="O217" s="2">
        <v>0.0</v>
      </c>
      <c r="P217" s="2">
        <f t="shared" si="1"/>
        <v>0</v>
      </c>
      <c r="Q217" s="1"/>
      <c r="R217" s="1"/>
      <c r="S217" s="1"/>
      <c r="T217" s="1"/>
      <c r="U217" s="1"/>
      <c r="V217" s="6"/>
      <c r="W217" s="6"/>
    </row>
    <row r="218" ht="15.75" customHeight="1">
      <c r="A218" s="9" t="s">
        <v>29</v>
      </c>
      <c r="B218" s="10">
        <v>2025.0</v>
      </c>
      <c r="C218" s="14" t="s">
        <v>43</v>
      </c>
      <c r="D218" s="1" t="s">
        <v>268</v>
      </c>
      <c r="E218" s="2">
        <v>6.679E7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6.679E7</v>
      </c>
      <c r="O218" s="2">
        <v>0.0</v>
      </c>
      <c r="P218" s="2">
        <f t="shared" si="1"/>
        <v>0</v>
      </c>
      <c r="Q218" s="1"/>
      <c r="R218" s="1"/>
      <c r="S218" s="1"/>
      <c r="T218" s="1"/>
      <c r="U218" s="1"/>
      <c r="V218" s="6"/>
      <c r="W218" s="6"/>
    </row>
    <row r="219" ht="15.75" customHeight="1">
      <c r="A219" s="9" t="s">
        <v>29</v>
      </c>
      <c r="B219" s="10">
        <v>2025.0</v>
      </c>
      <c r="C219" s="14" t="s">
        <v>90</v>
      </c>
      <c r="D219" s="1" t="s">
        <v>269</v>
      </c>
      <c r="E219" s="2">
        <v>1187813.0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1187813.0</v>
      </c>
      <c r="O219" s="2">
        <v>0.0</v>
      </c>
      <c r="P219" s="2">
        <f t="shared" si="1"/>
        <v>0</v>
      </c>
      <c r="Q219" s="1"/>
      <c r="R219" s="1"/>
      <c r="S219" s="1"/>
      <c r="T219" s="1"/>
      <c r="U219" s="1"/>
      <c r="V219" s="6"/>
      <c r="W219" s="6"/>
    </row>
    <row r="220" ht="15.75" customHeight="1">
      <c r="A220" s="9" t="s">
        <v>29</v>
      </c>
      <c r="B220" s="10">
        <v>2025.0</v>
      </c>
      <c r="C220" s="14" t="s">
        <v>38</v>
      </c>
      <c r="D220" s="1" t="s">
        <v>270</v>
      </c>
      <c r="E220" s="2">
        <v>2326350.0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2326350.0</v>
      </c>
      <c r="O220" s="2">
        <v>0.0</v>
      </c>
      <c r="P220" s="2">
        <f t="shared" si="1"/>
        <v>0</v>
      </c>
      <c r="Q220" s="1"/>
      <c r="R220" s="1"/>
      <c r="S220" s="1"/>
      <c r="T220" s="1"/>
      <c r="U220" s="1"/>
      <c r="V220" s="6"/>
      <c r="W220" s="6"/>
    </row>
    <row r="221" ht="15.75" customHeight="1">
      <c r="A221" s="9" t="s">
        <v>29</v>
      </c>
      <c r="B221" s="10">
        <v>2025.0</v>
      </c>
      <c r="C221" s="14" t="s">
        <v>92</v>
      </c>
      <c r="D221" s="1" t="s">
        <v>271</v>
      </c>
      <c r="E221" s="2">
        <v>3476660.0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f t="shared" si="1"/>
        <v>3476660</v>
      </c>
      <c r="Q221" s="1"/>
      <c r="R221" s="1"/>
      <c r="S221" s="1"/>
      <c r="T221" s="1"/>
      <c r="U221" s="1"/>
      <c r="V221" s="6"/>
      <c r="W221" s="6"/>
    </row>
    <row r="222" ht="15.75" customHeight="1">
      <c r="A222" s="9" t="s">
        <v>29</v>
      </c>
      <c r="B222" s="10">
        <v>2025.0</v>
      </c>
      <c r="C222" s="14" t="s">
        <v>47</v>
      </c>
      <c r="D222" s="1" t="s">
        <v>272</v>
      </c>
      <c r="E222" s="2">
        <v>2191500.0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2191500.0</v>
      </c>
      <c r="O222" s="2">
        <v>0.0</v>
      </c>
      <c r="P222" s="2">
        <f t="shared" si="1"/>
        <v>0</v>
      </c>
      <c r="Q222" s="1"/>
      <c r="R222" s="1"/>
      <c r="S222" s="1"/>
      <c r="T222" s="1"/>
      <c r="U222" s="1"/>
      <c r="V222" s="6"/>
      <c r="W222" s="6"/>
    </row>
    <row r="223" ht="15.75" customHeight="1">
      <c r="A223" s="9" t="s">
        <v>29</v>
      </c>
      <c r="B223" s="10">
        <v>2025.0</v>
      </c>
      <c r="C223" s="14" t="s">
        <v>43</v>
      </c>
      <c r="D223" s="1" t="s">
        <v>273</v>
      </c>
      <c r="E223" s="2">
        <v>2100000.0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2100000.0</v>
      </c>
      <c r="O223" s="2">
        <v>0.0</v>
      </c>
      <c r="P223" s="2">
        <f t="shared" si="1"/>
        <v>0</v>
      </c>
      <c r="Q223" s="1"/>
      <c r="R223" s="1"/>
      <c r="S223" s="1"/>
      <c r="T223" s="1"/>
      <c r="U223" s="1"/>
      <c r="V223" s="6"/>
      <c r="W223" s="6"/>
    </row>
    <row r="224" ht="15.75" customHeight="1">
      <c r="A224" s="9" t="s">
        <v>29</v>
      </c>
      <c r="B224" s="10">
        <v>2025.0</v>
      </c>
      <c r="C224" s="14" t="s">
        <v>43</v>
      </c>
      <c r="D224" s="1" t="s">
        <v>274</v>
      </c>
      <c r="E224" s="2">
        <v>-5000000.0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-5000000.0</v>
      </c>
      <c r="O224" s="2">
        <v>0.0</v>
      </c>
      <c r="P224" s="2">
        <f t="shared" si="1"/>
        <v>0</v>
      </c>
      <c r="Q224" s="1"/>
      <c r="R224" s="1"/>
      <c r="S224" s="1"/>
      <c r="T224" s="1"/>
      <c r="U224" s="1"/>
      <c r="V224" s="6"/>
      <c r="W224" s="6"/>
    </row>
    <row r="225" ht="15.75" customHeight="1">
      <c r="A225" s="9" t="s">
        <v>29</v>
      </c>
      <c r="B225" s="10">
        <v>2025.0</v>
      </c>
      <c r="C225" s="14" t="s">
        <v>275</v>
      </c>
      <c r="D225" s="1" t="s">
        <v>276</v>
      </c>
      <c r="E225" s="2">
        <v>4205418.0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f t="shared" si="1"/>
        <v>4205418</v>
      </c>
      <c r="Q225" s="1"/>
      <c r="R225" s="1"/>
      <c r="S225" s="1"/>
      <c r="T225" s="1"/>
      <c r="U225" s="1"/>
      <c r="V225" s="6"/>
      <c r="W225" s="6"/>
    </row>
    <row r="226" ht="15.75" customHeight="1">
      <c r="A226" s="9" t="s">
        <v>29</v>
      </c>
      <c r="B226" s="10">
        <v>2025.0</v>
      </c>
      <c r="C226" s="14" t="s">
        <v>220</v>
      </c>
      <c r="D226" s="1" t="s">
        <v>277</v>
      </c>
      <c r="E226" s="2">
        <v>8672674.0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8672674.0</v>
      </c>
      <c r="O226" s="2">
        <v>0.0</v>
      </c>
      <c r="P226" s="2">
        <f t="shared" si="1"/>
        <v>0</v>
      </c>
      <c r="Q226" s="1"/>
      <c r="R226" s="1"/>
      <c r="S226" s="1"/>
      <c r="T226" s="1"/>
      <c r="U226" s="1"/>
      <c r="V226" s="6"/>
      <c r="W226" s="6"/>
    </row>
    <row r="227" ht="15.75" customHeight="1">
      <c r="A227" s="9" t="s">
        <v>29</v>
      </c>
      <c r="B227" s="10">
        <v>2025.0</v>
      </c>
      <c r="C227" s="14" t="s">
        <v>47</v>
      </c>
      <c r="D227" s="1" t="s">
        <v>278</v>
      </c>
      <c r="E227" s="2">
        <v>5315027.0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5315027.0</v>
      </c>
      <c r="O227" s="2">
        <v>0.0</v>
      </c>
      <c r="P227" s="2">
        <f t="shared" si="1"/>
        <v>0</v>
      </c>
      <c r="Q227" s="1"/>
      <c r="R227" s="1"/>
      <c r="S227" s="1"/>
      <c r="T227" s="1"/>
      <c r="U227" s="1"/>
      <c r="V227" s="6"/>
      <c r="W227" s="6"/>
    </row>
    <row r="228" ht="15.75" customHeight="1">
      <c r="A228" s="9" t="s">
        <v>29</v>
      </c>
      <c r="B228" s="10">
        <v>2025.0</v>
      </c>
      <c r="C228" s="14" t="s">
        <v>47</v>
      </c>
      <c r="D228" s="1" t="s">
        <v>279</v>
      </c>
      <c r="E228" s="2">
        <v>8514010.0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8514010.0</v>
      </c>
      <c r="O228" s="2">
        <v>0.0</v>
      </c>
      <c r="P228" s="2">
        <f t="shared" si="1"/>
        <v>0</v>
      </c>
      <c r="Q228" s="1"/>
      <c r="R228" s="1"/>
      <c r="S228" s="1"/>
      <c r="T228" s="1"/>
      <c r="U228" s="1"/>
      <c r="V228" s="6"/>
      <c r="W228" s="6"/>
    </row>
    <row r="229" ht="15.75" customHeight="1">
      <c r="A229" s="9" t="s">
        <v>29</v>
      </c>
      <c r="B229" s="10">
        <v>2025.0</v>
      </c>
      <c r="C229" s="14" t="s">
        <v>261</v>
      </c>
      <c r="D229" s="1" t="s">
        <v>280</v>
      </c>
      <c r="E229" s="2">
        <v>4315600.0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f t="shared" si="1"/>
        <v>4315600</v>
      </c>
      <c r="Q229" s="1"/>
      <c r="R229" s="1"/>
      <c r="S229" s="1"/>
      <c r="T229" s="1"/>
      <c r="U229" s="1"/>
      <c r="V229" s="6"/>
      <c r="W229" s="6"/>
    </row>
    <row r="230" ht="15.75" customHeight="1">
      <c r="A230" s="9" t="s">
        <v>29</v>
      </c>
      <c r="B230" s="10">
        <v>2025.0</v>
      </c>
      <c r="C230" s="14" t="s">
        <v>90</v>
      </c>
      <c r="D230" s="1" t="s">
        <v>281</v>
      </c>
      <c r="E230" s="2">
        <v>760950.0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760950.0</v>
      </c>
      <c r="O230" s="2">
        <v>0.0</v>
      </c>
      <c r="P230" s="2">
        <f t="shared" si="1"/>
        <v>0</v>
      </c>
      <c r="Q230" s="1"/>
      <c r="R230" s="1"/>
      <c r="S230" s="1"/>
      <c r="T230" s="1"/>
      <c r="U230" s="1"/>
      <c r="V230" s="6"/>
      <c r="W230" s="6"/>
    </row>
    <row r="231" ht="15.75" customHeight="1">
      <c r="A231" s="9" t="s">
        <v>29</v>
      </c>
      <c r="B231" s="10">
        <v>2025.0</v>
      </c>
      <c r="C231" s="14" t="s">
        <v>92</v>
      </c>
      <c r="D231" s="1" t="s">
        <v>282</v>
      </c>
      <c r="E231" s="2">
        <v>6831807.0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f t="shared" si="1"/>
        <v>6831807</v>
      </c>
      <c r="Q231" s="1"/>
      <c r="R231" s="1"/>
      <c r="S231" s="1"/>
      <c r="T231" s="1"/>
      <c r="U231" s="1"/>
      <c r="V231" s="6"/>
      <c r="W231" s="6"/>
    </row>
    <row r="232" ht="15.75" customHeight="1">
      <c r="A232" s="9" t="s">
        <v>29</v>
      </c>
      <c r="B232" s="10">
        <v>2025.0</v>
      </c>
      <c r="C232" s="14" t="s">
        <v>92</v>
      </c>
      <c r="D232" s="1" t="s">
        <v>283</v>
      </c>
      <c r="E232" s="2">
        <v>6363479.0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f t="shared" si="1"/>
        <v>6363479</v>
      </c>
      <c r="Q232" s="1"/>
      <c r="R232" s="1"/>
      <c r="S232" s="1"/>
      <c r="T232" s="1"/>
      <c r="U232" s="1"/>
      <c r="V232" s="6"/>
      <c r="W232" s="6"/>
    </row>
    <row r="233" ht="15.75" customHeight="1">
      <c r="A233" s="9" t="s">
        <v>29</v>
      </c>
      <c r="B233" s="10">
        <v>2025.0</v>
      </c>
      <c r="C233" s="14" t="s">
        <v>43</v>
      </c>
      <c r="D233" s="1" t="s">
        <v>284</v>
      </c>
      <c r="E233" s="2">
        <v>4350000.0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4350000.0</v>
      </c>
      <c r="O233" s="2">
        <v>0.0</v>
      </c>
      <c r="P233" s="2">
        <f t="shared" si="1"/>
        <v>0</v>
      </c>
      <c r="Q233" s="1"/>
      <c r="R233" s="1"/>
      <c r="S233" s="1"/>
      <c r="T233" s="1"/>
      <c r="U233" s="1"/>
      <c r="V233" s="6"/>
      <c r="W233" s="6"/>
    </row>
    <row r="234" ht="15.75" customHeight="1">
      <c r="A234" s="9" t="s">
        <v>29</v>
      </c>
      <c r="B234" s="10">
        <v>2025.0</v>
      </c>
      <c r="C234" s="14" t="s">
        <v>92</v>
      </c>
      <c r="D234" s="1" t="s">
        <v>285</v>
      </c>
      <c r="E234" s="2">
        <v>1876190.0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f t="shared" si="1"/>
        <v>1876190</v>
      </c>
      <c r="Q234" s="1"/>
      <c r="R234" s="1"/>
      <c r="S234" s="1"/>
      <c r="T234" s="1"/>
      <c r="U234" s="1"/>
      <c r="V234" s="6"/>
      <c r="W234" s="6"/>
    </row>
    <row r="235" ht="15.75" customHeight="1">
      <c r="A235" s="9" t="s">
        <v>29</v>
      </c>
      <c r="B235" s="10">
        <v>2025.0</v>
      </c>
      <c r="C235" s="14" t="s">
        <v>43</v>
      </c>
      <c r="D235" s="1" t="s">
        <v>286</v>
      </c>
      <c r="E235" s="2">
        <v>2.2629669E7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2.2629669E7</v>
      </c>
      <c r="O235" s="2">
        <v>0.0</v>
      </c>
      <c r="P235" s="2">
        <f t="shared" si="1"/>
        <v>0</v>
      </c>
      <c r="Q235" s="1"/>
      <c r="R235" s="1"/>
      <c r="S235" s="1"/>
      <c r="T235" s="1"/>
      <c r="U235" s="1"/>
      <c r="V235" s="6"/>
      <c r="W235" s="6"/>
    </row>
    <row r="236" ht="15.75" customHeight="1">
      <c r="A236" s="9" t="s">
        <v>29</v>
      </c>
      <c r="B236" s="10">
        <v>2025.0</v>
      </c>
      <c r="C236" s="14" t="s">
        <v>47</v>
      </c>
      <c r="D236" s="1" t="s">
        <v>287</v>
      </c>
      <c r="E236" s="2">
        <v>2295280.0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2295280.0</v>
      </c>
      <c r="O236" s="2">
        <v>0.0</v>
      </c>
      <c r="P236" s="2">
        <f t="shared" si="1"/>
        <v>0</v>
      </c>
      <c r="Q236" s="1"/>
      <c r="R236" s="1"/>
      <c r="S236" s="1"/>
      <c r="T236" s="1"/>
      <c r="U236" s="1"/>
      <c r="V236" s="6"/>
      <c r="W236" s="6"/>
    </row>
    <row r="237" ht="15.75" customHeight="1">
      <c r="A237" s="9" t="s">
        <v>29</v>
      </c>
      <c r="B237" s="10">
        <v>2025.0</v>
      </c>
      <c r="C237" s="14" t="s">
        <v>94</v>
      </c>
      <c r="D237" s="1" t="s">
        <v>288</v>
      </c>
      <c r="E237" s="2">
        <v>9290240.0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9290240.0</v>
      </c>
      <c r="O237" s="2">
        <v>0.0</v>
      </c>
      <c r="P237" s="2">
        <f t="shared" si="1"/>
        <v>0</v>
      </c>
      <c r="Q237" s="1"/>
      <c r="R237" s="1"/>
      <c r="S237" s="1"/>
      <c r="T237" s="1"/>
      <c r="U237" s="1"/>
      <c r="V237" s="6"/>
      <c r="W237" s="6"/>
    </row>
    <row r="238" ht="15.75" customHeight="1">
      <c r="A238" s="9" t="s">
        <v>29</v>
      </c>
      <c r="B238" s="10">
        <v>2025.0</v>
      </c>
      <c r="C238" s="14" t="s">
        <v>92</v>
      </c>
      <c r="D238" s="1" t="s">
        <v>289</v>
      </c>
      <c r="E238" s="2">
        <v>4686624.0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f t="shared" si="1"/>
        <v>4686624</v>
      </c>
      <c r="Q238" s="1"/>
      <c r="R238" s="1"/>
      <c r="S238" s="1"/>
      <c r="T238" s="1"/>
      <c r="U238" s="1"/>
      <c r="V238" s="6"/>
      <c r="W238" s="6"/>
    </row>
    <row r="239" ht="15.75" customHeight="1">
      <c r="A239" s="9" t="s">
        <v>29</v>
      </c>
      <c r="B239" s="10">
        <v>2025.0</v>
      </c>
      <c r="C239" s="14" t="s">
        <v>92</v>
      </c>
      <c r="D239" s="1" t="s">
        <v>290</v>
      </c>
      <c r="E239" s="2">
        <v>5707571.0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f t="shared" si="1"/>
        <v>5707571</v>
      </c>
      <c r="Q239" s="1"/>
      <c r="R239" s="1"/>
      <c r="S239" s="1"/>
      <c r="T239" s="1"/>
      <c r="U239" s="1"/>
      <c r="V239" s="6"/>
      <c r="W239" s="6"/>
    </row>
    <row r="240" ht="15.75" customHeight="1">
      <c r="A240" s="9" t="s">
        <v>29</v>
      </c>
      <c r="B240" s="10">
        <v>2025.0</v>
      </c>
      <c r="C240" s="14" t="s">
        <v>43</v>
      </c>
      <c r="D240" s="1" t="s">
        <v>291</v>
      </c>
      <c r="E240" s="2">
        <v>1.88651295E8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1.88651295E8</v>
      </c>
      <c r="O240" s="2">
        <v>0.0</v>
      </c>
      <c r="P240" s="2">
        <f t="shared" si="1"/>
        <v>0</v>
      </c>
      <c r="Q240" s="1"/>
      <c r="R240" s="1"/>
      <c r="S240" s="1"/>
      <c r="T240" s="1"/>
      <c r="U240" s="1"/>
      <c r="V240" s="6"/>
      <c r="W240" s="6"/>
    </row>
    <row r="241" ht="15.75" customHeight="1">
      <c r="A241" s="9" t="s">
        <v>29</v>
      </c>
      <c r="B241" s="10">
        <v>2025.0</v>
      </c>
      <c r="C241" s="14" t="s">
        <v>120</v>
      </c>
      <c r="D241" s="1" t="s">
        <v>292</v>
      </c>
      <c r="E241" s="2">
        <v>1399999.0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1399999.0</v>
      </c>
      <c r="O241" s="2">
        <v>0.0</v>
      </c>
      <c r="P241" s="2">
        <f t="shared" si="1"/>
        <v>0</v>
      </c>
      <c r="Q241" s="1"/>
      <c r="R241" s="1"/>
      <c r="S241" s="1"/>
      <c r="T241" s="1"/>
      <c r="U241" s="1"/>
      <c r="V241" s="6"/>
      <c r="W241" s="6"/>
    </row>
    <row r="242" ht="15.75" customHeight="1">
      <c r="A242" s="9" t="s">
        <v>29</v>
      </c>
      <c r="B242" s="10">
        <v>2025.0</v>
      </c>
      <c r="C242" s="14" t="s">
        <v>120</v>
      </c>
      <c r="D242" s="1" t="s">
        <v>293</v>
      </c>
      <c r="E242" s="2">
        <v>1400000.0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1400000.0</v>
      </c>
      <c r="O242" s="2">
        <v>0.0</v>
      </c>
      <c r="P242" s="2">
        <f t="shared" si="1"/>
        <v>0</v>
      </c>
      <c r="Q242" s="1"/>
      <c r="R242" s="1"/>
      <c r="S242" s="1"/>
      <c r="T242" s="1"/>
      <c r="U242" s="1"/>
      <c r="V242" s="6"/>
      <c r="W242" s="6"/>
    </row>
    <row r="243" ht="15.75" customHeight="1">
      <c r="A243" s="9" t="s">
        <v>29</v>
      </c>
      <c r="B243" s="10">
        <v>2025.0</v>
      </c>
      <c r="C243" s="14" t="s">
        <v>47</v>
      </c>
      <c r="D243" s="1" t="s">
        <v>294</v>
      </c>
      <c r="E243" s="2">
        <v>5400000.0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5400000.0</v>
      </c>
      <c r="O243" s="2">
        <v>0.0</v>
      </c>
      <c r="P243" s="2">
        <f t="shared" si="1"/>
        <v>0</v>
      </c>
      <c r="Q243" s="1"/>
      <c r="R243" s="1"/>
      <c r="S243" s="1"/>
      <c r="T243" s="1"/>
      <c r="U243" s="1"/>
      <c r="V243" s="6"/>
      <c r="W243" s="6"/>
    </row>
    <row r="244" ht="15.75" customHeight="1">
      <c r="A244" s="9" t="s">
        <v>29</v>
      </c>
      <c r="B244" s="10">
        <v>2025.0</v>
      </c>
      <c r="C244" s="14" t="s">
        <v>43</v>
      </c>
      <c r="D244" s="1" t="s">
        <v>295</v>
      </c>
      <c r="E244" s="2">
        <v>6.703988E7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6.703988E7</v>
      </c>
      <c r="O244" s="2">
        <v>0.0</v>
      </c>
      <c r="P244" s="2">
        <f t="shared" si="1"/>
        <v>0</v>
      </c>
      <c r="Q244" s="1"/>
      <c r="R244" s="1"/>
      <c r="S244" s="1"/>
      <c r="T244" s="1"/>
      <c r="U244" s="1"/>
      <c r="V244" s="6"/>
      <c r="W244" s="6"/>
    </row>
    <row r="245" ht="15.75" customHeight="1">
      <c r="A245" s="9" t="s">
        <v>29</v>
      </c>
      <c r="B245" s="10">
        <v>2025.0</v>
      </c>
      <c r="C245" s="14" t="s">
        <v>120</v>
      </c>
      <c r="D245" s="1" t="s">
        <v>296</v>
      </c>
      <c r="E245" s="2">
        <v>9625295.0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9625295.0</v>
      </c>
      <c r="O245" s="2">
        <v>0.0</v>
      </c>
      <c r="P245" s="2">
        <f t="shared" si="1"/>
        <v>0</v>
      </c>
      <c r="Q245" s="1"/>
      <c r="R245" s="1"/>
      <c r="S245" s="1"/>
      <c r="T245" s="1"/>
      <c r="U245" s="1"/>
      <c r="V245" s="6"/>
      <c r="W245" s="6"/>
    </row>
    <row r="246" ht="15.75" customHeight="1">
      <c r="A246" s="9" t="s">
        <v>29</v>
      </c>
      <c r="B246" s="10">
        <v>2025.0</v>
      </c>
      <c r="C246" s="14" t="s">
        <v>41</v>
      </c>
      <c r="D246" s="1" t="s">
        <v>297</v>
      </c>
      <c r="E246" s="2">
        <v>2.0288382E7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2.0288382E7</v>
      </c>
      <c r="O246" s="2">
        <v>0.0</v>
      </c>
      <c r="P246" s="2">
        <f t="shared" si="1"/>
        <v>0</v>
      </c>
      <c r="Q246" s="1"/>
      <c r="R246" s="1"/>
      <c r="S246" s="1"/>
      <c r="T246" s="1"/>
      <c r="U246" s="1"/>
      <c r="V246" s="6"/>
      <c r="W246" s="6"/>
    </row>
    <row r="247" ht="15.75" customHeight="1">
      <c r="A247" s="9" t="s">
        <v>29</v>
      </c>
      <c r="B247" s="10">
        <v>2025.0</v>
      </c>
      <c r="C247" s="14" t="s">
        <v>120</v>
      </c>
      <c r="D247" s="1" t="s">
        <v>298</v>
      </c>
      <c r="E247" s="2">
        <v>6293600.0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6293600.0</v>
      </c>
      <c r="O247" s="2">
        <v>0.0</v>
      </c>
      <c r="P247" s="2">
        <f t="shared" si="1"/>
        <v>0</v>
      </c>
      <c r="Q247" s="1"/>
      <c r="R247" s="1"/>
      <c r="S247" s="1"/>
      <c r="T247" s="1"/>
      <c r="U247" s="1"/>
      <c r="V247" s="6"/>
      <c r="W247" s="6"/>
    </row>
    <row r="248" ht="15.75" customHeight="1">
      <c r="A248" s="9" t="s">
        <v>29</v>
      </c>
      <c r="B248" s="10">
        <v>2025.0</v>
      </c>
      <c r="C248" s="14" t="s">
        <v>120</v>
      </c>
      <c r="D248" s="1" t="s">
        <v>299</v>
      </c>
      <c r="E248" s="2">
        <v>5130400.0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5130400.0</v>
      </c>
      <c r="O248" s="2">
        <v>0.0</v>
      </c>
      <c r="P248" s="2">
        <f t="shared" si="1"/>
        <v>0</v>
      </c>
      <c r="Q248" s="1"/>
      <c r="R248" s="1"/>
      <c r="S248" s="1"/>
      <c r="T248" s="1"/>
      <c r="U248" s="1"/>
      <c r="V248" s="6"/>
      <c r="W248" s="6"/>
    </row>
    <row r="249" ht="15.75" customHeight="1">
      <c r="A249" s="9" t="s">
        <v>29</v>
      </c>
      <c r="B249" s="10">
        <v>2025.0</v>
      </c>
      <c r="C249" s="14" t="s">
        <v>120</v>
      </c>
      <c r="D249" s="1" t="s">
        <v>300</v>
      </c>
      <c r="E249" s="2">
        <v>4124628.0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4124628.0</v>
      </c>
      <c r="O249" s="2">
        <v>0.0</v>
      </c>
      <c r="P249" s="2">
        <f t="shared" si="1"/>
        <v>0</v>
      </c>
      <c r="Q249" s="1"/>
      <c r="R249" s="1"/>
      <c r="S249" s="1"/>
      <c r="T249" s="1"/>
      <c r="U249" s="1"/>
      <c r="V249" s="6"/>
      <c r="W249" s="6"/>
    </row>
    <row r="250" ht="15.75" customHeight="1">
      <c r="A250" s="9" t="s">
        <v>29</v>
      </c>
      <c r="B250" s="10">
        <v>2025.0</v>
      </c>
      <c r="C250" s="14" t="s">
        <v>301</v>
      </c>
      <c r="D250" s="1" t="s">
        <v>302</v>
      </c>
      <c r="E250" s="2">
        <v>2.854054E7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2.854054E7</v>
      </c>
      <c r="O250" s="2">
        <v>0.0</v>
      </c>
      <c r="P250" s="2">
        <f t="shared" si="1"/>
        <v>0</v>
      </c>
      <c r="Q250" s="1"/>
      <c r="R250" s="1"/>
      <c r="S250" s="1"/>
      <c r="T250" s="1"/>
      <c r="U250" s="1"/>
      <c r="V250" s="6"/>
      <c r="W250" s="6"/>
    </row>
    <row r="251" ht="15.75" customHeight="1">
      <c r="A251" s="9" t="s">
        <v>29</v>
      </c>
      <c r="B251" s="10">
        <v>2025.0</v>
      </c>
      <c r="C251" s="14" t="s">
        <v>120</v>
      </c>
      <c r="D251" s="1" t="s">
        <v>303</v>
      </c>
      <c r="E251" s="2">
        <v>5486500.0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5486500.0</v>
      </c>
      <c r="O251" s="2">
        <v>0.0</v>
      </c>
      <c r="P251" s="2">
        <f t="shared" si="1"/>
        <v>0</v>
      </c>
      <c r="Q251" s="1"/>
      <c r="R251" s="1"/>
      <c r="S251" s="1"/>
      <c r="T251" s="1"/>
      <c r="U251" s="1"/>
      <c r="V251" s="6"/>
      <c r="W251" s="6"/>
    </row>
    <row r="252" ht="15.75" customHeight="1">
      <c r="A252" s="9" t="s">
        <v>29</v>
      </c>
      <c r="B252" s="10">
        <v>2025.0</v>
      </c>
      <c r="C252" s="14" t="s">
        <v>94</v>
      </c>
      <c r="D252" s="1" t="s">
        <v>304</v>
      </c>
      <c r="E252" s="2">
        <v>2.653323E7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2.653323E7</v>
      </c>
      <c r="O252" s="2">
        <v>0.0</v>
      </c>
      <c r="P252" s="2">
        <f t="shared" si="1"/>
        <v>0</v>
      </c>
      <c r="Q252" s="1"/>
      <c r="R252" s="1"/>
      <c r="S252" s="1"/>
      <c r="T252" s="1"/>
      <c r="U252" s="1"/>
      <c r="V252" s="6"/>
      <c r="W252" s="6"/>
    </row>
    <row r="253" ht="15.75" customHeight="1">
      <c r="A253" s="9" t="s">
        <v>29</v>
      </c>
      <c r="B253" s="10">
        <v>2025.0</v>
      </c>
      <c r="C253" s="14" t="s">
        <v>252</v>
      </c>
      <c r="D253" s="1" t="s">
        <v>305</v>
      </c>
      <c r="E253" s="2">
        <v>1701000.0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1701000.0</v>
      </c>
      <c r="O253" s="2">
        <v>0.0</v>
      </c>
      <c r="P253" s="2">
        <f t="shared" si="1"/>
        <v>0</v>
      </c>
      <c r="Q253" s="1"/>
      <c r="R253" s="1"/>
      <c r="S253" s="1"/>
      <c r="T253" s="1"/>
      <c r="U253" s="1"/>
      <c r="V253" s="6"/>
      <c r="W253" s="6"/>
    </row>
    <row r="254" ht="15.75" customHeight="1">
      <c r="A254" s="9" t="s">
        <v>29</v>
      </c>
      <c r="B254" s="10">
        <v>2025.0</v>
      </c>
      <c r="C254" s="14" t="s">
        <v>47</v>
      </c>
      <c r="D254" s="1" t="s">
        <v>306</v>
      </c>
      <c r="E254" s="2">
        <v>4486652.0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4486652.0</v>
      </c>
      <c r="O254" s="2">
        <v>0.0</v>
      </c>
      <c r="P254" s="2">
        <f t="shared" si="1"/>
        <v>0</v>
      </c>
      <c r="Q254" s="1"/>
      <c r="R254" s="1"/>
      <c r="S254" s="1"/>
      <c r="T254" s="1"/>
      <c r="U254" s="1"/>
      <c r="V254" s="6"/>
      <c r="W254" s="6"/>
    </row>
    <row r="255" ht="15.75" customHeight="1">
      <c r="A255" s="9" t="s">
        <v>29</v>
      </c>
      <c r="B255" s="10">
        <v>2025.0</v>
      </c>
      <c r="C255" s="14" t="s">
        <v>120</v>
      </c>
      <c r="D255" s="1" t="s">
        <v>307</v>
      </c>
      <c r="E255" s="2">
        <v>2.7361053E7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2.7361053E7</v>
      </c>
      <c r="O255" s="2">
        <v>0.0</v>
      </c>
      <c r="P255" s="2">
        <f t="shared" si="1"/>
        <v>0</v>
      </c>
      <c r="Q255" s="1"/>
      <c r="R255" s="1"/>
      <c r="S255" s="1"/>
      <c r="T255" s="1"/>
      <c r="U255" s="1"/>
      <c r="V255" s="6"/>
      <c r="W255" s="6"/>
    </row>
    <row r="256" ht="15.75" customHeight="1">
      <c r="A256" s="9" t="s">
        <v>29</v>
      </c>
      <c r="B256" s="10">
        <v>2025.0</v>
      </c>
      <c r="C256" s="14" t="s">
        <v>308</v>
      </c>
      <c r="D256" s="1" t="s">
        <v>309</v>
      </c>
      <c r="E256" s="2">
        <v>7500000.0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7500000.0</v>
      </c>
      <c r="O256" s="2">
        <v>0.0</v>
      </c>
      <c r="P256" s="2">
        <f t="shared" si="1"/>
        <v>0</v>
      </c>
      <c r="Q256" s="1"/>
      <c r="R256" s="1"/>
      <c r="S256" s="1"/>
      <c r="T256" s="1"/>
      <c r="U256" s="1"/>
      <c r="V256" s="6"/>
      <c r="W256" s="6"/>
    </row>
    <row r="257" ht="15.75" customHeight="1">
      <c r="A257" s="9" t="s">
        <v>29</v>
      </c>
      <c r="B257" s="10">
        <v>2025.0</v>
      </c>
      <c r="C257" s="14" t="s">
        <v>308</v>
      </c>
      <c r="D257" s="1" t="s">
        <v>310</v>
      </c>
      <c r="E257" s="2">
        <v>7500000.0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7500000.0</v>
      </c>
      <c r="O257" s="2">
        <v>0.0</v>
      </c>
      <c r="P257" s="2">
        <f t="shared" si="1"/>
        <v>0</v>
      </c>
      <c r="Q257" s="1"/>
      <c r="R257" s="1"/>
      <c r="S257" s="1"/>
      <c r="T257" s="1"/>
      <c r="U257" s="1"/>
      <c r="V257" s="6"/>
      <c r="W257" s="6"/>
    </row>
    <row r="258" ht="15.75" customHeight="1">
      <c r="A258" s="9" t="s">
        <v>29</v>
      </c>
      <c r="B258" s="10">
        <v>2025.0</v>
      </c>
      <c r="C258" s="14" t="s">
        <v>308</v>
      </c>
      <c r="D258" s="1" t="s">
        <v>311</v>
      </c>
      <c r="E258" s="2">
        <v>5000000.0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5000000.0</v>
      </c>
      <c r="O258" s="2">
        <v>0.0</v>
      </c>
      <c r="P258" s="2">
        <f t="shared" si="1"/>
        <v>0</v>
      </c>
      <c r="Q258" s="1"/>
      <c r="R258" s="1"/>
      <c r="S258" s="1"/>
      <c r="T258" s="1"/>
      <c r="U258" s="1"/>
      <c r="V258" s="6"/>
      <c r="W258" s="6"/>
    </row>
    <row r="259" ht="15.75" customHeight="1">
      <c r="A259" s="9" t="s">
        <v>29</v>
      </c>
      <c r="B259" s="10">
        <v>2025.0</v>
      </c>
      <c r="C259" s="14" t="s">
        <v>308</v>
      </c>
      <c r="D259" s="1" t="s">
        <v>312</v>
      </c>
      <c r="E259" s="2">
        <v>5000000.0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5000000.0</v>
      </c>
      <c r="O259" s="2">
        <v>0.0</v>
      </c>
      <c r="P259" s="2">
        <f t="shared" si="1"/>
        <v>0</v>
      </c>
      <c r="Q259" s="1"/>
      <c r="R259" s="1"/>
      <c r="S259" s="1"/>
      <c r="T259" s="1"/>
      <c r="U259" s="1"/>
      <c r="V259" s="6"/>
      <c r="W259" s="6"/>
    </row>
    <row r="260" ht="15.75" customHeight="1">
      <c r="A260" s="9" t="s">
        <v>29</v>
      </c>
      <c r="B260" s="10">
        <v>2025.0</v>
      </c>
      <c r="C260" s="14" t="s">
        <v>308</v>
      </c>
      <c r="D260" s="1" t="s">
        <v>313</v>
      </c>
      <c r="E260" s="2">
        <v>7500000.0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7500000.0</v>
      </c>
      <c r="O260" s="2">
        <v>0.0</v>
      </c>
      <c r="P260" s="2">
        <f t="shared" si="1"/>
        <v>0</v>
      </c>
      <c r="Q260" s="1"/>
      <c r="R260" s="1"/>
      <c r="S260" s="1"/>
      <c r="T260" s="1"/>
      <c r="U260" s="1"/>
      <c r="V260" s="6"/>
      <c r="W260" s="6"/>
    </row>
    <row r="261" ht="15.75" customHeight="1">
      <c r="A261" s="9" t="s">
        <v>29</v>
      </c>
      <c r="B261" s="10">
        <v>2025.0</v>
      </c>
      <c r="C261" s="14" t="s">
        <v>56</v>
      </c>
      <c r="D261" s="1" t="s">
        <v>314</v>
      </c>
      <c r="E261" s="2">
        <v>3.0E7</v>
      </c>
      <c r="F261" s="2"/>
      <c r="G261" s="2"/>
      <c r="H261" s="2"/>
      <c r="I261" s="2"/>
      <c r="J261" s="2">
        <v>0.0</v>
      </c>
      <c r="K261" s="2"/>
      <c r="L261" s="2">
        <v>0.0</v>
      </c>
      <c r="M261" s="2"/>
      <c r="N261" s="2">
        <v>3.0E7</v>
      </c>
      <c r="O261" s="2">
        <v>0.0</v>
      </c>
      <c r="P261" s="2">
        <f t="shared" si="1"/>
        <v>0</v>
      </c>
      <c r="Q261" s="1"/>
      <c r="R261" s="1"/>
      <c r="S261" s="1"/>
      <c r="T261" s="1"/>
      <c r="U261" s="1"/>
      <c r="V261" s="6"/>
      <c r="W261" s="6"/>
    </row>
    <row r="262" ht="15.75" customHeight="1">
      <c r="A262" s="9" t="s">
        <v>29</v>
      </c>
      <c r="B262" s="10">
        <v>2025.0</v>
      </c>
      <c r="C262" s="14" t="s">
        <v>120</v>
      </c>
      <c r="D262" s="1" t="s">
        <v>315</v>
      </c>
      <c r="E262" s="2">
        <v>9223260.0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9223260.0</v>
      </c>
      <c r="O262" s="2">
        <v>0.0</v>
      </c>
      <c r="P262" s="2">
        <f t="shared" si="1"/>
        <v>0</v>
      </c>
      <c r="Q262" s="1"/>
      <c r="R262" s="1"/>
      <c r="S262" s="1"/>
      <c r="T262" s="1"/>
      <c r="U262" s="1"/>
      <c r="V262" s="6"/>
      <c r="W262" s="6"/>
    </row>
    <row r="263" ht="15.75" customHeight="1">
      <c r="A263" s="9" t="s">
        <v>29</v>
      </c>
      <c r="B263" s="10">
        <v>2025.0</v>
      </c>
      <c r="C263" s="14" t="s">
        <v>120</v>
      </c>
      <c r="D263" s="1" t="s">
        <v>316</v>
      </c>
      <c r="E263" s="2">
        <v>2896000.0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2896000.0</v>
      </c>
      <c r="O263" s="2">
        <v>0.0</v>
      </c>
      <c r="P263" s="2">
        <f t="shared" si="1"/>
        <v>0</v>
      </c>
      <c r="Q263" s="1"/>
      <c r="R263" s="1"/>
      <c r="S263" s="1"/>
      <c r="T263" s="1"/>
      <c r="U263" s="1"/>
      <c r="V263" s="6"/>
      <c r="W263" s="6"/>
    </row>
    <row r="264" ht="15.75" customHeight="1">
      <c r="A264" s="9" t="s">
        <v>29</v>
      </c>
      <c r="B264" s="10">
        <v>2025.0</v>
      </c>
      <c r="C264" s="14" t="s">
        <v>120</v>
      </c>
      <c r="D264" s="1" t="s">
        <v>317</v>
      </c>
      <c r="E264" s="2">
        <v>9413596.0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9413596.0</v>
      </c>
      <c r="O264" s="2">
        <v>0.0</v>
      </c>
      <c r="P264" s="2">
        <f t="shared" si="1"/>
        <v>0</v>
      </c>
      <c r="Q264" s="1"/>
      <c r="R264" s="1"/>
      <c r="S264" s="1"/>
      <c r="T264" s="1"/>
      <c r="U264" s="1"/>
      <c r="V264" s="6"/>
      <c r="W264" s="6"/>
    </row>
    <row r="265" ht="15.75" customHeight="1">
      <c r="A265" s="9" t="s">
        <v>29</v>
      </c>
      <c r="B265" s="10">
        <v>2025.0</v>
      </c>
      <c r="C265" s="14" t="s">
        <v>120</v>
      </c>
      <c r="D265" s="1" t="s">
        <v>318</v>
      </c>
      <c r="E265" s="2">
        <v>7209815.0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7209815.0</v>
      </c>
      <c r="O265" s="2">
        <v>0.0</v>
      </c>
      <c r="P265" s="2">
        <f t="shared" si="1"/>
        <v>0</v>
      </c>
      <c r="Q265" s="1"/>
      <c r="R265" s="1"/>
      <c r="S265" s="1"/>
      <c r="T265" s="1"/>
      <c r="U265" s="1"/>
      <c r="V265" s="6"/>
      <c r="W265" s="6"/>
    </row>
    <row r="266" ht="15.75" customHeight="1">
      <c r="A266" s="9" t="s">
        <v>29</v>
      </c>
      <c r="B266" s="10">
        <v>2025.0</v>
      </c>
      <c r="C266" s="14" t="s">
        <v>120</v>
      </c>
      <c r="D266" s="1" t="s">
        <v>319</v>
      </c>
      <c r="E266" s="2">
        <v>396000.0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396000.0</v>
      </c>
      <c r="O266" s="2">
        <v>0.0</v>
      </c>
      <c r="P266" s="2">
        <f t="shared" si="1"/>
        <v>0</v>
      </c>
      <c r="Q266" s="1"/>
      <c r="R266" s="1"/>
      <c r="S266" s="1"/>
      <c r="T266" s="1"/>
      <c r="U266" s="1"/>
      <c r="V266" s="6"/>
      <c r="W266" s="6"/>
    </row>
    <row r="267" ht="15.75" customHeight="1">
      <c r="A267" s="9" t="s">
        <v>29</v>
      </c>
      <c r="B267" s="10">
        <v>2025.0</v>
      </c>
      <c r="C267" s="14" t="s">
        <v>120</v>
      </c>
      <c r="D267" s="1" t="s">
        <v>320</v>
      </c>
      <c r="E267" s="2">
        <v>1728500.0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1728500.0</v>
      </c>
      <c r="O267" s="2">
        <v>0.0</v>
      </c>
      <c r="P267" s="2">
        <f t="shared" si="1"/>
        <v>0</v>
      </c>
      <c r="Q267" s="1"/>
      <c r="R267" s="1"/>
      <c r="S267" s="1"/>
      <c r="T267" s="1"/>
      <c r="U267" s="1"/>
      <c r="V267" s="6"/>
      <c r="W267" s="6"/>
    </row>
    <row r="268" ht="15.75" customHeight="1">
      <c r="A268" s="9" t="s">
        <v>29</v>
      </c>
      <c r="B268" s="10">
        <v>2025.0</v>
      </c>
      <c r="C268" s="14" t="s">
        <v>120</v>
      </c>
      <c r="D268" s="1" t="s">
        <v>321</v>
      </c>
      <c r="E268" s="2">
        <v>5079922.0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5079922.0</v>
      </c>
      <c r="O268" s="2">
        <v>0.0</v>
      </c>
      <c r="P268" s="2">
        <f t="shared" si="1"/>
        <v>0</v>
      </c>
      <c r="Q268" s="1"/>
      <c r="R268" s="1"/>
      <c r="S268" s="1"/>
      <c r="T268" s="1"/>
      <c r="U268" s="1"/>
      <c r="V268" s="6"/>
      <c r="W268" s="6"/>
    </row>
    <row r="269" ht="15.75" customHeight="1">
      <c r="A269" s="9" t="s">
        <v>29</v>
      </c>
      <c r="B269" s="10">
        <v>2025.0</v>
      </c>
      <c r="C269" s="14" t="s">
        <v>322</v>
      </c>
      <c r="D269" s="1" t="s">
        <v>323</v>
      </c>
      <c r="E269" s="2">
        <v>412500.0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412500.0</v>
      </c>
      <c r="O269" s="2">
        <v>0.0</v>
      </c>
      <c r="P269" s="2">
        <f t="shared" si="1"/>
        <v>0</v>
      </c>
      <c r="Q269" s="1"/>
      <c r="R269" s="1"/>
      <c r="S269" s="1"/>
      <c r="T269" s="1"/>
      <c r="U269" s="1"/>
      <c r="V269" s="6"/>
      <c r="W269" s="6"/>
    </row>
    <row r="270" ht="15.75" customHeight="1">
      <c r="A270" s="9" t="s">
        <v>29</v>
      </c>
      <c r="B270" s="10">
        <v>2025.0</v>
      </c>
      <c r="C270" s="14" t="s">
        <v>47</v>
      </c>
      <c r="D270" s="1" t="s">
        <v>324</v>
      </c>
      <c r="E270" s="2">
        <v>1932020.0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1932020.0</v>
      </c>
      <c r="O270" s="2">
        <v>0.0</v>
      </c>
      <c r="P270" s="2">
        <f t="shared" si="1"/>
        <v>0</v>
      </c>
      <c r="Q270" s="1"/>
      <c r="R270" s="1"/>
      <c r="S270" s="1"/>
      <c r="T270" s="1"/>
      <c r="U270" s="1"/>
      <c r="V270" s="6"/>
      <c r="W270" s="6"/>
    </row>
    <row r="271" ht="15.75" customHeight="1">
      <c r="A271" s="9" t="s">
        <v>29</v>
      </c>
      <c r="B271" s="10">
        <v>2025.0</v>
      </c>
      <c r="C271" s="14" t="s">
        <v>120</v>
      </c>
      <c r="D271" s="1" t="s">
        <v>325</v>
      </c>
      <c r="E271" s="2">
        <v>2586350.0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2586350.0</v>
      </c>
      <c r="O271" s="2">
        <v>0.0</v>
      </c>
      <c r="P271" s="2">
        <f t="shared" si="1"/>
        <v>0</v>
      </c>
      <c r="Q271" s="1"/>
      <c r="R271" s="1"/>
      <c r="S271" s="1"/>
      <c r="T271" s="1"/>
      <c r="U271" s="1"/>
      <c r="V271" s="6"/>
      <c r="W271" s="6"/>
    </row>
    <row r="272" ht="15.75" customHeight="1">
      <c r="A272" s="9" t="s">
        <v>29</v>
      </c>
      <c r="B272" s="10">
        <v>2025.0</v>
      </c>
      <c r="C272" s="14" t="s">
        <v>275</v>
      </c>
      <c r="D272" s="1" t="s">
        <v>326</v>
      </c>
      <c r="E272" s="2">
        <v>1.12905E7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f t="shared" si="1"/>
        <v>11290500</v>
      </c>
      <c r="Q272" s="1"/>
      <c r="R272" s="1"/>
      <c r="S272" s="1"/>
      <c r="T272" s="1"/>
      <c r="U272" s="1"/>
      <c r="V272" s="6"/>
      <c r="W272" s="6"/>
    </row>
    <row r="273" ht="15.75" customHeight="1">
      <c r="A273" s="9" t="s">
        <v>29</v>
      </c>
      <c r="B273" s="10">
        <v>2025.0</v>
      </c>
      <c r="C273" s="14" t="s">
        <v>120</v>
      </c>
      <c r="D273" s="1" t="s">
        <v>327</v>
      </c>
      <c r="E273" s="2">
        <v>8393955.0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8393955.0</v>
      </c>
      <c r="O273" s="2">
        <v>0.0</v>
      </c>
      <c r="P273" s="2">
        <f t="shared" si="1"/>
        <v>0</v>
      </c>
      <c r="Q273" s="1"/>
      <c r="R273" s="1"/>
      <c r="S273" s="1"/>
      <c r="T273" s="1"/>
      <c r="U273" s="1"/>
      <c r="V273" s="6"/>
      <c r="W273" s="6"/>
    </row>
    <row r="274" ht="15.75" customHeight="1">
      <c r="A274" s="9" t="s">
        <v>29</v>
      </c>
      <c r="B274" s="10">
        <v>2025.0</v>
      </c>
      <c r="C274" s="14" t="s">
        <v>322</v>
      </c>
      <c r="D274" s="1" t="s">
        <v>328</v>
      </c>
      <c r="E274" s="2">
        <v>1.548576E7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1.548576E7</v>
      </c>
      <c r="O274" s="2">
        <v>0.0</v>
      </c>
      <c r="P274" s="2">
        <f t="shared" si="1"/>
        <v>0</v>
      </c>
      <c r="Q274" s="1"/>
      <c r="R274" s="1"/>
      <c r="S274" s="1"/>
      <c r="T274" s="1"/>
      <c r="U274" s="1"/>
      <c r="V274" s="6"/>
      <c r="W274" s="6"/>
    </row>
    <row r="275" ht="15.75" customHeight="1">
      <c r="A275" s="9" t="s">
        <v>29</v>
      </c>
      <c r="B275" s="10">
        <v>2025.0</v>
      </c>
      <c r="C275" s="14" t="s">
        <v>120</v>
      </c>
      <c r="D275" s="1" t="s">
        <v>329</v>
      </c>
      <c r="E275" s="2">
        <v>7961399.0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7961399.0</v>
      </c>
      <c r="O275" s="2">
        <v>0.0</v>
      </c>
      <c r="P275" s="2">
        <f t="shared" si="1"/>
        <v>0</v>
      </c>
      <c r="Q275" s="1"/>
      <c r="R275" s="1"/>
      <c r="S275" s="1"/>
      <c r="T275" s="1"/>
      <c r="U275" s="1"/>
      <c r="V275" s="6"/>
      <c r="W275" s="6"/>
    </row>
    <row r="276" ht="15.75" customHeight="1">
      <c r="A276" s="9" t="s">
        <v>29</v>
      </c>
      <c r="B276" s="10">
        <v>2025.0</v>
      </c>
      <c r="C276" s="14" t="s">
        <v>330</v>
      </c>
      <c r="D276" s="1" t="s">
        <v>331</v>
      </c>
      <c r="E276" s="2">
        <v>1.0E7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f t="shared" si="1"/>
        <v>10000000</v>
      </c>
      <c r="Q276" s="1"/>
      <c r="R276" s="1"/>
      <c r="S276" s="1"/>
      <c r="T276" s="1"/>
      <c r="U276" s="1"/>
      <c r="V276" s="6"/>
      <c r="W276" s="6"/>
    </row>
    <row r="277" ht="15.75" customHeight="1">
      <c r="A277" s="9" t="s">
        <v>29</v>
      </c>
      <c r="B277" s="10">
        <v>2025.0</v>
      </c>
      <c r="C277" s="14" t="s">
        <v>120</v>
      </c>
      <c r="D277" s="1" t="s">
        <v>332</v>
      </c>
      <c r="E277" s="2">
        <v>1872239.0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1872239.0</v>
      </c>
      <c r="O277" s="2">
        <v>0.0</v>
      </c>
      <c r="P277" s="2">
        <f t="shared" si="1"/>
        <v>0</v>
      </c>
      <c r="Q277" s="1"/>
      <c r="R277" s="1"/>
      <c r="S277" s="1"/>
      <c r="T277" s="1"/>
      <c r="U277" s="1"/>
      <c r="V277" s="6"/>
      <c r="W277" s="6"/>
    </row>
    <row r="278" ht="15.75" customHeight="1">
      <c r="A278" s="9" t="s">
        <v>29</v>
      </c>
      <c r="B278" s="10">
        <v>2025.0</v>
      </c>
      <c r="C278" s="14" t="s">
        <v>53</v>
      </c>
      <c r="D278" s="1" t="s">
        <v>333</v>
      </c>
      <c r="E278" s="2">
        <v>1387800.0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1387800.0</v>
      </c>
      <c r="O278" s="2">
        <v>0.0</v>
      </c>
      <c r="P278" s="2">
        <f t="shared" si="1"/>
        <v>0</v>
      </c>
      <c r="Q278" s="1"/>
      <c r="R278" s="1"/>
      <c r="S278" s="1"/>
      <c r="T278" s="1"/>
      <c r="U278" s="1"/>
      <c r="V278" s="6"/>
      <c r="W278" s="6"/>
    </row>
    <row r="279" ht="15.75" customHeight="1">
      <c r="A279" s="9" t="s">
        <v>29</v>
      </c>
      <c r="B279" s="10">
        <v>2025.0</v>
      </c>
      <c r="C279" s="14" t="s">
        <v>120</v>
      </c>
      <c r="D279" s="1" t="s">
        <v>334</v>
      </c>
      <c r="E279" s="2">
        <v>1.3749509E7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1.3749509E7</v>
      </c>
      <c r="O279" s="2">
        <v>0.0</v>
      </c>
      <c r="P279" s="2">
        <f t="shared" si="1"/>
        <v>0</v>
      </c>
      <c r="Q279" s="1"/>
      <c r="R279" s="1"/>
      <c r="S279" s="1"/>
      <c r="T279" s="1"/>
      <c r="U279" s="1"/>
      <c r="V279" s="6"/>
      <c r="W279" s="6"/>
    </row>
    <row r="280" ht="15.75" customHeight="1">
      <c r="A280" s="9" t="s">
        <v>29</v>
      </c>
      <c r="B280" s="10">
        <v>2025.0</v>
      </c>
      <c r="C280" s="14" t="s">
        <v>53</v>
      </c>
      <c r="D280" s="1" t="s">
        <v>335</v>
      </c>
      <c r="E280" s="2">
        <v>9502310.0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9502310.0</v>
      </c>
      <c r="O280" s="2">
        <v>0.0</v>
      </c>
      <c r="P280" s="2">
        <f t="shared" si="1"/>
        <v>0</v>
      </c>
      <c r="Q280" s="1"/>
      <c r="R280" s="1"/>
      <c r="S280" s="1"/>
      <c r="T280" s="1"/>
      <c r="U280" s="1"/>
      <c r="V280" s="6"/>
      <c r="W280" s="6"/>
    </row>
    <row r="281" ht="15.75" customHeight="1">
      <c r="A281" s="9" t="s">
        <v>29</v>
      </c>
      <c r="B281" s="10">
        <v>2025.0</v>
      </c>
      <c r="C281" s="14" t="s">
        <v>56</v>
      </c>
      <c r="D281" s="1" t="s">
        <v>336</v>
      </c>
      <c r="E281" s="2">
        <v>4.5612813E7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4.5612813E7</v>
      </c>
      <c r="O281" s="2">
        <v>0.0</v>
      </c>
      <c r="P281" s="2">
        <f t="shared" si="1"/>
        <v>0</v>
      </c>
      <c r="Q281" s="1"/>
      <c r="R281" s="1"/>
      <c r="S281" s="1"/>
      <c r="T281" s="1"/>
      <c r="U281" s="1"/>
      <c r="V281" s="6"/>
      <c r="W281" s="6"/>
    </row>
    <row r="282" ht="15.75" customHeight="1">
      <c r="A282" s="9" t="s">
        <v>29</v>
      </c>
      <c r="B282" s="10">
        <v>2025.0</v>
      </c>
      <c r="C282" s="14" t="s">
        <v>322</v>
      </c>
      <c r="D282" s="1" t="s">
        <v>337</v>
      </c>
      <c r="E282" s="2">
        <v>1370000.0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1370000.0</v>
      </c>
      <c r="O282" s="2">
        <v>0.0</v>
      </c>
      <c r="P282" s="2">
        <f t="shared" si="1"/>
        <v>0</v>
      </c>
      <c r="Q282" s="1"/>
      <c r="R282" s="1"/>
      <c r="S282" s="1"/>
      <c r="T282" s="1"/>
      <c r="U282" s="1"/>
      <c r="V282" s="6"/>
      <c r="W282" s="6"/>
    </row>
    <row r="283" ht="15.75" customHeight="1">
      <c r="A283" s="9" t="s">
        <v>29</v>
      </c>
      <c r="B283" s="10">
        <v>2025.0</v>
      </c>
      <c r="C283" s="14" t="s">
        <v>56</v>
      </c>
      <c r="D283" s="1" t="s">
        <v>338</v>
      </c>
      <c r="E283" s="2">
        <v>4175570.0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4175570.0</v>
      </c>
      <c r="O283" s="2">
        <v>0.0</v>
      </c>
      <c r="P283" s="2">
        <f t="shared" si="1"/>
        <v>0</v>
      </c>
      <c r="Q283" s="1"/>
      <c r="R283" s="1"/>
      <c r="S283" s="1"/>
      <c r="T283" s="1"/>
      <c r="U283" s="1"/>
      <c r="V283" s="6"/>
      <c r="W283" s="6"/>
    </row>
    <row r="284" ht="15.75" customHeight="1">
      <c r="A284" s="9" t="s">
        <v>29</v>
      </c>
      <c r="B284" s="10">
        <v>2025.0</v>
      </c>
      <c r="C284" s="14" t="s">
        <v>120</v>
      </c>
      <c r="D284" s="1" t="s">
        <v>339</v>
      </c>
      <c r="E284" s="2">
        <v>1.2531E7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1.2531E7</v>
      </c>
      <c r="O284" s="2">
        <v>0.0</v>
      </c>
      <c r="P284" s="2">
        <f t="shared" si="1"/>
        <v>0</v>
      </c>
      <c r="Q284" s="1"/>
      <c r="R284" s="1"/>
      <c r="S284" s="1"/>
      <c r="T284" s="1"/>
      <c r="U284" s="1"/>
      <c r="V284" s="6"/>
      <c r="W284" s="6"/>
    </row>
    <row r="285" ht="15.75" customHeight="1">
      <c r="A285" s="9" t="s">
        <v>29</v>
      </c>
      <c r="B285" s="10">
        <v>2025.0</v>
      </c>
      <c r="C285" s="14" t="s">
        <v>120</v>
      </c>
      <c r="D285" s="1" t="s">
        <v>340</v>
      </c>
      <c r="E285" s="2">
        <v>2281300.0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2281300.0</v>
      </c>
      <c r="O285" s="2">
        <v>0.0</v>
      </c>
      <c r="P285" s="2">
        <f t="shared" si="1"/>
        <v>0</v>
      </c>
      <c r="Q285" s="1"/>
      <c r="R285" s="1"/>
      <c r="S285" s="1"/>
      <c r="T285" s="1"/>
      <c r="U285" s="1"/>
      <c r="V285" s="6"/>
      <c r="W285" s="6"/>
    </row>
    <row r="286" ht="15.75" customHeight="1">
      <c r="A286" s="9" t="s">
        <v>29</v>
      </c>
      <c r="B286" s="10">
        <v>2025.0</v>
      </c>
      <c r="C286" s="14" t="s">
        <v>94</v>
      </c>
      <c r="D286" s="1" t="s">
        <v>341</v>
      </c>
      <c r="E286" s="2">
        <v>4518484.0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4518484.0</v>
      </c>
      <c r="O286" s="2">
        <v>0.0</v>
      </c>
      <c r="P286" s="2">
        <f t="shared" si="1"/>
        <v>0</v>
      </c>
      <c r="Q286" s="1"/>
      <c r="R286" s="1"/>
      <c r="S286" s="1"/>
      <c r="T286" s="1"/>
      <c r="U286" s="1"/>
      <c r="V286" s="6"/>
      <c r="W286" s="6"/>
    </row>
    <row r="287" ht="15.75" customHeight="1">
      <c r="A287" s="9" t="s">
        <v>29</v>
      </c>
      <c r="B287" s="10">
        <v>2025.0</v>
      </c>
      <c r="C287" s="14" t="s">
        <v>66</v>
      </c>
      <c r="D287" s="1" t="s">
        <v>342</v>
      </c>
      <c r="E287" s="2">
        <v>1.2765014E7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1.2765014E7</v>
      </c>
      <c r="O287" s="2">
        <v>0.0</v>
      </c>
      <c r="P287" s="2">
        <f t="shared" si="1"/>
        <v>0</v>
      </c>
      <c r="Q287" s="1"/>
      <c r="R287" s="1"/>
      <c r="S287" s="1"/>
      <c r="T287" s="1"/>
      <c r="U287" s="1"/>
      <c r="V287" s="6"/>
      <c r="W287" s="6"/>
    </row>
    <row r="288" ht="15.75" customHeight="1">
      <c r="A288" s="9" t="s">
        <v>29</v>
      </c>
      <c r="B288" s="10">
        <v>2025.0</v>
      </c>
      <c r="C288" s="14" t="s">
        <v>322</v>
      </c>
      <c r="D288" s="1" t="s">
        <v>343</v>
      </c>
      <c r="E288" s="2">
        <v>1298545.0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1298545.0</v>
      </c>
      <c r="O288" s="2">
        <v>0.0</v>
      </c>
      <c r="P288" s="2">
        <f t="shared" si="1"/>
        <v>0</v>
      </c>
      <c r="Q288" s="1"/>
      <c r="R288" s="1"/>
      <c r="S288" s="1"/>
      <c r="T288" s="1"/>
      <c r="U288" s="1"/>
      <c r="V288" s="6"/>
      <c r="W288" s="6"/>
    </row>
    <row r="289" ht="15.75" customHeight="1">
      <c r="A289" s="9" t="s">
        <v>29</v>
      </c>
      <c r="B289" s="10">
        <v>2025.0</v>
      </c>
      <c r="C289" s="14" t="s">
        <v>134</v>
      </c>
      <c r="D289" s="1" t="s">
        <v>344</v>
      </c>
      <c r="E289" s="2">
        <v>1.06558618E8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f t="shared" si="1"/>
        <v>106558618</v>
      </c>
      <c r="Q289" s="1"/>
      <c r="R289" s="1"/>
      <c r="S289" s="1"/>
      <c r="T289" s="1"/>
      <c r="U289" s="1"/>
      <c r="V289" s="6"/>
      <c r="W289" s="6"/>
    </row>
    <row r="290" ht="15.75" customHeight="1">
      <c r="A290" s="9" t="s">
        <v>29</v>
      </c>
      <c r="B290" s="10">
        <v>2025.0</v>
      </c>
      <c r="C290" s="14" t="s">
        <v>322</v>
      </c>
      <c r="D290" s="1" t="s">
        <v>345</v>
      </c>
      <c r="E290" s="2">
        <v>1500745.0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1500745.0</v>
      </c>
      <c r="O290" s="2">
        <v>0.0</v>
      </c>
      <c r="P290" s="2">
        <f t="shared" si="1"/>
        <v>0</v>
      </c>
      <c r="Q290" s="1"/>
      <c r="R290" s="1"/>
      <c r="S290" s="1"/>
      <c r="T290" s="1"/>
      <c r="U290" s="1"/>
      <c r="V290" s="6"/>
      <c r="W290" s="6"/>
    </row>
    <row r="291" ht="15.75" customHeight="1">
      <c r="A291" s="9" t="s">
        <v>29</v>
      </c>
      <c r="B291" s="10">
        <v>2025.0</v>
      </c>
      <c r="C291" s="1" t="s">
        <v>178</v>
      </c>
      <c r="D291" s="1" t="s">
        <v>346</v>
      </c>
      <c r="E291" s="2">
        <v>9768000.0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9768000.0</v>
      </c>
      <c r="O291" s="2">
        <v>0.0</v>
      </c>
      <c r="P291" s="2">
        <f t="shared" si="1"/>
        <v>0</v>
      </c>
      <c r="Q291" s="1"/>
      <c r="R291" s="1"/>
      <c r="S291" s="1"/>
      <c r="T291" s="1"/>
      <c r="U291" s="1"/>
      <c r="V291" s="6"/>
      <c r="W291" s="6"/>
    </row>
    <row r="292" ht="15.75" customHeight="1">
      <c r="A292" s="9" t="s">
        <v>29</v>
      </c>
      <c r="B292" s="10">
        <v>2025.0</v>
      </c>
      <c r="C292" s="1" t="s">
        <v>158</v>
      </c>
      <c r="D292" s="1" t="s">
        <v>347</v>
      </c>
      <c r="E292" s="2">
        <v>1565953.0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f t="shared" si="1"/>
        <v>1565953</v>
      </c>
      <c r="Q292" s="1"/>
      <c r="R292" s="1"/>
      <c r="S292" s="1"/>
      <c r="T292" s="1"/>
      <c r="U292" s="1"/>
      <c r="V292" s="6"/>
      <c r="W292" s="6"/>
    </row>
    <row r="293" ht="15.75" customHeight="1">
      <c r="A293" s="9" t="s">
        <v>29</v>
      </c>
      <c r="B293" s="10">
        <v>2025.0</v>
      </c>
      <c r="C293" s="14" t="s">
        <v>34</v>
      </c>
      <c r="D293" s="1" t="s">
        <v>348</v>
      </c>
      <c r="E293" s="2">
        <v>502500.0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502500.0</v>
      </c>
      <c r="O293" s="2">
        <v>0.0</v>
      </c>
      <c r="P293" s="2">
        <f t="shared" si="1"/>
        <v>0</v>
      </c>
      <c r="Q293" s="1"/>
      <c r="R293" s="1"/>
      <c r="S293" s="1"/>
      <c r="T293" s="1"/>
      <c r="U293" s="1"/>
      <c r="V293" s="6"/>
      <c r="W293" s="6"/>
    </row>
    <row r="294" ht="15.75" customHeight="1">
      <c r="A294" s="9" t="s">
        <v>29</v>
      </c>
      <c r="B294" s="10">
        <v>2025.0</v>
      </c>
      <c r="C294" s="14" t="s">
        <v>34</v>
      </c>
      <c r="D294" s="1" t="s">
        <v>349</v>
      </c>
      <c r="E294" s="2">
        <v>28325.0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28325.0</v>
      </c>
      <c r="O294" s="2">
        <v>0.0</v>
      </c>
      <c r="P294" s="2">
        <f t="shared" si="1"/>
        <v>0</v>
      </c>
      <c r="Q294" s="1"/>
      <c r="R294" s="1"/>
      <c r="S294" s="1"/>
      <c r="T294" s="1"/>
      <c r="U294" s="1"/>
      <c r="V294" s="6"/>
      <c r="W294" s="6"/>
    </row>
    <row r="295" ht="15.75" customHeight="1">
      <c r="A295" s="9" t="s">
        <v>29</v>
      </c>
      <c r="B295" s="10">
        <v>2025.0</v>
      </c>
      <c r="C295" s="14" t="s">
        <v>34</v>
      </c>
      <c r="D295" s="1" t="s">
        <v>350</v>
      </c>
      <c r="E295" s="2">
        <v>25000.0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25000.0</v>
      </c>
      <c r="O295" s="2">
        <v>0.0</v>
      </c>
      <c r="P295" s="2">
        <f t="shared" si="1"/>
        <v>0</v>
      </c>
      <c r="Q295" s="1"/>
      <c r="R295" s="1"/>
      <c r="S295" s="1"/>
      <c r="T295" s="1"/>
      <c r="U295" s="1"/>
      <c r="V295" s="6"/>
      <c r="W295" s="6"/>
    </row>
    <row r="296" ht="15.75" customHeight="1">
      <c r="A296" s="9" t="s">
        <v>29</v>
      </c>
      <c r="B296" s="10">
        <v>2025.0</v>
      </c>
      <c r="C296" s="14" t="s">
        <v>162</v>
      </c>
      <c r="D296" s="1" t="s">
        <v>351</v>
      </c>
      <c r="E296" s="2">
        <v>202500.0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f t="shared" si="1"/>
        <v>202500</v>
      </c>
      <c r="Q296" s="1"/>
      <c r="R296" s="1"/>
      <c r="S296" s="1"/>
      <c r="T296" s="1"/>
      <c r="U296" s="1"/>
      <c r="V296" s="6"/>
      <c r="W296" s="6"/>
    </row>
    <row r="297" ht="15.75" customHeight="1">
      <c r="A297" s="9" t="s">
        <v>29</v>
      </c>
      <c r="B297" s="10">
        <v>2025.0</v>
      </c>
      <c r="C297" s="14" t="s">
        <v>30</v>
      </c>
      <c r="D297" s="1" t="s">
        <v>352</v>
      </c>
      <c r="E297" s="2">
        <v>20000.0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20000.0</v>
      </c>
      <c r="O297" s="2">
        <v>0.0</v>
      </c>
      <c r="P297" s="2">
        <f t="shared" si="1"/>
        <v>0</v>
      </c>
      <c r="Q297" s="1"/>
      <c r="R297" s="1"/>
      <c r="S297" s="1"/>
      <c r="T297" s="1"/>
      <c r="U297" s="1"/>
      <c r="V297" s="6"/>
      <c r="W297" s="6"/>
    </row>
    <row r="298" ht="15.75" customHeight="1">
      <c r="A298" s="9" t="s">
        <v>29</v>
      </c>
      <c r="B298" s="10">
        <v>2025.0</v>
      </c>
      <c r="C298" s="14" t="s">
        <v>30</v>
      </c>
      <c r="D298" s="1" t="s">
        <v>353</v>
      </c>
      <c r="E298" s="2">
        <v>100000.0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100000.0</v>
      </c>
      <c r="O298" s="2">
        <v>0.0</v>
      </c>
      <c r="P298" s="2">
        <f t="shared" si="1"/>
        <v>0</v>
      </c>
      <c r="Q298" s="1"/>
      <c r="R298" s="1"/>
      <c r="S298" s="1"/>
      <c r="T298" s="1"/>
      <c r="U298" s="1"/>
      <c r="V298" s="6"/>
      <c r="W298" s="6"/>
    </row>
    <row r="299" ht="15.75" customHeight="1">
      <c r="A299" s="9" t="s">
        <v>29</v>
      </c>
      <c r="B299" s="10">
        <v>2025.0</v>
      </c>
      <c r="C299" s="14" t="s">
        <v>30</v>
      </c>
      <c r="D299" s="1" t="s">
        <v>354</v>
      </c>
      <c r="E299" s="2">
        <v>51000.0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51000.0</v>
      </c>
      <c r="O299" s="2">
        <v>0.0</v>
      </c>
      <c r="P299" s="2">
        <f t="shared" si="1"/>
        <v>0</v>
      </c>
      <c r="Q299" s="1"/>
      <c r="R299" s="1"/>
      <c r="S299" s="1"/>
      <c r="T299" s="1"/>
      <c r="U299" s="1"/>
      <c r="V299" s="6"/>
      <c r="W299" s="6"/>
    </row>
    <row r="300" ht="15.75" customHeight="1">
      <c r="A300" s="9" t="s">
        <v>29</v>
      </c>
      <c r="B300" s="10">
        <v>2025.0</v>
      </c>
      <c r="C300" s="14" t="s">
        <v>30</v>
      </c>
      <c r="D300" s="1" t="s">
        <v>355</v>
      </c>
      <c r="E300" s="2">
        <v>50000.0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50000.0</v>
      </c>
      <c r="O300" s="2">
        <v>0.0</v>
      </c>
      <c r="P300" s="2">
        <f t="shared" si="1"/>
        <v>0</v>
      </c>
      <c r="Q300" s="1"/>
      <c r="R300" s="1"/>
      <c r="S300" s="1"/>
      <c r="T300" s="1"/>
      <c r="U300" s="1"/>
      <c r="V300" s="6"/>
      <c r="W300" s="6"/>
    </row>
    <row r="301" ht="15.75" customHeight="1">
      <c r="A301" s="9" t="s">
        <v>29</v>
      </c>
      <c r="B301" s="10">
        <v>2025.0</v>
      </c>
      <c r="C301" s="14" t="s">
        <v>30</v>
      </c>
      <c r="D301" s="1" t="s">
        <v>356</v>
      </c>
      <c r="E301" s="2">
        <v>57600.0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57600.0</v>
      </c>
      <c r="O301" s="2">
        <v>0.0</v>
      </c>
      <c r="P301" s="2">
        <f t="shared" si="1"/>
        <v>0</v>
      </c>
      <c r="Q301" s="1"/>
      <c r="R301" s="1"/>
      <c r="S301" s="1"/>
      <c r="T301" s="1"/>
      <c r="U301" s="1"/>
      <c r="V301" s="6"/>
      <c r="W301" s="6"/>
    </row>
    <row r="302" ht="15.75" customHeight="1">
      <c r="A302" s="9" t="s">
        <v>29</v>
      </c>
      <c r="B302" s="10">
        <v>2025.0</v>
      </c>
      <c r="C302" s="14" t="s">
        <v>30</v>
      </c>
      <c r="D302" s="1" t="s">
        <v>357</v>
      </c>
      <c r="E302" s="2">
        <v>30000.0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30000.0</v>
      </c>
      <c r="O302" s="2">
        <v>0.0</v>
      </c>
      <c r="P302" s="2">
        <f t="shared" si="1"/>
        <v>0</v>
      </c>
      <c r="Q302" s="1"/>
      <c r="R302" s="1"/>
      <c r="S302" s="1"/>
      <c r="T302" s="1"/>
      <c r="U302" s="1"/>
      <c r="V302" s="6"/>
      <c r="W302" s="6"/>
    </row>
    <row r="303" ht="15.75" customHeight="1">
      <c r="A303" s="9" t="s">
        <v>29</v>
      </c>
      <c r="B303" s="10">
        <v>2025.0</v>
      </c>
      <c r="C303" s="14" t="s">
        <v>30</v>
      </c>
      <c r="D303" s="1" t="s">
        <v>358</v>
      </c>
      <c r="E303" s="2">
        <v>63600.0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63600.0</v>
      </c>
      <c r="O303" s="2">
        <v>0.0</v>
      </c>
      <c r="P303" s="2">
        <f t="shared" si="1"/>
        <v>0</v>
      </c>
      <c r="Q303" s="1"/>
      <c r="R303" s="1"/>
      <c r="S303" s="1"/>
      <c r="T303" s="1"/>
      <c r="U303" s="1"/>
      <c r="V303" s="6"/>
      <c r="W303" s="6"/>
    </row>
    <row r="304" ht="15.75" customHeight="1">
      <c r="A304" s="9" t="s">
        <v>29</v>
      </c>
      <c r="B304" s="10">
        <v>2025.0</v>
      </c>
      <c r="C304" s="14" t="s">
        <v>30</v>
      </c>
      <c r="D304" s="1" t="s">
        <v>359</v>
      </c>
      <c r="E304" s="2">
        <v>50000.0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50000.0</v>
      </c>
      <c r="O304" s="2">
        <v>0.0</v>
      </c>
      <c r="P304" s="2">
        <f t="shared" si="1"/>
        <v>0</v>
      </c>
      <c r="Q304" s="1"/>
      <c r="R304" s="1"/>
      <c r="S304" s="1"/>
      <c r="T304" s="1"/>
      <c r="U304" s="1"/>
      <c r="V304" s="6"/>
      <c r="W304" s="6"/>
    </row>
    <row r="305" ht="15.75" customHeight="1">
      <c r="A305" s="9" t="s">
        <v>29</v>
      </c>
      <c r="B305" s="10">
        <v>2025.0</v>
      </c>
      <c r="C305" s="14" t="s">
        <v>92</v>
      </c>
      <c r="D305" s="1" t="s">
        <v>360</v>
      </c>
      <c r="E305" s="2">
        <v>243982.0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f t="shared" si="1"/>
        <v>243982</v>
      </c>
      <c r="Q305" s="1"/>
      <c r="R305" s="1"/>
      <c r="S305" s="1"/>
      <c r="T305" s="1"/>
      <c r="U305" s="1"/>
      <c r="V305" s="6"/>
      <c r="W305" s="6"/>
    </row>
    <row r="306" ht="15.75" customHeight="1">
      <c r="A306" s="9" t="s">
        <v>29</v>
      </c>
      <c r="B306" s="10">
        <v>2025.0</v>
      </c>
      <c r="C306" s="14" t="s">
        <v>49</v>
      </c>
      <c r="D306" s="1" t="s">
        <v>361</v>
      </c>
      <c r="E306" s="2">
        <v>120000.0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120000.0</v>
      </c>
      <c r="O306" s="2">
        <v>0.0</v>
      </c>
      <c r="P306" s="2">
        <f t="shared" si="1"/>
        <v>0</v>
      </c>
      <c r="Q306" s="1"/>
      <c r="R306" s="1"/>
      <c r="S306" s="1"/>
      <c r="T306" s="1"/>
      <c r="U306" s="1"/>
      <c r="V306" s="6"/>
      <c r="W306" s="6"/>
    </row>
    <row r="307" ht="15.75" customHeight="1">
      <c r="A307" s="9" t="s">
        <v>29</v>
      </c>
      <c r="B307" s="10">
        <v>2025.0</v>
      </c>
      <c r="C307" s="14" t="s">
        <v>49</v>
      </c>
      <c r="D307" s="1" t="s">
        <v>362</v>
      </c>
      <c r="E307" s="2">
        <v>345000.0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345000.0</v>
      </c>
      <c r="O307" s="2">
        <v>0.0</v>
      </c>
      <c r="P307" s="2">
        <f t="shared" si="1"/>
        <v>0</v>
      </c>
      <c r="Q307" s="1"/>
      <c r="R307" s="1"/>
      <c r="S307" s="1"/>
      <c r="T307" s="1"/>
      <c r="U307" s="1"/>
      <c r="V307" s="6"/>
      <c r="W307" s="6"/>
    </row>
    <row r="308" ht="15.75" customHeight="1">
      <c r="A308" s="9" t="s">
        <v>29</v>
      </c>
      <c r="B308" s="10">
        <v>2025.0</v>
      </c>
      <c r="C308" s="14" t="s">
        <v>120</v>
      </c>
      <c r="D308" s="1" t="s">
        <v>363</v>
      </c>
      <c r="E308" s="2">
        <v>153000.0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153000.0</v>
      </c>
      <c r="O308" s="2">
        <v>0.0</v>
      </c>
      <c r="P308" s="2">
        <f t="shared" si="1"/>
        <v>0</v>
      </c>
      <c r="Q308" s="1"/>
      <c r="R308" s="1"/>
      <c r="S308" s="1"/>
      <c r="T308" s="1"/>
      <c r="U308" s="1"/>
      <c r="V308" s="6"/>
      <c r="W308" s="6"/>
    </row>
    <row r="309" ht="15.75" customHeight="1">
      <c r="A309" s="9" t="s">
        <v>29</v>
      </c>
      <c r="B309" s="10">
        <v>2025.0</v>
      </c>
      <c r="C309" s="14" t="s">
        <v>49</v>
      </c>
      <c r="D309" s="1" t="s">
        <v>364</v>
      </c>
      <c r="E309" s="2">
        <v>125000.0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125000.0</v>
      </c>
      <c r="O309" s="2">
        <v>0.0</v>
      </c>
      <c r="P309" s="2">
        <f t="shared" si="1"/>
        <v>0</v>
      </c>
      <c r="Q309" s="1"/>
      <c r="R309" s="1"/>
      <c r="S309" s="1"/>
      <c r="T309" s="1"/>
      <c r="U309" s="1"/>
      <c r="V309" s="6"/>
      <c r="W309" s="6"/>
    </row>
    <row r="310" ht="15.75" customHeight="1">
      <c r="A310" s="9" t="s">
        <v>29</v>
      </c>
      <c r="B310" s="10">
        <v>2025.0</v>
      </c>
      <c r="C310" s="14" t="s">
        <v>49</v>
      </c>
      <c r="D310" s="1" t="s">
        <v>365</v>
      </c>
      <c r="E310" s="2">
        <v>274300.0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274300.0</v>
      </c>
      <c r="O310" s="2">
        <v>0.0</v>
      </c>
      <c r="P310" s="2">
        <f t="shared" si="1"/>
        <v>0</v>
      </c>
      <c r="Q310" s="1"/>
      <c r="R310" s="1"/>
      <c r="S310" s="1"/>
      <c r="T310" s="1"/>
      <c r="U310" s="1"/>
      <c r="V310" s="6"/>
      <c r="W310" s="6"/>
    </row>
    <row r="311" ht="15.75" customHeight="1">
      <c r="A311" s="9" t="s">
        <v>29</v>
      </c>
      <c r="B311" s="10">
        <v>2025.0</v>
      </c>
      <c r="C311" s="14" t="s">
        <v>49</v>
      </c>
      <c r="D311" s="1" t="s">
        <v>366</v>
      </c>
      <c r="E311" s="2">
        <v>200000.0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200000.0</v>
      </c>
      <c r="O311" s="2">
        <v>0.0</v>
      </c>
      <c r="P311" s="2">
        <f t="shared" si="1"/>
        <v>0</v>
      </c>
      <c r="Q311" s="1"/>
      <c r="R311" s="1"/>
      <c r="S311" s="1"/>
      <c r="T311" s="1"/>
      <c r="U311" s="1"/>
      <c r="V311" s="6"/>
      <c r="W311" s="6"/>
    </row>
    <row r="312" ht="15.75" customHeight="1">
      <c r="A312" s="9" t="s">
        <v>29</v>
      </c>
      <c r="B312" s="10">
        <v>2025.0</v>
      </c>
      <c r="C312" s="14" t="s">
        <v>49</v>
      </c>
      <c r="D312" s="1" t="s">
        <v>367</v>
      </c>
      <c r="E312" s="2">
        <v>40000.0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40000.0</v>
      </c>
      <c r="O312" s="2">
        <v>0.0</v>
      </c>
      <c r="P312" s="2">
        <f t="shared" si="1"/>
        <v>0</v>
      </c>
      <c r="Q312" s="1"/>
      <c r="R312" s="1"/>
      <c r="S312" s="1"/>
      <c r="T312" s="1"/>
      <c r="U312" s="1"/>
      <c r="V312" s="6"/>
      <c r="W312" s="6"/>
    </row>
    <row r="313" ht="15.75" customHeight="1">
      <c r="A313" s="9" t="s">
        <v>29</v>
      </c>
      <c r="B313" s="10">
        <v>2025.0</v>
      </c>
      <c r="C313" s="14" t="s">
        <v>49</v>
      </c>
      <c r="D313" s="1" t="s">
        <v>368</v>
      </c>
      <c r="E313" s="2">
        <v>130834.0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130834.0</v>
      </c>
      <c r="O313" s="2">
        <v>0.0</v>
      </c>
      <c r="P313" s="2">
        <f t="shared" si="1"/>
        <v>0</v>
      </c>
      <c r="Q313" s="1"/>
      <c r="R313" s="1"/>
      <c r="S313" s="1"/>
      <c r="T313" s="1"/>
      <c r="U313" s="1"/>
      <c r="V313" s="6"/>
      <c r="W313" s="6"/>
    </row>
    <row r="314" ht="15.75" customHeight="1">
      <c r="A314" s="9" t="s">
        <v>29</v>
      </c>
      <c r="B314" s="10">
        <v>2025.0</v>
      </c>
      <c r="C314" s="14" t="s">
        <v>70</v>
      </c>
      <c r="D314" s="1" t="s">
        <v>369</v>
      </c>
      <c r="E314" s="2">
        <v>942405.0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942405.0</v>
      </c>
      <c r="O314" s="2">
        <v>0.0</v>
      </c>
      <c r="P314" s="2">
        <f t="shared" si="1"/>
        <v>0</v>
      </c>
      <c r="Q314" s="1"/>
      <c r="R314" s="1"/>
      <c r="S314" s="1"/>
      <c r="T314" s="1"/>
      <c r="U314" s="1"/>
      <c r="V314" s="6"/>
      <c r="W314" s="6"/>
    </row>
    <row r="315" ht="15.75" customHeight="1">
      <c r="A315" s="9" t="s">
        <v>29</v>
      </c>
      <c r="B315" s="10">
        <v>2025.0</v>
      </c>
      <c r="C315" s="14" t="s">
        <v>70</v>
      </c>
      <c r="D315" s="1" t="s">
        <v>370</v>
      </c>
      <c r="E315" s="2">
        <v>1405700.0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1405700.0</v>
      </c>
      <c r="O315" s="2">
        <v>0.0</v>
      </c>
      <c r="P315" s="2">
        <f t="shared" si="1"/>
        <v>0</v>
      </c>
      <c r="Q315" s="1"/>
      <c r="R315" s="1"/>
      <c r="S315" s="1"/>
      <c r="T315" s="1"/>
      <c r="U315" s="1"/>
      <c r="V315" s="6"/>
      <c r="W315" s="6"/>
    </row>
    <row r="316" ht="15.75" customHeight="1">
      <c r="A316" s="9" t="s">
        <v>29</v>
      </c>
      <c r="B316" s="10">
        <v>2025.0</v>
      </c>
      <c r="C316" s="14" t="s">
        <v>70</v>
      </c>
      <c r="D316" s="1" t="s">
        <v>371</v>
      </c>
      <c r="E316" s="2">
        <v>1463600.0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1463600.0</v>
      </c>
      <c r="O316" s="2">
        <v>0.0</v>
      </c>
      <c r="P316" s="2">
        <f t="shared" si="1"/>
        <v>0</v>
      </c>
      <c r="Q316" s="1"/>
      <c r="R316" s="1"/>
      <c r="S316" s="1"/>
      <c r="T316" s="1"/>
      <c r="U316" s="1"/>
      <c r="V316" s="6"/>
      <c r="W316" s="6"/>
    </row>
    <row r="317" ht="15.75" customHeight="1">
      <c r="A317" s="9" t="s">
        <v>29</v>
      </c>
      <c r="B317" s="10">
        <v>2025.0</v>
      </c>
      <c r="C317" s="14" t="s">
        <v>70</v>
      </c>
      <c r="D317" s="1" t="s">
        <v>372</v>
      </c>
      <c r="E317" s="2">
        <v>1975100.0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1975100.0</v>
      </c>
      <c r="O317" s="2">
        <v>0.0</v>
      </c>
      <c r="P317" s="2">
        <f t="shared" si="1"/>
        <v>0</v>
      </c>
      <c r="Q317" s="1"/>
      <c r="R317" s="1"/>
      <c r="S317" s="1"/>
      <c r="T317" s="1"/>
      <c r="U317" s="1"/>
      <c r="V317" s="6"/>
      <c r="W317" s="6"/>
    </row>
    <row r="318" ht="15.75" customHeight="1">
      <c r="A318" s="9" t="s">
        <v>29</v>
      </c>
      <c r="B318" s="10">
        <v>2025.0</v>
      </c>
      <c r="C318" s="14" t="s">
        <v>70</v>
      </c>
      <c r="D318" s="1" t="s">
        <v>373</v>
      </c>
      <c r="E318" s="2">
        <v>5000000.0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5000000.0</v>
      </c>
      <c r="O318" s="2">
        <v>0.0</v>
      </c>
      <c r="P318" s="2">
        <f t="shared" si="1"/>
        <v>0</v>
      </c>
      <c r="Q318" s="1"/>
      <c r="R318" s="1"/>
      <c r="S318" s="1"/>
      <c r="T318" s="1"/>
      <c r="U318" s="1"/>
      <c r="V318" s="6"/>
      <c r="W318" s="6"/>
    </row>
    <row r="319" ht="15.75" customHeight="1">
      <c r="A319" s="9" t="s">
        <v>29</v>
      </c>
      <c r="B319" s="10">
        <v>2025.0</v>
      </c>
      <c r="C319" s="14" t="s">
        <v>70</v>
      </c>
      <c r="D319" s="1" t="s">
        <v>374</v>
      </c>
      <c r="E319" s="2">
        <v>1012455.0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1012455.0</v>
      </c>
      <c r="O319" s="2">
        <v>0.0</v>
      </c>
      <c r="P319" s="2">
        <f t="shared" si="1"/>
        <v>0</v>
      </c>
      <c r="Q319" s="1"/>
      <c r="R319" s="1"/>
      <c r="S319" s="1"/>
      <c r="T319" s="1"/>
      <c r="U319" s="1"/>
      <c r="V319" s="6"/>
      <c r="W319" s="6"/>
    </row>
    <row r="320" ht="15.75" customHeight="1">
      <c r="A320" s="9" t="s">
        <v>29</v>
      </c>
      <c r="B320" s="10">
        <v>2025.0</v>
      </c>
      <c r="C320" s="14" t="s">
        <v>70</v>
      </c>
      <c r="D320" s="1" t="s">
        <v>375</v>
      </c>
      <c r="E320" s="2">
        <v>1140800.0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1140800.0</v>
      </c>
      <c r="O320" s="2">
        <v>0.0</v>
      </c>
      <c r="P320" s="2">
        <f t="shared" si="1"/>
        <v>0</v>
      </c>
      <c r="Q320" s="1"/>
      <c r="R320" s="1"/>
      <c r="S320" s="1"/>
      <c r="T320" s="1"/>
      <c r="U320" s="1"/>
      <c r="V320" s="6"/>
      <c r="W320" s="6"/>
    </row>
    <row r="321" ht="15.75" customHeight="1">
      <c r="A321" s="9" t="s">
        <v>29</v>
      </c>
      <c r="B321" s="10">
        <v>2025.0</v>
      </c>
      <c r="C321" s="14" t="s">
        <v>70</v>
      </c>
      <c r="D321" s="1" t="s">
        <v>376</v>
      </c>
      <c r="E321" s="2">
        <v>959700.0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959700.0</v>
      </c>
      <c r="O321" s="2">
        <v>0.0</v>
      </c>
      <c r="P321" s="2">
        <f t="shared" si="1"/>
        <v>0</v>
      </c>
      <c r="Q321" s="1"/>
      <c r="R321" s="1"/>
      <c r="S321" s="1"/>
      <c r="T321" s="1"/>
      <c r="U321" s="1"/>
      <c r="V321" s="6"/>
      <c r="W321" s="6"/>
    </row>
    <row r="322" ht="15.75" customHeight="1">
      <c r="A322" s="9" t="s">
        <v>29</v>
      </c>
      <c r="B322" s="10">
        <v>2025.0</v>
      </c>
      <c r="C322" s="14" t="s">
        <v>147</v>
      </c>
      <c r="D322" s="1" t="s">
        <v>377</v>
      </c>
      <c r="E322" s="2">
        <v>1410747.0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f t="shared" si="1"/>
        <v>1410747</v>
      </c>
      <c r="Q322" s="1"/>
      <c r="R322" s="1"/>
      <c r="S322" s="1"/>
      <c r="T322" s="1"/>
      <c r="U322" s="1"/>
      <c r="V322" s="6"/>
      <c r="W322" s="6"/>
    </row>
    <row r="323" ht="15.75" customHeight="1">
      <c r="A323" s="9" t="s">
        <v>29</v>
      </c>
      <c r="B323" s="10">
        <v>2025.0</v>
      </c>
      <c r="C323" s="14" t="s">
        <v>147</v>
      </c>
      <c r="D323" s="1" t="s">
        <v>378</v>
      </c>
      <c r="E323" s="2">
        <v>1514930.0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f t="shared" si="1"/>
        <v>1514930</v>
      </c>
      <c r="Q323" s="1"/>
      <c r="R323" s="1"/>
      <c r="S323" s="1"/>
      <c r="T323" s="1"/>
      <c r="U323" s="1"/>
      <c r="V323" s="6"/>
      <c r="W323" s="6"/>
    </row>
    <row r="324" ht="15.75" customHeight="1">
      <c r="A324" s="9" t="s">
        <v>29</v>
      </c>
      <c r="B324" s="10">
        <v>2025.0</v>
      </c>
      <c r="C324" s="14" t="s">
        <v>147</v>
      </c>
      <c r="D324" s="1" t="s">
        <v>379</v>
      </c>
      <c r="E324" s="2">
        <v>1646566.0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f t="shared" si="1"/>
        <v>1646566</v>
      </c>
      <c r="Q324" s="1"/>
      <c r="R324" s="1"/>
      <c r="S324" s="1"/>
      <c r="T324" s="1"/>
      <c r="U324" s="1"/>
      <c r="V324" s="6"/>
      <c r="W324" s="6"/>
    </row>
    <row r="325" ht="15.75" customHeight="1">
      <c r="A325" s="9" t="s">
        <v>29</v>
      </c>
      <c r="B325" s="10">
        <v>2025.0</v>
      </c>
      <c r="C325" s="14" t="s">
        <v>147</v>
      </c>
      <c r="D325" s="1" t="s">
        <v>380</v>
      </c>
      <c r="E325" s="2">
        <v>1439183.0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f t="shared" si="1"/>
        <v>1439183</v>
      </c>
      <c r="Q325" s="1"/>
      <c r="R325" s="1"/>
      <c r="S325" s="1"/>
      <c r="T325" s="1"/>
      <c r="U325" s="1"/>
      <c r="V325" s="6"/>
      <c r="W325" s="6"/>
    </row>
    <row r="326" ht="15.75" customHeight="1">
      <c r="A326" s="9" t="s">
        <v>29</v>
      </c>
      <c r="B326" s="10">
        <v>2025.0</v>
      </c>
      <c r="C326" s="14" t="s">
        <v>147</v>
      </c>
      <c r="D326" s="1" t="s">
        <v>381</v>
      </c>
      <c r="E326" s="2">
        <v>1048300.0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f t="shared" si="1"/>
        <v>1048300</v>
      </c>
      <c r="Q326" s="1"/>
      <c r="R326" s="1"/>
      <c r="S326" s="1"/>
      <c r="T326" s="1"/>
      <c r="U326" s="1"/>
      <c r="V326" s="6"/>
      <c r="W326" s="6"/>
    </row>
    <row r="327" ht="15.75" customHeight="1">
      <c r="A327" s="9" t="s">
        <v>29</v>
      </c>
      <c r="B327" s="10">
        <v>2025.0</v>
      </c>
      <c r="C327" s="14" t="s">
        <v>147</v>
      </c>
      <c r="D327" s="1" t="s">
        <v>382</v>
      </c>
      <c r="E327" s="2">
        <v>1374605.0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f t="shared" si="1"/>
        <v>1374605</v>
      </c>
      <c r="Q327" s="1"/>
      <c r="R327" s="1"/>
      <c r="S327" s="1"/>
      <c r="T327" s="1"/>
      <c r="U327" s="1"/>
      <c r="V327" s="6"/>
      <c r="W327" s="6"/>
    </row>
    <row r="328" ht="15.75" customHeight="1">
      <c r="A328" s="9" t="s">
        <v>29</v>
      </c>
      <c r="B328" s="10">
        <v>2025.0</v>
      </c>
      <c r="C328" s="14" t="s">
        <v>147</v>
      </c>
      <c r="D328" s="1" t="s">
        <v>383</v>
      </c>
      <c r="E328" s="2">
        <v>3316000.0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f t="shared" si="1"/>
        <v>3316000</v>
      </c>
      <c r="Q328" s="1"/>
      <c r="R328" s="1"/>
      <c r="S328" s="1"/>
      <c r="T328" s="1"/>
      <c r="U328" s="1"/>
      <c r="V328" s="6"/>
      <c r="W328" s="6"/>
    </row>
    <row r="329" ht="15.75" customHeight="1">
      <c r="A329" s="9" t="s">
        <v>29</v>
      </c>
      <c r="B329" s="10">
        <v>2025.0</v>
      </c>
      <c r="C329" s="14" t="s">
        <v>147</v>
      </c>
      <c r="D329" s="1" t="s">
        <v>384</v>
      </c>
      <c r="E329" s="2">
        <v>3626000.0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f t="shared" si="1"/>
        <v>3626000</v>
      </c>
      <c r="Q329" s="1"/>
      <c r="R329" s="1"/>
      <c r="S329" s="1"/>
      <c r="T329" s="1"/>
      <c r="U329" s="1"/>
      <c r="V329" s="6"/>
      <c r="W329" s="6"/>
    </row>
    <row r="330" ht="15.75" customHeight="1">
      <c r="A330" s="9" t="s">
        <v>29</v>
      </c>
      <c r="B330" s="10">
        <v>2025.0</v>
      </c>
      <c r="C330" s="14" t="s">
        <v>147</v>
      </c>
      <c r="D330" s="1" t="s">
        <v>385</v>
      </c>
      <c r="E330" s="2">
        <v>1628805.0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f t="shared" si="1"/>
        <v>1628805</v>
      </c>
      <c r="Q330" s="1"/>
      <c r="R330" s="1"/>
      <c r="S330" s="1"/>
      <c r="T330" s="1"/>
      <c r="U330" s="1"/>
      <c r="V330" s="6"/>
      <c r="W330" s="6"/>
    </row>
    <row r="331" ht="15.75" customHeight="1">
      <c r="A331" s="9" t="s">
        <v>29</v>
      </c>
      <c r="B331" s="10">
        <v>2025.0</v>
      </c>
      <c r="C331" s="14" t="s">
        <v>147</v>
      </c>
      <c r="D331" s="1" t="s">
        <v>386</v>
      </c>
      <c r="E331" s="2">
        <v>-820219.0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f t="shared" si="1"/>
        <v>-820219</v>
      </c>
      <c r="Q331" s="1"/>
      <c r="R331" s="1"/>
      <c r="S331" s="1"/>
      <c r="T331" s="1"/>
      <c r="U331" s="1"/>
      <c r="V331" s="6"/>
      <c r="W331" s="6"/>
    </row>
    <row r="332" ht="15.75" customHeight="1">
      <c r="A332" s="9" t="s">
        <v>29</v>
      </c>
      <c r="B332" s="10">
        <v>2025.0</v>
      </c>
      <c r="C332" s="14" t="s">
        <v>158</v>
      </c>
      <c r="D332" s="1" t="s">
        <v>387</v>
      </c>
      <c r="E332" s="2">
        <v>1488000.0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f t="shared" si="1"/>
        <v>1488000</v>
      </c>
      <c r="Q332" s="1"/>
      <c r="R332" s="1"/>
      <c r="S332" s="1"/>
      <c r="T332" s="1"/>
      <c r="U332" s="1"/>
      <c r="V332" s="6"/>
      <c r="W332" s="6"/>
    </row>
    <row r="333" ht="15.75" customHeight="1">
      <c r="A333" s="9" t="s">
        <v>29</v>
      </c>
      <c r="B333" s="10">
        <v>2025.0</v>
      </c>
      <c r="C333" s="14" t="s">
        <v>158</v>
      </c>
      <c r="D333" s="1" t="s">
        <v>388</v>
      </c>
      <c r="E333" s="2">
        <v>1694026.0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f t="shared" si="1"/>
        <v>1694026</v>
      </c>
      <c r="Q333" s="1"/>
      <c r="R333" s="1"/>
      <c r="S333" s="1"/>
      <c r="T333" s="1"/>
      <c r="U333" s="1"/>
      <c r="V333" s="6"/>
      <c r="W333" s="6"/>
    </row>
    <row r="334" ht="15.75" customHeight="1">
      <c r="A334" s="9" t="s">
        <v>29</v>
      </c>
      <c r="B334" s="10">
        <v>2025.0</v>
      </c>
      <c r="C334" s="14" t="s">
        <v>158</v>
      </c>
      <c r="D334" s="1" t="s">
        <v>389</v>
      </c>
      <c r="E334" s="2">
        <v>3156000.0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f t="shared" si="1"/>
        <v>3156000</v>
      </c>
      <c r="Q334" s="1"/>
      <c r="R334" s="1"/>
      <c r="S334" s="1"/>
      <c r="T334" s="1"/>
      <c r="U334" s="1"/>
      <c r="V334" s="6"/>
      <c r="W334" s="6"/>
    </row>
    <row r="335" ht="15.75" customHeight="1">
      <c r="A335" s="9" t="s">
        <v>29</v>
      </c>
      <c r="B335" s="10">
        <v>2025.0</v>
      </c>
      <c r="C335" s="14" t="s">
        <v>34</v>
      </c>
      <c r="D335" s="1" t="s">
        <v>390</v>
      </c>
      <c r="E335" s="2">
        <v>2360900.0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2360900.0</v>
      </c>
      <c r="O335" s="2">
        <v>0.0</v>
      </c>
      <c r="P335" s="2">
        <f t="shared" si="1"/>
        <v>0</v>
      </c>
      <c r="Q335" s="1"/>
      <c r="R335" s="1"/>
      <c r="S335" s="1"/>
      <c r="T335" s="1"/>
      <c r="U335" s="1"/>
      <c r="V335" s="6"/>
      <c r="W335" s="6"/>
    </row>
    <row r="336" ht="15.75" customHeight="1">
      <c r="A336" s="9" t="s">
        <v>29</v>
      </c>
      <c r="B336" s="10">
        <v>2025.0</v>
      </c>
      <c r="C336" s="14" t="s">
        <v>34</v>
      </c>
      <c r="D336" s="1" t="s">
        <v>391</v>
      </c>
      <c r="E336" s="2">
        <v>163152.0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163152.0</v>
      </c>
      <c r="O336" s="2">
        <v>0.0</v>
      </c>
      <c r="P336" s="2">
        <f t="shared" si="1"/>
        <v>0</v>
      </c>
      <c r="Q336" s="1"/>
      <c r="R336" s="1"/>
      <c r="S336" s="1"/>
      <c r="T336" s="1"/>
      <c r="U336" s="1"/>
      <c r="V336" s="6"/>
      <c r="W336" s="6"/>
    </row>
    <row r="337" ht="15.75" customHeight="1">
      <c r="A337" s="9" t="s">
        <v>29</v>
      </c>
      <c r="B337" s="10">
        <v>2025.0</v>
      </c>
      <c r="C337" s="14" t="s">
        <v>34</v>
      </c>
      <c r="D337" s="1" t="s">
        <v>392</v>
      </c>
      <c r="E337" s="2">
        <v>169950.0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169950.0</v>
      </c>
      <c r="O337" s="2">
        <v>0.0</v>
      </c>
      <c r="P337" s="2">
        <f t="shared" si="1"/>
        <v>0</v>
      </c>
      <c r="Q337" s="1"/>
      <c r="R337" s="1"/>
      <c r="S337" s="1"/>
      <c r="T337" s="1"/>
      <c r="U337" s="1"/>
      <c r="V337" s="6"/>
      <c r="W337" s="6"/>
    </row>
    <row r="338" ht="15.75" customHeight="1">
      <c r="A338" s="9" t="s">
        <v>29</v>
      </c>
      <c r="B338" s="10">
        <v>2025.0</v>
      </c>
      <c r="C338" s="14" t="s">
        <v>34</v>
      </c>
      <c r="D338" s="1" t="s">
        <v>393</v>
      </c>
      <c r="E338" s="2">
        <v>330270.0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330270.0</v>
      </c>
      <c r="O338" s="2">
        <v>0.0</v>
      </c>
      <c r="P338" s="2">
        <f t="shared" si="1"/>
        <v>0</v>
      </c>
      <c r="Q338" s="1"/>
      <c r="R338" s="1"/>
      <c r="S338" s="1"/>
      <c r="T338" s="1"/>
      <c r="U338" s="1"/>
      <c r="V338" s="6"/>
      <c r="W338" s="6"/>
    </row>
    <row r="339" ht="15.75" customHeight="1">
      <c r="A339" s="9" t="s">
        <v>29</v>
      </c>
      <c r="B339" s="10">
        <v>2025.0</v>
      </c>
      <c r="C339" s="14" t="s">
        <v>34</v>
      </c>
      <c r="D339" s="1" t="s">
        <v>394</v>
      </c>
      <c r="E339" s="2">
        <v>339900.0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339900.0</v>
      </c>
      <c r="O339" s="2">
        <v>0.0</v>
      </c>
      <c r="P339" s="2">
        <f t="shared" si="1"/>
        <v>0</v>
      </c>
      <c r="Q339" s="1"/>
      <c r="R339" s="1"/>
      <c r="S339" s="1"/>
      <c r="T339" s="1"/>
      <c r="U339" s="1"/>
      <c r="V339" s="6"/>
      <c r="W339" s="6"/>
    </row>
    <row r="340" ht="15.75" customHeight="1">
      <c r="A340" s="9" t="s">
        <v>29</v>
      </c>
      <c r="B340" s="10">
        <v>2025.0</v>
      </c>
      <c r="C340" s="14" t="s">
        <v>147</v>
      </c>
      <c r="D340" s="1" t="s">
        <v>395</v>
      </c>
      <c r="E340" s="2">
        <v>-298000.0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f t="shared" si="1"/>
        <v>-298000</v>
      </c>
      <c r="Q340" s="1"/>
      <c r="R340" s="1"/>
      <c r="S340" s="1"/>
      <c r="T340" s="1"/>
      <c r="U340" s="1"/>
      <c r="V340" s="6"/>
      <c r="W340" s="6"/>
    </row>
    <row r="341" ht="15.75" customHeight="1">
      <c r="A341" s="9" t="s">
        <v>29</v>
      </c>
      <c r="B341" s="10">
        <v>2025.0</v>
      </c>
      <c r="C341" s="14" t="s">
        <v>162</v>
      </c>
      <c r="D341" s="1" t="s">
        <v>396</v>
      </c>
      <c r="E341" s="2">
        <v>411543.0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f t="shared" si="1"/>
        <v>411543</v>
      </c>
      <c r="Q341" s="1"/>
      <c r="R341" s="1"/>
      <c r="S341" s="1"/>
      <c r="T341" s="1"/>
      <c r="U341" s="1"/>
      <c r="V341" s="6"/>
      <c r="W341" s="6"/>
    </row>
    <row r="342" ht="15.75" customHeight="1">
      <c r="A342" s="9" t="s">
        <v>29</v>
      </c>
      <c r="B342" s="10">
        <v>2025.0</v>
      </c>
      <c r="C342" s="14" t="s">
        <v>162</v>
      </c>
      <c r="D342" s="1" t="s">
        <v>396</v>
      </c>
      <c r="E342" s="2">
        <v>411543.0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f t="shared" si="1"/>
        <v>411543</v>
      </c>
      <c r="Q342" s="1"/>
      <c r="R342" s="1"/>
      <c r="S342" s="1"/>
      <c r="T342" s="1"/>
      <c r="U342" s="1"/>
      <c r="V342" s="6"/>
      <c r="W342" s="6"/>
    </row>
    <row r="343" ht="15.75" customHeight="1">
      <c r="A343" s="9" t="s">
        <v>29</v>
      </c>
      <c r="B343" s="10">
        <v>2025.0</v>
      </c>
      <c r="C343" s="14" t="s">
        <v>162</v>
      </c>
      <c r="D343" s="1" t="s">
        <v>397</v>
      </c>
      <c r="E343" s="2">
        <v>718651.0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f t="shared" si="1"/>
        <v>718651</v>
      </c>
      <c r="Q343" s="1"/>
      <c r="R343" s="1"/>
      <c r="S343" s="1"/>
      <c r="T343" s="1"/>
      <c r="U343" s="1"/>
      <c r="V343" s="6"/>
      <c r="W343" s="6"/>
    </row>
    <row r="344" ht="15.75" customHeight="1">
      <c r="A344" s="9" t="s">
        <v>29</v>
      </c>
      <c r="B344" s="10">
        <v>2025.0</v>
      </c>
      <c r="C344" s="14" t="s">
        <v>162</v>
      </c>
      <c r="D344" s="1" t="s">
        <v>398</v>
      </c>
      <c r="E344" s="2">
        <v>718651.0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f t="shared" si="1"/>
        <v>718651</v>
      </c>
      <c r="Q344" s="1"/>
      <c r="R344" s="1"/>
      <c r="S344" s="1"/>
      <c r="T344" s="1"/>
      <c r="U344" s="1"/>
      <c r="V344" s="6"/>
      <c r="W344" s="6"/>
    </row>
    <row r="345" ht="15.75" customHeight="1">
      <c r="A345" s="9" t="s">
        <v>29</v>
      </c>
      <c r="B345" s="10">
        <v>2025.0</v>
      </c>
      <c r="C345" s="14" t="s">
        <v>162</v>
      </c>
      <c r="D345" s="1" t="s">
        <v>399</v>
      </c>
      <c r="E345" s="2">
        <v>403014.0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f t="shared" si="1"/>
        <v>403014</v>
      </c>
      <c r="Q345" s="1"/>
      <c r="R345" s="1"/>
      <c r="S345" s="1"/>
      <c r="T345" s="1"/>
      <c r="U345" s="1"/>
      <c r="V345" s="6"/>
      <c r="W345" s="6"/>
    </row>
    <row r="346" ht="15.75" customHeight="1">
      <c r="A346" s="9" t="s">
        <v>29</v>
      </c>
      <c r="B346" s="10">
        <v>2025.0</v>
      </c>
      <c r="C346" s="14" t="s">
        <v>162</v>
      </c>
      <c r="D346" s="1" t="s">
        <v>400</v>
      </c>
      <c r="E346" s="2">
        <v>790516.0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f t="shared" si="1"/>
        <v>790516</v>
      </c>
      <c r="Q346" s="1"/>
      <c r="R346" s="1"/>
      <c r="S346" s="1"/>
      <c r="T346" s="1"/>
      <c r="U346" s="1"/>
      <c r="V346" s="6"/>
      <c r="W346" s="6"/>
    </row>
    <row r="347" ht="15.75" customHeight="1">
      <c r="A347" s="9" t="s">
        <v>29</v>
      </c>
      <c r="B347" s="10">
        <v>2025.0</v>
      </c>
      <c r="C347" s="14" t="s">
        <v>34</v>
      </c>
      <c r="D347" s="1" t="s">
        <v>401</v>
      </c>
      <c r="E347" s="2">
        <v>3147800.0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3147800.0</v>
      </c>
      <c r="O347" s="2">
        <v>0.0</v>
      </c>
      <c r="P347" s="2">
        <f t="shared" si="1"/>
        <v>0</v>
      </c>
      <c r="Q347" s="1"/>
      <c r="R347" s="1"/>
      <c r="S347" s="1"/>
      <c r="T347" s="1"/>
      <c r="U347" s="1"/>
      <c r="V347" s="6"/>
      <c r="W347" s="6"/>
    </row>
    <row r="348" ht="15.75" customHeight="1">
      <c r="A348" s="9" t="s">
        <v>29</v>
      </c>
      <c r="B348" s="10">
        <v>2025.0</v>
      </c>
      <c r="C348" s="14" t="s">
        <v>34</v>
      </c>
      <c r="D348" s="1" t="s">
        <v>402</v>
      </c>
      <c r="E348" s="2">
        <v>4569819.0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4569819.0</v>
      </c>
      <c r="O348" s="2">
        <v>0.0</v>
      </c>
      <c r="P348" s="2">
        <f t="shared" si="1"/>
        <v>0</v>
      </c>
      <c r="Q348" s="1"/>
      <c r="R348" s="1"/>
      <c r="S348" s="1"/>
      <c r="T348" s="1"/>
      <c r="U348" s="1"/>
      <c r="V348" s="6"/>
      <c r="W348" s="6"/>
    </row>
    <row r="349" ht="15.75" customHeight="1">
      <c r="A349" s="9" t="s">
        <v>29</v>
      </c>
      <c r="B349" s="10">
        <v>2025.0</v>
      </c>
      <c r="C349" s="14" t="s">
        <v>30</v>
      </c>
      <c r="D349" s="1" t="s">
        <v>403</v>
      </c>
      <c r="E349" s="2">
        <v>1209000.0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1209000.0</v>
      </c>
      <c r="O349" s="2">
        <v>0.0</v>
      </c>
      <c r="P349" s="2">
        <f t="shared" si="1"/>
        <v>0</v>
      </c>
      <c r="Q349" s="1"/>
      <c r="R349" s="1"/>
      <c r="S349" s="1"/>
      <c r="T349" s="1"/>
      <c r="U349" s="1"/>
      <c r="V349" s="6"/>
      <c r="W349" s="6"/>
    </row>
    <row r="350" ht="15.75" customHeight="1">
      <c r="A350" s="9" t="s">
        <v>29</v>
      </c>
      <c r="B350" s="10">
        <v>2025.0</v>
      </c>
      <c r="C350" s="14" t="s">
        <v>30</v>
      </c>
      <c r="D350" s="1" t="s">
        <v>404</v>
      </c>
      <c r="E350" s="2">
        <v>825344.0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825344.0</v>
      </c>
      <c r="O350" s="2">
        <v>0.0</v>
      </c>
      <c r="P350" s="2">
        <f t="shared" si="1"/>
        <v>0</v>
      </c>
      <c r="Q350" s="1"/>
      <c r="R350" s="1"/>
      <c r="S350" s="1"/>
      <c r="T350" s="1"/>
      <c r="U350" s="1"/>
      <c r="V350" s="6"/>
      <c r="W350" s="6"/>
    </row>
    <row r="351" ht="15.75" customHeight="1">
      <c r="A351" s="9" t="s">
        <v>29</v>
      </c>
      <c r="B351" s="10">
        <v>2025.0</v>
      </c>
      <c r="C351" s="14" t="s">
        <v>30</v>
      </c>
      <c r="D351" s="1" t="s">
        <v>405</v>
      </c>
      <c r="E351" s="2">
        <v>2.64E7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2.64E7</v>
      </c>
      <c r="O351" s="2">
        <v>0.0</v>
      </c>
      <c r="P351" s="2">
        <f t="shared" si="1"/>
        <v>0</v>
      </c>
      <c r="Q351" s="1"/>
      <c r="R351" s="1"/>
      <c r="S351" s="1"/>
      <c r="T351" s="1"/>
      <c r="U351" s="1"/>
      <c r="V351" s="6"/>
      <c r="W351" s="6"/>
    </row>
    <row r="352" ht="15.75" customHeight="1">
      <c r="A352" s="9" t="s">
        <v>29</v>
      </c>
      <c r="B352" s="10">
        <v>2025.0</v>
      </c>
      <c r="C352" s="14" t="s">
        <v>30</v>
      </c>
      <c r="D352" s="1" t="s">
        <v>406</v>
      </c>
      <c r="E352" s="2">
        <v>56300.0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56300.0</v>
      </c>
      <c r="O352" s="2">
        <v>0.0</v>
      </c>
      <c r="P352" s="2">
        <f t="shared" si="1"/>
        <v>0</v>
      </c>
      <c r="Q352" s="1"/>
      <c r="R352" s="1"/>
      <c r="S352" s="1"/>
      <c r="T352" s="1"/>
      <c r="U352" s="1"/>
      <c r="V352" s="6"/>
      <c r="W352" s="6"/>
    </row>
    <row r="353" ht="15.75" customHeight="1">
      <c r="A353" s="9" t="s">
        <v>29</v>
      </c>
      <c r="B353" s="10">
        <v>2025.0</v>
      </c>
      <c r="C353" s="14" t="s">
        <v>34</v>
      </c>
      <c r="D353" s="1" t="s">
        <v>407</v>
      </c>
      <c r="E353" s="2">
        <v>1528000.0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1528000.0</v>
      </c>
      <c r="O353" s="2">
        <v>0.0</v>
      </c>
      <c r="P353" s="2">
        <f t="shared" si="1"/>
        <v>0</v>
      </c>
      <c r="Q353" s="1"/>
      <c r="R353" s="1"/>
      <c r="S353" s="1"/>
      <c r="T353" s="1"/>
      <c r="U353" s="1"/>
      <c r="V353" s="6"/>
      <c r="W353" s="6"/>
    </row>
    <row r="354" ht="15.75" customHeight="1">
      <c r="A354" s="9" t="s">
        <v>29</v>
      </c>
      <c r="B354" s="10">
        <v>2025.0</v>
      </c>
      <c r="C354" s="1" t="s">
        <v>30</v>
      </c>
      <c r="D354" s="1" t="s">
        <v>408</v>
      </c>
      <c r="E354" s="2">
        <v>1658000.0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1658000.0</v>
      </c>
      <c r="O354" s="2">
        <v>0.0</v>
      </c>
      <c r="P354" s="2">
        <f t="shared" si="1"/>
        <v>0</v>
      </c>
      <c r="Q354" s="1"/>
      <c r="R354" s="1"/>
      <c r="S354" s="1"/>
      <c r="T354" s="1"/>
      <c r="U354" s="1"/>
      <c r="V354" s="6"/>
      <c r="W354" s="6"/>
    </row>
    <row r="355" ht="15.75" customHeight="1">
      <c r="A355" s="9" t="s">
        <v>29</v>
      </c>
      <c r="B355" s="10">
        <v>2025.0</v>
      </c>
      <c r="C355" s="14" t="s">
        <v>34</v>
      </c>
      <c r="D355" s="1" t="s">
        <v>409</v>
      </c>
      <c r="E355" s="2">
        <v>1658000.0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1658000.0</v>
      </c>
      <c r="O355" s="2">
        <v>0.0</v>
      </c>
      <c r="P355" s="2">
        <f t="shared" si="1"/>
        <v>0</v>
      </c>
      <c r="Q355" s="1"/>
      <c r="R355" s="1"/>
      <c r="S355" s="1"/>
      <c r="T355" s="1"/>
      <c r="U355" s="1"/>
      <c r="V355" s="6"/>
      <c r="W355" s="6"/>
    </row>
    <row r="356" ht="15.75" customHeight="1">
      <c r="A356" s="9" t="s">
        <v>29</v>
      </c>
      <c r="B356" s="10">
        <v>2025.0</v>
      </c>
      <c r="C356" s="14" t="s">
        <v>34</v>
      </c>
      <c r="D356" s="1" t="s">
        <v>410</v>
      </c>
      <c r="E356" s="2">
        <v>3056000.0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3056000.0</v>
      </c>
      <c r="O356" s="2">
        <v>0.0</v>
      </c>
      <c r="P356" s="2">
        <f t="shared" si="1"/>
        <v>0</v>
      </c>
      <c r="Q356" s="1"/>
      <c r="R356" s="1"/>
      <c r="S356" s="1"/>
      <c r="T356" s="1"/>
      <c r="U356" s="1"/>
      <c r="V356" s="6"/>
      <c r="W356" s="6"/>
    </row>
    <row r="357" ht="15.75" customHeight="1">
      <c r="A357" s="9" t="s">
        <v>29</v>
      </c>
      <c r="B357" s="10">
        <v>2025.0</v>
      </c>
      <c r="C357" s="14" t="s">
        <v>34</v>
      </c>
      <c r="D357" s="1" t="s">
        <v>411</v>
      </c>
      <c r="E357" s="2">
        <v>7490000.0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7490000.0</v>
      </c>
      <c r="O357" s="2">
        <v>0.0</v>
      </c>
      <c r="P357" s="2">
        <f t="shared" si="1"/>
        <v>0</v>
      </c>
      <c r="Q357" s="1"/>
      <c r="R357" s="1"/>
      <c r="S357" s="1"/>
      <c r="T357" s="1"/>
      <c r="U357" s="1"/>
      <c r="V357" s="6"/>
      <c r="W357" s="6"/>
    </row>
    <row r="358" ht="15.75" customHeight="1">
      <c r="A358" s="9" t="s">
        <v>29</v>
      </c>
      <c r="B358" s="10">
        <v>2025.0</v>
      </c>
      <c r="C358" s="14" t="s">
        <v>178</v>
      </c>
      <c r="D358" s="1" t="s">
        <v>412</v>
      </c>
      <c r="E358" s="2">
        <v>1257733.0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1257733.0</v>
      </c>
      <c r="O358" s="2">
        <v>0.0</v>
      </c>
      <c r="P358" s="2">
        <f t="shared" si="1"/>
        <v>0</v>
      </c>
      <c r="Q358" s="1"/>
      <c r="R358" s="1"/>
      <c r="S358" s="1"/>
      <c r="T358" s="1"/>
      <c r="U358" s="1"/>
      <c r="V358" s="6"/>
      <c r="W358" s="6"/>
    </row>
    <row r="359" ht="15.75" customHeight="1">
      <c r="A359" s="9" t="s">
        <v>29</v>
      </c>
      <c r="B359" s="10">
        <v>2025.0</v>
      </c>
      <c r="C359" s="14" t="s">
        <v>30</v>
      </c>
      <c r="D359" s="1" t="s">
        <v>413</v>
      </c>
      <c r="E359" s="2">
        <v>59500.0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59500.0</v>
      </c>
      <c r="O359" s="2">
        <v>0.0</v>
      </c>
      <c r="P359" s="2">
        <f t="shared" si="1"/>
        <v>0</v>
      </c>
      <c r="Q359" s="1"/>
      <c r="R359" s="1"/>
      <c r="S359" s="1"/>
      <c r="T359" s="1"/>
      <c r="U359" s="1"/>
      <c r="V359" s="6"/>
      <c r="W359" s="6"/>
    </row>
    <row r="360" ht="15.75" customHeight="1">
      <c r="A360" s="9" t="s">
        <v>29</v>
      </c>
      <c r="B360" s="10">
        <v>2025.0</v>
      </c>
      <c r="C360" s="14" t="s">
        <v>30</v>
      </c>
      <c r="D360" s="1" t="s">
        <v>414</v>
      </c>
      <c r="E360" s="2">
        <v>161700.0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161700.0</v>
      </c>
      <c r="O360" s="2">
        <v>0.0</v>
      </c>
      <c r="P360" s="2">
        <f t="shared" si="1"/>
        <v>0</v>
      </c>
      <c r="Q360" s="1"/>
      <c r="R360" s="1"/>
      <c r="S360" s="1"/>
      <c r="T360" s="1"/>
      <c r="U360" s="1"/>
      <c r="V360" s="6"/>
      <c r="W360" s="6"/>
    </row>
    <row r="361" ht="15.75" customHeight="1">
      <c r="A361" s="9" t="s">
        <v>29</v>
      </c>
      <c r="B361" s="10">
        <v>2025.0</v>
      </c>
      <c r="C361" s="14" t="s">
        <v>30</v>
      </c>
      <c r="D361" s="1" t="s">
        <v>415</v>
      </c>
      <c r="E361" s="2">
        <v>48000.0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48000.0</v>
      </c>
      <c r="O361" s="2">
        <v>0.0</v>
      </c>
      <c r="P361" s="2">
        <f t="shared" si="1"/>
        <v>0</v>
      </c>
      <c r="Q361" s="1"/>
      <c r="R361" s="1"/>
      <c r="S361" s="1"/>
      <c r="T361" s="1"/>
      <c r="U361" s="1"/>
      <c r="V361" s="6"/>
      <c r="W361" s="6"/>
    </row>
    <row r="362" ht="15.75" customHeight="1">
      <c r="A362" s="9" t="s">
        <v>29</v>
      </c>
      <c r="B362" s="10">
        <v>2025.0</v>
      </c>
      <c r="C362" s="14" t="s">
        <v>178</v>
      </c>
      <c r="D362" s="1" t="s">
        <v>416</v>
      </c>
      <c r="E362" s="2">
        <v>1086706.0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1086706.0</v>
      </c>
      <c r="O362" s="2">
        <v>0.0</v>
      </c>
      <c r="P362" s="2">
        <f t="shared" si="1"/>
        <v>0</v>
      </c>
      <c r="Q362" s="1"/>
      <c r="R362" s="1"/>
      <c r="S362" s="1"/>
      <c r="T362" s="1"/>
      <c r="U362" s="1"/>
      <c r="V362" s="6"/>
      <c r="W362" s="6"/>
    </row>
    <row r="363" ht="15.75" customHeight="1">
      <c r="A363" s="9" t="s">
        <v>29</v>
      </c>
      <c r="B363" s="10">
        <v>2025.0</v>
      </c>
      <c r="C363" s="14" t="s">
        <v>178</v>
      </c>
      <c r="D363" s="1" t="s">
        <v>417</v>
      </c>
      <c r="E363" s="2">
        <v>1086706.0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1086706.0</v>
      </c>
      <c r="O363" s="2">
        <v>0.0</v>
      </c>
      <c r="P363" s="2">
        <f t="shared" si="1"/>
        <v>0</v>
      </c>
      <c r="Q363" s="1"/>
      <c r="R363" s="1"/>
      <c r="S363" s="1"/>
      <c r="T363" s="1"/>
      <c r="U363" s="1"/>
      <c r="V363" s="6"/>
      <c r="W363" s="6"/>
    </row>
    <row r="364" ht="15.75" customHeight="1">
      <c r="A364" s="9" t="s">
        <v>29</v>
      </c>
      <c r="B364" s="10">
        <v>2025.0</v>
      </c>
      <c r="C364" s="14" t="s">
        <v>178</v>
      </c>
      <c r="D364" s="1" t="s">
        <v>418</v>
      </c>
      <c r="E364" s="2">
        <v>1086706.0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1086706.0</v>
      </c>
      <c r="O364" s="2">
        <v>0.0</v>
      </c>
      <c r="P364" s="2">
        <f t="shared" si="1"/>
        <v>0</v>
      </c>
      <c r="Q364" s="1"/>
      <c r="R364" s="1"/>
      <c r="S364" s="1"/>
      <c r="T364" s="1"/>
      <c r="U364" s="1"/>
      <c r="V364" s="6"/>
      <c r="W364" s="6"/>
    </row>
    <row r="365" ht="15.75" customHeight="1">
      <c r="A365" s="9" t="s">
        <v>29</v>
      </c>
      <c r="B365" s="10">
        <v>2025.0</v>
      </c>
      <c r="C365" s="14" t="s">
        <v>178</v>
      </c>
      <c r="D365" s="1" t="s">
        <v>419</v>
      </c>
      <c r="E365" s="2">
        <v>1328000.0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1328000.0</v>
      </c>
      <c r="O365" s="2">
        <v>0.0</v>
      </c>
      <c r="P365" s="2">
        <f t="shared" si="1"/>
        <v>0</v>
      </c>
      <c r="Q365" s="1"/>
      <c r="R365" s="1"/>
      <c r="S365" s="1"/>
      <c r="T365" s="1"/>
      <c r="U365" s="1"/>
      <c r="V365" s="6"/>
      <c r="W365" s="6"/>
    </row>
    <row r="366" ht="15.75" customHeight="1">
      <c r="A366" s="9" t="s">
        <v>29</v>
      </c>
      <c r="B366" s="10">
        <v>2025.0</v>
      </c>
      <c r="C366" s="14" t="s">
        <v>178</v>
      </c>
      <c r="D366" s="1" t="s">
        <v>420</v>
      </c>
      <c r="E366" s="2">
        <v>2626000.0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2626000.0</v>
      </c>
      <c r="O366" s="2">
        <v>0.0</v>
      </c>
      <c r="P366" s="2">
        <f t="shared" si="1"/>
        <v>0</v>
      </c>
      <c r="Q366" s="1"/>
      <c r="R366" s="1"/>
      <c r="S366" s="1"/>
      <c r="T366" s="1"/>
      <c r="U366" s="1"/>
      <c r="V366" s="6"/>
      <c r="W366" s="6"/>
    </row>
    <row r="367" ht="15.75" customHeight="1">
      <c r="A367" s="9" t="s">
        <v>29</v>
      </c>
      <c r="B367" s="10">
        <v>2025.0</v>
      </c>
      <c r="C367" s="14" t="s">
        <v>178</v>
      </c>
      <c r="D367" s="1" t="s">
        <v>421</v>
      </c>
      <c r="E367" s="2">
        <v>1116987.0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1116987.0</v>
      </c>
      <c r="O367" s="2">
        <v>0.0</v>
      </c>
      <c r="P367" s="2">
        <f t="shared" si="1"/>
        <v>0</v>
      </c>
      <c r="Q367" s="1"/>
      <c r="R367" s="1"/>
      <c r="S367" s="1"/>
      <c r="T367" s="1"/>
      <c r="U367" s="1"/>
      <c r="V367" s="6"/>
      <c r="W367" s="6"/>
    </row>
    <row r="368" ht="15.75" customHeight="1">
      <c r="A368" s="9" t="s">
        <v>29</v>
      </c>
      <c r="B368" s="10">
        <v>2025.0</v>
      </c>
      <c r="C368" s="14" t="s">
        <v>178</v>
      </c>
      <c r="D368" s="1" t="s">
        <v>422</v>
      </c>
      <c r="E368" s="2">
        <v>1177733.0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1177733.0</v>
      </c>
      <c r="O368" s="2">
        <v>0.0</v>
      </c>
      <c r="P368" s="2">
        <f t="shared" si="1"/>
        <v>0</v>
      </c>
      <c r="Q368" s="1"/>
      <c r="R368" s="1"/>
      <c r="S368" s="1"/>
      <c r="T368" s="1"/>
      <c r="U368" s="1"/>
      <c r="V368" s="6"/>
      <c r="W368" s="6"/>
    </row>
    <row r="369" ht="15.75" customHeight="1">
      <c r="A369" s="9" t="s">
        <v>29</v>
      </c>
      <c r="B369" s="10">
        <v>2025.0</v>
      </c>
      <c r="C369" s="14" t="s">
        <v>34</v>
      </c>
      <c r="D369" s="1" t="s">
        <v>423</v>
      </c>
      <c r="E369" s="2">
        <v>1599994.0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1599994.0</v>
      </c>
      <c r="O369" s="2">
        <v>0.0</v>
      </c>
      <c r="P369" s="2">
        <f t="shared" si="1"/>
        <v>0</v>
      </c>
      <c r="Q369" s="1"/>
      <c r="R369" s="1"/>
      <c r="S369" s="1"/>
      <c r="T369" s="1"/>
      <c r="U369" s="1"/>
      <c r="V369" s="6"/>
      <c r="W369" s="6"/>
    </row>
    <row r="370" ht="15.75" customHeight="1">
      <c r="A370" s="9" t="s">
        <v>29</v>
      </c>
      <c r="B370" s="10">
        <v>2025.0</v>
      </c>
      <c r="C370" s="14" t="s">
        <v>34</v>
      </c>
      <c r="D370" s="1" t="s">
        <v>424</v>
      </c>
      <c r="E370" s="2">
        <v>1600000.0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1600000.0</v>
      </c>
      <c r="O370" s="2">
        <v>0.0</v>
      </c>
      <c r="P370" s="2">
        <f t="shared" si="1"/>
        <v>0</v>
      </c>
      <c r="Q370" s="1"/>
      <c r="R370" s="1"/>
      <c r="S370" s="1"/>
      <c r="T370" s="1"/>
      <c r="U370" s="1"/>
      <c r="V370" s="6"/>
      <c r="W370" s="6"/>
    </row>
    <row r="371" ht="15.75" customHeight="1">
      <c r="A371" s="9" t="s">
        <v>29</v>
      </c>
      <c r="B371" s="10">
        <v>2025.0</v>
      </c>
      <c r="C371" s="14" t="s">
        <v>187</v>
      </c>
      <c r="D371" s="1" t="s">
        <v>425</v>
      </c>
      <c r="E371" s="2">
        <v>199737.0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199737.0</v>
      </c>
      <c r="O371" s="2">
        <v>0.0</v>
      </c>
      <c r="P371" s="2">
        <f t="shared" si="1"/>
        <v>0</v>
      </c>
      <c r="Q371" s="1"/>
      <c r="R371" s="1"/>
      <c r="S371" s="1"/>
      <c r="T371" s="1"/>
      <c r="U371" s="1"/>
      <c r="V371" s="6"/>
      <c r="W371" s="6"/>
    </row>
    <row r="372" ht="15.75" customHeight="1">
      <c r="A372" s="9" t="s">
        <v>29</v>
      </c>
      <c r="B372" s="10">
        <v>2025.0</v>
      </c>
      <c r="C372" s="14" t="s">
        <v>187</v>
      </c>
      <c r="D372" s="1" t="s">
        <v>426</v>
      </c>
      <c r="E372" s="2">
        <v>1066764.0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1066764.0</v>
      </c>
      <c r="O372" s="2">
        <v>0.0</v>
      </c>
      <c r="P372" s="2">
        <f t="shared" si="1"/>
        <v>0</v>
      </c>
      <c r="Q372" s="1"/>
      <c r="R372" s="1"/>
      <c r="S372" s="1"/>
      <c r="T372" s="1"/>
      <c r="U372" s="1"/>
      <c r="V372" s="6"/>
      <c r="W372" s="6"/>
    </row>
    <row r="373" ht="15.75" customHeight="1">
      <c r="A373" s="9" t="s">
        <v>29</v>
      </c>
      <c r="B373" s="10">
        <v>2025.0</v>
      </c>
      <c r="C373" s="14" t="s">
        <v>187</v>
      </c>
      <c r="D373" s="1" t="s">
        <v>427</v>
      </c>
      <c r="E373" s="2">
        <v>1073566.0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1073566.0</v>
      </c>
      <c r="O373" s="2">
        <v>0.0</v>
      </c>
      <c r="P373" s="2">
        <f t="shared" si="1"/>
        <v>0</v>
      </c>
      <c r="Q373" s="1"/>
      <c r="R373" s="1"/>
      <c r="S373" s="1"/>
      <c r="T373" s="1"/>
      <c r="U373" s="1"/>
      <c r="V373" s="6"/>
      <c r="W373" s="6"/>
    </row>
    <row r="374" ht="15.75" customHeight="1">
      <c r="A374" s="9" t="s">
        <v>29</v>
      </c>
      <c r="B374" s="10">
        <v>2025.0</v>
      </c>
      <c r="C374" s="14" t="s">
        <v>187</v>
      </c>
      <c r="D374" s="1" t="s">
        <v>428</v>
      </c>
      <c r="E374" s="2">
        <v>1073566.0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1073566.0</v>
      </c>
      <c r="O374" s="2">
        <v>0.0</v>
      </c>
      <c r="P374" s="2">
        <f t="shared" si="1"/>
        <v>0</v>
      </c>
      <c r="Q374" s="1"/>
      <c r="R374" s="1"/>
      <c r="S374" s="1"/>
      <c r="T374" s="1"/>
      <c r="U374" s="1"/>
      <c r="V374" s="6"/>
      <c r="W374" s="6"/>
    </row>
    <row r="375" ht="15.75" customHeight="1">
      <c r="A375" s="9" t="s">
        <v>29</v>
      </c>
      <c r="B375" s="10">
        <v>2025.0</v>
      </c>
      <c r="C375" s="14" t="s">
        <v>187</v>
      </c>
      <c r="D375" s="1" t="s">
        <v>429</v>
      </c>
      <c r="E375" s="2">
        <v>1073566.0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1073566.0</v>
      </c>
      <c r="O375" s="2">
        <v>0.0</v>
      </c>
      <c r="P375" s="2">
        <f t="shared" si="1"/>
        <v>0</v>
      </c>
      <c r="Q375" s="1"/>
      <c r="R375" s="1"/>
      <c r="S375" s="1"/>
      <c r="T375" s="1"/>
      <c r="U375" s="1"/>
      <c r="V375" s="6"/>
      <c r="W375" s="6"/>
    </row>
    <row r="376" ht="15.75" customHeight="1">
      <c r="A376" s="9" t="s">
        <v>29</v>
      </c>
      <c r="B376" s="10">
        <v>2025.0</v>
      </c>
      <c r="C376" s="14" t="s">
        <v>187</v>
      </c>
      <c r="D376" s="1" t="s">
        <v>430</v>
      </c>
      <c r="E376" s="2">
        <v>1117624.0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1117624.0</v>
      </c>
      <c r="O376" s="2">
        <v>0.0</v>
      </c>
      <c r="P376" s="2">
        <f t="shared" si="1"/>
        <v>0</v>
      </c>
      <c r="Q376" s="1"/>
      <c r="R376" s="1"/>
      <c r="S376" s="1"/>
      <c r="T376" s="1"/>
      <c r="U376" s="1"/>
      <c r="V376" s="6"/>
      <c r="W376" s="6"/>
    </row>
    <row r="377" ht="15.75" customHeight="1">
      <c r="A377" s="9" t="s">
        <v>29</v>
      </c>
      <c r="B377" s="10">
        <v>2025.0</v>
      </c>
      <c r="C377" s="14" t="s">
        <v>187</v>
      </c>
      <c r="D377" s="1" t="s">
        <v>431</v>
      </c>
      <c r="E377" s="2">
        <v>707131.0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707131.0</v>
      </c>
      <c r="O377" s="2">
        <v>0.0</v>
      </c>
      <c r="P377" s="2">
        <f t="shared" si="1"/>
        <v>0</v>
      </c>
      <c r="Q377" s="1"/>
      <c r="R377" s="1"/>
      <c r="S377" s="1"/>
      <c r="T377" s="1"/>
      <c r="U377" s="1"/>
      <c r="V377" s="6"/>
      <c r="W377" s="6"/>
    </row>
    <row r="378" ht="15.75" customHeight="1">
      <c r="A378" s="9" t="s">
        <v>29</v>
      </c>
      <c r="B378" s="10">
        <v>2025.0</v>
      </c>
      <c r="C378" s="14" t="s">
        <v>187</v>
      </c>
      <c r="D378" s="1" t="s">
        <v>432</v>
      </c>
      <c r="E378" s="2">
        <v>707131.0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707131.0</v>
      </c>
      <c r="O378" s="2">
        <v>0.0</v>
      </c>
      <c r="P378" s="2">
        <f t="shared" si="1"/>
        <v>0</v>
      </c>
      <c r="Q378" s="1"/>
      <c r="R378" s="1"/>
      <c r="S378" s="1"/>
      <c r="T378" s="1"/>
      <c r="U378" s="1"/>
      <c r="V378" s="6"/>
      <c r="W378" s="6"/>
    </row>
    <row r="379" ht="15.75" customHeight="1">
      <c r="A379" s="9" t="s">
        <v>29</v>
      </c>
      <c r="B379" s="10">
        <v>2025.0</v>
      </c>
      <c r="C379" s="14" t="s">
        <v>187</v>
      </c>
      <c r="D379" s="1" t="s">
        <v>433</v>
      </c>
      <c r="E379" s="2">
        <v>707131.0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707131.0</v>
      </c>
      <c r="O379" s="2">
        <v>0.0</v>
      </c>
      <c r="P379" s="2">
        <f t="shared" si="1"/>
        <v>0</v>
      </c>
      <c r="Q379" s="1"/>
      <c r="R379" s="1"/>
      <c r="S379" s="1"/>
      <c r="T379" s="1"/>
      <c r="U379" s="1"/>
      <c r="V379" s="6"/>
      <c r="W379" s="6"/>
    </row>
    <row r="380" ht="15.75" customHeight="1">
      <c r="A380" s="9" t="s">
        <v>29</v>
      </c>
      <c r="B380" s="10">
        <v>2025.0</v>
      </c>
      <c r="C380" s="14" t="s">
        <v>34</v>
      </c>
      <c r="D380" s="1" t="s">
        <v>434</v>
      </c>
      <c r="E380" s="2">
        <v>733082.0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733082.0</v>
      </c>
      <c r="O380" s="2">
        <v>0.0</v>
      </c>
      <c r="P380" s="2">
        <f t="shared" si="1"/>
        <v>0</v>
      </c>
      <c r="Q380" s="1"/>
      <c r="R380" s="1"/>
      <c r="S380" s="1"/>
      <c r="T380" s="1"/>
      <c r="U380" s="1"/>
      <c r="V380" s="6"/>
      <c r="W380" s="6"/>
    </row>
    <row r="381" ht="15.75" customHeight="1">
      <c r="A381" s="9" t="s">
        <v>29</v>
      </c>
      <c r="B381" s="10">
        <v>2025.0</v>
      </c>
      <c r="C381" s="14" t="s">
        <v>34</v>
      </c>
      <c r="D381" s="1" t="s">
        <v>435</v>
      </c>
      <c r="E381" s="2">
        <v>810000.0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810000.0</v>
      </c>
      <c r="O381" s="2">
        <v>0.0</v>
      </c>
      <c r="P381" s="2">
        <f t="shared" si="1"/>
        <v>0</v>
      </c>
      <c r="Q381" s="1"/>
      <c r="R381" s="1"/>
      <c r="S381" s="1"/>
      <c r="T381" s="1"/>
      <c r="U381" s="1"/>
      <c r="V381" s="6"/>
      <c r="W381" s="6"/>
    </row>
    <row r="382" ht="15.75" customHeight="1">
      <c r="A382" s="9" t="s">
        <v>29</v>
      </c>
      <c r="B382" s="10">
        <v>2025.0</v>
      </c>
      <c r="C382" s="14" t="s">
        <v>34</v>
      </c>
      <c r="D382" s="1" t="s">
        <v>436</v>
      </c>
      <c r="E382" s="2">
        <v>865251.0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865251.0</v>
      </c>
      <c r="O382" s="2">
        <v>0.0</v>
      </c>
      <c r="P382" s="2">
        <f t="shared" si="1"/>
        <v>0</v>
      </c>
      <c r="Q382" s="1"/>
      <c r="R382" s="1"/>
      <c r="S382" s="1"/>
      <c r="T382" s="1"/>
      <c r="U382" s="1"/>
      <c r="V382" s="6"/>
      <c r="W382" s="6"/>
    </row>
    <row r="383" ht="15.75" customHeight="1">
      <c r="A383" s="9" t="s">
        <v>29</v>
      </c>
      <c r="B383" s="10">
        <v>2025.0</v>
      </c>
      <c r="C383" s="14" t="s">
        <v>187</v>
      </c>
      <c r="D383" s="1" t="s">
        <v>437</v>
      </c>
      <c r="E383" s="2">
        <v>707131.0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707131.0</v>
      </c>
      <c r="O383" s="2">
        <v>0.0</v>
      </c>
      <c r="P383" s="2">
        <f t="shared" si="1"/>
        <v>0</v>
      </c>
      <c r="Q383" s="1"/>
      <c r="R383" s="1"/>
      <c r="S383" s="1"/>
      <c r="T383" s="1"/>
      <c r="U383" s="1"/>
      <c r="V383" s="6"/>
      <c r="W383" s="6"/>
    </row>
    <row r="384" ht="15.75" customHeight="1">
      <c r="A384" s="9" t="s">
        <v>29</v>
      </c>
      <c r="B384" s="10">
        <v>2025.0</v>
      </c>
      <c r="C384" s="14" t="s">
        <v>187</v>
      </c>
      <c r="D384" s="1" t="s">
        <v>438</v>
      </c>
      <c r="E384" s="2">
        <v>707131.0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707131.0</v>
      </c>
      <c r="O384" s="2">
        <v>0.0</v>
      </c>
      <c r="P384" s="2">
        <f t="shared" si="1"/>
        <v>0</v>
      </c>
      <c r="Q384" s="1"/>
      <c r="R384" s="1"/>
      <c r="S384" s="1"/>
      <c r="T384" s="1"/>
      <c r="U384" s="1"/>
      <c r="V384" s="6"/>
      <c r="W384" s="6"/>
    </row>
    <row r="385" ht="15.75" customHeight="1">
      <c r="A385" s="9" t="s">
        <v>29</v>
      </c>
      <c r="B385" s="10">
        <v>2025.0</v>
      </c>
      <c r="C385" s="14" t="s">
        <v>187</v>
      </c>
      <c r="D385" s="1" t="s">
        <v>439</v>
      </c>
      <c r="E385" s="2">
        <v>707131.0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707131.0</v>
      </c>
      <c r="O385" s="2">
        <v>0.0</v>
      </c>
      <c r="P385" s="2">
        <f t="shared" si="1"/>
        <v>0</v>
      </c>
      <c r="Q385" s="1"/>
      <c r="R385" s="1"/>
      <c r="S385" s="1"/>
      <c r="T385" s="1"/>
      <c r="U385" s="1"/>
      <c r="V385" s="6"/>
      <c r="W385" s="6"/>
    </row>
    <row r="386" ht="15.75" customHeight="1">
      <c r="A386" s="9" t="s">
        <v>29</v>
      </c>
      <c r="B386" s="10">
        <v>2025.0</v>
      </c>
      <c r="C386" s="14" t="s">
        <v>187</v>
      </c>
      <c r="D386" s="1" t="s">
        <v>440</v>
      </c>
      <c r="E386" s="2">
        <v>723571.0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723571.0</v>
      </c>
      <c r="O386" s="2">
        <v>0.0</v>
      </c>
      <c r="P386" s="2">
        <f t="shared" si="1"/>
        <v>0</v>
      </c>
      <c r="Q386" s="1"/>
      <c r="R386" s="1"/>
      <c r="S386" s="1"/>
      <c r="T386" s="1"/>
      <c r="U386" s="1"/>
      <c r="V386" s="6"/>
      <c r="W386" s="6"/>
    </row>
    <row r="387" ht="15.75" customHeight="1">
      <c r="A387" s="9" t="s">
        <v>29</v>
      </c>
      <c r="B387" s="10">
        <v>2025.0</v>
      </c>
      <c r="C387" s="14" t="s">
        <v>34</v>
      </c>
      <c r="D387" s="1" t="s">
        <v>441</v>
      </c>
      <c r="E387" s="2">
        <v>3483081.0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3483081.0</v>
      </c>
      <c r="O387" s="2">
        <v>0.0</v>
      </c>
      <c r="P387" s="2">
        <f t="shared" si="1"/>
        <v>0</v>
      </c>
      <c r="Q387" s="1"/>
      <c r="R387" s="1"/>
      <c r="S387" s="1"/>
      <c r="T387" s="1"/>
      <c r="U387" s="1"/>
      <c r="V387" s="6"/>
      <c r="W387" s="6"/>
    </row>
    <row r="388" ht="15.75" customHeight="1">
      <c r="A388" s="9" t="s">
        <v>29</v>
      </c>
      <c r="B388" s="10">
        <v>2025.0</v>
      </c>
      <c r="C388" s="14" t="s">
        <v>34</v>
      </c>
      <c r="D388" s="1" t="s">
        <v>442</v>
      </c>
      <c r="E388" s="2">
        <v>818084.0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818084.0</v>
      </c>
      <c r="O388" s="2">
        <v>0.0</v>
      </c>
      <c r="P388" s="2">
        <f t="shared" si="1"/>
        <v>0</v>
      </c>
      <c r="Q388" s="1"/>
      <c r="R388" s="1"/>
      <c r="S388" s="1"/>
      <c r="T388" s="1"/>
      <c r="U388" s="1"/>
      <c r="V388" s="6"/>
      <c r="W388" s="6"/>
    </row>
    <row r="389" ht="15.75" customHeight="1">
      <c r="A389" s="9" t="s">
        <v>29</v>
      </c>
      <c r="B389" s="10">
        <v>2025.0</v>
      </c>
      <c r="C389" s="14" t="s">
        <v>34</v>
      </c>
      <c r="D389" s="1" t="s">
        <v>443</v>
      </c>
      <c r="E389" s="2">
        <v>818085.0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818085.0</v>
      </c>
      <c r="O389" s="2">
        <v>0.0</v>
      </c>
      <c r="P389" s="2">
        <f t="shared" si="1"/>
        <v>0</v>
      </c>
      <c r="Q389" s="1"/>
      <c r="R389" s="1"/>
      <c r="S389" s="1"/>
      <c r="T389" s="1"/>
      <c r="U389" s="1"/>
      <c r="V389" s="6"/>
      <c r="W389" s="6"/>
    </row>
    <row r="390" ht="15.75" customHeight="1">
      <c r="A390" s="9" t="s">
        <v>29</v>
      </c>
      <c r="B390" s="10">
        <v>2025.0</v>
      </c>
      <c r="C390" s="14" t="s">
        <v>34</v>
      </c>
      <c r="D390" s="1" t="s">
        <v>444</v>
      </c>
      <c r="E390" s="2">
        <v>1539080.0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1539080.0</v>
      </c>
      <c r="O390" s="2">
        <v>0.0</v>
      </c>
      <c r="P390" s="2">
        <f t="shared" si="1"/>
        <v>0</v>
      </c>
      <c r="Q390" s="1"/>
      <c r="R390" s="1"/>
      <c r="S390" s="1"/>
      <c r="T390" s="1"/>
      <c r="U390" s="1"/>
      <c r="V390" s="6"/>
      <c r="W390" s="6"/>
    </row>
    <row r="391" ht="15.75" customHeight="1">
      <c r="A391" s="9" t="s">
        <v>29</v>
      </c>
      <c r="B391" s="10">
        <v>2025.0</v>
      </c>
      <c r="C391" s="14" t="s">
        <v>34</v>
      </c>
      <c r="D391" s="1" t="s">
        <v>445</v>
      </c>
      <c r="E391" s="2">
        <v>1660080.0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1660080.0</v>
      </c>
      <c r="O391" s="2">
        <v>0.0</v>
      </c>
      <c r="P391" s="2">
        <f t="shared" si="1"/>
        <v>0</v>
      </c>
      <c r="Q391" s="1"/>
      <c r="R391" s="1"/>
      <c r="S391" s="1"/>
      <c r="T391" s="1"/>
      <c r="U391" s="1"/>
      <c r="V391" s="6"/>
      <c r="W391" s="6"/>
    </row>
    <row r="392" ht="15.75" customHeight="1">
      <c r="A392" s="9" t="s">
        <v>29</v>
      </c>
      <c r="B392" s="10">
        <v>2025.0</v>
      </c>
      <c r="C392" s="14" t="s">
        <v>34</v>
      </c>
      <c r="D392" s="1" t="s">
        <v>446</v>
      </c>
      <c r="E392" s="2">
        <v>4478889.0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4478889.0</v>
      </c>
      <c r="O392" s="2">
        <v>0.0</v>
      </c>
      <c r="P392" s="2">
        <f t="shared" si="1"/>
        <v>0</v>
      </c>
      <c r="Q392" s="1"/>
      <c r="R392" s="1"/>
      <c r="S392" s="1"/>
      <c r="T392" s="1"/>
      <c r="U392" s="1"/>
      <c r="V392" s="6"/>
      <c r="W392" s="6"/>
    </row>
    <row r="393" ht="15.75" customHeight="1">
      <c r="A393" s="9" t="s">
        <v>29</v>
      </c>
      <c r="B393" s="10">
        <v>2025.0</v>
      </c>
      <c r="C393" s="14" t="s">
        <v>34</v>
      </c>
      <c r="D393" s="1" t="s">
        <v>447</v>
      </c>
      <c r="E393" s="2">
        <v>1144695.0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1144695.0</v>
      </c>
      <c r="O393" s="2">
        <v>0.0</v>
      </c>
      <c r="P393" s="2">
        <f t="shared" si="1"/>
        <v>0</v>
      </c>
      <c r="Q393" s="1"/>
      <c r="R393" s="1"/>
      <c r="S393" s="1"/>
      <c r="T393" s="1"/>
      <c r="U393" s="1"/>
      <c r="V393" s="6"/>
      <c r="W393" s="6"/>
    </row>
    <row r="394" ht="15.75" customHeight="1">
      <c r="A394" s="9" t="s">
        <v>29</v>
      </c>
      <c r="B394" s="10">
        <v>2025.0</v>
      </c>
      <c r="C394" s="14" t="s">
        <v>34</v>
      </c>
      <c r="D394" s="1" t="s">
        <v>448</v>
      </c>
      <c r="E394" s="2">
        <v>1704795.0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1704795.0</v>
      </c>
      <c r="O394" s="2">
        <v>0.0</v>
      </c>
      <c r="P394" s="2">
        <f t="shared" si="1"/>
        <v>0</v>
      </c>
      <c r="Q394" s="1"/>
      <c r="R394" s="1"/>
      <c r="S394" s="1"/>
      <c r="T394" s="1"/>
      <c r="U394" s="1"/>
      <c r="V394" s="6"/>
      <c r="W394" s="6"/>
    </row>
    <row r="395" ht="15.75" customHeight="1">
      <c r="A395" s="9" t="s">
        <v>29</v>
      </c>
      <c r="B395" s="10">
        <v>2025.0</v>
      </c>
      <c r="C395" s="14" t="s">
        <v>34</v>
      </c>
      <c r="D395" s="1" t="s">
        <v>449</v>
      </c>
      <c r="E395" s="2">
        <v>1724725.0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1724725.0</v>
      </c>
      <c r="O395" s="2">
        <v>0.0</v>
      </c>
      <c r="P395" s="2">
        <f t="shared" si="1"/>
        <v>0</v>
      </c>
      <c r="Q395" s="1"/>
      <c r="R395" s="1"/>
      <c r="S395" s="1"/>
      <c r="T395" s="1"/>
      <c r="U395" s="1"/>
      <c r="V395" s="6"/>
      <c r="W395" s="6"/>
    </row>
    <row r="396" ht="15.75" customHeight="1">
      <c r="A396" s="9" t="s">
        <v>29</v>
      </c>
      <c r="B396" s="10">
        <v>2025.0</v>
      </c>
      <c r="C396" s="14" t="s">
        <v>34</v>
      </c>
      <c r="D396" s="1" t="s">
        <v>450</v>
      </c>
      <c r="E396" s="2">
        <v>1948521.0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1948521.0</v>
      </c>
      <c r="O396" s="2">
        <v>0.0</v>
      </c>
      <c r="P396" s="2">
        <f t="shared" si="1"/>
        <v>0</v>
      </c>
      <c r="Q396" s="1"/>
      <c r="R396" s="1"/>
      <c r="S396" s="1"/>
      <c r="T396" s="1"/>
      <c r="U396" s="1"/>
      <c r="V396" s="6"/>
      <c r="W396" s="6"/>
    </row>
    <row r="397" ht="15.75" customHeight="1">
      <c r="A397" s="9" t="s">
        <v>29</v>
      </c>
      <c r="B397" s="10">
        <v>2025.0</v>
      </c>
      <c r="C397" s="14" t="s">
        <v>206</v>
      </c>
      <c r="D397" s="1" t="s">
        <v>451</v>
      </c>
      <c r="E397" s="2">
        <v>1960081.0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f t="shared" si="1"/>
        <v>1960081</v>
      </c>
      <c r="Q397" s="1"/>
      <c r="R397" s="1"/>
      <c r="S397" s="1"/>
      <c r="T397" s="1"/>
      <c r="U397" s="1"/>
      <c r="V397" s="6"/>
      <c r="W397" s="6"/>
    </row>
    <row r="398" ht="15.75" customHeight="1">
      <c r="A398" s="9" t="s">
        <v>29</v>
      </c>
      <c r="B398" s="10">
        <v>2025.0</v>
      </c>
      <c r="C398" s="14" t="s">
        <v>206</v>
      </c>
      <c r="D398" s="1" t="s">
        <v>452</v>
      </c>
      <c r="E398" s="2">
        <v>1526256.0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f t="shared" si="1"/>
        <v>1526256</v>
      </c>
      <c r="Q398" s="1"/>
      <c r="R398" s="1"/>
      <c r="S398" s="1"/>
      <c r="T398" s="1"/>
      <c r="U398" s="1"/>
      <c r="V398" s="6"/>
      <c r="W398" s="6"/>
    </row>
    <row r="399" ht="15.75" customHeight="1">
      <c r="A399" s="9" t="s">
        <v>29</v>
      </c>
      <c r="B399" s="10">
        <v>2025.0</v>
      </c>
      <c r="C399" s="14" t="s">
        <v>206</v>
      </c>
      <c r="D399" s="1" t="s">
        <v>453</v>
      </c>
      <c r="E399" s="2">
        <v>1696258.0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f t="shared" si="1"/>
        <v>1696258</v>
      </c>
      <c r="Q399" s="1"/>
      <c r="R399" s="1"/>
      <c r="S399" s="1"/>
      <c r="T399" s="1"/>
      <c r="U399" s="1"/>
      <c r="V399" s="6"/>
      <c r="W399" s="6"/>
    </row>
    <row r="400" ht="15.75" customHeight="1">
      <c r="A400" s="9" t="s">
        <v>29</v>
      </c>
      <c r="B400" s="10">
        <v>2025.0</v>
      </c>
      <c r="C400" s="14" t="s">
        <v>220</v>
      </c>
      <c r="D400" s="1" t="s">
        <v>454</v>
      </c>
      <c r="E400" s="2">
        <v>1648200.0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1648200.0</v>
      </c>
      <c r="O400" s="2">
        <v>0.0</v>
      </c>
      <c r="P400" s="2">
        <f t="shared" si="1"/>
        <v>0</v>
      </c>
      <c r="Q400" s="1"/>
      <c r="R400" s="1"/>
      <c r="S400" s="1"/>
      <c r="T400" s="1"/>
      <c r="U400" s="1"/>
      <c r="V400" s="6"/>
      <c r="W400" s="6"/>
    </row>
    <row r="401" ht="15.75" customHeight="1">
      <c r="A401" s="9" t="s">
        <v>29</v>
      </c>
      <c r="B401" s="10">
        <v>2025.0</v>
      </c>
      <c r="C401" s="14" t="s">
        <v>220</v>
      </c>
      <c r="D401" s="1" t="s">
        <v>455</v>
      </c>
      <c r="E401" s="2">
        <v>977300.0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977300.0</v>
      </c>
      <c r="O401" s="2">
        <v>0.0</v>
      </c>
      <c r="P401" s="2">
        <f t="shared" si="1"/>
        <v>0</v>
      </c>
      <c r="Q401" s="1"/>
      <c r="R401" s="1"/>
      <c r="S401" s="1"/>
      <c r="T401" s="1"/>
      <c r="U401" s="1"/>
      <c r="V401" s="6"/>
      <c r="W401" s="6"/>
    </row>
    <row r="402" ht="15.75" customHeight="1">
      <c r="A402" s="9" t="s">
        <v>29</v>
      </c>
      <c r="B402" s="10">
        <v>2025.0</v>
      </c>
      <c r="C402" s="14" t="s">
        <v>220</v>
      </c>
      <c r="D402" s="1" t="s">
        <v>456</v>
      </c>
      <c r="E402" s="2">
        <v>1441700.0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1441700.0</v>
      </c>
      <c r="O402" s="2">
        <v>0.0</v>
      </c>
      <c r="P402" s="2">
        <f t="shared" si="1"/>
        <v>0</v>
      </c>
      <c r="Q402" s="1"/>
      <c r="R402" s="1"/>
      <c r="S402" s="1"/>
      <c r="T402" s="1"/>
      <c r="U402" s="1"/>
      <c r="V402" s="6"/>
      <c r="W402" s="6"/>
    </row>
    <row r="403" ht="15.75" customHeight="1">
      <c r="A403" s="9" t="s">
        <v>29</v>
      </c>
      <c r="B403" s="10">
        <v>2025.0</v>
      </c>
      <c r="C403" s="14" t="s">
        <v>220</v>
      </c>
      <c r="D403" s="1" t="s">
        <v>457</v>
      </c>
      <c r="E403" s="2">
        <v>1441700.0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1441700.0</v>
      </c>
      <c r="O403" s="2">
        <v>0.0</v>
      </c>
      <c r="P403" s="2">
        <f t="shared" si="1"/>
        <v>0</v>
      </c>
      <c r="Q403" s="1"/>
      <c r="R403" s="1"/>
      <c r="S403" s="1"/>
      <c r="T403" s="1"/>
      <c r="U403" s="1"/>
      <c r="V403" s="6"/>
      <c r="W403" s="6"/>
    </row>
    <row r="404" ht="15.75" customHeight="1">
      <c r="A404" s="9" t="s">
        <v>29</v>
      </c>
      <c r="B404" s="10">
        <v>2025.0</v>
      </c>
      <c r="C404" s="14" t="s">
        <v>220</v>
      </c>
      <c r="D404" s="1" t="s">
        <v>458</v>
      </c>
      <c r="E404" s="2">
        <v>1175200.0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1175200.0</v>
      </c>
      <c r="O404" s="2">
        <v>0.0</v>
      </c>
      <c r="P404" s="2">
        <f t="shared" si="1"/>
        <v>0</v>
      </c>
      <c r="Q404" s="1"/>
      <c r="R404" s="1"/>
      <c r="S404" s="1"/>
      <c r="T404" s="1"/>
      <c r="U404" s="1"/>
      <c r="V404" s="6"/>
      <c r="W404" s="6"/>
    </row>
    <row r="405" ht="15.75" customHeight="1">
      <c r="A405" s="9" t="s">
        <v>29</v>
      </c>
      <c r="B405" s="10">
        <v>2025.0</v>
      </c>
      <c r="C405" s="14" t="s">
        <v>220</v>
      </c>
      <c r="D405" s="1" t="s">
        <v>459</v>
      </c>
      <c r="E405" s="2">
        <v>995150.0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995150.0</v>
      </c>
      <c r="O405" s="2">
        <v>0.0</v>
      </c>
      <c r="P405" s="2">
        <f t="shared" si="1"/>
        <v>0</v>
      </c>
      <c r="Q405" s="1"/>
      <c r="R405" s="1"/>
      <c r="S405" s="1"/>
      <c r="T405" s="1"/>
      <c r="U405" s="1"/>
      <c r="V405" s="6"/>
      <c r="W405" s="6"/>
    </row>
    <row r="406" ht="15.75" customHeight="1">
      <c r="A406" s="9" t="s">
        <v>29</v>
      </c>
      <c r="B406" s="10">
        <v>2025.0</v>
      </c>
      <c r="C406" s="14" t="s">
        <v>47</v>
      </c>
      <c r="D406" s="1" t="s">
        <v>460</v>
      </c>
      <c r="E406" s="2">
        <v>3056400.0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3056400.0</v>
      </c>
      <c r="O406" s="2">
        <v>0.0</v>
      </c>
      <c r="P406" s="2">
        <f t="shared" si="1"/>
        <v>0</v>
      </c>
      <c r="Q406" s="1"/>
      <c r="R406" s="1"/>
      <c r="S406" s="1"/>
      <c r="T406" s="1"/>
      <c r="U406" s="1"/>
      <c r="V406" s="6"/>
      <c r="W406" s="6"/>
    </row>
    <row r="407" ht="15.75" customHeight="1">
      <c r="A407" s="9" t="s">
        <v>29</v>
      </c>
      <c r="B407" s="10">
        <v>2025.0</v>
      </c>
      <c r="C407" s="14" t="s">
        <v>208</v>
      </c>
      <c r="D407" s="1" t="s">
        <v>461</v>
      </c>
      <c r="E407" s="2">
        <v>1308000.0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1308000.0</v>
      </c>
      <c r="O407" s="2">
        <v>0.0</v>
      </c>
      <c r="P407" s="2">
        <f t="shared" si="1"/>
        <v>0</v>
      </c>
      <c r="Q407" s="1"/>
      <c r="R407" s="1"/>
      <c r="S407" s="1"/>
      <c r="T407" s="1"/>
      <c r="U407" s="1"/>
      <c r="V407" s="6"/>
      <c r="W407" s="6"/>
    </row>
    <row r="408" ht="15.75" customHeight="1">
      <c r="A408" s="9" t="s">
        <v>29</v>
      </c>
      <c r="B408" s="10">
        <v>2025.0</v>
      </c>
      <c r="C408" s="14" t="s">
        <v>212</v>
      </c>
      <c r="D408" s="1" t="s">
        <v>462</v>
      </c>
      <c r="E408" s="2">
        <v>1567500.0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1567500.0</v>
      </c>
      <c r="O408" s="2">
        <v>0.0</v>
      </c>
      <c r="P408" s="2">
        <f t="shared" si="1"/>
        <v>0</v>
      </c>
      <c r="Q408" s="1"/>
      <c r="R408" s="1"/>
      <c r="S408" s="1"/>
      <c r="T408" s="1"/>
      <c r="U408" s="1"/>
      <c r="V408" s="6"/>
      <c r="W408" s="6"/>
    </row>
    <row r="409" ht="15.75" customHeight="1">
      <c r="A409" s="9" t="s">
        <v>29</v>
      </c>
      <c r="B409" s="10">
        <v>2025.0</v>
      </c>
      <c r="C409" s="14" t="s">
        <v>47</v>
      </c>
      <c r="D409" s="1" t="s">
        <v>463</v>
      </c>
      <c r="E409" s="2">
        <v>1567500.0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1567500.0</v>
      </c>
      <c r="O409" s="2">
        <v>0.0</v>
      </c>
      <c r="P409" s="2">
        <f t="shared" si="1"/>
        <v>0</v>
      </c>
      <c r="Q409" s="1"/>
      <c r="R409" s="1"/>
      <c r="S409" s="1"/>
      <c r="T409" s="1"/>
      <c r="U409" s="1"/>
      <c r="V409" s="6"/>
      <c r="W409" s="6"/>
    </row>
    <row r="410" ht="15.75" customHeight="1">
      <c r="A410" s="9" t="s">
        <v>29</v>
      </c>
      <c r="B410" s="10">
        <v>2025.0</v>
      </c>
      <c r="C410" s="14" t="s">
        <v>47</v>
      </c>
      <c r="D410" s="1" t="s">
        <v>464</v>
      </c>
      <c r="E410" s="2">
        <v>1478080.0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1478080.0</v>
      </c>
      <c r="O410" s="2">
        <v>0.0</v>
      </c>
      <c r="P410" s="2">
        <f t="shared" si="1"/>
        <v>0</v>
      </c>
      <c r="Q410" s="1"/>
      <c r="R410" s="1"/>
      <c r="S410" s="1"/>
      <c r="T410" s="1"/>
      <c r="U410" s="1"/>
      <c r="V410" s="6"/>
      <c r="W410" s="6"/>
    </row>
    <row r="411" ht="15.75" customHeight="1">
      <c r="A411" s="9" t="s">
        <v>29</v>
      </c>
      <c r="B411" s="10">
        <v>2025.0</v>
      </c>
      <c r="C411" s="14" t="s">
        <v>212</v>
      </c>
      <c r="D411" s="1" t="s">
        <v>465</v>
      </c>
      <c r="E411" s="2">
        <v>1310203.0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1310203.0</v>
      </c>
      <c r="O411" s="2">
        <v>0.0</v>
      </c>
      <c r="P411" s="2">
        <f t="shared" si="1"/>
        <v>0</v>
      </c>
      <c r="Q411" s="1"/>
      <c r="R411" s="1"/>
      <c r="S411" s="1"/>
      <c r="T411" s="1"/>
      <c r="U411" s="1"/>
      <c r="V411" s="6"/>
      <c r="W411" s="6"/>
    </row>
    <row r="412" ht="15.75" customHeight="1">
      <c r="A412" s="9" t="s">
        <v>29</v>
      </c>
      <c r="B412" s="10">
        <v>2025.0</v>
      </c>
      <c r="C412" s="14" t="s">
        <v>212</v>
      </c>
      <c r="D412" s="1" t="s">
        <v>465</v>
      </c>
      <c r="E412" s="2">
        <v>2607260.0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2607260.0</v>
      </c>
      <c r="O412" s="2">
        <v>0.0</v>
      </c>
      <c r="P412" s="2">
        <f t="shared" si="1"/>
        <v>0</v>
      </c>
      <c r="Q412" s="1"/>
      <c r="R412" s="1"/>
      <c r="S412" s="1"/>
      <c r="T412" s="1"/>
      <c r="U412" s="1"/>
      <c r="V412" s="6"/>
      <c r="W412" s="6"/>
    </row>
    <row r="413" ht="15.75" customHeight="1">
      <c r="A413" s="9" t="s">
        <v>29</v>
      </c>
      <c r="B413" s="10">
        <v>2025.0</v>
      </c>
      <c r="C413" s="14" t="s">
        <v>212</v>
      </c>
      <c r="D413" s="1" t="s">
        <v>465</v>
      </c>
      <c r="E413" s="2">
        <v>2800654.0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2800654.0</v>
      </c>
      <c r="O413" s="2">
        <v>0.0</v>
      </c>
      <c r="P413" s="2">
        <f t="shared" si="1"/>
        <v>0</v>
      </c>
      <c r="Q413" s="1"/>
      <c r="R413" s="1"/>
      <c r="S413" s="1"/>
      <c r="T413" s="1"/>
      <c r="U413" s="1"/>
      <c r="V413" s="6"/>
      <c r="W413" s="6"/>
    </row>
    <row r="414" ht="15.75" customHeight="1">
      <c r="A414" s="9" t="s">
        <v>29</v>
      </c>
      <c r="B414" s="10">
        <v>2025.0</v>
      </c>
      <c r="C414" s="14" t="s">
        <v>466</v>
      </c>
      <c r="D414" s="1" t="s">
        <v>467</v>
      </c>
      <c r="E414" s="2">
        <v>1356600.0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1356600.0</v>
      </c>
      <c r="O414" s="2">
        <v>0.0</v>
      </c>
      <c r="P414" s="2">
        <f t="shared" si="1"/>
        <v>0</v>
      </c>
      <c r="Q414" s="1"/>
      <c r="R414" s="1"/>
      <c r="S414" s="1"/>
      <c r="T414" s="1"/>
      <c r="U414" s="1"/>
      <c r="V414" s="6"/>
      <c r="W414" s="6"/>
    </row>
    <row r="415" ht="15.75" customHeight="1">
      <c r="A415" s="9" t="s">
        <v>29</v>
      </c>
      <c r="B415" s="10">
        <v>2025.0</v>
      </c>
      <c r="C415" s="14" t="s">
        <v>47</v>
      </c>
      <c r="D415" s="1" t="s">
        <v>468</v>
      </c>
      <c r="E415" s="2">
        <v>1719998.0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1719998.0</v>
      </c>
      <c r="O415" s="2">
        <v>0.0</v>
      </c>
      <c r="P415" s="2">
        <f t="shared" si="1"/>
        <v>0</v>
      </c>
      <c r="Q415" s="1"/>
      <c r="R415" s="1"/>
      <c r="S415" s="1"/>
      <c r="T415" s="1"/>
      <c r="U415" s="1"/>
      <c r="V415" s="6"/>
      <c r="W415" s="6"/>
    </row>
    <row r="416" ht="15.75" customHeight="1">
      <c r="A416" s="9" t="s">
        <v>29</v>
      </c>
      <c r="B416" s="10">
        <v>2025.0</v>
      </c>
      <c r="C416" s="14" t="s">
        <v>47</v>
      </c>
      <c r="D416" s="1" t="s">
        <v>469</v>
      </c>
      <c r="E416" s="2">
        <v>1488000.0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1488000.0</v>
      </c>
      <c r="O416" s="2">
        <v>0.0</v>
      </c>
      <c r="P416" s="2">
        <f t="shared" si="1"/>
        <v>0</v>
      </c>
      <c r="Q416" s="1"/>
      <c r="R416" s="1"/>
      <c r="S416" s="1"/>
      <c r="T416" s="1"/>
      <c r="U416" s="1"/>
      <c r="V416" s="6"/>
      <c r="W416" s="6"/>
    </row>
    <row r="417" ht="15.75" customHeight="1">
      <c r="A417" s="9" t="s">
        <v>29</v>
      </c>
      <c r="B417" s="10">
        <v>2025.0</v>
      </c>
      <c r="C417" s="14" t="s">
        <v>47</v>
      </c>
      <c r="D417" s="1" t="s">
        <v>470</v>
      </c>
      <c r="E417" s="2">
        <v>770400.0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770400.0</v>
      </c>
      <c r="O417" s="2">
        <v>0.0</v>
      </c>
      <c r="P417" s="2">
        <f t="shared" si="1"/>
        <v>0</v>
      </c>
      <c r="Q417" s="1"/>
      <c r="R417" s="1"/>
      <c r="S417" s="1"/>
      <c r="T417" s="1"/>
      <c r="U417" s="1"/>
      <c r="V417" s="6"/>
      <c r="W417" s="6"/>
    </row>
    <row r="418" ht="15.75" customHeight="1">
      <c r="A418" s="9" t="s">
        <v>29</v>
      </c>
      <c r="B418" s="10">
        <v>2025.0</v>
      </c>
      <c r="C418" s="14" t="s">
        <v>47</v>
      </c>
      <c r="D418" s="1" t="s">
        <v>471</v>
      </c>
      <c r="E418" s="2">
        <v>911842.0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911842.0</v>
      </c>
      <c r="O418" s="2">
        <v>0.0</v>
      </c>
      <c r="P418" s="2">
        <f t="shared" si="1"/>
        <v>0</v>
      </c>
      <c r="Q418" s="1"/>
      <c r="R418" s="1"/>
      <c r="S418" s="1"/>
      <c r="T418" s="1"/>
      <c r="U418" s="1"/>
      <c r="V418" s="6"/>
      <c r="W418" s="6"/>
    </row>
    <row r="419" ht="15.75" customHeight="1">
      <c r="A419" s="9" t="s">
        <v>29</v>
      </c>
      <c r="B419" s="10">
        <v>2025.0</v>
      </c>
      <c r="C419" s="14" t="s">
        <v>92</v>
      </c>
      <c r="D419" s="1" t="s">
        <v>472</v>
      </c>
      <c r="E419" s="2">
        <v>-1105829.0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f t="shared" si="1"/>
        <v>-1105829</v>
      </c>
      <c r="Q419" s="1"/>
      <c r="R419" s="1"/>
      <c r="S419" s="1"/>
      <c r="T419" s="1"/>
      <c r="U419" s="1"/>
      <c r="V419" s="6"/>
      <c r="W419" s="6"/>
    </row>
    <row r="420" ht="15.75" customHeight="1">
      <c r="A420" s="9" t="s">
        <v>29</v>
      </c>
      <c r="B420" s="10">
        <v>2025.0</v>
      </c>
      <c r="C420" s="14" t="s">
        <v>47</v>
      </c>
      <c r="D420" s="1" t="s">
        <v>473</v>
      </c>
      <c r="E420" s="2">
        <v>1472434.0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1472434.0</v>
      </c>
      <c r="O420" s="2">
        <v>0.0</v>
      </c>
      <c r="P420" s="2">
        <f t="shared" si="1"/>
        <v>0</v>
      </c>
      <c r="Q420" s="1"/>
      <c r="R420" s="1"/>
      <c r="S420" s="1"/>
      <c r="T420" s="1"/>
      <c r="U420" s="1"/>
      <c r="V420" s="6"/>
      <c r="W420" s="6"/>
    </row>
    <row r="421" ht="15.75" customHeight="1">
      <c r="A421" s="9" t="s">
        <v>29</v>
      </c>
      <c r="B421" s="10">
        <v>2025.0</v>
      </c>
      <c r="C421" s="14" t="s">
        <v>38</v>
      </c>
      <c r="D421" s="1" t="s">
        <v>474</v>
      </c>
      <c r="E421" s="2">
        <v>908800.0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908800.0</v>
      </c>
      <c r="O421" s="2">
        <v>0.0</v>
      </c>
      <c r="P421" s="2">
        <f t="shared" si="1"/>
        <v>0</v>
      </c>
      <c r="Q421" s="1"/>
      <c r="R421" s="1"/>
      <c r="S421" s="1"/>
      <c r="T421" s="1"/>
      <c r="U421" s="1"/>
      <c r="V421" s="6"/>
      <c r="W421" s="6"/>
    </row>
    <row r="422" ht="15.75" customHeight="1">
      <c r="A422" s="9" t="s">
        <v>29</v>
      </c>
      <c r="B422" s="10">
        <v>2025.0</v>
      </c>
      <c r="C422" s="14" t="s">
        <v>38</v>
      </c>
      <c r="D422" s="1" t="s">
        <v>475</v>
      </c>
      <c r="E422" s="2">
        <v>2.2102E7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2.2102E7</v>
      </c>
      <c r="O422" s="2">
        <v>0.0</v>
      </c>
      <c r="P422" s="2">
        <f t="shared" si="1"/>
        <v>0</v>
      </c>
      <c r="Q422" s="1"/>
      <c r="R422" s="1"/>
      <c r="S422" s="1"/>
      <c r="T422" s="1"/>
      <c r="U422" s="1"/>
      <c r="V422" s="6"/>
      <c r="W422" s="6"/>
    </row>
    <row r="423" ht="15.75" customHeight="1">
      <c r="A423" s="9" t="s">
        <v>29</v>
      </c>
      <c r="B423" s="10">
        <v>2025.0</v>
      </c>
      <c r="C423" s="14" t="s">
        <v>38</v>
      </c>
      <c r="D423" s="1" t="s">
        <v>476</v>
      </c>
      <c r="E423" s="2">
        <v>65500.0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65500.0</v>
      </c>
      <c r="O423" s="2">
        <v>0.0</v>
      </c>
      <c r="P423" s="2">
        <f t="shared" si="1"/>
        <v>0</v>
      </c>
      <c r="Q423" s="1"/>
      <c r="R423" s="1"/>
      <c r="S423" s="1"/>
      <c r="T423" s="1"/>
      <c r="U423" s="1"/>
      <c r="V423" s="6"/>
      <c r="W423" s="6"/>
    </row>
    <row r="424" ht="15.75" customHeight="1">
      <c r="A424" s="9" t="s">
        <v>29</v>
      </c>
      <c r="B424" s="10">
        <v>2025.0</v>
      </c>
      <c r="C424" s="14" t="s">
        <v>38</v>
      </c>
      <c r="D424" s="1" t="s">
        <v>477</v>
      </c>
      <c r="E424" s="2">
        <v>484014.0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484014.0</v>
      </c>
      <c r="O424" s="2">
        <v>0.0</v>
      </c>
      <c r="P424" s="2">
        <f t="shared" si="1"/>
        <v>0</v>
      </c>
      <c r="Q424" s="1"/>
      <c r="R424" s="1"/>
      <c r="S424" s="1"/>
      <c r="T424" s="1"/>
      <c r="U424" s="1"/>
      <c r="V424" s="6"/>
      <c r="W424" s="6"/>
    </row>
    <row r="425" ht="15.75" customHeight="1">
      <c r="A425" s="9" t="s">
        <v>29</v>
      </c>
      <c r="B425" s="10">
        <v>2025.0</v>
      </c>
      <c r="C425" s="14" t="s">
        <v>47</v>
      </c>
      <c r="D425" s="1" t="s">
        <v>478</v>
      </c>
      <c r="E425" s="2">
        <v>3127288.0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3127288.0</v>
      </c>
      <c r="O425" s="2">
        <v>0.0</v>
      </c>
      <c r="P425" s="2">
        <f t="shared" si="1"/>
        <v>0</v>
      </c>
      <c r="Q425" s="1"/>
      <c r="R425" s="1"/>
      <c r="S425" s="1"/>
      <c r="T425" s="1"/>
      <c r="U425" s="1"/>
      <c r="V425" s="6"/>
      <c r="W425" s="6"/>
    </row>
    <row r="426" ht="15.75" customHeight="1">
      <c r="A426" s="9" t="s">
        <v>29</v>
      </c>
      <c r="B426" s="10">
        <v>2025.0</v>
      </c>
      <c r="C426" s="14" t="s">
        <v>38</v>
      </c>
      <c r="D426" s="1" t="s">
        <v>479</v>
      </c>
      <c r="E426" s="2">
        <v>241700.0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241700.0</v>
      </c>
      <c r="O426" s="2">
        <v>0.0</v>
      </c>
      <c r="P426" s="2">
        <f t="shared" si="1"/>
        <v>0</v>
      </c>
      <c r="Q426" s="1"/>
      <c r="R426" s="1"/>
      <c r="S426" s="1"/>
      <c r="T426" s="1"/>
      <c r="U426" s="1"/>
      <c r="V426" s="6"/>
      <c r="W426" s="6"/>
    </row>
    <row r="427" ht="15.75" customHeight="1">
      <c r="A427" s="9" t="s">
        <v>29</v>
      </c>
      <c r="B427" s="10">
        <v>2025.0</v>
      </c>
      <c r="C427" s="14" t="s">
        <v>38</v>
      </c>
      <c r="D427" s="1" t="s">
        <v>480</v>
      </c>
      <c r="E427" s="2">
        <v>489000.0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489000.0</v>
      </c>
      <c r="O427" s="2">
        <v>0.0</v>
      </c>
      <c r="P427" s="2">
        <f t="shared" si="1"/>
        <v>0</v>
      </c>
      <c r="Q427" s="1"/>
      <c r="R427" s="1"/>
      <c r="S427" s="1"/>
      <c r="T427" s="1"/>
      <c r="U427" s="1"/>
      <c r="V427" s="6"/>
      <c r="W427" s="6"/>
    </row>
    <row r="428" ht="15.75" customHeight="1">
      <c r="A428" s="9" t="s">
        <v>29</v>
      </c>
      <c r="B428" s="10">
        <v>2025.0</v>
      </c>
      <c r="C428" s="14" t="s">
        <v>38</v>
      </c>
      <c r="D428" s="1" t="s">
        <v>481</v>
      </c>
      <c r="E428" s="2">
        <v>35000.0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35000.0</v>
      </c>
      <c r="O428" s="2">
        <v>0.0</v>
      </c>
      <c r="P428" s="2">
        <f t="shared" si="1"/>
        <v>0</v>
      </c>
      <c r="Q428" s="1"/>
      <c r="R428" s="1"/>
      <c r="S428" s="1"/>
      <c r="T428" s="1"/>
      <c r="U428" s="1"/>
      <c r="V428" s="6"/>
      <c r="W428" s="6"/>
    </row>
    <row r="429" ht="15.75" customHeight="1">
      <c r="A429" s="9" t="s">
        <v>29</v>
      </c>
      <c r="B429" s="10">
        <v>2025.0</v>
      </c>
      <c r="C429" s="14" t="s">
        <v>90</v>
      </c>
      <c r="D429" s="1" t="s">
        <v>482</v>
      </c>
      <c r="E429" s="2">
        <v>607133.0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607133.0</v>
      </c>
      <c r="O429" s="2">
        <v>0.0</v>
      </c>
      <c r="P429" s="2">
        <f t="shared" si="1"/>
        <v>0</v>
      </c>
      <c r="Q429" s="1"/>
      <c r="R429" s="1"/>
      <c r="S429" s="1"/>
      <c r="T429" s="1"/>
      <c r="U429" s="1"/>
      <c r="V429" s="6"/>
      <c r="W429" s="6"/>
    </row>
    <row r="430" ht="15.75" customHeight="1">
      <c r="A430" s="9" t="s">
        <v>29</v>
      </c>
      <c r="B430" s="10">
        <v>2025.0</v>
      </c>
      <c r="C430" s="14" t="s">
        <v>47</v>
      </c>
      <c r="D430" s="1" t="s">
        <v>483</v>
      </c>
      <c r="E430" s="2">
        <v>1449964.0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1449964.0</v>
      </c>
      <c r="O430" s="2">
        <v>0.0</v>
      </c>
      <c r="P430" s="2">
        <f t="shared" si="1"/>
        <v>0</v>
      </c>
      <c r="Q430" s="1"/>
      <c r="R430" s="1"/>
      <c r="S430" s="1"/>
      <c r="T430" s="1"/>
      <c r="U430" s="1"/>
      <c r="V430" s="6"/>
      <c r="W430" s="6"/>
    </row>
    <row r="431" ht="15.75" customHeight="1">
      <c r="A431" s="9" t="s">
        <v>29</v>
      </c>
      <c r="B431" s="10">
        <v>2025.0</v>
      </c>
      <c r="C431" s="14" t="s">
        <v>85</v>
      </c>
      <c r="D431" s="1" t="s">
        <v>484</v>
      </c>
      <c r="E431" s="2">
        <v>504960.0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504960.0</v>
      </c>
      <c r="O431" s="2">
        <v>0.0</v>
      </c>
      <c r="P431" s="2">
        <f t="shared" si="1"/>
        <v>0</v>
      </c>
      <c r="Q431" s="1"/>
      <c r="R431" s="1"/>
      <c r="S431" s="1"/>
      <c r="T431" s="1"/>
      <c r="U431" s="1"/>
      <c r="V431" s="6"/>
      <c r="W431" s="6"/>
    </row>
    <row r="432" ht="15.75" customHeight="1">
      <c r="A432" s="9" t="s">
        <v>29</v>
      </c>
      <c r="B432" s="10">
        <v>2025.0</v>
      </c>
      <c r="C432" s="14" t="s">
        <v>90</v>
      </c>
      <c r="D432" s="1" t="s">
        <v>485</v>
      </c>
      <c r="E432" s="2">
        <v>828830.0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828830.0</v>
      </c>
      <c r="O432" s="2">
        <v>0.0</v>
      </c>
      <c r="P432" s="2">
        <f t="shared" si="1"/>
        <v>0</v>
      </c>
      <c r="Q432" s="1"/>
      <c r="R432" s="1"/>
      <c r="S432" s="1"/>
      <c r="T432" s="1"/>
      <c r="U432" s="1"/>
      <c r="V432" s="6"/>
      <c r="W432" s="6"/>
    </row>
    <row r="433" ht="15.75" customHeight="1">
      <c r="A433" s="9" t="s">
        <v>29</v>
      </c>
      <c r="B433" s="10">
        <v>2025.0</v>
      </c>
      <c r="C433" s="14" t="s">
        <v>90</v>
      </c>
      <c r="D433" s="1" t="s">
        <v>486</v>
      </c>
      <c r="E433" s="2">
        <v>828830.0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828830.0</v>
      </c>
      <c r="O433" s="2">
        <v>0.0</v>
      </c>
      <c r="P433" s="2">
        <f t="shared" si="1"/>
        <v>0</v>
      </c>
      <c r="Q433" s="1"/>
      <c r="R433" s="1"/>
      <c r="S433" s="1"/>
      <c r="T433" s="1"/>
      <c r="U433" s="1"/>
      <c r="V433" s="6"/>
      <c r="W433" s="6"/>
    </row>
    <row r="434" ht="15.75" customHeight="1">
      <c r="A434" s="9" t="s">
        <v>29</v>
      </c>
      <c r="B434" s="10">
        <v>2025.0</v>
      </c>
      <c r="C434" s="14" t="s">
        <v>90</v>
      </c>
      <c r="D434" s="1" t="s">
        <v>487</v>
      </c>
      <c r="E434" s="2">
        <v>922432.0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922432.0</v>
      </c>
      <c r="O434" s="2">
        <v>0.0</v>
      </c>
      <c r="P434" s="2">
        <f t="shared" si="1"/>
        <v>0</v>
      </c>
      <c r="Q434" s="1"/>
      <c r="R434" s="1"/>
      <c r="S434" s="1"/>
      <c r="T434" s="1"/>
      <c r="U434" s="1"/>
      <c r="V434" s="6"/>
      <c r="W434" s="6"/>
    </row>
    <row r="435" ht="15.75" customHeight="1">
      <c r="A435" s="9" t="s">
        <v>29</v>
      </c>
      <c r="B435" s="10">
        <v>2025.0</v>
      </c>
      <c r="C435" s="14" t="s">
        <v>261</v>
      </c>
      <c r="D435" s="1" t="s">
        <v>488</v>
      </c>
      <c r="E435" s="2">
        <v>1980000.0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f t="shared" si="1"/>
        <v>1980000</v>
      </c>
      <c r="Q435" s="1"/>
      <c r="R435" s="1"/>
      <c r="S435" s="1"/>
      <c r="T435" s="1"/>
      <c r="U435" s="1"/>
      <c r="V435" s="6"/>
      <c r="W435" s="6"/>
    </row>
    <row r="436" ht="15.75" customHeight="1">
      <c r="A436" s="9" t="s">
        <v>29</v>
      </c>
      <c r="B436" s="10">
        <v>2025.0</v>
      </c>
      <c r="C436" s="14" t="s">
        <v>261</v>
      </c>
      <c r="D436" s="1" t="s">
        <v>489</v>
      </c>
      <c r="E436" s="2">
        <v>1919000.0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f t="shared" si="1"/>
        <v>1919000</v>
      </c>
      <c r="Q436" s="1"/>
      <c r="R436" s="1"/>
      <c r="S436" s="1"/>
      <c r="T436" s="1"/>
      <c r="U436" s="1"/>
      <c r="V436" s="6"/>
      <c r="W436" s="6"/>
    </row>
    <row r="437" ht="15.75" customHeight="1">
      <c r="A437" s="9" t="s">
        <v>29</v>
      </c>
      <c r="B437" s="10">
        <v>2025.0</v>
      </c>
      <c r="C437" s="14" t="s">
        <v>261</v>
      </c>
      <c r="D437" s="1" t="s">
        <v>490</v>
      </c>
      <c r="E437" s="2">
        <v>1919000.0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f t="shared" si="1"/>
        <v>1919000</v>
      </c>
      <c r="Q437" s="1"/>
      <c r="R437" s="1"/>
      <c r="S437" s="1"/>
      <c r="T437" s="1"/>
      <c r="U437" s="1"/>
      <c r="V437" s="6"/>
      <c r="W437" s="6"/>
    </row>
    <row r="438" ht="15.75" customHeight="1">
      <c r="A438" s="9" t="s">
        <v>29</v>
      </c>
      <c r="B438" s="10">
        <v>2025.0</v>
      </c>
      <c r="C438" s="14" t="s">
        <v>90</v>
      </c>
      <c r="D438" s="1" t="s">
        <v>491</v>
      </c>
      <c r="E438" s="2">
        <v>-215397.0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-215397.0</v>
      </c>
      <c r="O438" s="2">
        <v>0.0</v>
      </c>
      <c r="P438" s="2">
        <f t="shared" si="1"/>
        <v>0</v>
      </c>
      <c r="Q438" s="1"/>
      <c r="R438" s="1"/>
      <c r="S438" s="1"/>
      <c r="T438" s="1"/>
      <c r="U438" s="1"/>
      <c r="V438" s="6"/>
      <c r="W438" s="6"/>
    </row>
    <row r="439" ht="15.75" customHeight="1">
      <c r="A439" s="9" t="s">
        <v>29</v>
      </c>
      <c r="B439" s="10">
        <v>2025.0</v>
      </c>
      <c r="C439" s="14" t="s">
        <v>261</v>
      </c>
      <c r="D439" s="1" t="s">
        <v>492</v>
      </c>
      <c r="E439" s="2">
        <v>632538.0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f t="shared" si="1"/>
        <v>632538</v>
      </c>
      <c r="Q439" s="1"/>
      <c r="R439" s="1"/>
      <c r="S439" s="1"/>
      <c r="T439" s="1"/>
      <c r="U439" s="1"/>
      <c r="V439" s="6"/>
      <c r="W439" s="6"/>
    </row>
    <row r="440" ht="15.75" customHeight="1">
      <c r="A440" s="9" t="s">
        <v>29</v>
      </c>
      <c r="B440" s="10">
        <v>2025.0</v>
      </c>
      <c r="C440" s="14" t="s">
        <v>261</v>
      </c>
      <c r="D440" s="1" t="s">
        <v>493</v>
      </c>
      <c r="E440" s="2">
        <v>859008.0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f t="shared" si="1"/>
        <v>859008</v>
      </c>
      <c r="Q440" s="1"/>
      <c r="R440" s="1"/>
      <c r="S440" s="1"/>
      <c r="T440" s="1"/>
      <c r="U440" s="1"/>
      <c r="V440" s="6"/>
      <c r="W440" s="6"/>
    </row>
    <row r="441" ht="15.75" customHeight="1">
      <c r="A441" s="9" t="s">
        <v>29</v>
      </c>
      <c r="B441" s="10">
        <v>2025.0</v>
      </c>
      <c r="C441" s="14" t="s">
        <v>275</v>
      </c>
      <c r="D441" s="1" t="s">
        <v>494</v>
      </c>
      <c r="E441" s="2">
        <v>1966931.0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f t="shared" si="1"/>
        <v>1966931</v>
      </c>
      <c r="Q441" s="1"/>
      <c r="R441" s="1"/>
      <c r="S441" s="1"/>
      <c r="T441" s="1"/>
      <c r="U441" s="1"/>
      <c r="V441" s="6"/>
      <c r="W441" s="6"/>
    </row>
    <row r="442" ht="15.75" customHeight="1">
      <c r="A442" s="9" t="s">
        <v>29</v>
      </c>
      <c r="B442" s="10">
        <v>2025.0</v>
      </c>
      <c r="C442" s="14" t="s">
        <v>275</v>
      </c>
      <c r="D442" s="1" t="s">
        <v>495</v>
      </c>
      <c r="E442" s="2">
        <v>2174850.0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f t="shared" si="1"/>
        <v>2174850</v>
      </c>
      <c r="Q442" s="1"/>
      <c r="R442" s="1"/>
      <c r="S442" s="1"/>
      <c r="T442" s="1"/>
      <c r="U442" s="1"/>
      <c r="V442" s="6"/>
      <c r="W442" s="6"/>
    </row>
    <row r="443" ht="15.75" customHeight="1">
      <c r="A443" s="9" t="s">
        <v>29</v>
      </c>
      <c r="B443" s="10">
        <v>2025.0</v>
      </c>
      <c r="C443" s="14" t="s">
        <v>92</v>
      </c>
      <c r="D443" s="1" t="s">
        <v>496</v>
      </c>
      <c r="E443" s="2">
        <v>2108000.0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f t="shared" si="1"/>
        <v>2108000</v>
      </c>
      <c r="Q443" s="1"/>
      <c r="R443" s="1"/>
      <c r="S443" s="1"/>
      <c r="T443" s="1"/>
      <c r="U443" s="1"/>
      <c r="V443" s="6"/>
      <c r="W443" s="6"/>
    </row>
    <row r="444" ht="15.75" customHeight="1">
      <c r="A444" s="9" t="s">
        <v>29</v>
      </c>
      <c r="B444" s="10">
        <v>2025.0</v>
      </c>
      <c r="C444" s="14" t="s">
        <v>92</v>
      </c>
      <c r="D444" s="1" t="s">
        <v>497</v>
      </c>
      <c r="E444" s="2">
        <v>2128000.0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f t="shared" si="1"/>
        <v>2128000</v>
      </c>
      <c r="Q444" s="1"/>
      <c r="R444" s="1"/>
      <c r="S444" s="1"/>
      <c r="T444" s="1"/>
      <c r="U444" s="1"/>
      <c r="V444" s="6"/>
      <c r="W444" s="6"/>
    </row>
    <row r="445" ht="15.75" customHeight="1">
      <c r="A445" s="9" t="s">
        <v>29</v>
      </c>
      <c r="B445" s="10">
        <v>2025.0</v>
      </c>
      <c r="C445" s="14" t="s">
        <v>92</v>
      </c>
      <c r="D445" s="1" t="s">
        <v>498</v>
      </c>
      <c r="E445" s="2">
        <v>620078.0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f t="shared" si="1"/>
        <v>620078</v>
      </c>
      <c r="Q445" s="1"/>
      <c r="R445" s="1"/>
      <c r="S445" s="1"/>
      <c r="T445" s="1"/>
      <c r="U445" s="1"/>
      <c r="V445" s="6"/>
      <c r="W445" s="6"/>
    </row>
    <row r="446" ht="15.75" customHeight="1">
      <c r="A446" s="9" t="s">
        <v>29</v>
      </c>
      <c r="B446" s="10">
        <v>2025.0</v>
      </c>
      <c r="C446" s="14" t="s">
        <v>92</v>
      </c>
      <c r="D446" s="1" t="s">
        <v>499</v>
      </c>
      <c r="E446" s="2">
        <v>1489000.0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f t="shared" si="1"/>
        <v>1489000</v>
      </c>
      <c r="Q446" s="1"/>
      <c r="R446" s="1"/>
      <c r="S446" s="1"/>
      <c r="T446" s="1"/>
      <c r="U446" s="1"/>
      <c r="V446" s="6"/>
      <c r="W446" s="6"/>
    </row>
    <row r="447" ht="15.75" customHeight="1">
      <c r="A447" s="9" t="s">
        <v>29</v>
      </c>
      <c r="B447" s="10">
        <v>2025.0</v>
      </c>
      <c r="C447" s="14" t="s">
        <v>92</v>
      </c>
      <c r="D447" s="1" t="s">
        <v>500</v>
      </c>
      <c r="E447" s="2">
        <v>1559000.0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f t="shared" si="1"/>
        <v>1559000</v>
      </c>
      <c r="Q447" s="1"/>
      <c r="R447" s="1"/>
      <c r="S447" s="1"/>
      <c r="T447" s="1"/>
      <c r="U447" s="1"/>
      <c r="V447" s="6"/>
      <c r="W447" s="6"/>
    </row>
    <row r="448" ht="15.75" customHeight="1">
      <c r="A448" s="9" t="s">
        <v>29</v>
      </c>
      <c r="B448" s="10">
        <v>2025.0</v>
      </c>
      <c r="C448" s="14" t="s">
        <v>47</v>
      </c>
      <c r="D448" s="1" t="s">
        <v>501</v>
      </c>
      <c r="E448" s="2">
        <v>1306289.0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1306289.0</v>
      </c>
      <c r="O448" s="2">
        <v>0.0</v>
      </c>
      <c r="P448" s="2">
        <f t="shared" si="1"/>
        <v>0</v>
      </c>
      <c r="Q448" s="1"/>
      <c r="R448" s="1"/>
      <c r="S448" s="1"/>
      <c r="T448" s="1"/>
      <c r="U448" s="1"/>
      <c r="V448" s="6"/>
      <c r="W448" s="6"/>
    </row>
    <row r="449" ht="15.75" customHeight="1">
      <c r="A449" s="9" t="s">
        <v>29</v>
      </c>
      <c r="B449" s="10">
        <v>2025.0</v>
      </c>
      <c r="C449" s="14" t="s">
        <v>92</v>
      </c>
      <c r="D449" s="1" t="s">
        <v>502</v>
      </c>
      <c r="E449" s="2">
        <v>1100000.0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f t="shared" si="1"/>
        <v>1100000</v>
      </c>
      <c r="Q449" s="1"/>
      <c r="R449" s="1"/>
      <c r="S449" s="1"/>
      <c r="T449" s="1"/>
      <c r="U449" s="1"/>
      <c r="V449" s="6"/>
      <c r="W449" s="6"/>
    </row>
    <row r="450" ht="15.75" customHeight="1">
      <c r="A450" s="9" t="s">
        <v>29</v>
      </c>
      <c r="B450" s="10">
        <v>2025.0</v>
      </c>
      <c r="C450" s="14" t="s">
        <v>92</v>
      </c>
      <c r="D450" s="1" t="s">
        <v>503</v>
      </c>
      <c r="E450" s="2">
        <v>-1205869.0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f t="shared" si="1"/>
        <v>-1205869</v>
      </c>
      <c r="Q450" s="1"/>
      <c r="R450" s="1"/>
      <c r="S450" s="1"/>
      <c r="T450" s="1"/>
      <c r="U450" s="1"/>
      <c r="V450" s="6"/>
      <c r="W450" s="6"/>
    </row>
    <row r="451" ht="15.75" customHeight="1">
      <c r="A451" s="9" t="s">
        <v>29</v>
      </c>
      <c r="B451" s="10">
        <v>2025.0</v>
      </c>
      <c r="C451" s="14" t="s">
        <v>92</v>
      </c>
      <c r="D451" s="1" t="s">
        <v>504</v>
      </c>
      <c r="E451" s="2">
        <v>2577280.0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f t="shared" si="1"/>
        <v>2577280</v>
      </c>
      <c r="Q451" s="1"/>
      <c r="R451" s="1"/>
      <c r="S451" s="1"/>
      <c r="T451" s="1"/>
      <c r="U451" s="1"/>
      <c r="V451" s="6"/>
      <c r="W451" s="6"/>
    </row>
    <row r="452" ht="15.75" customHeight="1">
      <c r="A452" s="9" t="s">
        <v>29</v>
      </c>
      <c r="B452" s="10">
        <v>2025.0</v>
      </c>
      <c r="C452" s="14" t="s">
        <v>92</v>
      </c>
      <c r="D452" s="1" t="s">
        <v>504</v>
      </c>
      <c r="E452" s="2">
        <v>1932000.0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f t="shared" si="1"/>
        <v>1932000</v>
      </c>
      <c r="Q452" s="1"/>
      <c r="R452" s="1"/>
      <c r="S452" s="1"/>
      <c r="T452" s="1"/>
      <c r="U452" s="1"/>
      <c r="V452" s="6"/>
      <c r="W452" s="6"/>
    </row>
    <row r="453" ht="15.75" customHeight="1">
      <c r="A453" s="9" t="s">
        <v>29</v>
      </c>
      <c r="B453" s="10">
        <v>2025.0</v>
      </c>
      <c r="C453" s="14" t="s">
        <v>92</v>
      </c>
      <c r="D453" s="1" t="s">
        <v>504</v>
      </c>
      <c r="E453" s="2">
        <v>1479000.0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f t="shared" si="1"/>
        <v>1479000</v>
      </c>
      <c r="Q453" s="1"/>
      <c r="R453" s="1"/>
      <c r="S453" s="1"/>
      <c r="T453" s="1"/>
      <c r="U453" s="1"/>
      <c r="V453" s="6"/>
      <c r="W453" s="6"/>
    </row>
    <row r="454" ht="15.75" customHeight="1">
      <c r="A454" s="9" t="s">
        <v>29</v>
      </c>
      <c r="B454" s="10">
        <v>2025.0</v>
      </c>
      <c r="C454" s="14" t="s">
        <v>92</v>
      </c>
      <c r="D454" s="1" t="s">
        <v>504</v>
      </c>
      <c r="E454" s="2">
        <v>2168000.0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f t="shared" si="1"/>
        <v>2168000</v>
      </c>
      <c r="Q454" s="1"/>
      <c r="R454" s="1"/>
      <c r="S454" s="1"/>
      <c r="T454" s="1"/>
      <c r="U454" s="1"/>
      <c r="V454" s="6"/>
      <c r="W454" s="6"/>
    </row>
    <row r="455" ht="15.75" customHeight="1">
      <c r="A455" s="9" t="s">
        <v>29</v>
      </c>
      <c r="B455" s="10">
        <v>2025.0</v>
      </c>
      <c r="C455" s="14" t="s">
        <v>92</v>
      </c>
      <c r="D455" s="1" t="s">
        <v>504</v>
      </c>
      <c r="E455" s="2">
        <v>1408000.0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f t="shared" si="1"/>
        <v>1408000</v>
      </c>
      <c r="Q455" s="1"/>
      <c r="R455" s="1"/>
      <c r="S455" s="1"/>
      <c r="T455" s="1"/>
      <c r="U455" s="1"/>
      <c r="V455" s="6"/>
      <c r="W455" s="6"/>
    </row>
    <row r="456" ht="15.75" customHeight="1">
      <c r="A456" s="9" t="s">
        <v>29</v>
      </c>
      <c r="B456" s="10">
        <v>2025.0</v>
      </c>
      <c r="C456" s="14" t="s">
        <v>92</v>
      </c>
      <c r="D456" s="1" t="s">
        <v>504</v>
      </c>
      <c r="E456" s="2">
        <v>1209000.0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f t="shared" si="1"/>
        <v>1209000</v>
      </c>
      <c r="Q456" s="1"/>
      <c r="R456" s="1"/>
      <c r="S456" s="1"/>
      <c r="T456" s="1"/>
      <c r="U456" s="1"/>
      <c r="V456" s="6"/>
      <c r="W456" s="6"/>
    </row>
    <row r="457" ht="15.75" customHeight="1">
      <c r="A457" s="9" t="s">
        <v>29</v>
      </c>
      <c r="B457" s="10">
        <v>2025.0</v>
      </c>
      <c r="C457" s="14" t="s">
        <v>261</v>
      </c>
      <c r="D457" s="1" t="s">
        <v>505</v>
      </c>
      <c r="E457" s="2">
        <v>1189000.0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f t="shared" si="1"/>
        <v>1189000</v>
      </c>
      <c r="Q457" s="1"/>
      <c r="R457" s="1"/>
      <c r="S457" s="1"/>
      <c r="T457" s="1"/>
      <c r="U457" s="1"/>
      <c r="V457" s="6"/>
      <c r="W457" s="6"/>
    </row>
    <row r="458" ht="15.75" customHeight="1">
      <c r="A458" s="9" t="s">
        <v>29</v>
      </c>
      <c r="B458" s="10">
        <v>2025.0</v>
      </c>
      <c r="C458" s="14" t="s">
        <v>261</v>
      </c>
      <c r="D458" s="1" t="s">
        <v>505</v>
      </c>
      <c r="E458" s="2">
        <v>1040000.0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f t="shared" si="1"/>
        <v>1040000</v>
      </c>
      <c r="Q458" s="1"/>
      <c r="R458" s="1"/>
      <c r="S458" s="1"/>
      <c r="T458" s="1"/>
      <c r="U458" s="1"/>
      <c r="V458" s="6"/>
      <c r="W458" s="6"/>
    </row>
    <row r="459" ht="15.75" customHeight="1">
      <c r="A459" s="9" t="s">
        <v>29</v>
      </c>
      <c r="B459" s="10">
        <v>2025.0</v>
      </c>
      <c r="C459" s="14" t="s">
        <v>47</v>
      </c>
      <c r="D459" s="1" t="s">
        <v>506</v>
      </c>
      <c r="E459" s="2">
        <v>653999.0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653999.0</v>
      </c>
      <c r="O459" s="2">
        <v>0.0</v>
      </c>
      <c r="P459" s="2">
        <f t="shared" si="1"/>
        <v>0</v>
      </c>
      <c r="Q459" s="1"/>
      <c r="R459" s="1"/>
      <c r="S459" s="1"/>
      <c r="T459" s="1"/>
      <c r="U459" s="1"/>
      <c r="V459" s="6"/>
      <c r="W459" s="6"/>
    </row>
    <row r="460" ht="15.75" customHeight="1">
      <c r="A460" s="9" t="s">
        <v>29</v>
      </c>
      <c r="B460" s="10">
        <v>2025.0</v>
      </c>
      <c r="C460" s="14" t="s">
        <v>120</v>
      </c>
      <c r="D460" s="1" t="s">
        <v>507</v>
      </c>
      <c r="E460" s="2">
        <v>3749718.0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3749718.0</v>
      </c>
      <c r="O460" s="2">
        <v>0.0</v>
      </c>
      <c r="P460" s="2">
        <f t="shared" si="1"/>
        <v>0</v>
      </c>
      <c r="Q460" s="1"/>
      <c r="R460" s="1"/>
      <c r="S460" s="1"/>
      <c r="T460" s="1"/>
      <c r="U460" s="1"/>
      <c r="V460" s="6"/>
      <c r="W460" s="6"/>
    </row>
    <row r="461" ht="15.75" customHeight="1">
      <c r="A461" s="9" t="s">
        <v>29</v>
      </c>
      <c r="B461" s="10">
        <v>2025.0</v>
      </c>
      <c r="C461" s="14" t="s">
        <v>41</v>
      </c>
      <c r="D461" s="1" t="s">
        <v>508</v>
      </c>
      <c r="E461" s="2">
        <v>175100.0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175100.0</v>
      </c>
      <c r="O461" s="2">
        <v>0.0</v>
      </c>
      <c r="P461" s="2">
        <f t="shared" si="1"/>
        <v>0</v>
      </c>
      <c r="Q461" s="1"/>
      <c r="R461" s="1"/>
      <c r="S461" s="1"/>
      <c r="T461" s="1"/>
      <c r="U461" s="1"/>
      <c r="V461" s="6"/>
      <c r="W461" s="6"/>
    </row>
    <row r="462" ht="15.75" customHeight="1">
      <c r="A462" s="9" t="s">
        <v>29</v>
      </c>
      <c r="B462" s="10">
        <v>2025.0</v>
      </c>
      <c r="C462" s="14" t="s">
        <v>41</v>
      </c>
      <c r="D462" s="1" t="s">
        <v>508</v>
      </c>
      <c r="E462" s="2">
        <v>175100.0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175100.0</v>
      </c>
      <c r="O462" s="2">
        <v>0.0</v>
      </c>
      <c r="P462" s="2">
        <f t="shared" si="1"/>
        <v>0</v>
      </c>
      <c r="Q462" s="1"/>
      <c r="R462" s="1"/>
      <c r="S462" s="1"/>
      <c r="T462" s="1"/>
      <c r="U462" s="1"/>
      <c r="V462" s="6"/>
      <c r="W462" s="6"/>
    </row>
    <row r="463" ht="15.75" customHeight="1">
      <c r="A463" s="9" t="s">
        <v>29</v>
      </c>
      <c r="B463" s="10">
        <v>2025.0</v>
      </c>
      <c r="C463" s="14" t="s">
        <v>330</v>
      </c>
      <c r="D463" s="1" t="s">
        <v>509</v>
      </c>
      <c r="E463" s="2">
        <v>4865400.0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f t="shared" si="1"/>
        <v>4865400</v>
      </c>
      <c r="Q463" s="1"/>
      <c r="R463" s="1"/>
      <c r="S463" s="1"/>
      <c r="T463" s="1"/>
      <c r="U463" s="1"/>
      <c r="V463" s="6"/>
      <c r="W463" s="6"/>
    </row>
    <row r="464" ht="15.75" customHeight="1">
      <c r="A464" s="9" t="s">
        <v>29</v>
      </c>
      <c r="B464" s="10">
        <v>2025.0</v>
      </c>
      <c r="C464" s="14" t="s">
        <v>330</v>
      </c>
      <c r="D464" s="1" t="s">
        <v>510</v>
      </c>
      <c r="E464" s="2">
        <v>3481349.0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f t="shared" si="1"/>
        <v>3481349</v>
      </c>
      <c r="Q464" s="1"/>
      <c r="R464" s="1"/>
      <c r="S464" s="1"/>
      <c r="T464" s="1"/>
      <c r="U464" s="1"/>
      <c r="V464" s="6"/>
      <c r="W464" s="6"/>
    </row>
    <row r="465" ht="15.75" customHeight="1">
      <c r="A465" s="9" t="s">
        <v>29</v>
      </c>
      <c r="B465" s="10">
        <v>2025.0</v>
      </c>
      <c r="C465" s="14" t="s">
        <v>330</v>
      </c>
      <c r="D465" s="1" t="s">
        <v>511</v>
      </c>
      <c r="E465" s="2">
        <v>2362007.0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f t="shared" si="1"/>
        <v>2362007</v>
      </c>
      <c r="Q465" s="1"/>
      <c r="R465" s="1"/>
      <c r="S465" s="1"/>
      <c r="T465" s="1"/>
      <c r="U465" s="1"/>
      <c r="V465" s="6"/>
      <c r="W465" s="6"/>
    </row>
    <row r="466" ht="15.75" customHeight="1">
      <c r="A466" s="9" t="s">
        <v>29</v>
      </c>
      <c r="B466" s="10">
        <v>2025.0</v>
      </c>
      <c r="C466" s="14" t="s">
        <v>120</v>
      </c>
      <c r="D466" s="1" t="s">
        <v>512</v>
      </c>
      <c r="E466" s="2">
        <v>647660.0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647660.0</v>
      </c>
      <c r="O466" s="2">
        <v>0.0</v>
      </c>
      <c r="P466" s="2">
        <f t="shared" si="1"/>
        <v>0</v>
      </c>
      <c r="Q466" s="1"/>
      <c r="R466" s="1"/>
      <c r="S466" s="1"/>
      <c r="T466" s="1"/>
      <c r="U466" s="1"/>
      <c r="V466" s="6"/>
      <c r="W466" s="6"/>
    </row>
    <row r="467" ht="15.75" customHeight="1">
      <c r="A467" s="9" t="s">
        <v>29</v>
      </c>
      <c r="B467" s="10">
        <v>2025.0</v>
      </c>
      <c r="C467" s="14" t="s">
        <v>49</v>
      </c>
      <c r="D467" s="1" t="s">
        <v>513</v>
      </c>
      <c r="E467" s="2">
        <v>1882060.0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1882060.0</v>
      </c>
      <c r="O467" s="2">
        <v>0.0</v>
      </c>
      <c r="P467" s="2">
        <f t="shared" si="1"/>
        <v>0</v>
      </c>
      <c r="Q467" s="1"/>
      <c r="R467" s="1"/>
      <c r="S467" s="1"/>
      <c r="T467" s="1"/>
      <c r="U467" s="1"/>
      <c r="V467" s="6"/>
      <c r="W467" s="6"/>
    </row>
    <row r="468" ht="15.75" customHeight="1">
      <c r="A468" s="9" t="s">
        <v>29</v>
      </c>
      <c r="B468" s="10">
        <v>2025.0</v>
      </c>
      <c r="C468" s="14" t="s">
        <v>49</v>
      </c>
      <c r="D468" s="1" t="s">
        <v>514</v>
      </c>
      <c r="E468" s="2">
        <v>502800.0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502800.0</v>
      </c>
      <c r="O468" s="2">
        <v>0.0</v>
      </c>
      <c r="P468" s="2">
        <f t="shared" si="1"/>
        <v>0</v>
      </c>
      <c r="Q468" s="1"/>
      <c r="R468" s="1"/>
      <c r="S468" s="1"/>
      <c r="T468" s="1"/>
      <c r="U468" s="1"/>
      <c r="V468" s="6"/>
      <c r="W468" s="6"/>
    </row>
    <row r="469" ht="15.75" customHeight="1">
      <c r="A469" s="9" t="s">
        <v>29</v>
      </c>
      <c r="B469" s="10">
        <v>2025.0</v>
      </c>
      <c r="C469" s="14" t="s">
        <v>49</v>
      </c>
      <c r="D469" s="1" t="s">
        <v>515</v>
      </c>
      <c r="E469" s="2">
        <v>1072188.0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1072188.0</v>
      </c>
      <c r="O469" s="2">
        <v>0.0</v>
      </c>
      <c r="P469" s="2">
        <f t="shared" si="1"/>
        <v>0</v>
      </c>
      <c r="Q469" s="1"/>
      <c r="R469" s="1"/>
      <c r="S469" s="1"/>
      <c r="T469" s="1"/>
      <c r="U469" s="1"/>
      <c r="V469" s="6"/>
      <c r="W469" s="6"/>
    </row>
    <row r="470" ht="15.75" customHeight="1">
      <c r="A470" s="9" t="s">
        <v>29</v>
      </c>
      <c r="B470" s="10">
        <v>2025.0</v>
      </c>
      <c r="C470" s="14" t="s">
        <v>120</v>
      </c>
      <c r="D470" s="1" t="s">
        <v>516</v>
      </c>
      <c r="E470" s="2">
        <v>417000.0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417000.0</v>
      </c>
      <c r="O470" s="2">
        <v>0.0</v>
      </c>
      <c r="P470" s="2">
        <f t="shared" si="1"/>
        <v>0</v>
      </c>
      <c r="Q470" s="1"/>
      <c r="R470" s="1"/>
      <c r="S470" s="1"/>
      <c r="T470" s="1"/>
      <c r="U470" s="1"/>
      <c r="V470" s="6"/>
      <c r="W470" s="6"/>
    </row>
    <row r="471" ht="15.75" customHeight="1">
      <c r="A471" s="9" t="s">
        <v>29</v>
      </c>
      <c r="B471" s="10">
        <v>2025.0</v>
      </c>
      <c r="C471" s="14" t="s">
        <v>120</v>
      </c>
      <c r="D471" s="1" t="s">
        <v>517</v>
      </c>
      <c r="E471" s="2">
        <v>297000.0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297000.0</v>
      </c>
      <c r="O471" s="2">
        <v>0.0</v>
      </c>
      <c r="P471" s="2">
        <f t="shared" si="1"/>
        <v>0</v>
      </c>
      <c r="Q471" s="1"/>
      <c r="R471" s="1"/>
      <c r="S471" s="1"/>
      <c r="T471" s="1"/>
      <c r="U471" s="1"/>
      <c r="V471" s="6"/>
      <c r="W471" s="6"/>
    </row>
    <row r="472" ht="15.75" customHeight="1">
      <c r="A472" s="9" t="s">
        <v>29</v>
      </c>
      <c r="B472" s="10">
        <v>2025.0</v>
      </c>
      <c r="C472" s="14" t="s">
        <v>120</v>
      </c>
      <c r="D472" s="1" t="s">
        <v>518</v>
      </c>
      <c r="E472" s="2">
        <v>4514000.0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4514000.0</v>
      </c>
      <c r="O472" s="2">
        <v>0.0</v>
      </c>
      <c r="P472" s="2">
        <f t="shared" si="1"/>
        <v>0</v>
      </c>
      <c r="Q472" s="1"/>
      <c r="R472" s="1"/>
      <c r="S472" s="1"/>
      <c r="T472" s="1"/>
      <c r="U472" s="1"/>
      <c r="V472" s="6"/>
      <c r="W472" s="6"/>
    </row>
    <row r="473" ht="15.75" customHeight="1">
      <c r="A473" s="9" t="s">
        <v>29</v>
      </c>
      <c r="B473" s="10">
        <v>2025.0</v>
      </c>
      <c r="C473" s="14" t="s">
        <v>208</v>
      </c>
      <c r="D473" s="1" t="s">
        <v>519</v>
      </c>
      <c r="E473" s="2">
        <v>1.398E7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1.398E7</v>
      </c>
      <c r="O473" s="2">
        <v>0.0</v>
      </c>
      <c r="P473" s="2">
        <f t="shared" si="1"/>
        <v>0</v>
      </c>
      <c r="Q473" s="1"/>
      <c r="R473" s="1"/>
      <c r="S473" s="1"/>
      <c r="T473" s="1"/>
      <c r="U473" s="1"/>
      <c r="V473" s="6"/>
      <c r="W473" s="6"/>
    </row>
    <row r="474" ht="15.75" customHeight="1">
      <c r="A474" s="9" t="s">
        <v>29</v>
      </c>
      <c r="B474" s="10">
        <v>2025.0</v>
      </c>
      <c r="C474" s="14" t="s">
        <v>47</v>
      </c>
      <c r="D474" s="1" t="s">
        <v>520</v>
      </c>
      <c r="E474" s="2">
        <v>1050000.0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1050000.0</v>
      </c>
      <c r="O474" s="2">
        <v>0.0</v>
      </c>
      <c r="P474" s="2">
        <f t="shared" si="1"/>
        <v>0</v>
      </c>
      <c r="Q474" s="1"/>
      <c r="R474" s="1"/>
      <c r="S474" s="1"/>
      <c r="T474" s="1"/>
      <c r="U474" s="1"/>
      <c r="V474" s="6"/>
      <c r="W474" s="6"/>
    </row>
    <row r="475" ht="15.75" customHeight="1">
      <c r="A475" s="9" t="s">
        <v>29</v>
      </c>
      <c r="B475" s="10">
        <v>2025.0</v>
      </c>
      <c r="C475" s="14" t="s">
        <v>38</v>
      </c>
      <c r="D475" s="1" t="s">
        <v>521</v>
      </c>
      <c r="E475" s="2">
        <v>7.6162E7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7.6162E7</v>
      </c>
      <c r="O475" s="2">
        <v>0.0</v>
      </c>
      <c r="P475" s="2">
        <f t="shared" si="1"/>
        <v>0</v>
      </c>
      <c r="Q475" s="1"/>
      <c r="R475" s="1"/>
      <c r="S475" s="1"/>
      <c r="T475" s="1"/>
      <c r="U475" s="1"/>
      <c r="V475" s="6"/>
      <c r="W475" s="6"/>
    </row>
    <row r="476" ht="15.75" customHeight="1">
      <c r="A476" s="9" t="s">
        <v>29</v>
      </c>
      <c r="B476" s="10">
        <v>2025.0</v>
      </c>
      <c r="C476" s="14" t="s">
        <v>38</v>
      </c>
      <c r="D476" s="1" t="s">
        <v>522</v>
      </c>
      <c r="E476" s="2">
        <v>2219140.0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2219140.0</v>
      </c>
      <c r="O476" s="2">
        <v>0.0</v>
      </c>
      <c r="P476" s="2">
        <f t="shared" si="1"/>
        <v>0</v>
      </c>
      <c r="Q476" s="1"/>
      <c r="R476" s="1"/>
      <c r="S476" s="1"/>
      <c r="T476" s="1"/>
      <c r="U476" s="1"/>
      <c r="V476" s="6"/>
      <c r="W476" s="6"/>
    </row>
    <row r="477" ht="15.75" customHeight="1">
      <c r="A477" s="9" t="s">
        <v>29</v>
      </c>
      <c r="B477" s="10">
        <v>2025.0</v>
      </c>
      <c r="C477" s="14" t="s">
        <v>38</v>
      </c>
      <c r="D477" s="1" t="s">
        <v>523</v>
      </c>
      <c r="E477" s="2">
        <v>8296800.0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8296800.0</v>
      </c>
      <c r="O477" s="2">
        <v>0.0</v>
      </c>
      <c r="P477" s="2">
        <f t="shared" si="1"/>
        <v>0</v>
      </c>
      <c r="Q477" s="1"/>
      <c r="R477" s="1"/>
      <c r="S477" s="1"/>
      <c r="T477" s="1"/>
      <c r="U477" s="1"/>
      <c r="V477" s="6"/>
      <c r="W477" s="6"/>
    </row>
    <row r="478" ht="15.75" customHeight="1">
      <c r="A478" s="9" t="s">
        <v>29</v>
      </c>
      <c r="B478" s="10">
        <v>2025.0</v>
      </c>
      <c r="C478" s="14" t="s">
        <v>43</v>
      </c>
      <c r="D478" s="1" t="s">
        <v>524</v>
      </c>
      <c r="E478" s="2">
        <v>7.019E7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7.019E7</v>
      </c>
      <c r="O478" s="2">
        <v>0.0</v>
      </c>
      <c r="P478" s="2">
        <f t="shared" si="1"/>
        <v>0</v>
      </c>
      <c r="Q478" s="1"/>
      <c r="R478" s="1"/>
      <c r="S478" s="1"/>
      <c r="T478" s="1"/>
      <c r="U478" s="1"/>
      <c r="V478" s="6"/>
      <c r="W478" s="6"/>
    </row>
    <row r="479" ht="15.75" customHeight="1">
      <c r="A479" s="9" t="s">
        <v>29</v>
      </c>
      <c r="B479" s="10">
        <v>2025.0</v>
      </c>
      <c r="C479" s="14" t="s">
        <v>43</v>
      </c>
      <c r="D479" s="1" t="s">
        <v>525</v>
      </c>
      <c r="E479" s="2">
        <v>1.06304E7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1.06304E7</v>
      </c>
      <c r="O479" s="2">
        <v>0.0</v>
      </c>
      <c r="P479" s="2">
        <f t="shared" si="1"/>
        <v>0</v>
      </c>
      <c r="Q479" s="1"/>
      <c r="R479" s="1"/>
      <c r="S479" s="1"/>
      <c r="T479" s="1"/>
      <c r="U479" s="1"/>
      <c r="V479" s="6"/>
      <c r="W479" s="6"/>
    </row>
    <row r="480" ht="15.75" customHeight="1">
      <c r="A480" s="9" t="s">
        <v>29</v>
      </c>
      <c r="B480" s="10">
        <v>2025.0</v>
      </c>
      <c r="C480" s="14" t="s">
        <v>43</v>
      </c>
      <c r="D480" s="1" t="s">
        <v>526</v>
      </c>
      <c r="E480" s="2">
        <v>3185600.0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3185600.0</v>
      </c>
      <c r="O480" s="2">
        <v>0.0</v>
      </c>
      <c r="P480" s="2">
        <f t="shared" si="1"/>
        <v>0</v>
      </c>
      <c r="Q480" s="1"/>
      <c r="R480" s="1"/>
      <c r="S480" s="1"/>
      <c r="T480" s="1"/>
      <c r="U480" s="1"/>
      <c r="V480" s="6"/>
      <c r="W480" s="6"/>
    </row>
    <row r="481" ht="15.75" customHeight="1">
      <c r="A481" s="9" t="s">
        <v>29</v>
      </c>
      <c r="B481" s="10">
        <v>2025.0</v>
      </c>
      <c r="C481" s="14" t="s">
        <v>43</v>
      </c>
      <c r="D481" s="1" t="s">
        <v>527</v>
      </c>
      <c r="E481" s="2">
        <v>1730000.0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1730000.0</v>
      </c>
      <c r="O481" s="2">
        <v>0.0</v>
      </c>
      <c r="P481" s="2">
        <f t="shared" si="1"/>
        <v>0</v>
      </c>
      <c r="Q481" s="1"/>
      <c r="R481" s="1"/>
      <c r="S481" s="1"/>
      <c r="T481" s="1"/>
      <c r="U481" s="1"/>
      <c r="V481" s="6"/>
      <c r="W481" s="6"/>
    </row>
    <row r="482" ht="15.75" customHeight="1">
      <c r="A482" s="9" t="s">
        <v>29</v>
      </c>
      <c r="B482" s="10">
        <v>2025.0</v>
      </c>
      <c r="C482" s="14" t="s">
        <v>94</v>
      </c>
      <c r="D482" s="1" t="s">
        <v>528</v>
      </c>
      <c r="E482" s="2">
        <v>4516142.0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4516142.0</v>
      </c>
      <c r="O482" s="2">
        <v>0.0</v>
      </c>
      <c r="P482" s="2">
        <f t="shared" si="1"/>
        <v>0</v>
      </c>
      <c r="Q482" s="1"/>
      <c r="R482" s="1"/>
      <c r="S482" s="1"/>
      <c r="T482" s="1"/>
      <c r="U482" s="1"/>
      <c r="V482" s="6"/>
      <c r="W482" s="6"/>
    </row>
    <row r="483" ht="15.75" customHeight="1">
      <c r="A483" s="9" t="s">
        <v>29</v>
      </c>
      <c r="B483" s="10">
        <v>2025.0</v>
      </c>
      <c r="C483" s="14" t="s">
        <v>43</v>
      </c>
      <c r="D483" s="1" t="s">
        <v>529</v>
      </c>
      <c r="E483" s="2">
        <v>657679.0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657679.0</v>
      </c>
      <c r="O483" s="2">
        <v>0.0</v>
      </c>
      <c r="P483" s="2">
        <f t="shared" si="1"/>
        <v>0</v>
      </c>
      <c r="Q483" s="1"/>
      <c r="R483" s="1"/>
      <c r="S483" s="1"/>
      <c r="T483" s="1"/>
      <c r="U483" s="1"/>
      <c r="V483" s="6"/>
      <c r="W483" s="6"/>
    </row>
    <row r="484" ht="15.75" customHeight="1">
      <c r="A484" s="9" t="s">
        <v>29</v>
      </c>
      <c r="B484" s="10">
        <v>2025.0</v>
      </c>
      <c r="C484" s="14" t="s">
        <v>43</v>
      </c>
      <c r="D484" s="1" t="s">
        <v>530</v>
      </c>
      <c r="E484" s="2">
        <v>416123.0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416123.0</v>
      </c>
      <c r="O484" s="2">
        <v>0.0</v>
      </c>
      <c r="P484" s="2">
        <f t="shared" si="1"/>
        <v>0</v>
      </c>
      <c r="Q484" s="1"/>
      <c r="R484" s="1"/>
      <c r="S484" s="1"/>
      <c r="T484" s="1"/>
      <c r="U484" s="1"/>
      <c r="V484" s="6"/>
      <c r="W484" s="6"/>
    </row>
    <row r="485" ht="15.75" customHeight="1">
      <c r="A485" s="9" t="s">
        <v>29</v>
      </c>
      <c r="B485" s="10">
        <v>2025.0</v>
      </c>
      <c r="C485" s="14" t="s">
        <v>215</v>
      </c>
      <c r="D485" s="1" t="s">
        <v>531</v>
      </c>
      <c r="E485" s="2">
        <v>2520000.0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2520000.0</v>
      </c>
      <c r="O485" s="2">
        <v>0.0</v>
      </c>
      <c r="P485" s="2">
        <f t="shared" si="1"/>
        <v>0</v>
      </c>
      <c r="Q485" s="1"/>
      <c r="R485" s="1"/>
      <c r="S485" s="1"/>
      <c r="T485" s="1"/>
      <c r="U485" s="1"/>
      <c r="V485" s="6"/>
      <c r="W485" s="6"/>
    </row>
    <row r="486" ht="15.75" customHeight="1">
      <c r="A486" s="9" t="s">
        <v>29</v>
      </c>
      <c r="B486" s="10">
        <v>2025.0</v>
      </c>
      <c r="C486" s="14" t="s">
        <v>43</v>
      </c>
      <c r="D486" s="1" t="s">
        <v>532</v>
      </c>
      <c r="E486" s="2">
        <v>4668000.0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4668000.0</v>
      </c>
      <c r="O486" s="2">
        <v>0.0</v>
      </c>
      <c r="P486" s="2">
        <f t="shared" si="1"/>
        <v>0</v>
      </c>
      <c r="Q486" s="1"/>
      <c r="R486" s="1"/>
      <c r="S486" s="1"/>
      <c r="T486" s="1"/>
      <c r="U486" s="1"/>
      <c r="V486" s="6"/>
      <c r="W486" s="6"/>
    </row>
    <row r="487" ht="15.75" customHeight="1">
      <c r="A487" s="9" t="s">
        <v>29</v>
      </c>
      <c r="B487" s="10">
        <v>2025.0</v>
      </c>
      <c r="C487" s="14" t="s">
        <v>43</v>
      </c>
      <c r="D487" s="1" t="s">
        <v>533</v>
      </c>
      <c r="E487" s="2">
        <v>432793.0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432793.0</v>
      </c>
      <c r="O487" s="2">
        <v>0.0</v>
      </c>
      <c r="P487" s="2">
        <f t="shared" si="1"/>
        <v>0</v>
      </c>
      <c r="Q487" s="1"/>
      <c r="R487" s="1"/>
      <c r="S487" s="1"/>
      <c r="T487" s="1"/>
      <c r="U487" s="1"/>
      <c r="V487" s="6"/>
      <c r="W487" s="6"/>
    </row>
    <row r="488" ht="15.75" customHeight="1">
      <c r="A488" s="9" t="s">
        <v>29</v>
      </c>
      <c r="B488" s="10">
        <v>2025.0</v>
      </c>
      <c r="C488" s="14" t="s">
        <v>43</v>
      </c>
      <c r="D488" s="1" t="s">
        <v>534</v>
      </c>
      <c r="E488" s="2">
        <v>800000.0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800000.0</v>
      </c>
      <c r="O488" s="2">
        <v>0.0</v>
      </c>
      <c r="P488" s="2">
        <f t="shared" si="1"/>
        <v>0</v>
      </c>
      <c r="Q488" s="1"/>
      <c r="R488" s="1"/>
      <c r="S488" s="1"/>
      <c r="T488" s="1"/>
      <c r="U488" s="1"/>
      <c r="V488" s="6"/>
      <c r="W488" s="6"/>
    </row>
    <row r="489" ht="15.75" customHeight="1">
      <c r="A489" s="9" t="s">
        <v>29</v>
      </c>
      <c r="B489" s="10">
        <v>2025.0</v>
      </c>
      <c r="C489" s="14" t="s">
        <v>43</v>
      </c>
      <c r="D489" s="1" t="s">
        <v>535</v>
      </c>
      <c r="E489" s="2">
        <v>210000.0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210000.0</v>
      </c>
      <c r="O489" s="2">
        <v>0.0</v>
      </c>
      <c r="P489" s="2">
        <f t="shared" si="1"/>
        <v>0</v>
      </c>
      <c r="Q489" s="1"/>
      <c r="R489" s="1"/>
      <c r="S489" s="1"/>
      <c r="T489" s="1"/>
      <c r="U489" s="1"/>
      <c r="V489" s="6"/>
      <c r="W489" s="6"/>
    </row>
    <row r="490" ht="15.75" customHeight="1">
      <c r="A490" s="9" t="s">
        <v>29</v>
      </c>
      <c r="B490" s="10">
        <v>2025.0</v>
      </c>
      <c r="C490" s="14" t="s">
        <v>43</v>
      </c>
      <c r="D490" s="1" t="s">
        <v>536</v>
      </c>
      <c r="E490" s="2">
        <v>460000.0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460000.0</v>
      </c>
      <c r="O490" s="2">
        <v>0.0</v>
      </c>
      <c r="P490" s="2">
        <f t="shared" si="1"/>
        <v>0</v>
      </c>
      <c r="Q490" s="1"/>
      <c r="R490" s="1"/>
      <c r="S490" s="1"/>
      <c r="T490" s="1"/>
      <c r="U490" s="1"/>
      <c r="V490" s="6"/>
      <c r="W490" s="6"/>
    </row>
    <row r="491" ht="15.75" customHeight="1">
      <c r="A491" s="9" t="s">
        <v>29</v>
      </c>
      <c r="B491" s="10">
        <v>2025.0</v>
      </c>
      <c r="C491" s="14" t="s">
        <v>43</v>
      </c>
      <c r="D491" s="1" t="s">
        <v>536</v>
      </c>
      <c r="E491" s="2">
        <v>160000.0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160000.0</v>
      </c>
      <c r="O491" s="2">
        <v>0.0</v>
      </c>
      <c r="P491" s="2">
        <f t="shared" si="1"/>
        <v>0</v>
      </c>
      <c r="Q491" s="1"/>
      <c r="R491" s="1"/>
      <c r="S491" s="1"/>
      <c r="T491" s="1"/>
      <c r="U491" s="1"/>
      <c r="V491" s="6"/>
      <c r="W491" s="6"/>
    </row>
    <row r="492" ht="15.75" customHeight="1">
      <c r="A492" s="9" t="s">
        <v>29</v>
      </c>
      <c r="B492" s="10">
        <v>2025.0</v>
      </c>
      <c r="C492" s="14" t="s">
        <v>120</v>
      </c>
      <c r="D492" s="1" t="s">
        <v>537</v>
      </c>
      <c r="E492" s="2">
        <v>3990400.0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3990400.0</v>
      </c>
      <c r="O492" s="2">
        <v>0.0</v>
      </c>
      <c r="P492" s="2">
        <f t="shared" si="1"/>
        <v>0</v>
      </c>
      <c r="Q492" s="1"/>
      <c r="R492" s="1"/>
      <c r="S492" s="1"/>
      <c r="T492" s="1"/>
      <c r="U492" s="1"/>
      <c r="V492" s="6"/>
      <c r="W492" s="6"/>
    </row>
    <row r="493" ht="15.75" customHeight="1">
      <c r="A493" s="9" t="s">
        <v>29</v>
      </c>
      <c r="B493" s="10">
        <v>2025.0</v>
      </c>
      <c r="C493" s="14" t="s">
        <v>41</v>
      </c>
      <c r="D493" s="1" t="s">
        <v>538</v>
      </c>
      <c r="E493" s="2">
        <v>1.1452E7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1.1452E7</v>
      </c>
      <c r="O493" s="2">
        <v>0.0</v>
      </c>
      <c r="P493" s="2">
        <f t="shared" si="1"/>
        <v>0</v>
      </c>
      <c r="Q493" s="1"/>
      <c r="R493" s="1"/>
      <c r="S493" s="1"/>
      <c r="T493" s="1"/>
      <c r="U493" s="1"/>
      <c r="V493" s="6"/>
      <c r="W493" s="6"/>
    </row>
    <row r="494" ht="15.75" customHeight="1">
      <c r="A494" s="9" t="s">
        <v>29</v>
      </c>
      <c r="B494" s="10">
        <v>2025.0</v>
      </c>
      <c r="C494" s="14" t="s">
        <v>41</v>
      </c>
      <c r="D494" s="1" t="s">
        <v>539</v>
      </c>
      <c r="E494" s="2">
        <v>6000000.0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6000000.0</v>
      </c>
      <c r="O494" s="2">
        <v>0.0</v>
      </c>
      <c r="P494" s="2">
        <f t="shared" si="1"/>
        <v>0</v>
      </c>
      <c r="Q494" s="1"/>
      <c r="R494" s="1"/>
      <c r="S494" s="1"/>
      <c r="T494" s="1"/>
      <c r="U494" s="1"/>
      <c r="V494" s="6"/>
      <c r="W494" s="6"/>
    </row>
    <row r="495" ht="15.75" customHeight="1">
      <c r="A495" s="9" t="s">
        <v>29</v>
      </c>
      <c r="B495" s="10">
        <v>2025.0</v>
      </c>
      <c r="C495" s="14" t="s">
        <v>120</v>
      </c>
      <c r="D495" s="1" t="s">
        <v>540</v>
      </c>
      <c r="E495" s="2">
        <v>3400000.0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3400000.0</v>
      </c>
      <c r="O495" s="2">
        <v>0.0</v>
      </c>
      <c r="P495" s="2">
        <f t="shared" si="1"/>
        <v>0</v>
      </c>
      <c r="Q495" s="1"/>
      <c r="R495" s="1"/>
      <c r="S495" s="1"/>
      <c r="T495" s="1"/>
      <c r="U495" s="1"/>
      <c r="V495" s="6"/>
      <c r="W495" s="6"/>
    </row>
    <row r="496" ht="15.75" customHeight="1">
      <c r="A496" s="9" t="s">
        <v>29</v>
      </c>
      <c r="B496" s="10">
        <v>2025.0</v>
      </c>
      <c r="C496" s="14" t="s">
        <v>120</v>
      </c>
      <c r="D496" s="1" t="s">
        <v>541</v>
      </c>
      <c r="E496" s="2">
        <v>850000.0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850000.0</v>
      </c>
      <c r="O496" s="2">
        <v>0.0</v>
      </c>
      <c r="P496" s="2">
        <f t="shared" si="1"/>
        <v>0</v>
      </c>
      <c r="Q496" s="1"/>
      <c r="R496" s="1"/>
      <c r="S496" s="1"/>
      <c r="T496" s="1"/>
      <c r="U496" s="1"/>
      <c r="V496" s="6"/>
      <c r="W496" s="6"/>
    </row>
    <row r="497" ht="15.75" customHeight="1">
      <c r="A497" s="9" t="s">
        <v>29</v>
      </c>
      <c r="B497" s="10">
        <v>2025.0</v>
      </c>
      <c r="C497" s="14" t="s">
        <v>120</v>
      </c>
      <c r="D497" s="1" t="s">
        <v>542</v>
      </c>
      <c r="E497" s="2">
        <v>1556947.0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1556947.0</v>
      </c>
      <c r="O497" s="2">
        <v>0.0</v>
      </c>
      <c r="P497" s="2">
        <f t="shared" si="1"/>
        <v>0</v>
      </c>
      <c r="Q497" s="1"/>
      <c r="R497" s="1"/>
      <c r="S497" s="1"/>
      <c r="T497" s="1"/>
      <c r="U497" s="1"/>
      <c r="V497" s="6"/>
      <c r="W497" s="6"/>
    </row>
    <row r="498" ht="15.75" customHeight="1">
      <c r="A498" s="9" t="s">
        <v>29</v>
      </c>
      <c r="B498" s="10">
        <v>2025.0</v>
      </c>
      <c r="C498" s="14" t="s">
        <v>466</v>
      </c>
      <c r="D498" s="1" t="s">
        <v>543</v>
      </c>
      <c r="E498" s="2">
        <v>1635849.0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1635849.0</v>
      </c>
      <c r="O498" s="2">
        <v>0.0</v>
      </c>
      <c r="P498" s="2">
        <f t="shared" si="1"/>
        <v>0</v>
      </c>
      <c r="Q498" s="1"/>
      <c r="R498" s="1"/>
      <c r="S498" s="1"/>
      <c r="T498" s="1"/>
      <c r="U498" s="1"/>
      <c r="V498" s="6"/>
      <c r="W498" s="6"/>
    </row>
    <row r="499" ht="15.75" customHeight="1">
      <c r="A499" s="9" t="s">
        <v>29</v>
      </c>
      <c r="B499" s="10">
        <v>2025.0</v>
      </c>
      <c r="C499" s="14" t="s">
        <v>120</v>
      </c>
      <c r="D499" s="1" t="s">
        <v>544</v>
      </c>
      <c r="E499" s="2">
        <v>5478720.0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5478720.0</v>
      </c>
      <c r="O499" s="2">
        <v>0.0</v>
      </c>
      <c r="P499" s="2">
        <f t="shared" si="1"/>
        <v>0</v>
      </c>
      <c r="Q499" s="1"/>
      <c r="R499" s="1"/>
      <c r="S499" s="1"/>
      <c r="T499" s="1"/>
      <c r="U499" s="1"/>
      <c r="V499" s="6"/>
      <c r="W499" s="6"/>
    </row>
    <row r="500" ht="15.75" customHeight="1">
      <c r="A500" s="9" t="s">
        <v>29</v>
      </c>
      <c r="B500" s="10">
        <v>2025.0</v>
      </c>
      <c r="C500" s="14" t="s">
        <v>120</v>
      </c>
      <c r="D500" s="1" t="s">
        <v>545</v>
      </c>
      <c r="E500" s="2">
        <v>2836160.0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2836160.0</v>
      </c>
      <c r="O500" s="2">
        <v>0.0</v>
      </c>
      <c r="P500" s="2">
        <f t="shared" si="1"/>
        <v>0</v>
      </c>
      <c r="Q500" s="1"/>
      <c r="R500" s="1"/>
      <c r="S500" s="1"/>
      <c r="T500" s="1"/>
      <c r="U500" s="1"/>
      <c r="V500" s="6"/>
      <c r="W500" s="6"/>
    </row>
    <row r="501" ht="15.75" customHeight="1">
      <c r="A501" s="9" t="s">
        <v>29</v>
      </c>
      <c r="B501" s="10">
        <v>2025.0</v>
      </c>
      <c r="C501" s="14" t="s">
        <v>120</v>
      </c>
      <c r="D501" s="1" t="s">
        <v>546</v>
      </c>
      <c r="E501" s="2">
        <v>2600000.0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2600000.0</v>
      </c>
      <c r="O501" s="2">
        <v>0.0</v>
      </c>
      <c r="P501" s="2">
        <f t="shared" si="1"/>
        <v>0</v>
      </c>
      <c r="Q501" s="1"/>
      <c r="R501" s="1"/>
      <c r="S501" s="1"/>
      <c r="T501" s="1"/>
      <c r="U501" s="1"/>
      <c r="V501" s="6"/>
      <c r="W501" s="6"/>
    </row>
    <row r="502" ht="15.75" customHeight="1">
      <c r="A502" s="9" t="s">
        <v>29</v>
      </c>
      <c r="B502" s="10">
        <v>2025.0</v>
      </c>
      <c r="C502" s="14" t="s">
        <v>49</v>
      </c>
      <c r="D502" s="1" t="s">
        <v>547</v>
      </c>
      <c r="E502" s="2">
        <v>3.66625E7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3.66625E7</v>
      </c>
      <c r="O502" s="2">
        <v>0.0</v>
      </c>
      <c r="P502" s="2">
        <f t="shared" si="1"/>
        <v>0</v>
      </c>
      <c r="Q502" s="1"/>
      <c r="R502" s="1"/>
      <c r="S502" s="1"/>
      <c r="T502" s="1"/>
      <c r="U502" s="1"/>
      <c r="V502" s="6"/>
      <c r="W502" s="6"/>
    </row>
    <row r="503" ht="15.75" customHeight="1">
      <c r="A503" s="9" t="s">
        <v>29</v>
      </c>
      <c r="B503" s="10">
        <v>2025.0</v>
      </c>
      <c r="C503" s="14" t="s">
        <v>49</v>
      </c>
      <c r="D503" s="1" t="s">
        <v>548</v>
      </c>
      <c r="E503" s="2">
        <v>284700.0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284700.0</v>
      </c>
      <c r="O503" s="2">
        <v>0.0</v>
      </c>
      <c r="P503" s="2">
        <f t="shared" si="1"/>
        <v>0</v>
      </c>
      <c r="Q503" s="1"/>
      <c r="R503" s="1"/>
      <c r="S503" s="1"/>
      <c r="T503" s="1"/>
      <c r="U503" s="1"/>
      <c r="V503" s="6"/>
      <c r="W503" s="6"/>
    </row>
    <row r="504" ht="15.75" customHeight="1">
      <c r="A504" s="9" t="s">
        <v>29</v>
      </c>
      <c r="B504" s="10">
        <v>2025.0</v>
      </c>
      <c r="C504" s="14" t="s">
        <v>49</v>
      </c>
      <c r="D504" s="1" t="s">
        <v>549</v>
      </c>
      <c r="E504" s="2">
        <v>238600.0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238600.0</v>
      </c>
      <c r="O504" s="2">
        <v>0.0</v>
      </c>
      <c r="P504" s="2">
        <f t="shared" si="1"/>
        <v>0</v>
      </c>
      <c r="Q504" s="1"/>
      <c r="R504" s="1"/>
      <c r="S504" s="1"/>
      <c r="T504" s="1"/>
      <c r="U504" s="1"/>
      <c r="V504" s="6"/>
      <c r="W504" s="6"/>
    </row>
    <row r="505" ht="15.75" customHeight="1">
      <c r="A505" s="9" t="s">
        <v>29</v>
      </c>
      <c r="B505" s="10">
        <v>2025.0</v>
      </c>
      <c r="C505" s="14" t="s">
        <v>49</v>
      </c>
      <c r="D505" s="1" t="s">
        <v>550</v>
      </c>
      <c r="E505" s="2">
        <v>184500.0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184500.0</v>
      </c>
      <c r="O505" s="2">
        <v>0.0</v>
      </c>
      <c r="P505" s="2">
        <f t="shared" si="1"/>
        <v>0</v>
      </c>
      <c r="Q505" s="1"/>
      <c r="R505" s="1"/>
      <c r="S505" s="1"/>
      <c r="T505" s="1"/>
      <c r="U505" s="1"/>
      <c r="V505" s="6"/>
      <c r="W505" s="6"/>
    </row>
    <row r="506" ht="15.75" customHeight="1">
      <c r="A506" s="9" t="s">
        <v>29</v>
      </c>
      <c r="B506" s="10">
        <v>2025.0</v>
      </c>
      <c r="C506" s="14" t="s">
        <v>49</v>
      </c>
      <c r="D506" s="1" t="s">
        <v>551</v>
      </c>
      <c r="E506" s="2">
        <v>1674000.0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1674000.0</v>
      </c>
      <c r="O506" s="2">
        <v>0.0</v>
      </c>
      <c r="P506" s="2">
        <f t="shared" si="1"/>
        <v>0</v>
      </c>
      <c r="Q506" s="1"/>
      <c r="R506" s="1"/>
      <c r="S506" s="1"/>
      <c r="T506" s="1"/>
      <c r="U506" s="1"/>
      <c r="V506" s="6"/>
      <c r="W506" s="6"/>
    </row>
    <row r="507" ht="15.75" customHeight="1">
      <c r="A507" s="9" t="s">
        <v>29</v>
      </c>
      <c r="B507" s="10">
        <v>2025.0</v>
      </c>
      <c r="C507" s="14" t="s">
        <v>49</v>
      </c>
      <c r="D507" s="1" t="s">
        <v>552</v>
      </c>
      <c r="E507" s="2">
        <v>15400.0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15400.0</v>
      </c>
      <c r="O507" s="2">
        <v>0.0</v>
      </c>
      <c r="P507" s="2">
        <f t="shared" si="1"/>
        <v>0</v>
      </c>
      <c r="Q507" s="1"/>
      <c r="R507" s="1"/>
      <c r="S507" s="1"/>
      <c r="T507" s="1"/>
      <c r="U507" s="1"/>
      <c r="V507" s="6"/>
      <c r="W507" s="6"/>
    </row>
    <row r="508" ht="15.75" customHeight="1">
      <c r="A508" s="9" t="s">
        <v>29</v>
      </c>
      <c r="B508" s="10">
        <v>2025.0</v>
      </c>
      <c r="C508" s="14" t="s">
        <v>49</v>
      </c>
      <c r="D508" s="1" t="s">
        <v>552</v>
      </c>
      <c r="E508" s="2">
        <v>838200.0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838200.0</v>
      </c>
      <c r="O508" s="2">
        <v>0.0</v>
      </c>
      <c r="P508" s="2">
        <f t="shared" si="1"/>
        <v>0</v>
      </c>
      <c r="Q508" s="1"/>
      <c r="R508" s="1"/>
      <c r="S508" s="1"/>
      <c r="T508" s="1"/>
      <c r="U508" s="1"/>
      <c r="V508" s="6"/>
      <c r="W508" s="6"/>
    </row>
    <row r="509" ht="15.75" customHeight="1">
      <c r="A509" s="9" t="s">
        <v>29</v>
      </c>
      <c r="B509" s="10">
        <v>2025.0</v>
      </c>
      <c r="C509" s="14" t="s">
        <v>49</v>
      </c>
      <c r="D509" s="1" t="s">
        <v>553</v>
      </c>
      <c r="E509" s="2">
        <v>1.993701E7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1.993701E7</v>
      </c>
      <c r="O509" s="2">
        <v>0.0</v>
      </c>
      <c r="P509" s="2">
        <f t="shared" si="1"/>
        <v>0</v>
      </c>
      <c r="Q509" s="1"/>
      <c r="R509" s="1"/>
      <c r="S509" s="1"/>
      <c r="T509" s="1"/>
      <c r="U509" s="1"/>
      <c r="V509" s="6"/>
      <c r="W509" s="6"/>
    </row>
    <row r="510" ht="15.75" customHeight="1">
      <c r="A510" s="9" t="s">
        <v>29</v>
      </c>
      <c r="B510" s="10">
        <v>2025.0</v>
      </c>
      <c r="C510" s="14" t="s">
        <v>30</v>
      </c>
      <c r="D510" s="1" t="s">
        <v>554</v>
      </c>
      <c r="E510" s="2">
        <v>18000.0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18000.0</v>
      </c>
      <c r="O510" s="2">
        <v>0.0</v>
      </c>
      <c r="P510" s="2">
        <f t="shared" si="1"/>
        <v>0</v>
      </c>
      <c r="Q510" s="1"/>
      <c r="R510" s="1"/>
      <c r="S510" s="1"/>
      <c r="T510" s="1"/>
      <c r="U510" s="1"/>
      <c r="V510" s="6"/>
      <c r="W510" s="6"/>
    </row>
    <row r="511" ht="15.75" customHeight="1">
      <c r="A511" s="9" t="s">
        <v>29</v>
      </c>
      <c r="B511" s="10">
        <v>2025.0</v>
      </c>
      <c r="C511" s="14" t="s">
        <v>30</v>
      </c>
      <c r="D511" s="1" t="s">
        <v>555</v>
      </c>
      <c r="E511" s="2">
        <v>22500.0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22500.0</v>
      </c>
      <c r="O511" s="2">
        <v>0.0</v>
      </c>
      <c r="P511" s="2">
        <f t="shared" si="1"/>
        <v>0</v>
      </c>
      <c r="Q511" s="1"/>
      <c r="R511" s="1"/>
      <c r="S511" s="1"/>
      <c r="T511" s="1"/>
      <c r="U511" s="1"/>
      <c r="V511" s="6"/>
      <c r="W511" s="6"/>
    </row>
    <row r="512" ht="15.75" customHeight="1">
      <c r="A512" s="9" t="s">
        <v>29</v>
      </c>
      <c r="B512" s="10">
        <v>2025.0</v>
      </c>
      <c r="C512" s="14" t="s">
        <v>30</v>
      </c>
      <c r="D512" s="1" t="s">
        <v>556</v>
      </c>
      <c r="E512" s="2">
        <v>25000.0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25000.0</v>
      </c>
      <c r="O512" s="2">
        <v>0.0</v>
      </c>
      <c r="P512" s="2">
        <f t="shared" si="1"/>
        <v>0</v>
      </c>
      <c r="Q512" s="1"/>
      <c r="R512" s="1"/>
      <c r="S512" s="1"/>
      <c r="T512" s="1"/>
      <c r="U512" s="1"/>
      <c r="V512" s="6"/>
      <c r="W512" s="6"/>
    </row>
    <row r="513" ht="15.75" customHeight="1">
      <c r="A513" s="9" t="s">
        <v>29</v>
      </c>
      <c r="B513" s="10">
        <v>2025.0</v>
      </c>
      <c r="C513" s="14" t="s">
        <v>30</v>
      </c>
      <c r="D513" s="1" t="s">
        <v>557</v>
      </c>
      <c r="E513" s="2">
        <v>15500.0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15500.0</v>
      </c>
      <c r="O513" s="2">
        <v>0.0</v>
      </c>
      <c r="P513" s="2">
        <f t="shared" si="1"/>
        <v>0</v>
      </c>
      <c r="Q513" s="1"/>
      <c r="R513" s="1"/>
      <c r="S513" s="1"/>
      <c r="T513" s="1"/>
      <c r="U513" s="1"/>
      <c r="V513" s="6"/>
      <c r="W513" s="6"/>
    </row>
    <row r="514" ht="15.75" customHeight="1">
      <c r="A514" s="9" t="s">
        <v>29</v>
      </c>
      <c r="B514" s="10">
        <v>2025.0</v>
      </c>
      <c r="C514" s="14" t="s">
        <v>30</v>
      </c>
      <c r="D514" s="1" t="s">
        <v>558</v>
      </c>
      <c r="E514" s="2">
        <v>12000.0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12000.0</v>
      </c>
      <c r="O514" s="2">
        <v>0.0</v>
      </c>
      <c r="P514" s="2">
        <f t="shared" si="1"/>
        <v>0</v>
      </c>
      <c r="Q514" s="1"/>
      <c r="R514" s="1"/>
      <c r="S514" s="1"/>
      <c r="T514" s="1"/>
      <c r="U514" s="1"/>
      <c r="V514" s="6"/>
      <c r="W514" s="6"/>
    </row>
    <row r="515" ht="15.75" customHeight="1">
      <c r="A515" s="9" t="s">
        <v>29</v>
      </c>
      <c r="B515" s="10">
        <v>2025.0</v>
      </c>
      <c r="C515" s="14" t="s">
        <v>30</v>
      </c>
      <c r="D515" s="1" t="s">
        <v>559</v>
      </c>
      <c r="E515" s="2">
        <v>50000.0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50000.0</v>
      </c>
      <c r="O515" s="2">
        <v>0.0</v>
      </c>
      <c r="P515" s="2">
        <f t="shared" si="1"/>
        <v>0</v>
      </c>
      <c r="Q515" s="1"/>
      <c r="R515" s="1"/>
      <c r="S515" s="1"/>
      <c r="T515" s="1"/>
      <c r="U515" s="1"/>
      <c r="V515" s="6"/>
      <c r="W515" s="6"/>
    </row>
    <row r="516" ht="15.75" customHeight="1">
      <c r="A516" s="9" t="s">
        <v>29</v>
      </c>
      <c r="B516" s="10">
        <v>2025.0</v>
      </c>
      <c r="C516" s="14" t="s">
        <v>30</v>
      </c>
      <c r="D516" s="1" t="s">
        <v>560</v>
      </c>
      <c r="E516" s="2">
        <v>15000.0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15000.0</v>
      </c>
      <c r="O516" s="2">
        <v>0.0</v>
      </c>
      <c r="P516" s="2">
        <f t="shared" si="1"/>
        <v>0</v>
      </c>
      <c r="Q516" s="1"/>
      <c r="R516" s="1"/>
      <c r="S516" s="1"/>
      <c r="T516" s="1"/>
      <c r="U516" s="1"/>
      <c r="V516" s="6"/>
      <c r="W516" s="6"/>
    </row>
    <row r="517" ht="15.75" customHeight="1">
      <c r="A517" s="9" t="s">
        <v>29</v>
      </c>
      <c r="B517" s="10">
        <v>2025.0</v>
      </c>
      <c r="C517" s="14" t="s">
        <v>30</v>
      </c>
      <c r="D517" s="1" t="s">
        <v>561</v>
      </c>
      <c r="E517" s="2">
        <v>21500.0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21500.0</v>
      </c>
      <c r="O517" s="2">
        <v>0.0</v>
      </c>
      <c r="P517" s="2">
        <f t="shared" si="1"/>
        <v>0</v>
      </c>
      <c r="Q517" s="1"/>
      <c r="R517" s="1"/>
      <c r="S517" s="1"/>
      <c r="T517" s="1"/>
      <c r="U517" s="1"/>
      <c r="V517" s="6"/>
      <c r="W517" s="6"/>
    </row>
    <row r="518" ht="15.75" customHeight="1">
      <c r="A518" s="9" t="s">
        <v>29</v>
      </c>
      <c r="B518" s="10">
        <v>2025.0</v>
      </c>
      <c r="C518" s="14" t="s">
        <v>30</v>
      </c>
      <c r="D518" s="1" t="s">
        <v>562</v>
      </c>
      <c r="E518" s="2">
        <v>20000.0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20000.0</v>
      </c>
      <c r="O518" s="2">
        <v>0.0</v>
      </c>
      <c r="P518" s="2">
        <f t="shared" si="1"/>
        <v>0</v>
      </c>
      <c r="Q518" s="1"/>
      <c r="R518" s="1"/>
      <c r="S518" s="1"/>
      <c r="T518" s="1"/>
      <c r="U518" s="1"/>
      <c r="V518" s="6"/>
      <c r="W518" s="6"/>
    </row>
    <row r="519" ht="15.75" customHeight="1">
      <c r="A519" s="9" t="s">
        <v>29</v>
      </c>
      <c r="B519" s="10">
        <v>2025.0</v>
      </c>
      <c r="C519" s="14" t="s">
        <v>30</v>
      </c>
      <c r="D519" s="1" t="s">
        <v>563</v>
      </c>
      <c r="E519" s="2">
        <v>10000.0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10000.0</v>
      </c>
      <c r="O519" s="2">
        <v>0.0</v>
      </c>
      <c r="P519" s="2">
        <f t="shared" si="1"/>
        <v>0</v>
      </c>
      <c r="Q519" s="1"/>
      <c r="R519" s="1"/>
      <c r="S519" s="1"/>
      <c r="T519" s="1"/>
      <c r="U519" s="1"/>
      <c r="V519" s="6"/>
      <c r="W519" s="6"/>
    </row>
    <row r="520" ht="15.75" customHeight="1">
      <c r="A520" s="9" t="s">
        <v>29</v>
      </c>
      <c r="B520" s="10">
        <v>2025.0</v>
      </c>
      <c r="C520" s="14" t="s">
        <v>30</v>
      </c>
      <c r="D520" s="1" t="s">
        <v>564</v>
      </c>
      <c r="E520" s="2">
        <v>180000.0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180000.0</v>
      </c>
      <c r="O520" s="2">
        <v>0.0</v>
      </c>
      <c r="P520" s="2">
        <f t="shared" si="1"/>
        <v>0</v>
      </c>
      <c r="Q520" s="1"/>
      <c r="R520" s="1"/>
      <c r="S520" s="1"/>
      <c r="T520" s="1"/>
      <c r="U520" s="1"/>
      <c r="V520" s="6"/>
      <c r="W520" s="6"/>
    </row>
    <row r="521" ht="15.75" customHeight="1">
      <c r="A521" s="9" t="s">
        <v>29</v>
      </c>
      <c r="B521" s="10">
        <v>2025.0</v>
      </c>
      <c r="C521" s="14" t="s">
        <v>30</v>
      </c>
      <c r="D521" s="1" t="s">
        <v>565</v>
      </c>
      <c r="E521" s="2">
        <v>21000.0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21000.0</v>
      </c>
      <c r="O521" s="2">
        <v>0.0</v>
      </c>
      <c r="P521" s="2">
        <f t="shared" si="1"/>
        <v>0</v>
      </c>
      <c r="Q521" s="1"/>
      <c r="R521" s="1"/>
      <c r="S521" s="1"/>
      <c r="T521" s="1"/>
      <c r="U521" s="1"/>
      <c r="V521" s="6"/>
      <c r="W521" s="6"/>
    </row>
    <row r="522" ht="15.75" customHeight="1">
      <c r="A522" s="9" t="s">
        <v>29</v>
      </c>
      <c r="B522" s="10">
        <v>2025.0</v>
      </c>
      <c r="C522" s="14" t="s">
        <v>30</v>
      </c>
      <c r="D522" s="1" t="s">
        <v>566</v>
      </c>
      <c r="E522" s="2">
        <v>100000.0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100000.0</v>
      </c>
      <c r="O522" s="2">
        <v>0.0</v>
      </c>
      <c r="P522" s="2">
        <f t="shared" si="1"/>
        <v>0</v>
      </c>
      <c r="Q522" s="1"/>
      <c r="R522" s="1"/>
      <c r="S522" s="1"/>
      <c r="T522" s="1"/>
      <c r="U522" s="1"/>
      <c r="V522" s="6"/>
      <c r="W522" s="6"/>
    </row>
    <row r="523" ht="15.75" customHeight="1">
      <c r="A523" s="9" t="s">
        <v>29</v>
      </c>
      <c r="B523" s="10">
        <v>2025.0</v>
      </c>
      <c r="C523" s="14" t="s">
        <v>30</v>
      </c>
      <c r="D523" s="1" t="s">
        <v>567</v>
      </c>
      <c r="E523" s="2">
        <v>100000.0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100000.0</v>
      </c>
      <c r="O523" s="2">
        <v>0.0</v>
      </c>
      <c r="P523" s="2">
        <f t="shared" si="1"/>
        <v>0</v>
      </c>
      <c r="Q523" s="1"/>
      <c r="R523" s="1"/>
      <c r="S523" s="1"/>
      <c r="T523" s="1"/>
      <c r="U523" s="1"/>
      <c r="V523" s="6"/>
      <c r="W523" s="6"/>
    </row>
    <row r="524" ht="15.75" customHeight="1">
      <c r="A524" s="9" t="s">
        <v>29</v>
      </c>
      <c r="B524" s="10">
        <v>2025.0</v>
      </c>
      <c r="C524" s="14" t="s">
        <v>30</v>
      </c>
      <c r="D524" s="1" t="s">
        <v>568</v>
      </c>
      <c r="E524" s="2">
        <v>17500.0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17500.0</v>
      </c>
      <c r="O524" s="2">
        <v>0.0</v>
      </c>
      <c r="P524" s="2">
        <f t="shared" si="1"/>
        <v>0</v>
      </c>
      <c r="Q524" s="1"/>
      <c r="R524" s="1"/>
      <c r="S524" s="1"/>
      <c r="T524" s="1"/>
      <c r="U524" s="1"/>
      <c r="V524" s="6"/>
      <c r="W524" s="6"/>
    </row>
    <row r="525" ht="15.75" customHeight="1">
      <c r="A525" s="9" t="s">
        <v>29</v>
      </c>
      <c r="B525" s="10">
        <v>2025.0</v>
      </c>
      <c r="C525" s="14" t="s">
        <v>30</v>
      </c>
      <c r="D525" s="1" t="s">
        <v>569</v>
      </c>
      <c r="E525" s="2">
        <v>15000.0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15000.0</v>
      </c>
      <c r="O525" s="2">
        <v>0.0</v>
      </c>
      <c r="P525" s="2">
        <f t="shared" si="1"/>
        <v>0</v>
      </c>
      <c r="Q525" s="1"/>
      <c r="R525" s="1"/>
      <c r="S525" s="1"/>
      <c r="T525" s="1"/>
      <c r="U525" s="1"/>
      <c r="V525" s="6"/>
      <c r="W525" s="6"/>
    </row>
    <row r="526" ht="15.75" customHeight="1">
      <c r="A526" s="9" t="s">
        <v>29</v>
      </c>
      <c r="B526" s="10">
        <v>2025.0</v>
      </c>
      <c r="C526" s="14" t="s">
        <v>30</v>
      </c>
      <c r="D526" s="1" t="s">
        <v>570</v>
      </c>
      <c r="E526" s="2">
        <v>16000.0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16000.0</v>
      </c>
      <c r="O526" s="2">
        <v>0.0</v>
      </c>
      <c r="P526" s="2">
        <f t="shared" si="1"/>
        <v>0</v>
      </c>
      <c r="Q526" s="1"/>
      <c r="R526" s="1"/>
      <c r="S526" s="1"/>
      <c r="T526" s="1"/>
      <c r="U526" s="1"/>
      <c r="V526" s="6"/>
      <c r="W526" s="6"/>
    </row>
    <row r="527" ht="15.75" customHeight="1">
      <c r="A527" s="9" t="s">
        <v>29</v>
      </c>
      <c r="B527" s="10">
        <v>2025.0</v>
      </c>
      <c r="C527" s="14" t="s">
        <v>30</v>
      </c>
      <c r="D527" s="1" t="s">
        <v>571</v>
      </c>
      <c r="E527" s="2">
        <v>240000.0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240000.0</v>
      </c>
      <c r="O527" s="2">
        <v>0.0</v>
      </c>
      <c r="P527" s="2">
        <f t="shared" si="1"/>
        <v>0</v>
      </c>
      <c r="Q527" s="1"/>
      <c r="R527" s="1"/>
      <c r="S527" s="1"/>
      <c r="T527" s="1"/>
      <c r="U527" s="1"/>
      <c r="V527" s="6"/>
      <c r="W527" s="6"/>
    </row>
    <row r="528" ht="15.75" customHeight="1">
      <c r="A528" s="9" t="s">
        <v>29</v>
      </c>
      <c r="B528" s="10">
        <v>2025.0</v>
      </c>
      <c r="C528" s="14" t="s">
        <v>30</v>
      </c>
      <c r="D528" s="1" t="s">
        <v>572</v>
      </c>
      <c r="E528" s="2">
        <v>150000.0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150000.0</v>
      </c>
      <c r="O528" s="2">
        <v>0.0</v>
      </c>
      <c r="P528" s="2">
        <f t="shared" si="1"/>
        <v>0</v>
      </c>
      <c r="Q528" s="1"/>
      <c r="R528" s="1"/>
      <c r="S528" s="1"/>
      <c r="T528" s="1"/>
      <c r="U528" s="1"/>
      <c r="V528" s="6"/>
      <c r="W528" s="6"/>
    </row>
    <row r="529" ht="15.75" customHeight="1">
      <c r="A529" s="9" t="s">
        <v>29</v>
      </c>
      <c r="B529" s="10">
        <v>2025.0</v>
      </c>
      <c r="C529" s="14" t="s">
        <v>30</v>
      </c>
      <c r="D529" s="1" t="s">
        <v>573</v>
      </c>
      <c r="E529" s="2">
        <v>38500.0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38500.0</v>
      </c>
      <c r="O529" s="2">
        <v>0.0</v>
      </c>
      <c r="P529" s="2">
        <f t="shared" si="1"/>
        <v>0</v>
      </c>
      <c r="Q529" s="1"/>
      <c r="R529" s="1"/>
      <c r="S529" s="1"/>
      <c r="T529" s="1"/>
      <c r="U529" s="1"/>
      <c r="V529" s="6"/>
      <c r="W529" s="6"/>
    </row>
    <row r="530" ht="15.75" customHeight="1">
      <c r="A530" s="9" t="s">
        <v>29</v>
      </c>
      <c r="B530" s="10">
        <v>2025.0</v>
      </c>
      <c r="C530" s="14" t="s">
        <v>30</v>
      </c>
      <c r="D530" s="1" t="s">
        <v>574</v>
      </c>
      <c r="E530" s="2">
        <v>1200000.0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1200000.0</v>
      </c>
      <c r="O530" s="2">
        <v>0.0</v>
      </c>
      <c r="P530" s="2">
        <f t="shared" si="1"/>
        <v>0</v>
      </c>
      <c r="Q530" s="1"/>
      <c r="R530" s="1"/>
      <c r="S530" s="1"/>
      <c r="T530" s="1"/>
      <c r="U530" s="1"/>
      <c r="V530" s="6"/>
      <c r="W530" s="6"/>
    </row>
    <row r="531" ht="15.75" customHeight="1">
      <c r="A531" s="9" t="s">
        <v>29</v>
      </c>
      <c r="B531" s="10">
        <v>2025.0</v>
      </c>
      <c r="C531" s="14" t="s">
        <v>30</v>
      </c>
      <c r="D531" s="1" t="s">
        <v>575</v>
      </c>
      <c r="E531" s="2">
        <v>693000.0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693000.0</v>
      </c>
      <c r="O531" s="2">
        <v>0.0</v>
      </c>
      <c r="P531" s="2">
        <f t="shared" si="1"/>
        <v>0</v>
      </c>
      <c r="Q531" s="1"/>
      <c r="R531" s="1"/>
      <c r="S531" s="1"/>
      <c r="T531" s="1"/>
      <c r="U531" s="1"/>
      <c r="V531" s="6"/>
      <c r="W531" s="6"/>
    </row>
    <row r="532" ht="15.75" customHeight="1">
      <c r="A532" s="9" t="s">
        <v>29</v>
      </c>
      <c r="B532" s="10">
        <v>2025.0</v>
      </c>
      <c r="C532" s="14" t="s">
        <v>30</v>
      </c>
      <c r="D532" s="1" t="s">
        <v>576</v>
      </c>
      <c r="E532" s="2">
        <v>360000.0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360000.0</v>
      </c>
      <c r="O532" s="2">
        <v>0.0</v>
      </c>
      <c r="P532" s="2">
        <f t="shared" si="1"/>
        <v>0</v>
      </c>
      <c r="Q532" s="1"/>
      <c r="R532" s="1"/>
      <c r="S532" s="1"/>
      <c r="T532" s="1"/>
      <c r="U532" s="1"/>
      <c r="V532" s="6"/>
      <c r="W532" s="6"/>
    </row>
    <row r="533" ht="15.75" customHeight="1">
      <c r="A533" s="9" t="s">
        <v>29</v>
      </c>
      <c r="B533" s="10">
        <v>2025.0</v>
      </c>
      <c r="C533" s="14" t="s">
        <v>30</v>
      </c>
      <c r="D533" s="1" t="s">
        <v>577</v>
      </c>
      <c r="E533" s="2">
        <v>336000.0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336000.0</v>
      </c>
      <c r="O533" s="2">
        <v>0.0</v>
      </c>
      <c r="P533" s="2">
        <f t="shared" si="1"/>
        <v>0</v>
      </c>
      <c r="Q533" s="1"/>
      <c r="R533" s="1"/>
      <c r="S533" s="1"/>
      <c r="T533" s="1"/>
      <c r="U533" s="1"/>
      <c r="V533" s="6"/>
      <c r="W533" s="6"/>
    </row>
    <row r="534" ht="15.75" customHeight="1">
      <c r="A534" s="9" t="s">
        <v>29</v>
      </c>
      <c r="B534" s="10">
        <v>2025.0</v>
      </c>
      <c r="C534" s="14" t="s">
        <v>30</v>
      </c>
      <c r="D534" s="1" t="s">
        <v>578</v>
      </c>
      <c r="E534" s="2">
        <v>1000.0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1000.0</v>
      </c>
      <c r="O534" s="2">
        <v>0.0</v>
      </c>
      <c r="P534" s="2">
        <f t="shared" si="1"/>
        <v>0</v>
      </c>
      <c r="Q534" s="1"/>
      <c r="R534" s="1"/>
      <c r="S534" s="1"/>
      <c r="T534" s="1"/>
      <c r="U534" s="1"/>
      <c r="V534" s="6"/>
      <c r="W534" s="6"/>
    </row>
    <row r="535" ht="15.75" customHeight="1">
      <c r="A535" s="9" t="s">
        <v>29</v>
      </c>
      <c r="B535" s="10">
        <v>2025.0</v>
      </c>
      <c r="C535" s="14" t="s">
        <v>30</v>
      </c>
      <c r="D535" s="1" t="s">
        <v>579</v>
      </c>
      <c r="E535" s="2">
        <v>1450000.0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1450000.0</v>
      </c>
      <c r="O535" s="2">
        <v>0.0</v>
      </c>
      <c r="P535" s="2">
        <f t="shared" si="1"/>
        <v>0</v>
      </c>
      <c r="Q535" s="1"/>
      <c r="R535" s="1"/>
      <c r="S535" s="1"/>
      <c r="T535" s="1"/>
      <c r="U535" s="1"/>
      <c r="V535" s="6"/>
      <c r="W535" s="6"/>
    </row>
    <row r="536" ht="15.75" customHeight="1">
      <c r="A536" s="9" t="s">
        <v>29</v>
      </c>
      <c r="B536" s="10">
        <v>2025.0</v>
      </c>
      <c r="C536" s="14" t="s">
        <v>30</v>
      </c>
      <c r="D536" s="1" t="s">
        <v>580</v>
      </c>
      <c r="E536" s="2">
        <v>2500.0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2500.0</v>
      </c>
      <c r="O536" s="2">
        <v>0.0</v>
      </c>
      <c r="P536" s="2">
        <f t="shared" si="1"/>
        <v>0</v>
      </c>
      <c r="Q536" s="1"/>
      <c r="R536" s="1"/>
      <c r="S536" s="1"/>
      <c r="T536" s="1"/>
      <c r="U536" s="1"/>
      <c r="V536" s="6"/>
      <c r="W536" s="6"/>
    </row>
    <row r="537" ht="15.75" customHeight="1">
      <c r="A537" s="9" t="s">
        <v>29</v>
      </c>
      <c r="B537" s="10">
        <v>2025.0</v>
      </c>
      <c r="C537" s="14" t="s">
        <v>30</v>
      </c>
      <c r="D537" s="1" t="s">
        <v>581</v>
      </c>
      <c r="E537" s="2">
        <v>360000.0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360000.0</v>
      </c>
      <c r="O537" s="2">
        <v>0.0</v>
      </c>
      <c r="P537" s="2">
        <f t="shared" si="1"/>
        <v>0</v>
      </c>
      <c r="Q537" s="1"/>
      <c r="R537" s="1"/>
      <c r="S537" s="1"/>
      <c r="T537" s="1"/>
      <c r="U537" s="1"/>
      <c r="V537" s="6"/>
      <c r="W537" s="6"/>
    </row>
    <row r="538" ht="15.75" customHeight="1">
      <c r="A538" s="9" t="s">
        <v>29</v>
      </c>
      <c r="B538" s="10">
        <v>2025.0</v>
      </c>
      <c r="C538" s="14" t="s">
        <v>30</v>
      </c>
      <c r="D538" s="1" t="s">
        <v>582</v>
      </c>
      <c r="E538" s="2">
        <v>100000.0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100000.0</v>
      </c>
      <c r="O538" s="2">
        <v>0.0</v>
      </c>
      <c r="P538" s="2">
        <f t="shared" si="1"/>
        <v>0</v>
      </c>
      <c r="Q538" s="1"/>
      <c r="R538" s="1"/>
      <c r="S538" s="1"/>
      <c r="T538" s="1"/>
      <c r="U538" s="1"/>
      <c r="V538" s="6"/>
      <c r="W538" s="6"/>
    </row>
    <row r="539" ht="15.75" customHeight="1">
      <c r="A539" s="9" t="s">
        <v>29</v>
      </c>
      <c r="B539" s="10">
        <v>2025.0</v>
      </c>
      <c r="C539" s="14" t="s">
        <v>30</v>
      </c>
      <c r="D539" s="1" t="s">
        <v>583</v>
      </c>
      <c r="E539" s="2">
        <v>4900000.0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4900000.0</v>
      </c>
      <c r="O539" s="2">
        <v>0.0</v>
      </c>
      <c r="P539" s="2">
        <f t="shared" si="1"/>
        <v>0</v>
      </c>
      <c r="Q539" s="1"/>
      <c r="R539" s="1"/>
      <c r="S539" s="1"/>
      <c r="T539" s="1"/>
      <c r="U539" s="1"/>
      <c r="V539" s="6"/>
      <c r="W539" s="6"/>
    </row>
    <row r="540" ht="15.75" customHeight="1">
      <c r="A540" s="9" t="s">
        <v>29</v>
      </c>
      <c r="B540" s="10">
        <v>2025.0</v>
      </c>
      <c r="C540" s="14" t="s">
        <v>30</v>
      </c>
      <c r="D540" s="1" t="s">
        <v>584</v>
      </c>
      <c r="E540" s="2">
        <v>525000.0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525000.0</v>
      </c>
      <c r="O540" s="2">
        <v>0.0</v>
      </c>
      <c r="P540" s="2">
        <f t="shared" si="1"/>
        <v>0</v>
      </c>
      <c r="Q540" s="1"/>
      <c r="R540" s="1"/>
      <c r="S540" s="1"/>
      <c r="T540" s="1"/>
      <c r="U540" s="1"/>
      <c r="V540" s="6"/>
      <c r="W540" s="6"/>
    </row>
    <row r="541" ht="15.75" customHeight="1">
      <c r="A541" s="9" t="s">
        <v>29</v>
      </c>
      <c r="B541" s="10">
        <v>2025.0</v>
      </c>
      <c r="C541" s="14" t="s">
        <v>30</v>
      </c>
      <c r="D541" s="1" t="s">
        <v>585</v>
      </c>
      <c r="E541" s="2">
        <v>45500.0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45500.0</v>
      </c>
      <c r="O541" s="2">
        <v>0.0</v>
      </c>
      <c r="P541" s="2">
        <f t="shared" si="1"/>
        <v>0</v>
      </c>
      <c r="Q541" s="1"/>
      <c r="R541" s="1"/>
      <c r="S541" s="1"/>
      <c r="T541" s="1"/>
      <c r="U541" s="1"/>
      <c r="V541" s="6"/>
      <c r="W541" s="6"/>
    </row>
    <row r="542" ht="15.75" customHeight="1">
      <c r="A542" s="9" t="s">
        <v>29</v>
      </c>
      <c r="B542" s="10">
        <v>2025.0</v>
      </c>
      <c r="C542" s="14" t="s">
        <v>30</v>
      </c>
      <c r="D542" s="1" t="s">
        <v>586</v>
      </c>
      <c r="E542" s="2">
        <v>19500.0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19500.0</v>
      </c>
      <c r="O542" s="2">
        <v>0.0</v>
      </c>
      <c r="P542" s="2">
        <f t="shared" si="1"/>
        <v>0</v>
      </c>
      <c r="Q542" s="1"/>
      <c r="R542" s="1"/>
      <c r="S542" s="1"/>
      <c r="T542" s="1"/>
      <c r="U542" s="1"/>
      <c r="V542" s="6"/>
      <c r="W542" s="6"/>
    </row>
    <row r="543" ht="15.75" customHeight="1">
      <c r="A543" s="9" t="s">
        <v>29</v>
      </c>
      <c r="B543" s="10">
        <v>2025.0</v>
      </c>
      <c r="C543" s="14" t="s">
        <v>30</v>
      </c>
      <c r="D543" s="1" t="s">
        <v>587</v>
      </c>
      <c r="E543" s="2">
        <v>222709.0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222709.0</v>
      </c>
      <c r="O543" s="2">
        <v>0.0</v>
      </c>
      <c r="P543" s="2">
        <f t="shared" si="1"/>
        <v>0</v>
      </c>
      <c r="Q543" s="1"/>
      <c r="R543" s="1"/>
      <c r="S543" s="1"/>
      <c r="T543" s="1"/>
      <c r="U543" s="1"/>
      <c r="V543" s="6"/>
      <c r="W543" s="6"/>
    </row>
    <row r="544" ht="15.75" customHeight="1">
      <c r="A544" s="9" t="s">
        <v>29</v>
      </c>
      <c r="B544" s="10">
        <v>2025.0</v>
      </c>
      <c r="C544" s="14" t="s">
        <v>30</v>
      </c>
      <c r="D544" s="1" t="s">
        <v>588</v>
      </c>
      <c r="E544" s="2">
        <v>240000.0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240000.0</v>
      </c>
      <c r="O544" s="2">
        <v>0.0</v>
      </c>
      <c r="P544" s="2">
        <f t="shared" si="1"/>
        <v>0</v>
      </c>
      <c r="Q544" s="1"/>
      <c r="R544" s="1"/>
      <c r="S544" s="1"/>
      <c r="T544" s="1"/>
      <c r="U544" s="1"/>
      <c r="V544" s="6"/>
      <c r="W544" s="6"/>
    </row>
    <row r="545" ht="15.75" customHeight="1">
      <c r="A545" s="9" t="s">
        <v>29</v>
      </c>
      <c r="B545" s="10">
        <v>2025.0</v>
      </c>
      <c r="C545" s="14" t="s">
        <v>30</v>
      </c>
      <c r="D545" s="1" t="s">
        <v>589</v>
      </c>
      <c r="E545" s="2">
        <v>473000.0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473000.0</v>
      </c>
      <c r="O545" s="2">
        <v>0.0</v>
      </c>
      <c r="P545" s="2">
        <f t="shared" si="1"/>
        <v>0</v>
      </c>
      <c r="Q545" s="1"/>
      <c r="R545" s="1"/>
      <c r="S545" s="1"/>
      <c r="T545" s="1"/>
      <c r="U545" s="1"/>
      <c r="V545" s="6"/>
      <c r="W545" s="6"/>
    </row>
    <row r="546" ht="15.75" customHeight="1">
      <c r="A546" s="9" t="s">
        <v>29</v>
      </c>
      <c r="B546" s="10">
        <v>2025.0</v>
      </c>
      <c r="C546" s="14" t="s">
        <v>30</v>
      </c>
      <c r="D546" s="1" t="s">
        <v>590</v>
      </c>
      <c r="E546" s="2">
        <v>286000.0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286000.0</v>
      </c>
      <c r="O546" s="2">
        <v>0.0</v>
      </c>
      <c r="P546" s="2">
        <f t="shared" si="1"/>
        <v>0</v>
      </c>
      <c r="Q546" s="1"/>
      <c r="R546" s="1"/>
      <c r="S546" s="1"/>
      <c r="T546" s="1"/>
      <c r="U546" s="1"/>
      <c r="V546" s="6"/>
      <c r="W546" s="6"/>
    </row>
    <row r="547" ht="15.75" customHeight="1">
      <c r="A547" s="9" t="s">
        <v>29</v>
      </c>
      <c r="B547" s="10">
        <v>2025.0</v>
      </c>
      <c r="C547" s="14" t="s">
        <v>30</v>
      </c>
      <c r="D547" s="1" t="s">
        <v>580</v>
      </c>
      <c r="E547" s="2">
        <v>2500.0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2500.0</v>
      </c>
      <c r="O547" s="2">
        <v>0.0</v>
      </c>
      <c r="P547" s="2">
        <f t="shared" si="1"/>
        <v>0</v>
      </c>
      <c r="Q547" s="1"/>
      <c r="R547" s="1"/>
      <c r="S547" s="1"/>
      <c r="T547" s="1"/>
      <c r="U547" s="1"/>
      <c r="V547" s="6"/>
      <c r="W547" s="6"/>
    </row>
    <row r="548" ht="15.75" customHeight="1">
      <c r="A548" s="9" t="s">
        <v>29</v>
      </c>
      <c r="B548" s="10">
        <v>2025.0</v>
      </c>
      <c r="C548" s="14" t="s">
        <v>30</v>
      </c>
      <c r="D548" s="1" t="s">
        <v>591</v>
      </c>
      <c r="E548" s="2">
        <v>300000.0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300000.0</v>
      </c>
      <c r="O548" s="2">
        <v>0.0</v>
      </c>
      <c r="P548" s="2">
        <f t="shared" si="1"/>
        <v>0</v>
      </c>
      <c r="Q548" s="1"/>
      <c r="R548" s="1"/>
      <c r="S548" s="1"/>
      <c r="T548" s="1"/>
      <c r="U548" s="1"/>
      <c r="V548" s="6"/>
      <c r="W548" s="6"/>
    </row>
    <row r="549" ht="15.75" customHeight="1">
      <c r="A549" s="9" t="s">
        <v>29</v>
      </c>
      <c r="B549" s="10">
        <v>2025.0</v>
      </c>
      <c r="C549" s="14" t="s">
        <v>30</v>
      </c>
      <c r="D549" s="1" t="s">
        <v>592</v>
      </c>
      <c r="E549" s="2">
        <v>1.0E7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1.0E7</v>
      </c>
      <c r="O549" s="2">
        <v>0.0</v>
      </c>
      <c r="P549" s="2">
        <f t="shared" si="1"/>
        <v>0</v>
      </c>
      <c r="Q549" s="1"/>
      <c r="R549" s="1"/>
      <c r="S549" s="1"/>
      <c r="T549" s="1"/>
      <c r="U549" s="1"/>
      <c r="V549" s="6"/>
      <c r="W549" s="6"/>
    </row>
    <row r="550" ht="15.75" customHeight="1">
      <c r="A550" s="9" t="s">
        <v>29</v>
      </c>
      <c r="B550" s="10">
        <v>2025.0</v>
      </c>
      <c r="C550" s="14" t="s">
        <v>30</v>
      </c>
      <c r="D550" s="1" t="s">
        <v>580</v>
      </c>
      <c r="E550" s="2">
        <v>2500.0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2500.0</v>
      </c>
      <c r="O550" s="2">
        <v>0.0</v>
      </c>
      <c r="P550" s="2">
        <f t="shared" si="1"/>
        <v>0</v>
      </c>
      <c r="Q550" s="1"/>
      <c r="R550" s="1"/>
      <c r="S550" s="1"/>
      <c r="T550" s="1"/>
      <c r="U550" s="1"/>
      <c r="V550" s="6"/>
      <c r="W550" s="6"/>
    </row>
    <row r="551" ht="15.75" customHeight="1">
      <c r="A551" s="9" t="s">
        <v>29</v>
      </c>
      <c r="B551" s="10">
        <v>2025.0</v>
      </c>
      <c r="C551" s="14" t="s">
        <v>30</v>
      </c>
      <c r="D551" s="1" t="s">
        <v>593</v>
      </c>
      <c r="E551" s="2">
        <v>228000.0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228000.0</v>
      </c>
      <c r="O551" s="2">
        <v>0.0</v>
      </c>
      <c r="P551" s="2">
        <f t="shared" si="1"/>
        <v>0</v>
      </c>
      <c r="Q551" s="1"/>
      <c r="R551" s="1"/>
      <c r="S551" s="1"/>
      <c r="T551" s="1"/>
      <c r="U551" s="1"/>
      <c r="V551" s="6"/>
      <c r="W551" s="6"/>
    </row>
    <row r="552" ht="15.75" customHeight="1">
      <c r="A552" s="9" t="s">
        <v>29</v>
      </c>
      <c r="B552" s="10">
        <v>2025.0</v>
      </c>
      <c r="C552" s="14" t="s">
        <v>30</v>
      </c>
      <c r="D552" s="1" t="s">
        <v>580</v>
      </c>
      <c r="E552" s="2">
        <v>2500.0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2500.0</v>
      </c>
      <c r="O552" s="2">
        <v>0.0</v>
      </c>
      <c r="P552" s="2">
        <f t="shared" si="1"/>
        <v>0</v>
      </c>
      <c r="Q552" s="1"/>
      <c r="R552" s="1"/>
      <c r="S552" s="1"/>
      <c r="T552" s="1"/>
      <c r="U552" s="1"/>
      <c r="V552" s="6"/>
      <c r="W552" s="6"/>
    </row>
    <row r="553" ht="15.75" customHeight="1">
      <c r="A553" s="9" t="s">
        <v>29</v>
      </c>
      <c r="B553" s="10">
        <v>2025.0</v>
      </c>
      <c r="C553" s="14" t="s">
        <v>30</v>
      </c>
      <c r="D553" s="1" t="s">
        <v>594</v>
      </c>
      <c r="E553" s="2">
        <v>21000.0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21000.0</v>
      </c>
      <c r="O553" s="2">
        <v>0.0</v>
      </c>
      <c r="P553" s="2">
        <f t="shared" si="1"/>
        <v>0</v>
      </c>
      <c r="Q553" s="1"/>
      <c r="R553" s="1"/>
      <c r="S553" s="1"/>
      <c r="T553" s="1"/>
      <c r="U553" s="1"/>
      <c r="V553" s="6"/>
      <c r="W553" s="6"/>
    </row>
    <row r="554" ht="15.75" customHeight="1">
      <c r="A554" s="9" t="s">
        <v>29</v>
      </c>
      <c r="B554" s="10">
        <v>2025.0</v>
      </c>
      <c r="C554" s="14" t="s">
        <v>30</v>
      </c>
      <c r="D554" s="1" t="s">
        <v>595</v>
      </c>
      <c r="E554" s="2">
        <v>140000.0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140000.0</v>
      </c>
      <c r="O554" s="2">
        <v>0.0</v>
      </c>
      <c r="P554" s="2">
        <f t="shared" si="1"/>
        <v>0</v>
      </c>
      <c r="Q554" s="1"/>
      <c r="R554" s="1"/>
      <c r="S554" s="1"/>
      <c r="T554" s="1"/>
      <c r="U554" s="1"/>
      <c r="V554" s="6"/>
      <c r="W554" s="6"/>
    </row>
    <row r="555" ht="15.75" customHeight="1">
      <c r="A555" s="9" t="s">
        <v>29</v>
      </c>
      <c r="B555" s="10">
        <v>2025.0</v>
      </c>
      <c r="C555" s="14" t="s">
        <v>30</v>
      </c>
      <c r="D555" s="1" t="s">
        <v>596</v>
      </c>
      <c r="E555" s="2">
        <v>4500000.0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4500000.0</v>
      </c>
      <c r="O555" s="2">
        <v>0.0</v>
      </c>
      <c r="P555" s="2">
        <f t="shared" si="1"/>
        <v>0</v>
      </c>
      <c r="Q555" s="1"/>
      <c r="R555" s="1"/>
      <c r="S555" s="1"/>
      <c r="T555" s="1"/>
      <c r="U555" s="1"/>
      <c r="V555" s="6"/>
      <c r="W555" s="6"/>
    </row>
    <row r="556" ht="15.75" customHeight="1">
      <c r="A556" s="9" t="s">
        <v>29</v>
      </c>
      <c r="B556" s="10">
        <v>2025.0</v>
      </c>
      <c r="C556" s="14" t="s">
        <v>30</v>
      </c>
      <c r="D556" s="1" t="s">
        <v>597</v>
      </c>
      <c r="E556" s="2">
        <v>1800000.0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1800000.0</v>
      </c>
      <c r="O556" s="2">
        <v>0.0</v>
      </c>
      <c r="P556" s="2">
        <f t="shared" si="1"/>
        <v>0</v>
      </c>
      <c r="Q556" s="1"/>
      <c r="R556" s="1"/>
      <c r="S556" s="1"/>
      <c r="T556" s="1"/>
      <c r="U556" s="1"/>
      <c r="V556" s="6"/>
      <c r="W556" s="6"/>
    </row>
    <row r="557" ht="15.75" customHeight="1">
      <c r="A557" s="9" t="s">
        <v>29</v>
      </c>
      <c r="B557" s="10">
        <v>2025.0</v>
      </c>
      <c r="C557" s="14" t="s">
        <v>30</v>
      </c>
      <c r="D557" s="1" t="s">
        <v>598</v>
      </c>
      <c r="E557" s="2">
        <v>900000.0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900000.0</v>
      </c>
      <c r="O557" s="2">
        <v>0.0</v>
      </c>
      <c r="P557" s="2">
        <f t="shared" si="1"/>
        <v>0</v>
      </c>
      <c r="Q557" s="1"/>
      <c r="R557" s="1"/>
      <c r="S557" s="1"/>
      <c r="T557" s="1"/>
      <c r="U557" s="1"/>
      <c r="V557" s="6"/>
      <c r="W557" s="6"/>
    </row>
    <row r="558" ht="15.75" customHeight="1">
      <c r="A558" s="9" t="s">
        <v>29</v>
      </c>
      <c r="B558" s="10">
        <v>2025.0</v>
      </c>
      <c r="C558" s="14" t="s">
        <v>30</v>
      </c>
      <c r="D558" s="1" t="s">
        <v>599</v>
      </c>
      <c r="E558" s="2">
        <v>2000000.0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2000000.0</v>
      </c>
      <c r="O558" s="2">
        <v>0.0</v>
      </c>
      <c r="P558" s="2">
        <f t="shared" si="1"/>
        <v>0</v>
      </c>
      <c r="Q558" s="1"/>
      <c r="R558" s="1"/>
      <c r="S558" s="1"/>
      <c r="T558" s="1"/>
      <c r="U558" s="1"/>
      <c r="V558" s="6"/>
      <c r="W558" s="6"/>
    </row>
    <row r="559" ht="15.75" customHeight="1">
      <c r="A559" s="9" t="s">
        <v>29</v>
      </c>
      <c r="B559" s="10">
        <v>2025.0</v>
      </c>
      <c r="C559" s="14" t="s">
        <v>30</v>
      </c>
      <c r="D559" s="1" t="s">
        <v>600</v>
      </c>
      <c r="E559" s="2">
        <v>21000.0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21000.0</v>
      </c>
      <c r="O559" s="2">
        <v>0.0</v>
      </c>
      <c r="P559" s="2">
        <f t="shared" si="1"/>
        <v>0</v>
      </c>
      <c r="Q559" s="1"/>
      <c r="R559" s="1"/>
      <c r="S559" s="1"/>
      <c r="T559" s="1"/>
      <c r="U559" s="1"/>
      <c r="V559" s="6"/>
      <c r="W559" s="6"/>
    </row>
    <row r="560" ht="15.75" customHeight="1">
      <c r="A560" s="9" t="s">
        <v>29</v>
      </c>
      <c r="B560" s="10">
        <v>2025.0</v>
      </c>
      <c r="C560" s="14" t="s">
        <v>30</v>
      </c>
      <c r="D560" s="1" t="s">
        <v>601</v>
      </c>
      <c r="E560" s="2">
        <v>1830000.0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1830000.0</v>
      </c>
      <c r="O560" s="2">
        <v>0.0</v>
      </c>
      <c r="P560" s="2">
        <f t="shared" si="1"/>
        <v>0</v>
      </c>
      <c r="Q560" s="1"/>
      <c r="R560" s="1"/>
      <c r="S560" s="1"/>
      <c r="T560" s="1"/>
      <c r="U560" s="1"/>
      <c r="V560" s="6"/>
      <c r="W560" s="6"/>
    </row>
    <row r="561" ht="15.75" customHeight="1">
      <c r="A561" s="9" t="s">
        <v>29</v>
      </c>
      <c r="B561" s="10">
        <v>2025.0</v>
      </c>
      <c r="C561" s="14" t="s">
        <v>30</v>
      </c>
      <c r="D561" s="1" t="s">
        <v>602</v>
      </c>
      <c r="E561" s="2">
        <v>5000.0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5000.0</v>
      </c>
      <c r="O561" s="2">
        <v>0.0</v>
      </c>
      <c r="P561" s="2">
        <f t="shared" si="1"/>
        <v>0</v>
      </c>
      <c r="Q561" s="1"/>
      <c r="R561" s="1"/>
      <c r="S561" s="1"/>
      <c r="T561" s="1"/>
      <c r="U561" s="1"/>
      <c r="V561" s="6"/>
      <c r="W561" s="6"/>
    </row>
    <row r="562" ht="15.75" customHeight="1">
      <c r="A562" s="9" t="s">
        <v>29</v>
      </c>
      <c r="B562" s="10">
        <v>2025.0</v>
      </c>
      <c r="C562" s="14" t="s">
        <v>30</v>
      </c>
      <c r="D562" s="1" t="s">
        <v>603</v>
      </c>
      <c r="E562" s="2">
        <v>980000.0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980000.0</v>
      </c>
      <c r="O562" s="2">
        <v>0.0</v>
      </c>
      <c r="P562" s="2">
        <f t="shared" si="1"/>
        <v>0</v>
      </c>
      <c r="Q562" s="1"/>
      <c r="R562" s="1"/>
      <c r="S562" s="1"/>
      <c r="T562" s="1"/>
      <c r="U562" s="1"/>
      <c r="V562" s="6"/>
      <c r="W562" s="6"/>
    </row>
    <row r="563" ht="15.75" customHeight="1">
      <c r="A563" s="9" t="s">
        <v>29</v>
      </c>
      <c r="B563" s="10">
        <v>2025.0</v>
      </c>
      <c r="C563" s="14" t="s">
        <v>30</v>
      </c>
      <c r="D563" s="1" t="s">
        <v>604</v>
      </c>
      <c r="E563" s="2">
        <v>427130.0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427130.0</v>
      </c>
      <c r="O563" s="2">
        <v>0.0</v>
      </c>
      <c r="P563" s="2">
        <f t="shared" si="1"/>
        <v>0</v>
      </c>
      <c r="Q563" s="1"/>
      <c r="R563" s="1"/>
      <c r="S563" s="1"/>
      <c r="T563" s="1"/>
      <c r="U563" s="1"/>
      <c r="V563" s="6"/>
      <c r="W563" s="6"/>
    </row>
    <row r="564" ht="15.75" customHeight="1">
      <c r="A564" s="9" t="s">
        <v>29</v>
      </c>
      <c r="B564" s="10">
        <v>2025.0</v>
      </c>
      <c r="C564" s="14" t="s">
        <v>30</v>
      </c>
      <c r="D564" s="1" t="s">
        <v>605</v>
      </c>
      <c r="E564" s="2">
        <v>600000.0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600000.0</v>
      </c>
      <c r="O564" s="2">
        <v>0.0</v>
      </c>
      <c r="P564" s="2">
        <f t="shared" si="1"/>
        <v>0</v>
      </c>
      <c r="Q564" s="1"/>
      <c r="R564" s="1"/>
      <c r="S564" s="1"/>
      <c r="T564" s="1"/>
      <c r="U564" s="1"/>
      <c r="V564" s="6"/>
      <c r="W564" s="6"/>
    </row>
    <row r="565" ht="15.75" customHeight="1">
      <c r="A565" s="9" t="s">
        <v>29</v>
      </c>
      <c r="B565" s="10">
        <v>2025.0</v>
      </c>
      <c r="C565" s="14" t="s">
        <v>30</v>
      </c>
      <c r="D565" s="1" t="s">
        <v>606</v>
      </c>
      <c r="E565" s="2">
        <v>100000.0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100000.0</v>
      </c>
      <c r="O565" s="2">
        <v>0.0</v>
      </c>
      <c r="P565" s="2">
        <f t="shared" si="1"/>
        <v>0</v>
      </c>
      <c r="Q565" s="1"/>
      <c r="R565" s="1"/>
      <c r="S565" s="1"/>
      <c r="T565" s="1"/>
      <c r="U565" s="1"/>
      <c r="V565" s="6"/>
      <c r="W565" s="6"/>
    </row>
    <row r="566" ht="15.75" customHeight="1">
      <c r="A566" s="9" t="s">
        <v>29</v>
      </c>
      <c r="B566" s="10">
        <v>2025.0</v>
      </c>
      <c r="C566" s="14" t="s">
        <v>466</v>
      </c>
      <c r="D566" s="1" t="s">
        <v>607</v>
      </c>
      <c r="E566" s="2">
        <v>407000.0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407000.0</v>
      </c>
      <c r="O566" s="2">
        <v>0.0</v>
      </c>
      <c r="P566" s="2">
        <f t="shared" si="1"/>
        <v>0</v>
      </c>
      <c r="Q566" s="1"/>
      <c r="R566" s="1"/>
      <c r="S566" s="1"/>
      <c r="T566" s="1"/>
      <c r="U566" s="1"/>
      <c r="V566" s="6"/>
      <c r="W566" s="6"/>
    </row>
    <row r="567" ht="15.75" customHeight="1">
      <c r="A567" s="9" t="s">
        <v>29</v>
      </c>
      <c r="B567" s="10">
        <v>2025.0</v>
      </c>
      <c r="C567" s="14" t="s">
        <v>466</v>
      </c>
      <c r="D567" s="1" t="s">
        <v>608</v>
      </c>
      <c r="E567" s="2">
        <v>287700.0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287700.0</v>
      </c>
      <c r="O567" s="2">
        <v>0.0</v>
      </c>
      <c r="P567" s="2">
        <f t="shared" si="1"/>
        <v>0</v>
      </c>
      <c r="Q567" s="1"/>
      <c r="R567" s="1"/>
      <c r="S567" s="1"/>
      <c r="T567" s="1"/>
      <c r="U567" s="1"/>
      <c r="V567" s="6"/>
      <c r="W567" s="6"/>
    </row>
    <row r="568" ht="15.75" customHeight="1">
      <c r="A568" s="9" t="s">
        <v>29</v>
      </c>
      <c r="B568" s="10">
        <v>2025.0</v>
      </c>
      <c r="C568" s="14" t="s">
        <v>466</v>
      </c>
      <c r="D568" s="1" t="s">
        <v>609</v>
      </c>
      <c r="E568" s="2">
        <v>141000.0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141000.0</v>
      </c>
      <c r="O568" s="2">
        <v>0.0</v>
      </c>
      <c r="P568" s="2">
        <f t="shared" si="1"/>
        <v>0</v>
      </c>
      <c r="Q568" s="1"/>
      <c r="R568" s="1"/>
      <c r="S568" s="1"/>
      <c r="T568" s="1"/>
      <c r="U568" s="1"/>
      <c r="V568" s="6"/>
      <c r="W568" s="6"/>
    </row>
    <row r="569" ht="15.75" customHeight="1">
      <c r="A569" s="9" t="s">
        <v>29</v>
      </c>
      <c r="B569" s="10">
        <v>2025.0</v>
      </c>
      <c r="C569" s="14" t="s">
        <v>466</v>
      </c>
      <c r="D569" s="1" t="s">
        <v>610</v>
      </c>
      <c r="E569" s="2">
        <v>115500.0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115500.0</v>
      </c>
      <c r="O569" s="2">
        <v>0.0</v>
      </c>
      <c r="P569" s="2">
        <f t="shared" si="1"/>
        <v>0</v>
      </c>
      <c r="Q569" s="1"/>
      <c r="R569" s="1"/>
      <c r="S569" s="1"/>
      <c r="T569" s="1"/>
      <c r="U569" s="1"/>
      <c r="V569" s="6"/>
      <c r="W569" s="6"/>
    </row>
    <row r="570" ht="15.75" customHeight="1">
      <c r="A570" s="9" t="s">
        <v>29</v>
      </c>
      <c r="B570" s="10">
        <v>2025.0</v>
      </c>
      <c r="C570" s="14" t="s">
        <v>466</v>
      </c>
      <c r="D570" s="1" t="s">
        <v>611</v>
      </c>
      <c r="E570" s="2">
        <v>194500.0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194500.0</v>
      </c>
      <c r="O570" s="2">
        <v>0.0</v>
      </c>
      <c r="P570" s="2">
        <f t="shared" si="1"/>
        <v>0</v>
      </c>
      <c r="Q570" s="1"/>
      <c r="R570" s="1"/>
      <c r="S570" s="1"/>
      <c r="T570" s="1"/>
      <c r="U570" s="1"/>
      <c r="V570" s="6"/>
      <c r="W570" s="6"/>
    </row>
    <row r="571" ht="15.75" customHeight="1">
      <c r="A571" s="9" t="s">
        <v>29</v>
      </c>
      <c r="B571" s="10">
        <v>2025.0</v>
      </c>
      <c r="C571" s="14" t="s">
        <v>466</v>
      </c>
      <c r="D571" s="1" t="s">
        <v>612</v>
      </c>
      <c r="E571" s="2">
        <v>220000.0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220000.0</v>
      </c>
      <c r="O571" s="2">
        <v>0.0</v>
      </c>
      <c r="P571" s="2">
        <f t="shared" si="1"/>
        <v>0</v>
      </c>
      <c r="Q571" s="1"/>
      <c r="R571" s="1"/>
      <c r="S571" s="1"/>
      <c r="T571" s="1"/>
      <c r="U571" s="1"/>
      <c r="V571" s="6"/>
      <c r="W571" s="6"/>
    </row>
    <row r="572" ht="15.75" customHeight="1">
      <c r="A572" s="9" t="s">
        <v>29</v>
      </c>
      <c r="B572" s="10">
        <v>2025.0</v>
      </c>
      <c r="C572" s="14" t="s">
        <v>466</v>
      </c>
      <c r="D572" s="1" t="s">
        <v>613</v>
      </c>
      <c r="E572" s="2">
        <v>177000.0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177000.0</v>
      </c>
      <c r="O572" s="2">
        <v>0.0</v>
      </c>
      <c r="P572" s="2">
        <f t="shared" si="1"/>
        <v>0</v>
      </c>
      <c r="Q572" s="1"/>
      <c r="R572" s="1"/>
      <c r="S572" s="1"/>
      <c r="T572" s="1"/>
      <c r="U572" s="1"/>
      <c r="V572" s="6"/>
      <c r="W572" s="6"/>
    </row>
    <row r="573" ht="15.75" customHeight="1">
      <c r="A573" s="9" t="s">
        <v>29</v>
      </c>
      <c r="B573" s="10">
        <v>2025.0</v>
      </c>
      <c r="C573" s="14" t="s">
        <v>466</v>
      </c>
      <c r="D573" s="1" t="s">
        <v>614</v>
      </c>
      <c r="E573" s="2">
        <v>230000.0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230000.0</v>
      </c>
      <c r="O573" s="2">
        <v>0.0</v>
      </c>
      <c r="P573" s="2">
        <f t="shared" si="1"/>
        <v>0</v>
      </c>
      <c r="Q573" s="1"/>
      <c r="R573" s="1"/>
      <c r="S573" s="1"/>
      <c r="T573" s="1"/>
      <c r="U573" s="1"/>
      <c r="V573" s="6"/>
      <c r="W573" s="6"/>
    </row>
    <row r="574" ht="15.75" customHeight="1">
      <c r="A574" s="9" t="s">
        <v>29</v>
      </c>
      <c r="B574" s="10">
        <v>2025.0</v>
      </c>
      <c r="C574" s="14" t="s">
        <v>466</v>
      </c>
      <c r="D574" s="1" t="s">
        <v>608</v>
      </c>
      <c r="E574" s="2">
        <v>198000.0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198000.0</v>
      </c>
      <c r="O574" s="2">
        <v>0.0</v>
      </c>
      <c r="P574" s="2">
        <f t="shared" si="1"/>
        <v>0</v>
      </c>
      <c r="Q574" s="1"/>
      <c r="R574" s="1"/>
      <c r="S574" s="1"/>
      <c r="T574" s="1"/>
      <c r="U574" s="1"/>
      <c r="V574" s="6"/>
      <c r="W574" s="6"/>
    </row>
    <row r="575" ht="15.75" customHeight="1">
      <c r="A575" s="9" t="s">
        <v>29</v>
      </c>
      <c r="B575" s="10">
        <v>2025.0</v>
      </c>
      <c r="C575" s="14" t="s">
        <v>466</v>
      </c>
      <c r="D575" s="1" t="s">
        <v>615</v>
      </c>
      <c r="E575" s="2">
        <v>580000.0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580000.0</v>
      </c>
      <c r="O575" s="2">
        <v>0.0</v>
      </c>
      <c r="P575" s="2">
        <f t="shared" si="1"/>
        <v>0</v>
      </c>
      <c r="Q575" s="1"/>
      <c r="R575" s="1"/>
      <c r="S575" s="1"/>
      <c r="T575" s="1"/>
      <c r="U575" s="1"/>
      <c r="V575" s="6"/>
      <c r="W575" s="6"/>
    </row>
    <row r="576" ht="15.75" customHeight="1">
      <c r="A576" s="9" t="s">
        <v>29</v>
      </c>
      <c r="B576" s="10">
        <v>2025.0</v>
      </c>
      <c r="C576" s="14" t="s">
        <v>466</v>
      </c>
      <c r="D576" s="1" t="s">
        <v>616</v>
      </c>
      <c r="E576" s="2">
        <v>522665.0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522665.0</v>
      </c>
      <c r="O576" s="2">
        <v>0.0</v>
      </c>
      <c r="P576" s="2">
        <f t="shared" si="1"/>
        <v>0</v>
      </c>
      <c r="Q576" s="1"/>
      <c r="R576" s="1"/>
      <c r="S576" s="1"/>
      <c r="T576" s="1"/>
      <c r="U576" s="1"/>
      <c r="V576" s="6"/>
      <c r="W576" s="6"/>
    </row>
    <row r="577" ht="15.75" customHeight="1">
      <c r="A577" s="9" t="s">
        <v>29</v>
      </c>
      <c r="B577" s="10">
        <v>2025.0</v>
      </c>
      <c r="C577" s="14" t="s">
        <v>466</v>
      </c>
      <c r="D577" s="1" t="s">
        <v>617</v>
      </c>
      <c r="E577" s="2">
        <v>113000.0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113000.0</v>
      </c>
      <c r="O577" s="2">
        <v>0.0</v>
      </c>
      <c r="P577" s="2">
        <f t="shared" si="1"/>
        <v>0</v>
      </c>
      <c r="Q577" s="1"/>
      <c r="R577" s="1"/>
      <c r="S577" s="1"/>
      <c r="T577" s="1"/>
      <c r="U577" s="1"/>
      <c r="V577" s="6"/>
      <c r="W577" s="6"/>
    </row>
    <row r="578" ht="15.75" customHeight="1">
      <c r="A578" s="9" t="s">
        <v>29</v>
      </c>
      <c r="B578" s="10">
        <v>2025.0</v>
      </c>
      <c r="C578" s="14" t="s">
        <v>466</v>
      </c>
      <c r="D578" s="1" t="s">
        <v>614</v>
      </c>
      <c r="E578" s="2">
        <v>510000.0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510000.0</v>
      </c>
      <c r="O578" s="2">
        <v>0.0</v>
      </c>
      <c r="P578" s="2">
        <f t="shared" si="1"/>
        <v>0</v>
      </c>
      <c r="Q578" s="1"/>
      <c r="R578" s="1"/>
      <c r="S578" s="1"/>
      <c r="T578" s="1"/>
      <c r="U578" s="1"/>
      <c r="V578" s="6"/>
      <c r="W578" s="6"/>
    </row>
    <row r="579" ht="15.75" customHeight="1">
      <c r="A579" s="9" t="s">
        <v>29</v>
      </c>
      <c r="B579" s="10">
        <v>2025.0</v>
      </c>
      <c r="C579" s="14" t="s">
        <v>466</v>
      </c>
      <c r="D579" s="1" t="s">
        <v>618</v>
      </c>
      <c r="E579" s="2">
        <v>184800.0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184800.0</v>
      </c>
      <c r="O579" s="2">
        <v>0.0</v>
      </c>
      <c r="P579" s="2">
        <f t="shared" si="1"/>
        <v>0</v>
      </c>
      <c r="Q579" s="1"/>
      <c r="R579" s="1"/>
      <c r="S579" s="1"/>
      <c r="T579" s="1"/>
      <c r="U579" s="1"/>
      <c r="V579" s="6"/>
      <c r="W579" s="6"/>
    </row>
    <row r="580" ht="15.75" customHeight="1">
      <c r="A580" s="9" t="s">
        <v>29</v>
      </c>
      <c r="B580" s="10">
        <v>2025.0</v>
      </c>
      <c r="C580" s="14" t="s">
        <v>466</v>
      </c>
      <c r="D580" s="1" t="s">
        <v>612</v>
      </c>
      <c r="E580" s="2">
        <v>172000.0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172000.0</v>
      </c>
      <c r="O580" s="2">
        <v>0.0</v>
      </c>
      <c r="P580" s="2">
        <f t="shared" si="1"/>
        <v>0</v>
      </c>
      <c r="Q580" s="1"/>
      <c r="R580" s="1"/>
      <c r="S580" s="1"/>
      <c r="T580" s="1"/>
      <c r="U580" s="1"/>
      <c r="V580" s="6"/>
      <c r="W580" s="6"/>
    </row>
    <row r="581" ht="15.75" customHeight="1">
      <c r="A581" s="9" t="s">
        <v>29</v>
      </c>
      <c r="B581" s="10">
        <v>2025.0</v>
      </c>
      <c r="C581" s="14" t="s">
        <v>466</v>
      </c>
      <c r="D581" s="1" t="s">
        <v>619</v>
      </c>
      <c r="E581" s="2">
        <v>1073150.0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1073150.0</v>
      </c>
      <c r="O581" s="2">
        <v>0.0</v>
      </c>
      <c r="P581" s="2">
        <f t="shared" si="1"/>
        <v>0</v>
      </c>
      <c r="Q581" s="1"/>
      <c r="R581" s="1"/>
      <c r="S581" s="1"/>
      <c r="T581" s="1"/>
      <c r="U581" s="1"/>
      <c r="V581" s="6"/>
      <c r="W581" s="6"/>
    </row>
    <row r="582" ht="15.75" customHeight="1">
      <c r="A582" s="9" t="s">
        <v>29</v>
      </c>
      <c r="B582" s="10">
        <v>2025.0</v>
      </c>
      <c r="C582" s="14" t="s">
        <v>466</v>
      </c>
      <c r="D582" s="1" t="s">
        <v>620</v>
      </c>
      <c r="E582" s="2">
        <v>161700.0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161700.0</v>
      </c>
      <c r="O582" s="2">
        <v>0.0</v>
      </c>
      <c r="P582" s="2">
        <f t="shared" si="1"/>
        <v>0</v>
      </c>
      <c r="Q582" s="1"/>
      <c r="R582" s="1"/>
      <c r="S582" s="1"/>
      <c r="T582" s="1"/>
      <c r="U582" s="1"/>
      <c r="V582" s="6"/>
      <c r="W582" s="6"/>
    </row>
    <row r="583" ht="15.75" customHeight="1">
      <c r="A583" s="9" t="s">
        <v>29</v>
      </c>
      <c r="B583" s="10">
        <v>2025.0</v>
      </c>
      <c r="C583" s="14" t="s">
        <v>466</v>
      </c>
      <c r="D583" s="1" t="s">
        <v>621</v>
      </c>
      <c r="E583" s="2">
        <v>346190.0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346190.0</v>
      </c>
      <c r="O583" s="2">
        <v>0.0</v>
      </c>
      <c r="P583" s="2">
        <f t="shared" si="1"/>
        <v>0</v>
      </c>
      <c r="Q583" s="1"/>
      <c r="R583" s="1"/>
      <c r="S583" s="1"/>
      <c r="T583" s="1"/>
      <c r="U583" s="1"/>
      <c r="V583" s="6"/>
      <c r="W583" s="6"/>
    </row>
    <row r="584" ht="15.75" customHeight="1">
      <c r="A584" s="9" t="s">
        <v>29</v>
      </c>
      <c r="B584" s="10">
        <v>2025.0</v>
      </c>
      <c r="C584" s="14" t="s">
        <v>466</v>
      </c>
      <c r="D584" s="1" t="s">
        <v>622</v>
      </c>
      <c r="E584" s="2">
        <v>149000.0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149000.0</v>
      </c>
      <c r="O584" s="2">
        <v>0.0</v>
      </c>
      <c r="P584" s="2">
        <f t="shared" si="1"/>
        <v>0</v>
      </c>
      <c r="Q584" s="1"/>
      <c r="R584" s="1"/>
      <c r="S584" s="1"/>
      <c r="T584" s="1"/>
      <c r="U584" s="1"/>
      <c r="V584" s="6"/>
      <c r="W584" s="6"/>
    </row>
    <row r="585" ht="15.75" customHeight="1">
      <c r="A585" s="9" t="s">
        <v>29</v>
      </c>
      <c r="B585" s="10">
        <v>2025.0</v>
      </c>
      <c r="C585" s="14" t="s">
        <v>466</v>
      </c>
      <c r="D585" s="1" t="s">
        <v>623</v>
      </c>
      <c r="E585" s="2">
        <v>307000.0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307000.0</v>
      </c>
      <c r="O585" s="2">
        <v>0.0</v>
      </c>
      <c r="P585" s="2">
        <f t="shared" si="1"/>
        <v>0</v>
      </c>
      <c r="Q585" s="1"/>
      <c r="R585" s="1"/>
      <c r="S585" s="1"/>
      <c r="T585" s="1"/>
      <c r="U585" s="1"/>
      <c r="V585" s="6"/>
      <c r="W585" s="6"/>
    </row>
    <row r="586" ht="15.75" customHeight="1">
      <c r="A586" s="9" t="s">
        <v>29</v>
      </c>
      <c r="B586" s="10">
        <v>2025.0</v>
      </c>
      <c r="C586" s="14" t="s">
        <v>466</v>
      </c>
      <c r="D586" s="1" t="s">
        <v>624</v>
      </c>
      <c r="E586" s="2">
        <v>235000.0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235000.0</v>
      </c>
      <c r="O586" s="2">
        <v>0.0</v>
      </c>
      <c r="P586" s="2">
        <f t="shared" si="1"/>
        <v>0</v>
      </c>
      <c r="Q586" s="1"/>
      <c r="R586" s="1"/>
      <c r="S586" s="1"/>
      <c r="T586" s="1"/>
      <c r="U586" s="1"/>
      <c r="V586" s="6"/>
      <c r="W586" s="6"/>
    </row>
    <row r="587" ht="15.75" customHeight="1">
      <c r="A587" s="9" t="s">
        <v>29</v>
      </c>
      <c r="B587" s="10">
        <v>2025.0</v>
      </c>
      <c r="C587" s="14" t="s">
        <v>466</v>
      </c>
      <c r="D587" s="1" t="s">
        <v>607</v>
      </c>
      <c r="E587" s="2">
        <v>132000.0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132000.0</v>
      </c>
      <c r="O587" s="2">
        <v>0.0</v>
      </c>
      <c r="P587" s="2">
        <f t="shared" si="1"/>
        <v>0</v>
      </c>
      <c r="Q587" s="1"/>
      <c r="R587" s="1"/>
      <c r="S587" s="1"/>
      <c r="T587" s="1"/>
      <c r="U587" s="1"/>
      <c r="V587" s="6"/>
      <c r="W587" s="6"/>
    </row>
    <row r="588" ht="15.75" customHeight="1">
      <c r="A588" s="9" t="s">
        <v>29</v>
      </c>
      <c r="B588" s="10">
        <v>2025.0</v>
      </c>
      <c r="C588" s="14" t="s">
        <v>466</v>
      </c>
      <c r="D588" s="1" t="s">
        <v>607</v>
      </c>
      <c r="E588" s="2">
        <v>44000.0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44000.0</v>
      </c>
      <c r="O588" s="2">
        <v>0.0</v>
      </c>
      <c r="P588" s="2">
        <f t="shared" si="1"/>
        <v>0</v>
      </c>
      <c r="Q588" s="1"/>
      <c r="R588" s="1"/>
      <c r="S588" s="1"/>
      <c r="T588" s="1"/>
      <c r="U588" s="1"/>
      <c r="V588" s="6"/>
      <c r="W588" s="6"/>
    </row>
    <row r="589" ht="15.75" customHeight="1">
      <c r="A589" s="9" t="s">
        <v>29</v>
      </c>
      <c r="B589" s="10">
        <v>2025.0</v>
      </c>
      <c r="C589" s="14" t="s">
        <v>466</v>
      </c>
      <c r="D589" s="1" t="s">
        <v>625</v>
      </c>
      <c r="E589" s="2">
        <v>255000.0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255000.0</v>
      </c>
      <c r="O589" s="2">
        <v>0.0</v>
      </c>
      <c r="P589" s="2">
        <f t="shared" si="1"/>
        <v>0</v>
      </c>
      <c r="Q589" s="1"/>
      <c r="R589" s="1"/>
      <c r="S589" s="1"/>
      <c r="T589" s="1"/>
      <c r="U589" s="1"/>
      <c r="V589" s="6"/>
      <c r="W589" s="6"/>
    </row>
    <row r="590" ht="15.75" customHeight="1">
      <c r="A590" s="9" t="s">
        <v>29</v>
      </c>
      <c r="B590" s="10">
        <v>2025.0</v>
      </c>
      <c r="C590" s="14" t="s">
        <v>466</v>
      </c>
      <c r="D590" s="1" t="s">
        <v>626</v>
      </c>
      <c r="E590" s="2">
        <v>761200.0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761200.0</v>
      </c>
      <c r="O590" s="2">
        <v>0.0</v>
      </c>
      <c r="P590" s="2">
        <f t="shared" si="1"/>
        <v>0</v>
      </c>
      <c r="Q590" s="1"/>
      <c r="R590" s="1"/>
      <c r="S590" s="1"/>
      <c r="T590" s="1"/>
      <c r="U590" s="1"/>
      <c r="V590" s="6"/>
      <c r="W590" s="6"/>
    </row>
    <row r="591" ht="15.75" customHeight="1">
      <c r="A591" s="9" t="s">
        <v>29</v>
      </c>
      <c r="B591" s="10">
        <v>2025.0</v>
      </c>
      <c r="C591" s="14" t="s">
        <v>466</v>
      </c>
      <c r="D591" s="1" t="s">
        <v>627</v>
      </c>
      <c r="E591" s="2">
        <v>203400.0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203400.0</v>
      </c>
      <c r="O591" s="2">
        <v>0.0</v>
      </c>
      <c r="P591" s="2">
        <f t="shared" si="1"/>
        <v>0</v>
      </c>
      <c r="Q591" s="1"/>
      <c r="R591" s="1"/>
      <c r="S591" s="1"/>
      <c r="T591" s="1"/>
      <c r="U591" s="1"/>
      <c r="V591" s="6"/>
      <c r="W591" s="6"/>
    </row>
    <row r="592" ht="15.75" customHeight="1">
      <c r="A592" s="9" t="s">
        <v>29</v>
      </c>
      <c r="B592" s="10">
        <v>2025.0</v>
      </c>
      <c r="C592" s="14" t="s">
        <v>466</v>
      </c>
      <c r="D592" s="1" t="s">
        <v>628</v>
      </c>
      <c r="E592" s="2">
        <v>524400.0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524400.0</v>
      </c>
      <c r="O592" s="2">
        <v>0.0</v>
      </c>
      <c r="P592" s="2">
        <f t="shared" si="1"/>
        <v>0</v>
      </c>
      <c r="Q592" s="1"/>
      <c r="R592" s="1"/>
      <c r="S592" s="1"/>
      <c r="T592" s="1"/>
      <c r="U592" s="1"/>
      <c r="V592" s="6"/>
      <c r="W592" s="6"/>
    </row>
    <row r="593" ht="15.75" customHeight="1">
      <c r="A593" s="9" t="s">
        <v>29</v>
      </c>
      <c r="B593" s="10">
        <v>2025.0</v>
      </c>
      <c r="C593" s="14" t="s">
        <v>466</v>
      </c>
      <c r="D593" s="1" t="s">
        <v>629</v>
      </c>
      <c r="E593" s="2">
        <v>44000.0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44000.0</v>
      </c>
      <c r="O593" s="2">
        <v>0.0</v>
      </c>
      <c r="P593" s="2">
        <f t="shared" si="1"/>
        <v>0</v>
      </c>
      <c r="Q593" s="1"/>
      <c r="R593" s="1"/>
      <c r="S593" s="1"/>
      <c r="T593" s="1"/>
      <c r="U593" s="1"/>
      <c r="V593" s="6"/>
      <c r="W593" s="6"/>
    </row>
    <row r="594" ht="15.75" customHeight="1">
      <c r="A594" s="9" t="s">
        <v>29</v>
      </c>
      <c r="B594" s="10">
        <v>2025.0</v>
      </c>
      <c r="C594" s="14" t="s">
        <v>466</v>
      </c>
      <c r="D594" s="1" t="s">
        <v>630</v>
      </c>
      <c r="E594" s="2">
        <v>408000.0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408000.0</v>
      </c>
      <c r="O594" s="2">
        <v>0.0</v>
      </c>
      <c r="P594" s="2">
        <f t="shared" si="1"/>
        <v>0</v>
      </c>
      <c r="Q594" s="1"/>
      <c r="R594" s="1"/>
      <c r="S594" s="1"/>
      <c r="T594" s="1"/>
      <c r="U594" s="1"/>
      <c r="V594" s="6"/>
      <c r="W594" s="6"/>
    </row>
    <row r="595" ht="15.75" customHeight="1">
      <c r="A595" s="9" t="s">
        <v>29</v>
      </c>
      <c r="B595" s="10">
        <v>2025.0</v>
      </c>
      <c r="C595" s="14" t="s">
        <v>466</v>
      </c>
      <c r="D595" s="1" t="s">
        <v>631</v>
      </c>
      <c r="E595" s="2">
        <v>655600.0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655600.0</v>
      </c>
      <c r="O595" s="2">
        <v>0.0</v>
      </c>
      <c r="P595" s="2">
        <f t="shared" si="1"/>
        <v>0</v>
      </c>
      <c r="Q595" s="1"/>
      <c r="R595" s="1"/>
      <c r="S595" s="1"/>
      <c r="T595" s="1"/>
      <c r="U595" s="1"/>
      <c r="V595" s="6"/>
      <c r="W595" s="6"/>
    </row>
    <row r="596" ht="15.75" customHeight="1">
      <c r="A596" s="9" t="s">
        <v>29</v>
      </c>
      <c r="B596" s="10">
        <v>2025.0</v>
      </c>
      <c r="C596" s="14" t="s">
        <v>466</v>
      </c>
      <c r="D596" s="1" t="s">
        <v>632</v>
      </c>
      <c r="E596" s="2">
        <v>193700.0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193700.0</v>
      </c>
      <c r="O596" s="2">
        <v>0.0</v>
      </c>
      <c r="P596" s="2">
        <f t="shared" si="1"/>
        <v>0</v>
      </c>
      <c r="Q596" s="1"/>
      <c r="R596" s="1"/>
      <c r="S596" s="1"/>
      <c r="T596" s="1"/>
      <c r="U596" s="1"/>
      <c r="V596" s="6"/>
      <c r="W596" s="6"/>
    </row>
    <row r="597" ht="15.75" customHeight="1">
      <c r="A597" s="9" t="s">
        <v>29</v>
      </c>
      <c r="B597" s="10">
        <v>2025.0</v>
      </c>
      <c r="C597" s="14" t="s">
        <v>466</v>
      </c>
      <c r="D597" s="1" t="s">
        <v>618</v>
      </c>
      <c r="E597" s="2">
        <v>366135.0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366135.0</v>
      </c>
      <c r="O597" s="2">
        <v>0.0</v>
      </c>
      <c r="P597" s="2">
        <f t="shared" si="1"/>
        <v>0</v>
      </c>
      <c r="Q597" s="1"/>
      <c r="R597" s="1"/>
      <c r="S597" s="1"/>
      <c r="T597" s="1"/>
      <c r="U597" s="1"/>
      <c r="V597" s="6"/>
      <c r="W597" s="6"/>
    </row>
    <row r="598" ht="15.75" customHeight="1">
      <c r="A598" s="9" t="s">
        <v>29</v>
      </c>
      <c r="B598" s="10">
        <v>2025.0</v>
      </c>
      <c r="C598" s="14" t="s">
        <v>466</v>
      </c>
      <c r="D598" s="1" t="s">
        <v>633</v>
      </c>
      <c r="E598" s="2">
        <v>330000.0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330000.0</v>
      </c>
      <c r="O598" s="2">
        <v>0.0</v>
      </c>
      <c r="P598" s="2">
        <f t="shared" si="1"/>
        <v>0</v>
      </c>
      <c r="Q598" s="1"/>
      <c r="R598" s="1"/>
      <c r="S598" s="1"/>
      <c r="T598" s="1"/>
      <c r="U598" s="1"/>
      <c r="V598" s="6"/>
      <c r="W598" s="6"/>
    </row>
    <row r="599" ht="15.75" customHeight="1">
      <c r="A599" s="9" t="s">
        <v>29</v>
      </c>
      <c r="B599" s="10">
        <v>2025.0</v>
      </c>
      <c r="C599" s="14" t="s">
        <v>466</v>
      </c>
      <c r="D599" s="1" t="s">
        <v>634</v>
      </c>
      <c r="E599" s="2">
        <v>112700.0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112700.0</v>
      </c>
      <c r="O599" s="2">
        <v>0.0</v>
      </c>
      <c r="P599" s="2">
        <f t="shared" si="1"/>
        <v>0</v>
      </c>
      <c r="Q599" s="1"/>
      <c r="R599" s="1"/>
      <c r="S599" s="1"/>
      <c r="T599" s="1"/>
      <c r="U599" s="1"/>
      <c r="V599" s="6"/>
      <c r="W599" s="6"/>
    </row>
    <row r="600" ht="15.75" customHeight="1">
      <c r="A600" s="9" t="s">
        <v>29</v>
      </c>
      <c r="B600" s="10">
        <v>2025.0</v>
      </c>
      <c r="C600" s="14" t="s">
        <v>466</v>
      </c>
      <c r="D600" s="1" t="s">
        <v>635</v>
      </c>
      <c r="E600" s="2">
        <v>112500.0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112500.0</v>
      </c>
      <c r="O600" s="2">
        <v>0.0</v>
      </c>
      <c r="P600" s="2">
        <f t="shared" si="1"/>
        <v>0</v>
      </c>
      <c r="Q600" s="1"/>
      <c r="R600" s="1"/>
      <c r="S600" s="1"/>
      <c r="T600" s="1"/>
      <c r="U600" s="1"/>
      <c r="V600" s="6"/>
      <c r="W600" s="6"/>
    </row>
    <row r="601" ht="15.75" customHeight="1">
      <c r="A601" s="9" t="s">
        <v>29</v>
      </c>
      <c r="B601" s="10">
        <v>2025.0</v>
      </c>
      <c r="C601" s="14" t="s">
        <v>466</v>
      </c>
      <c r="D601" s="1" t="s">
        <v>636</v>
      </c>
      <c r="E601" s="2">
        <v>271500.0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271500.0</v>
      </c>
      <c r="O601" s="2">
        <v>0.0</v>
      </c>
      <c r="P601" s="2">
        <f t="shared" si="1"/>
        <v>0</v>
      </c>
      <c r="Q601" s="1"/>
      <c r="R601" s="1"/>
      <c r="S601" s="1"/>
      <c r="T601" s="1"/>
      <c r="U601" s="1"/>
      <c r="V601" s="6"/>
      <c r="W601" s="6"/>
    </row>
    <row r="602" ht="15.75" customHeight="1">
      <c r="A602" s="9" t="s">
        <v>29</v>
      </c>
      <c r="B602" s="10">
        <v>2025.0</v>
      </c>
      <c r="C602" s="14" t="s">
        <v>466</v>
      </c>
      <c r="D602" s="1" t="s">
        <v>637</v>
      </c>
      <c r="E602" s="2">
        <v>139000.0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139000.0</v>
      </c>
      <c r="O602" s="2">
        <v>0.0</v>
      </c>
      <c r="P602" s="2">
        <f t="shared" si="1"/>
        <v>0</v>
      </c>
      <c r="Q602" s="1"/>
      <c r="R602" s="1"/>
      <c r="S602" s="1"/>
      <c r="T602" s="1"/>
      <c r="U602" s="1"/>
      <c r="V602" s="6"/>
      <c r="W602" s="6"/>
    </row>
    <row r="603" ht="15.75" customHeight="1">
      <c r="A603" s="9" t="s">
        <v>29</v>
      </c>
      <c r="B603" s="10">
        <v>2025.0</v>
      </c>
      <c r="C603" s="14" t="s">
        <v>466</v>
      </c>
      <c r="D603" s="1" t="s">
        <v>638</v>
      </c>
      <c r="E603" s="2">
        <v>379000.0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379000.0</v>
      </c>
      <c r="O603" s="2">
        <v>0.0</v>
      </c>
      <c r="P603" s="2">
        <f t="shared" si="1"/>
        <v>0</v>
      </c>
      <c r="Q603" s="1"/>
      <c r="R603" s="1"/>
      <c r="S603" s="1"/>
      <c r="T603" s="1"/>
      <c r="U603" s="1"/>
      <c r="V603" s="6"/>
      <c r="W603" s="6"/>
    </row>
    <row r="604" ht="15.75" customHeight="1">
      <c r="A604" s="9" t="s">
        <v>29</v>
      </c>
      <c r="B604" s="10">
        <v>2025.0</v>
      </c>
      <c r="C604" s="14" t="s">
        <v>466</v>
      </c>
      <c r="D604" s="1" t="s">
        <v>639</v>
      </c>
      <c r="E604" s="2">
        <v>488800.0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488800.0</v>
      </c>
      <c r="O604" s="2">
        <v>0.0</v>
      </c>
      <c r="P604" s="2">
        <f t="shared" si="1"/>
        <v>0</v>
      </c>
      <c r="Q604" s="1"/>
      <c r="R604" s="1"/>
      <c r="S604" s="1"/>
      <c r="T604" s="1"/>
      <c r="U604" s="1"/>
      <c r="V604" s="6"/>
      <c r="W604" s="6"/>
    </row>
    <row r="605" ht="15.75" customHeight="1">
      <c r="A605" s="9" t="s">
        <v>29</v>
      </c>
      <c r="B605" s="10">
        <v>2025.0</v>
      </c>
      <c r="C605" s="14" t="s">
        <v>466</v>
      </c>
      <c r="D605" s="1" t="s">
        <v>640</v>
      </c>
      <c r="E605" s="2">
        <v>368500.0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368500.0</v>
      </c>
      <c r="O605" s="2">
        <v>0.0</v>
      </c>
      <c r="P605" s="2">
        <f t="shared" si="1"/>
        <v>0</v>
      </c>
      <c r="Q605" s="1"/>
      <c r="R605" s="1"/>
      <c r="S605" s="1"/>
      <c r="T605" s="1"/>
      <c r="U605" s="1"/>
      <c r="V605" s="6"/>
      <c r="W605" s="6"/>
    </row>
    <row r="606" ht="15.75" customHeight="1">
      <c r="A606" s="9" t="s">
        <v>29</v>
      </c>
      <c r="B606" s="10">
        <v>2025.0</v>
      </c>
      <c r="C606" s="14" t="s">
        <v>466</v>
      </c>
      <c r="D606" s="1" t="s">
        <v>641</v>
      </c>
      <c r="E606" s="2">
        <v>162000.0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162000.0</v>
      </c>
      <c r="O606" s="2">
        <v>0.0</v>
      </c>
      <c r="P606" s="2">
        <f t="shared" si="1"/>
        <v>0</v>
      </c>
      <c r="Q606" s="1"/>
      <c r="R606" s="1"/>
      <c r="S606" s="1"/>
      <c r="T606" s="1"/>
      <c r="U606" s="1"/>
      <c r="V606" s="6"/>
      <c r="W606" s="6"/>
    </row>
    <row r="607" ht="15.75" customHeight="1">
      <c r="A607" s="9" t="s">
        <v>29</v>
      </c>
      <c r="B607" s="10">
        <v>2025.0</v>
      </c>
      <c r="C607" s="14" t="s">
        <v>466</v>
      </c>
      <c r="D607" s="1" t="s">
        <v>642</v>
      </c>
      <c r="E607" s="2">
        <v>759000.0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759000.0</v>
      </c>
      <c r="O607" s="2">
        <v>0.0</v>
      </c>
      <c r="P607" s="2">
        <f t="shared" si="1"/>
        <v>0</v>
      </c>
      <c r="Q607" s="1"/>
      <c r="R607" s="1"/>
      <c r="S607" s="1"/>
      <c r="T607" s="1"/>
      <c r="U607" s="1"/>
      <c r="V607" s="6"/>
      <c r="W607" s="6"/>
    </row>
    <row r="608" ht="15.75" customHeight="1">
      <c r="A608" s="9" t="s">
        <v>29</v>
      </c>
      <c r="B608" s="10">
        <v>2025.0</v>
      </c>
      <c r="C608" s="14" t="s">
        <v>38</v>
      </c>
      <c r="D608" s="1" t="s">
        <v>643</v>
      </c>
      <c r="E608" s="2">
        <v>92000.0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92000.0</v>
      </c>
      <c r="O608" s="2">
        <v>0.0</v>
      </c>
      <c r="P608" s="2">
        <f t="shared" si="1"/>
        <v>0</v>
      </c>
      <c r="Q608" s="1"/>
      <c r="R608" s="1"/>
      <c r="S608" s="1"/>
      <c r="T608" s="1"/>
      <c r="U608" s="1"/>
      <c r="V608" s="6"/>
      <c r="W608" s="6"/>
    </row>
    <row r="609" ht="15.75" customHeight="1">
      <c r="A609" s="9" t="s">
        <v>29</v>
      </c>
      <c r="B609" s="10">
        <v>2025.0</v>
      </c>
      <c r="C609" s="14" t="s">
        <v>38</v>
      </c>
      <c r="D609" s="1" t="s">
        <v>644</v>
      </c>
      <c r="E609" s="2">
        <v>2705000.0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2705000.0</v>
      </c>
      <c r="O609" s="2">
        <v>0.0</v>
      </c>
      <c r="P609" s="2">
        <f t="shared" si="1"/>
        <v>0</v>
      </c>
      <c r="Q609" s="1"/>
      <c r="R609" s="1"/>
      <c r="S609" s="1"/>
      <c r="T609" s="1"/>
      <c r="U609" s="1"/>
      <c r="V609" s="6"/>
      <c r="W609" s="6"/>
    </row>
    <row r="610" ht="15.75" customHeight="1">
      <c r="A610" s="9" t="s">
        <v>29</v>
      </c>
      <c r="B610" s="10">
        <v>2025.0</v>
      </c>
      <c r="C610" s="14" t="s">
        <v>38</v>
      </c>
      <c r="D610" s="1" t="s">
        <v>645</v>
      </c>
      <c r="E610" s="2">
        <v>250000.0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250000.0</v>
      </c>
      <c r="O610" s="2">
        <v>0.0</v>
      </c>
      <c r="P610" s="2">
        <f t="shared" si="1"/>
        <v>0</v>
      </c>
      <c r="Q610" s="1"/>
      <c r="R610" s="1"/>
      <c r="S610" s="1"/>
      <c r="T610" s="1"/>
      <c r="U610" s="1"/>
      <c r="V610" s="6"/>
      <c r="W610" s="6"/>
    </row>
    <row r="611" ht="15.75" customHeight="1">
      <c r="A611" s="9" t="s">
        <v>29</v>
      </c>
      <c r="B611" s="10">
        <v>2025.0</v>
      </c>
      <c r="C611" s="14" t="s">
        <v>38</v>
      </c>
      <c r="D611" s="1" t="s">
        <v>646</v>
      </c>
      <c r="E611" s="2">
        <v>685000.0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685000.0</v>
      </c>
      <c r="O611" s="2">
        <v>0.0</v>
      </c>
      <c r="P611" s="2">
        <f t="shared" si="1"/>
        <v>0</v>
      </c>
      <c r="Q611" s="1"/>
      <c r="R611" s="1"/>
      <c r="S611" s="1"/>
      <c r="T611" s="1"/>
      <c r="U611" s="1"/>
      <c r="V611" s="6"/>
      <c r="W611" s="6"/>
    </row>
    <row r="612" ht="15.75" customHeight="1">
      <c r="A612" s="9" t="s">
        <v>29</v>
      </c>
      <c r="B612" s="10">
        <v>2025.0</v>
      </c>
      <c r="C612" s="14" t="s">
        <v>38</v>
      </c>
      <c r="D612" s="1" t="s">
        <v>647</v>
      </c>
      <c r="E612" s="2">
        <v>300000.0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300000.0</v>
      </c>
      <c r="O612" s="2">
        <v>0.0</v>
      </c>
      <c r="P612" s="2">
        <f t="shared" si="1"/>
        <v>0</v>
      </c>
      <c r="Q612" s="1"/>
      <c r="R612" s="1"/>
      <c r="S612" s="1"/>
      <c r="T612" s="1"/>
      <c r="U612" s="1"/>
      <c r="V612" s="6"/>
      <c r="W612" s="6"/>
    </row>
    <row r="613" ht="15.75" customHeight="1">
      <c r="A613" s="9" t="s">
        <v>29</v>
      </c>
      <c r="B613" s="10">
        <v>2025.0</v>
      </c>
      <c r="C613" s="14" t="s">
        <v>38</v>
      </c>
      <c r="D613" s="1" t="s">
        <v>648</v>
      </c>
      <c r="E613" s="2">
        <v>238970.0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238970.0</v>
      </c>
      <c r="O613" s="2">
        <v>0.0</v>
      </c>
      <c r="P613" s="2">
        <f t="shared" si="1"/>
        <v>0</v>
      </c>
      <c r="Q613" s="1"/>
      <c r="R613" s="1"/>
      <c r="S613" s="1"/>
      <c r="T613" s="1"/>
      <c r="U613" s="1"/>
      <c r="V613" s="6"/>
      <c r="W613" s="6"/>
    </row>
    <row r="614" ht="15.75" customHeight="1">
      <c r="A614" s="9" t="s">
        <v>29</v>
      </c>
      <c r="B614" s="10">
        <v>2025.0</v>
      </c>
      <c r="C614" s="14" t="s">
        <v>38</v>
      </c>
      <c r="D614" s="1" t="s">
        <v>649</v>
      </c>
      <c r="E614" s="2">
        <v>1.6645037E7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1.6645037E7</v>
      </c>
      <c r="O614" s="2">
        <v>0.0</v>
      </c>
      <c r="P614" s="2">
        <f t="shared" si="1"/>
        <v>0</v>
      </c>
      <c r="Q614" s="1"/>
      <c r="R614" s="1"/>
      <c r="S614" s="1"/>
      <c r="T614" s="1"/>
      <c r="U614" s="1"/>
      <c r="V614" s="6"/>
      <c r="W614" s="6"/>
    </row>
    <row r="615" ht="15.75" customHeight="1">
      <c r="A615" s="9" t="s">
        <v>29</v>
      </c>
      <c r="B615" s="10">
        <v>2025.0</v>
      </c>
      <c r="C615" s="14" t="s">
        <v>38</v>
      </c>
      <c r="D615" s="1" t="s">
        <v>650</v>
      </c>
      <c r="E615" s="2">
        <v>50000.0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50000.0</v>
      </c>
      <c r="O615" s="2">
        <v>0.0</v>
      </c>
      <c r="P615" s="2">
        <f t="shared" si="1"/>
        <v>0</v>
      </c>
      <c r="Q615" s="1"/>
      <c r="R615" s="1"/>
      <c r="S615" s="1"/>
      <c r="T615" s="1"/>
      <c r="U615" s="1"/>
      <c r="V615" s="6"/>
      <c r="W615" s="6"/>
    </row>
    <row r="616" ht="15.75" customHeight="1">
      <c r="A616" s="9" t="s">
        <v>29</v>
      </c>
      <c r="B616" s="10">
        <v>2025.0</v>
      </c>
      <c r="C616" s="14" t="s">
        <v>38</v>
      </c>
      <c r="D616" s="1" t="s">
        <v>651</v>
      </c>
      <c r="E616" s="2">
        <v>80000.0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80000.0</v>
      </c>
      <c r="O616" s="2">
        <v>0.0</v>
      </c>
      <c r="P616" s="2">
        <f t="shared" si="1"/>
        <v>0</v>
      </c>
      <c r="Q616" s="1"/>
      <c r="R616" s="1"/>
      <c r="S616" s="1"/>
      <c r="T616" s="1"/>
      <c r="U616" s="1"/>
      <c r="V616" s="6"/>
      <c r="W616" s="6"/>
    </row>
    <row r="617" ht="15.75" customHeight="1">
      <c r="A617" s="9" t="s">
        <v>29</v>
      </c>
      <c r="B617" s="10">
        <v>2025.0</v>
      </c>
      <c r="C617" s="14" t="s">
        <v>38</v>
      </c>
      <c r="D617" s="1" t="s">
        <v>652</v>
      </c>
      <c r="E617" s="2">
        <v>145000.0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145000.0</v>
      </c>
      <c r="O617" s="2">
        <v>0.0</v>
      </c>
      <c r="P617" s="2">
        <f t="shared" si="1"/>
        <v>0</v>
      </c>
      <c r="Q617" s="1"/>
      <c r="R617" s="1"/>
      <c r="S617" s="1"/>
      <c r="T617" s="1"/>
      <c r="U617" s="1"/>
      <c r="V617" s="6"/>
      <c r="W617" s="6"/>
    </row>
    <row r="618" ht="15.75" customHeight="1">
      <c r="A618" s="9" t="s">
        <v>29</v>
      </c>
      <c r="B618" s="10">
        <v>2025.0</v>
      </c>
      <c r="C618" s="14" t="s">
        <v>38</v>
      </c>
      <c r="D618" s="1" t="s">
        <v>653</v>
      </c>
      <c r="E618" s="2">
        <v>172000.0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172000.0</v>
      </c>
      <c r="O618" s="2">
        <v>0.0</v>
      </c>
      <c r="P618" s="2">
        <f t="shared" si="1"/>
        <v>0</v>
      </c>
      <c r="Q618" s="1"/>
      <c r="R618" s="1"/>
      <c r="S618" s="1"/>
      <c r="T618" s="1"/>
      <c r="U618" s="1"/>
      <c r="V618" s="6"/>
      <c r="W618" s="6"/>
    </row>
    <row r="619" ht="15.75" customHeight="1">
      <c r="A619" s="9" t="s">
        <v>29</v>
      </c>
      <c r="B619" s="10">
        <v>2025.0</v>
      </c>
      <c r="C619" s="14" t="s">
        <v>38</v>
      </c>
      <c r="D619" s="1" t="s">
        <v>654</v>
      </c>
      <c r="E619" s="2">
        <v>85000.0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85000.0</v>
      </c>
      <c r="O619" s="2">
        <v>0.0</v>
      </c>
      <c r="P619" s="2">
        <f t="shared" si="1"/>
        <v>0</v>
      </c>
      <c r="Q619" s="1"/>
      <c r="R619" s="1"/>
      <c r="S619" s="1"/>
      <c r="T619" s="1"/>
      <c r="U619" s="1"/>
      <c r="V619" s="6"/>
      <c r="W619" s="6"/>
    </row>
    <row r="620" ht="15.75" customHeight="1">
      <c r="A620" s="9" t="s">
        <v>29</v>
      </c>
      <c r="B620" s="10">
        <v>2025.0</v>
      </c>
      <c r="C620" s="14" t="s">
        <v>38</v>
      </c>
      <c r="D620" s="1" t="s">
        <v>655</v>
      </c>
      <c r="E620" s="2">
        <v>20000.0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20000.0</v>
      </c>
      <c r="O620" s="2">
        <v>0.0</v>
      </c>
      <c r="P620" s="2">
        <f t="shared" si="1"/>
        <v>0</v>
      </c>
      <c r="Q620" s="1"/>
      <c r="R620" s="1"/>
      <c r="S620" s="1"/>
      <c r="T620" s="1"/>
      <c r="U620" s="1"/>
      <c r="V620" s="6"/>
      <c r="W620" s="6"/>
    </row>
    <row r="621" ht="15.75" customHeight="1">
      <c r="A621" s="9" t="s">
        <v>29</v>
      </c>
      <c r="B621" s="10">
        <v>2025.0</v>
      </c>
      <c r="C621" s="14" t="s">
        <v>38</v>
      </c>
      <c r="D621" s="1" t="s">
        <v>656</v>
      </c>
      <c r="E621" s="2">
        <v>44000.0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44000.0</v>
      </c>
      <c r="O621" s="2">
        <v>0.0</v>
      </c>
      <c r="P621" s="2">
        <f t="shared" si="1"/>
        <v>0</v>
      </c>
      <c r="Q621" s="1"/>
      <c r="R621" s="1"/>
      <c r="S621" s="1"/>
      <c r="T621" s="1"/>
      <c r="U621" s="1"/>
      <c r="V621" s="6"/>
      <c r="W621" s="6"/>
    </row>
    <row r="622" ht="15.75" customHeight="1">
      <c r="A622" s="9" t="s">
        <v>29</v>
      </c>
      <c r="B622" s="10">
        <v>2025.0</v>
      </c>
      <c r="C622" s="14" t="s">
        <v>38</v>
      </c>
      <c r="D622" s="1" t="s">
        <v>657</v>
      </c>
      <c r="E622" s="2">
        <v>8000.0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8000.0</v>
      </c>
      <c r="O622" s="2">
        <v>0.0</v>
      </c>
      <c r="P622" s="2">
        <f t="shared" si="1"/>
        <v>0</v>
      </c>
      <c r="Q622" s="1"/>
      <c r="R622" s="1"/>
      <c r="S622" s="1"/>
      <c r="T622" s="1"/>
      <c r="U622" s="1"/>
      <c r="V622" s="6"/>
      <c r="W622" s="6"/>
    </row>
    <row r="623" ht="15.75" customHeight="1">
      <c r="A623" s="9" t="s">
        <v>29</v>
      </c>
      <c r="B623" s="10">
        <v>2025.0</v>
      </c>
      <c r="C623" s="14" t="s">
        <v>38</v>
      </c>
      <c r="D623" s="1" t="s">
        <v>658</v>
      </c>
      <c r="E623" s="2">
        <v>15500.0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15500.0</v>
      </c>
      <c r="O623" s="2">
        <v>0.0</v>
      </c>
      <c r="P623" s="2">
        <f t="shared" si="1"/>
        <v>0</v>
      </c>
      <c r="Q623" s="1"/>
      <c r="R623" s="1"/>
      <c r="S623" s="1"/>
      <c r="T623" s="1"/>
      <c r="U623" s="1"/>
      <c r="V623" s="6"/>
      <c r="W623" s="6"/>
    </row>
    <row r="624" ht="15.75" customHeight="1">
      <c r="A624" s="9" t="s">
        <v>29</v>
      </c>
      <c r="B624" s="10">
        <v>2025.0</v>
      </c>
      <c r="C624" s="14" t="s">
        <v>38</v>
      </c>
      <c r="D624" s="1" t="s">
        <v>659</v>
      </c>
      <c r="E624" s="2">
        <v>204000.0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204000.0</v>
      </c>
      <c r="O624" s="2">
        <v>0.0</v>
      </c>
      <c r="P624" s="2">
        <f t="shared" si="1"/>
        <v>0</v>
      </c>
      <c r="Q624" s="1"/>
      <c r="R624" s="1"/>
      <c r="S624" s="1"/>
      <c r="T624" s="1"/>
      <c r="U624" s="1"/>
      <c r="V624" s="6"/>
      <c r="W624" s="6"/>
    </row>
    <row r="625" ht="15.75" customHeight="1">
      <c r="A625" s="9" t="s">
        <v>29</v>
      </c>
      <c r="B625" s="10">
        <v>2025.0</v>
      </c>
      <c r="C625" s="14" t="s">
        <v>38</v>
      </c>
      <c r="D625" s="1" t="s">
        <v>660</v>
      </c>
      <c r="E625" s="2">
        <v>11500.0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11500.0</v>
      </c>
      <c r="O625" s="2">
        <v>0.0</v>
      </c>
      <c r="P625" s="2">
        <f t="shared" si="1"/>
        <v>0</v>
      </c>
      <c r="Q625" s="1"/>
      <c r="R625" s="1"/>
      <c r="S625" s="1"/>
      <c r="T625" s="1"/>
      <c r="U625" s="1"/>
      <c r="V625" s="6"/>
      <c r="W625" s="6"/>
    </row>
    <row r="626" ht="15.75" customHeight="1">
      <c r="A626" s="9" t="s">
        <v>29</v>
      </c>
      <c r="B626" s="10">
        <v>2025.0</v>
      </c>
      <c r="C626" s="14" t="s">
        <v>38</v>
      </c>
      <c r="D626" s="1" t="s">
        <v>661</v>
      </c>
      <c r="E626" s="2">
        <v>621206.0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621206.0</v>
      </c>
      <c r="O626" s="2">
        <v>0.0</v>
      </c>
      <c r="P626" s="2">
        <f t="shared" si="1"/>
        <v>0</v>
      </c>
      <c r="Q626" s="1"/>
      <c r="R626" s="1"/>
      <c r="S626" s="1"/>
      <c r="T626" s="1"/>
      <c r="U626" s="1"/>
      <c r="V626" s="6"/>
      <c r="W626" s="6"/>
    </row>
    <row r="627" ht="15.75" customHeight="1">
      <c r="A627" s="9" t="s">
        <v>29</v>
      </c>
      <c r="B627" s="10">
        <v>2025.0</v>
      </c>
      <c r="C627" s="14" t="s">
        <v>38</v>
      </c>
      <c r="D627" s="1" t="s">
        <v>662</v>
      </c>
      <c r="E627" s="2">
        <v>13500.0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13500.0</v>
      </c>
      <c r="O627" s="2">
        <v>0.0</v>
      </c>
      <c r="P627" s="2">
        <f t="shared" si="1"/>
        <v>0</v>
      </c>
      <c r="Q627" s="1"/>
      <c r="R627" s="1"/>
      <c r="S627" s="1"/>
      <c r="T627" s="1"/>
      <c r="U627" s="1"/>
      <c r="V627" s="6"/>
      <c r="W627" s="6"/>
    </row>
    <row r="628" ht="15.75" customHeight="1">
      <c r="A628" s="9" t="s">
        <v>29</v>
      </c>
      <c r="B628" s="10">
        <v>2025.0</v>
      </c>
      <c r="C628" s="14" t="s">
        <v>38</v>
      </c>
      <c r="D628" s="1" t="s">
        <v>663</v>
      </c>
      <c r="E628" s="2">
        <v>200000.0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200000.0</v>
      </c>
      <c r="O628" s="2">
        <v>0.0</v>
      </c>
      <c r="P628" s="2">
        <f t="shared" si="1"/>
        <v>0</v>
      </c>
      <c r="Q628" s="1"/>
      <c r="R628" s="1"/>
      <c r="S628" s="1"/>
      <c r="T628" s="1"/>
      <c r="U628" s="1"/>
      <c r="V628" s="6"/>
      <c r="W628" s="6"/>
    </row>
    <row r="629" ht="15.75" customHeight="1">
      <c r="A629" s="9" t="s">
        <v>29</v>
      </c>
      <c r="B629" s="10">
        <v>2025.0</v>
      </c>
      <c r="C629" s="14" t="s">
        <v>38</v>
      </c>
      <c r="D629" s="1" t="s">
        <v>664</v>
      </c>
      <c r="E629" s="2">
        <v>50000.0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50000.0</v>
      </c>
      <c r="O629" s="2">
        <v>0.0</v>
      </c>
      <c r="P629" s="2">
        <f t="shared" si="1"/>
        <v>0</v>
      </c>
      <c r="Q629" s="1"/>
      <c r="R629" s="1"/>
      <c r="S629" s="1"/>
      <c r="T629" s="1"/>
      <c r="U629" s="1"/>
      <c r="V629" s="6"/>
      <c r="W629" s="6"/>
    </row>
    <row r="630" ht="15.75" customHeight="1">
      <c r="A630" s="9" t="s">
        <v>29</v>
      </c>
      <c r="B630" s="10">
        <v>2025.0</v>
      </c>
      <c r="C630" s="14" t="s">
        <v>38</v>
      </c>
      <c r="D630" s="1" t="s">
        <v>665</v>
      </c>
      <c r="E630" s="2">
        <v>200000.0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200000.0</v>
      </c>
      <c r="O630" s="2">
        <v>0.0</v>
      </c>
      <c r="P630" s="2">
        <f t="shared" si="1"/>
        <v>0</v>
      </c>
      <c r="Q630" s="1"/>
      <c r="R630" s="1"/>
      <c r="S630" s="1"/>
      <c r="T630" s="1"/>
      <c r="U630" s="1"/>
      <c r="V630" s="6"/>
      <c r="W630" s="6"/>
    </row>
    <row r="631" ht="15.75" customHeight="1">
      <c r="A631" s="9" t="s">
        <v>29</v>
      </c>
      <c r="B631" s="10">
        <v>2025.0</v>
      </c>
      <c r="C631" s="14" t="s">
        <v>38</v>
      </c>
      <c r="D631" s="1" t="s">
        <v>666</v>
      </c>
      <c r="E631" s="2">
        <v>140000.0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140000.0</v>
      </c>
      <c r="O631" s="2">
        <v>0.0</v>
      </c>
      <c r="P631" s="2">
        <f t="shared" si="1"/>
        <v>0</v>
      </c>
      <c r="Q631" s="1"/>
      <c r="R631" s="1"/>
      <c r="S631" s="1"/>
      <c r="T631" s="1"/>
      <c r="U631" s="1"/>
      <c r="V631" s="6"/>
      <c r="W631" s="6"/>
    </row>
    <row r="632" ht="15.75" customHeight="1">
      <c r="A632" s="9" t="s">
        <v>29</v>
      </c>
      <c r="B632" s="10">
        <v>2025.0</v>
      </c>
      <c r="C632" s="14" t="s">
        <v>43</v>
      </c>
      <c r="D632" s="1" t="s">
        <v>667</v>
      </c>
      <c r="E632" s="2">
        <v>67500.0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67500.0</v>
      </c>
      <c r="O632" s="2">
        <v>0.0</v>
      </c>
      <c r="P632" s="2">
        <f t="shared" si="1"/>
        <v>0</v>
      </c>
      <c r="Q632" s="1"/>
      <c r="R632" s="1"/>
      <c r="S632" s="1"/>
      <c r="T632" s="1"/>
      <c r="U632" s="1"/>
      <c r="V632" s="6"/>
      <c r="W632" s="6"/>
    </row>
    <row r="633" ht="15.75" customHeight="1">
      <c r="A633" s="9" t="s">
        <v>29</v>
      </c>
      <c r="B633" s="10">
        <v>2025.0</v>
      </c>
      <c r="C633" s="14" t="s">
        <v>43</v>
      </c>
      <c r="D633" s="1" t="s">
        <v>668</v>
      </c>
      <c r="E633" s="2">
        <v>1000000.0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1000000.0</v>
      </c>
      <c r="O633" s="2">
        <v>0.0</v>
      </c>
      <c r="P633" s="2">
        <f t="shared" si="1"/>
        <v>0</v>
      </c>
      <c r="Q633" s="1"/>
      <c r="R633" s="1"/>
      <c r="S633" s="1"/>
      <c r="T633" s="1"/>
      <c r="U633" s="1"/>
      <c r="V633" s="6"/>
      <c r="W633" s="6"/>
    </row>
    <row r="634" ht="15.75" customHeight="1">
      <c r="A634" s="9" t="s">
        <v>29</v>
      </c>
      <c r="B634" s="10">
        <v>2025.0</v>
      </c>
      <c r="C634" s="14" t="s">
        <v>43</v>
      </c>
      <c r="D634" s="1" t="s">
        <v>669</v>
      </c>
      <c r="E634" s="2">
        <v>300000.0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300000.0</v>
      </c>
      <c r="O634" s="2">
        <v>0.0</v>
      </c>
      <c r="P634" s="2">
        <f t="shared" si="1"/>
        <v>0</v>
      </c>
      <c r="Q634" s="1"/>
      <c r="R634" s="1"/>
      <c r="S634" s="1"/>
      <c r="T634" s="1"/>
      <c r="U634" s="1"/>
      <c r="V634" s="6"/>
      <c r="W634" s="6"/>
    </row>
    <row r="635" ht="15.75" customHeight="1">
      <c r="A635" s="9" t="s">
        <v>29</v>
      </c>
      <c r="B635" s="10">
        <v>2025.0</v>
      </c>
      <c r="C635" s="14" t="s">
        <v>43</v>
      </c>
      <c r="D635" s="1" t="s">
        <v>670</v>
      </c>
      <c r="E635" s="2">
        <v>1900000.0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1900000.0</v>
      </c>
      <c r="O635" s="2">
        <v>0.0</v>
      </c>
      <c r="P635" s="2">
        <f t="shared" si="1"/>
        <v>0</v>
      </c>
      <c r="Q635" s="1"/>
      <c r="R635" s="1"/>
      <c r="S635" s="1"/>
      <c r="T635" s="1"/>
      <c r="U635" s="1"/>
      <c r="V635" s="6"/>
      <c r="W635" s="6"/>
    </row>
    <row r="636" ht="15.75" customHeight="1">
      <c r="A636" s="9" t="s">
        <v>29</v>
      </c>
      <c r="B636" s="10">
        <v>2025.0</v>
      </c>
      <c r="C636" s="14" t="s">
        <v>43</v>
      </c>
      <c r="D636" s="1" t="s">
        <v>671</v>
      </c>
      <c r="E636" s="2">
        <v>87000.0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87000.0</v>
      </c>
      <c r="O636" s="2">
        <v>0.0</v>
      </c>
      <c r="P636" s="2">
        <f t="shared" si="1"/>
        <v>0</v>
      </c>
      <c r="Q636" s="1"/>
      <c r="R636" s="1"/>
      <c r="S636" s="1"/>
      <c r="T636" s="1"/>
      <c r="U636" s="1"/>
      <c r="V636" s="6"/>
      <c r="W636" s="6"/>
    </row>
    <row r="637" ht="15.75" customHeight="1">
      <c r="A637" s="9" t="s">
        <v>29</v>
      </c>
      <c r="B637" s="10">
        <v>2025.0</v>
      </c>
      <c r="C637" s="14" t="s">
        <v>43</v>
      </c>
      <c r="D637" s="1" t="s">
        <v>672</v>
      </c>
      <c r="E637" s="2">
        <v>109901.0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109901.0</v>
      </c>
      <c r="O637" s="2">
        <v>0.0</v>
      </c>
      <c r="P637" s="2">
        <f t="shared" si="1"/>
        <v>0</v>
      </c>
      <c r="Q637" s="1"/>
      <c r="R637" s="1"/>
      <c r="S637" s="1"/>
      <c r="T637" s="1"/>
      <c r="U637" s="1"/>
      <c r="V637" s="6"/>
      <c r="W637" s="6"/>
    </row>
    <row r="638" ht="15.75" customHeight="1">
      <c r="A638" s="9" t="s">
        <v>29</v>
      </c>
      <c r="B638" s="10">
        <v>2025.0</v>
      </c>
      <c r="C638" s="14" t="s">
        <v>43</v>
      </c>
      <c r="D638" s="1" t="s">
        <v>673</v>
      </c>
      <c r="E638" s="2">
        <v>5725000.0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5725000.0</v>
      </c>
      <c r="O638" s="2">
        <v>0.0</v>
      </c>
      <c r="P638" s="2">
        <f t="shared" si="1"/>
        <v>0</v>
      </c>
      <c r="Q638" s="1"/>
      <c r="R638" s="1"/>
      <c r="S638" s="1"/>
      <c r="T638" s="1"/>
      <c r="U638" s="1"/>
      <c r="V638" s="6"/>
      <c r="W638" s="6"/>
    </row>
    <row r="639" ht="15.75" customHeight="1">
      <c r="A639" s="9" t="s">
        <v>29</v>
      </c>
      <c r="B639" s="10">
        <v>2025.0</v>
      </c>
      <c r="C639" s="14" t="s">
        <v>43</v>
      </c>
      <c r="D639" s="1" t="s">
        <v>674</v>
      </c>
      <c r="E639" s="2">
        <v>1200000.0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1200000.0</v>
      </c>
      <c r="O639" s="2">
        <v>0.0</v>
      </c>
      <c r="P639" s="2">
        <f t="shared" si="1"/>
        <v>0</v>
      </c>
      <c r="Q639" s="1"/>
      <c r="R639" s="1"/>
      <c r="S639" s="1"/>
      <c r="T639" s="1"/>
      <c r="U639" s="1"/>
      <c r="V639" s="6"/>
      <c r="W639" s="6"/>
    </row>
    <row r="640" ht="15.75" customHeight="1">
      <c r="A640" s="9" t="s">
        <v>29</v>
      </c>
      <c r="B640" s="10">
        <v>2025.0</v>
      </c>
      <c r="C640" s="14" t="s">
        <v>43</v>
      </c>
      <c r="D640" s="1" t="s">
        <v>675</v>
      </c>
      <c r="E640" s="2">
        <v>67000.0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67000.0</v>
      </c>
      <c r="O640" s="2">
        <v>0.0</v>
      </c>
      <c r="P640" s="2">
        <f t="shared" si="1"/>
        <v>0</v>
      </c>
      <c r="Q640" s="1"/>
      <c r="R640" s="1"/>
      <c r="S640" s="1"/>
      <c r="T640" s="1"/>
      <c r="U640" s="1"/>
      <c r="V640" s="6"/>
      <c r="W640" s="6"/>
    </row>
    <row r="641" ht="15.75" customHeight="1">
      <c r="A641" s="9" t="s">
        <v>29</v>
      </c>
      <c r="B641" s="10">
        <v>2025.0</v>
      </c>
      <c r="C641" s="14" t="s">
        <v>43</v>
      </c>
      <c r="D641" s="1" t="s">
        <v>676</v>
      </c>
      <c r="E641" s="2">
        <v>181000.0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181000.0</v>
      </c>
      <c r="O641" s="2">
        <v>0.0</v>
      </c>
      <c r="P641" s="2">
        <f t="shared" si="1"/>
        <v>0</v>
      </c>
      <c r="Q641" s="1"/>
      <c r="R641" s="1"/>
      <c r="S641" s="1"/>
      <c r="T641" s="1"/>
      <c r="U641" s="1"/>
      <c r="V641" s="6"/>
      <c r="W641" s="6"/>
    </row>
    <row r="642" ht="15.75" customHeight="1">
      <c r="A642" s="9" t="s">
        <v>29</v>
      </c>
      <c r="B642" s="10">
        <v>2025.0</v>
      </c>
      <c r="C642" s="14" t="s">
        <v>43</v>
      </c>
      <c r="D642" s="1" t="s">
        <v>677</v>
      </c>
      <c r="E642" s="2">
        <v>450000.0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450000.0</v>
      </c>
      <c r="O642" s="2">
        <v>0.0</v>
      </c>
      <c r="P642" s="2">
        <f t="shared" si="1"/>
        <v>0</v>
      </c>
      <c r="Q642" s="1"/>
      <c r="R642" s="1"/>
      <c r="S642" s="1"/>
      <c r="T642" s="1"/>
      <c r="U642" s="1"/>
      <c r="V642" s="6"/>
      <c r="W642" s="6"/>
    </row>
    <row r="643" ht="15.75" customHeight="1">
      <c r="A643" s="9" t="s">
        <v>29</v>
      </c>
      <c r="B643" s="10">
        <v>2025.0</v>
      </c>
      <c r="C643" s="14" t="s">
        <v>43</v>
      </c>
      <c r="D643" s="1" t="s">
        <v>678</v>
      </c>
      <c r="E643" s="2">
        <v>70000.0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70000.0</v>
      </c>
      <c r="O643" s="2">
        <v>0.0</v>
      </c>
      <c r="P643" s="2">
        <f t="shared" si="1"/>
        <v>0</v>
      </c>
      <c r="Q643" s="1"/>
      <c r="R643" s="1"/>
      <c r="S643" s="1"/>
      <c r="T643" s="1"/>
      <c r="U643" s="1"/>
      <c r="V643" s="6"/>
      <c r="W643" s="6"/>
    </row>
    <row r="644" ht="15.75" customHeight="1">
      <c r="A644" s="9" t="s">
        <v>29</v>
      </c>
      <c r="B644" s="10">
        <v>2025.0</v>
      </c>
      <c r="C644" s="14" t="s">
        <v>43</v>
      </c>
      <c r="D644" s="1" t="s">
        <v>679</v>
      </c>
      <c r="E644" s="2">
        <v>160000.0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160000.0</v>
      </c>
      <c r="O644" s="2">
        <v>0.0</v>
      </c>
      <c r="P644" s="2">
        <f t="shared" si="1"/>
        <v>0</v>
      </c>
      <c r="Q644" s="1"/>
      <c r="R644" s="1"/>
      <c r="S644" s="1"/>
      <c r="T644" s="1"/>
      <c r="U644" s="1"/>
      <c r="V644" s="6"/>
      <c r="W644" s="6"/>
    </row>
    <row r="645" ht="15.75" customHeight="1">
      <c r="A645" s="9" t="s">
        <v>29</v>
      </c>
      <c r="B645" s="10">
        <v>2025.0</v>
      </c>
      <c r="C645" s="14" t="s">
        <v>43</v>
      </c>
      <c r="D645" s="1" t="s">
        <v>680</v>
      </c>
      <c r="E645" s="2">
        <v>111800.0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111800.0</v>
      </c>
      <c r="O645" s="2">
        <v>0.0</v>
      </c>
      <c r="P645" s="2">
        <f t="shared" si="1"/>
        <v>0</v>
      </c>
      <c r="Q645" s="1"/>
      <c r="R645" s="1"/>
      <c r="S645" s="1"/>
      <c r="T645" s="1"/>
      <c r="U645" s="1"/>
      <c r="V645" s="6"/>
      <c r="W645" s="6"/>
    </row>
    <row r="646" ht="15.75" customHeight="1">
      <c r="A646" s="9" t="s">
        <v>29</v>
      </c>
      <c r="B646" s="10">
        <v>2025.0</v>
      </c>
      <c r="C646" s="14" t="s">
        <v>43</v>
      </c>
      <c r="D646" s="1" t="s">
        <v>681</v>
      </c>
      <c r="E646" s="2">
        <v>1801000.0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1801000.0</v>
      </c>
      <c r="O646" s="2">
        <v>0.0</v>
      </c>
      <c r="P646" s="2">
        <f t="shared" si="1"/>
        <v>0</v>
      </c>
      <c r="Q646" s="1"/>
      <c r="R646" s="1"/>
      <c r="S646" s="1"/>
      <c r="T646" s="1"/>
      <c r="U646" s="1"/>
      <c r="V646" s="6"/>
      <c r="W646" s="6"/>
    </row>
    <row r="647" ht="15.75" customHeight="1">
      <c r="A647" s="9" t="s">
        <v>29</v>
      </c>
      <c r="B647" s="10">
        <v>2025.0</v>
      </c>
      <c r="C647" s="14" t="s">
        <v>43</v>
      </c>
      <c r="D647" s="1" t="s">
        <v>682</v>
      </c>
      <c r="E647" s="2">
        <v>3301000.0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3301000.0</v>
      </c>
      <c r="O647" s="2">
        <v>0.0</v>
      </c>
      <c r="P647" s="2">
        <f t="shared" si="1"/>
        <v>0</v>
      </c>
      <c r="Q647" s="1"/>
      <c r="R647" s="1"/>
      <c r="S647" s="1"/>
      <c r="T647" s="1"/>
      <c r="U647" s="1"/>
      <c r="V647" s="6"/>
      <c r="W647" s="6"/>
    </row>
    <row r="648" ht="15.75" customHeight="1">
      <c r="A648" s="9" t="s">
        <v>29</v>
      </c>
      <c r="B648" s="10">
        <v>2025.0</v>
      </c>
      <c r="C648" s="14" t="s">
        <v>43</v>
      </c>
      <c r="D648" s="1" t="s">
        <v>683</v>
      </c>
      <c r="E648" s="2">
        <v>3001000.0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3001000.0</v>
      </c>
      <c r="O648" s="2">
        <v>0.0</v>
      </c>
      <c r="P648" s="2">
        <f t="shared" si="1"/>
        <v>0</v>
      </c>
      <c r="Q648" s="1"/>
      <c r="R648" s="1"/>
      <c r="S648" s="1"/>
      <c r="T648" s="1"/>
      <c r="U648" s="1"/>
      <c r="V648" s="6"/>
      <c r="W648" s="6"/>
    </row>
    <row r="649" ht="15.75" customHeight="1">
      <c r="A649" s="9" t="s">
        <v>29</v>
      </c>
      <c r="B649" s="10">
        <v>2025.0</v>
      </c>
      <c r="C649" s="14" t="s">
        <v>43</v>
      </c>
      <c r="D649" s="1" t="s">
        <v>684</v>
      </c>
      <c r="E649" s="2">
        <v>2701000.0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2701000.0</v>
      </c>
      <c r="O649" s="2">
        <v>0.0</v>
      </c>
      <c r="P649" s="2">
        <f t="shared" si="1"/>
        <v>0</v>
      </c>
      <c r="Q649" s="1"/>
      <c r="R649" s="1"/>
      <c r="S649" s="1"/>
      <c r="T649" s="1"/>
      <c r="U649" s="1"/>
      <c r="V649" s="6"/>
      <c r="W649" s="6"/>
    </row>
    <row r="650" ht="15.75" customHeight="1">
      <c r="A650" s="9" t="s">
        <v>29</v>
      </c>
      <c r="B650" s="10">
        <v>2025.0</v>
      </c>
      <c r="C650" s="14" t="s">
        <v>43</v>
      </c>
      <c r="D650" s="1" t="s">
        <v>685</v>
      </c>
      <c r="E650" s="2">
        <v>3001000.0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3001000.0</v>
      </c>
      <c r="O650" s="2">
        <v>0.0</v>
      </c>
      <c r="P650" s="2">
        <f t="shared" si="1"/>
        <v>0</v>
      </c>
      <c r="Q650" s="1"/>
      <c r="R650" s="1"/>
      <c r="S650" s="1"/>
      <c r="T650" s="1"/>
      <c r="U650" s="1"/>
      <c r="V650" s="6"/>
      <c r="W650" s="6"/>
    </row>
    <row r="651" ht="15.75" customHeight="1">
      <c r="A651" s="9" t="s">
        <v>29</v>
      </c>
      <c r="B651" s="10">
        <v>2025.0</v>
      </c>
      <c r="C651" s="14" t="s">
        <v>43</v>
      </c>
      <c r="D651" s="1" t="s">
        <v>686</v>
      </c>
      <c r="E651" s="2">
        <v>2701000.0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2701000.0</v>
      </c>
      <c r="O651" s="2">
        <v>0.0</v>
      </c>
      <c r="P651" s="2">
        <f t="shared" si="1"/>
        <v>0</v>
      </c>
      <c r="Q651" s="1"/>
      <c r="R651" s="1"/>
      <c r="S651" s="1"/>
      <c r="T651" s="1"/>
      <c r="U651" s="1"/>
      <c r="V651" s="6"/>
      <c r="W651" s="6"/>
    </row>
    <row r="652" ht="15.75" customHeight="1">
      <c r="A652" s="9" t="s">
        <v>29</v>
      </c>
      <c r="B652" s="10">
        <v>2025.0</v>
      </c>
      <c r="C652" s="14" t="s">
        <v>43</v>
      </c>
      <c r="D652" s="1" t="s">
        <v>687</v>
      </c>
      <c r="E652" s="2">
        <v>2701000.0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2701000.0</v>
      </c>
      <c r="O652" s="2">
        <v>0.0</v>
      </c>
      <c r="P652" s="2">
        <f t="shared" si="1"/>
        <v>0</v>
      </c>
      <c r="Q652" s="1"/>
      <c r="R652" s="1"/>
      <c r="S652" s="1"/>
      <c r="T652" s="1"/>
      <c r="U652" s="1"/>
      <c r="V652" s="6"/>
      <c r="W652" s="6"/>
    </row>
    <row r="653" ht="15.75" customHeight="1">
      <c r="A653" s="9" t="s">
        <v>29</v>
      </c>
      <c r="B653" s="10">
        <v>2025.0</v>
      </c>
      <c r="C653" s="14" t="s">
        <v>43</v>
      </c>
      <c r="D653" s="1" t="s">
        <v>688</v>
      </c>
      <c r="E653" s="2">
        <v>2701500.0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2701500.0</v>
      </c>
      <c r="O653" s="2">
        <v>0.0</v>
      </c>
      <c r="P653" s="2">
        <f t="shared" si="1"/>
        <v>0</v>
      </c>
      <c r="Q653" s="1"/>
      <c r="R653" s="1"/>
      <c r="S653" s="1"/>
      <c r="T653" s="1"/>
      <c r="U653" s="1"/>
      <c r="V653" s="6"/>
      <c r="W653" s="6"/>
    </row>
    <row r="654" ht="15.75" customHeight="1">
      <c r="A654" s="9" t="s">
        <v>29</v>
      </c>
      <c r="B654" s="10">
        <v>2025.0</v>
      </c>
      <c r="C654" s="14" t="s">
        <v>43</v>
      </c>
      <c r="D654" s="1" t="s">
        <v>689</v>
      </c>
      <c r="E654" s="2">
        <v>1150000.0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1150000.0</v>
      </c>
      <c r="O654" s="2">
        <v>0.0</v>
      </c>
      <c r="P654" s="2">
        <f t="shared" si="1"/>
        <v>0</v>
      </c>
      <c r="Q654" s="1"/>
      <c r="R654" s="1"/>
      <c r="S654" s="1"/>
      <c r="T654" s="1"/>
      <c r="U654" s="1"/>
      <c r="V654" s="6"/>
      <c r="W654" s="6"/>
    </row>
    <row r="655" ht="15.75" customHeight="1">
      <c r="A655" s="9" t="s">
        <v>29</v>
      </c>
      <c r="B655" s="10">
        <v>2025.0</v>
      </c>
      <c r="C655" s="14" t="s">
        <v>43</v>
      </c>
      <c r="D655" s="1" t="s">
        <v>690</v>
      </c>
      <c r="E655" s="2">
        <v>1400000.0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1400000.0</v>
      </c>
      <c r="O655" s="2">
        <v>0.0</v>
      </c>
      <c r="P655" s="2">
        <f t="shared" si="1"/>
        <v>0</v>
      </c>
      <c r="Q655" s="1"/>
      <c r="R655" s="1"/>
      <c r="S655" s="1"/>
      <c r="T655" s="1"/>
      <c r="U655" s="1"/>
      <c r="V655" s="6"/>
      <c r="W655" s="6"/>
    </row>
    <row r="656" ht="15.75" customHeight="1">
      <c r="A656" s="9" t="s">
        <v>29</v>
      </c>
      <c r="B656" s="10">
        <v>2025.0</v>
      </c>
      <c r="C656" s="14" t="s">
        <v>43</v>
      </c>
      <c r="D656" s="1" t="s">
        <v>691</v>
      </c>
      <c r="E656" s="2">
        <v>440000.0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440000.0</v>
      </c>
      <c r="O656" s="2">
        <v>0.0</v>
      </c>
      <c r="P656" s="2">
        <f t="shared" si="1"/>
        <v>0</v>
      </c>
      <c r="Q656" s="1"/>
      <c r="R656" s="1"/>
      <c r="S656" s="1"/>
      <c r="T656" s="1"/>
      <c r="U656" s="1"/>
      <c r="V656" s="6"/>
      <c r="W656" s="6"/>
    </row>
    <row r="657" ht="15.75" customHeight="1">
      <c r="A657" s="9" t="s">
        <v>29</v>
      </c>
      <c r="B657" s="10">
        <v>2025.0</v>
      </c>
      <c r="C657" s="14" t="s">
        <v>43</v>
      </c>
      <c r="D657" s="1" t="s">
        <v>692</v>
      </c>
      <c r="E657" s="2">
        <v>541750.0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541750.0</v>
      </c>
      <c r="O657" s="2">
        <v>0.0</v>
      </c>
      <c r="P657" s="2">
        <f t="shared" si="1"/>
        <v>0</v>
      </c>
      <c r="Q657" s="1"/>
      <c r="R657" s="1"/>
      <c r="S657" s="1"/>
      <c r="T657" s="1"/>
      <c r="U657" s="1"/>
      <c r="V657" s="6"/>
      <c r="W657" s="6"/>
    </row>
    <row r="658" ht="15.75" customHeight="1">
      <c r="A658" s="9" t="s">
        <v>29</v>
      </c>
      <c r="B658" s="10">
        <v>2025.0</v>
      </c>
      <c r="C658" s="14" t="s">
        <v>43</v>
      </c>
      <c r="D658" s="1" t="s">
        <v>693</v>
      </c>
      <c r="E658" s="2">
        <v>400000.0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400000.0</v>
      </c>
      <c r="O658" s="2">
        <v>0.0</v>
      </c>
      <c r="P658" s="2">
        <f t="shared" si="1"/>
        <v>0</v>
      </c>
      <c r="Q658" s="1"/>
      <c r="R658" s="1"/>
      <c r="S658" s="1"/>
      <c r="T658" s="1"/>
      <c r="U658" s="1"/>
      <c r="V658" s="6"/>
      <c r="W658" s="6"/>
    </row>
    <row r="659" ht="15.75" customHeight="1">
      <c r="A659" s="9" t="s">
        <v>29</v>
      </c>
      <c r="B659" s="10">
        <v>2025.0</v>
      </c>
      <c r="C659" s="14" t="s">
        <v>43</v>
      </c>
      <c r="D659" s="1" t="s">
        <v>694</v>
      </c>
      <c r="E659" s="2">
        <v>1952500.0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1952500.0</v>
      </c>
      <c r="O659" s="2">
        <v>0.0</v>
      </c>
      <c r="P659" s="2">
        <f t="shared" si="1"/>
        <v>0</v>
      </c>
      <c r="Q659" s="1"/>
      <c r="R659" s="1"/>
      <c r="S659" s="1"/>
      <c r="T659" s="1"/>
      <c r="U659" s="1"/>
      <c r="V659" s="6"/>
      <c r="W659" s="6"/>
    </row>
    <row r="660" ht="15.75" customHeight="1">
      <c r="A660" s="9" t="s">
        <v>29</v>
      </c>
      <c r="B660" s="10">
        <v>2025.0</v>
      </c>
      <c r="C660" s="14" t="s">
        <v>43</v>
      </c>
      <c r="D660" s="1" t="s">
        <v>695</v>
      </c>
      <c r="E660" s="2">
        <v>1096800.0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1096800.0</v>
      </c>
      <c r="O660" s="2">
        <v>0.0</v>
      </c>
      <c r="P660" s="2">
        <f t="shared" si="1"/>
        <v>0</v>
      </c>
      <c r="Q660" s="1"/>
      <c r="R660" s="1"/>
      <c r="S660" s="1"/>
      <c r="T660" s="1"/>
      <c r="U660" s="1"/>
      <c r="V660" s="6"/>
      <c r="W660" s="6"/>
    </row>
    <row r="661" ht="15.75" customHeight="1">
      <c r="A661" s="9" t="s">
        <v>29</v>
      </c>
      <c r="B661" s="10">
        <v>2025.0</v>
      </c>
      <c r="C661" s="14" t="s">
        <v>43</v>
      </c>
      <c r="D661" s="1" t="s">
        <v>696</v>
      </c>
      <c r="E661" s="2">
        <v>2600000.0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2600000.0</v>
      </c>
      <c r="O661" s="2">
        <v>0.0</v>
      </c>
      <c r="P661" s="2">
        <f t="shared" si="1"/>
        <v>0</v>
      </c>
      <c r="Q661" s="1"/>
      <c r="R661" s="1"/>
      <c r="S661" s="1"/>
      <c r="T661" s="1"/>
      <c r="U661" s="1"/>
      <c r="V661" s="6"/>
      <c r="W661" s="6"/>
    </row>
    <row r="662" ht="15.75" customHeight="1">
      <c r="A662" s="9" t="s">
        <v>29</v>
      </c>
      <c r="B662" s="10">
        <v>2025.0</v>
      </c>
      <c r="C662" s="14" t="s">
        <v>43</v>
      </c>
      <c r="D662" s="1" t="s">
        <v>697</v>
      </c>
      <c r="E662" s="2">
        <v>95000.0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95000.0</v>
      </c>
      <c r="O662" s="2">
        <v>0.0</v>
      </c>
      <c r="P662" s="2">
        <f t="shared" si="1"/>
        <v>0</v>
      </c>
      <c r="Q662" s="1"/>
      <c r="R662" s="1"/>
      <c r="S662" s="1"/>
      <c r="T662" s="1"/>
      <c r="U662" s="1"/>
      <c r="V662" s="6"/>
      <c r="W662" s="6"/>
    </row>
    <row r="663" ht="15.75" customHeight="1">
      <c r="A663" s="9" t="s">
        <v>29</v>
      </c>
      <c r="B663" s="10">
        <v>2025.0</v>
      </c>
      <c r="C663" s="14" t="s">
        <v>43</v>
      </c>
      <c r="D663" s="1" t="s">
        <v>698</v>
      </c>
      <c r="E663" s="2">
        <v>99900.0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99900.0</v>
      </c>
      <c r="O663" s="2">
        <v>0.0</v>
      </c>
      <c r="P663" s="2">
        <f t="shared" si="1"/>
        <v>0</v>
      </c>
      <c r="Q663" s="1"/>
      <c r="R663" s="1"/>
      <c r="S663" s="1"/>
      <c r="T663" s="1"/>
      <c r="U663" s="1"/>
      <c r="V663" s="6"/>
      <c r="W663" s="6"/>
    </row>
    <row r="664" ht="15.75" customHeight="1">
      <c r="A664" s="9" t="s">
        <v>29</v>
      </c>
      <c r="B664" s="10">
        <v>2025.0</v>
      </c>
      <c r="C664" s="14" t="s">
        <v>43</v>
      </c>
      <c r="D664" s="1" t="s">
        <v>699</v>
      </c>
      <c r="E664" s="2">
        <v>1700000.0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1700000.0</v>
      </c>
      <c r="O664" s="2">
        <v>0.0</v>
      </c>
      <c r="P664" s="2">
        <f t="shared" si="1"/>
        <v>0</v>
      </c>
      <c r="Q664" s="1"/>
      <c r="R664" s="1"/>
      <c r="S664" s="1"/>
      <c r="T664" s="1"/>
      <c r="U664" s="1"/>
      <c r="V664" s="6"/>
      <c r="W664" s="6"/>
    </row>
    <row r="665" ht="15.75" customHeight="1">
      <c r="A665" s="9" t="s">
        <v>29</v>
      </c>
      <c r="B665" s="10">
        <v>2025.0</v>
      </c>
      <c r="C665" s="14" t="s">
        <v>43</v>
      </c>
      <c r="D665" s="1" t="s">
        <v>700</v>
      </c>
      <c r="E665" s="2">
        <v>200000.0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200000.0</v>
      </c>
      <c r="O665" s="2">
        <v>0.0</v>
      </c>
      <c r="P665" s="2">
        <f t="shared" si="1"/>
        <v>0</v>
      </c>
      <c r="Q665" s="1"/>
      <c r="R665" s="1"/>
      <c r="S665" s="1"/>
      <c r="T665" s="1"/>
      <c r="U665" s="1"/>
      <c r="V665" s="6"/>
      <c r="W665" s="6"/>
    </row>
    <row r="666" ht="15.75" customHeight="1">
      <c r="A666" s="9" t="s">
        <v>29</v>
      </c>
      <c r="B666" s="10">
        <v>2025.0</v>
      </c>
      <c r="C666" s="14" t="s">
        <v>43</v>
      </c>
      <c r="D666" s="1" t="s">
        <v>701</v>
      </c>
      <c r="E666" s="2">
        <v>400000.0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400000.0</v>
      </c>
      <c r="O666" s="2">
        <v>0.0</v>
      </c>
      <c r="P666" s="2">
        <f t="shared" si="1"/>
        <v>0</v>
      </c>
      <c r="Q666" s="1"/>
      <c r="R666" s="1"/>
      <c r="S666" s="1"/>
      <c r="T666" s="1"/>
      <c r="U666" s="1"/>
      <c r="V666" s="6"/>
      <c r="W666" s="6"/>
    </row>
    <row r="667" ht="15.75" customHeight="1">
      <c r="A667" s="9" t="s">
        <v>29</v>
      </c>
      <c r="B667" s="10">
        <v>2025.0</v>
      </c>
      <c r="C667" s="14" t="s">
        <v>49</v>
      </c>
      <c r="D667" s="1" t="s">
        <v>702</v>
      </c>
      <c r="E667" s="2">
        <v>1.5E7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1.5E7</v>
      </c>
      <c r="O667" s="2">
        <v>0.0</v>
      </c>
      <c r="P667" s="2">
        <f t="shared" si="1"/>
        <v>0</v>
      </c>
      <c r="Q667" s="1"/>
      <c r="R667" s="1"/>
      <c r="S667" s="1"/>
      <c r="T667" s="1"/>
      <c r="U667" s="1"/>
      <c r="V667" s="6"/>
      <c r="W667" s="6"/>
    </row>
    <row r="668" ht="15.75" customHeight="1">
      <c r="A668" s="9" t="s">
        <v>29</v>
      </c>
      <c r="B668" s="10">
        <v>2025.0</v>
      </c>
      <c r="C668" s="14" t="s">
        <v>49</v>
      </c>
      <c r="D668" s="1" t="s">
        <v>703</v>
      </c>
      <c r="E668" s="2">
        <v>1.7E8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1.7E8</v>
      </c>
      <c r="O668" s="2">
        <v>0.0</v>
      </c>
      <c r="P668" s="2">
        <f t="shared" si="1"/>
        <v>0</v>
      </c>
      <c r="Q668" s="1"/>
      <c r="R668" s="1"/>
      <c r="S668" s="1"/>
      <c r="T668" s="1"/>
      <c r="U668" s="1"/>
      <c r="V668" s="6"/>
      <c r="W668" s="6"/>
    </row>
    <row r="669" ht="15.75" customHeight="1">
      <c r="A669" s="9" t="s">
        <v>29</v>
      </c>
      <c r="B669" s="10">
        <v>2025.0</v>
      </c>
      <c r="C669" s="14" t="s">
        <v>49</v>
      </c>
      <c r="D669" s="1" t="s">
        <v>704</v>
      </c>
      <c r="E669" s="2">
        <v>5000000.0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5000000.0</v>
      </c>
      <c r="O669" s="2">
        <v>0.0</v>
      </c>
      <c r="P669" s="2">
        <f t="shared" si="1"/>
        <v>0</v>
      </c>
      <c r="Q669" s="1"/>
      <c r="R669" s="1"/>
      <c r="S669" s="1"/>
      <c r="T669" s="1"/>
      <c r="U669" s="1"/>
      <c r="V669" s="6"/>
      <c r="W669" s="6"/>
    </row>
    <row r="670" ht="15.75" customHeight="1">
      <c r="A670" s="9" t="s">
        <v>29</v>
      </c>
      <c r="B670" s="10">
        <v>2025.0</v>
      </c>
      <c r="C670" s="14" t="s">
        <v>49</v>
      </c>
      <c r="D670" s="1" t="s">
        <v>705</v>
      </c>
      <c r="E670" s="2">
        <v>8000000.0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8000000.0</v>
      </c>
      <c r="O670" s="2">
        <v>0.0</v>
      </c>
      <c r="P670" s="2">
        <f t="shared" si="1"/>
        <v>0</v>
      </c>
      <c r="Q670" s="1"/>
      <c r="R670" s="1"/>
      <c r="S670" s="1"/>
      <c r="T670" s="1"/>
      <c r="U670" s="1"/>
      <c r="V670" s="6"/>
      <c r="W670" s="6"/>
    </row>
    <row r="671" ht="15.75" customHeight="1">
      <c r="A671" s="9" t="s">
        <v>29</v>
      </c>
      <c r="B671" s="10">
        <v>2025.0</v>
      </c>
      <c r="C671" s="14" t="s">
        <v>49</v>
      </c>
      <c r="D671" s="1" t="s">
        <v>706</v>
      </c>
      <c r="E671" s="2">
        <v>9796250.0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9796250.0</v>
      </c>
      <c r="O671" s="2">
        <v>0.0</v>
      </c>
      <c r="P671" s="2">
        <f t="shared" si="1"/>
        <v>0</v>
      </c>
      <c r="Q671" s="1"/>
      <c r="R671" s="1"/>
      <c r="S671" s="1"/>
      <c r="T671" s="1"/>
      <c r="U671" s="1"/>
      <c r="V671" s="6"/>
      <c r="W671" s="6"/>
    </row>
    <row r="672" ht="15.75" customHeight="1">
      <c r="A672" s="9" t="s">
        <v>29</v>
      </c>
      <c r="B672" s="10">
        <v>2025.0</v>
      </c>
      <c r="C672" s="14" t="s">
        <v>49</v>
      </c>
      <c r="D672" s="1" t="s">
        <v>707</v>
      </c>
      <c r="E672" s="2">
        <v>627500.0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627500.0</v>
      </c>
      <c r="O672" s="2">
        <v>0.0</v>
      </c>
      <c r="P672" s="2">
        <f t="shared" si="1"/>
        <v>0</v>
      </c>
      <c r="Q672" s="1"/>
      <c r="R672" s="1"/>
      <c r="S672" s="1"/>
      <c r="T672" s="1"/>
      <c r="U672" s="1"/>
      <c r="V672" s="6"/>
      <c r="W672" s="6"/>
    </row>
    <row r="673" ht="15.75" customHeight="1">
      <c r="A673" s="9" t="s">
        <v>29</v>
      </c>
      <c r="B673" s="10">
        <v>2025.0</v>
      </c>
      <c r="C673" s="14" t="s">
        <v>49</v>
      </c>
      <c r="D673" s="1" t="s">
        <v>708</v>
      </c>
      <c r="E673" s="2">
        <v>101000.0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101000.0</v>
      </c>
      <c r="O673" s="2">
        <v>0.0</v>
      </c>
      <c r="P673" s="2">
        <f t="shared" si="1"/>
        <v>0</v>
      </c>
      <c r="Q673" s="1"/>
      <c r="R673" s="1"/>
      <c r="S673" s="1"/>
      <c r="T673" s="1"/>
      <c r="U673" s="1"/>
      <c r="V673" s="6"/>
      <c r="W673" s="6"/>
    </row>
    <row r="674" ht="15.75" customHeight="1">
      <c r="A674" s="9" t="s">
        <v>29</v>
      </c>
      <c r="B674" s="10">
        <v>2025.0</v>
      </c>
      <c r="C674" s="14" t="s">
        <v>49</v>
      </c>
      <c r="D674" s="1" t="s">
        <v>709</v>
      </c>
      <c r="E674" s="2">
        <v>212500.0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212500.0</v>
      </c>
      <c r="O674" s="2">
        <v>0.0</v>
      </c>
      <c r="P674" s="2">
        <f t="shared" si="1"/>
        <v>0</v>
      </c>
      <c r="Q674" s="1"/>
      <c r="R674" s="1"/>
      <c r="S674" s="1"/>
      <c r="T674" s="1"/>
      <c r="U674" s="1"/>
      <c r="V674" s="6"/>
      <c r="W674" s="6"/>
    </row>
    <row r="675" ht="15.75" customHeight="1">
      <c r="A675" s="9" t="s">
        <v>29</v>
      </c>
      <c r="B675" s="10">
        <v>2025.0</v>
      </c>
      <c r="C675" s="14" t="s">
        <v>49</v>
      </c>
      <c r="D675" s="1" t="s">
        <v>710</v>
      </c>
      <c r="E675" s="2">
        <v>118210.0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118210.0</v>
      </c>
      <c r="O675" s="2">
        <v>0.0</v>
      </c>
      <c r="P675" s="2">
        <f t="shared" si="1"/>
        <v>0</v>
      </c>
      <c r="Q675" s="1"/>
      <c r="R675" s="1"/>
      <c r="S675" s="1"/>
      <c r="T675" s="1"/>
      <c r="U675" s="1"/>
      <c r="V675" s="6"/>
      <c r="W675" s="6"/>
    </row>
    <row r="676" ht="15.75" customHeight="1">
      <c r="A676" s="9" t="s">
        <v>29</v>
      </c>
      <c r="B676" s="10">
        <v>2025.0</v>
      </c>
      <c r="C676" s="14" t="s">
        <v>49</v>
      </c>
      <c r="D676" s="1" t="s">
        <v>711</v>
      </c>
      <c r="E676" s="2">
        <v>899500.0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899500.0</v>
      </c>
      <c r="O676" s="2">
        <v>0.0</v>
      </c>
      <c r="P676" s="2">
        <f t="shared" si="1"/>
        <v>0</v>
      </c>
      <c r="Q676" s="1"/>
      <c r="R676" s="1"/>
      <c r="S676" s="1"/>
      <c r="T676" s="1"/>
      <c r="U676" s="1"/>
      <c r="V676" s="6"/>
      <c r="W676" s="6"/>
    </row>
    <row r="677" ht="15.75" customHeight="1">
      <c r="A677" s="9" t="s">
        <v>29</v>
      </c>
      <c r="B677" s="10">
        <v>2025.0</v>
      </c>
      <c r="C677" s="14" t="s">
        <v>49</v>
      </c>
      <c r="D677" s="1" t="s">
        <v>712</v>
      </c>
      <c r="E677" s="2">
        <v>77500.0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77500.0</v>
      </c>
      <c r="O677" s="2">
        <v>0.0</v>
      </c>
      <c r="P677" s="2">
        <f t="shared" si="1"/>
        <v>0</v>
      </c>
      <c r="Q677" s="1"/>
      <c r="R677" s="1"/>
      <c r="S677" s="1"/>
      <c r="T677" s="1"/>
      <c r="U677" s="1"/>
      <c r="V677" s="6"/>
      <c r="W677" s="6"/>
    </row>
    <row r="678" ht="15.75" customHeight="1">
      <c r="A678" s="9" t="s">
        <v>29</v>
      </c>
      <c r="B678" s="10">
        <v>2025.0</v>
      </c>
      <c r="C678" s="14" t="s">
        <v>49</v>
      </c>
      <c r="D678" s="1" t="s">
        <v>713</v>
      </c>
      <c r="E678" s="2">
        <v>31800.0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31800.0</v>
      </c>
      <c r="O678" s="2">
        <v>0.0</v>
      </c>
      <c r="P678" s="2">
        <f t="shared" si="1"/>
        <v>0</v>
      </c>
      <c r="Q678" s="1"/>
      <c r="R678" s="1"/>
      <c r="S678" s="1"/>
      <c r="T678" s="1"/>
      <c r="U678" s="1"/>
      <c r="V678" s="6"/>
      <c r="W678" s="6"/>
    </row>
    <row r="679" ht="15.75" customHeight="1">
      <c r="A679" s="9" t="s">
        <v>29</v>
      </c>
      <c r="B679" s="10">
        <v>2025.0</v>
      </c>
      <c r="C679" s="14" t="s">
        <v>49</v>
      </c>
      <c r="D679" s="1" t="s">
        <v>714</v>
      </c>
      <c r="E679" s="2">
        <v>93000.0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93000.0</v>
      </c>
      <c r="O679" s="2">
        <v>0.0</v>
      </c>
      <c r="P679" s="2">
        <f t="shared" si="1"/>
        <v>0</v>
      </c>
      <c r="Q679" s="1"/>
      <c r="R679" s="1"/>
      <c r="S679" s="1"/>
      <c r="T679" s="1"/>
      <c r="U679" s="1"/>
      <c r="V679" s="6"/>
      <c r="W679" s="6"/>
    </row>
    <row r="680" ht="15.75" customHeight="1">
      <c r="A680" s="9" t="s">
        <v>29</v>
      </c>
      <c r="B680" s="10">
        <v>2025.0</v>
      </c>
      <c r="C680" s="14" t="s">
        <v>49</v>
      </c>
      <c r="D680" s="1" t="s">
        <v>715</v>
      </c>
      <c r="E680" s="2">
        <v>522500.0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522500.0</v>
      </c>
      <c r="O680" s="2">
        <v>0.0</v>
      </c>
      <c r="P680" s="2">
        <f t="shared" si="1"/>
        <v>0</v>
      </c>
      <c r="Q680" s="1"/>
      <c r="R680" s="1"/>
      <c r="S680" s="1"/>
      <c r="T680" s="1"/>
      <c r="U680" s="1"/>
      <c r="V680" s="6"/>
      <c r="W680" s="6"/>
    </row>
    <row r="681" ht="15.75" customHeight="1">
      <c r="A681" s="9" t="s">
        <v>29</v>
      </c>
      <c r="B681" s="10">
        <v>2025.0</v>
      </c>
      <c r="C681" s="14" t="s">
        <v>49</v>
      </c>
      <c r="D681" s="1" t="s">
        <v>716</v>
      </c>
      <c r="E681" s="2">
        <v>1032500.0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1032500.0</v>
      </c>
      <c r="O681" s="2">
        <v>0.0</v>
      </c>
      <c r="P681" s="2">
        <f t="shared" si="1"/>
        <v>0</v>
      </c>
      <c r="Q681" s="1"/>
      <c r="R681" s="1"/>
      <c r="S681" s="1"/>
      <c r="T681" s="1"/>
      <c r="U681" s="1"/>
      <c r="V681" s="6"/>
      <c r="W681" s="6"/>
    </row>
    <row r="682" ht="15.75" customHeight="1">
      <c r="A682" s="9" t="s">
        <v>29</v>
      </c>
      <c r="B682" s="10">
        <v>2025.0</v>
      </c>
      <c r="C682" s="14" t="s">
        <v>49</v>
      </c>
      <c r="D682" s="1" t="s">
        <v>717</v>
      </c>
      <c r="E682" s="2">
        <v>742500.0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742500.0</v>
      </c>
      <c r="O682" s="2">
        <v>0.0</v>
      </c>
      <c r="P682" s="2">
        <f t="shared" si="1"/>
        <v>0</v>
      </c>
      <c r="Q682" s="1"/>
      <c r="R682" s="1"/>
      <c r="S682" s="1"/>
      <c r="T682" s="1"/>
      <c r="U682" s="1"/>
      <c r="V682" s="6"/>
      <c r="W682" s="6"/>
    </row>
    <row r="683" ht="15.75" customHeight="1">
      <c r="A683" s="9" t="s">
        <v>29</v>
      </c>
      <c r="B683" s="10">
        <v>2025.0</v>
      </c>
      <c r="C683" s="14" t="s">
        <v>49</v>
      </c>
      <c r="D683" s="1" t="s">
        <v>718</v>
      </c>
      <c r="E683" s="2">
        <v>392500.0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392500.0</v>
      </c>
      <c r="O683" s="2">
        <v>0.0</v>
      </c>
      <c r="P683" s="2">
        <f t="shared" si="1"/>
        <v>0</v>
      </c>
      <c r="Q683" s="1"/>
      <c r="R683" s="1"/>
      <c r="S683" s="1"/>
      <c r="T683" s="1"/>
      <c r="U683" s="1"/>
      <c r="V683" s="6"/>
      <c r="W683" s="6"/>
    </row>
    <row r="684" ht="15.75" customHeight="1">
      <c r="A684" s="9" t="s">
        <v>29</v>
      </c>
      <c r="B684" s="10">
        <v>2025.0</v>
      </c>
      <c r="C684" s="14" t="s">
        <v>49</v>
      </c>
      <c r="D684" s="1" t="s">
        <v>719</v>
      </c>
      <c r="E684" s="2">
        <v>6100523.0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6100523.0</v>
      </c>
      <c r="O684" s="2">
        <v>0.0</v>
      </c>
      <c r="P684" s="2">
        <f t="shared" si="1"/>
        <v>0</v>
      </c>
      <c r="Q684" s="1"/>
      <c r="R684" s="1"/>
      <c r="S684" s="1"/>
      <c r="T684" s="1"/>
      <c r="U684" s="1"/>
      <c r="V684" s="6"/>
      <c r="W684" s="6"/>
    </row>
    <row r="685" ht="15.75" customHeight="1">
      <c r="A685" s="9" t="s">
        <v>29</v>
      </c>
      <c r="B685" s="10">
        <v>2025.0</v>
      </c>
      <c r="C685" s="14" t="s">
        <v>49</v>
      </c>
      <c r="D685" s="1" t="s">
        <v>720</v>
      </c>
      <c r="E685" s="2">
        <v>273540.0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273540.0</v>
      </c>
      <c r="O685" s="2">
        <v>0.0</v>
      </c>
      <c r="P685" s="2">
        <f t="shared" si="1"/>
        <v>0</v>
      </c>
      <c r="Q685" s="1"/>
      <c r="R685" s="1"/>
      <c r="S685" s="1"/>
      <c r="T685" s="1"/>
      <c r="U685" s="1"/>
      <c r="V685" s="6"/>
      <c r="W685" s="6"/>
    </row>
    <row r="686" ht="15.75" customHeight="1">
      <c r="A686" s="9" t="s">
        <v>29</v>
      </c>
      <c r="B686" s="10">
        <v>2025.0</v>
      </c>
      <c r="C686" s="14" t="s">
        <v>49</v>
      </c>
      <c r="D686" s="1" t="s">
        <v>721</v>
      </c>
      <c r="E686" s="2">
        <v>2130000.0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2130000.0</v>
      </c>
      <c r="O686" s="2">
        <v>0.0</v>
      </c>
      <c r="P686" s="2">
        <f t="shared" si="1"/>
        <v>0</v>
      </c>
      <c r="Q686" s="1"/>
      <c r="R686" s="1"/>
      <c r="S686" s="1"/>
      <c r="T686" s="1"/>
      <c r="U686" s="1"/>
      <c r="V686" s="6"/>
      <c r="W686" s="6"/>
    </row>
    <row r="687" ht="15.75" customHeight="1">
      <c r="A687" s="9" t="s">
        <v>29</v>
      </c>
      <c r="B687" s="10">
        <v>2025.0</v>
      </c>
      <c r="C687" s="14" t="s">
        <v>49</v>
      </c>
      <c r="D687" s="1" t="s">
        <v>722</v>
      </c>
      <c r="E687" s="2">
        <v>2280000.0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2280000.0</v>
      </c>
      <c r="O687" s="2">
        <v>0.0</v>
      </c>
      <c r="P687" s="2">
        <f t="shared" si="1"/>
        <v>0</v>
      </c>
      <c r="Q687" s="1"/>
      <c r="R687" s="1"/>
      <c r="S687" s="1"/>
      <c r="T687" s="1"/>
      <c r="U687" s="1"/>
      <c r="V687" s="6"/>
      <c r="W687" s="6"/>
    </row>
    <row r="688" ht="15.75" customHeight="1">
      <c r="A688" s="9" t="s">
        <v>29</v>
      </c>
      <c r="B688" s="10">
        <v>2025.0</v>
      </c>
      <c r="C688" s="14" t="s">
        <v>49</v>
      </c>
      <c r="D688" s="1" t="s">
        <v>723</v>
      </c>
      <c r="E688" s="2">
        <v>3050000.0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3050000.0</v>
      </c>
      <c r="O688" s="2">
        <v>0.0</v>
      </c>
      <c r="P688" s="2">
        <f t="shared" si="1"/>
        <v>0</v>
      </c>
      <c r="Q688" s="1"/>
      <c r="R688" s="1"/>
      <c r="S688" s="1"/>
      <c r="T688" s="1"/>
      <c r="U688" s="1"/>
      <c r="V688" s="6"/>
      <c r="W688" s="6"/>
    </row>
    <row r="689" ht="15.75" customHeight="1">
      <c r="A689" s="9" t="s">
        <v>29</v>
      </c>
      <c r="B689" s="10">
        <v>2025.0</v>
      </c>
      <c r="C689" s="14" t="s">
        <v>49</v>
      </c>
      <c r="D689" s="1" t="s">
        <v>724</v>
      </c>
      <c r="E689" s="2">
        <v>8102500.0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8102500.0</v>
      </c>
      <c r="O689" s="2">
        <v>0.0</v>
      </c>
      <c r="P689" s="2">
        <f t="shared" si="1"/>
        <v>0</v>
      </c>
      <c r="Q689" s="1"/>
      <c r="R689" s="1"/>
      <c r="S689" s="1"/>
      <c r="T689" s="1"/>
      <c r="U689" s="1"/>
      <c r="V689" s="6"/>
      <c r="W689" s="6"/>
    </row>
    <row r="690" ht="15.75" customHeight="1">
      <c r="A690" s="9" t="s">
        <v>29</v>
      </c>
      <c r="B690" s="10">
        <v>2025.0</v>
      </c>
      <c r="C690" s="14" t="s">
        <v>49</v>
      </c>
      <c r="D690" s="1" t="s">
        <v>725</v>
      </c>
      <c r="E690" s="2">
        <v>6348600.0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6348600.0</v>
      </c>
      <c r="O690" s="2">
        <v>0.0</v>
      </c>
      <c r="P690" s="2">
        <f t="shared" si="1"/>
        <v>0</v>
      </c>
      <c r="Q690" s="1"/>
      <c r="R690" s="1"/>
      <c r="S690" s="1"/>
      <c r="T690" s="1"/>
      <c r="U690" s="1"/>
      <c r="V690" s="6"/>
      <c r="W690" s="6"/>
    </row>
    <row r="691" ht="15.75" customHeight="1">
      <c r="A691" s="9" t="s">
        <v>29</v>
      </c>
      <c r="B691" s="10">
        <v>2025.0</v>
      </c>
      <c r="C691" s="14" t="s">
        <v>49</v>
      </c>
      <c r="D691" s="1" t="s">
        <v>726</v>
      </c>
      <c r="E691" s="2">
        <v>300000.0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300000.0</v>
      </c>
      <c r="O691" s="2">
        <v>0.0</v>
      </c>
      <c r="P691" s="2">
        <f t="shared" si="1"/>
        <v>0</v>
      </c>
      <c r="Q691" s="1"/>
      <c r="R691" s="1"/>
      <c r="S691" s="1"/>
      <c r="T691" s="1"/>
      <c r="U691" s="1"/>
      <c r="V691" s="6"/>
      <c r="W691" s="6"/>
    </row>
    <row r="692" ht="15.75" customHeight="1">
      <c r="A692" s="9" t="s">
        <v>29</v>
      </c>
      <c r="B692" s="10">
        <v>2025.0</v>
      </c>
      <c r="C692" s="14" t="s">
        <v>49</v>
      </c>
      <c r="D692" s="1" t="s">
        <v>727</v>
      </c>
      <c r="E692" s="2">
        <v>1.0E8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1.0E8</v>
      </c>
      <c r="O692" s="2">
        <v>0.0</v>
      </c>
      <c r="P692" s="2">
        <f t="shared" si="1"/>
        <v>0</v>
      </c>
      <c r="Q692" s="1"/>
      <c r="R692" s="1"/>
      <c r="S692" s="1"/>
      <c r="T692" s="1"/>
      <c r="U692" s="1"/>
      <c r="V692" s="6"/>
      <c r="W692" s="6"/>
    </row>
    <row r="693" ht="15.75" customHeight="1">
      <c r="A693" s="9" t="s">
        <v>29</v>
      </c>
      <c r="B693" s="10">
        <v>2025.0</v>
      </c>
      <c r="C693" s="14" t="s">
        <v>64</v>
      </c>
      <c r="D693" s="1" t="s">
        <v>728</v>
      </c>
      <c r="E693" s="2">
        <v>1.36E8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1.36E8</v>
      </c>
      <c r="O693" s="2">
        <v>0.0</v>
      </c>
      <c r="P693" s="2">
        <f t="shared" si="1"/>
        <v>0</v>
      </c>
      <c r="Q693" s="1"/>
      <c r="R693" s="1"/>
      <c r="S693" s="1"/>
      <c r="T693" s="1"/>
      <c r="U693" s="1"/>
      <c r="V693" s="6"/>
      <c r="W693" s="6"/>
    </row>
    <row r="694" ht="15.75" customHeight="1">
      <c r="A694" s="9" t="s">
        <v>29</v>
      </c>
      <c r="B694" s="10">
        <v>2025.0</v>
      </c>
      <c r="C694" s="14" t="s">
        <v>64</v>
      </c>
      <c r="D694" s="1" t="s">
        <v>729</v>
      </c>
      <c r="E694" s="2">
        <v>150000.0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150000.0</v>
      </c>
      <c r="O694" s="2">
        <v>0.0</v>
      </c>
      <c r="P694" s="2">
        <f t="shared" si="1"/>
        <v>0</v>
      </c>
      <c r="Q694" s="1"/>
      <c r="R694" s="1"/>
      <c r="S694" s="1"/>
      <c r="T694" s="1"/>
      <c r="U694" s="1"/>
      <c r="V694" s="6"/>
      <c r="W694" s="6"/>
    </row>
    <row r="695" ht="15.75" customHeight="1">
      <c r="A695" s="9" t="s">
        <v>29</v>
      </c>
      <c r="B695" s="10">
        <v>2025.0</v>
      </c>
      <c r="C695" s="14" t="s">
        <v>53</v>
      </c>
      <c r="D695" s="1" t="s">
        <v>730</v>
      </c>
      <c r="E695" s="2">
        <v>1.5E7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1.5E7</v>
      </c>
      <c r="O695" s="2">
        <v>0.0</v>
      </c>
      <c r="P695" s="2">
        <f t="shared" si="1"/>
        <v>0</v>
      </c>
      <c r="Q695" s="1"/>
      <c r="R695" s="1"/>
      <c r="S695" s="1"/>
      <c r="T695" s="1"/>
      <c r="U695" s="1"/>
      <c r="V695" s="6"/>
      <c r="W695" s="6"/>
    </row>
    <row r="696" ht="15.75" customHeight="1">
      <c r="A696" s="9" t="s">
        <v>29</v>
      </c>
      <c r="B696" s="10">
        <v>2025.0</v>
      </c>
      <c r="C696" s="14" t="s">
        <v>53</v>
      </c>
      <c r="D696" s="1" t="s">
        <v>731</v>
      </c>
      <c r="E696" s="2">
        <v>5.0E7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5.0E7</v>
      </c>
      <c r="O696" s="2">
        <v>0.0</v>
      </c>
      <c r="P696" s="2">
        <f t="shared" si="1"/>
        <v>0</v>
      </c>
      <c r="Q696" s="1"/>
      <c r="R696" s="1"/>
      <c r="S696" s="1"/>
      <c r="T696" s="1"/>
      <c r="U696" s="1"/>
      <c r="V696" s="6"/>
      <c r="W696" s="6"/>
    </row>
    <row r="697" ht="15.75" customHeight="1">
      <c r="A697" s="9" t="s">
        <v>29</v>
      </c>
      <c r="B697" s="10">
        <v>2025.0</v>
      </c>
      <c r="C697" s="14" t="s">
        <v>53</v>
      </c>
      <c r="D697" s="1" t="s">
        <v>732</v>
      </c>
      <c r="E697" s="2">
        <v>5000000.0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5000000.0</v>
      </c>
      <c r="O697" s="2">
        <v>0.0</v>
      </c>
      <c r="P697" s="2">
        <f t="shared" si="1"/>
        <v>0</v>
      </c>
      <c r="Q697" s="1"/>
      <c r="R697" s="1"/>
      <c r="S697" s="1"/>
      <c r="T697" s="1"/>
      <c r="U697" s="1"/>
      <c r="V697" s="6"/>
      <c r="W697" s="6"/>
    </row>
    <row r="698" ht="15.75" customHeight="1">
      <c r="A698" s="9" t="s">
        <v>29</v>
      </c>
      <c r="B698" s="10">
        <v>2025.0</v>
      </c>
      <c r="C698" s="14" t="s">
        <v>53</v>
      </c>
      <c r="D698" s="1" t="s">
        <v>733</v>
      </c>
      <c r="E698" s="2">
        <v>300000.0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300000.0</v>
      </c>
      <c r="O698" s="2">
        <v>0.0</v>
      </c>
      <c r="P698" s="2">
        <f t="shared" si="1"/>
        <v>0</v>
      </c>
      <c r="Q698" s="1"/>
      <c r="R698" s="1"/>
      <c r="S698" s="1"/>
      <c r="T698" s="1"/>
      <c r="U698" s="1"/>
      <c r="V698" s="6"/>
      <c r="W698" s="6"/>
    </row>
    <row r="699" ht="15.75" customHeight="1">
      <c r="A699" s="9" t="s">
        <v>29</v>
      </c>
      <c r="B699" s="10">
        <v>2025.0</v>
      </c>
      <c r="C699" s="14" t="s">
        <v>53</v>
      </c>
      <c r="D699" s="1" t="s">
        <v>734</v>
      </c>
      <c r="E699" s="2">
        <v>100000.0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100000.0</v>
      </c>
      <c r="O699" s="2">
        <v>0.0</v>
      </c>
      <c r="P699" s="2">
        <f t="shared" si="1"/>
        <v>0</v>
      </c>
      <c r="Q699" s="1"/>
      <c r="R699" s="1"/>
      <c r="S699" s="1"/>
      <c r="T699" s="1"/>
      <c r="U699" s="1"/>
      <c r="V699" s="6"/>
      <c r="W699" s="6"/>
    </row>
    <row r="700" ht="15.75" customHeight="1">
      <c r="A700" s="9" t="s">
        <v>29</v>
      </c>
      <c r="B700" s="10">
        <v>2025.0</v>
      </c>
      <c r="C700" s="14" t="s">
        <v>53</v>
      </c>
      <c r="D700" s="1" t="s">
        <v>735</v>
      </c>
      <c r="E700" s="2">
        <v>1000000.0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1000000.0</v>
      </c>
      <c r="O700" s="2">
        <v>0.0</v>
      </c>
      <c r="P700" s="2">
        <f t="shared" si="1"/>
        <v>0</v>
      </c>
      <c r="Q700" s="1"/>
      <c r="R700" s="1"/>
      <c r="S700" s="1"/>
      <c r="T700" s="1"/>
      <c r="U700" s="1"/>
      <c r="V700" s="6"/>
      <c r="W700" s="6"/>
    </row>
    <row r="701" ht="15.75" customHeight="1">
      <c r="A701" s="9" t="s">
        <v>29</v>
      </c>
      <c r="B701" s="10">
        <v>2025.0</v>
      </c>
      <c r="C701" s="14" t="s">
        <v>53</v>
      </c>
      <c r="D701" s="1" t="s">
        <v>736</v>
      </c>
      <c r="E701" s="2">
        <v>500000.0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500000.0</v>
      </c>
      <c r="O701" s="2">
        <v>0.0</v>
      </c>
      <c r="P701" s="2">
        <f t="shared" si="1"/>
        <v>0</v>
      </c>
      <c r="Q701" s="1"/>
      <c r="R701" s="1"/>
      <c r="S701" s="1"/>
      <c r="T701" s="1"/>
      <c r="U701" s="1"/>
      <c r="V701" s="6"/>
      <c r="W701" s="6"/>
    </row>
    <row r="702" ht="15.75" customHeight="1">
      <c r="A702" s="9" t="s">
        <v>29</v>
      </c>
      <c r="B702" s="10">
        <v>2025.0</v>
      </c>
      <c r="C702" s="14" t="s">
        <v>53</v>
      </c>
      <c r="D702" s="1" t="s">
        <v>737</v>
      </c>
      <c r="E702" s="2">
        <v>3000000.0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3000000.0</v>
      </c>
      <c r="O702" s="2">
        <v>0.0</v>
      </c>
      <c r="P702" s="2">
        <f t="shared" si="1"/>
        <v>0</v>
      </c>
      <c r="Q702" s="1"/>
      <c r="R702" s="1"/>
      <c r="S702" s="1"/>
      <c r="T702" s="1"/>
      <c r="U702" s="1"/>
      <c r="V702" s="6"/>
      <c r="W702" s="6"/>
    </row>
    <row r="703" ht="15.75" customHeight="1">
      <c r="A703" s="9" t="s">
        <v>29</v>
      </c>
      <c r="B703" s="10">
        <v>2025.0</v>
      </c>
      <c r="C703" s="14" t="s">
        <v>53</v>
      </c>
      <c r="D703" s="1" t="s">
        <v>738</v>
      </c>
      <c r="E703" s="2">
        <v>90000.0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90000.0</v>
      </c>
      <c r="O703" s="2">
        <v>0.0</v>
      </c>
      <c r="P703" s="2">
        <f t="shared" si="1"/>
        <v>0</v>
      </c>
      <c r="Q703" s="1"/>
      <c r="R703" s="1"/>
      <c r="S703" s="1"/>
      <c r="T703" s="1"/>
      <c r="U703" s="1"/>
      <c r="V703" s="6"/>
      <c r="W703" s="6"/>
    </row>
    <row r="704" ht="15.75" customHeight="1">
      <c r="A704" s="9" t="s">
        <v>29</v>
      </c>
      <c r="B704" s="10">
        <v>2025.0</v>
      </c>
      <c r="C704" s="14" t="s">
        <v>53</v>
      </c>
      <c r="D704" s="1" t="s">
        <v>739</v>
      </c>
      <c r="E704" s="2">
        <v>5277700.0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5277700.0</v>
      </c>
      <c r="O704" s="2">
        <v>0.0</v>
      </c>
      <c r="P704" s="2">
        <f t="shared" si="1"/>
        <v>0</v>
      </c>
      <c r="Q704" s="1"/>
      <c r="R704" s="1"/>
      <c r="S704" s="1"/>
      <c r="T704" s="1"/>
      <c r="U704" s="1"/>
      <c r="V704" s="6"/>
      <c r="W704" s="6"/>
    </row>
    <row r="705" ht="15.75" customHeight="1">
      <c r="A705" s="9" t="s">
        <v>29</v>
      </c>
      <c r="B705" s="10">
        <v>2025.0</v>
      </c>
      <c r="C705" s="14" t="s">
        <v>53</v>
      </c>
      <c r="D705" s="1" t="s">
        <v>740</v>
      </c>
      <c r="E705" s="2">
        <v>502500.0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502500.0</v>
      </c>
      <c r="O705" s="2">
        <v>0.0</v>
      </c>
      <c r="P705" s="2">
        <f t="shared" si="1"/>
        <v>0</v>
      </c>
      <c r="Q705" s="1"/>
      <c r="R705" s="1"/>
      <c r="S705" s="1"/>
      <c r="T705" s="1"/>
      <c r="U705" s="1"/>
      <c r="V705" s="6"/>
      <c r="W705" s="6"/>
    </row>
    <row r="706" ht="15.75" customHeight="1">
      <c r="A706" s="9" t="s">
        <v>29</v>
      </c>
      <c r="B706" s="10">
        <v>2025.0</v>
      </c>
      <c r="C706" s="14" t="s">
        <v>53</v>
      </c>
      <c r="D706" s="1" t="s">
        <v>741</v>
      </c>
      <c r="E706" s="2">
        <v>562500.0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562500.0</v>
      </c>
      <c r="O706" s="2">
        <v>0.0</v>
      </c>
      <c r="P706" s="2">
        <f t="shared" si="1"/>
        <v>0</v>
      </c>
      <c r="Q706" s="1"/>
      <c r="R706" s="1"/>
      <c r="S706" s="1"/>
      <c r="T706" s="1"/>
      <c r="U706" s="1"/>
      <c r="V706" s="6"/>
      <c r="W706" s="6"/>
    </row>
    <row r="707" ht="15.75" customHeight="1">
      <c r="A707" s="9" t="s">
        <v>29</v>
      </c>
      <c r="B707" s="10">
        <v>2025.0</v>
      </c>
      <c r="C707" s="14" t="s">
        <v>53</v>
      </c>
      <c r="D707" s="1" t="s">
        <v>742</v>
      </c>
      <c r="E707" s="2">
        <v>3.234E7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3.234E7</v>
      </c>
      <c r="O707" s="2">
        <v>0.0</v>
      </c>
      <c r="P707" s="2">
        <f t="shared" si="1"/>
        <v>0</v>
      </c>
      <c r="Q707" s="1"/>
      <c r="R707" s="1"/>
      <c r="S707" s="1"/>
      <c r="T707" s="1"/>
      <c r="U707" s="1"/>
      <c r="V707" s="6"/>
      <c r="W707" s="6"/>
    </row>
    <row r="708" ht="15.75" customHeight="1">
      <c r="A708" s="9" t="s">
        <v>29</v>
      </c>
      <c r="B708" s="10">
        <v>2025.0</v>
      </c>
      <c r="C708" s="14" t="s">
        <v>51</v>
      </c>
      <c r="D708" s="1" t="s">
        <v>743</v>
      </c>
      <c r="E708" s="2">
        <v>2.0E7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2.0E7</v>
      </c>
      <c r="O708" s="2">
        <v>0.0</v>
      </c>
      <c r="P708" s="2">
        <f t="shared" si="1"/>
        <v>0</v>
      </c>
      <c r="Q708" s="1"/>
      <c r="R708" s="1"/>
      <c r="S708" s="1"/>
      <c r="T708" s="1"/>
      <c r="U708" s="1"/>
      <c r="V708" s="6"/>
      <c r="W708" s="6"/>
    </row>
    <row r="709" ht="15.75" customHeight="1">
      <c r="A709" s="9" t="s">
        <v>29</v>
      </c>
      <c r="B709" s="10">
        <v>2025.0</v>
      </c>
      <c r="C709" s="14" t="s">
        <v>51</v>
      </c>
      <c r="D709" s="1" t="s">
        <v>703</v>
      </c>
      <c r="E709" s="2">
        <v>1.7E8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1.7E8</v>
      </c>
      <c r="O709" s="2">
        <v>0.0</v>
      </c>
      <c r="P709" s="2">
        <f t="shared" si="1"/>
        <v>0</v>
      </c>
      <c r="Q709" s="1"/>
      <c r="R709" s="1"/>
      <c r="S709" s="1"/>
      <c r="T709" s="1"/>
      <c r="U709" s="1"/>
      <c r="V709" s="6"/>
      <c r="W709" s="6"/>
    </row>
    <row r="710" ht="15.75" customHeight="1">
      <c r="A710" s="9" t="s">
        <v>29</v>
      </c>
      <c r="B710" s="10">
        <v>2025.0</v>
      </c>
      <c r="C710" s="14" t="s">
        <v>51</v>
      </c>
      <c r="D710" s="1" t="s">
        <v>744</v>
      </c>
      <c r="E710" s="2">
        <v>3000000.0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3000000.0</v>
      </c>
      <c r="O710" s="2">
        <v>0.0</v>
      </c>
      <c r="P710" s="2">
        <f t="shared" si="1"/>
        <v>0</v>
      </c>
      <c r="Q710" s="1"/>
      <c r="R710" s="1"/>
      <c r="S710" s="1"/>
      <c r="T710" s="1"/>
      <c r="U710" s="1"/>
      <c r="V710" s="6"/>
      <c r="W710" s="6"/>
    </row>
    <row r="711" ht="15.75" customHeight="1">
      <c r="A711" s="9" t="s">
        <v>29</v>
      </c>
      <c r="B711" s="10">
        <v>2025.0</v>
      </c>
      <c r="C711" s="14" t="s">
        <v>51</v>
      </c>
      <c r="D711" s="1" t="s">
        <v>745</v>
      </c>
      <c r="E711" s="2">
        <v>8000000.0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8000000.0</v>
      </c>
      <c r="O711" s="2">
        <v>0.0</v>
      </c>
      <c r="P711" s="2">
        <f t="shared" si="1"/>
        <v>0</v>
      </c>
      <c r="Q711" s="1"/>
      <c r="R711" s="1"/>
      <c r="S711" s="1"/>
      <c r="T711" s="1"/>
      <c r="U711" s="1"/>
      <c r="V711" s="6"/>
      <c r="W711" s="6"/>
    </row>
    <row r="712" ht="15.75" customHeight="1">
      <c r="A712" s="9" t="s">
        <v>29</v>
      </c>
      <c r="B712" s="10">
        <v>2025.0</v>
      </c>
      <c r="C712" s="14" t="s">
        <v>51</v>
      </c>
      <c r="D712" s="1" t="s">
        <v>746</v>
      </c>
      <c r="E712" s="2">
        <v>5.0E7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5.0E7</v>
      </c>
      <c r="O712" s="2">
        <v>0.0</v>
      </c>
      <c r="P712" s="2">
        <f t="shared" si="1"/>
        <v>0</v>
      </c>
      <c r="Q712" s="1"/>
      <c r="R712" s="1"/>
      <c r="S712" s="1"/>
      <c r="T712" s="1"/>
      <c r="U712" s="1"/>
      <c r="V712" s="6"/>
      <c r="W712" s="6"/>
    </row>
    <row r="713" ht="15.75" customHeight="1">
      <c r="A713" s="9" t="s">
        <v>29</v>
      </c>
      <c r="B713" s="10">
        <v>2025.0</v>
      </c>
      <c r="C713" s="14" t="s">
        <v>51</v>
      </c>
      <c r="D713" s="1" t="s">
        <v>735</v>
      </c>
      <c r="E713" s="2">
        <v>2000000.0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2000000.0</v>
      </c>
      <c r="O713" s="2">
        <v>0.0</v>
      </c>
      <c r="P713" s="2">
        <f t="shared" si="1"/>
        <v>0</v>
      </c>
      <c r="Q713" s="1"/>
      <c r="R713" s="1"/>
      <c r="S713" s="1"/>
      <c r="T713" s="1"/>
      <c r="U713" s="1"/>
      <c r="V713" s="6"/>
      <c r="W713" s="6"/>
    </row>
    <row r="714" ht="15.75" customHeight="1">
      <c r="A714" s="9" t="s">
        <v>29</v>
      </c>
      <c r="B714" s="10">
        <v>2025.0</v>
      </c>
      <c r="C714" s="14" t="s">
        <v>51</v>
      </c>
      <c r="D714" s="1" t="s">
        <v>747</v>
      </c>
      <c r="E714" s="2">
        <v>1.2278E7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1.2278E7</v>
      </c>
      <c r="O714" s="2">
        <v>0.0</v>
      </c>
      <c r="P714" s="2">
        <f t="shared" si="1"/>
        <v>0</v>
      </c>
      <c r="Q714" s="1"/>
      <c r="R714" s="1"/>
      <c r="S714" s="1"/>
      <c r="T714" s="1"/>
      <c r="U714" s="1"/>
      <c r="V714" s="6"/>
      <c r="W714" s="6"/>
    </row>
    <row r="715" ht="15.75" customHeight="1">
      <c r="A715" s="9" t="s">
        <v>29</v>
      </c>
      <c r="B715" s="10">
        <v>2025.0</v>
      </c>
      <c r="C715" s="14" t="s">
        <v>51</v>
      </c>
      <c r="D715" s="1" t="s">
        <v>748</v>
      </c>
      <c r="E715" s="2">
        <v>1020650.0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1020650.0</v>
      </c>
      <c r="O715" s="2">
        <v>0.0</v>
      </c>
      <c r="P715" s="2">
        <f t="shared" si="1"/>
        <v>0</v>
      </c>
      <c r="Q715" s="1"/>
      <c r="R715" s="1"/>
      <c r="S715" s="1"/>
      <c r="T715" s="1"/>
      <c r="U715" s="1"/>
      <c r="V715" s="6"/>
      <c r="W715" s="6"/>
    </row>
    <row r="716" ht="15.75" customHeight="1">
      <c r="A716" s="9" t="s">
        <v>29</v>
      </c>
      <c r="B716" s="10">
        <v>2025.0</v>
      </c>
      <c r="C716" s="14" t="s">
        <v>120</v>
      </c>
      <c r="D716" s="1" t="s">
        <v>749</v>
      </c>
      <c r="E716" s="2">
        <v>980000.0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>
        <v>0.0</v>
      </c>
      <c r="N716" s="2">
        <v>980000.0</v>
      </c>
      <c r="O716" s="2">
        <v>0.0</v>
      </c>
      <c r="P716" s="2">
        <f t="shared" si="1"/>
        <v>0</v>
      </c>
      <c r="Q716" s="1"/>
      <c r="R716" s="1"/>
      <c r="S716" s="1"/>
      <c r="T716" s="1"/>
      <c r="U716" s="1"/>
      <c r="V716" s="6"/>
      <c r="W716" s="6"/>
    </row>
    <row r="717" ht="15.75" customHeight="1">
      <c r="A717" s="9" t="s">
        <v>29</v>
      </c>
      <c r="B717" s="10">
        <v>2025.0</v>
      </c>
      <c r="C717" s="14" t="s">
        <v>120</v>
      </c>
      <c r="D717" s="1" t="s">
        <v>750</v>
      </c>
      <c r="E717" s="2">
        <v>135000.0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135000.0</v>
      </c>
      <c r="O717" s="2">
        <v>0.0</v>
      </c>
      <c r="P717" s="2">
        <f t="shared" si="1"/>
        <v>0</v>
      </c>
      <c r="Q717" s="1"/>
      <c r="R717" s="1"/>
      <c r="S717" s="1"/>
      <c r="T717" s="1"/>
      <c r="U717" s="1"/>
      <c r="V717" s="6"/>
      <c r="W717" s="6"/>
    </row>
    <row r="718" ht="15.75" customHeight="1">
      <c r="A718" s="9" t="s">
        <v>29</v>
      </c>
      <c r="B718" s="10">
        <v>2025.0</v>
      </c>
      <c r="C718" s="14" t="s">
        <v>120</v>
      </c>
      <c r="D718" s="1" t="s">
        <v>751</v>
      </c>
      <c r="E718" s="2">
        <v>331200.0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331200.0</v>
      </c>
      <c r="O718" s="2">
        <v>0.0</v>
      </c>
      <c r="P718" s="2">
        <f t="shared" si="1"/>
        <v>0</v>
      </c>
      <c r="Q718" s="1"/>
      <c r="R718" s="1"/>
      <c r="S718" s="1"/>
      <c r="T718" s="1"/>
      <c r="U718" s="1"/>
      <c r="V718" s="6"/>
      <c r="W718" s="6"/>
    </row>
    <row r="719" ht="15.75" customHeight="1">
      <c r="A719" s="9" t="s">
        <v>29</v>
      </c>
      <c r="B719" s="10">
        <v>2025.0</v>
      </c>
      <c r="C719" s="14" t="s">
        <v>120</v>
      </c>
      <c r="D719" s="1" t="s">
        <v>749</v>
      </c>
      <c r="E719" s="2">
        <v>1470000.0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1470000.0</v>
      </c>
      <c r="O719" s="2">
        <v>0.0</v>
      </c>
      <c r="P719" s="2">
        <f t="shared" si="1"/>
        <v>0</v>
      </c>
      <c r="Q719" s="1"/>
      <c r="R719" s="1"/>
      <c r="S719" s="1"/>
      <c r="T719" s="1"/>
      <c r="U719" s="1"/>
      <c r="V719" s="6"/>
      <c r="W719" s="6"/>
    </row>
    <row r="720" ht="15.75" customHeight="1">
      <c r="A720" s="9" t="s">
        <v>29</v>
      </c>
      <c r="B720" s="10">
        <v>2025.0</v>
      </c>
      <c r="C720" s="14" t="s">
        <v>120</v>
      </c>
      <c r="D720" s="1" t="s">
        <v>752</v>
      </c>
      <c r="E720" s="2">
        <v>245000.0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245000.0</v>
      </c>
      <c r="O720" s="2">
        <v>0.0</v>
      </c>
      <c r="P720" s="2">
        <f t="shared" si="1"/>
        <v>0</v>
      </c>
      <c r="Q720" s="1"/>
      <c r="R720" s="1"/>
      <c r="S720" s="1"/>
      <c r="T720" s="1"/>
      <c r="U720" s="1"/>
      <c r="V720" s="6"/>
      <c r="W720" s="6"/>
    </row>
    <row r="721" ht="15.75" customHeight="1">
      <c r="A721" s="9" t="s">
        <v>29</v>
      </c>
      <c r="B721" s="10">
        <v>2025.0</v>
      </c>
      <c r="C721" s="14" t="s">
        <v>120</v>
      </c>
      <c r="D721" s="1" t="s">
        <v>753</v>
      </c>
      <c r="E721" s="2">
        <v>71370.0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71370.0</v>
      </c>
      <c r="O721" s="2">
        <v>0.0</v>
      </c>
      <c r="P721" s="2">
        <f t="shared" si="1"/>
        <v>0</v>
      </c>
      <c r="Q721" s="1"/>
      <c r="R721" s="1"/>
      <c r="S721" s="1"/>
      <c r="T721" s="1"/>
      <c r="U721" s="1"/>
      <c r="V721" s="6"/>
      <c r="W721" s="6"/>
    </row>
    <row r="722" ht="15.75" customHeight="1">
      <c r="A722" s="9" t="s">
        <v>29</v>
      </c>
      <c r="B722" s="10">
        <v>2025.0</v>
      </c>
      <c r="C722" s="14" t="s">
        <v>120</v>
      </c>
      <c r="D722" s="1" t="s">
        <v>754</v>
      </c>
      <c r="E722" s="2">
        <v>265000.0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265000.0</v>
      </c>
      <c r="O722" s="2">
        <v>0.0</v>
      </c>
      <c r="P722" s="2">
        <f t="shared" si="1"/>
        <v>0</v>
      </c>
      <c r="Q722" s="1"/>
      <c r="R722" s="1"/>
      <c r="S722" s="1"/>
      <c r="T722" s="1"/>
      <c r="U722" s="1"/>
      <c r="V722" s="6"/>
      <c r="W722" s="6"/>
    </row>
    <row r="723" ht="15.75" customHeight="1">
      <c r="A723" s="9" t="s">
        <v>29</v>
      </c>
      <c r="B723" s="10">
        <v>2025.0</v>
      </c>
      <c r="C723" s="14" t="s">
        <v>120</v>
      </c>
      <c r="D723" s="1" t="s">
        <v>755</v>
      </c>
      <c r="E723" s="2">
        <v>175500.0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175500.0</v>
      </c>
      <c r="O723" s="2">
        <v>0.0</v>
      </c>
      <c r="P723" s="2">
        <f t="shared" si="1"/>
        <v>0</v>
      </c>
      <c r="Q723" s="1"/>
      <c r="R723" s="1"/>
      <c r="S723" s="1"/>
      <c r="T723" s="1"/>
      <c r="U723" s="1"/>
      <c r="V723" s="6"/>
      <c r="W723" s="6"/>
    </row>
    <row r="724" ht="15.75" customHeight="1">
      <c r="A724" s="9" t="s">
        <v>29</v>
      </c>
      <c r="B724" s="10">
        <v>2025.0</v>
      </c>
      <c r="C724" s="14" t="s">
        <v>120</v>
      </c>
      <c r="D724" s="1" t="s">
        <v>756</v>
      </c>
      <c r="E724" s="2">
        <v>1009000.0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1009000.0</v>
      </c>
      <c r="O724" s="2">
        <v>0.0</v>
      </c>
      <c r="P724" s="2">
        <f t="shared" si="1"/>
        <v>0</v>
      </c>
      <c r="Q724" s="1"/>
      <c r="R724" s="1"/>
      <c r="S724" s="1"/>
      <c r="T724" s="1"/>
      <c r="U724" s="1"/>
      <c r="V724" s="6"/>
      <c r="W724" s="6"/>
    </row>
    <row r="725" ht="15.75" customHeight="1">
      <c r="A725" s="9" t="s">
        <v>29</v>
      </c>
      <c r="B725" s="10">
        <v>2025.0</v>
      </c>
      <c r="C725" s="14" t="s">
        <v>120</v>
      </c>
      <c r="D725" s="1" t="s">
        <v>757</v>
      </c>
      <c r="E725" s="2">
        <v>213675.0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213675.0</v>
      </c>
      <c r="O725" s="2">
        <v>0.0</v>
      </c>
      <c r="P725" s="2">
        <f t="shared" si="1"/>
        <v>0</v>
      </c>
      <c r="Q725" s="1"/>
      <c r="R725" s="1"/>
      <c r="S725" s="1"/>
      <c r="T725" s="1"/>
      <c r="U725" s="1"/>
      <c r="V725" s="6"/>
      <c r="W725" s="6"/>
    </row>
    <row r="726" ht="15.75" customHeight="1">
      <c r="A726" s="9" t="s">
        <v>29</v>
      </c>
      <c r="B726" s="10">
        <v>2025.0</v>
      </c>
      <c r="C726" s="14" t="s">
        <v>120</v>
      </c>
      <c r="D726" s="1" t="s">
        <v>758</v>
      </c>
      <c r="E726" s="2">
        <v>2500.0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2500.0</v>
      </c>
      <c r="O726" s="2">
        <v>0.0</v>
      </c>
      <c r="P726" s="2">
        <f t="shared" si="1"/>
        <v>0</v>
      </c>
      <c r="Q726" s="1"/>
      <c r="R726" s="1"/>
      <c r="S726" s="1"/>
      <c r="T726" s="1"/>
      <c r="U726" s="1"/>
      <c r="V726" s="6"/>
      <c r="W726" s="6"/>
    </row>
    <row r="727" ht="15.75" customHeight="1">
      <c r="A727" s="9" t="s">
        <v>29</v>
      </c>
      <c r="B727" s="10">
        <v>2025.0</v>
      </c>
      <c r="C727" s="14" t="s">
        <v>66</v>
      </c>
      <c r="D727" s="1" t="s">
        <v>759</v>
      </c>
      <c r="E727" s="2">
        <v>9.0E7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9.0E7</v>
      </c>
      <c r="O727" s="2">
        <v>0.0</v>
      </c>
      <c r="P727" s="2">
        <f t="shared" si="1"/>
        <v>0</v>
      </c>
      <c r="Q727" s="1"/>
      <c r="R727" s="1"/>
      <c r="S727" s="1"/>
      <c r="T727" s="1"/>
      <c r="U727" s="1"/>
      <c r="V727" s="6"/>
      <c r="W727" s="6"/>
    </row>
    <row r="728" ht="15.75" customHeight="1">
      <c r="A728" s="9" t="s">
        <v>29</v>
      </c>
      <c r="B728" s="10">
        <v>2025.0</v>
      </c>
      <c r="C728" s="14" t="s">
        <v>66</v>
      </c>
      <c r="D728" s="1" t="s">
        <v>760</v>
      </c>
      <c r="E728" s="2">
        <v>3.4E8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3.4E8</v>
      </c>
      <c r="O728" s="2">
        <v>0.0</v>
      </c>
      <c r="P728" s="2">
        <f t="shared" si="1"/>
        <v>0</v>
      </c>
      <c r="Q728" s="1"/>
      <c r="R728" s="1"/>
      <c r="S728" s="1"/>
      <c r="T728" s="1"/>
      <c r="U728" s="1"/>
      <c r="V728" s="6"/>
      <c r="W728" s="6"/>
    </row>
    <row r="729" ht="15.75" customHeight="1">
      <c r="A729" s="9" t="s">
        <v>29</v>
      </c>
      <c r="B729" s="10">
        <v>2025.0</v>
      </c>
      <c r="C729" s="14" t="s">
        <v>66</v>
      </c>
      <c r="D729" s="1" t="s">
        <v>761</v>
      </c>
      <c r="E729" s="2">
        <v>3000000.0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3000000.0</v>
      </c>
      <c r="O729" s="2">
        <v>0.0</v>
      </c>
      <c r="P729" s="2">
        <f t="shared" si="1"/>
        <v>0</v>
      </c>
      <c r="Q729" s="1"/>
      <c r="R729" s="1"/>
      <c r="S729" s="1"/>
      <c r="T729" s="1"/>
      <c r="U729" s="1"/>
      <c r="V729" s="6"/>
      <c r="W729" s="6"/>
    </row>
    <row r="730" ht="15.75" customHeight="1">
      <c r="A730" s="9" t="s">
        <v>29</v>
      </c>
      <c r="B730" s="10">
        <v>2025.0</v>
      </c>
      <c r="C730" s="14" t="s">
        <v>66</v>
      </c>
      <c r="D730" s="1" t="s">
        <v>762</v>
      </c>
      <c r="E730" s="2">
        <v>8000000.0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8000000.0</v>
      </c>
      <c r="O730" s="2">
        <v>0.0</v>
      </c>
      <c r="P730" s="2">
        <f t="shared" si="1"/>
        <v>0</v>
      </c>
      <c r="Q730" s="1"/>
      <c r="R730" s="1"/>
      <c r="S730" s="1"/>
      <c r="T730" s="1"/>
      <c r="U730" s="1"/>
      <c r="V730" s="6"/>
      <c r="W730" s="6"/>
    </row>
    <row r="731" ht="15.75" customHeight="1">
      <c r="A731" s="9" t="s">
        <v>29</v>
      </c>
      <c r="B731" s="10">
        <v>2025.0</v>
      </c>
      <c r="C731" s="14" t="s">
        <v>66</v>
      </c>
      <c r="D731" s="1" t="s">
        <v>763</v>
      </c>
      <c r="E731" s="2">
        <v>1500000.0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1500000.0</v>
      </c>
      <c r="O731" s="2">
        <v>0.0</v>
      </c>
      <c r="P731" s="2">
        <f t="shared" si="1"/>
        <v>0</v>
      </c>
      <c r="Q731" s="1"/>
      <c r="R731" s="1"/>
      <c r="S731" s="1"/>
      <c r="T731" s="1"/>
      <c r="U731" s="1"/>
      <c r="V731" s="6"/>
      <c r="W731" s="6"/>
    </row>
    <row r="732" ht="15.75" customHeight="1">
      <c r="A732" s="9" t="s">
        <v>29</v>
      </c>
      <c r="B732" s="10">
        <v>2025.0</v>
      </c>
      <c r="C732" s="14" t="s">
        <v>66</v>
      </c>
      <c r="D732" s="1" t="s">
        <v>764</v>
      </c>
      <c r="E732" s="2">
        <v>45000.0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45000.0</v>
      </c>
      <c r="O732" s="2">
        <v>0.0</v>
      </c>
      <c r="P732" s="2">
        <f t="shared" si="1"/>
        <v>0</v>
      </c>
      <c r="Q732" s="1"/>
      <c r="R732" s="1"/>
      <c r="S732" s="1"/>
      <c r="T732" s="1"/>
      <c r="U732" s="1"/>
      <c r="V732" s="6"/>
      <c r="W732" s="6"/>
    </row>
    <row r="733" ht="15.75" customHeight="1">
      <c r="A733" s="9" t="s">
        <v>29</v>
      </c>
      <c r="B733" s="10">
        <v>2025.0</v>
      </c>
      <c r="C733" s="14" t="s">
        <v>66</v>
      </c>
      <c r="D733" s="1" t="s">
        <v>765</v>
      </c>
      <c r="E733" s="2">
        <v>3402500.0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3402500.0</v>
      </c>
      <c r="O733" s="2">
        <v>0.0</v>
      </c>
      <c r="P733" s="2">
        <f t="shared" si="1"/>
        <v>0</v>
      </c>
      <c r="Q733" s="1"/>
      <c r="R733" s="1"/>
      <c r="S733" s="1"/>
      <c r="T733" s="1"/>
      <c r="U733" s="1"/>
      <c r="V733" s="6"/>
      <c r="W733" s="6"/>
    </row>
    <row r="734" ht="15.75" customHeight="1">
      <c r="A734" s="9" t="s">
        <v>29</v>
      </c>
      <c r="B734" s="10">
        <v>2025.0</v>
      </c>
      <c r="C734" s="14" t="s">
        <v>66</v>
      </c>
      <c r="D734" s="1" t="s">
        <v>766</v>
      </c>
      <c r="E734" s="2">
        <v>940000.0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940000.0</v>
      </c>
      <c r="O734" s="2">
        <v>0.0</v>
      </c>
      <c r="P734" s="2">
        <f t="shared" si="1"/>
        <v>0</v>
      </c>
      <c r="Q734" s="1"/>
      <c r="R734" s="1"/>
      <c r="S734" s="1"/>
      <c r="T734" s="1"/>
      <c r="U734" s="1"/>
      <c r="V734" s="6"/>
      <c r="W734" s="6"/>
    </row>
    <row r="735" ht="15.75" customHeight="1">
      <c r="A735" s="9" t="s">
        <v>29</v>
      </c>
      <c r="B735" s="10">
        <v>2025.0</v>
      </c>
      <c r="C735" s="14" t="s">
        <v>66</v>
      </c>
      <c r="D735" s="1" t="s">
        <v>767</v>
      </c>
      <c r="E735" s="2">
        <v>80000.0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80000.0</v>
      </c>
      <c r="O735" s="2">
        <v>0.0</v>
      </c>
      <c r="P735" s="2">
        <f t="shared" si="1"/>
        <v>0</v>
      </c>
      <c r="Q735" s="1"/>
      <c r="R735" s="1"/>
      <c r="S735" s="1"/>
      <c r="T735" s="1"/>
      <c r="U735" s="1"/>
      <c r="V735" s="6"/>
      <c r="W735" s="6"/>
    </row>
    <row r="736" ht="15.75" customHeight="1">
      <c r="A736" s="9" t="s">
        <v>29</v>
      </c>
      <c r="B736" s="10">
        <v>2025.0</v>
      </c>
      <c r="C736" s="14" t="s">
        <v>66</v>
      </c>
      <c r="D736" s="1" t="s">
        <v>768</v>
      </c>
      <c r="E736" s="2">
        <v>120000.0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120000.0</v>
      </c>
      <c r="O736" s="2">
        <v>0.0</v>
      </c>
      <c r="P736" s="2">
        <f t="shared" si="1"/>
        <v>0</v>
      </c>
      <c r="Q736" s="1"/>
      <c r="R736" s="1"/>
      <c r="S736" s="1"/>
      <c r="T736" s="1"/>
      <c r="U736" s="1"/>
      <c r="V736" s="6"/>
      <c r="W736" s="6"/>
    </row>
    <row r="737" ht="15.75" customHeight="1">
      <c r="A737" s="9" t="s">
        <v>29</v>
      </c>
      <c r="B737" s="10">
        <v>2025.0</v>
      </c>
      <c r="C737" s="14" t="s">
        <v>66</v>
      </c>
      <c r="D737" s="1" t="s">
        <v>769</v>
      </c>
      <c r="E737" s="2">
        <v>200000.0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200000.0</v>
      </c>
      <c r="O737" s="2">
        <v>0.0</v>
      </c>
      <c r="P737" s="2">
        <f t="shared" si="1"/>
        <v>0</v>
      </c>
      <c r="Q737" s="1"/>
      <c r="R737" s="1"/>
      <c r="S737" s="1"/>
      <c r="T737" s="1"/>
      <c r="U737" s="1"/>
      <c r="V737" s="6"/>
      <c r="W737" s="6"/>
    </row>
    <row r="738" ht="15.75" customHeight="1">
      <c r="A738" s="9" t="s">
        <v>29</v>
      </c>
      <c r="B738" s="10">
        <v>2025.0</v>
      </c>
      <c r="C738" s="14" t="s">
        <v>66</v>
      </c>
      <c r="D738" s="1" t="s">
        <v>770</v>
      </c>
      <c r="E738" s="2">
        <v>200000.0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200000.0</v>
      </c>
      <c r="O738" s="2">
        <v>0.0</v>
      </c>
      <c r="P738" s="2">
        <f t="shared" si="1"/>
        <v>0</v>
      </c>
      <c r="Q738" s="1"/>
      <c r="R738" s="1"/>
      <c r="S738" s="1"/>
      <c r="T738" s="1"/>
      <c r="U738" s="1"/>
      <c r="V738" s="6"/>
      <c r="W738" s="6"/>
    </row>
    <row r="739" ht="15.75" customHeight="1">
      <c r="A739" s="9" t="s">
        <v>29</v>
      </c>
      <c r="B739" s="10">
        <v>2025.0</v>
      </c>
      <c r="C739" s="14" t="s">
        <v>66</v>
      </c>
      <c r="D739" s="1" t="s">
        <v>771</v>
      </c>
      <c r="E739" s="2">
        <v>3000000.0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3000000.0</v>
      </c>
      <c r="O739" s="2">
        <v>0.0</v>
      </c>
      <c r="P739" s="2">
        <f t="shared" si="1"/>
        <v>0</v>
      </c>
      <c r="Q739" s="1"/>
      <c r="R739" s="1"/>
      <c r="S739" s="1"/>
      <c r="T739" s="1"/>
      <c r="U739" s="1"/>
      <c r="V739" s="6"/>
      <c r="W739" s="6"/>
    </row>
    <row r="740" ht="15.75" customHeight="1">
      <c r="A740" s="9" t="s">
        <v>29</v>
      </c>
      <c r="B740" s="10">
        <v>2025.0</v>
      </c>
      <c r="C740" s="14" t="s">
        <v>66</v>
      </c>
      <c r="D740" s="1" t="s">
        <v>772</v>
      </c>
      <c r="E740" s="2">
        <v>2.0E7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2.0E7</v>
      </c>
      <c r="O740" s="2">
        <v>0.0</v>
      </c>
      <c r="P740" s="2">
        <f t="shared" si="1"/>
        <v>0</v>
      </c>
      <c r="Q740" s="1"/>
      <c r="R740" s="1"/>
      <c r="S740" s="1"/>
      <c r="T740" s="1"/>
      <c r="U740" s="1"/>
      <c r="V740" s="6"/>
      <c r="W740" s="6"/>
    </row>
    <row r="741" ht="15.75" customHeight="1">
      <c r="A741" s="9" t="s">
        <v>29</v>
      </c>
      <c r="B741" s="10">
        <v>2025.0</v>
      </c>
      <c r="C741" s="14" t="s">
        <v>64</v>
      </c>
      <c r="D741" s="1" t="s">
        <v>773</v>
      </c>
      <c r="E741" s="2">
        <v>1896800.0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1896800.0</v>
      </c>
      <c r="O741" s="2">
        <v>0.0</v>
      </c>
      <c r="P741" s="2">
        <f t="shared" si="1"/>
        <v>0</v>
      </c>
      <c r="Q741" s="1"/>
      <c r="R741" s="1"/>
      <c r="S741" s="1"/>
      <c r="T741" s="1"/>
      <c r="U741" s="1"/>
      <c r="V741" s="6"/>
      <c r="W741" s="6"/>
    </row>
    <row r="742" ht="15.75" customHeight="1">
      <c r="A742" s="9" t="s">
        <v>29</v>
      </c>
      <c r="B742" s="10">
        <v>2025.0</v>
      </c>
      <c r="C742" s="14" t="s">
        <v>64</v>
      </c>
      <c r="D742" s="1" t="s">
        <v>774</v>
      </c>
      <c r="E742" s="2">
        <v>1998000.0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1998000.0</v>
      </c>
      <c r="O742" s="2">
        <v>0.0</v>
      </c>
      <c r="P742" s="2">
        <f t="shared" si="1"/>
        <v>0</v>
      </c>
      <c r="Q742" s="1"/>
      <c r="R742" s="1"/>
      <c r="S742" s="1"/>
      <c r="T742" s="1"/>
      <c r="U742" s="1"/>
      <c r="V742" s="6"/>
      <c r="W742" s="6"/>
    </row>
    <row r="743" ht="15.75" customHeight="1">
      <c r="A743" s="9" t="s">
        <v>29</v>
      </c>
      <c r="B743" s="10">
        <v>2025.0</v>
      </c>
      <c r="C743" s="14" t="s">
        <v>120</v>
      </c>
      <c r="D743" s="1" t="s">
        <v>775</v>
      </c>
      <c r="E743" s="2">
        <v>1300000.0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1300000.0</v>
      </c>
      <c r="O743" s="2">
        <v>0.0</v>
      </c>
      <c r="P743" s="2">
        <f t="shared" si="1"/>
        <v>0</v>
      </c>
      <c r="Q743" s="1"/>
      <c r="R743" s="1"/>
      <c r="S743" s="1"/>
      <c r="T743" s="1"/>
      <c r="U743" s="1"/>
      <c r="V743" s="6"/>
      <c r="W743" s="6"/>
    </row>
    <row r="744" ht="15.75" customHeight="1">
      <c r="A744" s="9" t="s">
        <v>29</v>
      </c>
      <c r="B744" s="10">
        <v>2025.0</v>
      </c>
      <c r="C744" s="14" t="s">
        <v>120</v>
      </c>
      <c r="D744" s="1" t="s">
        <v>776</v>
      </c>
      <c r="E744" s="2">
        <v>1300000.0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1300000.0</v>
      </c>
      <c r="O744" s="2">
        <v>0.0</v>
      </c>
      <c r="P744" s="2">
        <f t="shared" si="1"/>
        <v>0</v>
      </c>
      <c r="Q744" s="1"/>
      <c r="R744" s="1"/>
      <c r="S744" s="1"/>
      <c r="T744" s="1"/>
      <c r="U744" s="1"/>
      <c r="V744" s="6"/>
      <c r="W744" s="6"/>
    </row>
    <row r="745" ht="15.75" customHeight="1">
      <c r="A745" s="9" t="s">
        <v>29</v>
      </c>
      <c r="B745" s="10">
        <v>2025.0</v>
      </c>
      <c r="C745" s="14" t="s">
        <v>120</v>
      </c>
      <c r="D745" s="1" t="s">
        <v>777</v>
      </c>
      <c r="E745" s="2">
        <v>1002964.0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1002964.0</v>
      </c>
      <c r="O745" s="2">
        <v>0.0</v>
      </c>
      <c r="P745" s="2">
        <f t="shared" si="1"/>
        <v>0</v>
      </c>
      <c r="Q745" s="1"/>
      <c r="R745" s="1"/>
      <c r="S745" s="1"/>
      <c r="T745" s="1"/>
      <c r="U745" s="1"/>
      <c r="V745" s="6"/>
      <c r="W745" s="6"/>
    </row>
    <row r="746" ht="15.75" customHeight="1">
      <c r="A746" s="9" t="s">
        <v>29</v>
      </c>
      <c r="B746" s="10">
        <v>2025.0</v>
      </c>
      <c r="C746" s="14" t="s">
        <v>120</v>
      </c>
      <c r="D746" s="1" t="s">
        <v>778</v>
      </c>
      <c r="E746" s="2">
        <v>1300000.0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1300000.0</v>
      </c>
      <c r="O746" s="2">
        <v>0.0</v>
      </c>
      <c r="P746" s="2">
        <f t="shared" si="1"/>
        <v>0</v>
      </c>
      <c r="Q746" s="1"/>
      <c r="R746" s="1"/>
      <c r="S746" s="1"/>
      <c r="T746" s="1"/>
      <c r="U746" s="1"/>
      <c r="V746" s="6"/>
      <c r="W746" s="6"/>
    </row>
    <row r="747" ht="15.75" customHeight="1">
      <c r="A747" s="9" t="s">
        <v>29</v>
      </c>
      <c r="B747" s="10">
        <v>2025.0</v>
      </c>
      <c r="C747" s="14" t="s">
        <v>120</v>
      </c>
      <c r="D747" s="1" t="s">
        <v>779</v>
      </c>
      <c r="E747" s="2">
        <v>1795236.0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1795236.0</v>
      </c>
      <c r="O747" s="2">
        <v>0.0</v>
      </c>
      <c r="P747" s="2">
        <f t="shared" si="1"/>
        <v>0</v>
      </c>
      <c r="Q747" s="1"/>
      <c r="R747" s="1"/>
      <c r="S747" s="1"/>
      <c r="T747" s="1"/>
      <c r="U747" s="1"/>
      <c r="V747" s="6"/>
      <c r="W747" s="6"/>
    </row>
    <row r="748" ht="15.75" customHeight="1">
      <c r="A748" s="9" t="s">
        <v>29</v>
      </c>
      <c r="B748" s="10">
        <v>2025.0</v>
      </c>
      <c r="C748" s="14" t="s">
        <v>322</v>
      </c>
      <c r="D748" s="1" t="s">
        <v>780</v>
      </c>
      <c r="E748" s="2">
        <v>2671000.0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2671000.0</v>
      </c>
      <c r="O748" s="2">
        <v>0.0</v>
      </c>
      <c r="P748" s="2">
        <f t="shared" si="1"/>
        <v>0</v>
      </c>
      <c r="Q748" s="1"/>
      <c r="R748" s="1"/>
      <c r="S748" s="1"/>
      <c r="T748" s="1"/>
      <c r="U748" s="1"/>
      <c r="V748" s="6"/>
      <c r="W748" s="6"/>
    </row>
    <row r="749" ht="15.75" customHeight="1">
      <c r="A749" s="9" t="s">
        <v>29</v>
      </c>
      <c r="B749" s="10">
        <v>2025.0</v>
      </c>
      <c r="C749" s="14" t="s">
        <v>120</v>
      </c>
      <c r="D749" s="1" t="s">
        <v>781</v>
      </c>
      <c r="E749" s="2">
        <v>143609.0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143609.0</v>
      </c>
      <c r="O749" s="2">
        <v>0.0</v>
      </c>
      <c r="P749" s="2">
        <f t="shared" si="1"/>
        <v>0</v>
      </c>
      <c r="Q749" s="1"/>
      <c r="R749" s="1"/>
      <c r="S749" s="1"/>
      <c r="T749" s="1"/>
      <c r="U749" s="1"/>
      <c r="V749" s="6"/>
      <c r="W749" s="6"/>
    </row>
    <row r="750" ht="15.75" customHeight="1">
      <c r="A750" s="9" t="s">
        <v>29</v>
      </c>
      <c r="B750" s="10">
        <v>2025.0</v>
      </c>
      <c r="C750" s="14" t="s">
        <v>120</v>
      </c>
      <c r="D750" s="1" t="s">
        <v>782</v>
      </c>
      <c r="E750" s="2">
        <v>1203033.0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1203033.0</v>
      </c>
      <c r="O750" s="2">
        <v>0.0</v>
      </c>
      <c r="P750" s="2">
        <f t="shared" si="1"/>
        <v>0</v>
      </c>
      <c r="Q750" s="1"/>
      <c r="R750" s="1"/>
      <c r="S750" s="1"/>
      <c r="T750" s="1"/>
      <c r="U750" s="1"/>
      <c r="V750" s="6"/>
      <c r="W750" s="6"/>
    </row>
    <row r="751" ht="15.75" customHeight="1">
      <c r="A751" s="9" t="s">
        <v>29</v>
      </c>
      <c r="B751" s="10">
        <v>2025.0</v>
      </c>
      <c r="C751" s="14" t="s">
        <v>51</v>
      </c>
      <c r="D751" s="1" t="s">
        <v>783</v>
      </c>
      <c r="E751" s="2">
        <v>984500.0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984500.0</v>
      </c>
      <c r="O751" s="2">
        <v>0.0</v>
      </c>
      <c r="P751" s="2">
        <f t="shared" si="1"/>
        <v>0</v>
      </c>
      <c r="Q751" s="1"/>
      <c r="R751" s="1"/>
      <c r="S751" s="1"/>
      <c r="T751" s="1"/>
      <c r="U751" s="1"/>
      <c r="V751" s="6"/>
      <c r="W751" s="6"/>
    </row>
    <row r="752" ht="15.75" customHeight="1">
      <c r="A752" s="9" t="s">
        <v>29</v>
      </c>
      <c r="B752" s="10">
        <v>2025.0</v>
      </c>
      <c r="C752" s="14" t="s">
        <v>51</v>
      </c>
      <c r="D752" s="1" t="s">
        <v>784</v>
      </c>
      <c r="E752" s="2">
        <v>608400.0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608400.0</v>
      </c>
      <c r="O752" s="2">
        <v>0.0</v>
      </c>
      <c r="P752" s="2">
        <f t="shared" si="1"/>
        <v>0</v>
      </c>
      <c r="Q752" s="1"/>
      <c r="R752" s="1"/>
      <c r="S752" s="1"/>
      <c r="T752" s="1"/>
      <c r="U752" s="1"/>
      <c r="V752" s="6"/>
      <c r="W752" s="6"/>
    </row>
    <row r="753" ht="15.75" customHeight="1">
      <c r="A753" s="9" t="s">
        <v>29</v>
      </c>
      <c r="B753" s="10">
        <v>2025.0</v>
      </c>
      <c r="C753" s="14" t="s">
        <v>120</v>
      </c>
      <c r="D753" s="1" t="s">
        <v>785</v>
      </c>
      <c r="E753" s="2">
        <v>1203033.0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1203033.0</v>
      </c>
      <c r="O753" s="2">
        <v>0.0</v>
      </c>
      <c r="P753" s="2">
        <f t="shared" si="1"/>
        <v>0</v>
      </c>
      <c r="Q753" s="1"/>
      <c r="R753" s="1"/>
      <c r="S753" s="1"/>
      <c r="T753" s="1"/>
      <c r="U753" s="1"/>
      <c r="V753" s="6"/>
      <c r="W753" s="6"/>
    </row>
    <row r="754" ht="15.75" customHeight="1">
      <c r="A754" s="9" t="s">
        <v>29</v>
      </c>
      <c r="B754" s="10">
        <v>2025.0</v>
      </c>
      <c r="C754" s="14" t="s">
        <v>56</v>
      </c>
      <c r="D754" s="1" t="s">
        <v>786</v>
      </c>
      <c r="E754" s="2">
        <v>995001.0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995001.0</v>
      </c>
      <c r="O754" s="2">
        <v>0.0</v>
      </c>
      <c r="P754" s="2">
        <f t="shared" si="1"/>
        <v>0</v>
      </c>
      <c r="Q754" s="1"/>
      <c r="R754" s="1"/>
      <c r="S754" s="1"/>
      <c r="T754" s="1"/>
      <c r="U754" s="1"/>
      <c r="V754" s="6"/>
      <c r="W754" s="6"/>
    </row>
    <row r="755" ht="15.75" customHeight="1">
      <c r="A755" s="9" t="s">
        <v>29</v>
      </c>
      <c r="B755" s="10">
        <v>2025.0</v>
      </c>
      <c r="C755" s="14" t="s">
        <v>120</v>
      </c>
      <c r="D755" s="1" t="s">
        <v>787</v>
      </c>
      <c r="E755" s="2">
        <v>3600000.0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3600000.0</v>
      </c>
      <c r="O755" s="2">
        <v>0.0</v>
      </c>
      <c r="P755" s="2">
        <f t="shared" si="1"/>
        <v>0</v>
      </c>
      <c r="Q755" s="1"/>
      <c r="R755" s="1"/>
      <c r="S755" s="1"/>
      <c r="T755" s="1"/>
      <c r="U755" s="1"/>
      <c r="V755" s="6"/>
      <c r="W755" s="6"/>
    </row>
    <row r="756" ht="15.75" customHeight="1">
      <c r="A756" s="9" t="s">
        <v>29</v>
      </c>
      <c r="B756" s="10">
        <v>2025.0</v>
      </c>
      <c r="C756" s="14" t="s">
        <v>51</v>
      </c>
      <c r="D756" s="1" t="s">
        <v>788</v>
      </c>
      <c r="E756" s="2">
        <v>413400.0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413400.0</v>
      </c>
      <c r="O756" s="2">
        <v>0.0</v>
      </c>
      <c r="P756" s="2">
        <f t="shared" si="1"/>
        <v>0</v>
      </c>
      <c r="Q756" s="1"/>
      <c r="R756" s="1"/>
      <c r="S756" s="1"/>
      <c r="T756" s="1"/>
      <c r="U756" s="1"/>
      <c r="V756" s="6"/>
      <c r="W756" s="6"/>
    </row>
    <row r="757" ht="15.75" customHeight="1">
      <c r="A757" s="9" t="s">
        <v>29</v>
      </c>
      <c r="B757" s="10">
        <v>2025.0</v>
      </c>
      <c r="C757" s="14" t="s">
        <v>120</v>
      </c>
      <c r="D757" s="1" t="s">
        <v>789</v>
      </c>
      <c r="E757" s="2">
        <v>1350233.0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1350233.0</v>
      </c>
      <c r="O757" s="2">
        <v>0.0</v>
      </c>
      <c r="P757" s="2">
        <f t="shared" si="1"/>
        <v>0</v>
      </c>
      <c r="Q757" s="1"/>
      <c r="R757" s="1"/>
      <c r="S757" s="1"/>
      <c r="T757" s="1"/>
      <c r="U757" s="1"/>
      <c r="V757" s="6"/>
      <c r="W757" s="6"/>
    </row>
    <row r="758" ht="15.75" customHeight="1">
      <c r="A758" s="9" t="s">
        <v>29</v>
      </c>
      <c r="B758" s="10">
        <v>2025.0</v>
      </c>
      <c r="C758" s="14" t="s">
        <v>120</v>
      </c>
      <c r="D758" s="1" t="s">
        <v>790</v>
      </c>
      <c r="E758" s="2">
        <v>483702.0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483702.0</v>
      </c>
      <c r="O758" s="2">
        <v>0.0</v>
      </c>
      <c r="P758" s="2">
        <f t="shared" si="1"/>
        <v>0</v>
      </c>
      <c r="Q758" s="1"/>
      <c r="R758" s="1"/>
      <c r="S758" s="1"/>
      <c r="T758" s="1"/>
      <c r="U758" s="1"/>
      <c r="V758" s="6"/>
      <c r="W758" s="6"/>
    </row>
    <row r="759" ht="15.75" customHeight="1">
      <c r="A759" s="9" t="s">
        <v>29</v>
      </c>
      <c r="B759" s="10">
        <v>2025.0</v>
      </c>
      <c r="C759" s="14" t="s">
        <v>120</v>
      </c>
      <c r="D759" s="1" t="s">
        <v>791</v>
      </c>
      <c r="E759" s="2">
        <v>1250000.0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1250000.0</v>
      </c>
      <c r="O759" s="2">
        <v>0.0</v>
      </c>
      <c r="P759" s="2">
        <f t="shared" si="1"/>
        <v>0</v>
      </c>
      <c r="Q759" s="1"/>
      <c r="R759" s="1"/>
      <c r="S759" s="1"/>
      <c r="T759" s="1"/>
      <c r="U759" s="1"/>
      <c r="V759" s="6"/>
      <c r="W759" s="6"/>
    </row>
    <row r="760" ht="15.75" customHeight="1">
      <c r="A760" s="9" t="s">
        <v>29</v>
      </c>
      <c r="B760" s="10">
        <v>2025.0</v>
      </c>
      <c r="C760" s="14" t="s">
        <v>134</v>
      </c>
      <c r="D760" s="1" t="s">
        <v>792</v>
      </c>
      <c r="E760" s="2">
        <v>50000.0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f t="shared" si="1"/>
        <v>50000</v>
      </c>
      <c r="Q760" s="1"/>
      <c r="R760" s="1"/>
      <c r="S760" s="1"/>
      <c r="T760" s="1"/>
      <c r="U760" s="1"/>
      <c r="V760" s="6"/>
      <c r="W760" s="6"/>
    </row>
    <row r="761" ht="15.75" customHeight="1">
      <c r="A761" s="9" t="s">
        <v>29</v>
      </c>
      <c r="B761" s="10">
        <v>2025.0</v>
      </c>
      <c r="C761" s="14" t="s">
        <v>134</v>
      </c>
      <c r="D761" s="1" t="s">
        <v>793</v>
      </c>
      <c r="E761" s="2">
        <v>20000.0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f t="shared" si="1"/>
        <v>20000</v>
      </c>
      <c r="Q761" s="1"/>
      <c r="R761" s="1"/>
      <c r="S761" s="1"/>
      <c r="T761" s="1"/>
      <c r="U761" s="1"/>
      <c r="V761" s="6"/>
      <c r="W761" s="6"/>
    </row>
    <row r="762" ht="15.75" customHeight="1">
      <c r="A762" s="9" t="s">
        <v>29</v>
      </c>
      <c r="B762" s="10">
        <v>2025.0</v>
      </c>
      <c r="C762" s="14" t="s">
        <v>66</v>
      </c>
      <c r="D762" s="1" t="s">
        <v>794</v>
      </c>
      <c r="E762" s="2">
        <v>4100000.0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4100000.0</v>
      </c>
      <c r="O762" s="2">
        <v>0.0</v>
      </c>
      <c r="P762" s="2">
        <f t="shared" si="1"/>
        <v>0</v>
      </c>
      <c r="Q762" s="1"/>
      <c r="R762" s="1"/>
      <c r="S762" s="1"/>
      <c r="T762" s="1"/>
      <c r="U762" s="1"/>
      <c r="V762" s="6"/>
      <c r="W762" s="6"/>
    </row>
    <row r="763" ht="15.75" customHeight="1">
      <c r="A763" s="9" t="s">
        <v>29</v>
      </c>
      <c r="B763" s="10">
        <v>2025.0</v>
      </c>
      <c r="C763" s="14" t="s">
        <v>322</v>
      </c>
      <c r="D763" s="1" t="s">
        <v>795</v>
      </c>
      <c r="E763" s="2">
        <v>4032000.0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4032000.0</v>
      </c>
      <c r="O763" s="2">
        <v>0.0</v>
      </c>
      <c r="P763" s="2">
        <f t="shared" si="1"/>
        <v>0</v>
      </c>
      <c r="Q763" s="1"/>
      <c r="R763" s="1"/>
      <c r="S763" s="1"/>
      <c r="T763" s="1"/>
      <c r="U763" s="1"/>
      <c r="V763" s="6"/>
      <c r="W763" s="6"/>
    </row>
    <row r="764" ht="15.75" customHeight="1">
      <c r="A764" s="9" t="s">
        <v>29</v>
      </c>
      <c r="B764" s="10">
        <v>2025.0</v>
      </c>
      <c r="C764" s="14" t="s">
        <v>134</v>
      </c>
      <c r="D764" s="1" t="s">
        <v>796</v>
      </c>
      <c r="E764" s="2">
        <v>1583484.0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f t="shared" si="1"/>
        <v>1583484</v>
      </c>
      <c r="Q764" s="1"/>
      <c r="R764" s="1"/>
      <c r="S764" s="1"/>
      <c r="T764" s="1"/>
      <c r="U764" s="1"/>
      <c r="V764" s="6"/>
      <c r="W764" s="6"/>
    </row>
    <row r="765" ht="15.75" customHeight="1">
      <c r="A765" s="9" t="s">
        <v>29</v>
      </c>
      <c r="B765" s="10">
        <v>2025.0</v>
      </c>
      <c r="C765" s="14" t="s">
        <v>322</v>
      </c>
      <c r="D765" s="1" t="s">
        <v>797</v>
      </c>
      <c r="E765" s="2">
        <v>2531200.0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2531200.0</v>
      </c>
      <c r="O765" s="2">
        <v>0.0</v>
      </c>
      <c r="P765" s="2">
        <f t="shared" si="1"/>
        <v>0</v>
      </c>
      <c r="Q765" s="1"/>
      <c r="R765" s="1"/>
      <c r="S765" s="1"/>
      <c r="T765" s="1"/>
      <c r="U765" s="1"/>
      <c r="V765" s="6"/>
      <c r="W765" s="6"/>
    </row>
    <row r="766" ht="15.75" customHeight="1">
      <c r="A766" s="9" t="s">
        <v>29</v>
      </c>
      <c r="B766" s="10">
        <v>2025.0</v>
      </c>
      <c r="C766" s="14" t="s">
        <v>134</v>
      </c>
      <c r="D766" s="1" t="s">
        <v>798</v>
      </c>
      <c r="E766" s="2">
        <v>2662000.0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f t="shared" si="1"/>
        <v>2662000</v>
      </c>
      <c r="Q766" s="1"/>
      <c r="R766" s="1"/>
      <c r="S766" s="1"/>
      <c r="T766" s="1"/>
      <c r="U766" s="1"/>
      <c r="V766" s="6"/>
      <c r="W766" s="6"/>
    </row>
    <row r="767" ht="15.75" customHeight="1">
      <c r="A767" s="9" t="s">
        <v>29</v>
      </c>
      <c r="B767" s="10">
        <v>2025.0</v>
      </c>
      <c r="C767" s="14" t="s">
        <v>134</v>
      </c>
      <c r="D767" s="1" t="s">
        <v>799</v>
      </c>
      <c r="E767" s="2">
        <v>1.8E7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f t="shared" si="1"/>
        <v>18000000</v>
      </c>
      <c r="Q767" s="1"/>
      <c r="R767" s="1"/>
      <c r="S767" s="1"/>
      <c r="T767" s="1"/>
      <c r="U767" s="1"/>
      <c r="V767" s="6"/>
      <c r="W767" s="6"/>
    </row>
    <row r="768" ht="15.75" customHeight="1">
      <c r="A768" s="9" t="s">
        <v>29</v>
      </c>
      <c r="B768" s="10">
        <v>2025.0</v>
      </c>
      <c r="C768" s="14" t="s">
        <v>134</v>
      </c>
      <c r="D768" s="1" t="s">
        <v>800</v>
      </c>
      <c r="E768" s="2">
        <v>1.2E7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f t="shared" si="1"/>
        <v>12000000</v>
      </c>
      <c r="Q768" s="1"/>
      <c r="R768" s="1"/>
      <c r="S768" s="1"/>
      <c r="T768" s="1"/>
      <c r="U768" s="1"/>
      <c r="V768" s="6"/>
      <c r="W768" s="6"/>
    </row>
    <row r="769" ht="15.75" customHeight="1">
      <c r="A769" s="9" t="s">
        <v>29</v>
      </c>
      <c r="B769" s="10">
        <v>2025.0</v>
      </c>
      <c r="C769" s="14" t="s">
        <v>134</v>
      </c>
      <c r="D769" s="1" t="s">
        <v>801</v>
      </c>
      <c r="E769" s="2">
        <v>1400000.0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f t="shared" si="1"/>
        <v>1400000</v>
      </c>
      <c r="Q769" s="1"/>
      <c r="R769" s="1"/>
      <c r="S769" s="1"/>
      <c r="T769" s="1"/>
      <c r="U769" s="1"/>
      <c r="V769" s="6"/>
      <c r="W769" s="6"/>
    </row>
    <row r="770" ht="15.75" customHeight="1">
      <c r="A770" s="9" t="s">
        <v>29</v>
      </c>
      <c r="B770" s="10">
        <v>2025.0</v>
      </c>
      <c r="C770" s="14" t="s">
        <v>94</v>
      </c>
      <c r="D770" s="1" t="s">
        <v>802</v>
      </c>
      <c r="E770" s="2">
        <v>1393991.0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1393991.0</v>
      </c>
      <c r="O770" s="2">
        <v>0.0</v>
      </c>
      <c r="P770" s="2">
        <f t="shared" si="1"/>
        <v>0</v>
      </c>
      <c r="Q770" s="1"/>
      <c r="R770" s="1"/>
      <c r="S770" s="1"/>
      <c r="T770" s="1"/>
      <c r="U770" s="1"/>
      <c r="V770" s="6"/>
      <c r="W770" s="6"/>
    </row>
    <row r="771" ht="15.75" customHeight="1">
      <c r="A771" s="9" t="s">
        <v>29</v>
      </c>
      <c r="B771" s="10">
        <v>2025.0</v>
      </c>
      <c r="C771" s="14" t="s">
        <v>94</v>
      </c>
      <c r="D771" s="1" t="s">
        <v>803</v>
      </c>
      <c r="E771" s="2">
        <v>1086337.0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1086337.0</v>
      </c>
      <c r="O771" s="2">
        <v>0.0</v>
      </c>
      <c r="P771" s="2">
        <f t="shared" si="1"/>
        <v>0</v>
      </c>
      <c r="Q771" s="1"/>
      <c r="R771" s="1"/>
      <c r="S771" s="1"/>
      <c r="T771" s="1"/>
      <c r="U771" s="1"/>
      <c r="V771" s="6"/>
      <c r="W771" s="6"/>
    </row>
    <row r="772" ht="15.75" customHeight="1">
      <c r="A772" s="9" t="s">
        <v>29</v>
      </c>
      <c r="B772" s="10">
        <v>2025.0</v>
      </c>
      <c r="C772" s="14" t="s">
        <v>134</v>
      </c>
      <c r="D772" s="1" t="s">
        <v>804</v>
      </c>
      <c r="E772" s="2">
        <v>1630178.0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f t="shared" si="1"/>
        <v>1630178</v>
      </c>
      <c r="Q772" s="1"/>
      <c r="R772" s="1"/>
      <c r="S772" s="1"/>
      <c r="T772" s="1"/>
      <c r="U772" s="1"/>
      <c r="V772" s="6"/>
      <c r="W772" s="6"/>
    </row>
    <row r="773" ht="15.75" customHeight="1">
      <c r="A773" s="9" t="s">
        <v>29</v>
      </c>
      <c r="B773" s="10">
        <v>2025.0</v>
      </c>
      <c r="C773" s="14" t="s">
        <v>94</v>
      </c>
      <c r="D773" s="1" t="s">
        <v>805</v>
      </c>
      <c r="E773" s="2">
        <v>1397717.0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1397717.0</v>
      </c>
      <c r="O773" s="2">
        <v>0.0</v>
      </c>
      <c r="P773" s="2">
        <f t="shared" si="1"/>
        <v>0</v>
      </c>
      <c r="Q773" s="1"/>
      <c r="R773" s="1"/>
      <c r="S773" s="1"/>
      <c r="T773" s="1"/>
      <c r="U773" s="1"/>
      <c r="V773" s="6"/>
      <c r="W773" s="6"/>
    </row>
    <row r="774" ht="15.75" customHeight="1">
      <c r="A774" s="9" t="s">
        <v>29</v>
      </c>
      <c r="B774" s="10">
        <v>2025.0</v>
      </c>
      <c r="C774" s="14" t="s">
        <v>134</v>
      </c>
      <c r="D774" s="1" t="s">
        <v>806</v>
      </c>
      <c r="E774" s="2">
        <v>300000.0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f t="shared" si="1"/>
        <v>300000</v>
      </c>
      <c r="Q774" s="1"/>
      <c r="R774" s="1"/>
      <c r="S774" s="1"/>
      <c r="T774" s="1"/>
      <c r="U774" s="1"/>
      <c r="V774" s="6"/>
      <c r="W774" s="6"/>
    </row>
    <row r="775" ht="15.75" customHeight="1">
      <c r="A775" s="9" t="s">
        <v>29</v>
      </c>
      <c r="B775" s="10">
        <v>2025.0</v>
      </c>
      <c r="C775" s="14" t="s">
        <v>215</v>
      </c>
      <c r="D775" s="1" t="s">
        <v>807</v>
      </c>
      <c r="E775" s="2">
        <v>1496257.0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1496257.0</v>
      </c>
      <c r="O775" s="2">
        <v>0.0</v>
      </c>
      <c r="P775" s="2">
        <f t="shared" si="1"/>
        <v>0</v>
      </c>
      <c r="Q775" s="1"/>
      <c r="R775" s="1"/>
      <c r="S775" s="1"/>
      <c r="T775" s="1"/>
      <c r="U775" s="1"/>
      <c r="V775" s="6"/>
      <c r="W775" s="6"/>
    </row>
    <row r="776" ht="15.75" customHeight="1">
      <c r="A776" s="9" t="s">
        <v>29</v>
      </c>
      <c r="B776" s="10">
        <v>2025.0</v>
      </c>
      <c r="C776" s="14" t="s">
        <v>56</v>
      </c>
      <c r="D776" s="1" t="s">
        <v>808</v>
      </c>
      <c r="E776" s="2">
        <v>5324000.0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5324000.0</v>
      </c>
      <c r="O776" s="2">
        <v>0.0</v>
      </c>
      <c r="P776" s="2">
        <f t="shared" si="1"/>
        <v>0</v>
      </c>
      <c r="Q776" s="1"/>
      <c r="R776" s="1"/>
      <c r="S776" s="1"/>
      <c r="T776" s="1"/>
      <c r="U776" s="1"/>
      <c r="V776" s="6"/>
      <c r="W776" s="6"/>
    </row>
    <row r="777" ht="15.75" customHeight="1">
      <c r="A777" s="9" t="s">
        <v>29</v>
      </c>
      <c r="B777" s="10">
        <v>2025.0</v>
      </c>
      <c r="C777" s="14" t="s">
        <v>56</v>
      </c>
      <c r="D777" s="1" t="s">
        <v>809</v>
      </c>
      <c r="E777" s="2">
        <v>1.8495E7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1.8495E7</v>
      </c>
      <c r="O777" s="2">
        <v>0.0</v>
      </c>
      <c r="P777" s="2">
        <f t="shared" si="1"/>
        <v>0</v>
      </c>
      <c r="Q777" s="1"/>
      <c r="R777" s="1"/>
      <c r="S777" s="1"/>
      <c r="T777" s="1"/>
      <c r="U777" s="1"/>
      <c r="V777" s="6"/>
      <c r="W777" s="6"/>
    </row>
    <row r="778" ht="15.75" customHeight="1">
      <c r="A778" s="9" t="s">
        <v>29</v>
      </c>
      <c r="B778" s="10">
        <v>2025.0</v>
      </c>
      <c r="C778" s="14" t="s">
        <v>56</v>
      </c>
      <c r="D778" s="1" t="s">
        <v>809</v>
      </c>
      <c r="E778" s="2">
        <v>1.8495E7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1.8495E7</v>
      </c>
      <c r="O778" s="2">
        <v>0.0</v>
      </c>
      <c r="P778" s="2">
        <f t="shared" si="1"/>
        <v>0</v>
      </c>
      <c r="Q778" s="1"/>
      <c r="R778" s="1"/>
      <c r="S778" s="1"/>
      <c r="T778" s="1"/>
      <c r="U778" s="1"/>
      <c r="V778" s="6"/>
      <c r="W778" s="6"/>
    </row>
    <row r="779" ht="15.75" customHeight="1">
      <c r="A779" s="9" t="s">
        <v>29</v>
      </c>
      <c r="B779" s="10">
        <v>2025.0</v>
      </c>
      <c r="C779" s="14" t="s">
        <v>56</v>
      </c>
      <c r="D779" s="1" t="s">
        <v>809</v>
      </c>
      <c r="E779" s="2">
        <v>1.8495E7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1.8495E7</v>
      </c>
      <c r="O779" s="2">
        <v>0.0</v>
      </c>
      <c r="P779" s="2">
        <f t="shared" si="1"/>
        <v>0</v>
      </c>
      <c r="Q779" s="1"/>
      <c r="R779" s="1"/>
      <c r="S779" s="1"/>
      <c r="T779" s="1"/>
      <c r="U779" s="1"/>
      <c r="V779" s="6"/>
      <c r="W779" s="6"/>
    </row>
    <row r="780" ht="15.75" customHeight="1">
      <c r="A780" s="9" t="s">
        <v>29</v>
      </c>
      <c r="B780" s="10">
        <v>2025.0</v>
      </c>
      <c r="C780" s="14" t="s">
        <v>56</v>
      </c>
      <c r="D780" s="1" t="s">
        <v>809</v>
      </c>
      <c r="E780" s="2">
        <v>1.8495E7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1.8495E7</v>
      </c>
      <c r="O780" s="2">
        <v>0.0</v>
      </c>
      <c r="P780" s="2">
        <f t="shared" si="1"/>
        <v>0</v>
      </c>
      <c r="Q780" s="1"/>
      <c r="R780" s="1"/>
      <c r="S780" s="1"/>
      <c r="T780" s="1"/>
      <c r="U780" s="1"/>
      <c r="V780" s="6"/>
      <c r="W780" s="6"/>
    </row>
    <row r="781" ht="15.75" customHeight="1">
      <c r="A781" s="9" t="s">
        <v>29</v>
      </c>
      <c r="B781" s="10">
        <v>2025.0</v>
      </c>
      <c r="C781" s="14" t="s">
        <v>56</v>
      </c>
      <c r="D781" s="1" t="s">
        <v>810</v>
      </c>
      <c r="E781" s="2">
        <v>2000000.0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2000000.0</v>
      </c>
      <c r="O781" s="2">
        <v>0.0</v>
      </c>
      <c r="P781" s="2">
        <f t="shared" si="1"/>
        <v>0</v>
      </c>
      <c r="Q781" s="1"/>
      <c r="R781" s="1"/>
      <c r="S781" s="1"/>
      <c r="T781" s="1"/>
      <c r="U781" s="1"/>
      <c r="V781" s="6"/>
      <c r="W781" s="6"/>
    </row>
    <row r="782" ht="15.75" customHeight="1">
      <c r="A782" s="9" t="s">
        <v>29</v>
      </c>
      <c r="B782" s="10">
        <v>2025.0</v>
      </c>
      <c r="C782" s="14" t="s">
        <v>66</v>
      </c>
      <c r="D782" s="1" t="s">
        <v>811</v>
      </c>
      <c r="E782" s="2">
        <v>6.275E7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6.275E7</v>
      </c>
      <c r="O782" s="2">
        <v>0.0</v>
      </c>
      <c r="P782" s="2">
        <f t="shared" si="1"/>
        <v>0</v>
      </c>
      <c r="Q782" s="1"/>
      <c r="R782" s="1"/>
      <c r="S782" s="1"/>
      <c r="T782" s="1"/>
      <c r="U782" s="1"/>
      <c r="V782" s="6"/>
      <c r="W782" s="6"/>
    </row>
    <row r="783" ht="15.75" customHeight="1">
      <c r="A783" s="9" t="s">
        <v>29</v>
      </c>
      <c r="B783" s="10">
        <v>2025.0</v>
      </c>
      <c r="C783" s="14" t="s">
        <v>66</v>
      </c>
      <c r="D783" s="1" t="s">
        <v>812</v>
      </c>
      <c r="E783" s="2">
        <v>6872500.0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6872500.0</v>
      </c>
      <c r="O783" s="2">
        <v>0.0</v>
      </c>
      <c r="P783" s="2">
        <f t="shared" si="1"/>
        <v>0</v>
      </c>
      <c r="Q783" s="1"/>
      <c r="R783" s="1"/>
      <c r="S783" s="1"/>
      <c r="T783" s="1"/>
      <c r="U783" s="1"/>
      <c r="V783" s="6"/>
      <c r="W783" s="6"/>
    </row>
    <row r="784" ht="15.75" customHeight="1">
      <c r="A784" s="9" t="s">
        <v>29</v>
      </c>
      <c r="B784" s="10">
        <v>2025.0</v>
      </c>
      <c r="C784" s="14" t="s">
        <v>66</v>
      </c>
      <c r="D784" s="1" t="s">
        <v>813</v>
      </c>
      <c r="E784" s="2">
        <v>628500.0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628500.0</v>
      </c>
      <c r="O784" s="2">
        <v>0.0</v>
      </c>
      <c r="P784" s="2">
        <f t="shared" si="1"/>
        <v>0</v>
      </c>
      <c r="Q784" s="1"/>
      <c r="R784" s="1"/>
      <c r="S784" s="1"/>
      <c r="T784" s="1"/>
      <c r="U784" s="1"/>
      <c r="V784" s="6"/>
      <c r="W784" s="6"/>
    </row>
    <row r="785" ht="15.75" customHeight="1">
      <c r="A785" s="9" t="s">
        <v>29</v>
      </c>
      <c r="B785" s="10">
        <v>2025.0</v>
      </c>
      <c r="C785" s="14" t="s">
        <v>66</v>
      </c>
      <c r="D785" s="1" t="s">
        <v>811</v>
      </c>
      <c r="E785" s="2">
        <v>2.64E7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2.64E7</v>
      </c>
      <c r="O785" s="2">
        <v>0.0</v>
      </c>
      <c r="P785" s="2">
        <f t="shared" si="1"/>
        <v>0</v>
      </c>
      <c r="Q785" s="1"/>
      <c r="R785" s="1"/>
      <c r="S785" s="1"/>
      <c r="T785" s="1"/>
      <c r="U785" s="1"/>
      <c r="V785" s="6"/>
      <c r="W785" s="6"/>
    </row>
    <row r="786" ht="15.75" customHeight="1">
      <c r="A786" s="9" t="s">
        <v>29</v>
      </c>
      <c r="B786" s="10">
        <v>2025.0</v>
      </c>
      <c r="C786" s="14" t="s">
        <v>53</v>
      </c>
      <c r="D786" s="1" t="s">
        <v>814</v>
      </c>
      <c r="E786" s="2">
        <v>1995500.0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1995500.0</v>
      </c>
      <c r="O786" s="2">
        <v>0.0</v>
      </c>
      <c r="P786" s="2">
        <f t="shared" si="1"/>
        <v>0</v>
      </c>
      <c r="Q786" s="1"/>
      <c r="R786" s="1"/>
      <c r="S786" s="1"/>
      <c r="T786" s="1"/>
      <c r="U786" s="1"/>
      <c r="V786" s="6"/>
      <c r="W786" s="6"/>
    </row>
    <row r="787" ht="15.75" customHeight="1">
      <c r="A787" s="9" t="s">
        <v>29</v>
      </c>
      <c r="B787" s="10">
        <v>2025.0</v>
      </c>
      <c r="C787" s="14" t="s">
        <v>53</v>
      </c>
      <c r="D787" s="1" t="s">
        <v>815</v>
      </c>
      <c r="E787" s="2">
        <v>1.788E7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1.788E7</v>
      </c>
      <c r="O787" s="2">
        <v>0.0</v>
      </c>
      <c r="P787" s="2">
        <f t="shared" si="1"/>
        <v>0</v>
      </c>
      <c r="Q787" s="1"/>
      <c r="R787" s="1"/>
      <c r="S787" s="1"/>
      <c r="T787" s="1"/>
      <c r="U787" s="1"/>
      <c r="V787" s="6"/>
      <c r="W787" s="6"/>
    </row>
    <row r="788" ht="15.75" customHeight="1">
      <c r="A788" s="9" t="s">
        <v>29</v>
      </c>
      <c r="B788" s="10">
        <v>2025.0</v>
      </c>
      <c r="C788" s="14" t="s">
        <v>51</v>
      </c>
      <c r="D788" s="1" t="s">
        <v>816</v>
      </c>
      <c r="E788" s="2">
        <v>3.463E7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3.463E7</v>
      </c>
      <c r="O788" s="2">
        <v>0.0</v>
      </c>
      <c r="P788" s="2">
        <f t="shared" si="1"/>
        <v>0</v>
      </c>
      <c r="Q788" s="1"/>
      <c r="R788" s="1"/>
      <c r="S788" s="1"/>
      <c r="T788" s="1"/>
      <c r="U788" s="1"/>
      <c r="V788" s="6"/>
      <c r="W788" s="6"/>
    </row>
    <row r="789" ht="15.75" customHeight="1">
      <c r="A789" s="9" t="s">
        <v>29</v>
      </c>
      <c r="B789" s="10">
        <v>2025.0</v>
      </c>
      <c r="C789" s="14" t="s">
        <v>51</v>
      </c>
      <c r="D789" s="1" t="s">
        <v>817</v>
      </c>
      <c r="E789" s="2">
        <v>1.3555E7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1.3555E7</v>
      </c>
      <c r="O789" s="2">
        <v>0.0</v>
      </c>
      <c r="P789" s="2">
        <f t="shared" si="1"/>
        <v>0</v>
      </c>
      <c r="Q789" s="1"/>
      <c r="R789" s="1"/>
      <c r="S789" s="1"/>
      <c r="T789" s="1"/>
      <c r="U789" s="1"/>
      <c r="V789" s="6"/>
      <c r="W789" s="6"/>
    </row>
    <row r="790" ht="15.75" customHeight="1">
      <c r="A790" s="9" t="s">
        <v>29</v>
      </c>
      <c r="B790" s="10">
        <v>2025.0</v>
      </c>
      <c r="C790" s="14" t="s">
        <v>178</v>
      </c>
      <c r="D790" s="1" t="s">
        <v>818</v>
      </c>
      <c r="E790" s="2">
        <v>-1102505.0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-1102505.0</v>
      </c>
      <c r="O790" s="2">
        <v>0.0</v>
      </c>
      <c r="P790" s="2">
        <f t="shared" si="1"/>
        <v>0</v>
      </c>
      <c r="Q790" s="1"/>
      <c r="R790" s="1"/>
      <c r="S790" s="1"/>
      <c r="T790" s="1"/>
      <c r="U790" s="1"/>
      <c r="V790" s="6"/>
      <c r="W790" s="6"/>
    </row>
    <row r="791" ht="15.75" customHeight="1">
      <c r="A791" s="9" t="s">
        <v>29</v>
      </c>
      <c r="B791" s="10">
        <v>2025.0</v>
      </c>
      <c r="C791" s="14" t="s">
        <v>187</v>
      </c>
      <c r="D791" s="1" t="s">
        <v>819</v>
      </c>
      <c r="E791" s="2">
        <v>-560205.0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-560205.0</v>
      </c>
      <c r="O791" s="2">
        <v>0.0</v>
      </c>
      <c r="P791" s="2">
        <f t="shared" si="1"/>
        <v>0</v>
      </c>
      <c r="Q791" s="1"/>
      <c r="R791" s="1"/>
      <c r="S791" s="1"/>
      <c r="T791" s="1"/>
      <c r="U791" s="1"/>
      <c r="V791" s="6"/>
      <c r="W791" s="6"/>
    </row>
    <row r="792" ht="15.75" customHeight="1">
      <c r="A792" s="9" t="s">
        <v>29</v>
      </c>
      <c r="B792" s="10">
        <v>2025.0</v>
      </c>
      <c r="C792" s="14" t="s">
        <v>187</v>
      </c>
      <c r="D792" s="1" t="s">
        <v>820</v>
      </c>
      <c r="E792" s="2">
        <v>-560205.0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-560205.0</v>
      </c>
      <c r="O792" s="2">
        <v>0.0</v>
      </c>
      <c r="P792" s="2">
        <f t="shared" si="1"/>
        <v>0</v>
      </c>
      <c r="Q792" s="1"/>
      <c r="R792" s="1"/>
      <c r="S792" s="1"/>
      <c r="T792" s="1"/>
      <c r="U792" s="1"/>
      <c r="V792" s="6"/>
      <c r="W792" s="6"/>
    </row>
    <row r="793" ht="15.75" customHeight="1">
      <c r="A793" s="9" t="s">
        <v>29</v>
      </c>
      <c r="B793" s="10">
        <v>2025.0</v>
      </c>
      <c r="C793" s="14" t="s">
        <v>187</v>
      </c>
      <c r="D793" s="1" t="s">
        <v>821</v>
      </c>
      <c r="E793" s="2">
        <v>-560205.0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-560205.0</v>
      </c>
      <c r="O793" s="2">
        <v>0.0</v>
      </c>
      <c r="P793" s="2">
        <f t="shared" si="1"/>
        <v>0</v>
      </c>
      <c r="Q793" s="1"/>
      <c r="R793" s="1"/>
      <c r="S793" s="1"/>
      <c r="T793" s="1"/>
      <c r="U793" s="1"/>
      <c r="V793" s="6"/>
      <c r="W793" s="6"/>
    </row>
    <row r="794" ht="15.75" customHeight="1">
      <c r="A794" s="9" t="s">
        <v>29</v>
      </c>
      <c r="B794" s="10">
        <v>2025.0</v>
      </c>
      <c r="C794" s="14" t="s">
        <v>187</v>
      </c>
      <c r="D794" s="1" t="s">
        <v>822</v>
      </c>
      <c r="E794" s="2">
        <v>-560205.0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-560205.0</v>
      </c>
      <c r="O794" s="2">
        <v>0.0</v>
      </c>
      <c r="P794" s="2">
        <f t="shared" si="1"/>
        <v>0</v>
      </c>
      <c r="Q794" s="1"/>
      <c r="R794" s="1"/>
      <c r="S794" s="1"/>
      <c r="T794" s="1"/>
      <c r="U794" s="1"/>
      <c r="V794" s="6"/>
      <c r="W794" s="6"/>
    </row>
    <row r="795" ht="15.75" customHeight="1">
      <c r="A795" s="9" t="s">
        <v>29</v>
      </c>
      <c r="B795" s="10">
        <v>2025.0</v>
      </c>
      <c r="C795" s="14" t="s">
        <v>187</v>
      </c>
      <c r="D795" s="1" t="s">
        <v>823</v>
      </c>
      <c r="E795" s="2">
        <v>-1069100.0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-1069100.0</v>
      </c>
      <c r="O795" s="2">
        <v>0.0</v>
      </c>
      <c r="P795" s="2">
        <f t="shared" si="1"/>
        <v>0</v>
      </c>
      <c r="Q795" s="1"/>
      <c r="R795" s="1"/>
      <c r="S795" s="1"/>
      <c r="T795" s="1"/>
      <c r="U795" s="1"/>
      <c r="V795" s="6"/>
      <c r="W795" s="6"/>
    </row>
    <row r="796" ht="15.75" customHeight="1">
      <c r="A796" s="9" t="s">
        <v>29</v>
      </c>
      <c r="B796" s="10">
        <v>2025.0</v>
      </c>
      <c r="C796" s="14" t="s">
        <v>34</v>
      </c>
      <c r="D796" s="1" t="s">
        <v>824</v>
      </c>
      <c r="E796" s="2">
        <v>-845485.0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-845485.0</v>
      </c>
      <c r="O796" s="2">
        <v>0.0</v>
      </c>
      <c r="P796" s="2">
        <f t="shared" si="1"/>
        <v>0</v>
      </c>
      <c r="Q796" s="1"/>
      <c r="R796" s="1"/>
      <c r="S796" s="1"/>
      <c r="T796" s="1"/>
      <c r="U796" s="1"/>
      <c r="V796" s="6"/>
      <c r="W796" s="6"/>
    </row>
    <row r="797" ht="15.75" customHeight="1">
      <c r="A797" s="9" t="s">
        <v>29</v>
      </c>
      <c r="B797" s="10">
        <v>2025.0</v>
      </c>
      <c r="C797" s="14" t="s">
        <v>47</v>
      </c>
      <c r="D797" s="1" t="s">
        <v>825</v>
      </c>
      <c r="E797" s="2">
        <v>-1191450.0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-1191450.0</v>
      </c>
      <c r="O797" s="2">
        <v>0.0</v>
      </c>
      <c r="P797" s="2">
        <f t="shared" si="1"/>
        <v>0</v>
      </c>
      <c r="Q797" s="1"/>
      <c r="R797" s="1"/>
      <c r="S797" s="1"/>
      <c r="T797" s="1"/>
      <c r="U797" s="1"/>
      <c r="V797" s="6"/>
      <c r="W797" s="6"/>
    </row>
    <row r="798" ht="15.75" customHeight="1">
      <c r="A798" s="9" t="s">
        <v>29</v>
      </c>
      <c r="B798" s="10">
        <v>2025.0</v>
      </c>
      <c r="C798" s="14" t="s">
        <v>212</v>
      </c>
      <c r="D798" s="1" t="s">
        <v>826</v>
      </c>
      <c r="E798" s="2">
        <v>-791900.0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-791900.0</v>
      </c>
      <c r="O798" s="2">
        <v>0.0</v>
      </c>
      <c r="P798" s="2">
        <f t="shared" si="1"/>
        <v>0</v>
      </c>
      <c r="Q798" s="1"/>
      <c r="R798" s="1"/>
      <c r="S798" s="1"/>
      <c r="T798" s="1"/>
      <c r="U798" s="1"/>
      <c r="V798" s="6"/>
      <c r="W798" s="6"/>
    </row>
    <row r="799" ht="15.75" customHeight="1">
      <c r="A799" s="9" t="s">
        <v>29</v>
      </c>
      <c r="B799" s="10">
        <v>2025.0</v>
      </c>
      <c r="C799" s="14" t="s">
        <v>47</v>
      </c>
      <c r="D799" s="1" t="s">
        <v>827</v>
      </c>
      <c r="E799" s="2">
        <v>-1776200.0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-1776200.0</v>
      </c>
      <c r="O799" s="2">
        <v>0.0</v>
      </c>
      <c r="P799" s="2">
        <f t="shared" si="1"/>
        <v>0</v>
      </c>
      <c r="Q799" s="1"/>
      <c r="R799" s="1"/>
      <c r="S799" s="1"/>
      <c r="T799" s="1"/>
      <c r="U799" s="1"/>
      <c r="V799" s="6"/>
      <c r="W799" s="6"/>
    </row>
    <row r="800" ht="15.75" customHeight="1">
      <c r="A800" s="9" t="s">
        <v>29</v>
      </c>
      <c r="B800" s="10">
        <v>2025.0</v>
      </c>
      <c r="C800" s="14" t="s">
        <v>47</v>
      </c>
      <c r="D800" s="1" t="s">
        <v>828</v>
      </c>
      <c r="E800" s="2">
        <v>-1354250.0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-1354250.0</v>
      </c>
      <c r="O800" s="2">
        <v>0.0</v>
      </c>
      <c r="P800" s="2">
        <f t="shared" si="1"/>
        <v>0</v>
      </c>
      <c r="Q800" s="1"/>
      <c r="R800" s="1"/>
      <c r="S800" s="1"/>
      <c r="T800" s="1"/>
      <c r="U800" s="1"/>
      <c r="V800" s="6"/>
      <c r="W800" s="6"/>
    </row>
    <row r="801" ht="15.75" customHeight="1">
      <c r="A801" s="9" t="s">
        <v>29</v>
      </c>
      <c r="B801" s="10">
        <v>2025.0</v>
      </c>
      <c r="C801" s="14" t="s">
        <v>47</v>
      </c>
      <c r="D801" s="1" t="s">
        <v>829</v>
      </c>
      <c r="E801" s="2">
        <v>-1004509.0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-1004509.0</v>
      </c>
      <c r="O801" s="2">
        <v>0.0</v>
      </c>
      <c r="P801" s="2">
        <f t="shared" si="1"/>
        <v>0</v>
      </c>
      <c r="Q801" s="1"/>
      <c r="R801" s="1"/>
      <c r="S801" s="1"/>
      <c r="T801" s="1"/>
      <c r="U801" s="1"/>
      <c r="V801" s="6"/>
      <c r="W801" s="6"/>
    </row>
    <row r="802" ht="15.75" customHeight="1">
      <c r="A802" s="9" t="s">
        <v>29</v>
      </c>
      <c r="B802" s="10">
        <v>2025.0</v>
      </c>
      <c r="C802" s="14" t="s">
        <v>47</v>
      </c>
      <c r="D802" s="1" t="s">
        <v>830</v>
      </c>
      <c r="E802" s="2">
        <v>-664005.0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-664005.0</v>
      </c>
      <c r="O802" s="2">
        <v>0.0</v>
      </c>
      <c r="P802" s="2">
        <f t="shared" si="1"/>
        <v>0</v>
      </c>
      <c r="Q802" s="1"/>
      <c r="R802" s="1"/>
      <c r="S802" s="1"/>
      <c r="T802" s="1"/>
      <c r="U802" s="1"/>
      <c r="V802" s="6"/>
      <c r="W802" s="6"/>
    </row>
    <row r="803" ht="15.75" customHeight="1">
      <c r="A803" s="9" t="s">
        <v>29</v>
      </c>
      <c r="B803" s="10">
        <v>2025.0</v>
      </c>
      <c r="C803" s="14" t="s">
        <v>47</v>
      </c>
      <c r="D803" s="1" t="s">
        <v>831</v>
      </c>
      <c r="E803" s="2">
        <v>-976600.0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-976600.0</v>
      </c>
      <c r="O803" s="2">
        <v>0.0</v>
      </c>
      <c r="P803" s="2">
        <f t="shared" si="1"/>
        <v>0</v>
      </c>
      <c r="Q803" s="1"/>
      <c r="R803" s="1"/>
      <c r="S803" s="1"/>
      <c r="T803" s="1"/>
      <c r="U803" s="1"/>
      <c r="V803" s="6"/>
      <c r="W803" s="6"/>
    </row>
    <row r="804" ht="15.75" customHeight="1">
      <c r="A804" s="9" t="s">
        <v>29</v>
      </c>
      <c r="B804" s="10">
        <v>2025.0</v>
      </c>
      <c r="C804" s="14" t="s">
        <v>47</v>
      </c>
      <c r="D804" s="1" t="s">
        <v>832</v>
      </c>
      <c r="E804" s="2">
        <v>-590100.0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-590100.0</v>
      </c>
      <c r="O804" s="2">
        <v>0.0</v>
      </c>
      <c r="P804" s="2">
        <f t="shared" si="1"/>
        <v>0</v>
      </c>
      <c r="Q804" s="1"/>
      <c r="R804" s="1"/>
      <c r="S804" s="1"/>
      <c r="T804" s="1"/>
      <c r="U804" s="1"/>
      <c r="V804" s="6"/>
      <c r="W804" s="6"/>
    </row>
    <row r="805" ht="15.75" customHeight="1">
      <c r="A805" s="9" t="s">
        <v>29</v>
      </c>
      <c r="B805" s="10">
        <v>2025.0</v>
      </c>
      <c r="C805" s="14" t="s">
        <v>47</v>
      </c>
      <c r="D805" s="1" t="s">
        <v>833</v>
      </c>
      <c r="E805" s="2">
        <v>-1015781.0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-1015781.0</v>
      </c>
      <c r="O805" s="2">
        <v>0.0</v>
      </c>
      <c r="P805" s="2">
        <f t="shared" si="1"/>
        <v>0</v>
      </c>
      <c r="Q805" s="1"/>
      <c r="R805" s="1"/>
      <c r="S805" s="1"/>
      <c r="T805" s="1"/>
      <c r="U805" s="1"/>
      <c r="V805" s="6"/>
      <c r="W805" s="6"/>
    </row>
    <row r="806" ht="15.75" customHeight="1">
      <c r="A806" s="9" t="s">
        <v>29</v>
      </c>
      <c r="B806" s="10">
        <v>2025.0</v>
      </c>
      <c r="C806" s="14" t="s">
        <v>47</v>
      </c>
      <c r="D806" s="1" t="s">
        <v>834</v>
      </c>
      <c r="E806" s="2">
        <v>-1525850.0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-1525850.0</v>
      </c>
      <c r="O806" s="2">
        <v>0.0</v>
      </c>
      <c r="P806" s="2">
        <f t="shared" si="1"/>
        <v>0</v>
      </c>
      <c r="Q806" s="1"/>
      <c r="R806" s="1"/>
      <c r="S806" s="1"/>
      <c r="T806" s="1"/>
      <c r="U806" s="1"/>
      <c r="V806" s="6"/>
      <c r="W806" s="6"/>
    </row>
    <row r="807" ht="15.75" customHeight="1">
      <c r="A807" s="9" t="s">
        <v>29</v>
      </c>
      <c r="B807" s="10">
        <v>2025.0</v>
      </c>
      <c r="C807" s="14" t="s">
        <v>47</v>
      </c>
      <c r="D807" s="1" t="s">
        <v>835</v>
      </c>
      <c r="E807" s="2">
        <v>-1267980.0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-1267980.0</v>
      </c>
      <c r="O807" s="2">
        <v>0.0</v>
      </c>
      <c r="P807" s="2">
        <f t="shared" si="1"/>
        <v>0</v>
      </c>
      <c r="Q807" s="1"/>
      <c r="R807" s="1"/>
      <c r="S807" s="1"/>
      <c r="T807" s="1"/>
      <c r="U807" s="1"/>
      <c r="V807" s="6"/>
      <c r="W807" s="6"/>
    </row>
    <row r="808" ht="15.75" customHeight="1">
      <c r="A808" s="9" t="s">
        <v>29</v>
      </c>
      <c r="B808" s="10">
        <v>2025.0</v>
      </c>
      <c r="C808" s="14" t="s">
        <v>47</v>
      </c>
      <c r="D808" s="1" t="s">
        <v>836</v>
      </c>
      <c r="E808" s="2">
        <v>-590100.0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-590100.0</v>
      </c>
      <c r="O808" s="2">
        <v>0.0</v>
      </c>
      <c r="P808" s="2">
        <f t="shared" si="1"/>
        <v>0</v>
      </c>
      <c r="Q808" s="1"/>
      <c r="R808" s="1"/>
      <c r="S808" s="1"/>
      <c r="T808" s="1"/>
      <c r="U808" s="1"/>
      <c r="V808" s="6"/>
      <c r="W808" s="6"/>
    </row>
    <row r="809" ht="15.75" customHeight="1">
      <c r="A809" s="9" t="s">
        <v>29</v>
      </c>
      <c r="B809" s="10">
        <v>2025.0</v>
      </c>
      <c r="C809" s="14" t="s">
        <v>47</v>
      </c>
      <c r="D809" s="1" t="s">
        <v>837</v>
      </c>
      <c r="E809" s="2">
        <v>-146300.0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-146300.0</v>
      </c>
      <c r="O809" s="2">
        <v>0.0</v>
      </c>
      <c r="P809" s="2">
        <f t="shared" si="1"/>
        <v>0</v>
      </c>
      <c r="Q809" s="1"/>
      <c r="R809" s="1"/>
      <c r="S809" s="1"/>
      <c r="T809" s="1"/>
      <c r="U809" s="1"/>
      <c r="V809" s="6"/>
      <c r="W809" s="6"/>
    </row>
    <row r="810" ht="15.75" customHeight="1">
      <c r="A810" s="9" t="s">
        <v>29</v>
      </c>
      <c r="B810" s="10">
        <v>2025.0</v>
      </c>
      <c r="C810" s="14" t="s">
        <v>47</v>
      </c>
      <c r="D810" s="1" t="s">
        <v>838</v>
      </c>
      <c r="E810" s="2">
        <v>-2214620.0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-2214620.0</v>
      </c>
      <c r="O810" s="2">
        <v>0.0</v>
      </c>
      <c r="P810" s="2">
        <f t="shared" si="1"/>
        <v>0</v>
      </c>
      <c r="Q810" s="1"/>
      <c r="R810" s="1"/>
      <c r="S810" s="1"/>
      <c r="T810" s="1"/>
      <c r="U810" s="1"/>
      <c r="V810" s="6"/>
      <c r="W810" s="6"/>
    </row>
    <row r="811" ht="15.75" customHeight="1">
      <c r="A811" s="9" t="s">
        <v>29</v>
      </c>
      <c r="B811" s="10">
        <v>2025.0</v>
      </c>
      <c r="C811" s="14" t="s">
        <v>47</v>
      </c>
      <c r="D811" s="1" t="s">
        <v>839</v>
      </c>
      <c r="E811" s="2">
        <v>-2214620.0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-2214620.0</v>
      </c>
      <c r="O811" s="2">
        <v>0.0</v>
      </c>
      <c r="P811" s="2">
        <f t="shared" si="1"/>
        <v>0</v>
      </c>
      <c r="Q811" s="1"/>
      <c r="R811" s="1"/>
      <c r="S811" s="1"/>
      <c r="T811" s="1"/>
      <c r="U811" s="1"/>
      <c r="V811" s="6"/>
      <c r="W811" s="6"/>
    </row>
    <row r="812" ht="15.75" customHeight="1">
      <c r="A812" s="9" t="s">
        <v>29</v>
      </c>
      <c r="B812" s="10">
        <v>2025.0</v>
      </c>
      <c r="C812" s="14" t="s">
        <v>47</v>
      </c>
      <c r="D812" s="1" t="s">
        <v>840</v>
      </c>
      <c r="E812" s="2">
        <v>-2621818.0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-2621818.0</v>
      </c>
      <c r="O812" s="2">
        <v>0.0</v>
      </c>
      <c r="P812" s="2">
        <f t="shared" si="1"/>
        <v>0</v>
      </c>
      <c r="Q812" s="1"/>
      <c r="R812" s="1"/>
      <c r="S812" s="1"/>
      <c r="T812" s="1"/>
      <c r="U812" s="1"/>
      <c r="V812" s="6"/>
      <c r="W812" s="6"/>
    </row>
    <row r="813" ht="15.75" customHeight="1">
      <c r="A813" s="9" t="s">
        <v>29</v>
      </c>
      <c r="B813" s="10">
        <v>2025.0</v>
      </c>
      <c r="C813" s="14" t="s">
        <v>47</v>
      </c>
      <c r="D813" s="1" t="s">
        <v>841</v>
      </c>
      <c r="E813" s="2">
        <v>-4036650.0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-4036650.0</v>
      </c>
      <c r="O813" s="2">
        <v>0.0</v>
      </c>
      <c r="P813" s="2">
        <f t="shared" si="1"/>
        <v>0</v>
      </c>
      <c r="Q813" s="1"/>
      <c r="R813" s="1"/>
      <c r="S813" s="1"/>
      <c r="T813" s="1"/>
      <c r="U813" s="1"/>
      <c r="V813" s="6"/>
      <c r="W813" s="6"/>
    </row>
    <row r="814" ht="15.75" customHeight="1">
      <c r="A814" s="9" t="s">
        <v>29</v>
      </c>
      <c r="B814" s="10">
        <v>2025.0</v>
      </c>
      <c r="C814" s="14" t="s">
        <v>47</v>
      </c>
      <c r="D814" s="1" t="s">
        <v>842</v>
      </c>
      <c r="E814" s="2">
        <v>-1776200.0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-1776200.0</v>
      </c>
      <c r="O814" s="2">
        <v>0.0</v>
      </c>
      <c r="P814" s="2">
        <f t="shared" si="1"/>
        <v>0</v>
      </c>
      <c r="Q814" s="1"/>
      <c r="R814" s="1"/>
      <c r="S814" s="1"/>
      <c r="T814" s="1"/>
      <c r="U814" s="1"/>
      <c r="V814" s="6"/>
      <c r="W814" s="6"/>
    </row>
    <row r="815" ht="15.75" customHeight="1">
      <c r="A815" s="9" t="s">
        <v>29</v>
      </c>
      <c r="B815" s="10">
        <v>2025.0</v>
      </c>
      <c r="C815" s="14" t="s">
        <v>47</v>
      </c>
      <c r="D815" s="1" t="s">
        <v>843</v>
      </c>
      <c r="E815" s="2">
        <v>-1004509.0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-1004509.0</v>
      </c>
      <c r="O815" s="2">
        <v>0.0</v>
      </c>
      <c r="P815" s="2">
        <f t="shared" si="1"/>
        <v>0</v>
      </c>
      <c r="Q815" s="1"/>
      <c r="R815" s="1"/>
      <c r="S815" s="1"/>
      <c r="T815" s="1"/>
      <c r="U815" s="1"/>
      <c r="V815" s="6"/>
      <c r="W815" s="6"/>
    </row>
    <row r="816" ht="15.75" customHeight="1">
      <c r="A816" s="9" t="s">
        <v>29</v>
      </c>
      <c r="B816" s="10">
        <v>2025.0</v>
      </c>
      <c r="C816" s="14" t="s">
        <v>47</v>
      </c>
      <c r="D816" s="1" t="s">
        <v>844</v>
      </c>
      <c r="E816" s="2">
        <v>-2214620.0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-2214620.0</v>
      </c>
      <c r="O816" s="2">
        <v>0.0</v>
      </c>
      <c r="P816" s="2">
        <f t="shared" si="1"/>
        <v>0</v>
      </c>
      <c r="Q816" s="1"/>
      <c r="R816" s="1"/>
      <c r="S816" s="1"/>
      <c r="T816" s="1"/>
      <c r="U816" s="1"/>
      <c r="V816" s="6"/>
      <c r="W816" s="6"/>
    </row>
    <row r="817" ht="15.75" customHeight="1">
      <c r="A817" s="9" t="s">
        <v>29</v>
      </c>
      <c r="B817" s="10">
        <v>2025.0</v>
      </c>
      <c r="C817" s="14" t="s">
        <v>38</v>
      </c>
      <c r="D817" s="1" t="s">
        <v>845</v>
      </c>
      <c r="E817" s="2">
        <v>-2492798.0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-2492798.0</v>
      </c>
      <c r="O817" s="2">
        <v>0.0</v>
      </c>
      <c r="P817" s="2">
        <f t="shared" si="1"/>
        <v>0</v>
      </c>
      <c r="Q817" s="1"/>
      <c r="R817" s="1"/>
      <c r="S817" s="1"/>
      <c r="T817" s="1"/>
      <c r="U817" s="1"/>
      <c r="V817" s="6"/>
      <c r="W817" s="6"/>
    </row>
    <row r="818" ht="15.75" customHeight="1">
      <c r="A818" s="9" t="s">
        <v>29</v>
      </c>
      <c r="B818" s="10">
        <v>2025.0</v>
      </c>
      <c r="C818" s="14" t="s">
        <v>38</v>
      </c>
      <c r="D818" s="1" t="s">
        <v>846</v>
      </c>
      <c r="E818" s="2">
        <v>-2492798.0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-2492798.0</v>
      </c>
      <c r="O818" s="2">
        <v>0.0</v>
      </c>
      <c r="P818" s="2">
        <f t="shared" si="1"/>
        <v>0</v>
      </c>
      <c r="Q818" s="1"/>
      <c r="R818" s="1"/>
      <c r="S818" s="1"/>
      <c r="T818" s="1"/>
      <c r="U818" s="1"/>
      <c r="V818" s="6"/>
      <c r="W818" s="6"/>
    </row>
    <row r="819" ht="15.75" customHeight="1">
      <c r="A819" s="9" t="s">
        <v>29</v>
      </c>
      <c r="B819" s="10">
        <v>2025.0</v>
      </c>
      <c r="C819" s="14" t="s">
        <v>38</v>
      </c>
      <c r="D819" s="1" t="s">
        <v>847</v>
      </c>
      <c r="E819" s="2">
        <v>-762769.0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-762769.0</v>
      </c>
      <c r="O819" s="2">
        <v>0.0</v>
      </c>
      <c r="P819" s="2">
        <f t="shared" si="1"/>
        <v>0</v>
      </c>
      <c r="Q819" s="1"/>
      <c r="R819" s="1"/>
      <c r="S819" s="1"/>
      <c r="T819" s="1"/>
      <c r="U819" s="1"/>
      <c r="V819" s="6"/>
      <c r="W819" s="6"/>
    </row>
    <row r="820" ht="15.75" customHeight="1">
      <c r="A820" s="9" t="s">
        <v>29</v>
      </c>
      <c r="B820" s="10">
        <v>2025.0</v>
      </c>
      <c r="C820" s="14" t="s">
        <v>47</v>
      </c>
      <c r="D820" s="1" t="s">
        <v>848</v>
      </c>
      <c r="E820" s="2">
        <v>-594517.0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-594517.0</v>
      </c>
      <c r="O820" s="2">
        <v>0.0</v>
      </c>
      <c r="P820" s="2">
        <f t="shared" si="1"/>
        <v>0</v>
      </c>
      <c r="Q820" s="1"/>
      <c r="R820" s="1"/>
      <c r="S820" s="1"/>
      <c r="T820" s="1"/>
      <c r="U820" s="1"/>
      <c r="V820" s="6"/>
      <c r="W820" s="6"/>
    </row>
    <row r="821" ht="15.75" customHeight="1">
      <c r="A821" s="9" t="s">
        <v>29</v>
      </c>
      <c r="B821" s="10">
        <v>2025.0</v>
      </c>
      <c r="C821" s="14" t="s">
        <v>38</v>
      </c>
      <c r="D821" s="1" t="s">
        <v>842</v>
      </c>
      <c r="E821" s="2">
        <v>-1185059.0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-1185059.0</v>
      </c>
      <c r="O821" s="2">
        <v>0.0</v>
      </c>
      <c r="P821" s="2">
        <f t="shared" si="1"/>
        <v>0</v>
      </c>
      <c r="Q821" s="1"/>
      <c r="R821" s="1"/>
      <c r="S821" s="1"/>
      <c r="T821" s="1"/>
      <c r="U821" s="1"/>
      <c r="V821" s="6"/>
      <c r="W821" s="6"/>
    </row>
    <row r="822" ht="15.75" customHeight="1">
      <c r="A822" s="9" t="s">
        <v>29</v>
      </c>
      <c r="B822" s="10">
        <v>2025.0</v>
      </c>
      <c r="C822" s="14" t="s">
        <v>85</v>
      </c>
      <c r="D822" s="1" t="s">
        <v>849</v>
      </c>
      <c r="E822" s="2">
        <v>-837025.0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-837025.0</v>
      </c>
      <c r="O822" s="2">
        <v>0.0</v>
      </c>
      <c r="P822" s="2">
        <f t="shared" si="1"/>
        <v>0</v>
      </c>
      <c r="Q822" s="1"/>
      <c r="R822" s="1"/>
      <c r="S822" s="1"/>
      <c r="T822" s="1"/>
      <c r="U822" s="1"/>
      <c r="V822" s="6"/>
      <c r="W822" s="6"/>
    </row>
    <row r="823" ht="15.75" customHeight="1">
      <c r="A823" s="9" t="s">
        <v>29</v>
      </c>
      <c r="B823" s="10">
        <v>2025.0</v>
      </c>
      <c r="C823" s="14" t="s">
        <v>43</v>
      </c>
      <c r="D823" s="1" t="s">
        <v>850</v>
      </c>
      <c r="E823" s="2">
        <v>-1297195.0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-1297195.0</v>
      </c>
      <c r="O823" s="2">
        <v>0.0</v>
      </c>
      <c r="P823" s="2">
        <f t="shared" si="1"/>
        <v>0</v>
      </c>
      <c r="Q823" s="1"/>
      <c r="R823" s="1"/>
      <c r="S823" s="1"/>
      <c r="T823" s="1"/>
      <c r="U823" s="1"/>
      <c r="V823" s="6"/>
      <c r="W823" s="6"/>
    </row>
    <row r="824" ht="15.75" customHeight="1">
      <c r="A824" s="9" t="s">
        <v>29</v>
      </c>
      <c r="B824" s="10">
        <v>2025.0</v>
      </c>
      <c r="C824" s="14" t="s">
        <v>43</v>
      </c>
      <c r="D824" s="1" t="s">
        <v>851</v>
      </c>
      <c r="E824" s="2">
        <v>-1236580.0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-1236580.0</v>
      </c>
      <c r="O824" s="2">
        <v>0.0</v>
      </c>
      <c r="P824" s="2">
        <f t="shared" si="1"/>
        <v>0</v>
      </c>
      <c r="Q824" s="1"/>
      <c r="R824" s="1"/>
      <c r="S824" s="1"/>
      <c r="T824" s="1"/>
      <c r="U824" s="1"/>
      <c r="V824" s="6"/>
      <c r="W824" s="6"/>
    </row>
    <row r="825" ht="15.75" customHeight="1">
      <c r="A825" s="9" t="s">
        <v>29</v>
      </c>
      <c r="B825" s="10">
        <v>2025.0</v>
      </c>
      <c r="C825" s="14" t="s">
        <v>43</v>
      </c>
      <c r="D825" s="1" t="s">
        <v>852</v>
      </c>
      <c r="E825" s="2">
        <v>-1307172.0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-1307172.0</v>
      </c>
      <c r="O825" s="2">
        <v>0.0</v>
      </c>
      <c r="P825" s="2">
        <f t="shared" si="1"/>
        <v>0</v>
      </c>
      <c r="Q825" s="1"/>
      <c r="R825" s="1"/>
      <c r="S825" s="1"/>
      <c r="T825" s="1"/>
      <c r="U825" s="1"/>
      <c r="V825" s="6"/>
      <c r="W825" s="6"/>
    </row>
    <row r="826" ht="15.75" customHeight="1">
      <c r="A826" s="9" t="s">
        <v>29</v>
      </c>
      <c r="B826" s="10">
        <v>2025.0</v>
      </c>
      <c r="C826" s="14" t="s">
        <v>43</v>
      </c>
      <c r="D826" s="1" t="s">
        <v>853</v>
      </c>
      <c r="E826" s="2">
        <v>-1554514.0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-1554514.0</v>
      </c>
      <c r="O826" s="2">
        <v>0.0</v>
      </c>
      <c r="P826" s="2">
        <f t="shared" si="1"/>
        <v>0</v>
      </c>
      <c r="Q826" s="1"/>
      <c r="R826" s="1"/>
      <c r="S826" s="1"/>
      <c r="T826" s="1"/>
      <c r="U826" s="1"/>
      <c r="V826" s="6"/>
      <c r="W826" s="6"/>
    </row>
    <row r="827" ht="15.75" customHeight="1">
      <c r="A827" s="9" t="s">
        <v>29</v>
      </c>
      <c r="B827" s="10">
        <v>2025.0</v>
      </c>
      <c r="C827" s="14" t="s">
        <v>43</v>
      </c>
      <c r="D827" s="1" t="s">
        <v>854</v>
      </c>
      <c r="E827" s="2">
        <v>-1567309.0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-1567309.0</v>
      </c>
      <c r="O827" s="2">
        <v>0.0</v>
      </c>
      <c r="P827" s="2">
        <f t="shared" si="1"/>
        <v>0</v>
      </c>
      <c r="Q827" s="1"/>
      <c r="R827" s="1"/>
      <c r="S827" s="1"/>
      <c r="T827" s="1"/>
      <c r="U827" s="1"/>
      <c r="V827" s="6"/>
      <c r="W827" s="6"/>
    </row>
    <row r="828" ht="15.75" customHeight="1">
      <c r="A828" s="9" t="s">
        <v>29</v>
      </c>
      <c r="B828" s="10">
        <v>2025.0</v>
      </c>
      <c r="C828" s="14" t="s">
        <v>43</v>
      </c>
      <c r="D828" s="1" t="s">
        <v>855</v>
      </c>
      <c r="E828" s="2">
        <v>-1567309.0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-1567309.0</v>
      </c>
      <c r="O828" s="2">
        <v>0.0</v>
      </c>
      <c r="P828" s="2">
        <f t="shared" si="1"/>
        <v>0</v>
      </c>
      <c r="Q828" s="1"/>
      <c r="R828" s="1"/>
      <c r="S828" s="1"/>
      <c r="T828" s="1"/>
      <c r="U828" s="1"/>
      <c r="V828" s="6"/>
      <c r="W828" s="6"/>
    </row>
    <row r="829" ht="15.75" customHeight="1">
      <c r="A829" s="9" t="s">
        <v>29</v>
      </c>
      <c r="B829" s="10">
        <v>2025.0</v>
      </c>
      <c r="C829" s="14" t="s">
        <v>43</v>
      </c>
      <c r="D829" s="1" t="s">
        <v>856</v>
      </c>
      <c r="E829" s="2">
        <v>-756551.0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-756551.0</v>
      </c>
      <c r="O829" s="2">
        <v>0.0</v>
      </c>
      <c r="P829" s="2">
        <f t="shared" si="1"/>
        <v>0</v>
      </c>
      <c r="Q829" s="1"/>
      <c r="R829" s="1"/>
      <c r="S829" s="1"/>
      <c r="T829" s="1"/>
      <c r="U829" s="1"/>
      <c r="V829" s="6"/>
      <c r="W829" s="6"/>
    </row>
    <row r="830" ht="15.75" customHeight="1">
      <c r="A830" s="9" t="s">
        <v>29</v>
      </c>
      <c r="B830" s="10">
        <v>2025.0</v>
      </c>
      <c r="C830" s="14" t="s">
        <v>43</v>
      </c>
      <c r="D830" s="1" t="s">
        <v>857</v>
      </c>
      <c r="E830" s="2">
        <v>-756551.0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-756551.0</v>
      </c>
      <c r="O830" s="2">
        <v>0.0</v>
      </c>
      <c r="P830" s="2">
        <f t="shared" si="1"/>
        <v>0</v>
      </c>
      <c r="Q830" s="1"/>
      <c r="R830" s="1"/>
      <c r="S830" s="1"/>
      <c r="T830" s="1"/>
      <c r="U830" s="1"/>
      <c r="V830" s="6"/>
      <c r="W830" s="6"/>
    </row>
    <row r="831" ht="15.75" customHeight="1">
      <c r="A831" s="9" t="s">
        <v>29</v>
      </c>
      <c r="B831" s="10">
        <v>2025.0</v>
      </c>
      <c r="C831" s="14" t="s">
        <v>43</v>
      </c>
      <c r="D831" s="1" t="s">
        <v>858</v>
      </c>
      <c r="E831" s="2">
        <v>-711611.0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-711611.0</v>
      </c>
      <c r="O831" s="2">
        <v>0.0</v>
      </c>
      <c r="P831" s="2">
        <f t="shared" si="1"/>
        <v>0</v>
      </c>
      <c r="Q831" s="1"/>
      <c r="R831" s="1"/>
      <c r="S831" s="1"/>
      <c r="T831" s="1"/>
      <c r="U831" s="1"/>
      <c r="V831" s="6"/>
      <c r="W831" s="6"/>
    </row>
    <row r="832" ht="15.75" customHeight="1">
      <c r="A832" s="9" t="s">
        <v>29</v>
      </c>
      <c r="B832" s="10">
        <v>2025.0</v>
      </c>
      <c r="C832" s="14" t="s">
        <v>43</v>
      </c>
      <c r="D832" s="1" t="s">
        <v>859</v>
      </c>
      <c r="E832" s="2">
        <v>-1853050.0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-1853050.0</v>
      </c>
      <c r="O832" s="2">
        <v>0.0</v>
      </c>
      <c r="P832" s="2">
        <f t="shared" si="1"/>
        <v>0</v>
      </c>
      <c r="Q832" s="1"/>
      <c r="R832" s="1"/>
      <c r="S832" s="1"/>
      <c r="T832" s="1"/>
      <c r="U832" s="1"/>
      <c r="V832" s="6"/>
      <c r="W832" s="6"/>
    </row>
    <row r="833" ht="15.75" customHeight="1">
      <c r="A833" s="9" t="s">
        <v>29</v>
      </c>
      <c r="B833" s="10">
        <v>2025.0</v>
      </c>
      <c r="C833" s="14" t="s">
        <v>43</v>
      </c>
      <c r="D833" s="1" t="s">
        <v>860</v>
      </c>
      <c r="E833" s="2">
        <v>-1916050.0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-1916050.0</v>
      </c>
      <c r="O833" s="2">
        <v>0.0</v>
      </c>
      <c r="P833" s="2">
        <f t="shared" si="1"/>
        <v>0</v>
      </c>
      <c r="Q833" s="1"/>
      <c r="R833" s="1"/>
      <c r="S833" s="1"/>
      <c r="T833" s="1"/>
      <c r="U833" s="1"/>
      <c r="V833" s="6"/>
      <c r="W833" s="6"/>
    </row>
    <row r="834" ht="15.75" customHeight="1">
      <c r="A834" s="9" t="s">
        <v>29</v>
      </c>
      <c r="B834" s="10">
        <v>2025.0</v>
      </c>
      <c r="C834" s="14" t="s">
        <v>43</v>
      </c>
      <c r="D834" s="1" t="s">
        <v>861</v>
      </c>
      <c r="E834" s="2">
        <v>-575500.0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-575500.0</v>
      </c>
      <c r="O834" s="2">
        <v>0.0</v>
      </c>
      <c r="P834" s="2">
        <f t="shared" si="1"/>
        <v>0</v>
      </c>
      <c r="Q834" s="1"/>
      <c r="R834" s="1"/>
      <c r="S834" s="1"/>
      <c r="T834" s="1"/>
      <c r="U834" s="1"/>
      <c r="V834" s="6"/>
      <c r="W834" s="6"/>
    </row>
    <row r="835" ht="15.75" customHeight="1">
      <c r="A835" s="9" t="s">
        <v>29</v>
      </c>
      <c r="B835" s="10">
        <v>2025.0</v>
      </c>
      <c r="C835" s="14" t="s">
        <v>43</v>
      </c>
      <c r="D835" s="1" t="s">
        <v>862</v>
      </c>
      <c r="E835" s="2">
        <v>-680781.0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-680781.0</v>
      </c>
      <c r="O835" s="2">
        <v>0.0</v>
      </c>
      <c r="P835" s="2">
        <f t="shared" si="1"/>
        <v>0</v>
      </c>
      <c r="Q835" s="1"/>
      <c r="R835" s="1"/>
      <c r="S835" s="1"/>
      <c r="T835" s="1"/>
      <c r="U835" s="1"/>
      <c r="V835" s="6"/>
      <c r="W835" s="6"/>
    </row>
    <row r="836" ht="15.75" customHeight="1">
      <c r="A836" s="9" t="s">
        <v>29</v>
      </c>
      <c r="B836" s="10">
        <v>2025.0</v>
      </c>
      <c r="C836" s="14" t="s">
        <v>120</v>
      </c>
      <c r="D836" s="1" t="s">
        <v>863</v>
      </c>
      <c r="E836" s="2">
        <v>-713999.0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-713999.0</v>
      </c>
      <c r="O836" s="2">
        <v>0.0</v>
      </c>
      <c r="P836" s="2">
        <f t="shared" si="1"/>
        <v>0</v>
      </c>
      <c r="Q836" s="1"/>
      <c r="R836" s="1"/>
      <c r="S836" s="1"/>
      <c r="T836" s="1"/>
      <c r="U836" s="1"/>
      <c r="V836" s="6"/>
      <c r="W836" s="6"/>
    </row>
    <row r="837" ht="15.75" customHeight="1">
      <c r="A837" s="9" t="s">
        <v>29</v>
      </c>
      <c r="B837" s="10">
        <v>2025.0</v>
      </c>
      <c r="C837" s="14" t="s">
        <v>120</v>
      </c>
      <c r="D837" s="1" t="s">
        <v>864</v>
      </c>
      <c r="E837" s="2">
        <v>-713999.0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-713999.0</v>
      </c>
      <c r="O837" s="2">
        <v>0.0</v>
      </c>
      <c r="P837" s="2">
        <f t="shared" si="1"/>
        <v>0</v>
      </c>
      <c r="Q837" s="1"/>
      <c r="R837" s="1"/>
      <c r="S837" s="1"/>
      <c r="T837" s="1"/>
      <c r="U837" s="1"/>
      <c r="V837" s="6"/>
      <c r="W837" s="6"/>
    </row>
    <row r="838" ht="15.75" customHeight="1">
      <c r="A838" s="9" t="s">
        <v>29</v>
      </c>
      <c r="B838" s="10">
        <v>2025.0</v>
      </c>
      <c r="C838" s="14" t="s">
        <v>41</v>
      </c>
      <c r="D838" s="1" t="s">
        <v>865</v>
      </c>
      <c r="E838" s="2">
        <v>-609400.0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-609400.0</v>
      </c>
      <c r="O838" s="2">
        <v>0.0</v>
      </c>
      <c r="P838" s="2">
        <f t="shared" si="1"/>
        <v>0</v>
      </c>
      <c r="Q838" s="1"/>
      <c r="R838" s="1"/>
      <c r="S838" s="1"/>
      <c r="T838" s="1"/>
      <c r="U838" s="1"/>
      <c r="V838" s="6"/>
      <c r="W838" s="6"/>
    </row>
    <row r="839" ht="15.75" customHeight="1">
      <c r="A839" s="9" t="s">
        <v>29</v>
      </c>
      <c r="B839" s="10">
        <v>2025.0</v>
      </c>
      <c r="C839" s="14" t="s">
        <v>120</v>
      </c>
      <c r="D839" s="1" t="s">
        <v>866</v>
      </c>
      <c r="E839" s="2">
        <v>-816529.0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-816529.0</v>
      </c>
      <c r="O839" s="2">
        <v>0.0</v>
      </c>
      <c r="P839" s="2">
        <f t="shared" si="1"/>
        <v>0</v>
      </c>
      <c r="Q839" s="1"/>
      <c r="R839" s="1"/>
      <c r="S839" s="1"/>
      <c r="T839" s="1"/>
      <c r="U839" s="1"/>
      <c r="V839" s="6"/>
      <c r="W839" s="6"/>
    </row>
    <row r="840" ht="15.75" customHeight="1">
      <c r="A840" s="9" t="s">
        <v>29</v>
      </c>
      <c r="B840" s="10">
        <v>2025.0</v>
      </c>
      <c r="C840" s="14" t="s">
        <v>322</v>
      </c>
      <c r="D840" s="1" t="s">
        <v>867</v>
      </c>
      <c r="E840" s="2">
        <v>-1177500.0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-1177500.0</v>
      </c>
      <c r="O840" s="2">
        <v>0.0</v>
      </c>
      <c r="P840" s="2">
        <f t="shared" si="1"/>
        <v>0</v>
      </c>
      <c r="Q840" s="1"/>
      <c r="R840" s="1"/>
      <c r="S840" s="1"/>
      <c r="T840" s="1"/>
      <c r="U840" s="1"/>
      <c r="V840" s="6"/>
      <c r="W840" s="6"/>
    </row>
    <row r="841" ht="15.75" customHeight="1">
      <c r="A841" s="9" t="s">
        <v>29</v>
      </c>
      <c r="B841" s="10">
        <v>2025.0</v>
      </c>
      <c r="C841" s="14" t="s">
        <v>322</v>
      </c>
      <c r="D841" s="1" t="s">
        <v>868</v>
      </c>
      <c r="E841" s="2">
        <v>-554160.0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-554160.0</v>
      </c>
      <c r="O841" s="2">
        <v>0.0</v>
      </c>
      <c r="P841" s="2">
        <f t="shared" si="1"/>
        <v>0</v>
      </c>
      <c r="Q841" s="1"/>
      <c r="R841" s="1"/>
      <c r="S841" s="1"/>
      <c r="T841" s="1"/>
      <c r="U841" s="1"/>
      <c r="V841" s="6"/>
      <c r="W841" s="6"/>
    </row>
    <row r="842" ht="15.75" customHeight="1">
      <c r="A842" s="9" t="s">
        <v>29</v>
      </c>
      <c r="B842" s="10">
        <v>2025.0</v>
      </c>
      <c r="C842" s="14" t="s">
        <v>322</v>
      </c>
      <c r="D842" s="1" t="s">
        <v>869</v>
      </c>
      <c r="E842" s="2">
        <v>-554160.0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-554160.0</v>
      </c>
      <c r="O842" s="2">
        <v>0.0</v>
      </c>
      <c r="P842" s="2">
        <f t="shared" si="1"/>
        <v>0</v>
      </c>
      <c r="Q842" s="1"/>
      <c r="R842" s="1"/>
      <c r="S842" s="1"/>
      <c r="T842" s="1"/>
      <c r="U842" s="1"/>
      <c r="V842" s="6"/>
      <c r="W842" s="6"/>
    </row>
    <row r="843" ht="15.75" customHeight="1">
      <c r="A843" s="9" t="s">
        <v>29</v>
      </c>
      <c r="B843" s="10">
        <v>2025.0</v>
      </c>
      <c r="C843" s="14" t="s">
        <v>322</v>
      </c>
      <c r="D843" s="1" t="s">
        <v>870</v>
      </c>
      <c r="E843" s="2">
        <v>-554160.0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-554160.0</v>
      </c>
      <c r="O843" s="2">
        <v>0.0</v>
      </c>
      <c r="P843" s="2">
        <f t="shared" si="1"/>
        <v>0</v>
      </c>
      <c r="Q843" s="1"/>
      <c r="R843" s="1"/>
      <c r="S843" s="1"/>
      <c r="T843" s="1"/>
      <c r="U843" s="1"/>
      <c r="V843" s="6"/>
      <c r="W843" s="6"/>
    </row>
    <row r="844" ht="15.75" customHeight="1">
      <c r="A844" s="9" t="s">
        <v>29</v>
      </c>
      <c r="B844" s="10">
        <v>2025.0</v>
      </c>
      <c r="C844" s="14" t="s">
        <v>322</v>
      </c>
      <c r="D844" s="1" t="s">
        <v>871</v>
      </c>
      <c r="E844" s="2">
        <v>-554160.0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-554160.0</v>
      </c>
      <c r="O844" s="2">
        <v>0.0</v>
      </c>
      <c r="P844" s="2">
        <f t="shared" si="1"/>
        <v>0</v>
      </c>
      <c r="Q844" s="1"/>
      <c r="R844" s="1"/>
      <c r="S844" s="1"/>
      <c r="T844" s="1"/>
      <c r="U844" s="1"/>
      <c r="V844" s="6"/>
      <c r="W844" s="6"/>
    </row>
    <row r="845" ht="15.75" customHeight="1">
      <c r="A845" s="9" t="s">
        <v>29</v>
      </c>
      <c r="B845" s="10">
        <v>2025.0</v>
      </c>
      <c r="C845" s="14" t="s">
        <v>322</v>
      </c>
      <c r="D845" s="1" t="s">
        <v>872</v>
      </c>
      <c r="E845" s="2">
        <v>-554160.0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-554160.0</v>
      </c>
      <c r="O845" s="2">
        <v>0.0</v>
      </c>
      <c r="P845" s="2">
        <f t="shared" si="1"/>
        <v>0</v>
      </c>
      <c r="Q845" s="1"/>
      <c r="R845" s="1"/>
      <c r="S845" s="1"/>
      <c r="T845" s="1"/>
      <c r="U845" s="1"/>
      <c r="V845" s="6"/>
      <c r="W845" s="6"/>
    </row>
    <row r="846" ht="15.75" customHeight="1">
      <c r="A846" s="9" t="s">
        <v>29</v>
      </c>
      <c r="B846" s="10">
        <v>2025.0</v>
      </c>
      <c r="C846" s="14" t="s">
        <v>134</v>
      </c>
      <c r="D846" s="1" t="s">
        <v>873</v>
      </c>
      <c r="E846" s="2">
        <v>-632575.0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f t="shared" si="1"/>
        <v>-632575</v>
      </c>
      <c r="Q846" s="1"/>
      <c r="R846" s="1"/>
      <c r="S846" s="1"/>
      <c r="T846" s="1"/>
      <c r="U846" s="1"/>
      <c r="V846" s="6"/>
      <c r="W846" s="6"/>
    </row>
    <row r="847" ht="15.75" customHeight="1">
      <c r="A847" s="9" t="s">
        <v>29</v>
      </c>
      <c r="B847" s="10">
        <v>2025.0</v>
      </c>
      <c r="C847" s="14" t="s">
        <v>120</v>
      </c>
      <c r="D847" s="1" t="s">
        <v>874</v>
      </c>
      <c r="E847" s="2">
        <v>-291433.0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-291433.0</v>
      </c>
      <c r="O847" s="2">
        <v>0.0</v>
      </c>
      <c r="P847" s="2">
        <f t="shared" si="1"/>
        <v>0</v>
      </c>
      <c r="Q847" s="1"/>
      <c r="R847" s="1"/>
      <c r="S847" s="1"/>
      <c r="T847" s="1"/>
      <c r="U847" s="1"/>
      <c r="V847" s="6"/>
      <c r="W847" s="6"/>
    </row>
    <row r="848" ht="15.75" customHeight="1">
      <c r="A848" s="9" t="s">
        <v>29</v>
      </c>
      <c r="B848" s="10">
        <v>2025.0</v>
      </c>
      <c r="C848" s="14" t="s">
        <v>120</v>
      </c>
      <c r="D848" s="1" t="s">
        <v>875</v>
      </c>
      <c r="E848" s="2">
        <v>-669675.0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>
        <v>0.0</v>
      </c>
      <c r="N848" s="2">
        <v>-669675.0</v>
      </c>
      <c r="O848" s="2">
        <v>0.0</v>
      </c>
      <c r="P848" s="2">
        <f t="shared" si="1"/>
        <v>0</v>
      </c>
      <c r="Q848" s="1"/>
      <c r="R848" s="1"/>
      <c r="S848" s="1"/>
      <c r="T848" s="1"/>
      <c r="U848" s="1"/>
      <c r="V848" s="6"/>
      <c r="W848" s="6"/>
    </row>
    <row r="849" ht="15.75" customHeight="1">
      <c r="A849" s="9" t="s">
        <v>29</v>
      </c>
      <c r="B849" s="10">
        <v>2025.0</v>
      </c>
      <c r="C849" s="14" t="s">
        <v>120</v>
      </c>
      <c r="D849" s="1" t="s">
        <v>876</v>
      </c>
      <c r="E849" s="2">
        <v>-669675.0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-669675.0</v>
      </c>
      <c r="O849" s="2">
        <v>0.0</v>
      </c>
      <c r="P849" s="2">
        <f t="shared" si="1"/>
        <v>0</v>
      </c>
      <c r="Q849" s="1"/>
      <c r="R849" s="1"/>
      <c r="S849" s="1"/>
      <c r="T849" s="1"/>
      <c r="U849" s="1"/>
      <c r="V849" s="6"/>
      <c r="W849" s="6"/>
    </row>
    <row r="850" ht="15.75" customHeight="1">
      <c r="A850" s="9" t="s">
        <v>29</v>
      </c>
      <c r="B850" s="10">
        <v>2025.0</v>
      </c>
      <c r="C850" s="14" t="s">
        <v>120</v>
      </c>
      <c r="D850" s="1" t="s">
        <v>877</v>
      </c>
      <c r="E850" s="2">
        <v>-1539659.0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-1539659.0</v>
      </c>
      <c r="O850" s="2">
        <v>0.0</v>
      </c>
      <c r="P850" s="2">
        <f t="shared" si="1"/>
        <v>0</v>
      </c>
      <c r="Q850" s="1"/>
      <c r="R850" s="1"/>
      <c r="S850" s="1"/>
      <c r="T850" s="1"/>
      <c r="U850" s="1"/>
      <c r="V850" s="6"/>
      <c r="W850" s="6"/>
    </row>
    <row r="851" ht="15.75" customHeight="1">
      <c r="A851" s="9" t="s">
        <v>29</v>
      </c>
      <c r="B851" s="10">
        <v>2025.0</v>
      </c>
      <c r="C851" s="14" t="s">
        <v>120</v>
      </c>
      <c r="D851" s="1" t="s">
        <v>878</v>
      </c>
      <c r="E851" s="2">
        <v>-1746814.0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-1746814.0</v>
      </c>
      <c r="O851" s="2">
        <v>0.0</v>
      </c>
      <c r="P851" s="2">
        <f t="shared" si="1"/>
        <v>0</v>
      </c>
      <c r="Q851" s="1"/>
      <c r="R851" s="1"/>
      <c r="S851" s="1"/>
      <c r="T851" s="1"/>
      <c r="U851" s="1"/>
      <c r="V851" s="6"/>
      <c r="W851" s="6"/>
    </row>
    <row r="852" ht="15.75" customHeight="1">
      <c r="A852" s="9" t="s">
        <v>29</v>
      </c>
      <c r="B852" s="10">
        <v>2025.0</v>
      </c>
      <c r="C852" s="14" t="s">
        <v>120</v>
      </c>
      <c r="D852" s="1" t="s">
        <v>879</v>
      </c>
      <c r="E852" s="2">
        <v>-959687.0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-959687.0</v>
      </c>
      <c r="O852" s="2">
        <v>0.0</v>
      </c>
      <c r="P852" s="2">
        <f t="shared" si="1"/>
        <v>0</v>
      </c>
      <c r="Q852" s="1"/>
      <c r="R852" s="1"/>
      <c r="S852" s="1"/>
      <c r="T852" s="1"/>
      <c r="U852" s="1"/>
      <c r="V852" s="6"/>
      <c r="W852" s="6"/>
    </row>
    <row r="853" ht="15.75" customHeight="1">
      <c r="A853" s="9" t="s">
        <v>29</v>
      </c>
      <c r="B853" s="10">
        <v>2025.0</v>
      </c>
      <c r="C853" s="14" t="s">
        <v>322</v>
      </c>
      <c r="D853" s="1" t="s">
        <v>880</v>
      </c>
      <c r="E853" s="2">
        <v>-1177500.0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-1177500.0</v>
      </c>
      <c r="O853" s="2">
        <v>0.0</v>
      </c>
      <c r="P853" s="2">
        <f t="shared" si="1"/>
        <v>0</v>
      </c>
      <c r="Q853" s="1"/>
      <c r="R853" s="1"/>
      <c r="S853" s="1"/>
      <c r="T853" s="1"/>
      <c r="U853" s="1"/>
      <c r="V853" s="6"/>
      <c r="W853" s="6"/>
    </row>
    <row r="854" ht="15.75" customHeight="1">
      <c r="A854" s="9" t="s">
        <v>29</v>
      </c>
      <c r="B854" s="10">
        <v>2025.0</v>
      </c>
      <c r="C854" s="14" t="s">
        <v>322</v>
      </c>
      <c r="D854" s="1" t="s">
        <v>881</v>
      </c>
      <c r="E854" s="2">
        <v>-1177500.0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-1177500.0</v>
      </c>
      <c r="O854" s="2">
        <v>0.0</v>
      </c>
      <c r="P854" s="2">
        <f t="shared" si="1"/>
        <v>0</v>
      </c>
      <c r="Q854" s="1"/>
      <c r="R854" s="1"/>
      <c r="S854" s="1"/>
      <c r="T854" s="1"/>
      <c r="U854" s="1"/>
      <c r="V854" s="6"/>
      <c r="W854" s="6"/>
    </row>
    <row r="855" ht="15.75" customHeight="1">
      <c r="A855" s="9" t="s">
        <v>29</v>
      </c>
      <c r="B855" s="10">
        <v>2025.0</v>
      </c>
      <c r="C855" s="14" t="s">
        <v>322</v>
      </c>
      <c r="D855" s="1" t="s">
        <v>882</v>
      </c>
      <c r="E855" s="2">
        <v>-1177500.0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-1177500.0</v>
      </c>
      <c r="O855" s="2">
        <v>0.0</v>
      </c>
      <c r="P855" s="2">
        <f t="shared" si="1"/>
        <v>0</v>
      </c>
      <c r="Q855" s="1"/>
      <c r="R855" s="1"/>
      <c r="S855" s="1"/>
      <c r="T855" s="1"/>
      <c r="U855" s="1"/>
      <c r="V855" s="6"/>
      <c r="W855" s="6"/>
    </row>
    <row r="856" ht="15.75" customHeight="1">
      <c r="A856" s="9" t="s">
        <v>29</v>
      </c>
      <c r="B856" s="10">
        <v>2025.0</v>
      </c>
      <c r="C856" s="14" t="s">
        <v>92</v>
      </c>
      <c r="D856" s="1" t="s">
        <v>883</v>
      </c>
      <c r="E856" s="2">
        <v>-723800.0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f t="shared" si="1"/>
        <v>-723800</v>
      </c>
      <c r="Q856" s="1"/>
      <c r="R856" s="1"/>
      <c r="S856" s="1"/>
      <c r="T856" s="1"/>
      <c r="U856" s="1"/>
      <c r="V856" s="6"/>
      <c r="W856" s="6"/>
    </row>
    <row r="857" ht="15.75" customHeight="1">
      <c r="A857" s="9" t="s">
        <v>29</v>
      </c>
      <c r="B857" s="10">
        <v>2025.0</v>
      </c>
      <c r="C857" s="14" t="s">
        <v>208</v>
      </c>
      <c r="D857" s="1" t="s">
        <v>884</v>
      </c>
      <c r="E857" s="2">
        <v>-1384880.0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-1384880.0</v>
      </c>
      <c r="O857" s="2">
        <v>0.0</v>
      </c>
      <c r="P857" s="2">
        <f t="shared" si="1"/>
        <v>0</v>
      </c>
      <c r="Q857" s="1"/>
      <c r="R857" s="1"/>
      <c r="S857" s="1"/>
      <c r="T857" s="1"/>
      <c r="U857" s="1"/>
      <c r="V857" s="6"/>
      <c r="W857" s="6"/>
    </row>
    <row r="858" ht="15.75" customHeight="1">
      <c r="A858" s="9" t="s">
        <v>29</v>
      </c>
      <c r="B858" s="10">
        <v>2025.0</v>
      </c>
      <c r="C858" s="14" t="s">
        <v>134</v>
      </c>
      <c r="D858" s="1" t="s">
        <v>885</v>
      </c>
      <c r="E858" s="2">
        <v>-959687.0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f t="shared" si="1"/>
        <v>-959687</v>
      </c>
      <c r="Q858" s="1"/>
      <c r="R858" s="1"/>
      <c r="S858" s="1"/>
      <c r="T858" s="1"/>
      <c r="U858" s="1"/>
      <c r="V858" s="6"/>
      <c r="W858" s="6"/>
    </row>
    <row r="859" ht="15.75" customHeight="1">
      <c r="A859" s="9" t="s">
        <v>29</v>
      </c>
      <c r="B859" s="10">
        <v>2025.0</v>
      </c>
      <c r="C859" s="14" t="s">
        <v>134</v>
      </c>
      <c r="D859" s="1" t="s">
        <v>886</v>
      </c>
      <c r="E859" s="2">
        <v>-339718.0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f t="shared" si="1"/>
        <v>-339718</v>
      </c>
      <c r="Q859" s="1"/>
      <c r="R859" s="1"/>
      <c r="S859" s="1"/>
      <c r="T859" s="1"/>
      <c r="U859" s="1"/>
      <c r="V859" s="6"/>
      <c r="W859" s="6"/>
    </row>
    <row r="860" ht="15.75" customHeight="1">
      <c r="A860" s="9" t="s">
        <v>29</v>
      </c>
      <c r="B860" s="10">
        <v>2025.0</v>
      </c>
      <c r="C860" s="14" t="s">
        <v>134</v>
      </c>
      <c r="D860" s="1" t="s">
        <v>887</v>
      </c>
      <c r="E860" s="2">
        <v>-291433.0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f t="shared" si="1"/>
        <v>-291433</v>
      </c>
      <c r="Q860" s="1"/>
      <c r="R860" s="1"/>
      <c r="S860" s="1"/>
      <c r="T860" s="1"/>
      <c r="U860" s="1"/>
      <c r="V860" s="6"/>
      <c r="W860" s="6"/>
    </row>
    <row r="861" ht="15.75" customHeight="1">
      <c r="A861" s="9" t="s">
        <v>29</v>
      </c>
      <c r="B861" s="10">
        <v>2025.0</v>
      </c>
      <c r="C861" s="14" t="s">
        <v>134</v>
      </c>
      <c r="D861" s="1" t="s">
        <v>888</v>
      </c>
      <c r="E861" s="2">
        <v>-959687.0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f t="shared" si="1"/>
        <v>-959687</v>
      </c>
      <c r="Q861" s="1"/>
      <c r="R861" s="1"/>
      <c r="S861" s="1"/>
      <c r="T861" s="1"/>
      <c r="U861" s="1"/>
      <c r="V861" s="6"/>
      <c r="W861" s="6"/>
    </row>
    <row r="862" ht="15.75" customHeight="1">
      <c r="A862" s="9" t="s">
        <v>29</v>
      </c>
      <c r="B862" s="10">
        <v>2025.0</v>
      </c>
      <c r="C862" s="14" t="s">
        <v>134</v>
      </c>
      <c r="D862" s="1" t="s">
        <v>889</v>
      </c>
      <c r="E862" s="2">
        <v>-339718.0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f t="shared" si="1"/>
        <v>-339718</v>
      </c>
      <c r="Q862" s="1"/>
      <c r="R862" s="1"/>
      <c r="S862" s="1"/>
      <c r="T862" s="1"/>
      <c r="U862" s="1"/>
      <c r="V862" s="6"/>
      <c r="W862" s="6"/>
    </row>
    <row r="863" ht="15.75" customHeight="1">
      <c r="A863" s="9" t="s">
        <v>29</v>
      </c>
      <c r="B863" s="10">
        <v>2025.0</v>
      </c>
      <c r="C863" s="14" t="s">
        <v>134</v>
      </c>
      <c r="D863" s="1" t="s">
        <v>890</v>
      </c>
      <c r="E863" s="2">
        <v>-291433.0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f t="shared" si="1"/>
        <v>-291433</v>
      </c>
      <c r="Q863" s="1"/>
      <c r="R863" s="1"/>
      <c r="S863" s="1"/>
      <c r="T863" s="1"/>
      <c r="U863" s="1"/>
      <c r="V863" s="6"/>
      <c r="W863" s="6"/>
    </row>
    <row r="864" ht="15.75" customHeight="1">
      <c r="A864" s="9" t="s">
        <v>29</v>
      </c>
      <c r="B864" s="10">
        <v>2025.0</v>
      </c>
      <c r="C864" s="14" t="s">
        <v>891</v>
      </c>
      <c r="D864" s="1" t="s">
        <v>892</v>
      </c>
      <c r="E864" s="2">
        <v>1.7423286E7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2">
        <v>1.7423286E7</v>
      </c>
      <c r="O864" s="2">
        <v>0.0</v>
      </c>
      <c r="P864" s="2">
        <f t="shared" si="1"/>
        <v>0</v>
      </c>
      <c r="Q864" s="1"/>
      <c r="R864" s="1"/>
      <c r="S864" s="1"/>
      <c r="T864" s="1"/>
      <c r="U864" s="1"/>
      <c r="V864" s="6"/>
      <c r="W864" s="6"/>
    </row>
    <row r="865" ht="15.75" customHeight="1">
      <c r="A865" s="9" t="s">
        <v>29</v>
      </c>
      <c r="B865" s="10">
        <v>2025.0</v>
      </c>
      <c r="C865" s="14" t="s">
        <v>891</v>
      </c>
      <c r="D865" s="1" t="s">
        <v>893</v>
      </c>
      <c r="E865" s="2">
        <v>2857143.0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2857143.0</v>
      </c>
      <c r="O865" s="2">
        <v>0.0</v>
      </c>
      <c r="P865" s="2">
        <f t="shared" si="1"/>
        <v>0</v>
      </c>
      <c r="Q865" s="1"/>
      <c r="R865" s="1"/>
      <c r="S865" s="1"/>
      <c r="T865" s="1"/>
      <c r="U865" s="1"/>
      <c r="V865" s="6"/>
      <c r="W865" s="6"/>
    </row>
    <row r="866" ht="15.75" customHeight="1">
      <c r="A866" s="9" t="s">
        <v>29</v>
      </c>
      <c r="B866" s="10">
        <v>2026.0</v>
      </c>
      <c r="C866" s="14" t="s">
        <v>894</v>
      </c>
      <c r="D866" s="1" t="s">
        <v>895</v>
      </c>
      <c r="E866" s="2">
        <v>0.0</v>
      </c>
      <c r="F866" s="2">
        <v>354304.0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f t="shared" si="1"/>
        <v>-354304</v>
      </c>
      <c r="Q866" s="1"/>
      <c r="R866" s="1"/>
      <c r="S866" s="1"/>
      <c r="T866" s="1"/>
      <c r="U866" s="1"/>
      <c r="V866" s="6"/>
      <c r="W866" s="6"/>
    </row>
    <row r="867" ht="15.75" customHeight="1">
      <c r="A867" s="9" t="s">
        <v>29</v>
      </c>
      <c r="B867" s="10">
        <v>2026.0</v>
      </c>
      <c r="C867" s="14" t="s">
        <v>896</v>
      </c>
      <c r="D867" s="1" t="s">
        <v>897</v>
      </c>
      <c r="E867" s="2">
        <v>0.0</v>
      </c>
      <c r="F867" s="2">
        <v>-500000.0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f t="shared" si="1"/>
        <v>500000</v>
      </c>
      <c r="Q867" s="1"/>
      <c r="R867" s="1"/>
      <c r="S867" s="1"/>
      <c r="T867" s="1"/>
      <c r="U867" s="1"/>
      <c r="V867" s="6"/>
      <c r="W867" s="6"/>
    </row>
    <row r="868" ht="15.75" customHeight="1">
      <c r="A868" s="9" t="s">
        <v>29</v>
      </c>
      <c r="B868" s="10">
        <v>2026.0</v>
      </c>
      <c r="C868" s="14" t="s">
        <v>898</v>
      </c>
      <c r="D868" s="1" t="s">
        <v>899</v>
      </c>
      <c r="E868" s="2">
        <v>0.0</v>
      </c>
      <c r="F868" s="2">
        <v>-400000.0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f t="shared" si="1"/>
        <v>400000</v>
      </c>
      <c r="Q868" s="1"/>
      <c r="R868" s="1"/>
      <c r="S868" s="1"/>
      <c r="T868" s="1"/>
      <c r="U868" s="1"/>
      <c r="V868" s="6"/>
      <c r="W868" s="6"/>
    </row>
    <row r="869" ht="15.75" customHeight="1">
      <c r="A869" s="9" t="s">
        <v>29</v>
      </c>
      <c r="B869" s="10">
        <v>2026.0</v>
      </c>
      <c r="C869" s="14" t="s">
        <v>898</v>
      </c>
      <c r="D869" s="1" t="s">
        <v>900</v>
      </c>
      <c r="E869" s="2">
        <v>0.0</v>
      </c>
      <c r="F869" s="2">
        <v>-1200000.0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f t="shared" si="1"/>
        <v>1200000</v>
      </c>
      <c r="Q869" s="1"/>
      <c r="R869" s="1"/>
      <c r="S869" s="1"/>
      <c r="T869" s="1"/>
      <c r="U869" s="1"/>
      <c r="V869" s="6"/>
      <c r="W869" s="6"/>
    </row>
    <row r="870" ht="15.75" customHeight="1">
      <c r="A870" s="9" t="s">
        <v>29</v>
      </c>
      <c r="B870" s="10">
        <v>2026.0</v>
      </c>
      <c r="C870" s="12" t="s">
        <v>901</v>
      </c>
      <c r="D870" s="1" t="s">
        <v>902</v>
      </c>
      <c r="E870" s="2">
        <v>0.0</v>
      </c>
      <c r="F870" s="2">
        <v>-2000000.0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f t="shared" si="1"/>
        <v>2000000</v>
      </c>
      <c r="Q870" s="1"/>
      <c r="R870" s="1"/>
      <c r="S870" s="1"/>
      <c r="T870" s="1"/>
      <c r="U870" s="1"/>
      <c r="V870" s="6"/>
      <c r="W870" s="6"/>
    </row>
    <row r="871" ht="15.75" customHeight="1">
      <c r="A871" s="9" t="s">
        <v>29</v>
      </c>
      <c r="B871" s="10">
        <v>2026.0</v>
      </c>
      <c r="C871" s="12" t="s">
        <v>898</v>
      </c>
      <c r="D871" s="1" t="s">
        <v>903</v>
      </c>
      <c r="E871" s="2">
        <v>0.0</v>
      </c>
      <c r="F871" s="2">
        <v>-1200000.0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f t="shared" si="1"/>
        <v>1200000</v>
      </c>
      <c r="Q871" s="1"/>
      <c r="R871" s="1"/>
      <c r="S871" s="1"/>
      <c r="T871" s="1"/>
      <c r="U871" s="1"/>
      <c r="V871" s="6"/>
      <c r="W871" s="6"/>
    </row>
    <row r="872" ht="15.75" customHeight="1">
      <c r="A872" s="9" t="s">
        <v>29</v>
      </c>
      <c r="B872" s="10">
        <v>2026.0</v>
      </c>
      <c r="C872" s="12" t="s">
        <v>901</v>
      </c>
      <c r="D872" s="1" t="s">
        <v>904</v>
      </c>
      <c r="E872" s="2">
        <v>0.0</v>
      </c>
      <c r="F872" s="2">
        <v>-2000000.0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f t="shared" si="1"/>
        <v>2000000</v>
      </c>
      <c r="Q872" s="1"/>
      <c r="R872" s="1"/>
      <c r="S872" s="1"/>
      <c r="T872" s="1"/>
      <c r="U872" s="1"/>
      <c r="V872" s="6"/>
      <c r="W872" s="6"/>
    </row>
    <row r="873" ht="15.75" customHeight="1">
      <c r="A873" s="9" t="s">
        <v>29</v>
      </c>
      <c r="B873" s="10">
        <v>2026.0</v>
      </c>
      <c r="C873" s="12" t="s">
        <v>901</v>
      </c>
      <c r="D873" s="1" t="s">
        <v>905</v>
      </c>
      <c r="E873" s="2">
        <v>0.0</v>
      </c>
      <c r="F873" s="2">
        <v>-2000000.0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f t="shared" si="1"/>
        <v>2000000</v>
      </c>
      <c r="Q873" s="1"/>
      <c r="R873" s="1"/>
      <c r="S873" s="1"/>
      <c r="T873" s="1"/>
      <c r="U873" s="1"/>
      <c r="V873" s="6"/>
      <c r="W873" s="6"/>
    </row>
    <row r="874" ht="15.75" customHeight="1">
      <c r="A874" s="9" t="s">
        <v>29</v>
      </c>
      <c r="B874" s="10">
        <v>2026.0</v>
      </c>
      <c r="C874" s="12" t="s">
        <v>901</v>
      </c>
      <c r="D874" s="1" t="s">
        <v>906</v>
      </c>
      <c r="E874" s="2">
        <v>0.0</v>
      </c>
      <c r="F874" s="2">
        <v>-2000000.0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f t="shared" si="1"/>
        <v>2000000</v>
      </c>
      <c r="Q874" s="1"/>
      <c r="R874" s="1"/>
      <c r="S874" s="1"/>
      <c r="T874" s="1"/>
      <c r="U874" s="1"/>
      <c r="V874" s="6"/>
      <c r="W874" s="6"/>
    </row>
    <row r="875" ht="15.75" customHeight="1">
      <c r="A875" s="9" t="s">
        <v>29</v>
      </c>
      <c r="B875" s="10">
        <v>2026.0</v>
      </c>
      <c r="C875" s="12" t="s">
        <v>901</v>
      </c>
      <c r="D875" s="1" t="s">
        <v>907</v>
      </c>
      <c r="E875" s="2">
        <v>0.0</v>
      </c>
      <c r="F875" s="2">
        <v>-1750000.0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f t="shared" si="1"/>
        <v>1750000</v>
      </c>
      <c r="Q875" s="1"/>
      <c r="R875" s="1"/>
      <c r="S875" s="1"/>
      <c r="T875" s="1"/>
      <c r="U875" s="1"/>
      <c r="V875" s="6"/>
      <c r="W875" s="6"/>
    </row>
    <row r="876" ht="15.75" customHeight="1">
      <c r="A876" s="9" t="s">
        <v>29</v>
      </c>
      <c r="B876" s="10">
        <v>2026.0</v>
      </c>
      <c r="C876" s="12" t="s">
        <v>898</v>
      </c>
      <c r="D876" s="1" t="s">
        <v>908</v>
      </c>
      <c r="E876" s="2">
        <v>0.0</v>
      </c>
      <c r="F876" s="2">
        <v>-300000.0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f t="shared" si="1"/>
        <v>300000</v>
      </c>
      <c r="Q876" s="1"/>
      <c r="R876" s="1"/>
      <c r="S876" s="1"/>
      <c r="T876" s="1"/>
      <c r="U876" s="1"/>
      <c r="V876" s="6"/>
      <c r="W876" s="6"/>
    </row>
    <row r="877" ht="15.75" customHeight="1">
      <c r="A877" s="9" t="s">
        <v>29</v>
      </c>
      <c r="B877" s="10">
        <v>2026.0</v>
      </c>
      <c r="C877" s="12" t="s">
        <v>901</v>
      </c>
      <c r="D877" s="1" t="s">
        <v>909</v>
      </c>
      <c r="E877" s="2">
        <v>0.0</v>
      </c>
      <c r="F877" s="2">
        <v>-150000.0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f t="shared" si="1"/>
        <v>150000</v>
      </c>
      <c r="Q877" s="1"/>
      <c r="R877" s="1"/>
      <c r="S877" s="1"/>
      <c r="T877" s="1"/>
      <c r="U877" s="1"/>
      <c r="V877" s="6"/>
      <c r="W877" s="6"/>
    </row>
    <row r="878" ht="15.75" customHeight="1">
      <c r="A878" s="9" t="s">
        <v>29</v>
      </c>
      <c r="B878" s="10">
        <v>2026.0</v>
      </c>
      <c r="C878" s="12" t="s">
        <v>910</v>
      </c>
      <c r="D878" s="1" t="s">
        <v>911</v>
      </c>
      <c r="E878" s="2">
        <v>0.0</v>
      </c>
      <c r="F878" s="2">
        <v>-1250000.0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f t="shared" si="1"/>
        <v>1250000</v>
      </c>
      <c r="Q878" s="1"/>
      <c r="R878" s="1"/>
      <c r="S878" s="1"/>
      <c r="T878" s="1"/>
      <c r="U878" s="1"/>
      <c r="V878" s="6"/>
      <c r="W878" s="6"/>
    </row>
    <row r="879" ht="15.75" customHeight="1">
      <c r="A879" s="9" t="s">
        <v>29</v>
      </c>
      <c r="B879" s="10">
        <v>2026.0</v>
      </c>
      <c r="C879" s="12" t="s">
        <v>910</v>
      </c>
      <c r="D879" s="1" t="s">
        <v>912</v>
      </c>
      <c r="E879" s="2">
        <v>0.0</v>
      </c>
      <c r="F879" s="2">
        <v>-1500000.0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f t="shared" si="1"/>
        <v>1500000</v>
      </c>
      <c r="Q879" s="1"/>
      <c r="R879" s="1"/>
      <c r="S879" s="1"/>
      <c r="T879" s="1"/>
      <c r="U879" s="1"/>
      <c r="V879" s="6"/>
      <c r="W879" s="6"/>
    </row>
    <row r="880" ht="15.75" customHeight="1">
      <c r="A880" s="9" t="s">
        <v>29</v>
      </c>
      <c r="B880" s="10">
        <v>2026.0</v>
      </c>
      <c r="C880" s="12" t="s">
        <v>910</v>
      </c>
      <c r="D880" s="13" t="s">
        <v>913</v>
      </c>
      <c r="E880" s="2">
        <v>0.0</v>
      </c>
      <c r="F880" s="2">
        <v>-1500000.0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f t="shared" si="1"/>
        <v>1500000</v>
      </c>
      <c r="Q880" s="1"/>
      <c r="R880" s="1"/>
      <c r="S880" s="1"/>
      <c r="T880" s="1"/>
      <c r="U880" s="1"/>
      <c r="V880" s="6"/>
      <c r="W880" s="6"/>
    </row>
    <row r="881" ht="15.75" customHeight="1">
      <c r="A881" s="9" t="s">
        <v>29</v>
      </c>
      <c r="B881" s="10">
        <v>2026.0</v>
      </c>
      <c r="C881" s="14" t="s">
        <v>914</v>
      </c>
      <c r="D881" s="1" t="s">
        <v>915</v>
      </c>
      <c r="E881" s="2">
        <v>0.0</v>
      </c>
      <c r="F881" s="2">
        <v>0.0</v>
      </c>
      <c r="G881" s="2">
        <v>-3200000.0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f t="shared" si="1"/>
        <v>3200000</v>
      </c>
      <c r="Q881" s="1"/>
      <c r="R881" s="1"/>
      <c r="S881" s="1"/>
      <c r="T881" s="1"/>
      <c r="U881" s="1"/>
      <c r="V881" s="6"/>
      <c r="W881" s="6"/>
    </row>
    <row r="882" ht="15.75" customHeight="1">
      <c r="A882" s="9" t="s">
        <v>29</v>
      </c>
      <c r="B882" s="10">
        <v>2026.0</v>
      </c>
      <c r="C882" s="14" t="s">
        <v>914</v>
      </c>
      <c r="D882" s="1" t="s">
        <v>916</v>
      </c>
      <c r="E882" s="2">
        <v>0.0</v>
      </c>
      <c r="F882" s="2">
        <v>0.0</v>
      </c>
      <c r="G882" s="2">
        <v>-3200000.0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f t="shared" si="1"/>
        <v>3200000</v>
      </c>
      <c r="Q882" s="1"/>
      <c r="R882" s="1"/>
      <c r="S882" s="1"/>
      <c r="T882" s="1"/>
      <c r="U882" s="1"/>
      <c r="V882" s="6"/>
      <c r="W882" s="6"/>
    </row>
    <row r="883" ht="15.75" customHeight="1">
      <c r="A883" s="9" t="s">
        <v>29</v>
      </c>
      <c r="B883" s="10">
        <v>2026.0</v>
      </c>
      <c r="C883" s="14" t="s">
        <v>914</v>
      </c>
      <c r="D883" s="1" t="s">
        <v>917</v>
      </c>
      <c r="E883" s="2">
        <v>0.0</v>
      </c>
      <c r="F883" s="2">
        <v>0.0</v>
      </c>
      <c r="G883" s="2">
        <v>-6400000.0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f t="shared" si="1"/>
        <v>6400000</v>
      </c>
      <c r="Q883" s="1"/>
      <c r="R883" s="1"/>
      <c r="S883" s="1"/>
      <c r="T883" s="1"/>
      <c r="U883" s="1"/>
      <c r="V883" s="6"/>
      <c r="W883" s="6"/>
    </row>
    <row r="884" ht="15.75" customHeight="1">
      <c r="A884" s="9" t="s">
        <v>29</v>
      </c>
      <c r="B884" s="10">
        <v>2026.0</v>
      </c>
      <c r="C884" s="14" t="s">
        <v>896</v>
      </c>
      <c r="D884" s="1" t="s">
        <v>918</v>
      </c>
      <c r="E884" s="2">
        <v>0.0</v>
      </c>
      <c r="F884" s="2">
        <v>0.0</v>
      </c>
      <c r="G884" s="2">
        <v>-2.5E7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f t="shared" si="1"/>
        <v>25000000</v>
      </c>
      <c r="Q884" s="1"/>
      <c r="R884" s="1"/>
      <c r="S884" s="1"/>
      <c r="T884" s="1"/>
      <c r="U884" s="1"/>
      <c r="V884" s="6"/>
      <c r="W884" s="6"/>
    </row>
    <row r="885" ht="15.75" customHeight="1">
      <c r="A885" s="9" t="s">
        <v>29</v>
      </c>
      <c r="B885" s="10">
        <v>2026.0</v>
      </c>
      <c r="C885" s="14" t="s">
        <v>896</v>
      </c>
      <c r="D885" s="1" t="s">
        <v>919</v>
      </c>
      <c r="E885" s="2">
        <v>0.0</v>
      </c>
      <c r="F885" s="2">
        <v>0.0</v>
      </c>
      <c r="G885" s="2">
        <v>-1500000.0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f t="shared" si="1"/>
        <v>1500000</v>
      </c>
      <c r="Q885" s="1"/>
      <c r="R885" s="1"/>
      <c r="S885" s="1"/>
      <c r="T885" s="1"/>
      <c r="U885" s="1"/>
      <c r="V885" s="6"/>
      <c r="W885" s="6"/>
    </row>
    <row r="886" ht="15.75" customHeight="1">
      <c r="A886" s="9" t="s">
        <v>29</v>
      </c>
      <c r="B886" s="10">
        <v>2026.0</v>
      </c>
      <c r="C886" s="14" t="s">
        <v>896</v>
      </c>
      <c r="D886" s="1" t="s">
        <v>920</v>
      </c>
      <c r="E886" s="2">
        <v>0.0</v>
      </c>
      <c r="F886" s="2">
        <v>0.0</v>
      </c>
      <c r="G886" s="2">
        <v>-750000.0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f t="shared" si="1"/>
        <v>750000</v>
      </c>
      <c r="Q886" s="1"/>
      <c r="R886" s="1"/>
      <c r="S886" s="1"/>
      <c r="T886" s="1"/>
      <c r="U886" s="1"/>
      <c r="V886" s="6"/>
      <c r="W886" s="6"/>
    </row>
    <row r="887" ht="15.75" customHeight="1">
      <c r="A887" s="9" t="s">
        <v>29</v>
      </c>
      <c r="B887" s="10">
        <v>2026.0</v>
      </c>
      <c r="C887" s="14" t="s">
        <v>901</v>
      </c>
      <c r="D887" s="1" t="s">
        <v>921</v>
      </c>
      <c r="E887" s="2">
        <v>0.0</v>
      </c>
      <c r="F887" s="2">
        <v>0.0</v>
      </c>
      <c r="G887" s="2">
        <f>-102675000</f>
        <v>-102675000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f t="shared" si="1"/>
        <v>102675000</v>
      </c>
      <c r="Q887" s="1"/>
      <c r="R887" s="1"/>
      <c r="S887" s="1"/>
      <c r="T887" s="1"/>
      <c r="U887" s="1"/>
      <c r="V887" s="6"/>
      <c r="W887" s="6"/>
    </row>
    <row r="888" ht="15.75" customHeight="1">
      <c r="A888" s="9" t="s">
        <v>29</v>
      </c>
      <c r="B888" s="10">
        <v>2026.0</v>
      </c>
      <c r="C888" s="14" t="s">
        <v>898</v>
      </c>
      <c r="D888" s="1" t="s">
        <v>922</v>
      </c>
      <c r="E888" s="2">
        <v>0.0</v>
      </c>
      <c r="F888" s="2">
        <v>0.0</v>
      </c>
      <c r="G888" s="2">
        <f>-500000</f>
        <v>-500000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f t="shared" si="1"/>
        <v>500000</v>
      </c>
      <c r="Q888" s="1"/>
      <c r="R888" s="1"/>
      <c r="S888" s="1"/>
      <c r="T888" s="1"/>
      <c r="U888" s="1"/>
      <c r="V888" s="6"/>
      <c r="W888" s="6"/>
    </row>
    <row r="889" ht="15.75" customHeight="1">
      <c r="A889" s="9" t="s">
        <v>29</v>
      </c>
      <c r="B889" s="10">
        <v>2026.0</v>
      </c>
      <c r="C889" s="14" t="s">
        <v>898</v>
      </c>
      <c r="D889" s="1" t="s">
        <v>923</v>
      </c>
      <c r="E889" s="2">
        <v>0.0</v>
      </c>
      <c r="F889" s="2">
        <v>0.0</v>
      </c>
      <c r="G889" s="2">
        <v>-2500000.0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f t="shared" si="1"/>
        <v>2500000</v>
      </c>
      <c r="Q889" s="1"/>
      <c r="R889" s="1"/>
      <c r="S889" s="1"/>
      <c r="T889" s="1"/>
      <c r="U889" s="1"/>
      <c r="V889" s="6"/>
      <c r="W889" s="6"/>
    </row>
    <row r="890" ht="15.75" customHeight="1">
      <c r="A890" s="9" t="s">
        <v>29</v>
      </c>
      <c r="B890" s="10">
        <v>2026.0</v>
      </c>
      <c r="C890" s="14" t="s">
        <v>898</v>
      </c>
      <c r="D890" s="1" t="s">
        <v>924</v>
      </c>
      <c r="E890" s="2">
        <v>0.0</v>
      </c>
      <c r="F890" s="2">
        <v>0.0</v>
      </c>
      <c r="G890" s="2">
        <v>-1500000.0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f t="shared" si="1"/>
        <v>1500000</v>
      </c>
      <c r="Q890" s="1"/>
      <c r="R890" s="1"/>
      <c r="S890" s="1"/>
      <c r="T890" s="1"/>
      <c r="U890" s="1"/>
      <c r="V890" s="6"/>
      <c r="W890" s="6"/>
    </row>
    <row r="891" ht="15.75" customHeight="1">
      <c r="A891" s="9" t="s">
        <v>29</v>
      </c>
      <c r="B891" s="10">
        <v>2026.0</v>
      </c>
      <c r="C891" s="14" t="s">
        <v>898</v>
      </c>
      <c r="D891" s="1" t="s">
        <v>925</v>
      </c>
      <c r="E891" s="2">
        <v>0.0</v>
      </c>
      <c r="F891" s="2">
        <v>0.0</v>
      </c>
      <c r="G891" s="2">
        <v>-1500000.0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f t="shared" si="1"/>
        <v>1500000</v>
      </c>
      <c r="Q891" s="1"/>
      <c r="R891" s="1"/>
      <c r="S891" s="1"/>
      <c r="T891" s="1"/>
      <c r="U891" s="1"/>
      <c r="V891" s="6"/>
      <c r="W891" s="6"/>
    </row>
    <row r="892" ht="15.75" customHeight="1">
      <c r="A892" s="9" t="s">
        <v>29</v>
      </c>
      <c r="B892" s="10">
        <v>2026.0</v>
      </c>
      <c r="C892" s="14" t="s">
        <v>901</v>
      </c>
      <c r="D892" s="1" t="s">
        <v>926</v>
      </c>
      <c r="E892" s="2">
        <v>0.0</v>
      </c>
      <c r="F892" s="2">
        <v>0.0</v>
      </c>
      <c r="G892" s="2">
        <v>-6000000.0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f t="shared" si="1"/>
        <v>6000000</v>
      </c>
      <c r="Q892" s="1"/>
      <c r="R892" s="1"/>
      <c r="S892" s="1"/>
      <c r="T892" s="1"/>
      <c r="U892" s="1"/>
      <c r="V892" s="6"/>
      <c r="W892" s="6"/>
    </row>
    <row r="893" ht="15.75" customHeight="1">
      <c r="A893" s="9" t="s">
        <v>29</v>
      </c>
      <c r="B893" s="10">
        <v>2026.0</v>
      </c>
      <c r="C893" s="14" t="s">
        <v>901</v>
      </c>
      <c r="D893" s="1" t="s">
        <v>927</v>
      </c>
      <c r="E893" s="2">
        <v>0.0</v>
      </c>
      <c r="F893" s="2">
        <v>0.0</v>
      </c>
      <c r="G893" s="2">
        <v>-1.25E8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f t="shared" si="1"/>
        <v>125000000</v>
      </c>
      <c r="Q893" s="1"/>
      <c r="R893" s="1"/>
      <c r="S893" s="1"/>
      <c r="T893" s="1"/>
      <c r="U893" s="1"/>
      <c r="V893" s="6"/>
      <c r="W893" s="6"/>
    </row>
    <row r="894" ht="15.75" customHeight="1">
      <c r="A894" s="9" t="s">
        <v>29</v>
      </c>
      <c r="B894" s="10">
        <v>2026.0</v>
      </c>
      <c r="C894" s="14" t="s">
        <v>901</v>
      </c>
      <c r="D894" s="1" t="s">
        <v>928</v>
      </c>
      <c r="E894" s="2">
        <v>0.0</v>
      </c>
      <c r="F894" s="2">
        <v>0.0</v>
      </c>
      <c r="G894" s="2">
        <v>-1.4285714E7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f t="shared" si="1"/>
        <v>14285714</v>
      </c>
      <c r="Q894" s="1"/>
      <c r="R894" s="1"/>
      <c r="S894" s="1"/>
      <c r="T894" s="1"/>
      <c r="U894" s="1"/>
      <c r="V894" s="6"/>
      <c r="W894" s="6"/>
    </row>
    <row r="895" ht="15.75" customHeight="1">
      <c r="A895" s="9" t="s">
        <v>29</v>
      </c>
      <c r="B895" s="10">
        <v>2026.0</v>
      </c>
      <c r="C895" s="14" t="s">
        <v>901</v>
      </c>
      <c r="D895" s="1" t="s">
        <v>929</v>
      </c>
      <c r="E895" s="2">
        <v>0.0</v>
      </c>
      <c r="F895" s="2">
        <v>0.0</v>
      </c>
      <c r="G895" s="2">
        <v>-6500000.0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f t="shared" si="1"/>
        <v>6500000</v>
      </c>
      <c r="Q895" s="1"/>
      <c r="R895" s="1"/>
      <c r="S895" s="1"/>
      <c r="T895" s="1"/>
      <c r="U895" s="1"/>
      <c r="V895" s="6"/>
      <c r="W895" s="6"/>
    </row>
    <row r="896" ht="15.75" customHeight="1">
      <c r="A896" s="9" t="s">
        <v>29</v>
      </c>
      <c r="B896" s="10">
        <v>2026.0</v>
      </c>
      <c r="C896" s="14" t="s">
        <v>901</v>
      </c>
      <c r="D896" s="1" t="s">
        <v>930</v>
      </c>
      <c r="E896" s="2">
        <v>0.0</v>
      </c>
      <c r="F896" s="2">
        <v>0.0</v>
      </c>
      <c r="G896" s="2">
        <v>-1.2E7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f t="shared" si="1"/>
        <v>12000000</v>
      </c>
      <c r="Q896" s="1"/>
      <c r="R896" s="1"/>
      <c r="S896" s="1"/>
      <c r="T896" s="1"/>
      <c r="U896" s="1"/>
      <c r="V896" s="6"/>
      <c r="W896" s="6"/>
    </row>
    <row r="897" ht="15.75" customHeight="1">
      <c r="A897" s="9" t="s">
        <v>29</v>
      </c>
      <c r="B897" s="10">
        <v>2026.0</v>
      </c>
      <c r="C897" s="14" t="s">
        <v>898</v>
      </c>
      <c r="D897" s="1" t="s">
        <v>931</v>
      </c>
      <c r="E897" s="2">
        <v>0.0</v>
      </c>
      <c r="F897" s="2">
        <v>0.0</v>
      </c>
      <c r="G897" s="2">
        <v>-1250000.0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f t="shared" si="1"/>
        <v>1250000</v>
      </c>
      <c r="Q897" s="1"/>
      <c r="R897" s="1"/>
      <c r="S897" s="1"/>
      <c r="T897" s="1"/>
      <c r="U897" s="1"/>
      <c r="V897" s="6"/>
      <c r="W897" s="6"/>
    </row>
    <row r="898" ht="15.75" customHeight="1">
      <c r="A898" s="9" t="s">
        <v>29</v>
      </c>
      <c r="B898" s="10">
        <v>2026.0</v>
      </c>
      <c r="C898" s="14" t="s">
        <v>898</v>
      </c>
      <c r="D898" s="1" t="s">
        <v>932</v>
      </c>
      <c r="E898" s="2">
        <v>0.0</v>
      </c>
      <c r="F898" s="2">
        <v>0.0</v>
      </c>
      <c r="G898" s="2">
        <v>-1250000.0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f t="shared" si="1"/>
        <v>1250000</v>
      </c>
      <c r="Q898" s="1"/>
      <c r="R898" s="1"/>
      <c r="S898" s="1"/>
      <c r="T898" s="1"/>
      <c r="U898" s="1"/>
      <c r="V898" s="6"/>
      <c r="W898" s="6"/>
    </row>
    <row r="899" ht="15.75" customHeight="1">
      <c r="A899" s="9" t="s">
        <v>29</v>
      </c>
      <c r="B899" s="10">
        <v>2026.0</v>
      </c>
      <c r="C899" s="14" t="s">
        <v>898</v>
      </c>
      <c r="D899" s="1" t="s">
        <v>933</v>
      </c>
      <c r="E899" s="2">
        <v>0.0</v>
      </c>
      <c r="F899" s="2">
        <v>0.0</v>
      </c>
      <c r="G899" s="2">
        <v>-1250000.0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f t="shared" si="1"/>
        <v>1250000</v>
      </c>
      <c r="Q899" s="1"/>
      <c r="R899" s="1"/>
      <c r="S899" s="1"/>
      <c r="T899" s="1"/>
      <c r="U899" s="1"/>
      <c r="V899" s="6"/>
      <c r="W899" s="6"/>
    </row>
    <row r="900" ht="15.75" customHeight="1">
      <c r="A900" s="9" t="s">
        <v>29</v>
      </c>
      <c r="B900" s="10">
        <v>2026.0</v>
      </c>
      <c r="C900" s="14" t="s">
        <v>898</v>
      </c>
      <c r="D900" s="1" t="s">
        <v>934</v>
      </c>
      <c r="E900" s="2">
        <v>0.0</v>
      </c>
      <c r="F900" s="2">
        <v>0.0</v>
      </c>
      <c r="G900" s="2">
        <v>-5000000.0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f t="shared" si="1"/>
        <v>5000000</v>
      </c>
      <c r="Q900" s="1"/>
      <c r="R900" s="1"/>
      <c r="S900" s="1"/>
      <c r="T900" s="1"/>
      <c r="U900" s="1"/>
      <c r="V900" s="6"/>
      <c r="W900" s="6"/>
    </row>
    <row r="901" ht="15.75" customHeight="1">
      <c r="A901" s="9" t="s">
        <v>29</v>
      </c>
      <c r="B901" s="10">
        <v>2026.0</v>
      </c>
      <c r="C901" s="14" t="s">
        <v>901</v>
      </c>
      <c r="D901" s="1" t="s">
        <v>935</v>
      </c>
      <c r="E901" s="2">
        <v>0.0</v>
      </c>
      <c r="F901" s="2">
        <v>0.0</v>
      </c>
      <c r="G901" s="2">
        <v>-8.2325E7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f t="shared" si="1"/>
        <v>82325000</v>
      </c>
      <c r="Q901" s="1"/>
      <c r="R901" s="1"/>
      <c r="S901" s="1"/>
      <c r="T901" s="1"/>
      <c r="U901" s="1"/>
      <c r="V901" s="6"/>
      <c r="W901" s="6"/>
    </row>
    <row r="902" ht="15.75" customHeight="1">
      <c r="A902" s="9" t="s">
        <v>29</v>
      </c>
      <c r="B902" s="10">
        <v>2026.0</v>
      </c>
      <c r="C902" s="14" t="s">
        <v>901</v>
      </c>
      <c r="D902" s="1" t="s">
        <v>936</v>
      </c>
      <c r="E902" s="2">
        <v>0.0</v>
      </c>
      <c r="F902" s="2">
        <v>0.0</v>
      </c>
      <c r="G902" s="2">
        <v>-1000000.0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f t="shared" si="1"/>
        <v>1000000</v>
      </c>
      <c r="Q902" s="1"/>
      <c r="R902" s="1"/>
      <c r="S902" s="1"/>
      <c r="T902" s="1"/>
      <c r="U902" s="1"/>
      <c r="V902" s="6"/>
      <c r="W902" s="6"/>
    </row>
    <row r="903" ht="15.75" customHeight="1">
      <c r="A903" s="9" t="s">
        <v>29</v>
      </c>
      <c r="B903" s="10">
        <v>2026.0</v>
      </c>
      <c r="C903" s="14" t="s">
        <v>901</v>
      </c>
      <c r="D903" s="1" t="s">
        <v>937</v>
      </c>
      <c r="E903" s="2">
        <v>0.0</v>
      </c>
      <c r="F903" s="2">
        <v>0.0</v>
      </c>
      <c r="G903" s="2">
        <v>-2500000.0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f t="shared" si="1"/>
        <v>2500000</v>
      </c>
      <c r="Q903" s="1"/>
      <c r="R903" s="1"/>
      <c r="S903" s="1"/>
      <c r="T903" s="1"/>
      <c r="U903" s="1"/>
      <c r="V903" s="6"/>
      <c r="W903" s="6"/>
    </row>
    <row r="904" ht="15.75" customHeight="1">
      <c r="A904" s="9" t="s">
        <v>29</v>
      </c>
      <c r="B904" s="10">
        <v>2026.0</v>
      </c>
      <c r="C904" s="14" t="s">
        <v>901</v>
      </c>
      <c r="D904" s="1" t="s">
        <v>938</v>
      </c>
      <c r="E904" s="2">
        <v>0.0</v>
      </c>
      <c r="F904" s="2">
        <v>0.0</v>
      </c>
      <c r="G904" s="2">
        <v>-3750000.0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f t="shared" si="1"/>
        <v>3750000</v>
      </c>
      <c r="Q904" s="1"/>
      <c r="R904" s="1"/>
      <c r="S904" s="1"/>
      <c r="T904" s="1"/>
      <c r="U904" s="1"/>
      <c r="V904" s="6"/>
      <c r="W904" s="6"/>
    </row>
    <row r="905" ht="15.75" customHeight="1">
      <c r="A905" s="9" t="s">
        <v>29</v>
      </c>
      <c r="B905" s="10">
        <v>2026.0</v>
      </c>
      <c r="C905" s="14" t="s">
        <v>898</v>
      </c>
      <c r="D905" s="1" t="s">
        <v>939</v>
      </c>
      <c r="E905" s="2">
        <v>0.0</v>
      </c>
      <c r="F905" s="2">
        <v>0.0</v>
      </c>
      <c r="G905" s="2">
        <v>-5800000.0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f t="shared" si="1"/>
        <v>5800000</v>
      </c>
      <c r="Q905" s="1"/>
      <c r="R905" s="1"/>
      <c r="S905" s="1"/>
      <c r="T905" s="1"/>
      <c r="U905" s="1"/>
      <c r="V905" s="6"/>
      <c r="W905" s="6"/>
    </row>
    <row r="906" ht="15.75" customHeight="1">
      <c r="A906" s="9" t="s">
        <v>29</v>
      </c>
      <c r="B906" s="10">
        <v>2026.0</v>
      </c>
      <c r="C906" s="14" t="s">
        <v>901</v>
      </c>
      <c r="D906" s="1" t="s">
        <v>940</v>
      </c>
      <c r="E906" s="2">
        <v>0.0</v>
      </c>
      <c r="F906" s="2">
        <v>0.0</v>
      </c>
      <c r="G906" s="2">
        <v>-7500000.0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f t="shared" si="1"/>
        <v>7500000</v>
      </c>
      <c r="Q906" s="1"/>
      <c r="R906" s="1"/>
      <c r="S906" s="1"/>
      <c r="T906" s="1"/>
      <c r="U906" s="1"/>
      <c r="V906" s="6"/>
      <c r="W906" s="6"/>
    </row>
    <row r="907" ht="15.75" customHeight="1">
      <c r="A907" s="9" t="s">
        <v>29</v>
      </c>
      <c r="B907" s="10">
        <v>2026.0</v>
      </c>
      <c r="C907" s="14" t="s">
        <v>901</v>
      </c>
      <c r="D907" s="1" t="s">
        <v>941</v>
      </c>
      <c r="E907" s="2">
        <v>0.0</v>
      </c>
      <c r="F907" s="2">
        <v>0.0</v>
      </c>
      <c r="G907" s="2">
        <v>-3.5E7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f t="shared" si="1"/>
        <v>35000000</v>
      </c>
      <c r="Q907" s="1"/>
      <c r="R907" s="1"/>
      <c r="S907" s="1"/>
      <c r="T907" s="1"/>
      <c r="U907" s="1"/>
      <c r="V907" s="6"/>
      <c r="W907" s="6"/>
    </row>
    <row r="908" ht="15.75" customHeight="1">
      <c r="A908" s="9" t="s">
        <v>29</v>
      </c>
      <c r="B908" s="10">
        <v>2026.0</v>
      </c>
      <c r="C908" s="14" t="s">
        <v>901</v>
      </c>
      <c r="D908" s="1" t="s">
        <v>942</v>
      </c>
      <c r="E908" s="2">
        <v>0.0</v>
      </c>
      <c r="F908" s="2">
        <v>0.0</v>
      </c>
      <c r="G908" s="2">
        <v>-925000.0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f t="shared" si="1"/>
        <v>925000</v>
      </c>
      <c r="Q908" s="1"/>
      <c r="R908" s="1"/>
      <c r="S908" s="1"/>
      <c r="T908" s="1"/>
      <c r="U908" s="1"/>
      <c r="V908" s="6"/>
      <c r="W908" s="6"/>
    </row>
    <row r="909" ht="15.75" customHeight="1">
      <c r="A909" s="9" t="s">
        <v>29</v>
      </c>
      <c r="B909" s="10">
        <v>2026.0</v>
      </c>
      <c r="C909" s="14" t="s">
        <v>898</v>
      </c>
      <c r="D909" s="1" t="s">
        <v>943</v>
      </c>
      <c r="E909" s="2">
        <v>0.0</v>
      </c>
      <c r="F909" s="2">
        <v>0.0</v>
      </c>
      <c r="G909" s="2">
        <v>-2.52E7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f t="shared" si="1"/>
        <v>25200000</v>
      </c>
      <c r="Q909" s="1"/>
      <c r="R909" s="1"/>
      <c r="S909" s="1"/>
      <c r="T909" s="1"/>
      <c r="U909" s="1"/>
      <c r="V909" s="6"/>
      <c r="W909" s="6"/>
    </row>
    <row r="910" ht="15.75" customHeight="1">
      <c r="A910" s="9" t="s">
        <v>29</v>
      </c>
      <c r="B910" s="10">
        <v>2026.0</v>
      </c>
      <c r="C910" s="14" t="s">
        <v>901</v>
      </c>
      <c r="D910" s="1" t="s">
        <v>944</v>
      </c>
      <c r="E910" s="2">
        <v>0.0</v>
      </c>
      <c r="F910" s="2">
        <v>0.0</v>
      </c>
      <c r="G910" s="2">
        <v>-2.255E7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f t="shared" si="1"/>
        <v>22550000</v>
      </c>
      <c r="Q910" s="1"/>
      <c r="R910" s="1"/>
      <c r="S910" s="1"/>
      <c r="T910" s="1"/>
      <c r="U910" s="1"/>
      <c r="V910" s="6"/>
      <c r="W910" s="6"/>
    </row>
    <row r="911" ht="15.75" customHeight="1">
      <c r="A911" s="9" t="s">
        <v>29</v>
      </c>
      <c r="B911" s="10">
        <v>2026.0</v>
      </c>
      <c r="C911" s="14" t="s">
        <v>901</v>
      </c>
      <c r="D911" s="1" t="s">
        <v>945</v>
      </c>
      <c r="E911" s="2">
        <v>0.0</v>
      </c>
      <c r="F911" s="2">
        <v>0.0</v>
      </c>
      <c r="G911" s="2">
        <v>-1.1E7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f t="shared" si="1"/>
        <v>11000000</v>
      </c>
      <c r="Q911" s="1"/>
      <c r="R911" s="1"/>
      <c r="S911" s="1"/>
      <c r="T911" s="1"/>
      <c r="U911" s="1"/>
      <c r="V911" s="6"/>
      <c r="W911" s="6"/>
    </row>
    <row r="912" ht="15.75" customHeight="1">
      <c r="A912" s="9" t="s">
        <v>29</v>
      </c>
      <c r="B912" s="10">
        <v>2026.0</v>
      </c>
      <c r="C912" s="14" t="s">
        <v>946</v>
      </c>
      <c r="D912" s="1" t="s">
        <v>947</v>
      </c>
      <c r="E912" s="2">
        <v>0.0</v>
      </c>
      <c r="F912" s="2">
        <v>0.0</v>
      </c>
      <c r="G912" s="2">
        <v>-3252500.0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f t="shared" si="1"/>
        <v>3252500</v>
      </c>
      <c r="Q912" s="1"/>
      <c r="R912" s="1"/>
      <c r="S912" s="1"/>
      <c r="T912" s="1"/>
      <c r="U912" s="1"/>
      <c r="V912" s="6"/>
      <c r="W912" s="6"/>
    </row>
    <row r="913" ht="15.75" customHeight="1">
      <c r="A913" s="9" t="s">
        <v>29</v>
      </c>
      <c r="B913" s="10">
        <v>2026.0</v>
      </c>
      <c r="C913" s="14" t="s">
        <v>898</v>
      </c>
      <c r="D913" s="1" t="s">
        <v>948</v>
      </c>
      <c r="E913" s="2">
        <v>0.0</v>
      </c>
      <c r="F913" s="2">
        <v>0.0</v>
      </c>
      <c r="G913" s="2">
        <v>-1700000.0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f t="shared" si="1"/>
        <v>1700000</v>
      </c>
      <c r="Q913" s="1"/>
      <c r="R913" s="1"/>
      <c r="S913" s="1"/>
      <c r="T913" s="1"/>
      <c r="U913" s="1"/>
      <c r="V913" s="6"/>
      <c r="W913" s="6"/>
    </row>
    <row r="914" ht="15.75" customHeight="1">
      <c r="A914" s="9" t="s">
        <v>29</v>
      </c>
      <c r="B914" s="10">
        <v>2026.0</v>
      </c>
      <c r="C914" s="14" t="s">
        <v>901</v>
      </c>
      <c r="D914" s="1" t="s">
        <v>949</v>
      </c>
      <c r="E914" s="2">
        <v>0.0</v>
      </c>
      <c r="F914" s="2">
        <v>0.0</v>
      </c>
      <c r="G914" s="2">
        <v>-1.525E7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f t="shared" si="1"/>
        <v>15250000</v>
      </c>
      <c r="Q914" s="1"/>
      <c r="R914" s="1"/>
      <c r="S914" s="1"/>
      <c r="T914" s="1"/>
      <c r="U914" s="1"/>
      <c r="V914" s="6"/>
      <c r="W914" s="6"/>
    </row>
    <row r="915" ht="15.75" customHeight="1">
      <c r="A915" s="9" t="s">
        <v>29</v>
      </c>
      <c r="B915" s="10">
        <v>2026.0</v>
      </c>
      <c r="C915" s="14" t="s">
        <v>898</v>
      </c>
      <c r="D915" s="1" t="s">
        <v>950</v>
      </c>
      <c r="E915" s="2">
        <v>0.0</v>
      </c>
      <c r="F915" s="2">
        <v>0.0</v>
      </c>
      <c r="G915" s="2">
        <v>-4440180.0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f t="shared" si="1"/>
        <v>4440180</v>
      </c>
      <c r="Q915" s="1"/>
      <c r="R915" s="1"/>
      <c r="S915" s="1"/>
      <c r="T915" s="1"/>
      <c r="U915" s="1"/>
      <c r="V915" s="6"/>
      <c r="W915" s="6"/>
    </row>
    <row r="916" ht="15.75" customHeight="1">
      <c r="A916" s="9" t="s">
        <v>29</v>
      </c>
      <c r="B916" s="10">
        <v>2026.0</v>
      </c>
      <c r="C916" s="14" t="s">
        <v>901</v>
      </c>
      <c r="D916" s="1" t="s">
        <v>951</v>
      </c>
      <c r="E916" s="2">
        <v>0.0</v>
      </c>
      <c r="F916" s="2">
        <v>0.0</v>
      </c>
      <c r="G916" s="2">
        <v>-1500000.0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f t="shared" si="1"/>
        <v>1500000</v>
      </c>
      <c r="Q916" s="1"/>
      <c r="R916" s="1"/>
      <c r="S916" s="1"/>
      <c r="T916" s="1"/>
      <c r="U916" s="1"/>
      <c r="V916" s="6"/>
      <c r="W916" s="6"/>
    </row>
    <row r="917" ht="15.75" customHeight="1">
      <c r="A917" s="9" t="s">
        <v>29</v>
      </c>
      <c r="B917" s="10">
        <v>2026.0</v>
      </c>
      <c r="C917" s="14" t="s">
        <v>952</v>
      </c>
      <c r="D917" s="1" t="s">
        <v>953</v>
      </c>
      <c r="E917" s="2">
        <v>0.0</v>
      </c>
      <c r="F917" s="2">
        <v>0.0</v>
      </c>
      <c r="G917" s="2">
        <v>-950000.0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f t="shared" si="1"/>
        <v>950000</v>
      </c>
      <c r="Q917" s="1"/>
      <c r="R917" s="1"/>
      <c r="S917" s="1"/>
      <c r="T917" s="1"/>
      <c r="U917" s="1"/>
      <c r="V917" s="6"/>
      <c r="W917" s="6"/>
    </row>
    <row r="918" ht="15.75" customHeight="1">
      <c r="A918" s="9" t="s">
        <v>29</v>
      </c>
      <c r="B918" s="10">
        <v>2026.0</v>
      </c>
      <c r="C918" s="14" t="s">
        <v>952</v>
      </c>
      <c r="D918" s="1" t="s">
        <v>954</v>
      </c>
      <c r="E918" s="2">
        <v>0.0</v>
      </c>
      <c r="F918" s="2">
        <v>0.0</v>
      </c>
      <c r="G918" s="2">
        <v>-1000000.0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f t="shared" si="1"/>
        <v>1000000</v>
      </c>
      <c r="Q918" s="1"/>
      <c r="R918" s="1"/>
      <c r="S918" s="1"/>
      <c r="T918" s="1"/>
      <c r="U918" s="1"/>
      <c r="V918" s="6"/>
      <c r="W918" s="6"/>
    </row>
    <row r="919" ht="15.75" customHeight="1">
      <c r="A919" s="9" t="s">
        <v>29</v>
      </c>
      <c r="B919" s="10">
        <v>2026.0</v>
      </c>
      <c r="C919" s="14" t="s">
        <v>952</v>
      </c>
      <c r="D919" s="1" t="s">
        <v>955</v>
      </c>
      <c r="E919" s="2">
        <v>0.0</v>
      </c>
      <c r="F919" s="2">
        <v>0.0</v>
      </c>
      <c r="G919" s="2">
        <v>-1750000.0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f t="shared" si="1"/>
        <v>1750000</v>
      </c>
      <c r="Q919" s="1"/>
      <c r="R919" s="1"/>
      <c r="S919" s="1"/>
      <c r="T919" s="1"/>
      <c r="U919" s="1"/>
      <c r="V919" s="6"/>
      <c r="W919" s="6"/>
    </row>
    <row r="920" ht="15.75" customHeight="1">
      <c r="A920" s="9" t="s">
        <v>29</v>
      </c>
      <c r="B920" s="10">
        <v>2026.0</v>
      </c>
      <c r="C920" s="14" t="s">
        <v>956</v>
      </c>
      <c r="D920" s="1" t="s">
        <v>957</v>
      </c>
      <c r="E920" s="2">
        <v>0.0</v>
      </c>
      <c r="F920" s="2">
        <v>0.0</v>
      </c>
      <c r="G920" s="2">
        <v>-1600000.0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f t="shared" si="1"/>
        <v>1600000</v>
      </c>
      <c r="Q920" s="1"/>
      <c r="R920" s="1"/>
      <c r="S920" s="1"/>
      <c r="T920" s="1"/>
      <c r="U920" s="1"/>
      <c r="V920" s="6"/>
      <c r="W920" s="6"/>
    </row>
    <row r="921" ht="15.75" customHeight="1">
      <c r="A921" s="9" t="s">
        <v>29</v>
      </c>
      <c r="B921" s="10">
        <v>2026.0</v>
      </c>
      <c r="C921" s="14" t="s">
        <v>901</v>
      </c>
      <c r="D921" s="1" t="s">
        <v>958</v>
      </c>
      <c r="E921" s="2">
        <v>0.0</v>
      </c>
      <c r="F921" s="2">
        <v>0.0</v>
      </c>
      <c r="G921" s="2">
        <v>-1500000.0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f t="shared" si="1"/>
        <v>1500000</v>
      </c>
      <c r="Q921" s="1"/>
      <c r="R921" s="1"/>
      <c r="S921" s="1"/>
      <c r="T921" s="1"/>
      <c r="U921" s="1"/>
      <c r="V921" s="6"/>
      <c r="W921" s="6"/>
    </row>
    <row r="922" ht="15.75" customHeight="1">
      <c r="A922" s="9" t="s">
        <v>29</v>
      </c>
      <c r="B922" s="10">
        <v>2026.0</v>
      </c>
      <c r="C922" s="14" t="s">
        <v>898</v>
      </c>
      <c r="D922" s="1" t="s">
        <v>959</v>
      </c>
      <c r="E922" s="2">
        <v>0.0</v>
      </c>
      <c r="F922" s="2">
        <v>0.0</v>
      </c>
      <c r="G922" s="2">
        <v>-800000.0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f t="shared" si="1"/>
        <v>800000</v>
      </c>
      <c r="Q922" s="1"/>
      <c r="R922" s="1"/>
      <c r="S922" s="1"/>
      <c r="T922" s="1"/>
      <c r="U922" s="1"/>
      <c r="V922" s="6"/>
      <c r="W922" s="6"/>
    </row>
    <row r="923" ht="15.75" customHeight="1">
      <c r="A923" s="9" t="s">
        <v>29</v>
      </c>
      <c r="B923" s="10">
        <v>2026.0</v>
      </c>
      <c r="C923" s="14" t="s">
        <v>960</v>
      </c>
      <c r="D923" s="1" t="s">
        <v>961</v>
      </c>
      <c r="E923" s="2">
        <v>0.0</v>
      </c>
      <c r="F923" s="2">
        <v>0.0</v>
      </c>
      <c r="G923" s="2">
        <v>-1.8E7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f t="shared" si="1"/>
        <v>18000000</v>
      </c>
      <c r="Q923" s="1"/>
      <c r="R923" s="1"/>
      <c r="S923" s="1"/>
      <c r="T923" s="1"/>
      <c r="U923" s="1"/>
      <c r="V923" s="6"/>
      <c r="W923" s="6"/>
    </row>
    <row r="924" ht="15.75" customHeight="1">
      <c r="A924" s="9" t="s">
        <v>29</v>
      </c>
      <c r="B924" s="10">
        <v>2026.0</v>
      </c>
      <c r="C924" s="14" t="s">
        <v>901</v>
      </c>
      <c r="D924" s="1" t="s">
        <v>962</v>
      </c>
      <c r="E924" s="2">
        <v>0.0</v>
      </c>
      <c r="F924" s="2">
        <v>0.0</v>
      </c>
      <c r="G924" s="2">
        <v>-1.88988535E8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f t="shared" si="1"/>
        <v>188988535</v>
      </c>
      <c r="Q924" s="1"/>
      <c r="R924" s="1"/>
      <c r="S924" s="1"/>
      <c r="T924" s="1"/>
      <c r="U924" s="1"/>
      <c r="V924" s="6"/>
      <c r="W924" s="6"/>
    </row>
    <row r="925" ht="15.75" customHeight="1">
      <c r="A925" s="9" t="s">
        <v>29</v>
      </c>
      <c r="B925" s="10">
        <v>2026.0</v>
      </c>
      <c r="C925" s="12" t="s">
        <v>910</v>
      </c>
      <c r="D925" s="1" t="s">
        <v>963</v>
      </c>
      <c r="E925" s="2">
        <v>0.0</v>
      </c>
      <c r="F925" s="2">
        <v>0.0</v>
      </c>
      <c r="G925" s="2">
        <v>-4.8657E7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f t="shared" si="1"/>
        <v>48657000</v>
      </c>
      <c r="Q925" s="1"/>
      <c r="R925" s="1"/>
      <c r="S925" s="1"/>
      <c r="T925" s="1"/>
      <c r="U925" s="1"/>
      <c r="V925" s="6"/>
      <c r="W925" s="6"/>
    </row>
    <row r="926" ht="15.75" customHeight="1">
      <c r="A926" s="9" t="s">
        <v>29</v>
      </c>
      <c r="B926" s="10">
        <v>2026.0</v>
      </c>
      <c r="C926" s="14" t="s">
        <v>956</v>
      </c>
      <c r="D926" s="1" t="s">
        <v>964</v>
      </c>
      <c r="E926" s="2">
        <v>0.0</v>
      </c>
      <c r="F926" s="2">
        <v>0.0</v>
      </c>
      <c r="G926" s="2">
        <v>-1.3463936E7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f t="shared" si="1"/>
        <v>13463936</v>
      </c>
      <c r="Q926" s="1"/>
      <c r="R926" s="1"/>
      <c r="S926" s="1"/>
      <c r="T926" s="1"/>
      <c r="U926" s="1"/>
      <c r="V926" s="6"/>
      <c r="W926" s="6"/>
    </row>
    <row r="927" ht="15.75" customHeight="1">
      <c r="A927" s="9" t="s">
        <v>29</v>
      </c>
      <c r="B927" s="10">
        <v>2026.0</v>
      </c>
      <c r="C927" s="12" t="s">
        <v>910</v>
      </c>
      <c r="D927" s="1" t="s">
        <v>965</v>
      </c>
      <c r="E927" s="2">
        <v>0.0</v>
      </c>
      <c r="F927" s="2">
        <v>0.0</v>
      </c>
      <c r="G927" s="2">
        <v>-1750000.0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f t="shared" si="1"/>
        <v>1750000</v>
      </c>
      <c r="Q927" s="1"/>
      <c r="R927" s="1"/>
      <c r="S927" s="1"/>
      <c r="T927" s="1"/>
      <c r="U927" s="1"/>
      <c r="V927" s="6"/>
      <c r="W927" s="6"/>
    </row>
    <row r="928" ht="15.75" customHeight="1">
      <c r="A928" s="9" t="s">
        <v>29</v>
      </c>
      <c r="B928" s="10">
        <v>2026.0</v>
      </c>
      <c r="C928" s="14" t="s">
        <v>960</v>
      </c>
      <c r="D928" s="1" t="s">
        <v>966</v>
      </c>
      <c r="E928" s="2">
        <v>0.0</v>
      </c>
      <c r="F928" s="2">
        <v>0.0</v>
      </c>
      <c r="G928" s="2">
        <v>-1500000.0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f t="shared" si="1"/>
        <v>1500000</v>
      </c>
      <c r="Q928" s="1"/>
      <c r="R928" s="1"/>
      <c r="S928" s="1"/>
      <c r="T928" s="1"/>
      <c r="U928" s="1"/>
      <c r="V928" s="6"/>
      <c r="W928" s="6"/>
    </row>
    <row r="929" ht="15.75" customHeight="1">
      <c r="A929" s="9" t="s">
        <v>29</v>
      </c>
      <c r="B929" s="10">
        <v>2026.0</v>
      </c>
      <c r="C929" s="12" t="s">
        <v>910</v>
      </c>
      <c r="D929" s="1" t="s">
        <v>967</v>
      </c>
      <c r="E929" s="2">
        <v>0.0</v>
      </c>
      <c r="F929" s="2">
        <v>0.0</v>
      </c>
      <c r="G929" s="2">
        <v>-6000000.0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0.0</v>
      </c>
      <c r="P929" s="2">
        <f t="shared" si="1"/>
        <v>6000000</v>
      </c>
      <c r="Q929" s="1"/>
      <c r="R929" s="1"/>
      <c r="S929" s="1"/>
      <c r="T929" s="1"/>
      <c r="U929" s="1"/>
      <c r="V929" s="6"/>
      <c r="W929" s="6"/>
    </row>
    <row r="930" ht="15.75" customHeight="1">
      <c r="A930" s="9" t="s">
        <v>29</v>
      </c>
      <c r="B930" s="10">
        <v>2026.0</v>
      </c>
      <c r="C930" s="12" t="s">
        <v>910</v>
      </c>
      <c r="D930" s="1" t="s">
        <v>968</v>
      </c>
      <c r="E930" s="2">
        <v>0.0</v>
      </c>
      <c r="F930" s="2">
        <v>0.0</v>
      </c>
      <c r="G930" s="2">
        <v>-4650000.0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f t="shared" si="1"/>
        <v>4650000</v>
      </c>
      <c r="Q930" s="1"/>
      <c r="R930" s="1"/>
      <c r="S930" s="1"/>
      <c r="T930" s="1"/>
      <c r="U930" s="1"/>
      <c r="V930" s="6"/>
      <c r="W930" s="6"/>
    </row>
    <row r="931" ht="15.75" customHeight="1">
      <c r="A931" s="9" t="s">
        <v>29</v>
      </c>
      <c r="B931" s="10">
        <v>2026.0</v>
      </c>
      <c r="C931" s="14" t="s">
        <v>956</v>
      </c>
      <c r="D931" s="1" t="s">
        <v>969</v>
      </c>
      <c r="E931" s="2">
        <v>0.0</v>
      </c>
      <c r="F931" s="2">
        <v>0.0</v>
      </c>
      <c r="G931" s="2">
        <v>-5131090.0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f t="shared" si="1"/>
        <v>5131090</v>
      </c>
      <c r="Q931" s="1"/>
      <c r="R931" s="1"/>
      <c r="S931" s="1"/>
      <c r="T931" s="1"/>
      <c r="U931" s="1"/>
      <c r="V931" s="6"/>
      <c r="W931" s="6"/>
    </row>
    <row r="932" ht="15.75" customHeight="1">
      <c r="A932" s="9" t="s">
        <v>29</v>
      </c>
      <c r="B932" s="10">
        <v>2026.0</v>
      </c>
      <c r="C932" s="14" t="s">
        <v>970</v>
      </c>
      <c r="D932" s="1" t="s">
        <v>971</v>
      </c>
      <c r="E932" s="2">
        <v>0.0</v>
      </c>
      <c r="F932" s="2">
        <v>0.0</v>
      </c>
      <c r="G932" s="2">
        <v>-6494050.0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f t="shared" si="1"/>
        <v>6494050</v>
      </c>
      <c r="Q932" s="1"/>
      <c r="R932" s="1"/>
      <c r="S932" s="1"/>
      <c r="T932" s="1"/>
      <c r="U932" s="1"/>
      <c r="V932" s="6"/>
      <c r="W932" s="6"/>
    </row>
    <row r="933" ht="15.75" customHeight="1">
      <c r="A933" s="9" t="s">
        <v>29</v>
      </c>
      <c r="B933" s="10">
        <v>2026.0</v>
      </c>
      <c r="C933" s="14" t="s">
        <v>970</v>
      </c>
      <c r="D933" s="1" t="s">
        <v>972</v>
      </c>
      <c r="E933" s="2">
        <v>0.0</v>
      </c>
      <c r="F933" s="2">
        <v>0.0</v>
      </c>
      <c r="G933" s="2">
        <v>-3.4525E7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f t="shared" si="1"/>
        <v>34525000</v>
      </c>
      <c r="Q933" s="1"/>
      <c r="R933" s="1"/>
      <c r="S933" s="1"/>
      <c r="T933" s="1"/>
      <c r="U933" s="1"/>
      <c r="V933" s="6"/>
      <c r="W933" s="6"/>
    </row>
    <row r="934" ht="15.75" customHeight="1">
      <c r="A934" s="9" t="s">
        <v>29</v>
      </c>
      <c r="B934" s="10">
        <v>2026.0</v>
      </c>
      <c r="C934" s="14" t="s">
        <v>901</v>
      </c>
      <c r="D934" s="1" t="s">
        <v>973</v>
      </c>
      <c r="E934" s="2">
        <v>0.0</v>
      </c>
      <c r="F934" s="2">
        <v>0.0</v>
      </c>
      <c r="G934" s="2">
        <v>-6815000.0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f t="shared" si="1"/>
        <v>6815000</v>
      </c>
      <c r="Q934" s="1"/>
      <c r="R934" s="1"/>
      <c r="S934" s="1"/>
      <c r="T934" s="1"/>
      <c r="U934" s="1"/>
      <c r="V934" s="6"/>
      <c r="W934" s="6"/>
    </row>
    <row r="935" ht="15.75" customHeight="1">
      <c r="A935" s="9" t="s">
        <v>29</v>
      </c>
      <c r="B935" s="10">
        <v>2026.0</v>
      </c>
      <c r="C935" s="14" t="s">
        <v>898</v>
      </c>
      <c r="D935" s="1" t="s">
        <v>974</v>
      </c>
      <c r="E935" s="2">
        <v>0.0</v>
      </c>
      <c r="F935" s="2">
        <v>0.0</v>
      </c>
      <c r="G935" s="2">
        <v>-5.003E7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f t="shared" si="1"/>
        <v>50030000</v>
      </c>
      <c r="Q935" s="1"/>
      <c r="R935" s="1"/>
      <c r="S935" s="1"/>
      <c r="T935" s="1"/>
      <c r="U935" s="1"/>
      <c r="V935" s="6"/>
      <c r="W935" s="6"/>
    </row>
    <row r="936" ht="15.75" customHeight="1">
      <c r="A936" s="9" t="s">
        <v>29</v>
      </c>
      <c r="B936" s="10">
        <v>2026.0</v>
      </c>
      <c r="C936" s="14" t="s">
        <v>975</v>
      </c>
      <c r="D936" s="1" t="s">
        <v>976</v>
      </c>
      <c r="E936" s="2">
        <v>0.0</v>
      </c>
      <c r="F936" s="2">
        <v>0.0</v>
      </c>
      <c r="G936" s="2">
        <v>-4332000.0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f t="shared" si="1"/>
        <v>4332000</v>
      </c>
      <c r="Q936" s="1"/>
      <c r="R936" s="1"/>
      <c r="S936" s="1"/>
      <c r="T936" s="1"/>
      <c r="U936" s="1"/>
      <c r="V936" s="6"/>
      <c r="W936" s="6"/>
    </row>
    <row r="937" ht="15.75" customHeight="1">
      <c r="A937" s="9" t="s">
        <v>29</v>
      </c>
      <c r="B937" s="10">
        <v>2026.0</v>
      </c>
      <c r="C937" s="14" t="s">
        <v>894</v>
      </c>
      <c r="D937" s="1" t="s">
        <v>977</v>
      </c>
      <c r="E937" s="2">
        <v>0.0</v>
      </c>
      <c r="F937" s="2">
        <v>0.0</v>
      </c>
      <c r="G937" s="2">
        <v>0.0</v>
      </c>
      <c r="H937" s="2">
        <v>-5.4839E7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f t="shared" si="1"/>
        <v>54839000</v>
      </c>
      <c r="Q937" s="1"/>
      <c r="R937" s="1"/>
      <c r="S937" s="1"/>
      <c r="T937" s="1"/>
      <c r="U937" s="1"/>
      <c r="V937" s="6"/>
      <c r="W937" s="6"/>
    </row>
    <row r="938" ht="15.75" customHeight="1">
      <c r="A938" s="9" t="s">
        <v>29</v>
      </c>
      <c r="B938" s="10">
        <v>2026.0</v>
      </c>
      <c r="C938" s="14" t="s">
        <v>134</v>
      </c>
      <c r="D938" s="1" t="s">
        <v>978</v>
      </c>
      <c r="E938" s="2">
        <v>0.0</v>
      </c>
      <c r="F938" s="2">
        <v>0.0</v>
      </c>
      <c r="G938" s="2">
        <v>0.0</v>
      </c>
      <c r="H938" s="2">
        <v>-4186152.0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f t="shared" si="1"/>
        <v>4186152</v>
      </c>
      <c r="Q938" s="1"/>
      <c r="R938" s="1"/>
      <c r="S938" s="1"/>
      <c r="T938" s="1"/>
      <c r="U938" s="1"/>
      <c r="V938" s="6"/>
      <c r="W938" s="6"/>
    </row>
    <row r="939" ht="15.75" customHeight="1">
      <c r="A939" s="9" t="s">
        <v>29</v>
      </c>
      <c r="B939" s="10">
        <v>2026.0</v>
      </c>
      <c r="C939" s="14" t="s">
        <v>134</v>
      </c>
      <c r="D939" s="1" t="s">
        <v>979</v>
      </c>
      <c r="E939" s="2">
        <v>0.0</v>
      </c>
      <c r="F939" s="2">
        <v>0.0</v>
      </c>
      <c r="G939" s="2">
        <v>0.0</v>
      </c>
      <c r="H939" s="2">
        <v>-2.9891425E7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f t="shared" si="1"/>
        <v>29891425</v>
      </c>
      <c r="Q939" s="1"/>
      <c r="R939" s="1"/>
      <c r="S939" s="1"/>
      <c r="T939" s="1"/>
      <c r="U939" s="1"/>
      <c r="V939" s="6"/>
      <c r="W939" s="6"/>
    </row>
    <row r="940" ht="15.75" customHeight="1">
      <c r="A940" s="9" t="s">
        <v>29</v>
      </c>
      <c r="B940" s="10">
        <v>2026.0</v>
      </c>
      <c r="C940" s="14" t="s">
        <v>980</v>
      </c>
      <c r="D940" s="1" t="s">
        <v>981</v>
      </c>
      <c r="E940" s="2">
        <v>0.0</v>
      </c>
      <c r="F940" s="2">
        <v>0.0</v>
      </c>
      <c r="G940" s="2">
        <v>0.0</v>
      </c>
      <c r="H940" s="2">
        <v>-800000.0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f t="shared" si="1"/>
        <v>800000</v>
      </c>
      <c r="Q940" s="1"/>
      <c r="R940" s="1"/>
      <c r="S940" s="1"/>
      <c r="T940" s="1"/>
      <c r="U940" s="1"/>
      <c r="V940" s="6"/>
      <c r="W940" s="6"/>
    </row>
    <row r="941" ht="15.75" customHeight="1">
      <c r="A941" s="9" t="s">
        <v>29</v>
      </c>
      <c r="B941" s="10">
        <v>2026.0</v>
      </c>
      <c r="C941" s="14" t="s">
        <v>980</v>
      </c>
      <c r="D941" s="1" t="s">
        <v>982</v>
      </c>
      <c r="E941" s="2">
        <v>0.0</v>
      </c>
      <c r="F941" s="2">
        <v>0.0</v>
      </c>
      <c r="G941" s="2">
        <v>0.0</v>
      </c>
      <c r="H941" s="2">
        <v>-1200000.0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0.0</v>
      </c>
      <c r="P941" s="2">
        <f t="shared" si="1"/>
        <v>1200000</v>
      </c>
      <c r="Q941" s="1"/>
      <c r="R941" s="1"/>
      <c r="S941" s="1"/>
      <c r="T941" s="1"/>
      <c r="U941" s="1"/>
      <c r="V941" s="6"/>
      <c r="W941" s="6"/>
    </row>
    <row r="942" ht="15.75" customHeight="1">
      <c r="A942" s="9" t="s">
        <v>29</v>
      </c>
      <c r="B942" s="10">
        <v>2026.0</v>
      </c>
      <c r="C942" s="14" t="s">
        <v>980</v>
      </c>
      <c r="D942" s="1" t="s">
        <v>983</v>
      </c>
      <c r="E942" s="2">
        <v>0.0</v>
      </c>
      <c r="F942" s="2">
        <v>0.0</v>
      </c>
      <c r="G942" s="2">
        <v>0.0</v>
      </c>
      <c r="H942" s="2">
        <v>-5188934.0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f t="shared" si="1"/>
        <v>5188934</v>
      </c>
      <c r="Q942" s="1"/>
      <c r="R942" s="1"/>
      <c r="S942" s="1"/>
      <c r="T942" s="1"/>
      <c r="U942" s="1"/>
      <c r="V942" s="6"/>
      <c r="W942" s="6"/>
    </row>
    <row r="943" ht="15.75" customHeight="1">
      <c r="A943" s="9" t="s">
        <v>29</v>
      </c>
      <c r="B943" s="10">
        <v>2026.0</v>
      </c>
      <c r="C943" s="14" t="s">
        <v>914</v>
      </c>
      <c r="D943" s="1" t="s">
        <v>984</v>
      </c>
      <c r="E943" s="2">
        <v>0.0</v>
      </c>
      <c r="F943" s="2">
        <v>0.0</v>
      </c>
      <c r="G943" s="2">
        <v>0.0</v>
      </c>
      <c r="H943" s="2">
        <v>-5971799.0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f t="shared" si="1"/>
        <v>5971799</v>
      </c>
      <c r="Q943" s="1"/>
      <c r="R943" s="1"/>
      <c r="S943" s="1"/>
      <c r="T943" s="1"/>
      <c r="U943" s="1"/>
      <c r="V943" s="6"/>
      <c r="W943" s="6"/>
    </row>
    <row r="944" ht="15.75" customHeight="1">
      <c r="A944" s="9" t="s">
        <v>29</v>
      </c>
      <c r="B944" s="10">
        <v>2026.0</v>
      </c>
      <c r="C944" s="14" t="s">
        <v>914</v>
      </c>
      <c r="D944" s="1" t="s">
        <v>985</v>
      </c>
      <c r="E944" s="2">
        <v>0.0</v>
      </c>
      <c r="F944" s="2">
        <v>0.0</v>
      </c>
      <c r="G944" s="2">
        <v>0.0</v>
      </c>
      <c r="H944" s="2">
        <v>-2361901.0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f t="shared" si="1"/>
        <v>2361901</v>
      </c>
      <c r="Q944" s="1"/>
      <c r="R944" s="1"/>
      <c r="S944" s="1"/>
      <c r="T944" s="1"/>
      <c r="U944" s="1"/>
      <c r="V944" s="6"/>
      <c r="W944" s="6"/>
    </row>
    <row r="945" ht="15.75" customHeight="1">
      <c r="A945" s="9" t="s">
        <v>29</v>
      </c>
      <c r="B945" s="10">
        <v>2026.0</v>
      </c>
      <c r="C945" s="14" t="s">
        <v>914</v>
      </c>
      <c r="D945" s="1" t="s">
        <v>986</v>
      </c>
      <c r="E945" s="15">
        <v>0.0</v>
      </c>
      <c r="F945" s="2">
        <v>0.0</v>
      </c>
      <c r="G945" s="2">
        <v>0.0</v>
      </c>
      <c r="H945" s="2">
        <v>-1494000.0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f t="shared" si="1"/>
        <v>1494000</v>
      </c>
      <c r="Q945" s="1"/>
      <c r="R945" s="1"/>
      <c r="S945" s="1"/>
      <c r="T945" s="1"/>
      <c r="U945" s="1"/>
      <c r="V945" s="6"/>
      <c r="W945" s="6"/>
    </row>
    <row r="946" ht="15.75" customHeight="1">
      <c r="A946" s="9" t="s">
        <v>29</v>
      </c>
      <c r="B946" s="10">
        <v>2026.0</v>
      </c>
      <c r="C946" s="14" t="s">
        <v>914</v>
      </c>
      <c r="D946" s="1" t="s">
        <v>987</v>
      </c>
      <c r="E946" s="15">
        <v>0.0</v>
      </c>
      <c r="F946" s="2">
        <v>0.0</v>
      </c>
      <c r="G946" s="2">
        <v>0.0</v>
      </c>
      <c r="H946" s="2">
        <v>-4785600.0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f t="shared" si="1"/>
        <v>4785600</v>
      </c>
      <c r="Q946" s="1"/>
      <c r="R946" s="1"/>
      <c r="S946" s="1"/>
      <c r="T946" s="1"/>
      <c r="U946" s="1"/>
      <c r="V946" s="6"/>
      <c r="W946" s="6"/>
    </row>
    <row r="947" ht="15.75" customHeight="1">
      <c r="A947" s="9" t="s">
        <v>29</v>
      </c>
      <c r="B947" s="10">
        <v>2026.0</v>
      </c>
      <c r="C947" s="14" t="s">
        <v>914</v>
      </c>
      <c r="D947" s="1" t="s">
        <v>988</v>
      </c>
      <c r="E947" s="15">
        <v>0.0</v>
      </c>
      <c r="F947" s="2">
        <v>0.0</v>
      </c>
      <c r="G947" s="2">
        <v>0.0</v>
      </c>
      <c r="H947" s="2">
        <v>-1390500.0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f t="shared" si="1"/>
        <v>1390500</v>
      </c>
      <c r="Q947" s="1"/>
      <c r="R947" s="1"/>
      <c r="S947" s="1"/>
      <c r="T947" s="1"/>
      <c r="U947" s="1"/>
      <c r="V947" s="6"/>
      <c r="W947" s="6"/>
    </row>
    <row r="948" ht="15.75" customHeight="1">
      <c r="A948" s="9" t="s">
        <v>29</v>
      </c>
      <c r="B948" s="10">
        <v>2026.0</v>
      </c>
      <c r="C948" s="14" t="s">
        <v>914</v>
      </c>
      <c r="D948" s="1" t="s">
        <v>989</v>
      </c>
      <c r="E948" s="15">
        <v>0.0</v>
      </c>
      <c r="F948" s="2">
        <v>0.0</v>
      </c>
      <c r="G948" s="2">
        <v>0.0</v>
      </c>
      <c r="H948" s="2">
        <v>-9531700.0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f t="shared" si="1"/>
        <v>9531700</v>
      </c>
      <c r="Q948" s="1"/>
      <c r="R948" s="1"/>
      <c r="S948" s="1"/>
      <c r="T948" s="1"/>
      <c r="U948" s="1"/>
      <c r="V948" s="6"/>
      <c r="W948" s="6"/>
    </row>
    <row r="949" ht="15.75" customHeight="1">
      <c r="A949" s="9" t="s">
        <v>29</v>
      </c>
      <c r="B949" s="10">
        <v>2026.0</v>
      </c>
      <c r="C949" s="14" t="s">
        <v>980</v>
      </c>
      <c r="D949" s="1" t="s">
        <v>990</v>
      </c>
      <c r="E949" s="15">
        <v>0.0</v>
      </c>
      <c r="F949" s="2">
        <v>0.0</v>
      </c>
      <c r="G949" s="2">
        <v>0.0</v>
      </c>
      <c r="H949" s="2">
        <v>-4070757.0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f t="shared" si="1"/>
        <v>4070757</v>
      </c>
      <c r="Q949" s="1"/>
      <c r="R949" s="1"/>
      <c r="S949" s="1"/>
      <c r="T949" s="1"/>
      <c r="U949" s="1"/>
      <c r="V949" s="6"/>
      <c r="W949" s="6"/>
    </row>
    <row r="950" ht="15.75" customHeight="1">
      <c r="A950" s="9" t="s">
        <v>29</v>
      </c>
      <c r="B950" s="10">
        <v>2026.0</v>
      </c>
      <c r="C950" s="14" t="s">
        <v>914</v>
      </c>
      <c r="D950" s="1" t="s">
        <v>991</v>
      </c>
      <c r="E950" s="15">
        <v>0.0</v>
      </c>
      <c r="F950" s="2">
        <v>0.0</v>
      </c>
      <c r="G950" s="2">
        <v>0.0</v>
      </c>
      <c r="H950" s="2">
        <v>-837375.0</v>
      </c>
      <c r="I950" s="2">
        <v>0.0</v>
      </c>
      <c r="J950" s="2">
        <v>0.0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f t="shared" si="1"/>
        <v>837375</v>
      </c>
      <c r="Q950" s="1"/>
      <c r="R950" s="1"/>
      <c r="S950" s="1"/>
      <c r="T950" s="1"/>
      <c r="U950" s="1"/>
      <c r="V950" s="6"/>
      <c r="W950" s="6"/>
    </row>
    <row r="951" ht="15.75" customHeight="1">
      <c r="A951" s="9" t="s">
        <v>29</v>
      </c>
      <c r="B951" s="10">
        <v>2026.0</v>
      </c>
      <c r="C951" s="14" t="s">
        <v>914</v>
      </c>
      <c r="D951" s="1" t="s">
        <v>992</v>
      </c>
      <c r="E951" s="15">
        <v>0.0</v>
      </c>
      <c r="F951" s="2">
        <v>0.0</v>
      </c>
      <c r="G951" s="2">
        <v>0.0</v>
      </c>
      <c r="H951" s="2">
        <v>-2384250.0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f t="shared" si="1"/>
        <v>2384250</v>
      </c>
      <c r="Q951" s="1"/>
      <c r="R951" s="1"/>
      <c r="S951" s="1"/>
      <c r="T951" s="1"/>
      <c r="U951" s="1"/>
      <c r="V951" s="6"/>
      <c r="W951" s="6"/>
    </row>
    <row r="952" ht="15.75" customHeight="1">
      <c r="A952" s="9" t="s">
        <v>29</v>
      </c>
      <c r="B952" s="10">
        <v>2026.0</v>
      </c>
      <c r="C952" s="14" t="s">
        <v>914</v>
      </c>
      <c r="D952" s="1" t="s">
        <v>993</v>
      </c>
      <c r="E952" s="15">
        <v>0.0</v>
      </c>
      <c r="F952" s="2">
        <v>0.0</v>
      </c>
      <c r="G952" s="2">
        <v>0.0</v>
      </c>
      <c r="H952" s="2">
        <v>-1537850.0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f t="shared" si="1"/>
        <v>1537850</v>
      </c>
      <c r="Q952" s="1"/>
      <c r="R952" s="1"/>
      <c r="S952" s="1"/>
      <c r="T952" s="1"/>
      <c r="U952" s="1"/>
      <c r="V952" s="6"/>
      <c r="W952" s="6"/>
    </row>
    <row r="953" ht="15.75" customHeight="1">
      <c r="A953" s="9" t="s">
        <v>29</v>
      </c>
      <c r="B953" s="10">
        <v>2026.0</v>
      </c>
      <c r="C953" s="14" t="s">
        <v>914</v>
      </c>
      <c r="D953" s="1" t="s">
        <v>994</v>
      </c>
      <c r="E953" s="15">
        <v>0.0</v>
      </c>
      <c r="F953" s="2">
        <v>0.0</v>
      </c>
      <c r="G953" s="2">
        <v>0.0</v>
      </c>
      <c r="H953" s="2">
        <v>-4463205.0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f t="shared" si="1"/>
        <v>4463205</v>
      </c>
      <c r="Q953" s="1"/>
      <c r="R953" s="1"/>
      <c r="S953" s="1"/>
      <c r="T953" s="1"/>
      <c r="U953" s="1"/>
      <c r="V953" s="6"/>
      <c r="W953" s="6"/>
    </row>
    <row r="954" ht="15.75" customHeight="1">
      <c r="A954" s="9" t="s">
        <v>29</v>
      </c>
      <c r="B954" s="10">
        <v>2026.0</v>
      </c>
      <c r="C954" s="14" t="s">
        <v>914</v>
      </c>
      <c r="D954" s="1" t="s">
        <v>995</v>
      </c>
      <c r="E954" s="15">
        <v>0.0</v>
      </c>
      <c r="F954" s="2">
        <v>0.0</v>
      </c>
      <c r="G954" s="2">
        <v>0.0</v>
      </c>
      <c r="H954" s="2">
        <v>-1.03133289E8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f t="shared" si="1"/>
        <v>103133289</v>
      </c>
      <c r="Q954" s="1"/>
      <c r="R954" s="1"/>
      <c r="S954" s="1"/>
      <c r="T954" s="1"/>
      <c r="U954" s="1"/>
      <c r="V954" s="6"/>
      <c r="W954" s="6"/>
    </row>
    <row r="955" ht="15.75" customHeight="1">
      <c r="A955" s="9" t="s">
        <v>29</v>
      </c>
      <c r="B955" s="10">
        <v>2026.0</v>
      </c>
      <c r="C955" s="14" t="s">
        <v>996</v>
      </c>
      <c r="D955" s="1" t="s">
        <v>997</v>
      </c>
      <c r="E955" s="15">
        <v>0.0</v>
      </c>
      <c r="F955" s="2">
        <v>0.0</v>
      </c>
      <c r="G955" s="2">
        <v>0.0</v>
      </c>
      <c r="H955" s="2">
        <v>-3.15E7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f t="shared" si="1"/>
        <v>31500000</v>
      </c>
      <c r="Q955" s="1"/>
      <c r="R955" s="1"/>
      <c r="S955" s="1"/>
      <c r="T955" s="1"/>
      <c r="U955" s="1"/>
      <c r="V955" s="6"/>
      <c r="W955" s="6"/>
    </row>
    <row r="956" ht="15.75" customHeight="1">
      <c r="A956" s="9" t="s">
        <v>29</v>
      </c>
      <c r="B956" s="10">
        <v>2026.0</v>
      </c>
      <c r="C956" s="14" t="s">
        <v>914</v>
      </c>
      <c r="D956" s="1" t="s">
        <v>998</v>
      </c>
      <c r="E956" s="15">
        <v>0.0</v>
      </c>
      <c r="F956" s="2">
        <v>0.0</v>
      </c>
      <c r="G956" s="2">
        <v>0.0</v>
      </c>
      <c r="H956" s="2">
        <v>-1.04801E7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f t="shared" si="1"/>
        <v>10480100</v>
      </c>
      <c r="Q956" s="1"/>
      <c r="R956" s="1"/>
      <c r="S956" s="1"/>
      <c r="T956" s="1"/>
      <c r="U956" s="1"/>
      <c r="V956" s="6"/>
      <c r="W956" s="6"/>
    </row>
    <row r="957" ht="15.75" customHeight="1">
      <c r="A957" s="9" t="s">
        <v>29</v>
      </c>
      <c r="B957" s="10">
        <v>2026.0</v>
      </c>
      <c r="C957" s="14" t="s">
        <v>914</v>
      </c>
      <c r="D957" s="1" t="s">
        <v>999</v>
      </c>
      <c r="E957" s="15">
        <v>0.0</v>
      </c>
      <c r="F957" s="2">
        <v>0.0</v>
      </c>
      <c r="G957" s="2">
        <v>0.0</v>
      </c>
      <c r="H957" s="2">
        <v>-750000.0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f t="shared" si="1"/>
        <v>750000</v>
      </c>
      <c r="Q957" s="1"/>
      <c r="R957" s="1"/>
      <c r="S957" s="1"/>
      <c r="T957" s="1"/>
      <c r="U957" s="1"/>
      <c r="V957" s="6"/>
      <c r="W957" s="6"/>
    </row>
    <row r="958" ht="15.75" customHeight="1">
      <c r="A958" s="9" t="s">
        <v>29</v>
      </c>
      <c r="B958" s="10">
        <v>2026.0</v>
      </c>
      <c r="C958" s="14" t="s">
        <v>914</v>
      </c>
      <c r="D958" s="1" t="s">
        <v>1000</v>
      </c>
      <c r="E958" s="15">
        <v>0.0</v>
      </c>
      <c r="F958" s="2">
        <v>0.0</v>
      </c>
      <c r="G958" s="2">
        <v>0.0</v>
      </c>
      <c r="H958" s="2">
        <v>-3778200.0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f t="shared" si="1"/>
        <v>3778200</v>
      </c>
      <c r="Q958" s="1"/>
      <c r="R958" s="1"/>
      <c r="S958" s="1"/>
      <c r="T958" s="1"/>
      <c r="U958" s="1"/>
      <c r="V958" s="6"/>
      <c r="W958" s="6"/>
    </row>
    <row r="959" ht="15.75" customHeight="1">
      <c r="A959" s="9" t="s">
        <v>29</v>
      </c>
      <c r="B959" s="10">
        <v>2026.0</v>
      </c>
      <c r="C959" s="14" t="s">
        <v>1001</v>
      </c>
      <c r="D959" s="1" t="s">
        <v>1002</v>
      </c>
      <c r="E959" s="15">
        <v>0.0</v>
      </c>
      <c r="F959" s="2">
        <v>0.0</v>
      </c>
      <c r="G959" s="2">
        <v>0.0</v>
      </c>
      <c r="H959" s="2">
        <v>-1.1535002E7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f t="shared" si="1"/>
        <v>11535002</v>
      </c>
      <c r="Q959" s="1"/>
      <c r="R959" s="1"/>
      <c r="S959" s="1"/>
      <c r="T959" s="1"/>
      <c r="U959" s="1"/>
      <c r="V959" s="6"/>
      <c r="W959" s="6"/>
    </row>
    <row r="960" ht="15.75" customHeight="1">
      <c r="A960" s="9" t="s">
        <v>29</v>
      </c>
      <c r="B960" s="10">
        <v>2026.0</v>
      </c>
      <c r="C960" s="14" t="s">
        <v>1003</v>
      </c>
      <c r="D960" s="1" t="s">
        <v>1004</v>
      </c>
      <c r="E960" s="15">
        <v>0.0</v>
      </c>
      <c r="F960" s="2">
        <v>0.0</v>
      </c>
      <c r="G960" s="2">
        <v>0.0</v>
      </c>
      <c r="H960" s="2">
        <v>-3320675.0</v>
      </c>
      <c r="I960" s="2">
        <v>0.0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2">
        <v>0.0</v>
      </c>
      <c r="P960" s="2">
        <f t="shared" si="1"/>
        <v>3320675</v>
      </c>
      <c r="Q960" s="1"/>
      <c r="R960" s="1"/>
      <c r="S960" s="1"/>
      <c r="T960" s="1"/>
      <c r="U960" s="1"/>
      <c r="V960" s="6"/>
      <c r="W960" s="6"/>
    </row>
    <row r="961" ht="15.75" customHeight="1">
      <c r="A961" s="9" t="s">
        <v>29</v>
      </c>
      <c r="B961" s="10">
        <v>2026.0</v>
      </c>
      <c r="C961" s="14" t="s">
        <v>1001</v>
      </c>
      <c r="D961" s="1" t="s">
        <v>1005</v>
      </c>
      <c r="E961" s="15">
        <v>0.0</v>
      </c>
      <c r="F961" s="2">
        <v>0.0</v>
      </c>
      <c r="G961" s="2">
        <v>0.0</v>
      </c>
      <c r="H961" s="2">
        <v>-5000062.0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f t="shared" si="1"/>
        <v>5000062</v>
      </c>
      <c r="Q961" s="1"/>
      <c r="R961" s="1"/>
      <c r="S961" s="1"/>
      <c r="T961" s="1"/>
      <c r="U961" s="1"/>
      <c r="V961" s="6"/>
      <c r="W961" s="6"/>
    </row>
    <row r="962" ht="15.75" customHeight="1">
      <c r="A962" s="9" t="s">
        <v>29</v>
      </c>
      <c r="B962" s="10">
        <v>2026.0</v>
      </c>
      <c r="C962" s="14" t="s">
        <v>1001</v>
      </c>
      <c r="D962" s="1" t="s">
        <v>1006</v>
      </c>
      <c r="E962" s="2">
        <v>0.0</v>
      </c>
      <c r="F962" s="2">
        <v>0.0</v>
      </c>
      <c r="G962" s="2">
        <v>0.0</v>
      </c>
      <c r="H962" s="2">
        <v>-8454857.0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f t="shared" si="1"/>
        <v>8454857</v>
      </c>
      <c r="Q962" s="1"/>
      <c r="R962" s="1"/>
      <c r="S962" s="1"/>
      <c r="T962" s="1"/>
      <c r="U962" s="1"/>
      <c r="V962" s="6"/>
      <c r="W962" s="6"/>
    </row>
    <row r="963" ht="15.75" customHeight="1">
      <c r="A963" s="9" t="s">
        <v>29</v>
      </c>
      <c r="B963" s="10">
        <v>2026.0</v>
      </c>
      <c r="C963" s="14" t="s">
        <v>1001</v>
      </c>
      <c r="D963" s="1" t="s">
        <v>1007</v>
      </c>
      <c r="E963" s="2">
        <v>0.0</v>
      </c>
      <c r="F963" s="2">
        <v>0.0</v>
      </c>
      <c r="G963" s="2">
        <v>0.0</v>
      </c>
      <c r="H963" s="2">
        <v>-6922102.0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f t="shared" si="1"/>
        <v>6922102</v>
      </c>
      <c r="Q963" s="1"/>
      <c r="R963" s="1"/>
      <c r="S963" s="1"/>
      <c r="T963" s="1"/>
      <c r="U963" s="1"/>
      <c r="V963" s="6"/>
      <c r="W963" s="6"/>
    </row>
    <row r="964" ht="15.75" customHeight="1">
      <c r="A964" s="9" t="s">
        <v>29</v>
      </c>
      <c r="B964" s="10">
        <v>2026.0</v>
      </c>
      <c r="C964" s="14" t="s">
        <v>914</v>
      </c>
      <c r="D964" s="1" t="s">
        <v>1008</v>
      </c>
      <c r="E964" s="2">
        <v>0.0</v>
      </c>
      <c r="F964" s="2">
        <v>0.0</v>
      </c>
      <c r="G964" s="2">
        <v>0.0</v>
      </c>
      <c r="H964" s="2">
        <v>-1.14897E7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f t="shared" si="1"/>
        <v>11489700</v>
      </c>
      <c r="Q964" s="1"/>
      <c r="R964" s="1"/>
      <c r="S964" s="1"/>
      <c r="T964" s="1"/>
      <c r="U964" s="1"/>
      <c r="V964" s="6"/>
      <c r="W964" s="6"/>
    </row>
    <row r="965" ht="15.75" customHeight="1">
      <c r="A965" s="9" t="s">
        <v>29</v>
      </c>
      <c r="B965" s="10">
        <v>2026.0</v>
      </c>
      <c r="C965" s="14" t="s">
        <v>1001</v>
      </c>
      <c r="D965" s="1" t="s">
        <v>1009</v>
      </c>
      <c r="E965" s="2">
        <v>0.0</v>
      </c>
      <c r="F965" s="2">
        <v>0.0</v>
      </c>
      <c r="G965" s="2">
        <v>0.0</v>
      </c>
      <c r="H965" s="2">
        <v>-1.007519E7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f t="shared" si="1"/>
        <v>10075190</v>
      </c>
      <c r="Q965" s="1"/>
      <c r="R965" s="1"/>
      <c r="S965" s="1"/>
      <c r="T965" s="1"/>
      <c r="U965" s="1"/>
      <c r="V965" s="6"/>
      <c r="W965" s="6"/>
    </row>
    <row r="966" ht="15.75" customHeight="1">
      <c r="A966" s="9" t="s">
        <v>29</v>
      </c>
      <c r="B966" s="10">
        <v>2026.0</v>
      </c>
      <c r="C966" s="14" t="s">
        <v>914</v>
      </c>
      <c r="D966" s="1" t="s">
        <v>1010</v>
      </c>
      <c r="E966" s="2">
        <v>0.0</v>
      </c>
      <c r="F966" s="2">
        <v>0.0</v>
      </c>
      <c r="G966" s="2">
        <v>0.0</v>
      </c>
      <c r="H966" s="2">
        <v>-7263840.0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f t="shared" si="1"/>
        <v>7263840</v>
      </c>
      <c r="Q966" s="1"/>
      <c r="R966" s="1"/>
      <c r="S966" s="1"/>
      <c r="T966" s="1"/>
      <c r="U966" s="1"/>
      <c r="V966" s="6"/>
      <c r="W966" s="6"/>
    </row>
    <row r="967" ht="15.75" customHeight="1">
      <c r="A967" s="9" t="s">
        <v>29</v>
      </c>
      <c r="B967" s="10">
        <v>2026.0</v>
      </c>
      <c r="C967" s="14" t="s">
        <v>914</v>
      </c>
      <c r="D967" s="1" t="s">
        <v>1011</v>
      </c>
      <c r="E967" s="2">
        <v>0.0</v>
      </c>
      <c r="F967" s="2">
        <v>0.0</v>
      </c>
      <c r="G967" s="2">
        <v>0.0</v>
      </c>
      <c r="H967" s="2">
        <v>-5980850.0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f t="shared" si="1"/>
        <v>5980850</v>
      </c>
      <c r="Q967" s="1"/>
      <c r="R967" s="1"/>
      <c r="S967" s="1"/>
      <c r="T967" s="1"/>
      <c r="U967" s="1"/>
      <c r="V967" s="6"/>
      <c r="W967" s="6"/>
    </row>
    <row r="968" ht="15.75" customHeight="1">
      <c r="A968" s="9" t="s">
        <v>29</v>
      </c>
      <c r="B968" s="10">
        <v>2026.0</v>
      </c>
      <c r="C968" s="14" t="s">
        <v>914</v>
      </c>
      <c r="D968" s="1" t="s">
        <v>1012</v>
      </c>
      <c r="E968" s="2">
        <v>0.0</v>
      </c>
      <c r="F968" s="2">
        <v>0.0</v>
      </c>
      <c r="G968" s="2">
        <v>0.0</v>
      </c>
      <c r="H968" s="2">
        <v>-7105600.0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f t="shared" si="1"/>
        <v>7105600</v>
      </c>
      <c r="Q968" s="1"/>
      <c r="R968" s="1"/>
      <c r="S968" s="1"/>
      <c r="T968" s="1"/>
      <c r="U968" s="1"/>
      <c r="V968" s="6"/>
      <c r="W968" s="6"/>
    </row>
    <row r="969" ht="15.75" customHeight="1">
      <c r="A969" s="9" t="s">
        <v>29</v>
      </c>
      <c r="B969" s="10">
        <v>2026.0</v>
      </c>
      <c r="C969" s="14" t="s">
        <v>1013</v>
      </c>
      <c r="D969" s="1" t="s">
        <v>1014</v>
      </c>
      <c r="E969" s="2">
        <v>0.0</v>
      </c>
      <c r="F969" s="2">
        <v>0.0</v>
      </c>
      <c r="G969" s="2">
        <v>0.0</v>
      </c>
      <c r="H969" s="2">
        <v>-1277400.0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f t="shared" si="1"/>
        <v>1277400</v>
      </c>
      <c r="Q969" s="1"/>
      <c r="R969" s="1"/>
      <c r="S969" s="1"/>
      <c r="T969" s="1"/>
      <c r="U969" s="1"/>
      <c r="V969" s="6"/>
      <c r="W969" s="6"/>
    </row>
    <row r="970" ht="15.75" customHeight="1">
      <c r="A970" s="9" t="s">
        <v>29</v>
      </c>
      <c r="B970" s="10">
        <v>2026.0</v>
      </c>
      <c r="C970" s="14" t="s">
        <v>980</v>
      </c>
      <c r="D970" s="1" t="s">
        <v>1015</v>
      </c>
      <c r="E970" s="2">
        <v>0.0</v>
      </c>
      <c r="F970" s="2">
        <v>0.0</v>
      </c>
      <c r="G970" s="2">
        <v>0.0</v>
      </c>
      <c r="H970" s="2">
        <v>-4070757.0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f t="shared" si="1"/>
        <v>4070757</v>
      </c>
      <c r="Q970" s="1"/>
      <c r="R970" s="1"/>
      <c r="S970" s="1"/>
      <c r="T970" s="1"/>
      <c r="U970" s="1"/>
      <c r="V970" s="6"/>
      <c r="W970" s="6"/>
    </row>
    <row r="971" ht="15.75" customHeight="1">
      <c r="A971" s="9" t="s">
        <v>29</v>
      </c>
      <c r="B971" s="10">
        <v>2026.0</v>
      </c>
      <c r="C971" s="14" t="s">
        <v>1013</v>
      </c>
      <c r="D971" s="1" t="s">
        <v>1016</v>
      </c>
      <c r="E971" s="2">
        <v>0.0</v>
      </c>
      <c r="F971" s="2">
        <v>0.0</v>
      </c>
      <c r="G971" s="2">
        <v>0.0</v>
      </c>
      <c r="H971" s="2">
        <v>-1842870.0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f t="shared" si="1"/>
        <v>1842870</v>
      </c>
      <c r="Q971" s="1"/>
      <c r="R971" s="1"/>
      <c r="S971" s="1"/>
      <c r="T971" s="1"/>
      <c r="U971" s="1"/>
      <c r="V971" s="6"/>
      <c r="W971" s="6"/>
    </row>
    <row r="972" ht="15.75" customHeight="1">
      <c r="A972" s="9" t="s">
        <v>29</v>
      </c>
      <c r="B972" s="10">
        <v>2026.0</v>
      </c>
      <c r="C972" s="14" t="s">
        <v>1013</v>
      </c>
      <c r="D972" s="1" t="s">
        <v>1017</v>
      </c>
      <c r="E972" s="2">
        <v>0.0</v>
      </c>
      <c r="F972" s="2">
        <v>0.0</v>
      </c>
      <c r="G972" s="2">
        <v>0.0</v>
      </c>
      <c r="H972" s="2">
        <v>-2039647.0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f t="shared" si="1"/>
        <v>2039647</v>
      </c>
      <c r="Q972" s="1"/>
      <c r="R972" s="1"/>
      <c r="S972" s="1"/>
      <c r="T972" s="1"/>
      <c r="U972" s="1"/>
      <c r="V972" s="6"/>
      <c r="W972" s="6"/>
    </row>
    <row r="973" ht="15.75" customHeight="1">
      <c r="A973" s="9" t="s">
        <v>29</v>
      </c>
      <c r="B973" s="10">
        <v>2026.0</v>
      </c>
      <c r="C973" s="14" t="s">
        <v>914</v>
      </c>
      <c r="D973" s="1" t="s">
        <v>1018</v>
      </c>
      <c r="E973" s="2">
        <v>0.0</v>
      </c>
      <c r="F973" s="2">
        <v>0.0</v>
      </c>
      <c r="G973" s="2">
        <v>0.0</v>
      </c>
      <c r="H973" s="2">
        <v>-7413800.0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f t="shared" si="1"/>
        <v>7413800</v>
      </c>
      <c r="Q973" s="1"/>
      <c r="R973" s="1"/>
      <c r="S973" s="1"/>
      <c r="T973" s="1"/>
      <c r="U973" s="1"/>
      <c r="V973" s="6"/>
      <c r="W973" s="6"/>
    </row>
    <row r="974" ht="15.75" customHeight="1">
      <c r="A974" s="9" t="s">
        <v>29</v>
      </c>
      <c r="B974" s="10">
        <v>2026.0</v>
      </c>
      <c r="C974" s="14" t="s">
        <v>914</v>
      </c>
      <c r="D974" s="1" t="s">
        <v>1019</v>
      </c>
      <c r="E974" s="2">
        <v>0.0</v>
      </c>
      <c r="F974" s="2">
        <v>0.0</v>
      </c>
      <c r="G974" s="2">
        <v>0.0</v>
      </c>
      <c r="H974" s="2">
        <v>-1.409928E7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f t="shared" si="1"/>
        <v>14099280</v>
      </c>
      <c r="Q974" s="1"/>
      <c r="R974" s="1"/>
      <c r="S974" s="1"/>
      <c r="T974" s="1"/>
      <c r="U974" s="1"/>
      <c r="V974" s="6"/>
      <c r="W974" s="6"/>
    </row>
    <row r="975" ht="15.75" customHeight="1">
      <c r="A975" s="9" t="s">
        <v>29</v>
      </c>
      <c r="B975" s="10">
        <v>2026.0</v>
      </c>
      <c r="C975" s="14" t="s">
        <v>898</v>
      </c>
      <c r="D975" s="12" t="s">
        <v>1020</v>
      </c>
      <c r="E975" s="2">
        <v>0.0</v>
      </c>
      <c r="F975" s="2">
        <v>0.0</v>
      </c>
      <c r="G975" s="2">
        <v>0.0</v>
      </c>
      <c r="H975" s="2">
        <v>-6.42E7</v>
      </c>
      <c r="I975" s="2">
        <v>0.0</v>
      </c>
      <c r="J975" s="2">
        <v>0.0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f t="shared" si="1"/>
        <v>64200000</v>
      </c>
      <c r="Q975" s="1"/>
      <c r="R975" s="1"/>
      <c r="S975" s="1"/>
      <c r="T975" s="1"/>
      <c r="U975" s="1"/>
      <c r="V975" s="6"/>
      <c r="W975" s="6"/>
    </row>
    <row r="976" ht="15.75" customHeight="1">
      <c r="A976" s="9" t="s">
        <v>29</v>
      </c>
      <c r="B976" s="10">
        <v>2026.0</v>
      </c>
      <c r="C976" s="14" t="s">
        <v>898</v>
      </c>
      <c r="D976" s="12" t="s">
        <v>1021</v>
      </c>
      <c r="E976" s="2">
        <v>0.0</v>
      </c>
      <c r="F976" s="2">
        <v>0.0</v>
      </c>
      <c r="G976" s="2">
        <v>0.0</v>
      </c>
      <c r="H976" s="2">
        <v>-950000.0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f t="shared" si="1"/>
        <v>950000</v>
      </c>
      <c r="Q976" s="1"/>
      <c r="R976" s="1"/>
      <c r="S976" s="1"/>
      <c r="T976" s="1"/>
      <c r="U976" s="1"/>
      <c r="V976" s="6"/>
      <c r="W976" s="6"/>
    </row>
    <row r="977" ht="15.75" customHeight="1">
      <c r="A977" s="9" t="s">
        <v>29</v>
      </c>
      <c r="B977" s="10">
        <v>2026.0</v>
      </c>
      <c r="C977" s="14" t="s">
        <v>952</v>
      </c>
      <c r="D977" s="12" t="s">
        <v>1022</v>
      </c>
      <c r="E977" s="2">
        <v>0.0</v>
      </c>
      <c r="F977" s="2">
        <v>0.0</v>
      </c>
      <c r="G977" s="2">
        <v>0.0</v>
      </c>
      <c r="H977" s="2">
        <v>-1250000.0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f t="shared" si="1"/>
        <v>1250000</v>
      </c>
      <c r="Q977" s="1"/>
      <c r="R977" s="1"/>
      <c r="S977" s="1"/>
      <c r="T977" s="1"/>
      <c r="U977" s="1"/>
      <c r="V977" s="6"/>
      <c r="W977" s="6"/>
    </row>
    <row r="978" ht="15.75" customHeight="1">
      <c r="A978" s="9" t="s">
        <v>29</v>
      </c>
      <c r="B978" s="10">
        <v>2026.0</v>
      </c>
      <c r="C978" s="14" t="s">
        <v>946</v>
      </c>
      <c r="D978" s="12" t="s">
        <v>1023</v>
      </c>
      <c r="E978" s="2">
        <v>0.0</v>
      </c>
      <c r="F978" s="2">
        <v>0.0</v>
      </c>
      <c r="G978" s="2">
        <v>0.0</v>
      </c>
      <c r="H978" s="2">
        <v>-372000.0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f t="shared" si="1"/>
        <v>372000</v>
      </c>
      <c r="Q978" s="1"/>
      <c r="R978" s="1"/>
      <c r="S978" s="1"/>
      <c r="T978" s="1"/>
      <c r="U978" s="1"/>
      <c r="V978" s="6"/>
      <c r="W978" s="6"/>
    </row>
    <row r="979" ht="15.75" customHeight="1">
      <c r="A979" s="9" t="s">
        <v>29</v>
      </c>
      <c r="B979" s="10">
        <v>2026.0</v>
      </c>
      <c r="C979" s="14" t="s">
        <v>946</v>
      </c>
      <c r="D979" s="12" t="s">
        <v>1024</v>
      </c>
      <c r="E979" s="2">
        <v>0.0</v>
      </c>
      <c r="F979" s="2">
        <v>0.0</v>
      </c>
      <c r="G979" s="2">
        <v>0.0</v>
      </c>
      <c r="H979" s="2">
        <v>-3879861.0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f t="shared" si="1"/>
        <v>3879861</v>
      </c>
      <c r="Q979" s="1"/>
      <c r="R979" s="1"/>
      <c r="S979" s="1"/>
      <c r="T979" s="1"/>
      <c r="U979" s="1"/>
      <c r="V979" s="6"/>
      <c r="W979" s="6"/>
    </row>
    <row r="980" ht="15.75" customHeight="1">
      <c r="A980" s="9" t="s">
        <v>29</v>
      </c>
      <c r="B980" s="10">
        <v>2026.0</v>
      </c>
      <c r="C980" s="14" t="s">
        <v>946</v>
      </c>
      <c r="D980" s="12" t="s">
        <v>1025</v>
      </c>
      <c r="E980" s="2">
        <v>0.0</v>
      </c>
      <c r="F980" s="2">
        <v>0.0</v>
      </c>
      <c r="G980" s="2">
        <v>0.0</v>
      </c>
      <c r="H980" s="2">
        <v>-1.3971636E7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f t="shared" si="1"/>
        <v>13971636</v>
      </c>
      <c r="Q980" s="1"/>
      <c r="R980" s="1"/>
      <c r="S980" s="1"/>
      <c r="T980" s="1"/>
      <c r="U980" s="1"/>
      <c r="V980" s="6"/>
      <c r="W980" s="6"/>
    </row>
    <row r="981" ht="15.75" customHeight="1">
      <c r="A981" s="9" t="s">
        <v>29</v>
      </c>
      <c r="B981" s="10">
        <v>2026.0</v>
      </c>
      <c r="C981" s="14" t="s">
        <v>946</v>
      </c>
      <c r="D981" s="12" t="s">
        <v>1026</v>
      </c>
      <c r="E981" s="2">
        <v>0.0</v>
      </c>
      <c r="F981" s="2">
        <v>0.0</v>
      </c>
      <c r="G981" s="2">
        <v>0.0</v>
      </c>
      <c r="H981" s="2">
        <v>-1612602.0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f t="shared" si="1"/>
        <v>1612602</v>
      </c>
      <c r="Q981" s="1"/>
      <c r="R981" s="1"/>
      <c r="S981" s="1"/>
      <c r="T981" s="1"/>
      <c r="U981" s="1"/>
      <c r="V981" s="6"/>
      <c r="W981" s="6"/>
    </row>
    <row r="982" ht="15.75" customHeight="1">
      <c r="A982" s="9" t="s">
        <v>29</v>
      </c>
      <c r="B982" s="10">
        <v>2026.0</v>
      </c>
      <c r="C982" s="14" t="s">
        <v>901</v>
      </c>
      <c r="D982" s="12" t="s">
        <v>1027</v>
      </c>
      <c r="E982" s="2">
        <v>0.0</v>
      </c>
      <c r="F982" s="2">
        <v>0.0</v>
      </c>
      <c r="G982" s="2">
        <v>0.0</v>
      </c>
      <c r="H982" s="2">
        <v>-2.61849E7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f t="shared" si="1"/>
        <v>26184900</v>
      </c>
      <c r="Q982" s="1"/>
      <c r="R982" s="1"/>
      <c r="S982" s="1"/>
      <c r="T982" s="1"/>
      <c r="U982" s="1"/>
      <c r="V982" s="6"/>
      <c r="W982" s="6"/>
    </row>
    <row r="983" ht="15.75" customHeight="1">
      <c r="A983" s="9" t="s">
        <v>29</v>
      </c>
      <c r="B983" s="10">
        <v>2026.0</v>
      </c>
      <c r="C983" s="1" t="s">
        <v>901</v>
      </c>
      <c r="D983" s="12" t="s">
        <v>1028</v>
      </c>
      <c r="E983" s="2">
        <v>0.0</v>
      </c>
      <c r="F983" s="2">
        <v>0.0</v>
      </c>
      <c r="G983" s="2">
        <v>0.0</v>
      </c>
      <c r="H983" s="2">
        <v>-2.56669E7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f t="shared" si="1"/>
        <v>25666900</v>
      </c>
      <c r="Q983" s="1"/>
      <c r="R983" s="1"/>
      <c r="S983" s="1"/>
      <c r="T983" s="1"/>
      <c r="U983" s="1"/>
      <c r="V983" s="6"/>
      <c r="W983" s="6"/>
    </row>
    <row r="984" ht="15.75" customHeight="1">
      <c r="A984" s="9" t="s">
        <v>29</v>
      </c>
      <c r="B984" s="10">
        <v>2026.0</v>
      </c>
      <c r="C984" s="1" t="s">
        <v>901</v>
      </c>
      <c r="D984" s="12" t="s">
        <v>1029</v>
      </c>
      <c r="E984" s="2">
        <v>0.0</v>
      </c>
      <c r="F984" s="2">
        <v>0.0</v>
      </c>
      <c r="G984" s="2">
        <v>0.0</v>
      </c>
      <c r="H984" s="2">
        <v>-3.8696776E7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f t="shared" si="1"/>
        <v>38696776</v>
      </c>
      <c r="Q984" s="1"/>
      <c r="R984" s="1"/>
      <c r="S984" s="1"/>
      <c r="T984" s="1"/>
      <c r="U984" s="1"/>
      <c r="V984" s="6"/>
      <c r="W984" s="6"/>
    </row>
    <row r="985" ht="15.75" customHeight="1">
      <c r="A985" s="9" t="s">
        <v>29</v>
      </c>
      <c r="B985" s="10">
        <v>2026.0</v>
      </c>
      <c r="C985" s="14" t="s">
        <v>901</v>
      </c>
      <c r="D985" s="1" t="s">
        <v>1030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-295000.0</v>
      </c>
      <c r="N985" s="2">
        <v>0.0</v>
      </c>
      <c r="O985" s="2">
        <v>0.0</v>
      </c>
      <c r="P985" s="2">
        <f t="shared" si="1"/>
        <v>295000</v>
      </c>
      <c r="Q985" s="1"/>
      <c r="R985" s="1"/>
      <c r="S985" s="1"/>
      <c r="T985" s="1"/>
      <c r="U985" s="1"/>
      <c r="V985" s="6"/>
      <c r="W985" s="6"/>
    </row>
    <row r="986" ht="15.75" customHeight="1">
      <c r="A986" s="9" t="s">
        <v>29</v>
      </c>
      <c r="B986" s="10">
        <v>2026.0</v>
      </c>
      <c r="C986" s="14" t="s">
        <v>901</v>
      </c>
      <c r="D986" s="1" t="s">
        <v>1031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-168001.0</v>
      </c>
      <c r="N986" s="2">
        <v>0.0</v>
      </c>
      <c r="O986" s="2">
        <v>0.0</v>
      </c>
      <c r="P986" s="2">
        <f t="shared" si="1"/>
        <v>168001</v>
      </c>
      <c r="Q986" s="1"/>
      <c r="R986" s="1"/>
      <c r="S986" s="1"/>
      <c r="T986" s="1"/>
      <c r="U986" s="1"/>
      <c r="V986" s="6"/>
      <c r="W986" s="6"/>
    </row>
    <row r="987" ht="15.75" customHeight="1">
      <c r="A987" s="9" t="s">
        <v>29</v>
      </c>
      <c r="B987" s="10">
        <v>2026.0</v>
      </c>
      <c r="C987" s="14" t="s">
        <v>975</v>
      </c>
      <c r="D987" s="1" t="s">
        <v>1032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-52400.0</v>
      </c>
      <c r="N987" s="2">
        <v>0.0</v>
      </c>
      <c r="O987" s="2">
        <v>0.0</v>
      </c>
      <c r="P987" s="2">
        <f t="shared" si="1"/>
        <v>52400</v>
      </c>
      <c r="Q987" s="1"/>
      <c r="R987" s="1"/>
      <c r="S987" s="1"/>
      <c r="T987" s="1"/>
      <c r="U987" s="1"/>
      <c r="V987" s="6"/>
      <c r="W987" s="6"/>
    </row>
    <row r="988" ht="15.75" customHeight="1">
      <c r="A988" s="9" t="s">
        <v>29</v>
      </c>
      <c r="B988" s="10">
        <v>2026.0</v>
      </c>
      <c r="C988" s="14" t="s">
        <v>134</v>
      </c>
      <c r="D988" s="1" t="s">
        <v>1033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-5324000.0</v>
      </c>
      <c r="O988" s="2">
        <v>0.0</v>
      </c>
      <c r="P988" s="2">
        <f t="shared" si="1"/>
        <v>5324000</v>
      </c>
      <c r="Q988" s="1"/>
      <c r="R988" s="1"/>
      <c r="S988" s="1"/>
      <c r="T988" s="1"/>
      <c r="U988" s="1"/>
      <c r="V988" s="6"/>
      <c r="W988" s="6"/>
    </row>
    <row r="989" ht="15.75" customHeight="1">
      <c r="A989" s="9" t="s">
        <v>29</v>
      </c>
      <c r="B989" s="10">
        <v>2026.0</v>
      </c>
      <c r="C989" s="14" t="s">
        <v>134</v>
      </c>
      <c r="D989" s="1" t="s">
        <v>1034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0.0</v>
      </c>
      <c r="M989" s="2">
        <v>0.0</v>
      </c>
      <c r="N989" s="2">
        <v>-1439000.0</v>
      </c>
      <c r="O989" s="2">
        <v>0.0</v>
      </c>
      <c r="P989" s="2">
        <f t="shared" si="1"/>
        <v>1439000</v>
      </c>
      <c r="Q989" s="1"/>
      <c r="R989" s="1"/>
      <c r="S989" s="1"/>
      <c r="T989" s="1"/>
      <c r="U989" s="1"/>
      <c r="V989" s="6"/>
      <c r="W989" s="6"/>
    </row>
    <row r="990" ht="15.75" customHeight="1">
      <c r="A990" s="9" t="s">
        <v>29</v>
      </c>
      <c r="B990" s="10">
        <v>2026.0</v>
      </c>
      <c r="C990" s="14" t="s">
        <v>134</v>
      </c>
      <c r="D990" s="1" t="s">
        <v>1035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-3800000.0</v>
      </c>
      <c r="O990" s="2">
        <v>0.0</v>
      </c>
      <c r="P990" s="2">
        <f t="shared" si="1"/>
        <v>3800000</v>
      </c>
      <c r="Q990" s="1"/>
      <c r="R990" s="1"/>
      <c r="S990" s="1"/>
      <c r="T990" s="1"/>
      <c r="U990" s="1"/>
      <c r="V990" s="6"/>
      <c r="W990" s="6"/>
    </row>
    <row r="991" ht="15.75" customHeight="1">
      <c r="A991" s="9" t="s">
        <v>29</v>
      </c>
      <c r="B991" s="10">
        <v>2026.0</v>
      </c>
      <c r="C991" s="14" t="s">
        <v>134</v>
      </c>
      <c r="D991" s="1" t="s">
        <v>1036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-280035.0</v>
      </c>
      <c r="O991" s="2">
        <v>0.0</v>
      </c>
      <c r="P991" s="2">
        <f t="shared" si="1"/>
        <v>280035</v>
      </c>
      <c r="Q991" s="1"/>
      <c r="R991" s="1"/>
      <c r="S991" s="1"/>
      <c r="T991" s="1"/>
      <c r="U991" s="1"/>
      <c r="V991" s="6"/>
      <c r="W991" s="6"/>
    </row>
    <row r="992" ht="15.75" customHeight="1">
      <c r="A992" s="9" t="s">
        <v>29</v>
      </c>
      <c r="B992" s="10">
        <v>2026.0</v>
      </c>
      <c r="C992" s="14" t="s">
        <v>134</v>
      </c>
      <c r="D992" s="1" t="s">
        <v>1037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-280035.0</v>
      </c>
      <c r="O992" s="2">
        <v>0.0</v>
      </c>
      <c r="P992" s="2">
        <f t="shared" si="1"/>
        <v>280035</v>
      </c>
      <c r="Q992" s="1"/>
      <c r="R992" s="1"/>
      <c r="S992" s="1"/>
      <c r="T992" s="1"/>
      <c r="U992" s="1"/>
      <c r="V992" s="6"/>
      <c r="W992" s="6"/>
    </row>
    <row r="993" ht="15.75" customHeight="1">
      <c r="A993" s="9" t="s">
        <v>29</v>
      </c>
      <c r="B993" s="10">
        <v>2026.0</v>
      </c>
      <c r="C993" s="14" t="s">
        <v>1038</v>
      </c>
      <c r="D993" s="1" t="s">
        <v>1039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-1235934.0</v>
      </c>
      <c r="O993" s="2">
        <v>0.0</v>
      </c>
      <c r="P993" s="2">
        <f t="shared" si="1"/>
        <v>1235934</v>
      </c>
      <c r="Q993" s="1"/>
      <c r="R993" s="1"/>
      <c r="S993" s="1"/>
      <c r="T993" s="1"/>
      <c r="U993" s="1"/>
      <c r="V993" s="6"/>
      <c r="W993" s="6"/>
    </row>
    <row r="994" ht="15.75" customHeight="1">
      <c r="A994" s="9" t="s">
        <v>29</v>
      </c>
      <c r="B994" s="10">
        <v>2026.0</v>
      </c>
      <c r="C994" s="14" t="s">
        <v>914</v>
      </c>
      <c r="D994" s="1" t="s">
        <v>1039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-972716.0</v>
      </c>
      <c r="O994" s="2">
        <v>0.0</v>
      </c>
      <c r="P994" s="2">
        <f t="shared" si="1"/>
        <v>972716</v>
      </c>
      <c r="Q994" s="1"/>
      <c r="R994" s="1"/>
      <c r="S994" s="1"/>
      <c r="T994" s="1"/>
      <c r="U994" s="1"/>
      <c r="V994" s="6"/>
      <c r="W994" s="6"/>
    </row>
    <row r="995" ht="15.75" customHeight="1">
      <c r="A995" s="9" t="s">
        <v>29</v>
      </c>
      <c r="B995" s="10">
        <v>2026.0</v>
      </c>
      <c r="C995" s="14" t="s">
        <v>914</v>
      </c>
      <c r="D995" s="1" t="s">
        <v>1039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0.0</v>
      </c>
      <c r="M995" s="2">
        <v>0.0</v>
      </c>
      <c r="N995" s="2">
        <v>-919014.0</v>
      </c>
      <c r="O995" s="2">
        <v>0.0</v>
      </c>
      <c r="P995" s="2">
        <f t="shared" si="1"/>
        <v>919014</v>
      </c>
      <c r="Q995" s="1"/>
      <c r="R995" s="1"/>
      <c r="S995" s="1"/>
      <c r="T995" s="1"/>
      <c r="U995" s="1"/>
      <c r="V995" s="6"/>
      <c r="W995" s="6"/>
    </row>
    <row r="996" ht="15.75" customHeight="1">
      <c r="A996" s="9" t="s">
        <v>29</v>
      </c>
      <c r="B996" s="10">
        <v>2026.0</v>
      </c>
      <c r="C996" s="14" t="s">
        <v>1038</v>
      </c>
      <c r="D996" s="1" t="s">
        <v>1040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2">
        <v>-1700000.0</v>
      </c>
      <c r="O996" s="2">
        <v>0.0</v>
      </c>
      <c r="P996" s="2">
        <f t="shared" si="1"/>
        <v>1700000</v>
      </c>
      <c r="Q996" s="1"/>
      <c r="R996" s="1"/>
      <c r="S996" s="1"/>
      <c r="T996" s="1"/>
      <c r="U996" s="1"/>
      <c r="V996" s="6"/>
      <c r="W996" s="6"/>
    </row>
    <row r="997" ht="15.75" customHeight="1">
      <c r="A997" s="9" t="s">
        <v>29</v>
      </c>
      <c r="B997" s="10">
        <v>2026.0</v>
      </c>
      <c r="C997" s="14" t="s">
        <v>914</v>
      </c>
      <c r="D997" s="1" t="s">
        <v>1041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-1518000.0</v>
      </c>
      <c r="O997" s="2">
        <v>0.0</v>
      </c>
      <c r="P997" s="2">
        <f t="shared" si="1"/>
        <v>1518000</v>
      </c>
      <c r="Q997" s="1"/>
      <c r="R997" s="1"/>
      <c r="S997" s="1"/>
      <c r="T997" s="1"/>
      <c r="U997" s="1"/>
      <c r="V997" s="6"/>
      <c r="W997" s="6"/>
    </row>
    <row r="998" ht="15.75" customHeight="1">
      <c r="A998" s="9" t="s">
        <v>29</v>
      </c>
      <c r="B998" s="10">
        <v>2026.0</v>
      </c>
      <c r="C998" s="14" t="s">
        <v>914</v>
      </c>
      <c r="D998" s="1" t="s">
        <v>1042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-2690418.0</v>
      </c>
      <c r="O998" s="2">
        <v>0.0</v>
      </c>
      <c r="P998" s="2">
        <f t="shared" si="1"/>
        <v>2690418</v>
      </c>
      <c r="Q998" s="1"/>
      <c r="R998" s="1"/>
      <c r="S998" s="1"/>
      <c r="T998" s="1"/>
      <c r="U998" s="1"/>
      <c r="V998" s="6"/>
      <c r="W998" s="6"/>
    </row>
    <row r="999" ht="15.75" customHeight="1">
      <c r="A999" s="9" t="s">
        <v>29</v>
      </c>
      <c r="B999" s="10">
        <v>2026.0</v>
      </c>
      <c r="C999" s="14" t="s">
        <v>914</v>
      </c>
      <c r="D999" s="1" t="s">
        <v>1043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-1300000.0</v>
      </c>
      <c r="O999" s="2">
        <v>0.0</v>
      </c>
      <c r="P999" s="2">
        <f t="shared" si="1"/>
        <v>1300000</v>
      </c>
      <c r="Q999" s="1"/>
      <c r="R999" s="1"/>
      <c r="S999" s="1"/>
      <c r="T999" s="1"/>
      <c r="U999" s="1"/>
      <c r="V999" s="6"/>
      <c r="W999" s="6"/>
    </row>
    <row r="1000" ht="15.75" customHeight="1">
      <c r="A1000" s="9" t="s">
        <v>29</v>
      </c>
      <c r="B1000" s="10">
        <v>2026.0</v>
      </c>
      <c r="C1000" s="14" t="s">
        <v>914</v>
      </c>
      <c r="D1000" s="1" t="s">
        <v>1042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-1609044.0</v>
      </c>
      <c r="O1000" s="2">
        <v>0.0</v>
      </c>
      <c r="P1000" s="2">
        <f t="shared" si="1"/>
        <v>1609044</v>
      </c>
      <c r="Q1000" s="1"/>
      <c r="R1000" s="1"/>
      <c r="S1000" s="1"/>
      <c r="T1000" s="1"/>
      <c r="U1000" s="1"/>
      <c r="V1000" s="6"/>
      <c r="W1000" s="6"/>
    </row>
    <row r="1001" ht="15.75" customHeight="1">
      <c r="A1001" s="9" t="s">
        <v>29</v>
      </c>
      <c r="B1001" s="10">
        <v>2026.0</v>
      </c>
      <c r="C1001" s="14" t="s">
        <v>914</v>
      </c>
      <c r="D1001" s="1" t="s">
        <v>1042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-909696.0</v>
      </c>
      <c r="O1001" s="2">
        <v>0.0</v>
      </c>
      <c r="P1001" s="2">
        <f t="shared" si="1"/>
        <v>909696</v>
      </c>
      <c r="Q1001" s="1"/>
      <c r="R1001" s="1"/>
      <c r="S1001" s="1"/>
      <c r="T1001" s="1"/>
      <c r="U1001" s="1"/>
      <c r="V1001" s="6"/>
      <c r="W1001" s="6"/>
    </row>
    <row r="1002" ht="15.75" customHeight="1">
      <c r="A1002" s="9" t="s">
        <v>29</v>
      </c>
      <c r="B1002" s="10">
        <v>2026.0</v>
      </c>
      <c r="C1002" s="14" t="s">
        <v>914</v>
      </c>
      <c r="D1002" s="1" t="s">
        <v>1042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-218355.0</v>
      </c>
      <c r="O1002" s="2">
        <v>0.0</v>
      </c>
      <c r="P1002" s="2">
        <f t="shared" si="1"/>
        <v>218355</v>
      </c>
      <c r="Q1002" s="1"/>
      <c r="R1002" s="1"/>
      <c r="S1002" s="1"/>
      <c r="T1002" s="1"/>
      <c r="U1002" s="1"/>
      <c r="V1002" s="6"/>
      <c r="W1002" s="6"/>
    </row>
    <row r="1003" ht="15.75" customHeight="1">
      <c r="A1003" s="9" t="s">
        <v>29</v>
      </c>
      <c r="B1003" s="10">
        <v>2026.0</v>
      </c>
      <c r="C1003" s="14" t="s">
        <v>914</v>
      </c>
      <c r="D1003" s="1" t="s">
        <v>1042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-1195728.0</v>
      </c>
      <c r="O1003" s="2">
        <v>0.0</v>
      </c>
      <c r="P1003" s="2">
        <f t="shared" si="1"/>
        <v>1195728</v>
      </c>
      <c r="Q1003" s="1"/>
      <c r="R1003" s="1"/>
      <c r="S1003" s="1"/>
      <c r="T1003" s="1"/>
      <c r="U1003" s="1"/>
      <c r="V1003" s="6"/>
      <c r="W1003" s="6"/>
    </row>
    <row r="1004" ht="15.75" customHeight="1">
      <c r="A1004" s="9" t="s">
        <v>29</v>
      </c>
      <c r="B1004" s="10">
        <v>2026.0</v>
      </c>
      <c r="C1004" s="14" t="s">
        <v>914</v>
      </c>
      <c r="D1004" s="1" t="s">
        <v>1041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-2048000.0</v>
      </c>
      <c r="O1004" s="2">
        <v>0.0</v>
      </c>
      <c r="P1004" s="2">
        <f t="shared" si="1"/>
        <v>2048000</v>
      </c>
      <c r="Q1004" s="1"/>
      <c r="R1004" s="1"/>
      <c r="S1004" s="1"/>
      <c r="T1004" s="1"/>
      <c r="U1004" s="1"/>
      <c r="V1004" s="6"/>
      <c r="W1004" s="6"/>
    </row>
    <row r="1005" ht="15.75" customHeight="1">
      <c r="A1005" s="9" t="s">
        <v>29</v>
      </c>
      <c r="B1005" s="10">
        <v>2026.0</v>
      </c>
      <c r="C1005" s="14" t="s">
        <v>914</v>
      </c>
      <c r="D1005" s="1" t="s">
        <v>1042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-596142.0</v>
      </c>
      <c r="O1005" s="2">
        <v>0.0</v>
      </c>
      <c r="P1005" s="2">
        <f t="shared" si="1"/>
        <v>596142</v>
      </c>
      <c r="Q1005" s="1"/>
      <c r="R1005" s="1"/>
      <c r="S1005" s="1"/>
      <c r="T1005" s="1"/>
      <c r="U1005" s="1"/>
      <c r="V1005" s="6"/>
      <c r="W1005" s="6"/>
    </row>
    <row r="1006" ht="15.75" customHeight="1">
      <c r="A1006" s="9" t="s">
        <v>29</v>
      </c>
      <c r="B1006" s="10">
        <v>2026.0</v>
      </c>
      <c r="C1006" s="14" t="s">
        <v>914</v>
      </c>
      <c r="D1006" s="1" t="s">
        <v>1041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-2298000.0</v>
      </c>
      <c r="O1006" s="2">
        <v>0.0</v>
      </c>
      <c r="P1006" s="2">
        <f t="shared" si="1"/>
        <v>2298000</v>
      </c>
      <c r="Q1006" s="1"/>
      <c r="R1006" s="1"/>
      <c r="S1006" s="1"/>
      <c r="T1006" s="1"/>
      <c r="U1006" s="1"/>
      <c r="V1006" s="6"/>
      <c r="W1006" s="6"/>
    </row>
    <row r="1007" ht="15.75" customHeight="1">
      <c r="A1007" s="9" t="s">
        <v>29</v>
      </c>
      <c r="B1007" s="10">
        <v>2026.0</v>
      </c>
      <c r="C1007" s="14" t="s">
        <v>1044</v>
      </c>
      <c r="D1007" s="1" t="s">
        <v>1045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-2155272.0</v>
      </c>
      <c r="O1007" s="2">
        <v>0.0</v>
      </c>
      <c r="P1007" s="2">
        <f t="shared" si="1"/>
        <v>2155272</v>
      </c>
      <c r="Q1007" s="1"/>
      <c r="R1007" s="1"/>
      <c r="S1007" s="1"/>
      <c r="T1007" s="1"/>
      <c r="U1007" s="1"/>
      <c r="V1007" s="6"/>
      <c r="W1007" s="6"/>
    </row>
    <row r="1008" ht="15.75" customHeight="1">
      <c r="A1008" s="9" t="s">
        <v>29</v>
      </c>
      <c r="B1008" s="10">
        <v>2026.0</v>
      </c>
      <c r="C1008" s="14" t="s">
        <v>1044</v>
      </c>
      <c r="D1008" s="1" t="s">
        <v>1046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-1234500.0</v>
      </c>
      <c r="O1008" s="2">
        <v>0.0</v>
      </c>
      <c r="P1008" s="2">
        <f t="shared" si="1"/>
        <v>1234500</v>
      </c>
      <c r="Q1008" s="1"/>
      <c r="R1008" s="1"/>
      <c r="S1008" s="1"/>
      <c r="T1008" s="1"/>
      <c r="U1008" s="1"/>
      <c r="V1008" s="6"/>
      <c r="W1008" s="6"/>
    </row>
    <row r="1009" ht="15.75" customHeight="1">
      <c r="A1009" s="9" t="s">
        <v>29</v>
      </c>
      <c r="B1009" s="10">
        <v>2026.0</v>
      </c>
      <c r="C1009" s="14" t="s">
        <v>1044</v>
      </c>
      <c r="D1009" s="1" t="s">
        <v>1045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-1674526.0</v>
      </c>
      <c r="O1009" s="2">
        <v>0.0</v>
      </c>
      <c r="P1009" s="2">
        <f t="shared" si="1"/>
        <v>1674526</v>
      </c>
      <c r="Q1009" s="1"/>
      <c r="R1009" s="1"/>
      <c r="S1009" s="1"/>
      <c r="T1009" s="1"/>
      <c r="U1009" s="1"/>
      <c r="V1009" s="6"/>
      <c r="W1009" s="6"/>
    </row>
    <row r="1010" ht="15.75" customHeight="1">
      <c r="A1010" s="9" t="s">
        <v>29</v>
      </c>
      <c r="B1010" s="10">
        <v>2026.0</v>
      </c>
      <c r="C1010" s="14" t="s">
        <v>1044</v>
      </c>
      <c r="D1010" s="1" t="s">
        <v>1045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-1881188.0</v>
      </c>
      <c r="O1010" s="2">
        <v>0.0</v>
      </c>
      <c r="P1010" s="2">
        <f t="shared" si="1"/>
        <v>1881188</v>
      </c>
      <c r="Q1010" s="1"/>
      <c r="R1010" s="1"/>
      <c r="S1010" s="1"/>
      <c r="T1010" s="1"/>
      <c r="U1010" s="1"/>
      <c r="V1010" s="6"/>
      <c r="W1010" s="6"/>
    </row>
    <row r="1011" ht="15.75" customHeight="1">
      <c r="A1011" s="9" t="s">
        <v>29</v>
      </c>
      <c r="B1011" s="10">
        <v>2026.0</v>
      </c>
      <c r="C1011" s="14" t="s">
        <v>1044</v>
      </c>
      <c r="D1011" s="1" t="s">
        <v>1045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-1828528.0</v>
      </c>
      <c r="O1011" s="2">
        <v>0.0</v>
      </c>
      <c r="P1011" s="2">
        <f t="shared" si="1"/>
        <v>1828528</v>
      </c>
      <c r="Q1011" s="1"/>
      <c r="R1011" s="1"/>
      <c r="S1011" s="1"/>
      <c r="T1011" s="1"/>
      <c r="U1011" s="1"/>
      <c r="V1011" s="6"/>
      <c r="W1011" s="6"/>
    </row>
    <row r="1012" ht="15.75" customHeight="1">
      <c r="A1012" s="9" t="s">
        <v>29</v>
      </c>
      <c r="B1012" s="10">
        <v>2026.0</v>
      </c>
      <c r="C1012" s="14" t="s">
        <v>1044</v>
      </c>
      <c r="D1012" s="1" t="s">
        <v>1045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-4020178.0</v>
      </c>
      <c r="O1012" s="2">
        <v>0.0</v>
      </c>
      <c r="P1012" s="2">
        <f t="shared" si="1"/>
        <v>4020178</v>
      </c>
      <c r="Q1012" s="1"/>
      <c r="R1012" s="1"/>
      <c r="S1012" s="1"/>
      <c r="T1012" s="1"/>
      <c r="U1012" s="1"/>
      <c r="V1012" s="6"/>
      <c r="W1012" s="6"/>
    </row>
    <row r="1013" ht="15.75" customHeight="1">
      <c r="A1013" s="9" t="s">
        <v>29</v>
      </c>
      <c r="B1013" s="10">
        <v>2026.0</v>
      </c>
      <c r="C1013" s="14" t="s">
        <v>1044</v>
      </c>
      <c r="D1013" s="1" t="s">
        <v>1045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-814169.0</v>
      </c>
      <c r="O1013" s="2">
        <v>0.0</v>
      </c>
      <c r="P1013" s="2">
        <f t="shared" si="1"/>
        <v>814169</v>
      </c>
      <c r="Q1013" s="1"/>
      <c r="R1013" s="1"/>
      <c r="S1013" s="1"/>
      <c r="T1013" s="1"/>
      <c r="U1013" s="1"/>
      <c r="V1013" s="6"/>
      <c r="W1013" s="6"/>
    </row>
    <row r="1014" ht="15.75" customHeight="1">
      <c r="A1014" s="9" t="s">
        <v>29</v>
      </c>
      <c r="B1014" s="10">
        <v>2026.0</v>
      </c>
      <c r="C1014" s="14" t="s">
        <v>1044</v>
      </c>
      <c r="D1014" s="1" t="s">
        <v>1045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-2564170.0</v>
      </c>
      <c r="O1014" s="2">
        <v>0.0</v>
      </c>
      <c r="P1014" s="2">
        <f t="shared" si="1"/>
        <v>2564170</v>
      </c>
      <c r="Q1014" s="1"/>
      <c r="R1014" s="1"/>
      <c r="S1014" s="1"/>
      <c r="T1014" s="1"/>
      <c r="U1014" s="1"/>
      <c r="V1014" s="6"/>
      <c r="W1014" s="6"/>
    </row>
    <row r="1015" ht="15.75" customHeight="1">
      <c r="A1015" s="9" t="s">
        <v>29</v>
      </c>
      <c r="B1015" s="10">
        <v>2026.0</v>
      </c>
      <c r="C1015" s="14" t="s">
        <v>1044</v>
      </c>
      <c r="D1015" s="1" t="s">
        <v>1045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1426846.0</v>
      </c>
      <c r="O1015" s="2">
        <v>0.0</v>
      </c>
      <c r="P1015" s="2">
        <f t="shared" si="1"/>
        <v>-1426846</v>
      </c>
      <c r="Q1015" s="1"/>
      <c r="R1015" s="1"/>
      <c r="S1015" s="1"/>
      <c r="T1015" s="1"/>
      <c r="U1015" s="1"/>
      <c r="V1015" s="6"/>
      <c r="W1015" s="6"/>
    </row>
    <row r="1016" ht="15.75" customHeight="1">
      <c r="A1016" s="9" t="s">
        <v>29</v>
      </c>
      <c r="B1016" s="10">
        <v>2026.0</v>
      </c>
      <c r="C1016" s="14" t="s">
        <v>1044</v>
      </c>
      <c r="D1016" s="1" t="s">
        <v>1045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1718707.0</v>
      </c>
      <c r="O1016" s="2">
        <v>0.0</v>
      </c>
      <c r="P1016" s="2">
        <f t="shared" si="1"/>
        <v>-1718707</v>
      </c>
      <c r="Q1016" s="1"/>
      <c r="R1016" s="1"/>
      <c r="S1016" s="1"/>
      <c r="T1016" s="1"/>
      <c r="U1016" s="1"/>
      <c r="V1016" s="6"/>
      <c r="W1016" s="6"/>
    </row>
    <row r="1017" ht="15.75" customHeight="1">
      <c r="A1017" s="9" t="s">
        <v>29</v>
      </c>
      <c r="B1017" s="10">
        <v>2026.0</v>
      </c>
      <c r="C1017" s="14" t="s">
        <v>1044</v>
      </c>
      <c r="D1017" s="1" t="s">
        <v>1045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-2010089.0</v>
      </c>
      <c r="O1017" s="2">
        <v>0.0</v>
      </c>
      <c r="P1017" s="2">
        <f t="shared" si="1"/>
        <v>2010089</v>
      </c>
      <c r="Q1017" s="1"/>
      <c r="R1017" s="1"/>
      <c r="S1017" s="1"/>
      <c r="T1017" s="1"/>
      <c r="U1017" s="1"/>
      <c r="V1017" s="6"/>
      <c r="W1017" s="6"/>
    </row>
    <row r="1018" ht="15.75" customHeight="1">
      <c r="A1018" s="9" t="s">
        <v>29</v>
      </c>
      <c r="B1018" s="10">
        <v>2026.0</v>
      </c>
      <c r="C1018" s="14" t="s">
        <v>1044</v>
      </c>
      <c r="D1018" s="1" t="s">
        <v>1047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-180000.0</v>
      </c>
      <c r="O1018" s="2">
        <v>0.0</v>
      </c>
      <c r="P1018" s="2">
        <f t="shared" si="1"/>
        <v>180000</v>
      </c>
      <c r="Q1018" s="1"/>
      <c r="R1018" s="1"/>
      <c r="S1018" s="1"/>
      <c r="T1018" s="1"/>
      <c r="U1018" s="1"/>
      <c r="V1018" s="6"/>
      <c r="W1018" s="6"/>
    </row>
    <row r="1019" ht="15.75" customHeight="1">
      <c r="A1019" s="9" t="s">
        <v>29</v>
      </c>
      <c r="B1019" s="10">
        <v>2026.0</v>
      </c>
      <c r="C1019" s="14" t="s">
        <v>1044</v>
      </c>
      <c r="D1019" s="1" t="s">
        <v>1045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-1.086075E7</v>
      </c>
      <c r="O1019" s="2">
        <v>0.0</v>
      </c>
      <c r="P1019" s="2">
        <f t="shared" si="1"/>
        <v>10860750</v>
      </c>
      <c r="Q1019" s="1"/>
      <c r="R1019" s="1"/>
      <c r="S1019" s="1"/>
      <c r="T1019" s="1"/>
      <c r="U1019" s="1"/>
      <c r="V1019" s="6"/>
      <c r="W1019" s="6"/>
    </row>
    <row r="1020" ht="15.75" customHeight="1">
      <c r="A1020" s="9" t="s">
        <v>29</v>
      </c>
      <c r="B1020" s="10">
        <v>2026.0</v>
      </c>
      <c r="C1020" s="14" t="s">
        <v>1044</v>
      </c>
      <c r="D1020" s="1" t="s">
        <v>1045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-2010020.0</v>
      </c>
      <c r="O1020" s="2">
        <v>0.0</v>
      </c>
      <c r="P1020" s="2">
        <f t="shared" si="1"/>
        <v>2010020</v>
      </c>
      <c r="Q1020" s="1"/>
      <c r="R1020" s="1"/>
      <c r="S1020" s="1"/>
      <c r="T1020" s="1"/>
      <c r="U1020" s="1"/>
      <c r="V1020" s="6"/>
      <c r="W1020" s="6"/>
    </row>
    <row r="1021" ht="15.75" customHeight="1">
      <c r="A1021" s="9" t="s">
        <v>29</v>
      </c>
      <c r="B1021" s="10">
        <v>2026.0</v>
      </c>
      <c r="C1021" s="14" t="s">
        <v>1044</v>
      </c>
      <c r="D1021" s="1" t="s">
        <v>1048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-2400000.0</v>
      </c>
      <c r="O1021" s="2">
        <v>0.0</v>
      </c>
      <c r="P1021" s="2">
        <f t="shared" si="1"/>
        <v>2400000</v>
      </c>
      <c r="Q1021" s="1"/>
      <c r="R1021" s="1"/>
      <c r="S1021" s="1"/>
      <c r="T1021" s="1"/>
      <c r="U1021" s="1"/>
      <c r="V1021" s="6"/>
      <c r="W1021" s="6"/>
    </row>
    <row r="1022" ht="15.75" customHeight="1">
      <c r="A1022" s="9" t="s">
        <v>29</v>
      </c>
      <c r="B1022" s="10">
        <v>2026.0</v>
      </c>
      <c r="C1022" s="14" t="s">
        <v>1044</v>
      </c>
      <c r="D1022" s="1" t="s">
        <v>1045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-1993209.0</v>
      </c>
      <c r="O1022" s="2">
        <v>0.0</v>
      </c>
      <c r="P1022" s="2">
        <f t="shared" si="1"/>
        <v>1993209</v>
      </c>
      <c r="Q1022" s="1"/>
      <c r="R1022" s="1"/>
      <c r="S1022" s="1"/>
      <c r="T1022" s="1"/>
      <c r="U1022" s="1"/>
      <c r="V1022" s="6"/>
      <c r="W1022" s="6"/>
    </row>
    <row r="1023" ht="15.75" customHeight="1">
      <c r="A1023" s="9" t="s">
        <v>29</v>
      </c>
      <c r="B1023" s="10">
        <v>2026.0</v>
      </c>
      <c r="C1023" s="14" t="s">
        <v>1044</v>
      </c>
      <c r="D1023" s="1" t="s">
        <v>1049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-1200000.0</v>
      </c>
      <c r="O1023" s="2">
        <v>0.0</v>
      </c>
      <c r="P1023" s="2">
        <f t="shared" si="1"/>
        <v>1200000</v>
      </c>
      <c r="Q1023" s="1"/>
      <c r="R1023" s="1"/>
      <c r="S1023" s="1"/>
      <c r="T1023" s="1"/>
      <c r="U1023" s="1"/>
      <c r="V1023" s="6"/>
      <c r="W1023" s="6"/>
    </row>
    <row r="1024" ht="15.75" customHeight="1">
      <c r="A1024" s="9" t="s">
        <v>29</v>
      </c>
      <c r="B1024" s="10">
        <v>2026.0</v>
      </c>
      <c r="C1024" s="14" t="s">
        <v>1044</v>
      </c>
      <c r="D1024" s="1" t="s">
        <v>1050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-3993000.0</v>
      </c>
      <c r="O1024" s="2">
        <v>0.0</v>
      </c>
      <c r="P1024" s="2">
        <f t="shared" si="1"/>
        <v>3993000</v>
      </c>
      <c r="Q1024" s="1"/>
      <c r="R1024" s="1"/>
      <c r="S1024" s="1"/>
      <c r="T1024" s="1"/>
      <c r="U1024" s="1"/>
      <c r="V1024" s="6"/>
      <c r="W1024" s="6"/>
    </row>
    <row r="1025" ht="15.75" customHeight="1">
      <c r="A1025" s="9" t="s">
        <v>29</v>
      </c>
      <c r="B1025" s="10">
        <v>2026.0</v>
      </c>
      <c r="C1025" s="14" t="s">
        <v>1001</v>
      </c>
      <c r="D1025" s="1" t="s">
        <v>1051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-2516650.0</v>
      </c>
      <c r="O1025" s="2">
        <v>0.0</v>
      </c>
      <c r="P1025" s="2">
        <f t="shared" si="1"/>
        <v>2516650</v>
      </c>
      <c r="Q1025" s="1"/>
      <c r="R1025" s="1"/>
      <c r="S1025" s="1"/>
      <c r="T1025" s="1"/>
      <c r="U1025" s="1"/>
      <c r="V1025" s="6"/>
      <c r="W1025" s="6"/>
    </row>
    <row r="1026" ht="15.75" customHeight="1">
      <c r="A1026" s="9" t="s">
        <v>29</v>
      </c>
      <c r="B1026" s="10">
        <v>2026.0</v>
      </c>
      <c r="C1026" s="14" t="s">
        <v>1001</v>
      </c>
      <c r="D1026" s="1" t="s">
        <v>1051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-2408720.0</v>
      </c>
      <c r="O1026" s="2">
        <v>0.0</v>
      </c>
      <c r="P1026" s="2">
        <f t="shared" si="1"/>
        <v>2408720</v>
      </c>
      <c r="Q1026" s="1"/>
      <c r="R1026" s="1"/>
      <c r="S1026" s="1"/>
      <c r="T1026" s="1"/>
      <c r="U1026" s="1"/>
      <c r="V1026" s="6"/>
      <c r="W1026" s="6"/>
    </row>
    <row r="1027" ht="15.75" customHeight="1">
      <c r="A1027" s="9" t="s">
        <v>29</v>
      </c>
      <c r="B1027" s="10">
        <v>2026.0</v>
      </c>
      <c r="C1027" s="14" t="s">
        <v>914</v>
      </c>
      <c r="D1027" s="1" t="s">
        <v>1052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2">
        <v>-1200000.0</v>
      </c>
      <c r="O1027" s="2">
        <v>0.0</v>
      </c>
      <c r="P1027" s="2">
        <f t="shared" si="1"/>
        <v>1200000</v>
      </c>
      <c r="Q1027" s="1"/>
      <c r="R1027" s="1"/>
      <c r="S1027" s="1"/>
      <c r="T1027" s="1"/>
      <c r="U1027" s="1"/>
      <c r="V1027" s="6"/>
      <c r="W1027" s="6"/>
    </row>
    <row r="1028" ht="15.75" customHeight="1">
      <c r="A1028" s="9" t="s">
        <v>29</v>
      </c>
      <c r="B1028" s="10">
        <v>2026.0</v>
      </c>
      <c r="C1028" s="14" t="s">
        <v>1003</v>
      </c>
      <c r="D1028" s="1" t="s">
        <v>1053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-3825000.0</v>
      </c>
      <c r="O1028" s="2">
        <v>0.0</v>
      </c>
      <c r="P1028" s="2">
        <f t="shared" si="1"/>
        <v>3825000</v>
      </c>
      <c r="Q1028" s="1"/>
      <c r="R1028" s="1"/>
      <c r="S1028" s="1"/>
      <c r="T1028" s="1"/>
      <c r="U1028" s="1"/>
      <c r="V1028" s="6"/>
      <c r="W1028" s="6"/>
    </row>
    <row r="1029" ht="15.75" customHeight="1">
      <c r="A1029" s="9" t="s">
        <v>29</v>
      </c>
      <c r="B1029" s="10">
        <v>2026.0</v>
      </c>
      <c r="C1029" s="14" t="s">
        <v>1003</v>
      </c>
      <c r="D1029" s="1" t="s">
        <v>1053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-2601000.0</v>
      </c>
      <c r="O1029" s="2">
        <v>0.0</v>
      </c>
      <c r="P1029" s="2">
        <f t="shared" si="1"/>
        <v>2601000</v>
      </c>
      <c r="Q1029" s="1"/>
      <c r="R1029" s="1"/>
      <c r="S1029" s="1"/>
      <c r="T1029" s="1"/>
      <c r="U1029" s="1"/>
      <c r="V1029" s="6"/>
      <c r="W1029" s="6"/>
    </row>
    <row r="1030" ht="15.75" customHeight="1">
      <c r="A1030" s="9" t="s">
        <v>29</v>
      </c>
      <c r="B1030" s="10">
        <v>2026.0</v>
      </c>
      <c r="C1030" s="14" t="s">
        <v>1013</v>
      </c>
      <c r="D1030" s="1" t="s">
        <v>1054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-1441850.0</v>
      </c>
      <c r="O1030" s="2">
        <v>0.0</v>
      </c>
      <c r="P1030" s="2">
        <f t="shared" si="1"/>
        <v>1441850</v>
      </c>
      <c r="Q1030" s="1"/>
      <c r="R1030" s="1"/>
      <c r="S1030" s="1"/>
      <c r="T1030" s="1"/>
      <c r="U1030" s="1"/>
      <c r="V1030" s="6"/>
      <c r="W1030" s="6"/>
    </row>
    <row r="1031" ht="15.75" customHeight="1">
      <c r="A1031" s="9" t="s">
        <v>29</v>
      </c>
      <c r="B1031" s="10">
        <v>2026.0</v>
      </c>
      <c r="C1031" s="14" t="s">
        <v>1013</v>
      </c>
      <c r="D1031" s="1" t="s">
        <v>1055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-1496833.0</v>
      </c>
      <c r="O1031" s="2">
        <v>0.0</v>
      </c>
      <c r="P1031" s="2">
        <f t="shared" si="1"/>
        <v>1496833</v>
      </c>
      <c r="Q1031" s="1"/>
      <c r="R1031" s="1"/>
      <c r="S1031" s="1"/>
      <c r="T1031" s="1"/>
      <c r="U1031" s="1"/>
      <c r="V1031" s="6"/>
      <c r="W1031" s="6"/>
    </row>
    <row r="1032" ht="15.75" customHeight="1">
      <c r="A1032" s="9" t="s">
        <v>29</v>
      </c>
      <c r="B1032" s="10">
        <v>2026.0</v>
      </c>
      <c r="C1032" s="14" t="s">
        <v>1013</v>
      </c>
      <c r="D1032" s="1" t="s">
        <v>1056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-1500111.0</v>
      </c>
      <c r="O1032" s="2">
        <v>0.0</v>
      </c>
      <c r="P1032" s="2">
        <f t="shared" si="1"/>
        <v>1500111</v>
      </c>
      <c r="Q1032" s="1"/>
      <c r="R1032" s="1"/>
      <c r="S1032" s="1"/>
      <c r="T1032" s="1"/>
      <c r="U1032" s="1"/>
      <c r="V1032" s="6"/>
      <c r="W1032" s="6"/>
    </row>
    <row r="1033" ht="15.75" customHeight="1">
      <c r="A1033" s="9" t="s">
        <v>29</v>
      </c>
      <c r="B1033" s="10">
        <v>2026.0</v>
      </c>
      <c r="C1033" s="14" t="s">
        <v>1013</v>
      </c>
      <c r="D1033" s="1" t="s">
        <v>1057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-1460626.0</v>
      </c>
      <c r="O1033" s="2">
        <v>0.0</v>
      </c>
      <c r="P1033" s="2">
        <f t="shared" si="1"/>
        <v>1460626</v>
      </c>
      <c r="Q1033" s="1"/>
      <c r="R1033" s="1"/>
      <c r="S1033" s="1"/>
      <c r="T1033" s="1"/>
      <c r="U1033" s="1"/>
      <c r="V1033" s="6"/>
      <c r="W1033" s="6"/>
    </row>
    <row r="1034" ht="15.75" customHeight="1">
      <c r="A1034" s="9" t="s">
        <v>29</v>
      </c>
      <c r="B1034" s="10">
        <v>2026.0</v>
      </c>
      <c r="C1034" s="14" t="s">
        <v>1013</v>
      </c>
      <c r="D1034" s="1" t="s">
        <v>1058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-1460626.0</v>
      </c>
      <c r="O1034" s="2">
        <v>0.0</v>
      </c>
      <c r="P1034" s="2">
        <f t="shared" si="1"/>
        <v>1460626</v>
      </c>
      <c r="Q1034" s="1"/>
      <c r="R1034" s="1"/>
      <c r="S1034" s="1"/>
      <c r="T1034" s="1"/>
      <c r="U1034" s="1"/>
      <c r="V1034" s="6"/>
      <c r="W1034" s="6"/>
    </row>
    <row r="1035" ht="15.75" customHeight="1">
      <c r="A1035" s="9" t="s">
        <v>29</v>
      </c>
      <c r="B1035" s="10">
        <v>2026.0</v>
      </c>
      <c r="C1035" s="14" t="s">
        <v>1013</v>
      </c>
      <c r="D1035" s="1" t="s">
        <v>1059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-688563.0</v>
      </c>
      <c r="O1035" s="2">
        <v>0.0</v>
      </c>
      <c r="P1035" s="2">
        <f t="shared" si="1"/>
        <v>688563</v>
      </c>
      <c r="Q1035" s="1"/>
      <c r="R1035" s="1"/>
      <c r="S1035" s="1"/>
      <c r="T1035" s="1"/>
      <c r="U1035" s="1"/>
      <c r="V1035" s="6"/>
      <c r="W1035" s="6"/>
    </row>
    <row r="1036" ht="15.75" customHeight="1">
      <c r="A1036" s="9" t="s">
        <v>29</v>
      </c>
      <c r="B1036" s="10">
        <v>2026.0</v>
      </c>
      <c r="C1036" s="14" t="s">
        <v>1013</v>
      </c>
      <c r="D1036" s="1" t="s">
        <v>1060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-2300000.0</v>
      </c>
      <c r="O1036" s="2">
        <v>0.0</v>
      </c>
      <c r="P1036" s="2">
        <f t="shared" si="1"/>
        <v>2300000</v>
      </c>
      <c r="Q1036" s="1"/>
      <c r="R1036" s="1"/>
      <c r="S1036" s="1"/>
      <c r="T1036" s="1"/>
      <c r="U1036" s="1"/>
      <c r="V1036" s="6"/>
      <c r="W1036" s="6"/>
    </row>
    <row r="1037" ht="15.75" customHeight="1">
      <c r="A1037" s="9" t="s">
        <v>29</v>
      </c>
      <c r="B1037" s="10">
        <v>2026.0</v>
      </c>
      <c r="C1037" s="14" t="s">
        <v>1013</v>
      </c>
      <c r="D1037" s="1" t="s">
        <v>1061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-1800000.0</v>
      </c>
      <c r="O1037" s="2">
        <v>0.0</v>
      </c>
      <c r="P1037" s="2">
        <f t="shared" si="1"/>
        <v>1800000</v>
      </c>
      <c r="Q1037" s="1"/>
      <c r="R1037" s="1"/>
      <c r="S1037" s="1"/>
      <c r="T1037" s="1"/>
      <c r="U1037" s="1"/>
      <c r="V1037" s="6"/>
      <c r="W1037" s="6"/>
    </row>
    <row r="1038" ht="15.75" customHeight="1">
      <c r="A1038" s="9" t="s">
        <v>29</v>
      </c>
      <c r="B1038" s="10">
        <v>2026.0</v>
      </c>
      <c r="C1038" s="14" t="s">
        <v>1013</v>
      </c>
      <c r="D1038" s="1" t="s">
        <v>1062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-819654.0</v>
      </c>
      <c r="O1038" s="2">
        <v>0.0</v>
      </c>
      <c r="P1038" s="2">
        <f t="shared" si="1"/>
        <v>819654</v>
      </c>
      <c r="Q1038" s="1"/>
      <c r="R1038" s="1"/>
      <c r="S1038" s="1"/>
      <c r="T1038" s="1"/>
      <c r="U1038" s="1"/>
      <c r="V1038" s="6"/>
      <c r="W1038" s="6"/>
    </row>
    <row r="1039" ht="15.75" customHeight="1">
      <c r="A1039" s="9" t="s">
        <v>29</v>
      </c>
      <c r="B1039" s="10">
        <v>2026.0</v>
      </c>
      <c r="C1039" s="14" t="s">
        <v>1013</v>
      </c>
      <c r="D1039" s="1" t="s">
        <v>1063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-1800000.0</v>
      </c>
      <c r="O1039" s="2">
        <v>0.0</v>
      </c>
      <c r="P1039" s="2">
        <f t="shared" si="1"/>
        <v>1800000</v>
      </c>
      <c r="Q1039" s="1"/>
      <c r="R1039" s="1"/>
      <c r="S1039" s="1"/>
      <c r="T1039" s="1"/>
      <c r="U1039" s="1"/>
      <c r="V1039" s="6"/>
      <c r="W1039" s="6"/>
    </row>
    <row r="1040" ht="15.75" customHeight="1">
      <c r="A1040" s="9" t="s">
        <v>29</v>
      </c>
      <c r="B1040" s="10">
        <v>2026.0</v>
      </c>
      <c r="C1040" s="14" t="s">
        <v>1013</v>
      </c>
      <c r="D1040" s="1" t="s">
        <v>1064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-954964.0</v>
      </c>
      <c r="O1040" s="2">
        <v>0.0</v>
      </c>
      <c r="P1040" s="2">
        <f t="shared" si="1"/>
        <v>954964</v>
      </c>
      <c r="Q1040" s="1"/>
      <c r="R1040" s="1"/>
      <c r="S1040" s="1"/>
      <c r="T1040" s="1"/>
      <c r="U1040" s="1"/>
      <c r="V1040" s="6"/>
      <c r="W1040" s="6"/>
    </row>
    <row r="1041" ht="15.75" customHeight="1">
      <c r="A1041" s="9" t="s">
        <v>29</v>
      </c>
      <c r="B1041" s="10">
        <v>2026.0</v>
      </c>
      <c r="C1041" s="14" t="s">
        <v>946</v>
      </c>
      <c r="D1041" s="1" t="s">
        <v>1065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-1600000.0</v>
      </c>
      <c r="O1041" s="2">
        <v>0.0</v>
      </c>
      <c r="P1041" s="2">
        <f t="shared" si="1"/>
        <v>1600000</v>
      </c>
      <c r="Q1041" s="1"/>
      <c r="R1041" s="1"/>
      <c r="S1041" s="1"/>
      <c r="T1041" s="1"/>
      <c r="U1041" s="1"/>
      <c r="V1041" s="6"/>
      <c r="W1041" s="6"/>
    </row>
    <row r="1042" ht="15.75" customHeight="1">
      <c r="A1042" s="9" t="s">
        <v>29</v>
      </c>
      <c r="B1042" s="10">
        <v>2026.0</v>
      </c>
      <c r="C1042" s="14" t="s">
        <v>946</v>
      </c>
      <c r="D1042" s="1" t="s">
        <v>1066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-2526310.0</v>
      </c>
      <c r="O1042" s="2">
        <v>0.0</v>
      </c>
      <c r="P1042" s="2">
        <f t="shared" si="1"/>
        <v>2526310</v>
      </c>
      <c r="Q1042" s="1"/>
      <c r="R1042" s="1"/>
      <c r="S1042" s="1"/>
      <c r="T1042" s="1"/>
      <c r="U1042" s="1"/>
      <c r="V1042" s="6"/>
      <c r="W1042" s="6"/>
    </row>
    <row r="1043" ht="15.75" customHeight="1">
      <c r="A1043" s="9" t="s">
        <v>29</v>
      </c>
      <c r="B1043" s="10">
        <v>2026.0</v>
      </c>
      <c r="C1043" s="14" t="s">
        <v>946</v>
      </c>
      <c r="D1043" s="1" t="s">
        <v>1067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-2351525.0</v>
      </c>
      <c r="O1043" s="2">
        <v>0.0</v>
      </c>
      <c r="P1043" s="2">
        <f t="shared" si="1"/>
        <v>2351525</v>
      </c>
      <c r="Q1043" s="1"/>
      <c r="R1043" s="1"/>
      <c r="S1043" s="1"/>
      <c r="T1043" s="1"/>
      <c r="U1043" s="1"/>
      <c r="V1043" s="6"/>
      <c r="W1043" s="6"/>
    </row>
    <row r="1044" ht="15.75" customHeight="1">
      <c r="A1044" s="9" t="s">
        <v>29</v>
      </c>
      <c r="B1044" s="10">
        <v>2026.0</v>
      </c>
      <c r="C1044" s="14" t="s">
        <v>946</v>
      </c>
      <c r="D1044" s="1" t="s">
        <v>1067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-1752637.0</v>
      </c>
      <c r="O1044" s="2">
        <v>0.0</v>
      </c>
      <c r="P1044" s="2">
        <f t="shared" si="1"/>
        <v>1752637</v>
      </c>
      <c r="Q1044" s="1"/>
      <c r="R1044" s="1"/>
      <c r="S1044" s="1"/>
      <c r="T1044" s="1"/>
      <c r="U1044" s="1"/>
      <c r="V1044" s="6"/>
      <c r="W1044" s="6"/>
    </row>
    <row r="1045" ht="15.75" customHeight="1">
      <c r="A1045" s="9" t="s">
        <v>29</v>
      </c>
      <c r="B1045" s="10">
        <v>2026.0</v>
      </c>
      <c r="C1045" s="14" t="s">
        <v>1068</v>
      </c>
      <c r="D1045" s="1" t="s">
        <v>1069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-4.1313301E7</v>
      </c>
      <c r="O1045" s="2">
        <v>0.0</v>
      </c>
      <c r="P1045" s="2">
        <f t="shared" si="1"/>
        <v>41313301</v>
      </c>
      <c r="Q1045" s="1"/>
      <c r="R1045" s="1"/>
      <c r="S1045" s="1"/>
      <c r="T1045" s="1"/>
      <c r="U1045" s="1"/>
      <c r="V1045" s="6"/>
      <c r="W1045" s="6"/>
    </row>
    <row r="1046" ht="15.75" customHeight="1">
      <c r="A1046" s="9" t="s">
        <v>29</v>
      </c>
      <c r="B1046" s="10">
        <v>2026.0</v>
      </c>
      <c r="C1046" s="14" t="s">
        <v>946</v>
      </c>
      <c r="D1046" s="1" t="s">
        <v>1070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-2960000.0</v>
      </c>
      <c r="O1046" s="2">
        <v>0.0</v>
      </c>
      <c r="P1046" s="2">
        <f t="shared" si="1"/>
        <v>2960000</v>
      </c>
      <c r="Q1046" s="1"/>
      <c r="R1046" s="1"/>
      <c r="S1046" s="1"/>
      <c r="T1046" s="1"/>
      <c r="U1046" s="1"/>
      <c r="V1046" s="6"/>
      <c r="W1046" s="6"/>
    </row>
    <row r="1047" ht="15.75" customHeight="1">
      <c r="A1047" s="9" t="s">
        <v>29</v>
      </c>
      <c r="B1047" s="10">
        <v>2026.0</v>
      </c>
      <c r="C1047" s="14" t="s">
        <v>946</v>
      </c>
      <c r="D1047" s="1" t="s">
        <v>1071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-1840000.0</v>
      </c>
      <c r="O1047" s="2">
        <v>0.0</v>
      </c>
      <c r="P1047" s="2">
        <f t="shared" si="1"/>
        <v>1840000</v>
      </c>
      <c r="Q1047" s="1"/>
      <c r="R1047" s="1"/>
      <c r="S1047" s="1"/>
      <c r="T1047" s="1"/>
      <c r="U1047" s="1"/>
      <c r="V1047" s="6"/>
      <c r="W1047" s="6"/>
    </row>
    <row r="1048" ht="15.75" customHeight="1">
      <c r="A1048" s="9" t="s">
        <v>29</v>
      </c>
      <c r="B1048" s="10">
        <v>2026.0</v>
      </c>
      <c r="C1048" s="14" t="s">
        <v>946</v>
      </c>
      <c r="D1048" s="1" t="s">
        <v>1072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-920000.0</v>
      </c>
      <c r="O1048" s="2">
        <v>0.0</v>
      </c>
      <c r="P1048" s="2">
        <f t="shared" si="1"/>
        <v>920000</v>
      </c>
      <c r="Q1048" s="1"/>
      <c r="R1048" s="1"/>
      <c r="S1048" s="1"/>
      <c r="T1048" s="1"/>
      <c r="U1048" s="1"/>
      <c r="V1048" s="6"/>
      <c r="W1048" s="6"/>
    </row>
    <row r="1049" ht="15.75" customHeight="1">
      <c r="A1049" s="9" t="s">
        <v>29</v>
      </c>
      <c r="B1049" s="10">
        <v>2026.0</v>
      </c>
      <c r="C1049" s="1" t="s">
        <v>1068</v>
      </c>
      <c r="D1049" s="1" t="s">
        <v>1069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4.1313301E7</v>
      </c>
      <c r="O1049" s="2">
        <v>0.0</v>
      </c>
      <c r="P1049" s="2">
        <f t="shared" si="1"/>
        <v>-41313301</v>
      </c>
      <c r="Q1049" s="1"/>
      <c r="R1049" s="1"/>
      <c r="S1049" s="1"/>
      <c r="T1049" s="1"/>
      <c r="U1049" s="1"/>
      <c r="V1049" s="6"/>
      <c r="W1049" s="6"/>
    </row>
    <row r="1050" ht="15.75" customHeight="1">
      <c r="A1050" s="9" t="s">
        <v>29</v>
      </c>
      <c r="B1050" s="10">
        <v>2026.0</v>
      </c>
      <c r="C1050" s="1" t="s">
        <v>1068</v>
      </c>
      <c r="D1050" s="1" t="s">
        <v>1073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-3.996904E7</v>
      </c>
      <c r="O1050" s="2">
        <v>0.0</v>
      </c>
      <c r="P1050" s="2">
        <f t="shared" si="1"/>
        <v>39969040</v>
      </c>
      <c r="Q1050" s="1"/>
      <c r="R1050" s="1"/>
      <c r="S1050" s="1"/>
      <c r="T1050" s="1"/>
      <c r="U1050" s="1"/>
      <c r="V1050" s="6"/>
      <c r="W1050" s="6"/>
    </row>
    <row r="1051" ht="15.75" customHeight="1">
      <c r="A1051" s="9" t="s">
        <v>29</v>
      </c>
      <c r="B1051" s="10">
        <v>2026.0</v>
      </c>
      <c r="C1051" s="14" t="s">
        <v>901</v>
      </c>
      <c r="D1051" s="1" t="s">
        <v>1074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-157000.0</v>
      </c>
      <c r="O1051" s="2">
        <v>0.0</v>
      </c>
      <c r="P1051" s="2">
        <f t="shared" si="1"/>
        <v>157000</v>
      </c>
      <c r="Q1051" s="1"/>
      <c r="R1051" s="1"/>
      <c r="S1051" s="1"/>
      <c r="T1051" s="1"/>
      <c r="U1051" s="1"/>
      <c r="V1051" s="6"/>
      <c r="W1051" s="6"/>
    </row>
    <row r="1052" ht="15.75" customHeight="1">
      <c r="A1052" s="9" t="s">
        <v>29</v>
      </c>
      <c r="B1052" s="10">
        <v>2026.0</v>
      </c>
      <c r="C1052" s="14" t="s">
        <v>901</v>
      </c>
      <c r="D1052" s="1" t="s">
        <v>1075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-325380.0</v>
      </c>
      <c r="O1052" s="2">
        <v>0.0</v>
      </c>
      <c r="P1052" s="2">
        <f t="shared" si="1"/>
        <v>325380</v>
      </c>
      <c r="Q1052" s="1"/>
      <c r="R1052" s="1"/>
      <c r="S1052" s="1"/>
      <c r="T1052" s="1"/>
      <c r="U1052" s="1"/>
      <c r="V1052" s="6"/>
      <c r="W1052" s="6"/>
    </row>
    <row r="1053" ht="15.75" customHeight="1">
      <c r="A1053" s="9" t="s">
        <v>29</v>
      </c>
      <c r="B1053" s="10">
        <v>2026.0</v>
      </c>
      <c r="C1053" s="14" t="s">
        <v>901</v>
      </c>
      <c r="D1053" s="1" t="s">
        <v>1076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-562000.0</v>
      </c>
      <c r="O1053" s="2">
        <v>0.0</v>
      </c>
      <c r="P1053" s="2">
        <f t="shared" si="1"/>
        <v>562000</v>
      </c>
      <c r="Q1053" s="1"/>
      <c r="R1053" s="1"/>
      <c r="S1053" s="1"/>
      <c r="T1053" s="1"/>
      <c r="U1053" s="1"/>
      <c r="V1053" s="6"/>
      <c r="W1053" s="6"/>
    </row>
    <row r="1054" ht="15.75" customHeight="1">
      <c r="A1054" s="9" t="s">
        <v>29</v>
      </c>
      <c r="B1054" s="10">
        <v>2026.0</v>
      </c>
      <c r="C1054" s="14" t="s">
        <v>901</v>
      </c>
      <c r="D1054" s="1" t="s">
        <v>1076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-590500.0</v>
      </c>
      <c r="O1054" s="2">
        <v>0.0</v>
      </c>
      <c r="P1054" s="2">
        <f t="shared" si="1"/>
        <v>590500</v>
      </c>
      <c r="Q1054" s="1"/>
      <c r="R1054" s="1"/>
      <c r="S1054" s="1"/>
      <c r="T1054" s="1"/>
      <c r="U1054" s="1"/>
      <c r="V1054" s="6"/>
      <c r="W1054" s="6"/>
    </row>
    <row r="1055" ht="15.75" customHeight="1">
      <c r="A1055" s="9" t="s">
        <v>29</v>
      </c>
      <c r="B1055" s="10">
        <v>2026.0</v>
      </c>
      <c r="C1055" s="14" t="s">
        <v>901</v>
      </c>
      <c r="D1055" s="1" t="s">
        <v>1077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-7125000.0</v>
      </c>
      <c r="O1055" s="2">
        <v>0.0</v>
      </c>
      <c r="P1055" s="2">
        <f t="shared" si="1"/>
        <v>7125000</v>
      </c>
      <c r="Q1055" s="1"/>
      <c r="R1055" s="1"/>
      <c r="S1055" s="1"/>
      <c r="T1055" s="1"/>
      <c r="U1055" s="1"/>
      <c r="V1055" s="6"/>
      <c r="W1055" s="6"/>
    </row>
    <row r="1056" ht="15.75" customHeight="1">
      <c r="A1056" s="9" t="s">
        <v>29</v>
      </c>
      <c r="B1056" s="10">
        <v>2026.0</v>
      </c>
      <c r="C1056" s="14" t="s">
        <v>901</v>
      </c>
      <c r="D1056" s="1" t="s">
        <v>1078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-166260.0</v>
      </c>
      <c r="O1056" s="2">
        <v>0.0</v>
      </c>
      <c r="P1056" s="2">
        <f t="shared" si="1"/>
        <v>166260</v>
      </c>
      <c r="Q1056" s="1"/>
      <c r="R1056" s="1"/>
      <c r="S1056" s="1"/>
      <c r="T1056" s="1"/>
      <c r="U1056" s="1"/>
      <c r="V1056" s="6"/>
      <c r="W1056" s="6"/>
    </row>
    <row r="1057" ht="15.75" customHeight="1">
      <c r="A1057" s="9" t="s">
        <v>29</v>
      </c>
      <c r="B1057" s="10">
        <v>2026.0</v>
      </c>
      <c r="C1057" s="14" t="s">
        <v>901</v>
      </c>
      <c r="D1057" s="1" t="s">
        <v>1079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-121150.0</v>
      </c>
      <c r="O1057" s="2">
        <v>0.0</v>
      </c>
      <c r="P1057" s="2">
        <f t="shared" si="1"/>
        <v>121150</v>
      </c>
      <c r="Q1057" s="1"/>
      <c r="R1057" s="1"/>
      <c r="S1057" s="1"/>
      <c r="T1057" s="1"/>
      <c r="U1057" s="1"/>
      <c r="V1057" s="6"/>
      <c r="W1057" s="6"/>
    </row>
    <row r="1058" ht="15.75" customHeight="1">
      <c r="A1058" s="9" t="s">
        <v>29</v>
      </c>
      <c r="B1058" s="10">
        <v>2026.0</v>
      </c>
      <c r="C1058" s="14" t="s">
        <v>901</v>
      </c>
      <c r="D1058" s="1" t="s">
        <v>1080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-840500.0</v>
      </c>
      <c r="O1058" s="2">
        <v>0.0</v>
      </c>
      <c r="P1058" s="2">
        <f t="shared" si="1"/>
        <v>840500</v>
      </c>
      <c r="Q1058" s="1"/>
      <c r="R1058" s="1"/>
      <c r="S1058" s="1"/>
      <c r="T1058" s="1"/>
      <c r="U1058" s="1"/>
      <c r="V1058" s="6"/>
      <c r="W1058" s="6"/>
    </row>
    <row r="1059" ht="15.75" customHeight="1">
      <c r="A1059" s="9" t="s">
        <v>29</v>
      </c>
      <c r="B1059" s="10">
        <v>2026.0</v>
      </c>
      <c r="C1059" s="14" t="s">
        <v>901</v>
      </c>
      <c r="D1059" s="1" t="s">
        <v>1081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-62100.0</v>
      </c>
      <c r="O1059" s="2">
        <v>0.0</v>
      </c>
      <c r="P1059" s="2">
        <f t="shared" si="1"/>
        <v>62100</v>
      </c>
      <c r="Q1059" s="1"/>
      <c r="R1059" s="1"/>
      <c r="S1059" s="1"/>
      <c r="T1059" s="1"/>
      <c r="U1059" s="1"/>
      <c r="V1059" s="6"/>
      <c r="W1059" s="6"/>
    </row>
    <row r="1060" ht="15.75" customHeight="1">
      <c r="A1060" s="9" t="s">
        <v>29</v>
      </c>
      <c r="B1060" s="10">
        <v>2026.0</v>
      </c>
      <c r="C1060" s="14" t="s">
        <v>901</v>
      </c>
      <c r="D1060" s="1" t="s">
        <v>1082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-70180.0</v>
      </c>
      <c r="O1060" s="2">
        <v>0.0</v>
      </c>
      <c r="P1060" s="2">
        <f t="shared" si="1"/>
        <v>70180</v>
      </c>
      <c r="Q1060" s="1"/>
      <c r="R1060" s="1"/>
      <c r="S1060" s="1"/>
      <c r="T1060" s="1"/>
      <c r="U1060" s="1"/>
      <c r="V1060" s="6"/>
      <c r="W1060" s="6"/>
    </row>
    <row r="1061" ht="15.75" customHeight="1">
      <c r="A1061" s="9" t="s">
        <v>29</v>
      </c>
      <c r="B1061" s="10">
        <v>2026.0</v>
      </c>
      <c r="C1061" s="14" t="s">
        <v>901</v>
      </c>
      <c r="D1061" s="1" t="s">
        <v>1083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-103550.0</v>
      </c>
      <c r="O1061" s="2">
        <v>0.0</v>
      </c>
      <c r="P1061" s="2">
        <f t="shared" si="1"/>
        <v>103550</v>
      </c>
      <c r="Q1061" s="1"/>
      <c r="R1061" s="1"/>
      <c r="S1061" s="1"/>
      <c r="T1061" s="1"/>
      <c r="U1061" s="1"/>
      <c r="V1061" s="6"/>
      <c r="W1061" s="6"/>
    </row>
    <row r="1062" ht="15.75" customHeight="1">
      <c r="A1062" s="9" t="s">
        <v>29</v>
      </c>
      <c r="B1062" s="10">
        <v>2026.0</v>
      </c>
      <c r="C1062" s="14" t="s">
        <v>901</v>
      </c>
      <c r="D1062" s="1" t="s">
        <v>1084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-3000000.0</v>
      </c>
      <c r="O1062" s="2">
        <v>0.0</v>
      </c>
      <c r="P1062" s="2">
        <f t="shared" si="1"/>
        <v>3000000</v>
      </c>
      <c r="Q1062" s="1"/>
      <c r="R1062" s="1"/>
      <c r="S1062" s="1"/>
      <c r="T1062" s="1"/>
      <c r="U1062" s="1"/>
      <c r="V1062" s="6"/>
      <c r="W1062" s="6"/>
    </row>
    <row r="1063" ht="15.75" customHeight="1">
      <c r="A1063" s="9" t="s">
        <v>29</v>
      </c>
      <c r="B1063" s="10">
        <v>2026.0</v>
      </c>
      <c r="C1063" s="14" t="s">
        <v>901</v>
      </c>
      <c r="D1063" s="1" t="s">
        <v>1085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-122000.0</v>
      </c>
      <c r="O1063" s="2">
        <v>0.0</v>
      </c>
      <c r="P1063" s="2">
        <f t="shared" si="1"/>
        <v>122000</v>
      </c>
      <c r="Q1063" s="1"/>
      <c r="R1063" s="1"/>
      <c r="S1063" s="1"/>
      <c r="T1063" s="1"/>
      <c r="U1063" s="1"/>
      <c r="V1063" s="6"/>
      <c r="W1063" s="6"/>
    </row>
    <row r="1064" ht="15.75" customHeight="1">
      <c r="A1064" s="9" t="s">
        <v>29</v>
      </c>
      <c r="B1064" s="10">
        <v>2026.0</v>
      </c>
      <c r="C1064" s="14" t="s">
        <v>901</v>
      </c>
      <c r="D1064" s="1" t="s">
        <v>1086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-198530.0</v>
      </c>
      <c r="O1064" s="2">
        <v>0.0</v>
      </c>
      <c r="P1064" s="2">
        <f t="shared" si="1"/>
        <v>198530</v>
      </c>
      <c r="Q1064" s="1"/>
      <c r="R1064" s="1"/>
      <c r="S1064" s="1"/>
      <c r="T1064" s="1"/>
      <c r="U1064" s="1"/>
      <c r="V1064" s="6"/>
      <c r="W1064" s="6"/>
    </row>
    <row r="1065" ht="15.75" customHeight="1">
      <c r="A1065" s="9" t="s">
        <v>29</v>
      </c>
      <c r="B1065" s="10">
        <v>2026.0</v>
      </c>
      <c r="C1065" s="14" t="s">
        <v>901</v>
      </c>
      <c r="D1065" s="1" t="s">
        <v>1087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-149999.0</v>
      </c>
      <c r="O1065" s="2">
        <v>0.0</v>
      </c>
      <c r="P1065" s="2">
        <f t="shared" si="1"/>
        <v>149999</v>
      </c>
      <c r="Q1065" s="1"/>
      <c r="R1065" s="1"/>
      <c r="S1065" s="1"/>
      <c r="T1065" s="1"/>
      <c r="U1065" s="1"/>
      <c r="V1065" s="6"/>
      <c r="W1065" s="6"/>
    </row>
    <row r="1066" ht="15.75" customHeight="1">
      <c r="A1066" s="9" t="s">
        <v>29</v>
      </c>
      <c r="B1066" s="10">
        <v>2026.0</v>
      </c>
      <c r="C1066" s="14" t="s">
        <v>901</v>
      </c>
      <c r="D1066" s="1" t="s">
        <v>1088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-847354.0</v>
      </c>
      <c r="O1066" s="2">
        <v>0.0</v>
      </c>
      <c r="P1066" s="2">
        <f t="shared" si="1"/>
        <v>847354</v>
      </c>
      <c r="Q1066" s="1"/>
      <c r="R1066" s="1"/>
      <c r="S1066" s="1"/>
      <c r="T1066" s="1"/>
      <c r="U1066" s="1"/>
      <c r="V1066" s="6"/>
      <c r="W1066" s="6"/>
    </row>
    <row r="1067" ht="15.75" customHeight="1">
      <c r="A1067" s="9" t="s">
        <v>29</v>
      </c>
      <c r="B1067" s="10">
        <v>2026.0</v>
      </c>
      <c r="C1067" s="14" t="s">
        <v>901</v>
      </c>
      <c r="D1067" s="1" t="s">
        <v>1089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-2.96E7</v>
      </c>
      <c r="O1067" s="2">
        <v>0.0</v>
      </c>
      <c r="P1067" s="2">
        <f t="shared" si="1"/>
        <v>29600000</v>
      </c>
      <c r="Q1067" s="1"/>
      <c r="R1067" s="1"/>
      <c r="S1067" s="1"/>
      <c r="T1067" s="1"/>
      <c r="U1067" s="1"/>
      <c r="V1067" s="6"/>
      <c r="W1067" s="6"/>
    </row>
    <row r="1068" ht="15.75" customHeight="1">
      <c r="A1068" s="9" t="s">
        <v>29</v>
      </c>
      <c r="B1068" s="10">
        <v>2026.0</v>
      </c>
      <c r="C1068" s="14" t="s">
        <v>901</v>
      </c>
      <c r="D1068" s="1" t="s">
        <v>1090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-3385644.0</v>
      </c>
      <c r="O1068" s="2">
        <v>0.0</v>
      </c>
      <c r="P1068" s="2">
        <f t="shared" si="1"/>
        <v>3385644</v>
      </c>
      <c r="Q1068" s="1"/>
      <c r="R1068" s="1"/>
      <c r="S1068" s="1"/>
      <c r="T1068" s="1"/>
      <c r="U1068" s="1"/>
      <c r="V1068" s="6"/>
      <c r="W1068" s="6"/>
    </row>
    <row r="1069" ht="15.75" customHeight="1">
      <c r="A1069" s="9" t="s">
        <v>29</v>
      </c>
      <c r="B1069" s="10">
        <v>2026.0</v>
      </c>
      <c r="C1069" s="14" t="s">
        <v>901</v>
      </c>
      <c r="D1069" s="1" t="s">
        <v>1091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-2002000.0</v>
      </c>
      <c r="O1069" s="2">
        <v>0.0</v>
      </c>
      <c r="P1069" s="2">
        <f t="shared" si="1"/>
        <v>2002000</v>
      </c>
      <c r="Q1069" s="1"/>
      <c r="R1069" s="1"/>
      <c r="S1069" s="1"/>
      <c r="T1069" s="1"/>
      <c r="U1069" s="1"/>
      <c r="V1069" s="6"/>
      <c r="W1069" s="6"/>
    </row>
    <row r="1070" ht="15.75" customHeight="1">
      <c r="A1070" s="9" t="s">
        <v>29</v>
      </c>
      <c r="B1070" s="10">
        <v>2026.0</v>
      </c>
      <c r="C1070" s="14" t="s">
        <v>901</v>
      </c>
      <c r="D1070" s="1" t="s">
        <v>1092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-1094500.0</v>
      </c>
      <c r="O1070" s="2">
        <v>0.0</v>
      </c>
      <c r="P1070" s="2">
        <f t="shared" si="1"/>
        <v>1094500</v>
      </c>
      <c r="Q1070" s="1"/>
      <c r="R1070" s="1"/>
      <c r="S1070" s="1"/>
      <c r="T1070" s="1"/>
      <c r="U1070" s="1"/>
      <c r="V1070" s="6"/>
      <c r="W1070" s="6"/>
    </row>
    <row r="1071" ht="15.75" customHeight="1">
      <c r="A1071" s="9" t="s">
        <v>29</v>
      </c>
      <c r="B1071" s="10">
        <v>2026.0</v>
      </c>
      <c r="C1071" s="14" t="s">
        <v>901</v>
      </c>
      <c r="D1071" s="1" t="s">
        <v>1093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-1624500.0</v>
      </c>
      <c r="O1071" s="2">
        <v>0.0</v>
      </c>
      <c r="P1071" s="2">
        <f t="shared" si="1"/>
        <v>1624500</v>
      </c>
      <c r="Q1071" s="1"/>
      <c r="R1071" s="1"/>
      <c r="S1071" s="1"/>
      <c r="T1071" s="1"/>
      <c r="U1071" s="1"/>
      <c r="V1071" s="6"/>
      <c r="W1071" s="6"/>
    </row>
    <row r="1072" ht="15.75" customHeight="1">
      <c r="A1072" s="9" t="s">
        <v>29</v>
      </c>
      <c r="B1072" s="10">
        <v>2026.0</v>
      </c>
      <c r="C1072" s="14" t="s">
        <v>901</v>
      </c>
      <c r="D1072" s="1" t="s">
        <v>1094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-1.0021932E7</v>
      </c>
      <c r="O1072" s="2">
        <v>0.0</v>
      </c>
      <c r="P1072" s="2">
        <f t="shared" si="1"/>
        <v>10021932</v>
      </c>
      <c r="Q1072" s="1"/>
      <c r="R1072" s="1"/>
      <c r="S1072" s="1"/>
      <c r="T1072" s="1"/>
      <c r="U1072" s="1"/>
      <c r="V1072" s="6"/>
      <c r="W1072" s="6"/>
    </row>
    <row r="1073" ht="15.75" customHeight="1">
      <c r="A1073" s="9" t="s">
        <v>29</v>
      </c>
      <c r="B1073" s="10">
        <v>2026.0</v>
      </c>
      <c r="C1073" s="14" t="s">
        <v>901</v>
      </c>
      <c r="D1073" s="1" t="s">
        <v>1095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-1624500.0</v>
      </c>
      <c r="O1073" s="2">
        <v>0.0</v>
      </c>
      <c r="P1073" s="2">
        <f t="shared" si="1"/>
        <v>1624500</v>
      </c>
      <c r="Q1073" s="1"/>
      <c r="R1073" s="1"/>
      <c r="S1073" s="1"/>
      <c r="T1073" s="1"/>
      <c r="U1073" s="1"/>
      <c r="V1073" s="6"/>
      <c r="W1073" s="6"/>
    </row>
    <row r="1074" ht="15.75" customHeight="1">
      <c r="A1074" s="9" t="s">
        <v>29</v>
      </c>
      <c r="B1074" s="10">
        <v>2026.0</v>
      </c>
      <c r="C1074" s="14" t="s">
        <v>901</v>
      </c>
      <c r="D1074" s="1" t="s">
        <v>1096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-3.69E7</v>
      </c>
      <c r="O1074" s="2">
        <v>0.0</v>
      </c>
      <c r="P1074" s="2">
        <f t="shared" si="1"/>
        <v>36900000</v>
      </c>
      <c r="Q1074" s="1"/>
      <c r="R1074" s="1"/>
      <c r="S1074" s="1"/>
      <c r="T1074" s="1"/>
      <c r="U1074" s="1"/>
      <c r="V1074" s="6"/>
      <c r="W1074" s="6"/>
    </row>
    <row r="1075" ht="15.75" customHeight="1">
      <c r="A1075" s="9" t="s">
        <v>29</v>
      </c>
      <c r="B1075" s="10">
        <v>2026.0</v>
      </c>
      <c r="C1075" s="14" t="s">
        <v>901</v>
      </c>
      <c r="D1075" s="1" t="s">
        <v>1097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-710700.0</v>
      </c>
      <c r="O1075" s="2">
        <v>0.0</v>
      </c>
      <c r="P1075" s="2">
        <f t="shared" si="1"/>
        <v>710700</v>
      </c>
      <c r="Q1075" s="1"/>
      <c r="R1075" s="1"/>
      <c r="S1075" s="1"/>
      <c r="T1075" s="1"/>
      <c r="U1075" s="1"/>
      <c r="V1075" s="6"/>
      <c r="W1075" s="6"/>
    </row>
    <row r="1076" ht="15.75" customHeight="1">
      <c r="A1076" s="9" t="s">
        <v>29</v>
      </c>
      <c r="B1076" s="10">
        <v>2026.0</v>
      </c>
      <c r="C1076" s="14" t="s">
        <v>901</v>
      </c>
      <c r="D1076" s="1" t="s">
        <v>1097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-710700.0</v>
      </c>
      <c r="O1076" s="2">
        <v>0.0</v>
      </c>
      <c r="P1076" s="2">
        <f t="shared" si="1"/>
        <v>710700</v>
      </c>
      <c r="Q1076" s="1"/>
      <c r="R1076" s="1"/>
      <c r="S1076" s="1"/>
      <c r="T1076" s="1"/>
      <c r="U1076" s="1"/>
      <c r="V1076" s="6"/>
      <c r="W1076" s="6"/>
    </row>
    <row r="1077" ht="15.75" customHeight="1">
      <c r="A1077" s="9" t="s">
        <v>29</v>
      </c>
      <c r="B1077" s="10">
        <v>2026.0</v>
      </c>
      <c r="C1077" s="14" t="s">
        <v>901</v>
      </c>
      <c r="D1077" s="1" t="s">
        <v>1098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-392900.0</v>
      </c>
      <c r="O1077" s="2">
        <v>0.0</v>
      </c>
      <c r="P1077" s="2">
        <f t="shared" si="1"/>
        <v>392900</v>
      </c>
      <c r="Q1077" s="1"/>
      <c r="R1077" s="1"/>
      <c r="S1077" s="1"/>
      <c r="T1077" s="1"/>
      <c r="U1077" s="1"/>
      <c r="V1077" s="6"/>
      <c r="W1077" s="6"/>
    </row>
    <row r="1078" ht="15.75" customHeight="1">
      <c r="A1078" s="9" t="s">
        <v>29</v>
      </c>
      <c r="B1078" s="10">
        <v>2026.0</v>
      </c>
      <c r="C1078" s="14" t="s">
        <v>901</v>
      </c>
      <c r="D1078" s="1" t="s">
        <v>1097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-3368629.0</v>
      </c>
      <c r="O1078" s="2">
        <v>0.0</v>
      </c>
      <c r="P1078" s="2">
        <f t="shared" si="1"/>
        <v>3368629</v>
      </c>
      <c r="Q1078" s="1"/>
      <c r="R1078" s="1"/>
      <c r="S1078" s="1"/>
      <c r="T1078" s="1"/>
      <c r="U1078" s="1"/>
      <c r="V1078" s="6"/>
      <c r="W1078" s="6"/>
    </row>
    <row r="1079" ht="15.75" customHeight="1">
      <c r="A1079" s="9" t="s">
        <v>29</v>
      </c>
      <c r="B1079" s="10">
        <v>2026.0</v>
      </c>
      <c r="C1079" s="14" t="s">
        <v>901</v>
      </c>
      <c r="D1079" s="1" t="s">
        <v>1099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-1697231.0</v>
      </c>
      <c r="O1079" s="2">
        <v>0.0</v>
      </c>
      <c r="P1079" s="2">
        <f t="shared" si="1"/>
        <v>1697231</v>
      </c>
      <c r="Q1079" s="1"/>
      <c r="R1079" s="1"/>
      <c r="S1079" s="1"/>
      <c r="T1079" s="1"/>
      <c r="U1079" s="1"/>
      <c r="V1079" s="6"/>
      <c r="W1079" s="6"/>
    </row>
    <row r="1080" ht="15.75" customHeight="1">
      <c r="A1080" s="9" t="s">
        <v>29</v>
      </c>
      <c r="B1080" s="10">
        <v>2026.0</v>
      </c>
      <c r="C1080" s="14" t="s">
        <v>901</v>
      </c>
      <c r="D1080" s="1" t="s">
        <v>1100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-149000.0</v>
      </c>
      <c r="O1080" s="2">
        <v>0.0</v>
      </c>
      <c r="P1080" s="2">
        <f t="shared" si="1"/>
        <v>149000</v>
      </c>
      <c r="Q1080" s="1"/>
      <c r="R1080" s="1"/>
      <c r="S1080" s="1"/>
      <c r="T1080" s="1"/>
      <c r="U1080" s="1"/>
      <c r="V1080" s="6"/>
      <c r="W1080" s="6"/>
    </row>
    <row r="1081" ht="15.75" customHeight="1">
      <c r="A1081" s="9" t="s">
        <v>29</v>
      </c>
      <c r="B1081" s="10">
        <v>2026.0</v>
      </c>
      <c r="C1081" s="14" t="s">
        <v>901</v>
      </c>
      <c r="D1081" s="1" t="s">
        <v>1101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-496000.0</v>
      </c>
      <c r="O1081" s="2">
        <v>0.0</v>
      </c>
      <c r="P1081" s="2">
        <f t="shared" si="1"/>
        <v>496000</v>
      </c>
      <c r="Q1081" s="1"/>
      <c r="R1081" s="1"/>
      <c r="S1081" s="1"/>
      <c r="T1081" s="1"/>
      <c r="U1081" s="1"/>
      <c r="V1081" s="6"/>
      <c r="W1081" s="6"/>
    </row>
    <row r="1082" ht="15.75" customHeight="1">
      <c r="A1082" s="9" t="s">
        <v>29</v>
      </c>
      <c r="B1082" s="10">
        <v>2026.0</v>
      </c>
      <c r="C1082" s="14" t="s">
        <v>901</v>
      </c>
      <c r="D1082" s="1" t="s">
        <v>1102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-99000.0</v>
      </c>
      <c r="O1082" s="2">
        <v>0.0</v>
      </c>
      <c r="P1082" s="2">
        <f t="shared" si="1"/>
        <v>99000</v>
      </c>
      <c r="Q1082" s="1"/>
      <c r="R1082" s="1"/>
      <c r="S1082" s="1"/>
      <c r="T1082" s="1"/>
      <c r="U1082" s="1"/>
      <c r="V1082" s="6"/>
      <c r="W1082" s="6"/>
    </row>
    <row r="1083" ht="15.75" customHeight="1">
      <c r="A1083" s="9" t="s">
        <v>29</v>
      </c>
      <c r="B1083" s="10">
        <v>2026.0</v>
      </c>
      <c r="C1083" s="14" t="s">
        <v>901</v>
      </c>
      <c r="D1083" s="1" t="s">
        <v>1103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-590500.0</v>
      </c>
      <c r="O1083" s="2">
        <v>0.0</v>
      </c>
      <c r="P1083" s="2">
        <f t="shared" si="1"/>
        <v>590500</v>
      </c>
      <c r="Q1083" s="1"/>
      <c r="R1083" s="1"/>
      <c r="S1083" s="1"/>
      <c r="T1083" s="1"/>
      <c r="U1083" s="1"/>
      <c r="V1083" s="6"/>
      <c r="W1083" s="6"/>
    </row>
    <row r="1084" ht="15.75" customHeight="1">
      <c r="A1084" s="9" t="s">
        <v>29</v>
      </c>
      <c r="B1084" s="10">
        <v>2026.0</v>
      </c>
      <c r="C1084" s="14" t="s">
        <v>901</v>
      </c>
      <c r="D1084" s="1" t="s">
        <v>1104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-590500.0</v>
      </c>
      <c r="O1084" s="2">
        <v>0.0</v>
      </c>
      <c r="P1084" s="2">
        <f t="shared" si="1"/>
        <v>590500</v>
      </c>
      <c r="Q1084" s="1"/>
      <c r="R1084" s="1"/>
      <c r="S1084" s="1"/>
      <c r="T1084" s="1"/>
      <c r="U1084" s="1"/>
      <c r="V1084" s="6"/>
      <c r="W1084" s="6"/>
    </row>
    <row r="1085" ht="15.75" customHeight="1">
      <c r="A1085" s="9" t="s">
        <v>29</v>
      </c>
      <c r="B1085" s="10">
        <v>2026.0</v>
      </c>
      <c r="C1085" s="14" t="s">
        <v>901</v>
      </c>
      <c r="D1085" s="1" t="s">
        <v>1104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-590500.0</v>
      </c>
      <c r="O1085" s="2">
        <v>0.0</v>
      </c>
      <c r="P1085" s="2">
        <f t="shared" si="1"/>
        <v>590500</v>
      </c>
      <c r="Q1085" s="1"/>
      <c r="R1085" s="1"/>
      <c r="S1085" s="1"/>
      <c r="T1085" s="1"/>
      <c r="U1085" s="1"/>
      <c r="V1085" s="6"/>
      <c r="W1085" s="6"/>
    </row>
    <row r="1086" ht="15.75" customHeight="1">
      <c r="A1086" s="9" t="s">
        <v>29</v>
      </c>
      <c r="B1086" s="10">
        <v>2026.0</v>
      </c>
      <c r="C1086" s="14" t="s">
        <v>901</v>
      </c>
      <c r="D1086" s="1" t="s">
        <v>1105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-3700000.0</v>
      </c>
      <c r="O1086" s="2">
        <v>0.0</v>
      </c>
      <c r="P1086" s="2">
        <f t="shared" si="1"/>
        <v>3700000</v>
      </c>
      <c r="Q1086" s="1"/>
      <c r="R1086" s="1"/>
      <c r="S1086" s="1"/>
      <c r="T1086" s="1"/>
      <c r="U1086" s="1"/>
      <c r="V1086" s="6"/>
      <c r="W1086" s="6"/>
    </row>
    <row r="1087" ht="15.75" customHeight="1">
      <c r="A1087" s="9" t="s">
        <v>29</v>
      </c>
      <c r="B1087" s="10">
        <v>2026.0</v>
      </c>
      <c r="C1087" s="14" t="s">
        <v>901</v>
      </c>
      <c r="D1087" s="1" t="s">
        <v>1106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-158096.0</v>
      </c>
      <c r="O1087" s="2">
        <v>0.0</v>
      </c>
      <c r="P1087" s="2">
        <f t="shared" si="1"/>
        <v>158096</v>
      </c>
      <c r="Q1087" s="1"/>
      <c r="R1087" s="1"/>
      <c r="S1087" s="1"/>
      <c r="T1087" s="1"/>
      <c r="U1087" s="1"/>
      <c r="V1087" s="6"/>
      <c r="W1087" s="6"/>
    </row>
    <row r="1088" ht="15.75" customHeight="1">
      <c r="A1088" s="9" t="s">
        <v>29</v>
      </c>
      <c r="B1088" s="10">
        <v>2026.0</v>
      </c>
      <c r="C1088" s="14" t="s">
        <v>901</v>
      </c>
      <c r="D1088" s="1" t="s">
        <v>1107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-1515600.0</v>
      </c>
      <c r="O1088" s="2">
        <v>0.0</v>
      </c>
      <c r="P1088" s="2">
        <f t="shared" si="1"/>
        <v>1515600</v>
      </c>
      <c r="Q1088" s="1"/>
      <c r="R1088" s="1"/>
      <c r="S1088" s="1"/>
      <c r="T1088" s="1"/>
      <c r="U1088" s="1"/>
      <c r="V1088" s="6"/>
      <c r="W1088" s="6"/>
    </row>
    <row r="1089" ht="15.75" customHeight="1">
      <c r="A1089" s="9" t="s">
        <v>29</v>
      </c>
      <c r="B1089" s="10">
        <v>2026.0</v>
      </c>
      <c r="C1089" s="14" t="s">
        <v>901</v>
      </c>
      <c r="D1089" s="1" t="s">
        <v>1108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-589004.0</v>
      </c>
      <c r="O1089" s="2">
        <v>0.0</v>
      </c>
      <c r="P1089" s="2">
        <f t="shared" si="1"/>
        <v>589004</v>
      </c>
      <c r="Q1089" s="1"/>
      <c r="R1089" s="1"/>
      <c r="S1089" s="1"/>
      <c r="T1089" s="1"/>
      <c r="U1089" s="1"/>
      <c r="V1089" s="6"/>
      <c r="W1089" s="6"/>
    </row>
    <row r="1090" ht="15.75" customHeight="1">
      <c r="A1090" s="9" t="s">
        <v>29</v>
      </c>
      <c r="B1090" s="10">
        <v>2026.0</v>
      </c>
      <c r="C1090" s="14" t="s">
        <v>901</v>
      </c>
      <c r="D1090" s="1" t="s">
        <v>1109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-313000.0</v>
      </c>
      <c r="O1090" s="2">
        <v>0.0</v>
      </c>
      <c r="P1090" s="2">
        <f t="shared" si="1"/>
        <v>313000</v>
      </c>
      <c r="Q1090" s="1"/>
      <c r="R1090" s="1"/>
      <c r="S1090" s="1"/>
      <c r="T1090" s="1"/>
      <c r="U1090" s="1"/>
      <c r="V1090" s="6"/>
      <c r="W1090" s="6"/>
    </row>
    <row r="1091" ht="15.75" customHeight="1">
      <c r="A1091" s="9" t="s">
        <v>29</v>
      </c>
      <c r="B1091" s="10">
        <v>2026.0</v>
      </c>
      <c r="C1091" s="14" t="s">
        <v>901</v>
      </c>
      <c r="D1091" s="1" t="s">
        <v>1110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-144100.0</v>
      </c>
      <c r="O1091" s="2">
        <v>0.0</v>
      </c>
      <c r="P1091" s="2">
        <f t="shared" si="1"/>
        <v>144100</v>
      </c>
      <c r="Q1091" s="1"/>
      <c r="R1091" s="1"/>
      <c r="S1091" s="1"/>
      <c r="T1091" s="1"/>
      <c r="U1091" s="1"/>
      <c r="V1091" s="6"/>
      <c r="W1091" s="6"/>
    </row>
    <row r="1092" ht="15.75" customHeight="1">
      <c r="A1092" s="9" t="s">
        <v>29</v>
      </c>
      <c r="B1092" s="10">
        <v>2026.0</v>
      </c>
      <c r="C1092" s="14" t="s">
        <v>901</v>
      </c>
      <c r="D1092" s="1" t="s">
        <v>1111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-121150.0</v>
      </c>
      <c r="O1092" s="2">
        <v>0.0</v>
      </c>
      <c r="P1092" s="2">
        <f t="shared" si="1"/>
        <v>121150</v>
      </c>
      <c r="Q1092" s="1"/>
      <c r="R1092" s="1"/>
      <c r="S1092" s="1"/>
      <c r="T1092" s="1"/>
      <c r="U1092" s="1"/>
      <c r="V1092" s="6"/>
      <c r="W1092" s="6"/>
    </row>
    <row r="1093" ht="15.75" customHeight="1">
      <c r="A1093" s="9" t="s">
        <v>29</v>
      </c>
      <c r="B1093" s="10">
        <v>2026.0</v>
      </c>
      <c r="C1093" s="14" t="s">
        <v>901</v>
      </c>
      <c r="D1093" s="1" t="s">
        <v>1112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-201150.0</v>
      </c>
      <c r="O1093" s="2">
        <v>0.0</v>
      </c>
      <c r="P1093" s="2">
        <f t="shared" si="1"/>
        <v>201150</v>
      </c>
      <c r="Q1093" s="1"/>
      <c r="R1093" s="1"/>
      <c r="S1093" s="1"/>
      <c r="T1093" s="1"/>
      <c r="U1093" s="1"/>
      <c r="V1093" s="6"/>
      <c r="W1093" s="6"/>
    </row>
    <row r="1094" ht="15.75" customHeight="1">
      <c r="A1094" s="9" t="s">
        <v>29</v>
      </c>
      <c r="B1094" s="10">
        <v>2026.0</v>
      </c>
      <c r="C1094" s="14" t="s">
        <v>901</v>
      </c>
      <c r="D1094" s="1" t="s">
        <v>1113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-235780.0</v>
      </c>
      <c r="O1094" s="2">
        <v>0.0</v>
      </c>
      <c r="P1094" s="2">
        <f t="shared" si="1"/>
        <v>235780</v>
      </c>
      <c r="Q1094" s="1"/>
      <c r="R1094" s="1"/>
      <c r="S1094" s="1"/>
      <c r="T1094" s="1"/>
      <c r="U1094" s="1"/>
      <c r="V1094" s="6"/>
      <c r="W1094" s="6"/>
    </row>
    <row r="1095" ht="15.75" customHeight="1">
      <c r="A1095" s="9" t="s">
        <v>29</v>
      </c>
      <c r="B1095" s="10">
        <v>2026.0</v>
      </c>
      <c r="C1095" s="14" t="s">
        <v>901</v>
      </c>
      <c r="D1095" s="1" t="s">
        <v>1114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-87215.0</v>
      </c>
      <c r="O1095" s="2">
        <v>0.0</v>
      </c>
      <c r="P1095" s="2">
        <f t="shared" si="1"/>
        <v>87215</v>
      </c>
      <c r="Q1095" s="1"/>
      <c r="R1095" s="1"/>
      <c r="S1095" s="1"/>
      <c r="T1095" s="1"/>
      <c r="U1095" s="1"/>
      <c r="V1095" s="6"/>
      <c r="W1095" s="6"/>
    </row>
    <row r="1096" ht="15.75" customHeight="1">
      <c r="A1096" s="9" t="s">
        <v>29</v>
      </c>
      <c r="B1096" s="10">
        <v>2026.0</v>
      </c>
      <c r="C1096" s="14" t="s">
        <v>901</v>
      </c>
      <c r="D1096" s="1" t="s">
        <v>1115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-1158172.0</v>
      </c>
      <c r="O1096" s="2">
        <v>0.0</v>
      </c>
      <c r="P1096" s="2">
        <f t="shared" si="1"/>
        <v>1158172</v>
      </c>
      <c r="Q1096" s="1"/>
      <c r="R1096" s="1"/>
      <c r="S1096" s="1"/>
      <c r="T1096" s="1"/>
      <c r="U1096" s="1"/>
      <c r="V1096" s="6"/>
      <c r="W1096" s="6"/>
    </row>
    <row r="1097" ht="15.75" customHeight="1">
      <c r="A1097" s="9" t="s">
        <v>29</v>
      </c>
      <c r="B1097" s="10">
        <v>2026.0</v>
      </c>
      <c r="C1097" s="14" t="s">
        <v>901</v>
      </c>
      <c r="D1097" s="1" t="s">
        <v>1116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-1938473.0</v>
      </c>
      <c r="O1097" s="2">
        <v>0.0</v>
      </c>
      <c r="P1097" s="2">
        <f t="shared" si="1"/>
        <v>1938473</v>
      </c>
      <c r="Q1097" s="1"/>
      <c r="R1097" s="1"/>
      <c r="S1097" s="1"/>
      <c r="T1097" s="1"/>
      <c r="U1097" s="1"/>
      <c r="V1097" s="6"/>
      <c r="W1097" s="6"/>
    </row>
    <row r="1098" ht="15.75" customHeight="1">
      <c r="A1098" s="9" t="s">
        <v>29</v>
      </c>
      <c r="B1098" s="10">
        <v>2026.0</v>
      </c>
      <c r="C1098" s="14" t="s">
        <v>901</v>
      </c>
      <c r="D1098" s="1" t="s">
        <v>1117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-1544500.0</v>
      </c>
      <c r="O1098" s="2">
        <v>0.0</v>
      </c>
      <c r="P1098" s="2">
        <f t="shared" si="1"/>
        <v>1544500</v>
      </c>
      <c r="Q1098" s="1"/>
      <c r="R1098" s="1"/>
      <c r="S1098" s="1"/>
      <c r="T1098" s="1"/>
      <c r="U1098" s="1"/>
      <c r="V1098" s="6"/>
      <c r="W1098" s="6"/>
    </row>
    <row r="1099" ht="15.75" customHeight="1">
      <c r="A1099" s="9" t="s">
        <v>29</v>
      </c>
      <c r="B1099" s="10">
        <v>2026.0</v>
      </c>
      <c r="C1099" s="14" t="s">
        <v>901</v>
      </c>
      <c r="D1099" s="1" t="s">
        <v>1118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-1244500.0</v>
      </c>
      <c r="O1099" s="2">
        <v>0.0</v>
      </c>
      <c r="P1099" s="2">
        <f t="shared" si="1"/>
        <v>1244500</v>
      </c>
      <c r="Q1099" s="1"/>
      <c r="R1099" s="1"/>
      <c r="S1099" s="1"/>
      <c r="T1099" s="1"/>
      <c r="U1099" s="1"/>
      <c r="V1099" s="6"/>
      <c r="W1099" s="6"/>
    </row>
    <row r="1100" ht="15.75" customHeight="1">
      <c r="A1100" s="9" t="s">
        <v>29</v>
      </c>
      <c r="B1100" s="10">
        <v>2026.0</v>
      </c>
      <c r="C1100" s="14" t="s">
        <v>901</v>
      </c>
      <c r="D1100" s="1" t="s">
        <v>1119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-614500.0</v>
      </c>
      <c r="O1100" s="2">
        <v>0.0</v>
      </c>
      <c r="P1100" s="2">
        <f t="shared" si="1"/>
        <v>614500</v>
      </c>
      <c r="Q1100" s="1"/>
      <c r="R1100" s="1"/>
      <c r="S1100" s="1"/>
      <c r="T1100" s="1"/>
      <c r="U1100" s="1"/>
      <c r="V1100" s="6"/>
      <c r="W1100" s="6"/>
    </row>
    <row r="1101" ht="15.75" customHeight="1">
      <c r="A1101" s="9" t="s">
        <v>29</v>
      </c>
      <c r="B1101" s="10">
        <v>2026.0</v>
      </c>
      <c r="C1101" s="14" t="s">
        <v>901</v>
      </c>
      <c r="D1101" s="1" t="s">
        <v>1120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-442500.0</v>
      </c>
      <c r="O1101" s="2">
        <v>0.0</v>
      </c>
      <c r="P1101" s="2">
        <f t="shared" si="1"/>
        <v>442500</v>
      </c>
      <c r="Q1101" s="1"/>
      <c r="R1101" s="1"/>
      <c r="S1101" s="1"/>
      <c r="T1101" s="1"/>
      <c r="U1101" s="1"/>
      <c r="V1101" s="6"/>
      <c r="W1101" s="6"/>
    </row>
    <row r="1102" ht="15.75" customHeight="1">
      <c r="A1102" s="9" t="s">
        <v>29</v>
      </c>
      <c r="B1102" s="10">
        <v>2026.0</v>
      </c>
      <c r="C1102" s="14" t="s">
        <v>901</v>
      </c>
      <c r="D1102" s="1" t="s">
        <v>1121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-1.7178888E7</v>
      </c>
      <c r="O1102" s="2">
        <v>0.0</v>
      </c>
      <c r="P1102" s="2">
        <f t="shared" si="1"/>
        <v>17178888</v>
      </c>
      <c r="Q1102" s="1"/>
      <c r="R1102" s="1"/>
      <c r="S1102" s="1"/>
      <c r="T1102" s="1"/>
      <c r="U1102" s="1"/>
      <c r="V1102" s="6"/>
      <c r="W1102" s="6"/>
    </row>
    <row r="1103" ht="15.75" customHeight="1">
      <c r="A1103" s="9" t="s">
        <v>29</v>
      </c>
      <c r="B1103" s="10">
        <v>2026.0</v>
      </c>
      <c r="C1103" s="14" t="s">
        <v>901</v>
      </c>
      <c r="D1103" s="1" t="s">
        <v>1122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-659935.0</v>
      </c>
      <c r="O1103" s="2">
        <v>0.0</v>
      </c>
      <c r="P1103" s="2">
        <f t="shared" si="1"/>
        <v>659935</v>
      </c>
      <c r="Q1103" s="1"/>
      <c r="R1103" s="1"/>
      <c r="S1103" s="1"/>
      <c r="T1103" s="1"/>
      <c r="U1103" s="1"/>
      <c r="V1103" s="6"/>
      <c r="W1103" s="6"/>
    </row>
    <row r="1104" ht="15.75" customHeight="1">
      <c r="A1104" s="9" t="s">
        <v>29</v>
      </c>
      <c r="B1104" s="10">
        <v>2026.0</v>
      </c>
      <c r="C1104" s="1" t="s">
        <v>1123</v>
      </c>
      <c r="D1104" s="1" t="s">
        <v>1122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-453139.0</v>
      </c>
      <c r="O1104" s="2">
        <v>0.0</v>
      </c>
      <c r="P1104" s="2">
        <f t="shared" si="1"/>
        <v>453139</v>
      </c>
      <c r="Q1104" s="1"/>
      <c r="R1104" s="1"/>
      <c r="S1104" s="1"/>
      <c r="T1104" s="1"/>
      <c r="U1104" s="1"/>
      <c r="V1104" s="6"/>
      <c r="W1104" s="6"/>
    </row>
    <row r="1105" ht="15.75" customHeight="1">
      <c r="A1105" s="9" t="s">
        <v>29</v>
      </c>
      <c r="B1105" s="10">
        <v>2026.0</v>
      </c>
      <c r="C1105" s="1" t="s">
        <v>1068</v>
      </c>
      <c r="D1105" s="1" t="s">
        <v>1073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2">
        <v>3.996904E7</v>
      </c>
      <c r="O1105" s="2">
        <v>0.0</v>
      </c>
      <c r="P1105" s="2">
        <f t="shared" si="1"/>
        <v>-39969040</v>
      </c>
      <c r="Q1105" s="1"/>
      <c r="R1105" s="1"/>
      <c r="S1105" s="1"/>
      <c r="T1105" s="1"/>
      <c r="U1105" s="1"/>
      <c r="V1105" s="6"/>
      <c r="W1105" s="6"/>
    </row>
    <row r="1106" ht="15.75" customHeight="1">
      <c r="A1106" s="9" t="s">
        <v>29</v>
      </c>
      <c r="B1106" s="10">
        <v>2026.0</v>
      </c>
      <c r="C1106" s="1" t="s">
        <v>1068</v>
      </c>
      <c r="D1106" s="1" t="s">
        <v>1124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-3.7874976E7</v>
      </c>
      <c r="O1106" s="2">
        <v>0.0</v>
      </c>
      <c r="P1106" s="2">
        <f t="shared" si="1"/>
        <v>37874976</v>
      </c>
      <c r="Q1106" s="1"/>
      <c r="R1106" s="1"/>
      <c r="S1106" s="1"/>
      <c r="T1106" s="1"/>
      <c r="U1106" s="1"/>
      <c r="V1106" s="6"/>
      <c r="W1106" s="6"/>
    </row>
    <row r="1107" ht="15.75" customHeight="1">
      <c r="A1107" s="9" t="s">
        <v>29</v>
      </c>
      <c r="B1107" s="10">
        <v>2026.0</v>
      </c>
      <c r="C1107" s="14" t="s">
        <v>898</v>
      </c>
      <c r="D1107" s="1" t="s">
        <v>1125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-200000.0</v>
      </c>
      <c r="O1107" s="2">
        <v>0.0</v>
      </c>
      <c r="P1107" s="2">
        <f t="shared" si="1"/>
        <v>200000</v>
      </c>
      <c r="Q1107" s="1"/>
      <c r="R1107" s="1"/>
      <c r="S1107" s="1"/>
      <c r="T1107" s="1"/>
      <c r="U1107" s="1"/>
      <c r="V1107" s="6"/>
      <c r="W1107" s="6"/>
    </row>
    <row r="1108" ht="15.75" customHeight="1">
      <c r="A1108" s="9" t="s">
        <v>29</v>
      </c>
      <c r="B1108" s="10">
        <v>2026.0</v>
      </c>
      <c r="C1108" s="14" t="s">
        <v>898</v>
      </c>
      <c r="D1108" s="1" t="s">
        <v>1126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-100000.0</v>
      </c>
      <c r="O1108" s="2">
        <v>0.0</v>
      </c>
      <c r="P1108" s="2">
        <f t="shared" si="1"/>
        <v>100000</v>
      </c>
      <c r="Q1108" s="1"/>
      <c r="R1108" s="1"/>
      <c r="S1108" s="1"/>
      <c r="T1108" s="1"/>
      <c r="U1108" s="1"/>
      <c r="V1108" s="6"/>
      <c r="W1108" s="6"/>
    </row>
    <row r="1109" ht="15.75" customHeight="1">
      <c r="A1109" s="9" t="s">
        <v>29</v>
      </c>
      <c r="B1109" s="10">
        <v>2026.0</v>
      </c>
      <c r="C1109" s="14" t="s">
        <v>898</v>
      </c>
      <c r="D1109" s="1" t="s">
        <v>1127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-43000.0</v>
      </c>
      <c r="O1109" s="2">
        <v>0.0</v>
      </c>
      <c r="P1109" s="2">
        <f t="shared" si="1"/>
        <v>43000</v>
      </c>
      <c r="Q1109" s="1"/>
      <c r="R1109" s="1"/>
      <c r="S1109" s="1"/>
      <c r="T1109" s="1"/>
      <c r="U1109" s="1"/>
      <c r="V1109" s="6"/>
      <c r="W1109" s="6"/>
    </row>
    <row r="1110" ht="15.75" customHeight="1">
      <c r="A1110" s="9" t="s">
        <v>29</v>
      </c>
      <c r="B1110" s="10">
        <v>2026.0</v>
      </c>
      <c r="C1110" s="14" t="s">
        <v>898</v>
      </c>
      <c r="D1110" s="1" t="s">
        <v>1128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-120500.0</v>
      </c>
      <c r="O1110" s="2">
        <v>0.0</v>
      </c>
      <c r="P1110" s="2">
        <f t="shared" si="1"/>
        <v>120500</v>
      </c>
      <c r="Q1110" s="1"/>
      <c r="R1110" s="1"/>
      <c r="S1110" s="1"/>
      <c r="T1110" s="1"/>
      <c r="U1110" s="1"/>
      <c r="V1110" s="6"/>
      <c r="W1110" s="6"/>
    </row>
    <row r="1111" ht="15.75" customHeight="1">
      <c r="A1111" s="9" t="s">
        <v>29</v>
      </c>
      <c r="B1111" s="10">
        <v>2026.0</v>
      </c>
      <c r="C1111" s="14" t="s">
        <v>898</v>
      </c>
      <c r="D1111" s="1" t="s">
        <v>1129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-390000.0</v>
      </c>
      <c r="O1111" s="2">
        <v>0.0</v>
      </c>
      <c r="P1111" s="2">
        <f t="shared" si="1"/>
        <v>390000</v>
      </c>
      <c r="Q1111" s="1"/>
      <c r="R1111" s="1"/>
      <c r="S1111" s="1"/>
      <c r="T1111" s="1"/>
      <c r="U1111" s="1"/>
      <c r="V1111" s="6"/>
      <c r="W1111" s="6"/>
    </row>
    <row r="1112" ht="15.75" customHeight="1">
      <c r="A1112" s="9" t="s">
        <v>29</v>
      </c>
      <c r="B1112" s="10">
        <v>2026.0</v>
      </c>
      <c r="C1112" s="14" t="s">
        <v>898</v>
      </c>
      <c r="D1112" s="1" t="s">
        <v>1130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-43882.0</v>
      </c>
      <c r="O1112" s="2">
        <v>0.0</v>
      </c>
      <c r="P1112" s="2">
        <f t="shared" si="1"/>
        <v>43882</v>
      </c>
      <c r="Q1112" s="1"/>
      <c r="R1112" s="1"/>
      <c r="S1112" s="1"/>
      <c r="T1112" s="1"/>
      <c r="U1112" s="1"/>
      <c r="V1112" s="6"/>
      <c r="W1112" s="6"/>
    </row>
    <row r="1113" ht="15.75" customHeight="1">
      <c r="A1113" s="9" t="s">
        <v>29</v>
      </c>
      <c r="B1113" s="10">
        <v>2026.0</v>
      </c>
      <c r="C1113" s="14" t="s">
        <v>898</v>
      </c>
      <c r="D1113" s="1" t="s">
        <v>1131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-34000.0</v>
      </c>
      <c r="O1113" s="2">
        <v>0.0</v>
      </c>
      <c r="P1113" s="2">
        <f t="shared" si="1"/>
        <v>34000</v>
      </c>
      <c r="Q1113" s="1"/>
      <c r="R1113" s="1"/>
      <c r="S1113" s="1"/>
      <c r="T1113" s="1"/>
      <c r="U1113" s="1"/>
      <c r="V1113" s="6"/>
      <c r="W1113" s="6"/>
    </row>
    <row r="1114" ht="15.75" customHeight="1">
      <c r="A1114" s="9" t="s">
        <v>29</v>
      </c>
      <c r="B1114" s="10">
        <v>2026.0</v>
      </c>
      <c r="C1114" s="14" t="s">
        <v>898</v>
      </c>
      <c r="D1114" s="1" t="s">
        <v>1132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-20000.0</v>
      </c>
      <c r="O1114" s="2">
        <v>0.0</v>
      </c>
      <c r="P1114" s="2">
        <f t="shared" si="1"/>
        <v>20000</v>
      </c>
      <c r="Q1114" s="1"/>
      <c r="R1114" s="1"/>
      <c r="S1114" s="1"/>
      <c r="T1114" s="1"/>
      <c r="U1114" s="1"/>
      <c r="V1114" s="6"/>
      <c r="W1114" s="6"/>
    </row>
    <row r="1115" ht="15.75" customHeight="1">
      <c r="A1115" s="9" t="s">
        <v>29</v>
      </c>
      <c r="B1115" s="10">
        <v>2026.0</v>
      </c>
      <c r="C1115" s="14" t="s">
        <v>898</v>
      </c>
      <c r="D1115" s="1" t="s">
        <v>1133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-14000.0</v>
      </c>
      <c r="O1115" s="2">
        <v>0.0</v>
      </c>
      <c r="P1115" s="2">
        <f t="shared" si="1"/>
        <v>14000</v>
      </c>
      <c r="Q1115" s="1"/>
      <c r="R1115" s="1"/>
      <c r="S1115" s="1"/>
      <c r="T1115" s="1"/>
      <c r="U1115" s="1"/>
      <c r="V1115" s="6"/>
      <c r="W1115" s="6"/>
    </row>
    <row r="1116" ht="15.75" customHeight="1">
      <c r="A1116" s="9" t="s">
        <v>29</v>
      </c>
      <c r="B1116" s="10">
        <v>2026.0</v>
      </c>
      <c r="C1116" s="14" t="s">
        <v>898</v>
      </c>
      <c r="D1116" s="1" t="s">
        <v>1134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-42000.0</v>
      </c>
      <c r="O1116" s="2">
        <v>0.0</v>
      </c>
      <c r="P1116" s="2">
        <f t="shared" si="1"/>
        <v>42000</v>
      </c>
      <c r="Q1116" s="1"/>
      <c r="R1116" s="1"/>
      <c r="S1116" s="1"/>
      <c r="T1116" s="1"/>
      <c r="U1116" s="1"/>
      <c r="V1116" s="6"/>
      <c r="W1116" s="6"/>
    </row>
    <row r="1117" ht="15.75" customHeight="1">
      <c r="A1117" s="9" t="s">
        <v>29</v>
      </c>
      <c r="B1117" s="10">
        <v>2026.0</v>
      </c>
      <c r="C1117" s="14" t="s">
        <v>898</v>
      </c>
      <c r="D1117" s="1" t="s">
        <v>1135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-34000.0</v>
      </c>
      <c r="O1117" s="2">
        <v>0.0</v>
      </c>
      <c r="P1117" s="2">
        <f t="shared" si="1"/>
        <v>34000</v>
      </c>
      <c r="Q1117" s="1"/>
      <c r="R1117" s="1"/>
      <c r="S1117" s="1"/>
      <c r="T1117" s="1"/>
      <c r="U1117" s="1"/>
      <c r="V1117" s="6"/>
      <c r="W1117" s="6"/>
    </row>
    <row r="1118" ht="15.75" customHeight="1">
      <c r="A1118" s="9" t="s">
        <v>29</v>
      </c>
      <c r="B1118" s="10">
        <v>2026.0</v>
      </c>
      <c r="C1118" s="14" t="s">
        <v>898</v>
      </c>
      <c r="D1118" s="1" t="s">
        <v>1136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-25000.0</v>
      </c>
      <c r="O1118" s="2">
        <v>0.0</v>
      </c>
      <c r="P1118" s="2">
        <f t="shared" si="1"/>
        <v>25000</v>
      </c>
      <c r="Q1118" s="1"/>
      <c r="R1118" s="1"/>
      <c r="S1118" s="1"/>
      <c r="T1118" s="1"/>
      <c r="U1118" s="1"/>
      <c r="V1118" s="6"/>
      <c r="W1118" s="6"/>
    </row>
    <row r="1119" ht="15.75" customHeight="1">
      <c r="A1119" s="9" t="s">
        <v>29</v>
      </c>
      <c r="B1119" s="10">
        <v>2026.0</v>
      </c>
      <c r="C1119" s="14" t="s">
        <v>898</v>
      </c>
      <c r="D1119" s="1" t="s">
        <v>1137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-178500.0</v>
      </c>
      <c r="O1119" s="2">
        <v>0.0</v>
      </c>
      <c r="P1119" s="2">
        <f t="shared" si="1"/>
        <v>178500</v>
      </c>
      <c r="Q1119" s="1"/>
      <c r="R1119" s="1"/>
      <c r="S1119" s="1"/>
      <c r="T1119" s="1"/>
      <c r="U1119" s="1"/>
      <c r="V1119" s="6"/>
      <c r="W1119" s="6"/>
    </row>
    <row r="1120" ht="15.75" customHeight="1">
      <c r="A1120" s="9" t="s">
        <v>29</v>
      </c>
      <c r="B1120" s="10">
        <v>2026.0</v>
      </c>
      <c r="C1120" s="14" t="s">
        <v>898</v>
      </c>
      <c r="D1120" s="1" t="s">
        <v>1138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-69200.0</v>
      </c>
      <c r="O1120" s="2">
        <v>0.0</v>
      </c>
      <c r="P1120" s="2">
        <f t="shared" si="1"/>
        <v>69200</v>
      </c>
      <c r="Q1120" s="1"/>
      <c r="R1120" s="1"/>
      <c r="S1120" s="1"/>
      <c r="T1120" s="1"/>
      <c r="U1120" s="1"/>
      <c r="V1120" s="6"/>
      <c r="W1120" s="6"/>
    </row>
    <row r="1121" ht="15.75" customHeight="1">
      <c r="A1121" s="9" t="s">
        <v>29</v>
      </c>
      <c r="B1121" s="10">
        <v>2026.0</v>
      </c>
      <c r="C1121" s="14" t="s">
        <v>898</v>
      </c>
      <c r="D1121" s="1" t="s">
        <v>1139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-50000.0</v>
      </c>
      <c r="O1121" s="2">
        <v>0.0</v>
      </c>
      <c r="P1121" s="2">
        <f t="shared" si="1"/>
        <v>50000</v>
      </c>
      <c r="Q1121" s="1"/>
      <c r="R1121" s="1"/>
      <c r="S1121" s="1"/>
      <c r="T1121" s="1"/>
      <c r="U1121" s="1"/>
      <c r="V1121" s="6"/>
      <c r="W1121" s="6"/>
    </row>
    <row r="1122" ht="15.75" customHeight="1">
      <c r="A1122" s="9" t="s">
        <v>29</v>
      </c>
      <c r="B1122" s="10">
        <v>2026.0</v>
      </c>
      <c r="C1122" s="14" t="s">
        <v>898</v>
      </c>
      <c r="D1122" s="1" t="s">
        <v>1140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-60000.0</v>
      </c>
      <c r="O1122" s="2">
        <v>0.0</v>
      </c>
      <c r="P1122" s="2">
        <f t="shared" si="1"/>
        <v>60000</v>
      </c>
      <c r="Q1122" s="1"/>
      <c r="R1122" s="1"/>
      <c r="S1122" s="1"/>
      <c r="T1122" s="1"/>
      <c r="U1122" s="1"/>
      <c r="V1122" s="6"/>
      <c r="W1122" s="6"/>
    </row>
    <row r="1123" ht="15.75" customHeight="1">
      <c r="A1123" s="9" t="s">
        <v>29</v>
      </c>
      <c r="B1123" s="10">
        <v>2026.0</v>
      </c>
      <c r="C1123" s="14" t="s">
        <v>898</v>
      </c>
      <c r="D1123" s="1" t="s">
        <v>1141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-29000.0</v>
      </c>
      <c r="O1123" s="2">
        <v>0.0</v>
      </c>
      <c r="P1123" s="2">
        <f t="shared" si="1"/>
        <v>29000</v>
      </c>
      <c r="Q1123" s="1"/>
      <c r="R1123" s="1"/>
      <c r="S1123" s="1"/>
      <c r="T1123" s="1"/>
      <c r="U1123" s="1"/>
      <c r="V1123" s="6"/>
      <c r="W1123" s="6"/>
    </row>
    <row r="1124" ht="15.75" customHeight="1">
      <c r="A1124" s="9" t="s">
        <v>29</v>
      </c>
      <c r="B1124" s="10">
        <v>2026.0</v>
      </c>
      <c r="C1124" s="14" t="s">
        <v>898</v>
      </c>
      <c r="D1124" s="1" t="s">
        <v>1142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-72000.0</v>
      </c>
      <c r="O1124" s="2">
        <v>0.0</v>
      </c>
      <c r="P1124" s="2">
        <f t="shared" si="1"/>
        <v>72000</v>
      </c>
      <c r="Q1124" s="1"/>
      <c r="R1124" s="1"/>
      <c r="S1124" s="1"/>
      <c r="T1124" s="1"/>
      <c r="U1124" s="1"/>
      <c r="V1124" s="6"/>
      <c r="W1124" s="6"/>
    </row>
    <row r="1125" ht="15.75" customHeight="1">
      <c r="A1125" s="9" t="s">
        <v>29</v>
      </c>
      <c r="B1125" s="10">
        <v>2026.0</v>
      </c>
      <c r="C1125" s="14" t="s">
        <v>898</v>
      </c>
      <c r="D1125" s="1" t="s">
        <v>1143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-32295.0</v>
      </c>
      <c r="O1125" s="2">
        <v>0.0</v>
      </c>
      <c r="P1125" s="2">
        <f t="shared" si="1"/>
        <v>32295</v>
      </c>
      <c r="Q1125" s="1"/>
      <c r="R1125" s="1"/>
      <c r="S1125" s="1"/>
      <c r="T1125" s="1"/>
      <c r="U1125" s="1"/>
      <c r="V1125" s="6"/>
      <c r="W1125" s="6"/>
    </row>
    <row r="1126" ht="15.75" customHeight="1">
      <c r="A1126" s="9" t="s">
        <v>29</v>
      </c>
      <c r="B1126" s="10">
        <v>2026.0</v>
      </c>
      <c r="C1126" s="14" t="s">
        <v>898</v>
      </c>
      <c r="D1126" s="1" t="s">
        <v>1144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-95000.0</v>
      </c>
      <c r="O1126" s="2">
        <v>0.0</v>
      </c>
      <c r="P1126" s="2">
        <f t="shared" si="1"/>
        <v>95000</v>
      </c>
      <c r="Q1126" s="1"/>
      <c r="R1126" s="1"/>
      <c r="S1126" s="1"/>
      <c r="T1126" s="1"/>
      <c r="U1126" s="1"/>
      <c r="V1126" s="6"/>
      <c r="W1126" s="6"/>
    </row>
    <row r="1127" ht="15.75" customHeight="1">
      <c r="A1127" s="9" t="s">
        <v>29</v>
      </c>
      <c r="B1127" s="10">
        <v>2026.0</v>
      </c>
      <c r="C1127" s="14" t="s">
        <v>898</v>
      </c>
      <c r="D1127" s="1" t="s">
        <v>1145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-15500.0</v>
      </c>
      <c r="O1127" s="2">
        <v>0.0</v>
      </c>
      <c r="P1127" s="2">
        <f t="shared" si="1"/>
        <v>15500</v>
      </c>
      <c r="Q1127" s="1"/>
      <c r="R1127" s="1"/>
      <c r="S1127" s="1"/>
      <c r="T1127" s="1"/>
      <c r="U1127" s="1"/>
      <c r="V1127" s="6"/>
      <c r="W1127" s="6"/>
    </row>
    <row r="1128" ht="15.75" customHeight="1">
      <c r="A1128" s="9" t="s">
        <v>29</v>
      </c>
      <c r="B1128" s="10">
        <v>2026.0</v>
      </c>
      <c r="C1128" s="14" t="s">
        <v>898</v>
      </c>
      <c r="D1128" s="1" t="s">
        <v>1146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2">
        <v>-75000.0</v>
      </c>
      <c r="O1128" s="2">
        <v>0.0</v>
      </c>
      <c r="P1128" s="2">
        <f t="shared" si="1"/>
        <v>75000</v>
      </c>
      <c r="Q1128" s="1"/>
      <c r="R1128" s="1"/>
      <c r="S1128" s="1"/>
      <c r="T1128" s="1"/>
      <c r="U1128" s="1"/>
      <c r="V1128" s="6"/>
      <c r="W1128" s="6"/>
    </row>
    <row r="1129" ht="15.75" customHeight="1">
      <c r="A1129" s="9" t="s">
        <v>29</v>
      </c>
      <c r="B1129" s="10">
        <v>2026.0</v>
      </c>
      <c r="C1129" s="14" t="s">
        <v>898</v>
      </c>
      <c r="D1129" s="1" t="s">
        <v>1147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-25000.0</v>
      </c>
      <c r="O1129" s="2">
        <v>0.0</v>
      </c>
      <c r="P1129" s="2">
        <f t="shared" si="1"/>
        <v>25000</v>
      </c>
      <c r="Q1129" s="1"/>
      <c r="R1129" s="1"/>
      <c r="S1129" s="1"/>
      <c r="T1129" s="1"/>
      <c r="U1129" s="1"/>
      <c r="V1129" s="6"/>
      <c r="W1129" s="6"/>
    </row>
    <row r="1130" ht="15.75" customHeight="1">
      <c r="A1130" s="9" t="s">
        <v>29</v>
      </c>
      <c r="B1130" s="10">
        <v>2026.0</v>
      </c>
      <c r="C1130" s="14" t="s">
        <v>898</v>
      </c>
      <c r="D1130" s="1" t="s">
        <v>1148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-205000.0</v>
      </c>
      <c r="O1130" s="2">
        <v>0.0</v>
      </c>
      <c r="P1130" s="2">
        <f t="shared" si="1"/>
        <v>205000</v>
      </c>
      <c r="Q1130" s="1"/>
      <c r="R1130" s="1"/>
      <c r="S1130" s="1"/>
      <c r="T1130" s="1"/>
      <c r="U1130" s="1"/>
      <c r="V1130" s="6"/>
      <c r="W1130" s="6"/>
    </row>
    <row r="1131" ht="15.75" customHeight="1">
      <c r="A1131" s="9" t="s">
        <v>29</v>
      </c>
      <c r="B1131" s="10">
        <v>2026.0</v>
      </c>
      <c r="C1131" s="14" t="s">
        <v>898</v>
      </c>
      <c r="D1131" s="1" t="s">
        <v>1149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2">
        <v>-30000.0</v>
      </c>
      <c r="O1131" s="2">
        <v>0.0</v>
      </c>
      <c r="P1131" s="2">
        <f t="shared" si="1"/>
        <v>30000</v>
      </c>
      <c r="Q1131" s="1"/>
      <c r="R1131" s="1"/>
      <c r="S1131" s="1"/>
      <c r="T1131" s="1"/>
      <c r="U1131" s="1"/>
      <c r="V1131" s="6"/>
      <c r="W1131" s="6"/>
    </row>
    <row r="1132" ht="15.75" customHeight="1">
      <c r="A1132" s="9" t="s">
        <v>29</v>
      </c>
      <c r="B1132" s="10">
        <v>2026.0</v>
      </c>
      <c r="C1132" s="14" t="s">
        <v>901</v>
      </c>
      <c r="D1132" s="1" t="s">
        <v>1150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-241700.0</v>
      </c>
      <c r="O1132" s="2">
        <v>0.0</v>
      </c>
      <c r="P1132" s="2">
        <f t="shared" si="1"/>
        <v>241700</v>
      </c>
      <c r="Q1132" s="1"/>
      <c r="R1132" s="1"/>
      <c r="S1132" s="1"/>
      <c r="T1132" s="1"/>
      <c r="U1132" s="1"/>
      <c r="V1132" s="6"/>
      <c r="W1132" s="6"/>
    </row>
    <row r="1133" ht="15.75" customHeight="1">
      <c r="A1133" s="9" t="s">
        <v>29</v>
      </c>
      <c r="B1133" s="10">
        <v>2026.0</v>
      </c>
      <c r="C1133" s="14" t="s">
        <v>901</v>
      </c>
      <c r="D1133" s="1" t="s">
        <v>1151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-2626600.0</v>
      </c>
      <c r="O1133" s="2">
        <v>0.0</v>
      </c>
      <c r="P1133" s="2">
        <f t="shared" si="1"/>
        <v>2626600</v>
      </c>
      <c r="Q1133" s="1"/>
      <c r="R1133" s="1"/>
      <c r="S1133" s="1"/>
      <c r="T1133" s="1"/>
      <c r="U1133" s="1"/>
      <c r="V1133" s="6"/>
      <c r="W1133" s="6"/>
    </row>
    <row r="1134" ht="15.75" customHeight="1">
      <c r="A1134" s="9" t="s">
        <v>29</v>
      </c>
      <c r="B1134" s="10">
        <v>2026.0</v>
      </c>
      <c r="C1134" s="14" t="s">
        <v>901</v>
      </c>
      <c r="D1134" s="1" t="s">
        <v>1152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-157000.0</v>
      </c>
      <c r="O1134" s="2">
        <v>0.0</v>
      </c>
      <c r="P1134" s="2">
        <f t="shared" si="1"/>
        <v>157000</v>
      </c>
      <c r="Q1134" s="1"/>
      <c r="R1134" s="1"/>
      <c r="S1134" s="1"/>
      <c r="T1134" s="1"/>
      <c r="U1134" s="1"/>
      <c r="V1134" s="6"/>
      <c r="W1134" s="6"/>
    </row>
    <row r="1135" ht="15.75" customHeight="1">
      <c r="A1135" s="9" t="s">
        <v>29</v>
      </c>
      <c r="B1135" s="10">
        <v>2026.0</v>
      </c>
      <c r="C1135" s="14" t="s">
        <v>901</v>
      </c>
      <c r="D1135" s="1" t="s">
        <v>1153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-160000.0</v>
      </c>
      <c r="O1135" s="2">
        <v>0.0</v>
      </c>
      <c r="P1135" s="2">
        <f t="shared" si="1"/>
        <v>160000</v>
      </c>
      <c r="Q1135" s="1"/>
      <c r="R1135" s="1"/>
      <c r="S1135" s="1"/>
      <c r="T1135" s="1"/>
      <c r="U1135" s="1"/>
      <c r="V1135" s="6"/>
      <c r="W1135" s="6"/>
    </row>
    <row r="1136" ht="15.75" customHeight="1">
      <c r="A1136" s="9" t="s">
        <v>29</v>
      </c>
      <c r="B1136" s="10">
        <v>2026.0</v>
      </c>
      <c r="C1136" s="14" t="s">
        <v>901</v>
      </c>
      <c r="D1136" s="1" t="s">
        <v>1154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-119650.0</v>
      </c>
      <c r="O1136" s="2">
        <v>0.0</v>
      </c>
      <c r="P1136" s="2">
        <f t="shared" si="1"/>
        <v>119650</v>
      </c>
      <c r="Q1136" s="1"/>
      <c r="R1136" s="1"/>
      <c r="S1136" s="1"/>
      <c r="T1136" s="1"/>
      <c r="U1136" s="1"/>
      <c r="V1136" s="6"/>
      <c r="W1136" s="6"/>
    </row>
    <row r="1137" ht="15.75" customHeight="1">
      <c r="A1137" s="9" t="s">
        <v>29</v>
      </c>
      <c r="B1137" s="10">
        <v>2026.0</v>
      </c>
      <c r="C1137" s="14" t="s">
        <v>901</v>
      </c>
      <c r="D1137" s="1" t="s">
        <v>1155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-580600.0</v>
      </c>
      <c r="O1137" s="2">
        <v>0.0</v>
      </c>
      <c r="P1137" s="2">
        <f t="shared" si="1"/>
        <v>580600</v>
      </c>
      <c r="Q1137" s="1"/>
      <c r="R1137" s="1"/>
      <c r="S1137" s="1"/>
      <c r="T1137" s="1"/>
      <c r="U1137" s="1"/>
      <c r="V1137" s="6"/>
      <c r="W1137" s="6"/>
    </row>
    <row r="1138" ht="15.75" customHeight="1">
      <c r="A1138" s="9" t="s">
        <v>29</v>
      </c>
      <c r="B1138" s="10">
        <v>2026.0</v>
      </c>
      <c r="C1138" s="14" t="s">
        <v>901</v>
      </c>
      <c r="D1138" s="1" t="s">
        <v>1156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-70000.0</v>
      </c>
      <c r="O1138" s="2">
        <v>0.0</v>
      </c>
      <c r="P1138" s="2">
        <f t="shared" si="1"/>
        <v>70000</v>
      </c>
      <c r="Q1138" s="1"/>
      <c r="R1138" s="1"/>
      <c r="S1138" s="1"/>
      <c r="T1138" s="1"/>
      <c r="U1138" s="1"/>
      <c r="V1138" s="6"/>
      <c r="W1138" s="6"/>
    </row>
    <row r="1139" ht="15.75" customHeight="1">
      <c r="A1139" s="9" t="s">
        <v>29</v>
      </c>
      <c r="B1139" s="10">
        <v>2026.0</v>
      </c>
      <c r="C1139" s="14" t="s">
        <v>901</v>
      </c>
      <c r="D1139" s="1" t="s">
        <v>1157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-58000.0</v>
      </c>
      <c r="O1139" s="2">
        <v>0.0</v>
      </c>
      <c r="P1139" s="2">
        <f t="shared" si="1"/>
        <v>58000</v>
      </c>
      <c r="Q1139" s="1"/>
      <c r="R1139" s="1"/>
      <c r="S1139" s="1"/>
      <c r="T1139" s="1"/>
      <c r="U1139" s="1"/>
      <c r="V1139" s="6"/>
      <c r="W1139" s="6"/>
    </row>
    <row r="1140" ht="15.75" customHeight="1">
      <c r="A1140" s="9" t="s">
        <v>29</v>
      </c>
      <c r="B1140" s="10">
        <v>2026.0</v>
      </c>
      <c r="C1140" s="14" t="s">
        <v>901</v>
      </c>
      <c r="D1140" s="1" t="s">
        <v>1158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-120000.0</v>
      </c>
      <c r="O1140" s="2">
        <v>0.0</v>
      </c>
      <c r="P1140" s="2">
        <f t="shared" si="1"/>
        <v>120000</v>
      </c>
      <c r="Q1140" s="1"/>
      <c r="R1140" s="1"/>
      <c r="S1140" s="1"/>
      <c r="T1140" s="1"/>
      <c r="U1140" s="1"/>
      <c r="V1140" s="6"/>
      <c r="W1140" s="6"/>
    </row>
    <row r="1141" ht="15.75" customHeight="1">
      <c r="A1141" s="9" t="s">
        <v>29</v>
      </c>
      <c r="B1141" s="10">
        <v>2026.0</v>
      </c>
      <c r="C1141" s="14" t="s">
        <v>901</v>
      </c>
      <c r="D1141" s="1" t="s">
        <v>1159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-107600.0</v>
      </c>
      <c r="O1141" s="2">
        <v>0.0</v>
      </c>
      <c r="P1141" s="2">
        <f t="shared" si="1"/>
        <v>107600</v>
      </c>
      <c r="Q1141" s="1"/>
      <c r="R1141" s="1"/>
      <c r="S1141" s="1"/>
      <c r="T1141" s="1"/>
      <c r="U1141" s="1"/>
      <c r="V1141" s="6"/>
      <c r="W1141" s="6"/>
    </row>
    <row r="1142" ht="15.75" customHeight="1">
      <c r="A1142" s="9" t="s">
        <v>29</v>
      </c>
      <c r="B1142" s="10">
        <v>2026.0</v>
      </c>
      <c r="C1142" s="14" t="s">
        <v>901</v>
      </c>
      <c r="D1142" s="1" t="s">
        <v>1160</v>
      </c>
      <c r="E1142" s="2">
        <v>0.0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-50000.0</v>
      </c>
      <c r="O1142" s="2">
        <v>0.0</v>
      </c>
      <c r="P1142" s="2">
        <f t="shared" si="1"/>
        <v>50000</v>
      </c>
      <c r="Q1142" s="1"/>
      <c r="R1142" s="1"/>
      <c r="S1142" s="1"/>
      <c r="T1142" s="1"/>
      <c r="U1142" s="1"/>
      <c r="V1142" s="6"/>
      <c r="W1142" s="6"/>
    </row>
    <row r="1143" ht="15.75" customHeight="1">
      <c r="A1143" s="9" t="s">
        <v>29</v>
      </c>
      <c r="B1143" s="10">
        <v>2026.0</v>
      </c>
      <c r="C1143" s="14" t="s">
        <v>901</v>
      </c>
      <c r="D1143" s="1" t="s">
        <v>1161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-141501.0</v>
      </c>
      <c r="O1143" s="2">
        <v>0.0</v>
      </c>
      <c r="P1143" s="2">
        <f t="shared" si="1"/>
        <v>141501</v>
      </c>
      <c r="Q1143" s="1"/>
      <c r="R1143" s="1"/>
      <c r="S1143" s="1"/>
      <c r="T1143" s="1"/>
      <c r="U1143" s="1"/>
      <c r="V1143" s="6"/>
      <c r="W1143" s="6"/>
    </row>
    <row r="1144" ht="15.75" customHeight="1">
      <c r="A1144" s="9" t="s">
        <v>29</v>
      </c>
      <c r="B1144" s="10">
        <v>2026.0</v>
      </c>
      <c r="C1144" s="14" t="s">
        <v>901</v>
      </c>
      <c r="D1144" s="1" t="s">
        <v>1162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-21000.0</v>
      </c>
      <c r="O1144" s="2">
        <v>0.0</v>
      </c>
      <c r="P1144" s="2">
        <f t="shared" si="1"/>
        <v>21000</v>
      </c>
      <c r="Q1144" s="1"/>
      <c r="R1144" s="1"/>
      <c r="S1144" s="1"/>
      <c r="T1144" s="1"/>
      <c r="U1144" s="1"/>
      <c r="V1144" s="6"/>
      <c r="W1144" s="6"/>
    </row>
    <row r="1145" ht="15.75" customHeight="1">
      <c r="A1145" s="9" t="s">
        <v>29</v>
      </c>
      <c r="B1145" s="10">
        <v>2026.0</v>
      </c>
      <c r="C1145" s="14" t="s">
        <v>901</v>
      </c>
      <c r="D1145" s="1" t="s">
        <v>1163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-80220.0</v>
      </c>
      <c r="O1145" s="2">
        <v>0.0</v>
      </c>
      <c r="P1145" s="2">
        <f t="shared" si="1"/>
        <v>80220</v>
      </c>
      <c r="Q1145" s="1"/>
      <c r="R1145" s="1"/>
      <c r="S1145" s="1"/>
      <c r="T1145" s="1"/>
      <c r="U1145" s="1"/>
      <c r="V1145" s="6"/>
      <c r="W1145" s="6"/>
    </row>
    <row r="1146" ht="15.75" customHeight="1">
      <c r="A1146" s="9" t="s">
        <v>29</v>
      </c>
      <c r="B1146" s="10">
        <v>2026.0</v>
      </c>
      <c r="C1146" s="14" t="s">
        <v>901</v>
      </c>
      <c r="D1146" s="1" t="s">
        <v>1164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-200000.0</v>
      </c>
      <c r="O1146" s="2">
        <v>0.0</v>
      </c>
      <c r="P1146" s="2">
        <f t="shared" si="1"/>
        <v>200000</v>
      </c>
      <c r="Q1146" s="1"/>
      <c r="R1146" s="1"/>
      <c r="S1146" s="1"/>
      <c r="T1146" s="1"/>
      <c r="U1146" s="1"/>
      <c r="V1146" s="6"/>
      <c r="W1146" s="6"/>
    </row>
    <row r="1147" ht="15.75" customHeight="1">
      <c r="A1147" s="9" t="s">
        <v>29</v>
      </c>
      <c r="B1147" s="10">
        <v>2026.0</v>
      </c>
      <c r="C1147" s="14" t="s">
        <v>901</v>
      </c>
      <c r="D1147" s="1" t="s">
        <v>1165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-10000.0</v>
      </c>
      <c r="O1147" s="2">
        <v>0.0</v>
      </c>
      <c r="P1147" s="2">
        <f t="shared" si="1"/>
        <v>10000</v>
      </c>
      <c r="Q1147" s="1"/>
      <c r="R1147" s="1"/>
      <c r="S1147" s="1"/>
      <c r="T1147" s="1"/>
      <c r="U1147" s="1"/>
      <c r="V1147" s="6"/>
      <c r="W1147" s="6"/>
    </row>
    <row r="1148" ht="15.75" customHeight="1">
      <c r="A1148" s="9" t="s">
        <v>29</v>
      </c>
      <c r="B1148" s="10">
        <v>2026.0</v>
      </c>
      <c r="C1148" s="14" t="s">
        <v>901</v>
      </c>
      <c r="D1148" s="1" t="s">
        <v>1166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-19500.0</v>
      </c>
      <c r="O1148" s="2">
        <v>0.0</v>
      </c>
      <c r="P1148" s="2">
        <f t="shared" si="1"/>
        <v>19500</v>
      </c>
      <c r="Q1148" s="1"/>
      <c r="R1148" s="1"/>
      <c r="S1148" s="1"/>
      <c r="T1148" s="1"/>
      <c r="U1148" s="1"/>
      <c r="V1148" s="6"/>
      <c r="W1148" s="6"/>
    </row>
    <row r="1149" ht="15.75" customHeight="1">
      <c r="A1149" s="9" t="s">
        <v>29</v>
      </c>
      <c r="B1149" s="10">
        <v>2026.0</v>
      </c>
      <c r="C1149" s="14" t="s">
        <v>901</v>
      </c>
      <c r="D1149" s="1" t="s">
        <v>1167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0.0</v>
      </c>
      <c r="M1149" s="2">
        <v>0.0</v>
      </c>
      <c r="N1149" s="2">
        <v>-6000.0</v>
      </c>
      <c r="O1149" s="2">
        <v>0.0</v>
      </c>
      <c r="P1149" s="2">
        <f t="shared" si="1"/>
        <v>6000</v>
      </c>
      <c r="Q1149" s="1"/>
      <c r="R1149" s="1"/>
      <c r="S1149" s="1"/>
      <c r="T1149" s="1"/>
      <c r="U1149" s="1"/>
      <c r="V1149" s="6"/>
      <c r="W1149" s="6"/>
    </row>
    <row r="1150" ht="15.75" customHeight="1">
      <c r="A1150" s="9" t="s">
        <v>29</v>
      </c>
      <c r="B1150" s="10">
        <v>2026.0</v>
      </c>
      <c r="C1150" s="14" t="s">
        <v>901</v>
      </c>
      <c r="D1150" s="1" t="s">
        <v>1168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-29521.0</v>
      </c>
      <c r="O1150" s="2">
        <v>0.0</v>
      </c>
      <c r="P1150" s="2">
        <f t="shared" si="1"/>
        <v>29521</v>
      </c>
      <c r="Q1150" s="1"/>
      <c r="R1150" s="1"/>
      <c r="S1150" s="1"/>
      <c r="T1150" s="1"/>
      <c r="U1150" s="1"/>
      <c r="V1150" s="6"/>
      <c r="W1150" s="6"/>
    </row>
    <row r="1151" ht="15.75" customHeight="1">
      <c r="A1151" s="9" t="s">
        <v>29</v>
      </c>
      <c r="B1151" s="10">
        <v>2026.0</v>
      </c>
      <c r="C1151" s="14" t="s">
        <v>901</v>
      </c>
      <c r="D1151" s="1" t="s">
        <v>1169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-1.0E7</v>
      </c>
      <c r="O1151" s="2">
        <v>0.0</v>
      </c>
      <c r="P1151" s="2">
        <f t="shared" si="1"/>
        <v>10000000</v>
      </c>
      <c r="Q1151" s="1"/>
      <c r="R1151" s="1"/>
      <c r="S1151" s="1"/>
      <c r="T1151" s="1"/>
      <c r="U1151" s="1"/>
      <c r="V1151" s="6"/>
      <c r="W1151" s="6"/>
    </row>
    <row r="1152" ht="15.75" customHeight="1">
      <c r="A1152" s="9" t="s">
        <v>29</v>
      </c>
      <c r="B1152" s="10">
        <v>2026.0</v>
      </c>
      <c r="C1152" s="14" t="s">
        <v>901</v>
      </c>
      <c r="D1152" s="1" t="s">
        <v>1170</v>
      </c>
      <c r="E1152" s="2">
        <v>0.0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-2.0E7</v>
      </c>
      <c r="O1152" s="2">
        <v>0.0</v>
      </c>
      <c r="P1152" s="2">
        <f t="shared" si="1"/>
        <v>20000000</v>
      </c>
      <c r="Q1152" s="1"/>
      <c r="R1152" s="1"/>
      <c r="S1152" s="1"/>
      <c r="T1152" s="1"/>
      <c r="U1152" s="1"/>
      <c r="V1152" s="6"/>
      <c r="W1152" s="6"/>
    </row>
    <row r="1153" ht="15.75" customHeight="1">
      <c r="A1153" s="9" t="s">
        <v>29</v>
      </c>
      <c r="B1153" s="10">
        <v>2026.0</v>
      </c>
      <c r="C1153" s="14" t="s">
        <v>910</v>
      </c>
      <c r="D1153" s="1" t="s">
        <v>1171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-1.705E8</v>
      </c>
      <c r="O1153" s="2">
        <v>0.0</v>
      </c>
      <c r="P1153" s="2">
        <f t="shared" si="1"/>
        <v>170500000</v>
      </c>
      <c r="Q1153" s="1"/>
      <c r="R1153" s="1"/>
      <c r="S1153" s="1"/>
      <c r="T1153" s="1"/>
      <c r="U1153" s="1"/>
      <c r="V1153" s="6"/>
      <c r="W1153" s="6"/>
    </row>
    <row r="1154" ht="15.75" customHeight="1">
      <c r="A1154" s="9" t="s">
        <v>29</v>
      </c>
      <c r="B1154" s="10">
        <v>2026.0</v>
      </c>
      <c r="C1154" s="14" t="s">
        <v>910</v>
      </c>
      <c r="D1154" s="1" t="s">
        <v>1172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-2.461875E8</v>
      </c>
      <c r="O1154" s="2">
        <v>0.0</v>
      </c>
      <c r="P1154" s="2">
        <f t="shared" si="1"/>
        <v>246187500</v>
      </c>
      <c r="Q1154" s="1"/>
      <c r="R1154" s="1"/>
      <c r="S1154" s="1"/>
      <c r="T1154" s="1"/>
      <c r="U1154" s="1"/>
      <c r="V1154" s="6"/>
      <c r="W1154" s="6"/>
    </row>
    <row r="1155" ht="15.75" customHeight="1">
      <c r="A1155" s="9" t="s">
        <v>29</v>
      </c>
      <c r="B1155" s="10">
        <v>2026.0</v>
      </c>
      <c r="C1155" s="14" t="s">
        <v>910</v>
      </c>
      <c r="D1155" s="1" t="s">
        <v>1173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-2500000.0</v>
      </c>
      <c r="O1155" s="2">
        <v>0.0</v>
      </c>
      <c r="P1155" s="2">
        <f t="shared" si="1"/>
        <v>2500000</v>
      </c>
      <c r="Q1155" s="1"/>
      <c r="R1155" s="1"/>
      <c r="S1155" s="1"/>
      <c r="T1155" s="1"/>
      <c r="U1155" s="1"/>
      <c r="V1155" s="6"/>
      <c r="W1155" s="6"/>
    </row>
    <row r="1156" ht="15.75" customHeight="1">
      <c r="A1156" s="9" t="s">
        <v>29</v>
      </c>
      <c r="B1156" s="10">
        <v>2026.0</v>
      </c>
      <c r="C1156" s="14" t="s">
        <v>910</v>
      </c>
      <c r="D1156" s="1" t="s">
        <v>1174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-5000000.0</v>
      </c>
      <c r="O1156" s="2">
        <v>0.0</v>
      </c>
      <c r="P1156" s="2">
        <f t="shared" si="1"/>
        <v>5000000</v>
      </c>
      <c r="Q1156" s="1"/>
      <c r="R1156" s="1"/>
      <c r="S1156" s="1"/>
      <c r="T1156" s="1"/>
      <c r="U1156" s="1"/>
      <c r="V1156" s="6"/>
      <c r="W1156" s="6"/>
    </row>
    <row r="1157" ht="15.75" customHeight="1">
      <c r="A1157" s="9" t="s">
        <v>29</v>
      </c>
      <c r="B1157" s="10">
        <v>2026.0</v>
      </c>
      <c r="C1157" s="14" t="s">
        <v>910</v>
      </c>
      <c r="D1157" s="1" t="s">
        <v>1175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-173999.0</v>
      </c>
      <c r="O1157" s="2">
        <v>0.0</v>
      </c>
      <c r="P1157" s="2">
        <f t="shared" si="1"/>
        <v>173999</v>
      </c>
      <c r="Q1157" s="1"/>
      <c r="R1157" s="1"/>
      <c r="S1157" s="1"/>
      <c r="T1157" s="1"/>
      <c r="U1157" s="1"/>
      <c r="V1157" s="6"/>
      <c r="W1157" s="6"/>
    </row>
    <row r="1158" ht="15.75" customHeight="1">
      <c r="A1158" s="9" t="s">
        <v>29</v>
      </c>
      <c r="B1158" s="10">
        <v>2026.0</v>
      </c>
      <c r="C1158" s="14" t="s">
        <v>910</v>
      </c>
      <c r="D1158" s="1" t="s">
        <v>1176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-274000.0</v>
      </c>
      <c r="O1158" s="2">
        <v>0.0</v>
      </c>
      <c r="P1158" s="2">
        <f t="shared" si="1"/>
        <v>274000</v>
      </c>
      <c r="Q1158" s="1"/>
      <c r="R1158" s="1"/>
      <c r="S1158" s="1"/>
      <c r="T1158" s="1"/>
      <c r="U1158" s="1"/>
      <c r="V1158" s="6"/>
      <c r="W1158" s="6"/>
    </row>
    <row r="1159" ht="15.75" customHeight="1">
      <c r="A1159" s="9" t="s">
        <v>29</v>
      </c>
      <c r="B1159" s="10">
        <v>2026.0</v>
      </c>
      <c r="C1159" s="14" t="s">
        <v>910</v>
      </c>
      <c r="D1159" s="1" t="s">
        <v>1177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-200000.0</v>
      </c>
      <c r="O1159" s="2">
        <v>0.0</v>
      </c>
      <c r="P1159" s="2">
        <f t="shared" si="1"/>
        <v>200000</v>
      </c>
      <c r="Q1159" s="1"/>
      <c r="R1159" s="1"/>
      <c r="S1159" s="1"/>
      <c r="T1159" s="1"/>
      <c r="U1159" s="1"/>
      <c r="V1159" s="6"/>
      <c r="W1159" s="6"/>
    </row>
    <row r="1160" ht="15.75" customHeight="1">
      <c r="A1160" s="9" t="s">
        <v>29</v>
      </c>
      <c r="B1160" s="10">
        <v>2026.0</v>
      </c>
      <c r="C1160" s="14" t="s">
        <v>910</v>
      </c>
      <c r="D1160" s="1" t="s">
        <v>1178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-400000.0</v>
      </c>
      <c r="O1160" s="2">
        <v>0.0</v>
      </c>
      <c r="P1160" s="2">
        <f t="shared" si="1"/>
        <v>400000</v>
      </c>
      <c r="Q1160" s="1"/>
      <c r="R1160" s="1"/>
      <c r="S1160" s="1"/>
      <c r="T1160" s="1"/>
      <c r="U1160" s="1"/>
      <c r="V1160" s="6"/>
      <c r="W1160" s="6"/>
    </row>
    <row r="1161" ht="15.75" customHeight="1">
      <c r="A1161" s="9" t="s">
        <v>29</v>
      </c>
      <c r="B1161" s="10">
        <v>2026.0</v>
      </c>
      <c r="C1161" s="14" t="s">
        <v>910</v>
      </c>
      <c r="D1161" s="1" t="s">
        <v>1179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-9752500.0</v>
      </c>
      <c r="O1161" s="2">
        <v>0.0</v>
      </c>
      <c r="P1161" s="2">
        <f t="shared" si="1"/>
        <v>9752500</v>
      </c>
      <c r="Q1161" s="1"/>
      <c r="R1161" s="1"/>
      <c r="S1161" s="1"/>
      <c r="T1161" s="1"/>
      <c r="U1161" s="1"/>
      <c r="V1161" s="6"/>
      <c r="W1161" s="6"/>
    </row>
    <row r="1162" ht="15.75" customHeight="1">
      <c r="A1162" s="9" t="s">
        <v>1180</v>
      </c>
      <c r="B1162" s="10" t="s">
        <v>0</v>
      </c>
      <c r="C1162" s="1" t="s">
        <v>20</v>
      </c>
      <c r="D1162" s="1" t="s">
        <v>1181</v>
      </c>
      <c r="E1162" s="2">
        <v>1.385E9</v>
      </c>
      <c r="F1162" s="2">
        <v>1.385E9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f t="shared" si="1"/>
        <v>0</v>
      </c>
      <c r="Q1162" s="1"/>
      <c r="R1162" s="1"/>
      <c r="S1162" s="1"/>
      <c r="T1162" s="1"/>
      <c r="U1162" s="1"/>
      <c r="V1162" s="6"/>
      <c r="W1162" s="6"/>
    </row>
    <row r="1163" ht="15.75" customHeight="1">
      <c r="A1163" s="9" t="s">
        <v>1180</v>
      </c>
      <c r="B1163" s="10" t="s">
        <v>0</v>
      </c>
      <c r="C1163" s="1" t="s">
        <v>21</v>
      </c>
      <c r="D1163" s="1" t="s">
        <v>1182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f t="shared" si="1"/>
        <v>0</v>
      </c>
      <c r="Q1163" s="1"/>
      <c r="R1163" s="1"/>
      <c r="S1163" s="1"/>
      <c r="T1163" s="1"/>
      <c r="U1163" s="1"/>
      <c r="V1163" s="6"/>
      <c r="W1163" s="6"/>
    </row>
    <row r="1164" ht="15.75" customHeight="1">
      <c r="A1164" s="9" t="s">
        <v>1183</v>
      </c>
      <c r="B1164" s="10" t="s">
        <v>1184</v>
      </c>
      <c r="C1164" s="1" t="s">
        <v>1185</v>
      </c>
      <c r="D1164" s="1" t="s">
        <v>0</v>
      </c>
      <c r="E1164" s="11">
        <v>5852239.0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5852239.0</v>
      </c>
      <c r="O1164" s="2">
        <v>0.0</v>
      </c>
      <c r="P1164" s="2">
        <f t="shared" si="1"/>
        <v>0</v>
      </c>
      <c r="Q1164" s="1"/>
      <c r="R1164" s="1"/>
      <c r="S1164" s="1"/>
      <c r="T1164" s="1"/>
      <c r="U1164" s="1"/>
      <c r="V1164" s="6"/>
      <c r="W1164" s="6"/>
    </row>
    <row r="1165" ht="15.75" customHeight="1">
      <c r="A1165" s="9" t="s">
        <v>1183</v>
      </c>
      <c r="B1165" s="10" t="s">
        <v>1184</v>
      </c>
      <c r="C1165" s="1" t="s">
        <v>1186</v>
      </c>
      <c r="D1165" s="1" t="s">
        <v>0</v>
      </c>
      <c r="E1165" s="11">
        <v>0.0</v>
      </c>
      <c r="F1165" s="2">
        <v>0.0</v>
      </c>
      <c r="G1165" s="2">
        <v>-4325750.0</v>
      </c>
      <c r="H1165" s="2">
        <v>-7166500.0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16">
        <v>1.3176019E7</v>
      </c>
      <c r="O1165" s="2">
        <v>0.0</v>
      </c>
      <c r="P1165" s="2">
        <f t="shared" si="1"/>
        <v>-1683769</v>
      </c>
      <c r="Q1165" s="1"/>
      <c r="R1165" s="1"/>
      <c r="S1165" s="1"/>
      <c r="T1165" s="1"/>
      <c r="U1165" s="1"/>
      <c r="V1165" s="6"/>
      <c r="W1165" s="6"/>
    </row>
    <row r="1166" ht="15.75" customHeight="1">
      <c r="A1166" s="9" t="s">
        <v>1183</v>
      </c>
      <c r="B1166" s="10" t="s">
        <v>1184</v>
      </c>
      <c r="C1166" s="1" t="s">
        <v>1187</v>
      </c>
      <c r="D1166" s="1" t="s">
        <v>0</v>
      </c>
      <c r="E1166" s="11">
        <v>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-5.2127421E7</v>
      </c>
      <c r="O1166" s="2">
        <v>0.0</v>
      </c>
      <c r="P1166" s="2">
        <f t="shared" si="1"/>
        <v>52127421</v>
      </c>
      <c r="Q1166" s="1"/>
      <c r="R1166" s="1"/>
      <c r="S1166" s="1"/>
      <c r="T1166" s="1"/>
      <c r="U1166" s="1"/>
      <c r="V1166" s="6"/>
      <c r="W1166" s="6"/>
    </row>
    <row r="1167" ht="15.75" customHeight="1">
      <c r="A1167" s="9" t="s">
        <v>1183</v>
      </c>
      <c r="B1167" s="10" t="s">
        <v>1188</v>
      </c>
      <c r="C1167" s="1" t="s">
        <v>1189</v>
      </c>
      <c r="D1167" s="1" t="s">
        <v>0</v>
      </c>
      <c r="E1167" s="11">
        <v>6.60377899E8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6.60377899E8</v>
      </c>
      <c r="O1167" s="2">
        <v>0.0</v>
      </c>
      <c r="P1167" s="2">
        <f t="shared" si="1"/>
        <v>0</v>
      </c>
      <c r="Q1167" s="1"/>
      <c r="R1167" s="1"/>
      <c r="S1167" s="1"/>
      <c r="T1167" s="1"/>
      <c r="U1167" s="1"/>
      <c r="V1167" s="6"/>
      <c r="W1167" s="6"/>
    </row>
    <row r="1168" ht="15.75" customHeight="1">
      <c r="A1168" s="9" t="s">
        <v>1183</v>
      </c>
      <c r="B1168" s="10" t="s">
        <v>1188</v>
      </c>
      <c r="C1168" s="12" t="s">
        <v>1190</v>
      </c>
      <c r="D1168" s="1" t="s">
        <v>0</v>
      </c>
      <c r="E1168" s="11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-5651884.419999987</v>
      </c>
      <c r="O1168" s="2">
        <v>0.0</v>
      </c>
      <c r="P1168" s="2">
        <f t="shared" si="1"/>
        <v>5651884.42</v>
      </c>
      <c r="Q1168" s="1"/>
      <c r="R1168" s="1"/>
      <c r="S1168" s="1"/>
      <c r="T1168" s="1"/>
      <c r="U1168" s="1"/>
      <c r="V1168" s="6"/>
      <c r="W1168" s="6"/>
    </row>
    <row r="1169" ht="15.75" customHeight="1">
      <c r="A1169" s="9" t="s">
        <v>1183</v>
      </c>
      <c r="B1169" s="10" t="s">
        <v>1188</v>
      </c>
      <c r="C1169" s="12" t="s">
        <v>1191</v>
      </c>
      <c r="D1169" s="1" t="s">
        <v>0</v>
      </c>
      <c r="E1169" s="11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-2.4297509580000006E7</v>
      </c>
      <c r="O1169" s="2">
        <v>0.0</v>
      </c>
      <c r="P1169" s="2">
        <f t="shared" si="1"/>
        <v>24297509.58</v>
      </c>
      <c r="Q1169" s="1"/>
      <c r="R1169" s="1"/>
      <c r="S1169" s="1"/>
      <c r="T1169" s="1"/>
      <c r="U1169" s="1"/>
      <c r="V1169" s="6"/>
      <c r="W1169" s="6"/>
    </row>
    <row r="1170" ht="15.75" customHeight="1">
      <c r="A1170" s="9" t="s">
        <v>1183</v>
      </c>
      <c r="B1170" s="10" t="s">
        <v>1188</v>
      </c>
      <c r="C1170" s="12" t="s">
        <v>1192</v>
      </c>
      <c r="D1170" s="1" t="s">
        <v>0</v>
      </c>
      <c r="E1170" s="11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-4.29036952996E8</v>
      </c>
      <c r="O1170" s="2">
        <v>0.0</v>
      </c>
      <c r="P1170" s="2">
        <f t="shared" si="1"/>
        <v>429036953</v>
      </c>
      <c r="Q1170" s="1"/>
      <c r="R1170" s="1"/>
      <c r="S1170" s="1"/>
      <c r="T1170" s="1"/>
      <c r="U1170" s="1"/>
      <c r="V1170" s="6"/>
      <c r="W1170" s="6"/>
    </row>
    <row r="1171" ht="15.75" customHeight="1">
      <c r="A1171" s="9" t="s">
        <v>1183</v>
      </c>
      <c r="B1171" s="10" t="s">
        <v>1193</v>
      </c>
      <c r="C1171" s="1" t="s">
        <v>1194</v>
      </c>
      <c r="D1171" s="1" t="s">
        <v>1195</v>
      </c>
      <c r="E1171" s="11">
        <v>2701801.0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2701801.0</v>
      </c>
      <c r="O1171" s="2">
        <v>0.0</v>
      </c>
      <c r="P1171" s="2">
        <f t="shared" si="1"/>
        <v>0</v>
      </c>
      <c r="Q1171" s="1"/>
      <c r="R1171" s="1"/>
      <c r="S1171" s="1"/>
      <c r="T1171" s="1"/>
      <c r="U1171" s="1"/>
      <c r="V1171" s="6"/>
      <c r="W1171" s="6"/>
    </row>
    <row r="1172" ht="15.75" customHeight="1">
      <c r="A1172" s="9" t="s">
        <v>1196</v>
      </c>
      <c r="B1172" s="10" t="s">
        <v>1197</v>
      </c>
      <c r="C1172" s="9" t="s">
        <v>1198</v>
      </c>
      <c r="D1172" s="1" t="s">
        <v>1199</v>
      </c>
      <c r="E1172" s="11">
        <v>1.91526878E8</v>
      </c>
      <c r="F1172" s="2">
        <v>0.0</v>
      </c>
      <c r="G1172" s="2">
        <v>0.0</v>
      </c>
      <c r="H1172" s="2">
        <v>1.85732957E8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f t="shared" si="1"/>
        <v>5793921</v>
      </c>
      <c r="Q1172" s="1"/>
      <c r="R1172" s="1"/>
      <c r="S1172" s="1"/>
      <c r="T1172" s="1"/>
      <c r="U1172" s="1"/>
      <c r="V1172" s="6"/>
      <c r="W1172" s="6"/>
    </row>
    <row r="1173" ht="15.75" customHeight="1">
      <c r="A1173" s="9" t="s">
        <v>1196</v>
      </c>
      <c r="B1173" s="10" t="s">
        <v>1197</v>
      </c>
      <c r="C1173" s="9" t="s">
        <v>1200</v>
      </c>
      <c r="D1173" s="1" t="s">
        <v>1201</v>
      </c>
      <c r="E1173" s="11">
        <v>546599.0</v>
      </c>
      <c r="F1173" s="2">
        <v>0.0</v>
      </c>
      <c r="G1173" s="2">
        <v>0.0</v>
      </c>
      <c r="H1173" s="2">
        <v>546599.0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f t="shared" si="1"/>
        <v>0</v>
      </c>
      <c r="Q1173" s="1"/>
      <c r="R1173" s="1"/>
      <c r="S1173" s="1"/>
      <c r="T1173" s="1"/>
      <c r="U1173" s="1"/>
      <c r="V1173" s="6"/>
      <c r="W1173" s="6"/>
    </row>
    <row r="1174" ht="15.75" customHeight="1">
      <c r="A1174" s="9" t="s">
        <v>1202</v>
      </c>
      <c r="B1174" s="10" t="s">
        <v>0</v>
      </c>
      <c r="C1174" s="1" t="s">
        <v>1203</v>
      </c>
      <c r="D1174" s="9" t="s">
        <v>0</v>
      </c>
      <c r="E1174" s="11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f t="shared" si="1"/>
        <v>0</v>
      </c>
      <c r="Q1174" s="1"/>
      <c r="R1174" s="1"/>
      <c r="S1174" s="1"/>
      <c r="T1174" s="1"/>
      <c r="U1174" s="1"/>
      <c r="V1174" s="6"/>
      <c r="W1174" s="6"/>
    </row>
    <row r="1175" ht="15.75" customHeight="1">
      <c r="A1175" s="9" t="s">
        <v>1202</v>
      </c>
      <c r="B1175" s="10" t="s">
        <v>0</v>
      </c>
      <c r="C1175" s="1" t="s">
        <v>1204</v>
      </c>
      <c r="D1175" s="9" t="s">
        <v>0</v>
      </c>
      <c r="E1175" s="11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f t="shared" si="1"/>
        <v>0</v>
      </c>
      <c r="Q1175" s="1"/>
      <c r="R1175" s="1"/>
      <c r="S1175" s="1"/>
      <c r="T1175" s="1"/>
      <c r="U1175" s="1"/>
      <c r="V1175" s="6"/>
      <c r="W1175" s="6"/>
    </row>
    <row r="1176" ht="15.75" customHeight="1">
      <c r="A1176" s="9" t="s">
        <v>1202</v>
      </c>
      <c r="B1176" s="10" t="s">
        <v>0</v>
      </c>
      <c r="C1176" s="1" t="s">
        <v>17</v>
      </c>
      <c r="D1176" s="9" t="s">
        <v>0</v>
      </c>
      <c r="E1176" s="11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f t="shared" si="1"/>
        <v>0</v>
      </c>
      <c r="Q1176" s="1"/>
      <c r="R1176" s="1"/>
      <c r="S1176" s="1"/>
      <c r="T1176" s="1"/>
      <c r="U1176" s="1"/>
      <c r="V1176" s="6"/>
      <c r="W1176" s="6"/>
    </row>
    <row r="1177" ht="15.75" customHeight="1">
      <c r="A1177" s="9" t="s">
        <v>1202</v>
      </c>
      <c r="B1177" s="10" t="s">
        <v>0</v>
      </c>
      <c r="C1177" s="1" t="s">
        <v>18</v>
      </c>
      <c r="D1177" s="9" t="s">
        <v>0</v>
      </c>
      <c r="E1177" s="11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f t="shared" si="1"/>
        <v>0</v>
      </c>
      <c r="Q1177" s="1"/>
      <c r="R1177" s="1"/>
      <c r="S1177" s="1"/>
      <c r="T1177" s="1"/>
      <c r="U1177" s="1"/>
      <c r="V1177" s="6"/>
      <c r="W1177" s="6"/>
    </row>
    <row r="1178" ht="15.75" customHeight="1">
      <c r="A1178" s="9" t="s">
        <v>1202</v>
      </c>
      <c r="B1178" s="10" t="s">
        <v>0</v>
      </c>
      <c r="C1178" s="1" t="s">
        <v>19</v>
      </c>
      <c r="D1178" s="9" t="s">
        <v>0</v>
      </c>
      <c r="E1178" s="11">
        <v>2.85829606E8</v>
      </c>
      <c r="F1178" s="2">
        <v>2.0E7</v>
      </c>
      <c r="G1178" s="2">
        <v>-4.5E8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-5102000.0</v>
      </c>
      <c r="O1178" s="2">
        <v>0.0</v>
      </c>
      <c r="P1178" s="2">
        <f t="shared" si="1"/>
        <v>720931606</v>
      </c>
      <c r="Q1178" s="1"/>
      <c r="R1178" s="1"/>
      <c r="S1178" s="1"/>
      <c r="T1178" s="1"/>
      <c r="U1178" s="1"/>
      <c r="V1178" s="6"/>
      <c r="W1178" s="6"/>
    </row>
    <row r="1179" ht="15.75" customHeight="1">
      <c r="A1179" s="9" t="s">
        <v>1202</v>
      </c>
      <c r="B1179" s="10" t="s">
        <v>0</v>
      </c>
      <c r="C1179" s="1" t="s">
        <v>1205</v>
      </c>
      <c r="D1179" s="9" t="s">
        <v>0</v>
      </c>
      <c r="E1179" s="11">
        <v>1.96E8</v>
      </c>
      <c r="F1179" s="2">
        <v>1.96E8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f t="shared" si="1"/>
        <v>0</v>
      </c>
      <c r="Q1179" s="1"/>
      <c r="R1179" s="1"/>
      <c r="S1179" s="1"/>
      <c r="T1179" s="1"/>
      <c r="U1179" s="1"/>
      <c r="V1179" s="6"/>
      <c r="W1179" s="6"/>
    </row>
    <row r="1180" ht="15.75" customHeight="1">
      <c r="A1180" s="9" t="s">
        <v>1202</v>
      </c>
      <c r="B1180" s="10" t="s">
        <v>0</v>
      </c>
      <c r="C1180" s="1" t="s">
        <v>20</v>
      </c>
      <c r="D1180" s="9" t="s">
        <v>0</v>
      </c>
      <c r="E1180" s="11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f t="shared" si="1"/>
        <v>0</v>
      </c>
      <c r="Q1180" s="1"/>
      <c r="R1180" s="1"/>
      <c r="S1180" s="1"/>
      <c r="T1180" s="1"/>
      <c r="U1180" s="1"/>
      <c r="V1180" s="6"/>
      <c r="W1180" s="6"/>
    </row>
    <row r="1181" ht="15.75" customHeight="1">
      <c r="A1181" s="9" t="s">
        <v>1202</v>
      </c>
      <c r="B1181" s="10" t="s">
        <v>0</v>
      </c>
      <c r="C1181" s="1" t="s">
        <v>21</v>
      </c>
      <c r="D1181" s="9" t="s">
        <v>0</v>
      </c>
      <c r="E1181" s="11">
        <v>2.0E7</v>
      </c>
      <c r="F1181" s="2">
        <v>-3.0E7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f t="shared" si="1"/>
        <v>50000000</v>
      </c>
      <c r="Q1181" s="1"/>
      <c r="R1181" s="1"/>
      <c r="S1181" s="1"/>
      <c r="T1181" s="1"/>
      <c r="U1181" s="1"/>
      <c r="V1181" s="6"/>
      <c r="W1181" s="6"/>
    </row>
    <row r="1182" ht="15.75" customHeight="1">
      <c r="A1182" s="9" t="s">
        <v>1202</v>
      </c>
      <c r="B1182" s="10" t="s">
        <v>0</v>
      </c>
      <c r="C1182" s="1" t="s">
        <v>1206</v>
      </c>
      <c r="D1182" s="9" t="s">
        <v>0</v>
      </c>
      <c r="E1182" s="11">
        <v>4000000.0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f t="shared" si="1"/>
        <v>4000000</v>
      </c>
      <c r="Q1182" s="1"/>
      <c r="R1182" s="1"/>
      <c r="S1182" s="1"/>
      <c r="T1182" s="1"/>
      <c r="U1182" s="1"/>
      <c r="V1182" s="6"/>
      <c r="W1182" s="6"/>
    </row>
    <row r="1183" ht="15.75" customHeight="1">
      <c r="A1183" s="9" t="s">
        <v>1202</v>
      </c>
      <c r="B1183" s="10" t="s">
        <v>0</v>
      </c>
      <c r="C1183" s="1" t="s">
        <v>22</v>
      </c>
      <c r="D1183" s="9" t="s">
        <v>0</v>
      </c>
      <c r="E1183" s="11">
        <v>2.2E7</v>
      </c>
      <c r="F1183" s="2">
        <v>1.6E7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f t="shared" si="1"/>
        <v>6000000</v>
      </c>
      <c r="Q1183" s="1"/>
      <c r="R1183" s="1"/>
      <c r="S1183" s="1"/>
      <c r="T1183" s="1"/>
      <c r="U1183" s="1"/>
      <c r="V1183" s="6"/>
      <c r="W1183" s="6"/>
    </row>
    <row r="1184" ht="15.75" customHeight="1">
      <c r="A1184" s="9" t="s">
        <v>1202</v>
      </c>
      <c r="B1184" s="10" t="s">
        <v>0</v>
      </c>
      <c r="C1184" s="1" t="s">
        <v>1207</v>
      </c>
      <c r="D1184" s="9" t="s">
        <v>0</v>
      </c>
      <c r="E1184" s="11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f t="shared" si="1"/>
        <v>0</v>
      </c>
      <c r="Q1184" s="1"/>
      <c r="R1184" s="1"/>
      <c r="S1184" s="1"/>
      <c r="T1184" s="1"/>
      <c r="U1184" s="1"/>
      <c r="V1184" s="6"/>
      <c r="W1184" s="6"/>
    </row>
    <row r="1185" ht="15.75" customHeight="1">
      <c r="A1185" s="9" t="s">
        <v>1202</v>
      </c>
      <c r="B1185" s="10" t="s">
        <v>0</v>
      </c>
      <c r="C1185" s="1" t="s">
        <v>1208</v>
      </c>
      <c r="D1185" s="9" t="s">
        <v>0</v>
      </c>
      <c r="E1185" s="11">
        <v>0.0</v>
      </c>
      <c r="F1185" s="2">
        <v>-2500000.0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f t="shared" si="1"/>
        <v>2500000</v>
      </c>
      <c r="Q1185" s="1"/>
      <c r="R1185" s="1"/>
      <c r="S1185" s="1"/>
      <c r="T1185" s="1"/>
      <c r="U1185" s="1"/>
      <c r="V1185" s="6"/>
      <c r="W1185" s="6"/>
    </row>
    <row r="1186" ht="15.75" customHeight="1">
      <c r="A1186" s="9" t="s">
        <v>1202</v>
      </c>
      <c r="B1186" s="10" t="s">
        <v>0</v>
      </c>
      <c r="C1186" s="1" t="s">
        <v>24</v>
      </c>
      <c r="D1186" s="9" t="s">
        <v>0</v>
      </c>
      <c r="E1186" s="11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f t="shared" si="1"/>
        <v>0</v>
      </c>
      <c r="Q1186" s="1"/>
      <c r="R1186" s="1"/>
      <c r="S1186" s="1"/>
      <c r="T1186" s="1"/>
      <c r="U1186" s="1"/>
      <c r="V1186" s="6"/>
      <c r="W1186" s="6"/>
    </row>
    <row r="1187" ht="15.75" customHeight="1">
      <c r="A1187" s="9" t="s">
        <v>1202</v>
      </c>
      <c r="B1187" s="10" t="s">
        <v>0</v>
      </c>
      <c r="C1187" s="1" t="s">
        <v>25</v>
      </c>
      <c r="D1187" s="9" t="s">
        <v>0</v>
      </c>
      <c r="E1187" s="11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f t="shared" si="1"/>
        <v>0</v>
      </c>
      <c r="Q1187" s="1"/>
      <c r="R1187" s="1"/>
      <c r="S1187" s="1"/>
      <c r="T1187" s="1"/>
      <c r="U1187" s="1"/>
      <c r="V1187" s="6"/>
      <c r="W1187" s="6"/>
    </row>
    <row r="1188" ht="15.75" customHeight="1">
      <c r="A1188" s="9" t="s">
        <v>1202</v>
      </c>
      <c r="B1188" s="10" t="s">
        <v>0</v>
      </c>
      <c r="C1188" s="1" t="s">
        <v>1209</v>
      </c>
      <c r="D1188" s="9" t="s">
        <v>0</v>
      </c>
      <c r="E1188" s="11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f t="shared" si="1"/>
        <v>0</v>
      </c>
      <c r="Q1188" s="1"/>
      <c r="R1188" s="1"/>
      <c r="S1188" s="1"/>
      <c r="T1188" s="1"/>
      <c r="U1188" s="1"/>
      <c r="V1188" s="6"/>
      <c r="W1188" s="6"/>
    </row>
    <row r="1189" ht="15.75" customHeight="1">
      <c r="A1189" s="9" t="s">
        <v>1202</v>
      </c>
      <c r="B1189" s="10" t="s">
        <v>0</v>
      </c>
      <c r="C1189" s="1" t="s">
        <v>27</v>
      </c>
      <c r="D1189" s="9" t="s">
        <v>0</v>
      </c>
      <c r="E1189" s="11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f t="shared" si="1"/>
        <v>0</v>
      </c>
      <c r="Q1189" s="1"/>
      <c r="R1189" s="1"/>
      <c r="S1189" s="1"/>
      <c r="T1189" s="1"/>
      <c r="U1189" s="1"/>
      <c r="V1189" s="6"/>
      <c r="W1189" s="6"/>
    </row>
    <row r="1190" ht="15.75" customHeight="1">
      <c r="A1190" s="9" t="s">
        <v>1202</v>
      </c>
      <c r="B1190" s="10" t="s">
        <v>0</v>
      </c>
      <c r="C1190" s="1" t="s">
        <v>1210</v>
      </c>
      <c r="D1190" s="9" t="s">
        <v>0</v>
      </c>
      <c r="E1190" s="11">
        <v>0.0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f t="shared" si="1"/>
        <v>0</v>
      </c>
      <c r="Q1190" s="1"/>
      <c r="R1190" s="1"/>
      <c r="S1190" s="1"/>
      <c r="T1190" s="1"/>
      <c r="U1190" s="1"/>
      <c r="V1190" s="6"/>
      <c r="W1190" s="6"/>
    </row>
    <row r="1191" ht="15.75" customHeight="1">
      <c r="A1191" s="9" t="s">
        <v>1202</v>
      </c>
      <c r="B1191" s="10" t="s">
        <v>0</v>
      </c>
      <c r="C1191" s="1" t="s">
        <v>28</v>
      </c>
      <c r="D1191" s="9" t="s">
        <v>0</v>
      </c>
      <c r="E1191" s="11">
        <v>0.0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f t="shared" si="1"/>
        <v>0</v>
      </c>
      <c r="Q1191" s="1"/>
      <c r="R1191" s="1"/>
      <c r="S1191" s="1"/>
      <c r="T1191" s="1"/>
      <c r="U1191" s="1"/>
      <c r="V1191" s="6"/>
      <c r="W1191" s="6"/>
    </row>
    <row r="1192" ht="15.75" customHeight="1">
      <c r="A1192" s="9" t="s">
        <v>1202</v>
      </c>
      <c r="B1192" s="10" t="s">
        <v>0</v>
      </c>
      <c r="C1192" s="1" t="s">
        <v>1211</v>
      </c>
      <c r="D1192" s="9" t="s">
        <v>0</v>
      </c>
      <c r="E1192" s="11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f t="shared" si="1"/>
        <v>0</v>
      </c>
      <c r="Q1192" s="1"/>
      <c r="R1192" s="1"/>
      <c r="S1192" s="1"/>
      <c r="T1192" s="1"/>
      <c r="U1192" s="1"/>
      <c r="V1192" s="6"/>
      <c r="W1192" s="6"/>
    </row>
    <row r="1193" ht="15.75" customHeight="1">
      <c r="A1193" s="9" t="s">
        <v>1212</v>
      </c>
      <c r="B1193" s="10" t="s">
        <v>0</v>
      </c>
      <c r="C1193" s="1" t="s">
        <v>1213</v>
      </c>
      <c r="D1193" s="9" t="s">
        <v>1214</v>
      </c>
      <c r="E1193" s="11">
        <v>0.0</v>
      </c>
      <c r="F1193" s="2">
        <v>0.0</v>
      </c>
      <c r="G1193" s="2">
        <v>-1.32E8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f t="shared" si="1"/>
        <v>132000000</v>
      </c>
      <c r="Q1193" s="1"/>
      <c r="R1193" s="1"/>
      <c r="S1193" s="1"/>
      <c r="T1193" s="1"/>
      <c r="U1193" s="1"/>
      <c r="V1193" s="6"/>
      <c r="W1193" s="6"/>
    </row>
    <row r="1194" ht="15.75" customHeight="1">
      <c r="A1194" s="9" t="s">
        <v>1215</v>
      </c>
      <c r="B1194" s="10" t="s">
        <v>0</v>
      </c>
      <c r="C1194" s="1" t="s">
        <v>0</v>
      </c>
      <c r="D1194" s="9" t="s">
        <v>1216</v>
      </c>
      <c r="E1194" s="11">
        <v>0.0</v>
      </c>
      <c r="F1194" s="2">
        <v>0.0</v>
      </c>
      <c r="G1194" s="2">
        <v>0.0</v>
      </c>
      <c r="H1194" s="2">
        <v>-4.52625E8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f t="shared" si="1"/>
        <v>452625000</v>
      </c>
      <c r="Q1194" s="1"/>
      <c r="R1194" s="1"/>
      <c r="S1194" s="1"/>
      <c r="T1194" s="1"/>
      <c r="U1194" s="1"/>
      <c r="V1194" s="6"/>
      <c r="W1194" s="6"/>
    </row>
    <row r="1195" ht="15.75" customHeight="1">
      <c r="A1195" s="9" t="s">
        <v>1217</v>
      </c>
      <c r="B1195" s="10">
        <v>2024.0</v>
      </c>
      <c r="C1195" s="9" t="s">
        <v>1218</v>
      </c>
      <c r="D1195" s="9" t="s">
        <v>1219</v>
      </c>
      <c r="E1195" s="11">
        <v>1.17218486E8</v>
      </c>
      <c r="F1195" s="2">
        <v>0.0</v>
      </c>
      <c r="G1195" s="2">
        <v>0.0</v>
      </c>
      <c r="H1195" s="2">
        <v>1.0349019558000001E8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1.3728290419999987E7</v>
      </c>
      <c r="O1195" s="2">
        <v>0.0</v>
      </c>
      <c r="P1195" s="2">
        <f t="shared" si="1"/>
        <v>0</v>
      </c>
      <c r="Q1195" s="1"/>
      <c r="R1195" s="1"/>
      <c r="S1195" s="1"/>
      <c r="T1195" s="1"/>
      <c r="U1195" s="1"/>
      <c r="V1195" s="6"/>
      <c r="W1195" s="6"/>
    </row>
    <row r="1196" ht="15.75" customHeight="1">
      <c r="A1196" s="9" t="s">
        <v>1217</v>
      </c>
      <c r="B1196" s="10">
        <v>2024.0</v>
      </c>
      <c r="C1196" s="9" t="s">
        <v>1220</v>
      </c>
      <c r="D1196" s="9" t="s">
        <v>1221</v>
      </c>
      <c r="E1196" s="11">
        <v>5599000.0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f t="shared" si="1"/>
        <v>5599000</v>
      </c>
      <c r="Q1196" s="1"/>
      <c r="R1196" s="1"/>
      <c r="S1196" s="1"/>
      <c r="T1196" s="1"/>
      <c r="U1196" s="1"/>
      <c r="V1196" s="6"/>
      <c r="W1196" s="6"/>
    </row>
    <row r="1197" ht="15.75" customHeight="1">
      <c r="A1197" s="9" t="s">
        <v>1217</v>
      </c>
      <c r="B1197" s="10">
        <v>2024.0</v>
      </c>
      <c r="C1197" s="9" t="s">
        <v>1222</v>
      </c>
      <c r="D1197" s="9" t="s">
        <v>1223</v>
      </c>
      <c r="E1197" s="11">
        <v>9.691077E7</v>
      </c>
      <c r="F1197" s="2">
        <v>0.0</v>
      </c>
      <c r="G1197" s="2">
        <v>0.0</v>
      </c>
      <c r="H1197" s="2">
        <v>8.555796E7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1.135281E7</v>
      </c>
      <c r="O1197" s="2">
        <v>0.0</v>
      </c>
      <c r="P1197" s="2">
        <f t="shared" si="1"/>
        <v>0</v>
      </c>
      <c r="Q1197" s="1"/>
      <c r="R1197" s="1"/>
      <c r="S1197" s="1"/>
      <c r="T1197" s="1"/>
      <c r="U1197" s="1"/>
      <c r="V1197" s="6"/>
      <c r="W1197" s="6"/>
    </row>
    <row r="1198" ht="15.75" customHeight="1">
      <c r="A1198" s="9" t="s">
        <v>1217</v>
      </c>
      <c r="B1198" s="10">
        <v>2024.0</v>
      </c>
      <c r="C1198" s="9" t="s">
        <v>1224</v>
      </c>
      <c r="D1198" s="9" t="s">
        <v>1223</v>
      </c>
      <c r="E1198" s="11">
        <v>9.93894E7</v>
      </c>
      <c r="F1198" s="2">
        <v>0.0</v>
      </c>
      <c r="G1198" s="2">
        <v>0.0</v>
      </c>
      <c r="H1198" s="2">
        <v>8.77492E7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1.16402E7</v>
      </c>
      <c r="O1198" s="2">
        <v>0.0</v>
      </c>
      <c r="P1198" s="2">
        <f t="shared" si="1"/>
        <v>0</v>
      </c>
      <c r="Q1198" s="1"/>
      <c r="R1198" s="1"/>
      <c r="S1198" s="1"/>
      <c r="T1198" s="1"/>
      <c r="U1198" s="1"/>
      <c r="V1198" s="6"/>
      <c r="W1198" s="6"/>
    </row>
    <row r="1199" ht="15.75" customHeight="1">
      <c r="A1199" s="9" t="s">
        <v>1217</v>
      </c>
      <c r="B1199" s="10">
        <v>2025.0</v>
      </c>
      <c r="C1199" s="9" t="s">
        <v>1225</v>
      </c>
      <c r="D1199" s="9" t="s">
        <v>1226</v>
      </c>
      <c r="E1199" s="11">
        <v>1.5300897E7</v>
      </c>
      <c r="F1199" s="2">
        <v>0.0</v>
      </c>
      <c r="G1199" s="2">
        <v>1.5025205E7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275692.0</v>
      </c>
      <c r="O1199" s="2">
        <v>0.0</v>
      </c>
      <c r="P1199" s="2">
        <f t="shared" si="1"/>
        <v>0</v>
      </c>
      <c r="Q1199" s="1"/>
      <c r="R1199" s="1"/>
      <c r="S1199" s="1"/>
      <c r="T1199" s="1"/>
      <c r="U1199" s="1"/>
      <c r="V1199" s="6"/>
      <c r="W1199" s="6"/>
    </row>
    <row r="1200" ht="15.75" customHeight="1">
      <c r="A1200" s="9" t="s">
        <v>1217</v>
      </c>
      <c r="B1200" s="10">
        <v>2025.0</v>
      </c>
      <c r="C1200" s="9" t="s">
        <v>1227</v>
      </c>
      <c r="D1200" s="9" t="s">
        <v>1226</v>
      </c>
      <c r="E1200" s="11">
        <v>7650449.0</v>
      </c>
      <c r="F1200" s="2">
        <v>0.0</v>
      </c>
      <c r="G1200" s="2">
        <v>7650449.0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f t="shared" si="1"/>
        <v>0</v>
      </c>
      <c r="Q1200" s="1"/>
      <c r="R1200" s="1"/>
      <c r="S1200" s="1"/>
      <c r="T1200" s="1"/>
      <c r="U1200" s="1"/>
      <c r="V1200" s="6"/>
      <c r="W1200" s="6"/>
    </row>
    <row r="1201" ht="15.75" customHeight="1">
      <c r="A1201" s="9" t="s">
        <v>1217</v>
      </c>
      <c r="B1201" s="10">
        <v>2025.0</v>
      </c>
      <c r="C1201" s="9" t="s">
        <v>1228</v>
      </c>
      <c r="D1201" s="9" t="s">
        <v>1229</v>
      </c>
      <c r="E1201" s="11">
        <v>6.995923E7</v>
      </c>
      <c r="F1201" s="2">
        <v>0.0</v>
      </c>
      <c r="G1201" s="2">
        <v>0.0</v>
      </c>
      <c r="H1201" s="2">
        <v>6.8575268E7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1383962.0</v>
      </c>
      <c r="O1201" s="2">
        <v>0.0</v>
      </c>
      <c r="P1201" s="2">
        <f t="shared" si="1"/>
        <v>0</v>
      </c>
      <c r="Q1201" s="1"/>
      <c r="R1201" s="1"/>
      <c r="S1201" s="1"/>
      <c r="T1201" s="1"/>
      <c r="U1201" s="1"/>
      <c r="V1201" s="6"/>
      <c r="W1201" s="6"/>
    </row>
    <row r="1202" ht="15.75" customHeight="1">
      <c r="A1202" s="9" t="s">
        <v>1217</v>
      </c>
      <c r="B1202" s="10">
        <v>2025.0</v>
      </c>
      <c r="C1202" s="9" t="s">
        <v>1230</v>
      </c>
      <c r="D1202" s="9" t="s">
        <v>1231</v>
      </c>
      <c r="E1202" s="11">
        <v>1.9872913E7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f t="shared" si="1"/>
        <v>19872913</v>
      </c>
      <c r="Q1202" s="1"/>
      <c r="R1202" s="1"/>
      <c r="S1202" s="1"/>
      <c r="T1202" s="1"/>
      <c r="U1202" s="1"/>
      <c r="V1202" s="6"/>
      <c r="W1202" s="6"/>
    </row>
    <row r="1203" ht="15.75" customHeight="1">
      <c r="A1203" s="9" t="s">
        <v>1217</v>
      </c>
      <c r="B1203" s="10">
        <v>2025.0</v>
      </c>
      <c r="C1203" s="9" t="s">
        <v>1232</v>
      </c>
      <c r="D1203" s="9" t="s">
        <v>1226</v>
      </c>
      <c r="E1203" s="11">
        <v>5981667.0</v>
      </c>
      <c r="F1203" s="2">
        <v>0.0</v>
      </c>
      <c r="G1203" s="2">
        <v>5981667.0</v>
      </c>
      <c r="H1203" s="2">
        <v>0.0</v>
      </c>
      <c r="I1203" s="2">
        <v>0.0</v>
      </c>
      <c r="J1203" s="2">
        <v>0.0</v>
      </c>
      <c r="K1203" s="2">
        <v>0.0</v>
      </c>
      <c r="L1203" s="2">
        <v>0.0</v>
      </c>
      <c r="M1203" s="2">
        <v>0.0</v>
      </c>
      <c r="N1203" s="2">
        <v>0.0</v>
      </c>
      <c r="O1203" s="2">
        <v>0.0</v>
      </c>
      <c r="P1203" s="2">
        <f t="shared" si="1"/>
        <v>0</v>
      </c>
      <c r="Q1203" s="1"/>
      <c r="R1203" s="1"/>
      <c r="S1203" s="1"/>
      <c r="T1203" s="1"/>
      <c r="U1203" s="1"/>
      <c r="V1203" s="6"/>
      <c r="W1203" s="6"/>
    </row>
    <row r="1204" ht="15.75" customHeight="1">
      <c r="A1204" s="9" t="s">
        <v>1217</v>
      </c>
      <c r="B1204" s="10">
        <v>2025.0</v>
      </c>
      <c r="C1204" s="9" t="s">
        <v>1233</v>
      </c>
      <c r="D1204" s="9" t="s">
        <v>1234</v>
      </c>
      <c r="E1204" s="11">
        <v>3.63036704E8</v>
      </c>
      <c r="F1204" s="2">
        <v>0.0</v>
      </c>
      <c r="G1204" s="2">
        <v>0.0</v>
      </c>
      <c r="H1204" s="2">
        <v>3.55854968E8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7181736.0</v>
      </c>
      <c r="O1204" s="2">
        <v>0.0</v>
      </c>
      <c r="P1204" s="2">
        <f t="shared" si="1"/>
        <v>0</v>
      </c>
      <c r="Q1204" s="1"/>
      <c r="R1204" s="1"/>
      <c r="S1204" s="1"/>
      <c r="T1204" s="1"/>
      <c r="U1204" s="1"/>
      <c r="V1204" s="6"/>
      <c r="W1204" s="6"/>
    </row>
    <row r="1205" ht="15.75" customHeight="1">
      <c r="A1205" s="9" t="s">
        <v>1217</v>
      </c>
      <c r="B1205" s="10">
        <v>2025.0</v>
      </c>
      <c r="C1205" s="9" t="s">
        <v>1235</v>
      </c>
      <c r="D1205" s="9" t="s">
        <v>1236</v>
      </c>
      <c r="E1205" s="11">
        <v>9.2790562E7</v>
      </c>
      <c r="F1205" s="2">
        <v>9.2790562E7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f t="shared" si="1"/>
        <v>0</v>
      </c>
      <c r="Q1205" s="1"/>
      <c r="R1205" s="1"/>
      <c r="S1205" s="1"/>
      <c r="T1205" s="1"/>
      <c r="U1205" s="1"/>
      <c r="V1205" s="6"/>
      <c r="W1205" s="6"/>
    </row>
    <row r="1206" ht="15.75" customHeight="1">
      <c r="A1206" s="9" t="s">
        <v>1217</v>
      </c>
      <c r="B1206" s="10">
        <v>2025.0</v>
      </c>
      <c r="C1206" s="9" t="s">
        <v>1237</v>
      </c>
      <c r="D1206" s="9" t="s">
        <v>1238</v>
      </c>
      <c r="E1206" s="11">
        <v>1.45483307E8</v>
      </c>
      <c r="F1206" s="2">
        <v>0.0</v>
      </c>
      <c r="G1206" s="2">
        <v>0.0</v>
      </c>
      <c r="H1206" s="2">
        <v>1.28444721E8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1.7038586E7</v>
      </c>
      <c r="O1206" s="2">
        <v>0.0</v>
      </c>
      <c r="P1206" s="2">
        <f t="shared" si="1"/>
        <v>0</v>
      </c>
      <c r="Q1206" s="1"/>
      <c r="R1206" s="1"/>
      <c r="S1206" s="1"/>
      <c r="T1206" s="1"/>
      <c r="U1206" s="1"/>
      <c r="V1206" s="6"/>
      <c r="W1206" s="6"/>
    </row>
    <row r="1207" ht="15.75" customHeight="1">
      <c r="A1207" s="9" t="s">
        <v>1217</v>
      </c>
      <c r="B1207" s="10">
        <v>2025.0</v>
      </c>
      <c r="C1207" s="9" t="s">
        <v>1239</v>
      </c>
      <c r="D1207" s="9" t="s">
        <v>1240</v>
      </c>
      <c r="E1207" s="11">
        <v>1.717947E8</v>
      </c>
      <c r="F1207" s="2">
        <v>0.0</v>
      </c>
      <c r="G1207" s="2">
        <v>0.0</v>
      </c>
      <c r="H1207" s="2">
        <v>0.0</v>
      </c>
      <c r="I1207" s="2">
        <v>1.717947E8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f t="shared" si="1"/>
        <v>0</v>
      </c>
      <c r="Q1207" s="1"/>
      <c r="R1207" s="1"/>
      <c r="S1207" s="1"/>
      <c r="T1207" s="1"/>
      <c r="U1207" s="1"/>
      <c r="V1207" s="6"/>
      <c r="W1207" s="6"/>
    </row>
    <row r="1208" ht="15.75" customHeight="1">
      <c r="A1208" s="9" t="s">
        <v>1217</v>
      </c>
      <c r="B1208" s="10">
        <v>2025.0</v>
      </c>
      <c r="C1208" s="9" t="s">
        <v>1241</v>
      </c>
      <c r="D1208" s="9" t="s">
        <v>1242</v>
      </c>
      <c r="E1208" s="11">
        <v>4.7788297E7</v>
      </c>
      <c r="F1208" s="2">
        <v>0.0</v>
      </c>
      <c r="G1208" s="2">
        <v>0.0</v>
      </c>
      <c r="H1208" s="2">
        <v>4.21914696E7</v>
      </c>
      <c r="I1208" s="2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5596827.3999999985</v>
      </c>
      <c r="O1208" s="2">
        <v>0.0</v>
      </c>
      <c r="P1208" s="2">
        <f t="shared" si="1"/>
        <v>0</v>
      </c>
      <c r="Q1208" s="1"/>
      <c r="R1208" s="1"/>
      <c r="S1208" s="1"/>
      <c r="T1208" s="1"/>
      <c r="U1208" s="1"/>
      <c r="V1208" s="6"/>
      <c r="W1208" s="6"/>
    </row>
    <row r="1209" ht="15.75" customHeight="1">
      <c r="A1209" s="9" t="s">
        <v>1217</v>
      </c>
      <c r="B1209" s="10">
        <v>2025.0</v>
      </c>
      <c r="C1209" s="9" t="s">
        <v>1243</v>
      </c>
      <c r="D1209" s="9" t="s">
        <v>1226</v>
      </c>
      <c r="E1209" s="11">
        <v>2.21286887E8</v>
      </c>
      <c r="F1209" s="2">
        <v>0.0</v>
      </c>
      <c r="G1209" s="2">
        <v>0.0</v>
      </c>
      <c r="H1209" s="2">
        <v>1.95370405E8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2.5916482E7</v>
      </c>
      <c r="O1209" s="2">
        <v>0.0</v>
      </c>
      <c r="P1209" s="2">
        <f t="shared" si="1"/>
        <v>0</v>
      </c>
      <c r="Q1209" s="1"/>
      <c r="R1209" s="1"/>
      <c r="S1209" s="1"/>
      <c r="T1209" s="1"/>
      <c r="U1209" s="1"/>
      <c r="V1209" s="6"/>
      <c r="W1209" s="6"/>
    </row>
    <row r="1210" ht="15.75" customHeight="1">
      <c r="A1210" s="9" t="s">
        <v>1217</v>
      </c>
      <c r="B1210" s="10">
        <v>2025.0</v>
      </c>
      <c r="C1210" s="9" t="s">
        <v>1244</v>
      </c>
      <c r="D1210" s="9" t="s">
        <v>1245</v>
      </c>
      <c r="E1210" s="11">
        <v>1.10715612E8</v>
      </c>
      <c r="F1210" s="2">
        <v>0.0</v>
      </c>
      <c r="G1210" s="2">
        <v>0.0</v>
      </c>
      <c r="H1210" s="2">
        <v>1.10585106E8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130506.0</v>
      </c>
      <c r="O1210" s="2">
        <v>0.0</v>
      </c>
      <c r="P1210" s="2">
        <f t="shared" si="1"/>
        <v>0</v>
      </c>
      <c r="Q1210" s="1"/>
      <c r="R1210" s="1"/>
      <c r="S1210" s="1"/>
      <c r="T1210" s="1"/>
      <c r="U1210" s="1"/>
      <c r="V1210" s="6"/>
      <c r="W1210" s="6"/>
    </row>
    <row r="1211" ht="15.75" customHeight="1">
      <c r="A1211" s="9" t="s">
        <v>1217</v>
      </c>
      <c r="B1211" s="10">
        <v>2025.0</v>
      </c>
      <c r="C1211" s="9" t="s">
        <v>1246</v>
      </c>
      <c r="D1211" s="9" t="s">
        <v>1245</v>
      </c>
      <c r="E1211" s="11">
        <v>5344650.0</v>
      </c>
      <c r="F1211" s="2">
        <v>0.0</v>
      </c>
      <c r="G1211" s="2">
        <v>0.0</v>
      </c>
      <c r="H1211" s="2">
        <v>3473980.0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1870670.0</v>
      </c>
      <c r="O1211" s="2">
        <v>0.0</v>
      </c>
      <c r="P1211" s="2">
        <f t="shared" si="1"/>
        <v>0</v>
      </c>
      <c r="Q1211" s="1"/>
      <c r="R1211" s="1"/>
      <c r="S1211" s="1"/>
      <c r="T1211" s="1"/>
      <c r="U1211" s="1"/>
      <c r="V1211" s="6"/>
      <c r="W1211" s="6"/>
    </row>
    <row r="1212" ht="15.75" customHeight="1">
      <c r="A1212" s="9" t="s">
        <v>1217</v>
      </c>
      <c r="B1212" s="10">
        <v>2025.0</v>
      </c>
      <c r="C1212" s="9" t="s">
        <v>1247</v>
      </c>
      <c r="D1212" s="9" t="s">
        <v>1248</v>
      </c>
      <c r="E1212" s="11">
        <v>8.2318331E7</v>
      </c>
      <c r="F1212" s="2">
        <v>0.0</v>
      </c>
      <c r="G1212" s="2">
        <v>0.0</v>
      </c>
      <c r="H1212" s="2">
        <v>7.267744582E7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9640885.180000007</v>
      </c>
      <c r="O1212" s="2">
        <v>0.0</v>
      </c>
      <c r="P1212" s="2">
        <f t="shared" si="1"/>
        <v>0</v>
      </c>
      <c r="Q1212" s="1"/>
      <c r="R1212" s="1"/>
      <c r="S1212" s="1"/>
      <c r="T1212" s="1"/>
      <c r="U1212" s="1"/>
      <c r="V1212" s="6"/>
      <c r="W1212" s="6"/>
    </row>
    <row r="1213" ht="15.75" customHeight="1">
      <c r="A1213" s="9" t="s">
        <v>1217</v>
      </c>
      <c r="B1213" s="10">
        <v>2025.0</v>
      </c>
      <c r="C1213" s="9" t="s">
        <v>1249</v>
      </c>
      <c r="D1213" s="9" t="s">
        <v>1250</v>
      </c>
      <c r="E1213" s="11">
        <v>1.2498105E7</v>
      </c>
      <c r="F1213" s="2">
        <v>0.0</v>
      </c>
      <c r="G1213" s="2">
        <v>0.0</v>
      </c>
      <c r="H1213" s="2">
        <v>1.1034363E7</v>
      </c>
      <c r="I1213" s="2">
        <v>0.0</v>
      </c>
      <c r="J1213" s="2">
        <v>0.0</v>
      </c>
      <c r="K1213" s="2">
        <v>0.0</v>
      </c>
      <c r="L1213" s="2">
        <v>0.0</v>
      </c>
      <c r="M1213" s="2">
        <v>0.0</v>
      </c>
      <c r="N1213" s="2">
        <v>1463742.0</v>
      </c>
      <c r="O1213" s="2">
        <v>0.0</v>
      </c>
      <c r="P1213" s="2">
        <f t="shared" si="1"/>
        <v>0</v>
      </c>
      <c r="Q1213" s="1"/>
      <c r="R1213" s="1"/>
      <c r="S1213" s="1"/>
      <c r="T1213" s="1"/>
      <c r="U1213" s="1"/>
      <c r="V1213" s="6"/>
      <c r="W1213" s="6"/>
    </row>
    <row r="1214" ht="15.75" customHeight="1">
      <c r="A1214" s="9" t="s">
        <v>1217</v>
      </c>
      <c r="B1214" s="10">
        <v>2025.0</v>
      </c>
      <c r="C1214" s="9" t="s">
        <v>1251</v>
      </c>
      <c r="D1214" s="9" t="s">
        <v>1252</v>
      </c>
      <c r="E1214" s="11">
        <v>2.4770289E7</v>
      </c>
      <c r="F1214" s="2">
        <v>0.0</v>
      </c>
      <c r="G1214" s="2">
        <v>0.0</v>
      </c>
      <c r="H1214" s="2">
        <v>2.1869264E7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2901025.0</v>
      </c>
      <c r="O1214" s="2">
        <v>0.0</v>
      </c>
      <c r="P1214" s="2">
        <f t="shared" si="1"/>
        <v>0</v>
      </c>
      <c r="Q1214" s="1"/>
      <c r="R1214" s="1"/>
      <c r="S1214" s="1"/>
      <c r="T1214" s="1"/>
      <c r="U1214" s="1"/>
      <c r="V1214" s="6"/>
      <c r="W1214" s="6"/>
    </row>
    <row r="1215" ht="15.75" customHeight="1">
      <c r="A1215" s="9" t="s">
        <v>1217</v>
      </c>
      <c r="B1215" s="10">
        <v>2025.0</v>
      </c>
      <c r="C1215" s="9" t="s">
        <v>1253</v>
      </c>
      <c r="D1215" s="9" t="s">
        <v>1254</v>
      </c>
      <c r="E1215" s="11">
        <v>6.7599339E7</v>
      </c>
      <c r="F1215" s="2">
        <v>0.0</v>
      </c>
      <c r="G1215" s="2">
        <v>0.0</v>
      </c>
      <c r="H1215" s="2">
        <v>5.9682299E7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7917040.0</v>
      </c>
      <c r="O1215" s="2">
        <v>0.0</v>
      </c>
      <c r="P1215" s="2">
        <f t="shared" si="1"/>
        <v>0</v>
      </c>
      <c r="Q1215" s="1"/>
      <c r="R1215" s="1"/>
      <c r="S1215" s="1"/>
      <c r="T1215" s="1"/>
      <c r="U1215" s="1"/>
      <c r="V1215" s="6"/>
      <c r="W1215" s="6"/>
    </row>
    <row r="1216" ht="15.75" customHeight="1">
      <c r="A1216" s="9" t="s">
        <v>1217</v>
      </c>
      <c r="B1216" s="10">
        <v>2025.0</v>
      </c>
      <c r="C1216" s="9" t="s">
        <v>1255</v>
      </c>
      <c r="D1216" s="9" t="s">
        <v>1256</v>
      </c>
      <c r="E1216" s="11">
        <v>3.11355E7</v>
      </c>
      <c r="F1216" s="2">
        <v>0.0</v>
      </c>
      <c r="G1216" s="2">
        <v>0.0</v>
      </c>
      <c r="H1216" s="2">
        <v>2.7489E7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3646500.0</v>
      </c>
      <c r="O1216" s="2">
        <v>0.0</v>
      </c>
      <c r="P1216" s="2">
        <f t="shared" si="1"/>
        <v>0</v>
      </c>
      <c r="Q1216" s="1"/>
      <c r="R1216" s="1"/>
      <c r="S1216" s="1"/>
      <c r="T1216" s="1"/>
      <c r="U1216" s="1"/>
      <c r="V1216" s="6"/>
      <c r="W1216" s="6"/>
    </row>
    <row r="1217" ht="15.75" customHeight="1">
      <c r="A1217" s="9" t="s">
        <v>1217</v>
      </c>
      <c r="B1217" s="10">
        <v>2025.0</v>
      </c>
      <c r="C1217" s="9" t="s">
        <v>1257</v>
      </c>
      <c r="D1217" s="9" t="s">
        <v>1258</v>
      </c>
      <c r="E1217" s="11">
        <v>2.5E8</v>
      </c>
      <c r="F1217" s="2">
        <v>0.0</v>
      </c>
      <c r="G1217" s="2">
        <v>0.0</v>
      </c>
      <c r="H1217" s="2">
        <v>2.462471E8</v>
      </c>
      <c r="I1217" s="2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3752900.0</v>
      </c>
      <c r="O1217" s="2">
        <v>0.0</v>
      </c>
      <c r="P1217" s="2">
        <f t="shared" si="1"/>
        <v>0</v>
      </c>
      <c r="Q1217" s="1"/>
      <c r="R1217" s="1"/>
      <c r="S1217" s="1"/>
      <c r="T1217" s="1"/>
      <c r="U1217" s="1"/>
      <c r="V1217" s="6"/>
      <c r="W1217" s="6"/>
    </row>
    <row r="1218" ht="15.75" customHeight="1">
      <c r="A1218" s="9" t="s">
        <v>1217</v>
      </c>
      <c r="B1218" s="10">
        <v>2025.0</v>
      </c>
      <c r="C1218" s="9" t="s">
        <v>1259</v>
      </c>
      <c r="D1218" s="9" t="s">
        <v>1258</v>
      </c>
      <c r="E1218" s="11">
        <v>3.50457081E8</v>
      </c>
      <c r="F1218" s="2">
        <v>0.0</v>
      </c>
      <c r="G1218" s="2">
        <v>0.0</v>
      </c>
      <c r="H1218" s="2">
        <v>3.09412558E8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4.1044523E7</v>
      </c>
      <c r="O1218" s="2">
        <v>0.0</v>
      </c>
      <c r="P1218" s="2">
        <f t="shared" si="1"/>
        <v>0</v>
      </c>
      <c r="Q1218" s="1"/>
      <c r="R1218" s="1"/>
      <c r="S1218" s="1"/>
      <c r="T1218" s="1"/>
      <c r="U1218" s="1"/>
      <c r="V1218" s="6"/>
      <c r="W1218" s="6"/>
    </row>
    <row r="1219" ht="15.75" customHeight="1">
      <c r="A1219" s="9" t="s">
        <v>1217</v>
      </c>
      <c r="B1219" s="10">
        <v>2025.0</v>
      </c>
      <c r="C1219" s="9" t="s">
        <v>1260</v>
      </c>
      <c r="D1219" s="9" t="s">
        <v>1261</v>
      </c>
      <c r="E1219" s="11">
        <v>8.1E8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2">
        <v>7.28648649E8</v>
      </c>
      <c r="L1219" s="2">
        <v>0.0</v>
      </c>
      <c r="M1219" s="2">
        <v>0.0</v>
      </c>
      <c r="N1219" s="2">
        <v>8.1351351E7</v>
      </c>
      <c r="O1219" s="2">
        <v>0.0</v>
      </c>
      <c r="P1219" s="2">
        <f t="shared" si="1"/>
        <v>0</v>
      </c>
      <c r="Q1219" s="1"/>
      <c r="R1219" s="1"/>
      <c r="S1219" s="1"/>
      <c r="T1219" s="1"/>
      <c r="U1219" s="1"/>
      <c r="V1219" s="6"/>
      <c r="W1219" s="6"/>
    </row>
    <row r="1220" ht="15.75" customHeight="1">
      <c r="A1220" s="9" t="s">
        <v>1217</v>
      </c>
      <c r="B1220" s="10">
        <v>2025.0</v>
      </c>
      <c r="C1220" s="9" t="s">
        <v>1262</v>
      </c>
      <c r="D1220" s="9" t="s">
        <v>1263</v>
      </c>
      <c r="E1220" s="11">
        <v>5355000.0</v>
      </c>
      <c r="F1220" s="2">
        <v>5351000.0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4000.0</v>
      </c>
      <c r="O1220" s="2">
        <v>0.0</v>
      </c>
      <c r="P1220" s="2">
        <f t="shared" si="1"/>
        <v>0</v>
      </c>
      <c r="Q1220" s="1"/>
      <c r="R1220" s="1"/>
      <c r="S1220" s="1"/>
      <c r="T1220" s="1"/>
      <c r="U1220" s="1"/>
      <c r="V1220" s="6"/>
      <c r="W1220" s="6"/>
    </row>
    <row r="1221" ht="15.75" customHeight="1">
      <c r="A1221" s="9" t="s">
        <v>1217</v>
      </c>
      <c r="B1221" s="10">
        <v>2026.0</v>
      </c>
      <c r="C1221" s="9" t="s">
        <v>1264</v>
      </c>
      <c r="D1221" s="9" t="s">
        <v>34</v>
      </c>
      <c r="E1221" s="11">
        <v>1.54270668E8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f t="shared" si="1"/>
        <v>154270668</v>
      </c>
      <c r="Q1221" s="1"/>
      <c r="R1221" s="1"/>
      <c r="S1221" s="1"/>
      <c r="T1221" s="1"/>
      <c r="U1221" s="1"/>
      <c r="V1221" s="6"/>
      <c r="W1221" s="6"/>
    </row>
    <row r="1222" ht="15.75" customHeight="1">
      <c r="A1222" s="9" t="s">
        <v>1217</v>
      </c>
      <c r="B1222" s="10">
        <v>2026.0</v>
      </c>
      <c r="C1222" s="9" t="s">
        <v>1265</v>
      </c>
      <c r="D1222" s="9" t="s">
        <v>244</v>
      </c>
      <c r="E1222" s="11">
        <v>3.7954242E7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f t="shared" si="1"/>
        <v>37954242</v>
      </c>
      <c r="Q1222" s="1"/>
      <c r="R1222" s="1"/>
      <c r="S1222" s="1"/>
      <c r="T1222" s="1"/>
      <c r="U1222" s="1"/>
      <c r="V1222" s="6"/>
      <c r="W1222" s="6"/>
    </row>
    <row r="1223" ht="15.75" customHeight="1">
      <c r="A1223" s="9" t="s">
        <v>1217</v>
      </c>
      <c r="B1223" s="10">
        <v>2026.0</v>
      </c>
      <c r="C1223" s="9" t="s">
        <v>1266</v>
      </c>
      <c r="D1223" s="9" t="s">
        <v>252</v>
      </c>
      <c r="E1223" s="11">
        <v>2.7369822E7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f t="shared" si="1"/>
        <v>27369822</v>
      </c>
      <c r="Q1223" s="1"/>
      <c r="R1223" s="1"/>
      <c r="S1223" s="1"/>
      <c r="T1223" s="1"/>
      <c r="U1223" s="1"/>
      <c r="V1223" s="6"/>
      <c r="W1223" s="6"/>
    </row>
    <row r="1224" ht="15.75" customHeight="1">
      <c r="A1224" s="9" t="s">
        <v>1217</v>
      </c>
      <c r="B1224" s="10">
        <v>2026.0</v>
      </c>
      <c r="C1224" s="9" t="s">
        <v>1267</v>
      </c>
      <c r="D1224" s="9" t="s">
        <v>120</v>
      </c>
      <c r="E1224" s="11">
        <v>1.6017445E8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f t="shared" si="1"/>
        <v>160174450</v>
      </c>
      <c r="Q1224" s="1"/>
      <c r="R1224" s="1"/>
      <c r="S1224" s="1"/>
      <c r="T1224" s="1"/>
      <c r="U1224" s="1"/>
      <c r="V1224" s="6"/>
      <c r="W1224" s="6"/>
    </row>
    <row r="1225" ht="15.75" customHeight="1">
      <c r="A1225" s="9" t="s">
        <v>1217</v>
      </c>
      <c r="B1225" s="10">
        <v>2026.0</v>
      </c>
      <c r="C1225" s="9" t="s">
        <v>1268</v>
      </c>
      <c r="D1225" s="9" t="s">
        <v>49</v>
      </c>
      <c r="E1225" s="11">
        <v>7.2839088E8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f t="shared" si="1"/>
        <v>728390880</v>
      </c>
      <c r="Q1225" s="1"/>
      <c r="R1225" s="1"/>
      <c r="S1225" s="1"/>
      <c r="T1225" s="1"/>
      <c r="U1225" s="1"/>
      <c r="V1225" s="6"/>
      <c r="W1225" s="6"/>
    </row>
    <row r="1226" ht="15.75" customHeight="1">
      <c r="A1226" s="9" t="s">
        <v>1217</v>
      </c>
      <c r="B1226" s="10">
        <v>2026.0</v>
      </c>
      <c r="C1226" s="9" t="s">
        <v>1269</v>
      </c>
      <c r="D1226" s="9" t="s">
        <v>1270</v>
      </c>
      <c r="E1226" s="11">
        <v>2.52969E7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f t="shared" si="1"/>
        <v>25296900</v>
      </c>
      <c r="Q1226" s="1"/>
      <c r="R1226" s="1"/>
      <c r="S1226" s="1"/>
      <c r="T1226" s="1"/>
      <c r="U1226" s="1"/>
      <c r="V1226" s="6"/>
      <c r="W1226" s="6"/>
    </row>
    <row r="1227" ht="15.75" customHeight="1">
      <c r="A1227" s="9" t="s">
        <v>1217</v>
      </c>
      <c r="B1227" s="10">
        <v>2026.0</v>
      </c>
      <c r="C1227" s="9" t="s">
        <v>1271</v>
      </c>
      <c r="D1227" s="9" t="s">
        <v>1272</v>
      </c>
      <c r="E1227" s="11">
        <v>3.457872E8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f t="shared" si="1"/>
        <v>345787200</v>
      </c>
      <c r="Q1227" s="1"/>
      <c r="R1227" s="1"/>
      <c r="S1227" s="1"/>
      <c r="T1227" s="1"/>
      <c r="U1227" s="1"/>
      <c r="V1227" s="6"/>
      <c r="W1227" s="6"/>
    </row>
    <row r="1228" ht="15.75" customHeight="1">
      <c r="A1228" s="9" t="s">
        <v>1217</v>
      </c>
      <c r="B1228" s="10">
        <v>2026.0</v>
      </c>
      <c r="C1228" s="9" t="s">
        <v>1273</v>
      </c>
      <c r="D1228" s="9" t="s">
        <v>1274</v>
      </c>
      <c r="E1228" s="11">
        <v>1.3211656E7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0.0</v>
      </c>
      <c r="P1228" s="2">
        <f t="shared" si="1"/>
        <v>13211656</v>
      </c>
      <c r="Q1228" s="1"/>
      <c r="R1228" s="1"/>
      <c r="S1228" s="1"/>
      <c r="T1228" s="1"/>
      <c r="U1228" s="1"/>
      <c r="V1228" s="6"/>
      <c r="W1228" s="6"/>
    </row>
    <row r="1229" ht="15.75" customHeight="1">
      <c r="A1229" s="9" t="s">
        <v>1217</v>
      </c>
      <c r="B1229" s="10">
        <v>2026.0</v>
      </c>
      <c r="C1229" s="9" t="s">
        <v>1275</v>
      </c>
      <c r="D1229" s="9" t="s">
        <v>1274</v>
      </c>
      <c r="E1229" s="11">
        <v>1.00455E7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f t="shared" si="1"/>
        <v>10045500</v>
      </c>
      <c r="Q1229" s="1"/>
      <c r="R1229" s="1"/>
      <c r="S1229" s="1"/>
      <c r="T1229" s="1"/>
      <c r="U1229" s="1"/>
      <c r="V1229" s="6"/>
      <c r="W1229" s="6"/>
    </row>
    <row r="1230" ht="15.75" customHeight="1">
      <c r="A1230" s="9" t="s">
        <v>1217</v>
      </c>
      <c r="B1230" s="10">
        <v>2026.0</v>
      </c>
      <c r="C1230" s="9" t="s">
        <v>1276</v>
      </c>
      <c r="D1230" s="9" t="s">
        <v>1277</v>
      </c>
      <c r="E1230" s="11">
        <v>4.783212E8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f t="shared" si="1"/>
        <v>478321200</v>
      </c>
      <c r="Q1230" s="1"/>
      <c r="R1230" s="1"/>
      <c r="S1230" s="1"/>
      <c r="T1230" s="1"/>
      <c r="U1230" s="1"/>
      <c r="V1230" s="6"/>
      <c r="W1230" s="6"/>
    </row>
    <row r="1231" ht="15.75" customHeight="1">
      <c r="A1231" s="9" t="s">
        <v>1217</v>
      </c>
      <c r="B1231" s="10">
        <v>2026.0</v>
      </c>
      <c r="C1231" s="9" t="s">
        <v>1278</v>
      </c>
      <c r="D1231" s="9" t="s">
        <v>1279</v>
      </c>
      <c r="E1231" s="11">
        <v>8.0E8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f t="shared" si="1"/>
        <v>800000000</v>
      </c>
      <c r="Q1231" s="1"/>
      <c r="R1231" s="1"/>
      <c r="S1231" s="1"/>
      <c r="T1231" s="1"/>
      <c r="U1231" s="1"/>
      <c r="V1231" s="6"/>
      <c r="W1231" s="6"/>
    </row>
    <row r="1232" ht="15.75" customHeight="1">
      <c r="A1232" s="9" t="s">
        <v>1217</v>
      </c>
      <c r="B1232" s="10">
        <v>2026.0</v>
      </c>
      <c r="C1232" s="9" t="s">
        <v>1280</v>
      </c>
      <c r="D1232" s="9" t="s">
        <v>1281</v>
      </c>
      <c r="E1232" s="11">
        <v>4.0974984E8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f t="shared" si="1"/>
        <v>409749840</v>
      </c>
      <c r="Q1232" s="1"/>
      <c r="R1232" s="1"/>
      <c r="S1232" s="1"/>
      <c r="T1232" s="1"/>
      <c r="U1232" s="1"/>
      <c r="V1232" s="6"/>
      <c r="W1232" s="6"/>
    </row>
    <row r="1233" ht="15.75" customHeight="1">
      <c r="A1233" s="9" t="s">
        <v>1217</v>
      </c>
      <c r="B1233" s="10">
        <v>2026.0</v>
      </c>
      <c r="C1233" s="9" t="s">
        <v>1282</v>
      </c>
      <c r="D1233" s="9" t="s">
        <v>1283</v>
      </c>
      <c r="E1233" s="11">
        <v>2.18574385E8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2">
        <v>0.0</v>
      </c>
      <c r="O1233" s="2">
        <v>0.0</v>
      </c>
      <c r="P1233" s="2">
        <f t="shared" si="1"/>
        <v>218574385</v>
      </c>
      <c r="Q1233" s="1"/>
      <c r="R1233" s="1"/>
      <c r="S1233" s="1"/>
      <c r="T1233" s="1"/>
      <c r="U1233" s="1"/>
      <c r="V1233" s="6"/>
      <c r="W1233" s="6"/>
    </row>
    <row r="1234" ht="15.75" customHeight="1">
      <c r="A1234" s="9" t="s">
        <v>1217</v>
      </c>
      <c r="B1234" s="10">
        <v>2026.0</v>
      </c>
      <c r="C1234" s="9" t="s">
        <v>1284</v>
      </c>
      <c r="D1234" s="9" t="s">
        <v>1285</v>
      </c>
      <c r="E1234" s="11">
        <v>3.5E8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f t="shared" si="1"/>
        <v>350000000</v>
      </c>
      <c r="Q1234" s="1"/>
      <c r="R1234" s="1"/>
      <c r="S1234" s="1"/>
      <c r="T1234" s="1"/>
      <c r="U1234" s="1"/>
      <c r="V1234" s="6"/>
      <c r="W1234" s="6"/>
    </row>
    <row r="1235" ht="15.75" customHeight="1">
      <c r="A1235" s="9" t="s">
        <v>1217</v>
      </c>
      <c r="B1235" s="10">
        <v>2026.0</v>
      </c>
      <c r="C1235" s="9" t="s">
        <v>1286</v>
      </c>
      <c r="D1235" s="9" t="s">
        <v>1287</v>
      </c>
      <c r="E1235" s="11">
        <v>1.0E9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f t="shared" si="1"/>
        <v>1000000000</v>
      </c>
      <c r="Q1235" s="1"/>
      <c r="R1235" s="1"/>
      <c r="S1235" s="1"/>
      <c r="T1235" s="1"/>
      <c r="U1235" s="1"/>
      <c r="V1235" s="6"/>
      <c r="W1235" s="6"/>
    </row>
    <row r="1236" ht="15.75" customHeight="1">
      <c r="A1236" s="9" t="s">
        <v>1217</v>
      </c>
      <c r="B1236" s="10">
        <v>2026.0</v>
      </c>
      <c r="C1236" s="9" t="s">
        <v>1288</v>
      </c>
      <c r="D1236" s="9" t="s">
        <v>1289</v>
      </c>
      <c r="E1236" s="11">
        <v>3.0E8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0.0</v>
      </c>
      <c r="P1236" s="2">
        <f t="shared" si="1"/>
        <v>300000000</v>
      </c>
      <c r="Q1236" s="1"/>
      <c r="R1236" s="1"/>
      <c r="S1236" s="1"/>
      <c r="T1236" s="1"/>
      <c r="U1236" s="1"/>
      <c r="V1236" s="6"/>
      <c r="W1236" s="6"/>
    </row>
    <row r="1237" ht="15.75" customHeight="1">
      <c r="A1237" s="9" t="s">
        <v>1217</v>
      </c>
      <c r="B1237" s="10">
        <v>2026.0</v>
      </c>
      <c r="C1237" s="9" t="s">
        <v>1290</v>
      </c>
      <c r="D1237" s="9" t="s">
        <v>1291</v>
      </c>
      <c r="E1237" s="11">
        <v>1.0985622E7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0.0</v>
      </c>
      <c r="M1237" s="2">
        <v>0.0</v>
      </c>
      <c r="N1237" s="2">
        <v>0.0</v>
      </c>
      <c r="O1237" s="2">
        <v>0.0</v>
      </c>
      <c r="P1237" s="2">
        <f t="shared" si="1"/>
        <v>10985622</v>
      </c>
      <c r="Q1237" s="1"/>
      <c r="R1237" s="1"/>
      <c r="S1237" s="1"/>
      <c r="T1237" s="1"/>
      <c r="U1237" s="1"/>
      <c r="V1237" s="6"/>
      <c r="W1237" s="6"/>
    </row>
    <row r="1238" ht="15.75" customHeight="1">
      <c r="A1238" s="9" t="s">
        <v>1217</v>
      </c>
      <c r="B1238" s="10">
        <v>2026.0</v>
      </c>
      <c r="C1238" s="9" t="s">
        <v>1292</v>
      </c>
      <c r="D1238" s="9" t="s">
        <v>1291</v>
      </c>
      <c r="E1238" s="11">
        <v>5.0135244E7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0.0</v>
      </c>
      <c r="O1238" s="2">
        <v>0.0</v>
      </c>
      <c r="P1238" s="2">
        <f t="shared" si="1"/>
        <v>50135244</v>
      </c>
      <c r="Q1238" s="1"/>
      <c r="R1238" s="1"/>
      <c r="S1238" s="1"/>
      <c r="T1238" s="1"/>
      <c r="U1238" s="1"/>
      <c r="V1238" s="6"/>
      <c r="W1238" s="6"/>
    </row>
    <row r="1239" ht="15.75" customHeight="1">
      <c r="A1239" s="9" t="s">
        <v>1217</v>
      </c>
      <c r="B1239" s="10">
        <v>2026.0</v>
      </c>
      <c r="C1239" s="9" t="s">
        <v>1293</v>
      </c>
      <c r="D1239" s="9" t="s">
        <v>1294</v>
      </c>
      <c r="E1239" s="11">
        <v>9.20898224E8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0.0</v>
      </c>
      <c r="P1239" s="2">
        <f t="shared" si="1"/>
        <v>920898224</v>
      </c>
      <c r="Q1239" s="1"/>
      <c r="R1239" s="1"/>
      <c r="S1239" s="1"/>
      <c r="T1239" s="1"/>
      <c r="U1239" s="1"/>
      <c r="V1239" s="6"/>
      <c r="W1239" s="6"/>
    </row>
    <row r="1240" ht="15.75" customHeight="1">
      <c r="A1240" s="9" t="s">
        <v>1217</v>
      </c>
      <c r="B1240" s="10">
        <v>2026.0</v>
      </c>
      <c r="C1240" s="9" t="s">
        <v>1295</v>
      </c>
      <c r="D1240" s="9" t="s">
        <v>1296</v>
      </c>
      <c r="E1240" s="11">
        <v>1.09195055E8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f t="shared" si="1"/>
        <v>109195055</v>
      </c>
      <c r="Q1240" s="1"/>
      <c r="R1240" s="1"/>
      <c r="S1240" s="1"/>
      <c r="T1240" s="1"/>
      <c r="U1240" s="1"/>
      <c r="V1240" s="6"/>
      <c r="W1240" s="6"/>
    </row>
    <row r="1241" ht="15.75" customHeight="1">
      <c r="A1241" s="9" t="s">
        <v>1217</v>
      </c>
      <c r="B1241" s="10">
        <v>2026.0</v>
      </c>
      <c r="C1241" s="9" t="s">
        <v>1297</v>
      </c>
      <c r="D1241" s="9" t="s">
        <v>1298</v>
      </c>
      <c r="E1241" s="11">
        <v>4.8847576E7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f t="shared" si="1"/>
        <v>48847576</v>
      </c>
      <c r="Q1241" s="1"/>
      <c r="R1241" s="1"/>
      <c r="S1241" s="1"/>
      <c r="T1241" s="1"/>
      <c r="U1241" s="1"/>
      <c r="V1241" s="6"/>
      <c r="W1241" s="6"/>
    </row>
    <row r="1242" ht="15.75" customHeight="1">
      <c r="A1242" s="9" t="s">
        <v>1217</v>
      </c>
      <c r="B1242" s="10">
        <v>2026.0</v>
      </c>
      <c r="C1242" s="9" t="s">
        <v>1299</v>
      </c>
      <c r="D1242" s="9" t="s">
        <v>1300</v>
      </c>
      <c r="E1242" s="11">
        <v>1.46771079E8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f t="shared" si="1"/>
        <v>146771079</v>
      </c>
      <c r="Q1242" s="1"/>
      <c r="R1242" s="1"/>
      <c r="S1242" s="1"/>
      <c r="T1242" s="1"/>
      <c r="U1242" s="1"/>
      <c r="V1242" s="6"/>
      <c r="W1242" s="6"/>
    </row>
    <row r="1243" ht="15.75" customHeight="1">
      <c r="A1243" s="9" t="s">
        <v>1217</v>
      </c>
      <c r="B1243" s="10">
        <v>2026.0</v>
      </c>
      <c r="C1243" s="9" t="s">
        <v>1301</v>
      </c>
      <c r="D1243" s="9" t="s">
        <v>1296</v>
      </c>
      <c r="E1243" s="11">
        <v>1.17797555E8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f t="shared" si="1"/>
        <v>117797555</v>
      </c>
      <c r="Q1243" s="1"/>
      <c r="R1243" s="1"/>
      <c r="S1243" s="1"/>
      <c r="T1243" s="1"/>
      <c r="U1243" s="1"/>
      <c r="V1243" s="6"/>
      <c r="W1243" s="6"/>
    </row>
    <row r="1244" ht="15.75" customHeight="1">
      <c r="A1244" s="9" t="s">
        <v>1217</v>
      </c>
      <c r="B1244" s="10">
        <v>2026.0</v>
      </c>
      <c r="C1244" s="9" t="s">
        <v>1302</v>
      </c>
      <c r="D1244" s="9" t="s">
        <v>1303</v>
      </c>
      <c r="E1244" s="11">
        <v>9.8605884E7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f t="shared" si="1"/>
        <v>98605884</v>
      </c>
      <c r="Q1244" s="1"/>
      <c r="R1244" s="1"/>
      <c r="S1244" s="1"/>
      <c r="T1244" s="1"/>
      <c r="U1244" s="1"/>
      <c r="V1244" s="6"/>
      <c r="W1244" s="6"/>
    </row>
    <row r="1245" ht="15.75" customHeight="1">
      <c r="A1245" s="9" t="s">
        <v>1217</v>
      </c>
      <c r="B1245" s="10">
        <v>2026.0</v>
      </c>
      <c r="C1245" s="9" t="s">
        <v>1304</v>
      </c>
      <c r="D1245" s="9" t="s">
        <v>1303</v>
      </c>
      <c r="E1245" s="11">
        <v>9.5582819E7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>
        <f t="shared" si="1"/>
        <v>95582819</v>
      </c>
      <c r="Q1245" s="1"/>
      <c r="R1245" s="1"/>
      <c r="S1245" s="1"/>
      <c r="T1245" s="1"/>
      <c r="U1245" s="1"/>
      <c r="V1245" s="6"/>
      <c r="W1245" s="6"/>
    </row>
    <row r="1246" ht="15.75" customHeight="1">
      <c r="A1246" s="10"/>
      <c r="B1246" s="10"/>
      <c r="C1246" s="1"/>
      <c r="D1246" s="10"/>
      <c r="E1246" s="11"/>
      <c r="F1246" s="17"/>
      <c r="G1246" s="11"/>
      <c r="H1246" s="1"/>
      <c r="I1246" s="5"/>
      <c r="J1246" s="5"/>
      <c r="K1246" s="5"/>
      <c r="L1246" s="5"/>
      <c r="M1246" s="5"/>
      <c r="N1246" s="1"/>
      <c r="O1246" s="1"/>
      <c r="P1246" s="1"/>
      <c r="Q1246" s="1"/>
      <c r="R1246" s="1"/>
      <c r="S1246" s="1"/>
      <c r="T1246" s="1"/>
      <c r="U1246" s="1"/>
      <c r="V1246" s="6"/>
      <c r="W1246" s="6"/>
    </row>
    <row r="1247" ht="15.75" customHeight="1">
      <c r="A1247" s="10"/>
      <c r="B1247" s="10"/>
      <c r="C1247" s="1"/>
      <c r="D1247" s="10"/>
      <c r="E1247" s="11">
        <f t="shared" ref="E1247:P1247" si="2">SUBTOTAL(9,E5:E1246)</f>
        <v>17742697581</v>
      </c>
      <c r="F1247" s="8">
        <f t="shared" si="2"/>
        <v>1665245866</v>
      </c>
      <c r="G1247" s="8">
        <f t="shared" si="2"/>
        <v>-2034608434</v>
      </c>
      <c r="H1247" s="8">
        <f t="shared" si="2"/>
        <v>636941015</v>
      </c>
      <c r="I1247" s="8">
        <f t="shared" si="2"/>
        <v>171794700</v>
      </c>
      <c r="J1247" s="8">
        <f t="shared" si="2"/>
        <v>0</v>
      </c>
      <c r="K1247" s="8">
        <f t="shared" si="2"/>
        <v>728648649</v>
      </c>
      <c r="L1247" s="8">
        <f t="shared" si="2"/>
        <v>0</v>
      </c>
      <c r="M1247" s="8">
        <f t="shared" si="2"/>
        <v>-515401</v>
      </c>
      <c r="N1247" s="8">
        <f t="shared" si="2"/>
        <v>4335822748</v>
      </c>
      <c r="O1247" s="8">
        <f t="shared" si="2"/>
        <v>0</v>
      </c>
      <c r="P1247" s="8">
        <f t="shared" si="2"/>
        <v>12239368438</v>
      </c>
      <c r="Q1247" s="1"/>
      <c r="R1247" s="1"/>
      <c r="S1247" s="1"/>
      <c r="T1247" s="1"/>
      <c r="U1247" s="1"/>
      <c r="V1247" s="6"/>
      <c r="W1247" s="6"/>
    </row>
    <row r="1248" ht="15.75" customHeight="1">
      <c r="A1248" s="10"/>
      <c r="B1248" s="10"/>
      <c r="C1248" s="1"/>
      <c r="D1248" s="10"/>
      <c r="E1248" s="11"/>
      <c r="F1248" s="17"/>
      <c r="G1248" s="11"/>
      <c r="H1248" s="1"/>
      <c r="I1248" s="2" t="s">
        <v>0</v>
      </c>
      <c r="J1248" s="2"/>
      <c r="K1248" s="2"/>
      <c r="L1248" s="2"/>
      <c r="M1248" s="5" t="s">
        <v>0</v>
      </c>
      <c r="N1248" s="1"/>
      <c r="O1248" s="1"/>
      <c r="P1248" s="1"/>
      <c r="Q1248" s="1"/>
      <c r="R1248" s="1"/>
      <c r="S1248" s="1"/>
      <c r="T1248" s="1"/>
      <c r="U1248" s="1"/>
      <c r="V1248" s="6"/>
      <c r="W1248" s="6"/>
    </row>
    <row r="1249" ht="15.75" customHeight="1">
      <c r="A1249" s="18"/>
      <c r="B1249" s="18"/>
      <c r="C1249" s="19"/>
      <c r="D1249" s="18"/>
      <c r="E1249" s="20"/>
      <c r="F1249" s="20">
        <v>1.665245866E9</v>
      </c>
      <c r="G1249" s="20">
        <v>-1.944932384E9</v>
      </c>
      <c r="H1249" s="20">
        <v>5.05616777E8</v>
      </c>
      <c r="I1249" s="20">
        <v>1.717947E8</v>
      </c>
      <c r="J1249" s="20">
        <v>0.0</v>
      </c>
      <c r="K1249" s="20">
        <v>7.28648649E8</v>
      </c>
      <c r="L1249" s="20">
        <v>0.0</v>
      </c>
      <c r="M1249" s="20">
        <v>-515401.0</v>
      </c>
      <c r="N1249" s="20">
        <v>4.758909727004E9</v>
      </c>
      <c r="O1249" s="20">
        <v>0.0</v>
      </c>
      <c r="P1249" s="19"/>
      <c r="Q1249" s="19"/>
      <c r="R1249" s="19"/>
      <c r="S1249" s="19"/>
      <c r="T1249" s="19"/>
      <c r="U1249" s="19"/>
      <c r="V1249" s="21"/>
      <c r="W1249" s="21"/>
    </row>
    <row r="1250" ht="15.75" customHeight="1">
      <c r="A1250" s="18"/>
      <c r="B1250" s="18"/>
      <c r="C1250" s="19"/>
      <c r="D1250" s="18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19"/>
      <c r="Q1250" s="19"/>
      <c r="R1250" s="19"/>
      <c r="S1250" s="19"/>
      <c r="T1250" s="19"/>
      <c r="U1250" s="19"/>
      <c r="V1250" s="21"/>
      <c r="W1250" s="21"/>
    </row>
    <row r="1251" ht="15.75" customHeight="1">
      <c r="A1251" s="22"/>
      <c r="B1251" s="22"/>
      <c r="C1251" s="23"/>
      <c r="D1251" s="22"/>
      <c r="E1251" s="24"/>
      <c r="F1251" s="25">
        <f t="shared" ref="F1251:O1251" si="3">F1247-F1249</f>
        <v>0</v>
      </c>
      <c r="G1251" s="25">
        <f t="shared" si="3"/>
        <v>-89676050</v>
      </c>
      <c r="H1251" s="25">
        <f t="shared" si="3"/>
        <v>131324238</v>
      </c>
      <c r="I1251" s="25">
        <f t="shared" si="3"/>
        <v>0</v>
      </c>
      <c r="J1251" s="25">
        <f t="shared" si="3"/>
        <v>0</v>
      </c>
      <c r="K1251" s="25">
        <f t="shared" si="3"/>
        <v>0</v>
      </c>
      <c r="L1251" s="25">
        <f t="shared" si="3"/>
        <v>0</v>
      </c>
      <c r="M1251" s="25">
        <f t="shared" si="3"/>
        <v>0</v>
      </c>
      <c r="N1251" s="25">
        <f t="shared" si="3"/>
        <v>-423086979</v>
      </c>
      <c r="O1251" s="25">
        <f t="shared" si="3"/>
        <v>0</v>
      </c>
      <c r="P1251" s="23"/>
      <c r="Q1251" s="23"/>
      <c r="R1251" s="23"/>
      <c r="S1251" s="23"/>
      <c r="T1251" s="23"/>
      <c r="U1251" s="23"/>
      <c r="V1251" s="26"/>
      <c r="W1251" s="26"/>
    </row>
    <row r="1252" ht="15.75" customHeight="1">
      <c r="A1252" s="10"/>
      <c r="B1252" s="10"/>
      <c r="C1252" s="1"/>
      <c r="D1252" s="10"/>
      <c r="E1252" s="11"/>
      <c r="F1252" s="17"/>
      <c r="G1252" s="11"/>
      <c r="H1252" s="1"/>
      <c r="I1252" s="1"/>
      <c r="J1252" s="1"/>
      <c r="K1252" s="1"/>
      <c r="L1252" s="1"/>
      <c r="M1252" s="5"/>
      <c r="N1252" s="3" t="s">
        <v>0</v>
      </c>
      <c r="O1252" s="1"/>
      <c r="P1252" s="1"/>
      <c r="Q1252" s="1"/>
      <c r="R1252" s="1"/>
      <c r="S1252" s="1"/>
      <c r="T1252" s="1"/>
      <c r="U1252" s="1"/>
      <c r="V1252" s="6"/>
      <c r="W1252" s="6"/>
    </row>
  </sheetData>
  <autoFilter ref="$A$4:$P$1245"/>
  <mergeCells count="1">
    <mergeCell ref="F3:O3"/>
  </mergeCells>
  <printOptions horizontalCentered="1"/>
  <pageMargins bottom="1.0" footer="0.0" header="0.0" left="0.7500000000000001" right="0.7500000000000001" top="1.0"/>
  <pageSetup orientation="portrait"/>
  <drawing r:id="rId1"/>
</worksheet>
</file>