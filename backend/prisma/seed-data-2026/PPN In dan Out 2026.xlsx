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davidharsamto/Desktop/"/>
    </mc:Choice>
  </mc:AlternateContent>
  <xr:revisionPtr revIDLastSave="0" documentId="13_ncr:1_{C268E15B-2058-EF48-AFB6-86297C6840E7}" xr6:coauthVersionLast="47" xr6:coauthVersionMax="47" xr10:uidLastSave="{00000000-0000-0000-0000-000000000000}"/>
  <bookViews>
    <workbookView xWindow="0" yWindow="660" windowWidth="30240" windowHeight="17700" xr2:uid="{00000000-000D-0000-FFFF-FFFF00000000}"/>
  </bookViews>
  <sheets>
    <sheet name="PpnInOut" sheetId="1" r:id="rId1"/>
  </sheets>
  <definedNames>
    <definedName name="_xlnm._FilterDatabase" localSheetId="0" hidden="1">PpnInOut!$A$1:$S$238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40" i="1" l="1"/>
  <c r="M240" i="1"/>
  <c r="L240" i="1"/>
  <c r="I240" i="1"/>
  <c r="H240" i="1"/>
  <c r="K5" i="1"/>
  <c r="K6" i="1"/>
  <c r="K13" i="1"/>
  <c r="K14" i="1"/>
  <c r="K15" i="1"/>
  <c r="K16" i="1"/>
  <c r="K17" i="1"/>
  <c r="K18" i="1"/>
  <c r="K19" i="1"/>
  <c r="K20" i="1"/>
  <c r="K21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7" i="1"/>
  <c r="K49" i="1"/>
  <c r="K50" i="1"/>
  <c r="K51" i="1"/>
  <c r="K52" i="1"/>
  <c r="K53" i="1"/>
  <c r="K54" i="1"/>
  <c r="K55" i="1"/>
  <c r="K56" i="1"/>
  <c r="K57" i="1"/>
  <c r="K58" i="1"/>
  <c r="K63" i="1"/>
  <c r="K64" i="1"/>
  <c r="K65" i="1"/>
  <c r="K66" i="1"/>
  <c r="K67" i="1"/>
  <c r="K68" i="1"/>
  <c r="K69" i="1"/>
  <c r="K71" i="1"/>
  <c r="K72" i="1"/>
  <c r="K73" i="1"/>
  <c r="K74" i="1"/>
  <c r="K75" i="1"/>
  <c r="K76" i="1"/>
  <c r="K77" i="1"/>
  <c r="K78" i="1"/>
  <c r="K81" i="1"/>
  <c r="K83" i="1"/>
  <c r="K84" i="1"/>
  <c r="K85" i="1"/>
  <c r="K86" i="1"/>
  <c r="K87" i="1"/>
  <c r="K88" i="1"/>
  <c r="K89" i="1"/>
  <c r="K90" i="1"/>
  <c r="K91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20" i="1"/>
  <c r="K121" i="1"/>
  <c r="K122" i="1"/>
  <c r="K123" i="1"/>
  <c r="K124" i="1"/>
  <c r="K129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9" i="1"/>
  <c r="K161" i="1"/>
  <c r="K162" i="1"/>
  <c r="K163" i="1"/>
  <c r="K164" i="1"/>
  <c r="K165" i="1"/>
  <c r="K166" i="1"/>
  <c r="K167" i="1"/>
  <c r="K168" i="1"/>
  <c r="K169" i="1"/>
  <c r="K175" i="1"/>
  <c r="K176" i="1"/>
  <c r="K177" i="1"/>
  <c r="K179" i="1"/>
  <c r="K181" i="1"/>
  <c r="K182" i="1"/>
  <c r="K183" i="1"/>
  <c r="K184" i="1"/>
  <c r="K185" i="1"/>
  <c r="K186" i="1"/>
  <c r="K187" i="1"/>
  <c r="K188" i="1"/>
  <c r="K189" i="1"/>
  <c r="K190" i="1"/>
  <c r="K191" i="1"/>
  <c r="K198" i="1"/>
  <c r="K199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J226" i="1"/>
  <c r="K226" i="1" s="1"/>
  <c r="J200" i="1"/>
  <c r="K200" i="1" s="1"/>
  <c r="J193" i="1"/>
  <c r="K193" i="1" s="1"/>
  <c r="J171" i="1"/>
  <c r="K171" i="1" s="1"/>
  <c r="J132" i="1"/>
  <c r="K132" i="1" s="1"/>
  <c r="J178" i="1"/>
  <c r="K178" i="1" s="1"/>
  <c r="J157" i="1"/>
  <c r="K157" i="1" s="1"/>
  <c r="J59" i="1"/>
  <c r="K59" i="1" s="1"/>
  <c r="J197" i="1"/>
  <c r="K197" i="1" s="1"/>
  <c r="J180" i="1"/>
  <c r="K180" i="1" s="1"/>
  <c r="J118" i="1"/>
  <c r="K118" i="1" s="1"/>
  <c r="J160" i="1"/>
  <c r="K160" i="1" s="1"/>
  <c r="J92" i="1"/>
  <c r="K92" i="1" s="1"/>
  <c r="J82" i="1"/>
  <c r="K82" i="1" s="1"/>
  <c r="J61" i="1"/>
  <c r="K61" i="1" s="1"/>
  <c r="J60" i="1"/>
  <c r="K60" i="1" s="1"/>
  <c r="J46" i="1"/>
  <c r="K46" i="1" s="1"/>
  <c r="J43" i="1"/>
  <c r="K43" i="1" s="1"/>
  <c r="J192" i="1"/>
  <c r="K192" i="1" s="1"/>
  <c r="J173" i="1"/>
  <c r="K173" i="1" s="1"/>
  <c r="J170" i="1"/>
  <c r="K170" i="1" s="1"/>
  <c r="J154" i="1"/>
  <c r="K154" i="1" s="1"/>
  <c r="J119" i="1"/>
  <c r="K119" i="1" s="1"/>
  <c r="J62" i="1"/>
  <c r="K62" i="1" s="1"/>
  <c r="J48" i="1"/>
  <c r="K48" i="1" s="1"/>
  <c r="J45" i="1"/>
  <c r="K45" i="1" s="1"/>
  <c r="J44" i="1"/>
  <c r="K44" i="1" s="1"/>
  <c r="J194" i="1"/>
  <c r="K194" i="1" s="1"/>
  <c r="J174" i="1"/>
  <c r="K174" i="1" s="1"/>
  <c r="J172" i="1"/>
  <c r="K172" i="1" s="1"/>
  <c r="J158" i="1"/>
  <c r="K158" i="1" s="1"/>
  <c r="J128" i="1"/>
  <c r="K128" i="1" s="1"/>
  <c r="J195" i="1"/>
  <c r="K195" i="1" s="1"/>
  <c r="J156" i="1"/>
  <c r="K156" i="1" s="1"/>
  <c r="J155" i="1"/>
  <c r="K155" i="1" s="1"/>
  <c r="J80" i="1"/>
  <c r="K80" i="1" s="1"/>
  <c r="J70" i="1"/>
  <c r="K70" i="1" s="1"/>
  <c r="J130" i="1"/>
  <c r="K130" i="1" s="1"/>
  <c r="J131" i="1"/>
  <c r="K131" i="1" s="1"/>
  <c r="J125" i="1"/>
  <c r="K125" i="1" s="1"/>
  <c r="J127" i="1"/>
  <c r="K127" i="1" s="1"/>
  <c r="J196" i="1"/>
  <c r="K196" i="1" s="1"/>
  <c r="J126" i="1"/>
  <c r="K126" i="1" s="1"/>
  <c r="J79" i="1"/>
  <c r="K79" i="1" s="1"/>
  <c r="J24" i="1"/>
  <c r="K24" i="1" s="1"/>
  <c r="J22" i="1"/>
  <c r="K22" i="1" s="1"/>
  <c r="J23" i="1"/>
  <c r="K23" i="1" s="1"/>
  <c r="J10" i="1"/>
  <c r="K10" i="1" s="1"/>
  <c r="J9" i="1"/>
  <c r="K9" i="1" s="1"/>
  <c r="J8" i="1"/>
  <c r="K8" i="1" s="1"/>
  <c r="J7" i="1"/>
  <c r="K7" i="1" s="1"/>
  <c r="J3" i="1"/>
  <c r="K3" i="1" s="1"/>
  <c r="J2" i="1"/>
  <c r="K2" i="1" s="1"/>
  <c r="J11" i="1"/>
  <c r="K11" i="1" s="1"/>
  <c r="J12" i="1"/>
  <c r="K12" i="1" s="1"/>
  <c r="J4" i="1"/>
  <c r="K4" i="1" s="1"/>
  <c r="O3" i="1"/>
  <c r="O4" i="1" s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O25" i="1" s="1"/>
  <c r="O26" i="1" s="1"/>
  <c r="O27" i="1" s="1"/>
  <c r="O28" i="1" s="1"/>
  <c r="O29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O87" i="1" s="1"/>
  <c r="O88" i="1" s="1"/>
  <c r="O89" i="1" s="1"/>
  <c r="O90" i="1" s="1"/>
  <c r="O91" i="1" s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118" i="1" s="1"/>
  <c r="O119" i="1" s="1"/>
  <c r="O120" i="1" s="1"/>
  <c r="O121" i="1" s="1"/>
  <c r="O122" i="1" s="1"/>
  <c r="O123" i="1" s="1"/>
  <c r="O124" i="1" s="1"/>
  <c r="O125" i="1" s="1"/>
  <c r="O126" i="1" s="1"/>
  <c r="O127" i="1" s="1"/>
  <c r="O128" i="1" s="1"/>
  <c r="O129" i="1" s="1"/>
  <c r="O130" i="1" s="1"/>
  <c r="O131" i="1" s="1"/>
  <c r="O132" i="1" s="1"/>
  <c r="O133" i="1" s="1"/>
  <c r="O134" i="1" s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O147" i="1" s="1"/>
  <c r="O148" i="1" s="1"/>
  <c r="O149" i="1" s="1"/>
  <c r="O150" i="1" s="1"/>
  <c r="O151" i="1" s="1"/>
  <c r="O152" i="1" s="1"/>
  <c r="O153" i="1" s="1"/>
  <c r="O154" i="1" s="1"/>
  <c r="O155" i="1" s="1"/>
  <c r="O156" i="1" s="1"/>
  <c r="O157" i="1" s="1"/>
  <c r="O158" i="1" s="1"/>
  <c r="O159" i="1" s="1"/>
  <c r="O160" i="1" s="1"/>
  <c r="O161" i="1" s="1"/>
  <c r="O162" i="1" s="1"/>
  <c r="O163" i="1" s="1"/>
  <c r="O164" i="1" s="1"/>
  <c r="O165" i="1" s="1"/>
  <c r="O166" i="1" s="1"/>
  <c r="O167" i="1" s="1"/>
  <c r="O168" i="1" s="1"/>
  <c r="O169" i="1" s="1"/>
  <c r="O170" i="1" s="1"/>
  <c r="O171" i="1" s="1"/>
  <c r="O172" i="1" s="1"/>
  <c r="O173" i="1" s="1"/>
  <c r="O174" i="1" s="1"/>
  <c r="O175" i="1" s="1"/>
  <c r="O176" i="1" s="1"/>
  <c r="O177" i="1" s="1"/>
  <c r="O178" i="1" s="1"/>
  <c r="O179" i="1" s="1"/>
  <c r="O180" i="1" s="1"/>
  <c r="O181" i="1" s="1"/>
  <c r="O182" i="1" s="1"/>
  <c r="O183" i="1" s="1"/>
  <c r="O184" i="1" s="1"/>
  <c r="O185" i="1" s="1"/>
  <c r="O186" i="1" s="1"/>
  <c r="O187" i="1" s="1"/>
  <c r="O188" i="1" s="1"/>
  <c r="O189" i="1" s="1"/>
  <c r="O190" i="1" s="1"/>
  <c r="O191" i="1" s="1"/>
  <c r="O192" i="1" s="1"/>
  <c r="O193" i="1" s="1"/>
  <c r="O194" i="1" s="1"/>
  <c r="O195" i="1" s="1"/>
  <c r="O196" i="1" s="1"/>
  <c r="O197" i="1" s="1"/>
  <c r="O198" i="1" s="1"/>
  <c r="O199" i="1" s="1"/>
  <c r="O200" i="1" s="1"/>
  <c r="O201" i="1" s="1"/>
  <c r="O202" i="1" s="1"/>
  <c r="O203" i="1" s="1"/>
  <c r="O204" i="1" s="1"/>
  <c r="O205" i="1" s="1"/>
  <c r="O206" i="1" s="1"/>
  <c r="O207" i="1" s="1"/>
  <c r="O208" i="1" s="1"/>
  <c r="O209" i="1" s="1"/>
  <c r="O210" i="1" s="1"/>
  <c r="O211" i="1" s="1"/>
  <c r="O212" i="1" s="1"/>
  <c r="O213" i="1" s="1"/>
  <c r="O214" i="1" s="1"/>
  <c r="O215" i="1" s="1"/>
  <c r="O216" i="1" s="1"/>
  <c r="O217" i="1" s="1"/>
  <c r="O218" i="1" s="1"/>
  <c r="O219" i="1" s="1"/>
  <c r="O220" i="1" s="1"/>
  <c r="O221" i="1" s="1"/>
  <c r="O222" i="1" s="1"/>
  <c r="O223" i="1" s="1"/>
  <c r="O224" i="1" s="1"/>
  <c r="O225" i="1" s="1"/>
  <c r="O226" i="1" s="1"/>
  <c r="O227" i="1" s="1"/>
  <c r="O228" i="1" s="1"/>
  <c r="O229" i="1" s="1"/>
  <c r="O230" i="1" s="1"/>
  <c r="O231" i="1" s="1"/>
  <c r="O232" i="1" s="1"/>
  <c r="O233" i="1" s="1"/>
  <c r="O234" i="1" s="1"/>
  <c r="O235" i="1" s="1"/>
  <c r="O236" i="1" s="1"/>
  <c r="O237" i="1" s="1"/>
  <c r="O238" i="1" s="1"/>
  <c r="K240" i="1" l="1"/>
  <c r="J240" i="1"/>
</calcChain>
</file>

<file path=xl/sharedStrings.xml><?xml version="1.0" encoding="utf-8"?>
<sst xmlns="http://schemas.openxmlformats.org/spreadsheetml/2006/main" count="1203" uniqueCount="551">
  <si>
    <t>NO FAKTUR</t>
  </si>
  <si>
    <t>INVOICE NO</t>
  </si>
  <si>
    <t>STATUS</t>
  </si>
  <si>
    <t>PPN</t>
  </si>
  <si>
    <t>WAPU</t>
  </si>
  <si>
    <t>PAID</t>
  </si>
  <si>
    <t>AP PPN WAPU</t>
  </si>
  <si>
    <t>BLANK</t>
  </si>
  <si>
    <t>NON WAPU</t>
  </si>
  <si>
    <t>MASUKAN</t>
  </si>
  <si>
    <t>AP PPN NON WAPU</t>
  </si>
  <si>
    <t>LEDGER</t>
  </si>
  <si>
    <t>SUB LEDGER-1</t>
  </si>
  <si>
    <t>SUB LEDGER-2</t>
  </si>
  <si>
    <t>SUB LEDGER-3</t>
  </si>
  <si>
    <t>PPn Keluaran - WAPU</t>
  </si>
  <si>
    <t>PPn Keluaran - NON WAPU</t>
  </si>
  <si>
    <t>PPn Masukan</t>
  </si>
  <si>
    <t>03002600006130338</t>
  </si>
  <si>
    <t>03002600006119980</t>
  </si>
  <si>
    <t>03002600002460773</t>
  </si>
  <si>
    <t>04002600021038751</t>
  </si>
  <si>
    <t>04002600021021629</t>
  </si>
  <si>
    <t>03002600007518750</t>
  </si>
  <si>
    <t>03002600007542502</t>
  </si>
  <si>
    <t>03002600007556571</t>
  </si>
  <si>
    <t>03002600007576072</t>
  </si>
  <si>
    <t>03002600005756042</t>
  </si>
  <si>
    <t>03002600003269329</t>
  </si>
  <si>
    <t>04002600004760737</t>
  </si>
  <si>
    <t>04002600033444298</t>
  </si>
  <si>
    <t>05002600025704437</t>
  </si>
  <si>
    <t>04002600012548254</t>
  </si>
  <si>
    <t>04002600004062900</t>
  </si>
  <si>
    <t>04002600000144520</t>
  </si>
  <si>
    <t>2600000364-040</t>
  </si>
  <si>
    <t>04002600056843006</t>
  </si>
  <si>
    <t>04002600061186023</t>
  </si>
  <si>
    <t>03002600027267738</t>
  </si>
  <si>
    <t>03002600027216670</t>
  </si>
  <si>
    <t>03002600029644959</t>
  </si>
  <si>
    <t>04002600061153521</t>
  </si>
  <si>
    <t>04002600039478944</t>
  </si>
  <si>
    <t>04002600039222297</t>
  </si>
  <si>
    <t>04002600061233164</t>
  </si>
  <si>
    <t>04002600061137246</t>
  </si>
  <si>
    <t>04002600034321172</t>
  </si>
  <si>
    <t>04002600023750229</t>
  </si>
  <si>
    <t>04002600063954459</t>
  </si>
  <si>
    <t>04002600033422601</t>
  </si>
  <si>
    <t>04002600034205284</t>
  </si>
  <si>
    <t>05002600099324269</t>
  </si>
  <si>
    <t>04002600035104209</t>
  </si>
  <si>
    <t>05002600079846723</t>
  </si>
  <si>
    <t>05002600079846738</t>
  </si>
  <si>
    <t>05002600051528713</t>
  </si>
  <si>
    <t>05002600051528691</t>
  </si>
  <si>
    <t>2600017312-040</t>
  </si>
  <si>
    <t>05002600056828115</t>
  </si>
  <si>
    <t>03002600075089118</t>
  </si>
  <si>
    <t>03002600089155236</t>
  </si>
  <si>
    <t>03002600067917701</t>
  </si>
  <si>
    <t>03002600077730445</t>
  </si>
  <si>
    <t>03002600094884481</t>
  </si>
  <si>
    <t>03002600089662540</t>
  </si>
  <si>
    <t>04002600086910607</t>
  </si>
  <si>
    <t>05002600086788278</t>
  </si>
  <si>
    <t>03002600075444180</t>
  </si>
  <si>
    <t>04002600067723679</t>
  </si>
  <si>
    <t>04002600088112134</t>
  </si>
  <si>
    <t>04002600118798079</t>
  </si>
  <si>
    <t>04002600087782255</t>
  </si>
  <si>
    <t>04002600087275884</t>
  </si>
  <si>
    <t>05002600130864241</t>
  </si>
  <si>
    <t>2600032756-040</t>
  </si>
  <si>
    <t>03002600144589550</t>
  </si>
  <si>
    <t>03002600144573861</t>
  </si>
  <si>
    <t>03002600132628316</t>
  </si>
  <si>
    <t>03002600131308991</t>
  </si>
  <si>
    <t>05002600150300554</t>
  </si>
  <si>
    <t>05002600150295144</t>
  </si>
  <si>
    <t>05002600150291749</t>
  </si>
  <si>
    <t>05002600150286629</t>
  </si>
  <si>
    <t>04002600149030452</t>
  </si>
  <si>
    <t>05002600148909128</t>
  </si>
  <si>
    <t>05002600147046234</t>
  </si>
  <si>
    <t>03002600134675706</t>
  </si>
  <si>
    <t>05002600146716213</t>
  </si>
  <si>
    <t>04002600146611321</t>
  </si>
  <si>
    <t>04002600146608396</t>
  </si>
  <si>
    <t>04002600146604501</t>
  </si>
  <si>
    <t>04002600146594854</t>
  </si>
  <si>
    <t>04002600146586924</t>
  </si>
  <si>
    <t>04002600146574810</t>
  </si>
  <si>
    <t>04002600146558357</t>
  </si>
  <si>
    <t>03002600142800553</t>
  </si>
  <si>
    <t>03002600134746560</t>
  </si>
  <si>
    <t>04002600134537074</t>
  </si>
  <si>
    <t>03002600129711751</t>
  </si>
  <si>
    <t>04002600130913466</t>
  </si>
  <si>
    <t>04002600130900455</t>
  </si>
  <si>
    <t>04002600130869001</t>
  </si>
  <si>
    <t>04002600130821231</t>
  </si>
  <si>
    <t>05002600120026677</t>
  </si>
  <si>
    <t>05002600117374779</t>
  </si>
  <si>
    <t>05002600117350190</t>
  </si>
  <si>
    <t>05002600117273443</t>
  </si>
  <si>
    <t>04002600117130639</t>
  </si>
  <si>
    <t>03002600116880314</t>
  </si>
  <si>
    <t>05002600114057457</t>
  </si>
  <si>
    <t>04002600113033903</t>
  </si>
  <si>
    <t>04002600108083947</t>
  </si>
  <si>
    <t>04002600114585362</t>
  </si>
  <si>
    <t>04002600117585932</t>
  </si>
  <si>
    <t>04002600118793651</t>
  </si>
  <si>
    <t>04002600118793652</t>
  </si>
  <si>
    <t>04002600118793658</t>
  </si>
  <si>
    <t>04002600118793656</t>
  </si>
  <si>
    <t>04002600118793660</t>
  </si>
  <si>
    <t>04002600118793669</t>
  </si>
  <si>
    <t>04002600118793670</t>
  </si>
  <si>
    <t>04002600118793667</t>
  </si>
  <si>
    <t>04002600118793664</t>
  </si>
  <si>
    <t>04002600118793662</t>
  </si>
  <si>
    <t>04002600118793661</t>
  </si>
  <si>
    <t>04002600118793668</t>
  </si>
  <si>
    <t>05002600142820749</t>
  </si>
  <si>
    <t>05002600142820751</t>
  </si>
  <si>
    <t>05002600142820750</t>
  </si>
  <si>
    <t>04002600149188800</t>
  </si>
  <si>
    <t>04002600154349896</t>
  </si>
  <si>
    <t>05002600172588764</t>
  </si>
  <si>
    <t>05002600172588768</t>
  </si>
  <si>
    <t>2600050685-040</t>
  </si>
  <si>
    <t>03002600155721136</t>
  </si>
  <si>
    <t>03002600156816597</t>
  </si>
  <si>
    <t>05012600166373736</t>
  </si>
  <si>
    <t>03002600157626124</t>
  </si>
  <si>
    <t>05012600157516557</t>
  </si>
  <si>
    <t>05012600180882429</t>
  </si>
  <si>
    <t>05012600180955562</t>
  </si>
  <si>
    <t>03002600189617220</t>
  </si>
  <si>
    <t>03002600189690175</t>
  </si>
  <si>
    <t>03002600189590159</t>
  </si>
  <si>
    <t>03002600186789646</t>
  </si>
  <si>
    <t>03002600192780629</t>
  </si>
  <si>
    <t>03002600189675504</t>
  </si>
  <si>
    <t>03002600189658725</t>
  </si>
  <si>
    <t>03002600160648690</t>
  </si>
  <si>
    <t>03002600153899949</t>
  </si>
  <si>
    <t>04002600154034861</t>
  </si>
  <si>
    <t>04002600158321736</t>
  </si>
  <si>
    <t>04002600181130177</t>
  </si>
  <si>
    <t>04002600193782579</t>
  </si>
  <si>
    <t>04002600195266055</t>
  </si>
  <si>
    <t>04002600202602197</t>
  </si>
  <si>
    <t>04002600162060988</t>
  </si>
  <si>
    <t>04002600167805858</t>
  </si>
  <si>
    <t>05002600227042135</t>
  </si>
  <si>
    <t>2600067549-040</t>
  </si>
  <si>
    <t>03002600237228114</t>
  </si>
  <si>
    <t>03002600235400077</t>
  </si>
  <si>
    <t>03002600202461835</t>
  </si>
  <si>
    <t>03002600201799577</t>
  </si>
  <si>
    <t>03002600201780978</t>
  </si>
  <si>
    <t>03002600197619779</t>
  </si>
  <si>
    <t>03002600208678433</t>
  </si>
  <si>
    <t>03002600221867376</t>
  </si>
  <si>
    <t>03002600197733883</t>
  </si>
  <si>
    <t>04002600253341142</t>
  </si>
  <si>
    <t>03002600235999647</t>
  </si>
  <si>
    <t>03002600235338313</t>
  </si>
  <si>
    <t>03002600235302187</t>
  </si>
  <si>
    <t>03002600235267252</t>
  </si>
  <si>
    <t>03002600235346238</t>
  </si>
  <si>
    <t>05012600235087928</t>
  </si>
  <si>
    <t>03002600202537013</t>
  </si>
  <si>
    <t>04002600198461240</t>
  </si>
  <si>
    <t>04002600212108741</t>
  </si>
  <si>
    <t>05002600215865027</t>
  </si>
  <si>
    <t>05002600215865030</t>
  </si>
  <si>
    <t>05002600215865031</t>
  </si>
  <si>
    <t>05002600255291159</t>
  </si>
  <si>
    <t>05002600255291157</t>
  </si>
  <si>
    <t>04002600218819464</t>
  </si>
  <si>
    <t>2600085496-040</t>
  </si>
  <si>
    <t>03002600284642913</t>
  </si>
  <si>
    <t>03002600284071733</t>
  </si>
  <si>
    <t>03002600278015069</t>
  </si>
  <si>
    <t>03002600271317574</t>
  </si>
  <si>
    <t>03002600271480572</t>
  </si>
  <si>
    <t>05002600269753607</t>
  </si>
  <si>
    <t>05002600269693963</t>
  </si>
  <si>
    <t>04002600268705587</t>
  </si>
  <si>
    <t>03002600268081636</t>
  </si>
  <si>
    <t>03002600261455764</t>
  </si>
  <si>
    <t>03002600246374513</t>
  </si>
  <si>
    <t>05002600244892923</t>
  </si>
  <si>
    <t>05002600244866070</t>
  </si>
  <si>
    <t>05002600244846192</t>
  </si>
  <si>
    <t>05002600244807519</t>
  </si>
  <si>
    <t>05002600244769322</t>
  </si>
  <si>
    <t>04002600297601491</t>
  </si>
  <si>
    <t>04002600285664653</t>
  </si>
  <si>
    <t>2600110285-040</t>
  </si>
  <si>
    <t>05002600254275946</t>
  </si>
  <si>
    <t>04002600245683472</t>
  </si>
  <si>
    <t>04002600257930381</t>
  </si>
  <si>
    <t>03002600335213291</t>
  </si>
  <si>
    <t>03002600329015370</t>
  </si>
  <si>
    <t>03002600334147891</t>
  </si>
  <si>
    <t>03002600334141249</t>
  </si>
  <si>
    <t>03002600334136934</t>
  </si>
  <si>
    <t>03002600297381695</t>
  </si>
  <si>
    <t>04002600375592755</t>
  </si>
  <si>
    <t>03002600310873505</t>
  </si>
  <si>
    <t>03002600310287967</t>
  </si>
  <si>
    <t>03002600309061311</t>
  </si>
  <si>
    <t>03002600298132445</t>
  </si>
  <si>
    <t>03002600297700038</t>
  </si>
  <si>
    <t>04002600375653494</t>
  </si>
  <si>
    <t>04002600298384625</t>
  </si>
  <si>
    <t>04002600299604562</t>
  </si>
  <si>
    <t>04002600312529814</t>
  </si>
  <si>
    <t>2600126943-040</t>
  </si>
  <si>
    <t>04002600300330217</t>
  </si>
  <si>
    <t>04002600301080214</t>
  </si>
  <si>
    <t>04002600302385652</t>
  </si>
  <si>
    <t>04002600370166478</t>
  </si>
  <si>
    <t>04002600370166482</t>
  </si>
  <si>
    <t>05002600370166462</t>
  </si>
  <si>
    <t>04002600360673187</t>
  </si>
  <si>
    <t>04002600360672636</t>
  </si>
  <si>
    <t>03002600377363945</t>
  </si>
  <si>
    <t>04002600375142040</t>
  </si>
  <si>
    <t>04002600375122836</t>
  </si>
  <si>
    <t>03002600368216814</t>
  </si>
  <si>
    <t>05002600360790924</t>
  </si>
  <si>
    <t>05002600360790926</t>
  </si>
  <si>
    <t>05002600360790928</t>
  </si>
  <si>
    <t>04002600359941855</t>
  </si>
  <si>
    <t>03002600355612396</t>
  </si>
  <si>
    <t>03002600347739657</t>
  </si>
  <si>
    <t>04002600347286823</t>
  </si>
  <si>
    <t>03002600347109756</t>
  </si>
  <si>
    <t>04002600379020278</t>
  </si>
  <si>
    <t>04002600378378938</t>
  </si>
  <si>
    <t>04002600372091380</t>
  </si>
  <si>
    <t>04002600368822150</t>
  </si>
  <si>
    <t>04002600368822149</t>
  </si>
  <si>
    <t>04002600362922534</t>
  </si>
  <si>
    <t>04002600358163241</t>
  </si>
  <si>
    <t>04002600358119175</t>
  </si>
  <si>
    <t>04002600347522385</t>
  </si>
  <si>
    <t>2600154927-040</t>
  </si>
  <si>
    <t>Bank Syariah Indonesia, PT</t>
  </si>
  <si>
    <t>Profesional Telekomunikasi Indonesia</t>
  </si>
  <si>
    <t>Jimmy Tanal, SH</t>
  </si>
  <si>
    <t>Asia Utama Konsultan</t>
  </si>
  <si>
    <t>Bina mitra Sehati</t>
  </si>
  <si>
    <t>Dhost Telekomunikasi Nusantara</t>
  </si>
  <si>
    <t>Redpod Indonesia</t>
  </si>
  <si>
    <t>Hariff Daya Tunggal Engineering</t>
  </si>
  <si>
    <t>Satu Visi Produktama</t>
  </si>
  <si>
    <t>Gihon Telekomunikasi Indonesia Tbk</t>
  </si>
  <si>
    <t>MDP Persada Nusantara</t>
  </si>
  <si>
    <t>Twin Digital Printing</t>
  </si>
  <si>
    <t>Pacto</t>
  </si>
  <si>
    <t>Pantravel</t>
  </si>
  <si>
    <t>Abhimata Citra Abadi</t>
  </si>
  <si>
    <t>Trimegah Asset Management</t>
  </si>
  <si>
    <t>Development Serviced Office Indonesia One</t>
  </si>
  <si>
    <t>Pusat Pengelolaan Komplek Gelanggang Olahraga Bunhg Karnjo (BLU) Sekretariat Negara Kementrian Sekretariat Negara</t>
  </si>
  <si>
    <t>Centratama Menara Indonesia</t>
  </si>
  <si>
    <t>Tower Bersama Group, PT</t>
  </si>
  <si>
    <t>MAC Sarana Djaya</t>
  </si>
  <si>
    <t>Aiti Mitra Utama</t>
  </si>
  <si>
    <t>Exabytes Network Indonesia</t>
  </si>
  <si>
    <t>Trimegah Sekuritas Indonesia Tbk, PT</t>
  </si>
  <si>
    <t>Sumber Mulia Hasil Guna</t>
  </si>
  <si>
    <t>Home Center Indonesia Retail</t>
  </si>
  <si>
    <t>Ekamas mora Republik</t>
  </si>
  <si>
    <t>Asuransi Kredit Indonesia</t>
  </si>
  <si>
    <t>PLN Indonesia Power</t>
  </si>
  <si>
    <t>Iforte Solusi Infotek</t>
  </si>
  <si>
    <t>EKAMAS MORA REPUBLIK</t>
  </si>
  <si>
    <t>ASIA UTAMA KONSULTAN</t>
  </si>
  <si>
    <t>PACTO</t>
  </si>
  <si>
    <t>TWIN DIGITAL PRINTING</t>
  </si>
  <si>
    <t>201/006/PCMI/AR/I/2026</t>
  </si>
  <si>
    <t>200/005/PCMI/AR/I/2026</t>
  </si>
  <si>
    <t>197/002/PCMI/AR/I/2026</t>
  </si>
  <si>
    <t>207/013/PCMI/AR/I/2026</t>
  </si>
  <si>
    <t>206/012/PCMI/AR/I/2026</t>
  </si>
  <si>
    <t>202/007/PCMI/AR/I/2026</t>
  </si>
  <si>
    <t>203/008/PCMI/AR/I/2026</t>
  </si>
  <si>
    <t>204/009/PCMI/AR/I/2026</t>
  </si>
  <si>
    <t>205/010/PCMI/AR/I/2026</t>
  </si>
  <si>
    <t>199/004/PCMI/AR/I/2026</t>
  </si>
  <si>
    <t>198/003/PCMI/AR/I/2026</t>
  </si>
  <si>
    <t>OSC/I/2026/R0157</t>
  </si>
  <si>
    <t>53/JTN/I/2026</t>
  </si>
  <si>
    <t>INVOICE 100547</t>
  </si>
  <si>
    <t>Evaluasi Psikologi</t>
  </si>
  <si>
    <t>SEWA RUANG KANTOR - JANUARI 2026</t>
  </si>
  <si>
    <t>260100101752</t>
  </si>
  <si>
    <t>Internet Desember 2025</t>
  </si>
  <si>
    <t>110/PCMI/AR/II/2026</t>
  </si>
  <si>
    <t>112/PCMI/AR/II/2026</t>
  </si>
  <si>
    <t>017/PCMI/AR/II/2026</t>
  </si>
  <si>
    <t>016/PCMI/AR/II/2026</t>
  </si>
  <si>
    <t>018/PCMI/AR/II/2026</t>
  </si>
  <si>
    <t>87/PCMI/AR/II/2026</t>
  </si>
  <si>
    <t>105/PCMI/AR/II/2026</t>
  </si>
  <si>
    <t>03/PCMI/AR/II/2026</t>
  </si>
  <si>
    <t>114/PCMI/AR/II/2026</t>
  </si>
  <si>
    <t>98/PCMI/AR/II/2026</t>
  </si>
  <si>
    <t>Pengadaan Tenda Sarnafil Kerucut</t>
  </si>
  <si>
    <t>260200101880</t>
  </si>
  <si>
    <t>INV/2026/06928</t>
  </si>
  <si>
    <t>OSC/II/2026/R0155</t>
  </si>
  <si>
    <t>Invoice No : 45004</t>
  </si>
  <si>
    <t>SEWA RUANG KANTOR - FEBRUARI 2026</t>
  </si>
  <si>
    <t>Invoice No : 003/05/II/2026</t>
  </si>
  <si>
    <t>Invoice No : 005/05/II/2026</t>
  </si>
  <si>
    <t>Invoice No : 45000</t>
  </si>
  <si>
    <t>Invoice No : 45001</t>
  </si>
  <si>
    <t>Internet Januari 2026</t>
  </si>
  <si>
    <t>Invoice 100559</t>
  </si>
  <si>
    <t>81/PCMI/AR/IV/2026</t>
  </si>
  <si>
    <t>132/PCMI/AR/IV/2026</t>
  </si>
  <si>
    <t>92/PCMI/AR/III/2026</t>
  </si>
  <si>
    <t>95/PCMI/AR/IV/2026</t>
  </si>
  <si>
    <t>44/PCMI/AR/III/2026</t>
  </si>
  <si>
    <t>96/PCMI/AR/III/2026</t>
  </si>
  <si>
    <t>136/PCMI/AR/IV/2026</t>
  </si>
  <si>
    <t>131/PCMI/AR/IV/2026</t>
  </si>
  <si>
    <t xml:space="preserve">76/PCMI/AR/IV/2026 </t>
  </si>
  <si>
    <t>7277/1</t>
  </si>
  <si>
    <t>SEWA RUANG KANTOR - MARET 2026</t>
  </si>
  <si>
    <t>260300101665</t>
  </si>
  <si>
    <t>Sewa Lahan RingRoad GBK</t>
  </si>
  <si>
    <t>OSC/III/2026/R0155</t>
  </si>
  <si>
    <t>Invoice No : 45105</t>
  </si>
  <si>
    <t>Internet Februari 2026</t>
  </si>
  <si>
    <t>153/252/PCMI/AR/IV/2026</t>
  </si>
  <si>
    <t>114/251/PCMI/AR/IV/2026</t>
  </si>
  <si>
    <t>121/245/PCMI/AR/IV/2026</t>
  </si>
  <si>
    <t>108/243/PCMI/AR/IV/2026</t>
  </si>
  <si>
    <t>171/266/PCMI/AR/IV/2026</t>
  </si>
  <si>
    <t>170/265/PCMI/AR/IV/2026</t>
  </si>
  <si>
    <t>169/264/PCMI/AR/IV/2026</t>
  </si>
  <si>
    <t>168/263/PCMI/AR/IV/2026</t>
  </si>
  <si>
    <t>145/263/PCMI/AR/IV/2026</t>
  </si>
  <si>
    <t>167/262/PCMI/AR/IV/2026</t>
  </si>
  <si>
    <t>139/261/PCMI/AR/IV/2026</t>
  </si>
  <si>
    <t>58/248/PCMI/AR/IV/2026</t>
  </si>
  <si>
    <t>90/260/PCMI/AR/IV/2026</t>
  </si>
  <si>
    <t>165/259/PCMI/AR/IV/2026</t>
  </si>
  <si>
    <t>164/258/PCMI/AR/IV/2026</t>
  </si>
  <si>
    <t>163/257/PCMI/AR/IV/2026</t>
  </si>
  <si>
    <t>162/256/PCMI/AR/IV/2026</t>
  </si>
  <si>
    <t>161/255/PCMI/AR/IV/2026</t>
  </si>
  <si>
    <t>160/254/PCMI/AR/IV/2026</t>
  </si>
  <si>
    <t>159/253/PCMI/AR/IV/2026</t>
  </si>
  <si>
    <t>42/250/PCMI/AR/IV/2026</t>
  </si>
  <si>
    <t>68/249/PCMI/AR/IV/2026</t>
  </si>
  <si>
    <t>152/246/PCMI/AR/IV/2026</t>
  </si>
  <si>
    <t>138/238/PCMI/AR/IV/2026</t>
  </si>
  <si>
    <t>143/242/PCMI/AR/IV/2026</t>
  </si>
  <si>
    <t>142/241/PCMI/AR/IV/2026</t>
  </si>
  <si>
    <t>141/240/PCMI/AR/IV/2026</t>
  </si>
  <si>
    <t>140/239/PCMI/AR/IV/2026</t>
  </si>
  <si>
    <t>237/128/PCMI/AR/IV/2026</t>
  </si>
  <si>
    <t>236/125/PCMI/AR/IV/2026</t>
  </si>
  <si>
    <t>235/124/PCMI/AR/IV/2026</t>
  </si>
  <si>
    <t>234/123/PCMI/AR/IV/2026</t>
  </si>
  <si>
    <t>225/14/PCMI/AR/I/2026</t>
  </si>
  <si>
    <t>233/118/PCMI/AR/IV/2026</t>
  </si>
  <si>
    <t>231/78/PCMI/AR/IV/2026</t>
  </si>
  <si>
    <t>230/101/PCMI/AR/IV/2026</t>
  </si>
  <si>
    <t>260400101963</t>
  </si>
  <si>
    <t>7277/12</t>
  </si>
  <si>
    <t>ID-PAID-20441414</t>
  </si>
  <si>
    <t>7277/36</t>
  </si>
  <si>
    <t>7277/22</t>
  </si>
  <si>
    <t>7277/28</t>
  </si>
  <si>
    <t>7277/34</t>
  </si>
  <si>
    <t>7277/30</t>
  </si>
  <si>
    <t>7277/32</t>
  </si>
  <si>
    <t>7277/26</t>
  </si>
  <si>
    <t>7277/16</t>
  </si>
  <si>
    <t>Invoice No : 45212</t>
  </si>
  <si>
    <t>7277/24</t>
  </si>
  <si>
    <t>7277/20</t>
  </si>
  <si>
    <t>Invoice No : 45203</t>
  </si>
  <si>
    <t>INVOICE 100585</t>
  </si>
  <si>
    <t>INVOICE 100583</t>
  </si>
  <si>
    <t>INVOICE 100584</t>
  </si>
  <si>
    <t>208/JTN/IV/2026</t>
  </si>
  <si>
    <t>OSC/IV/2026/R0201</t>
  </si>
  <si>
    <t>7277/38</t>
  </si>
  <si>
    <t>7277/18</t>
  </si>
  <si>
    <t>Internet Maret 2026</t>
  </si>
  <si>
    <t>150/267/PCMI/AR/IV/2026</t>
  </si>
  <si>
    <t>109/268/PCMI/AR/V/2026</t>
  </si>
  <si>
    <t>178/273/PCMI/AR/V/2026</t>
  </si>
  <si>
    <t>174/270/PCMI/AR/V/2026</t>
  </si>
  <si>
    <t>156/269/PCMI/AR/V/2026</t>
  </si>
  <si>
    <t>181/274/PCMI/AR/V/2026</t>
  </si>
  <si>
    <t>182/275/PCMI/AR/V/2026</t>
  </si>
  <si>
    <t>051/280/PCMI/AR/V/2026</t>
  </si>
  <si>
    <t>046/284/PCMI/AR/V/2026</t>
  </si>
  <si>
    <t>050/279/PCMI/AR/V/2026</t>
  </si>
  <si>
    <t>079/276/PCMI/AR/V/2026</t>
  </si>
  <si>
    <t>099/286/PCMI/AR/V/2026</t>
  </si>
  <si>
    <t>056/283/PCMI/AR/V/2026</t>
  </si>
  <si>
    <t>055/282/PCMI/AR/V/2026</t>
  </si>
  <si>
    <t>175/272/PCMI/AR/V/2026</t>
  </si>
  <si>
    <t>144/244/PCMI/AR/IV/2026</t>
  </si>
  <si>
    <t>260500101803</t>
  </si>
  <si>
    <t>NO. FAKTUR : #294-9125</t>
  </si>
  <si>
    <t>NO. FAKTUR : #294-9174</t>
  </si>
  <si>
    <t>U45.3.20260518.5</t>
  </si>
  <si>
    <t>SEWA RUANG KANTOR - BULAN MEI 2026</t>
  </si>
  <si>
    <t>ID-PAID-20451661</t>
  </si>
  <si>
    <t>OSC/V/2026/S0001</t>
  </si>
  <si>
    <t>OSC/V/2026/R0154</t>
  </si>
  <si>
    <t>Invoice No : 45309</t>
  </si>
  <si>
    <t>Internet April 2026</t>
  </si>
  <si>
    <t>191/302/PCMI/AR/VI/2026</t>
  </si>
  <si>
    <t>60/300/PCMI/AR/VI/2026</t>
  </si>
  <si>
    <t>137/292/PCMI/AR/V/2026</t>
  </si>
  <si>
    <t>116/238/PCMI/AR/IV/2026</t>
  </si>
  <si>
    <t>094/232/PCMI/AR/IV/2026</t>
  </si>
  <si>
    <t>158/287/PCMI/AR/VI/2026</t>
  </si>
  <si>
    <t xml:space="preserve"> 072/271/PCMI/AR/V/2026</t>
  </si>
  <si>
    <t>172/294/PCMI/AR/VI/2026</t>
  </si>
  <si>
    <t>129/288/PCMI/AR/VI/2026</t>
  </si>
  <si>
    <t>183/301/PCMI/AR/VI/2026</t>
  </si>
  <si>
    <t>62/298/PCMI/AR/VI/2026</t>
  </si>
  <si>
    <t>63/297/PCMI/AR/VI/2026</t>
  </si>
  <si>
    <t>154/296/PCMI/AR/VI/2026</t>
  </si>
  <si>
    <t>73/299/PCMI/AR/VI/2026</t>
  </si>
  <si>
    <t>131/295/PCMI/AR/VI/2026</t>
  </si>
  <si>
    <t>127/293/PCMI/AR/VI/2026</t>
  </si>
  <si>
    <t>260600101586</t>
  </si>
  <si>
    <t>SEWA RUANG KANTOR - BULAN JUNI 2026</t>
  </si>
  <si>
    <t>INVOICE 100612</t>
  </si>
  <si>
    <t>INVOICE 100611</t>
  </si>
  <si>
    <t>INVOICE 100610</t>
  </si>
  <si>
    <t>Invoice No : 45421</t>
  </si>
  <si>
    <t>Invoice No : 45422</t>
  </si>
  <si>
    <t>OSC/VI/2026/R0150</t>
  </si>
  <si>
    <t>Internet Mei 2026</t>
  </si>
  <si>
    <t>99/286/PCMI/AR/V/2026</t>
  </si>
  <si>
    <t>189/315/PCMI/AR/VII/2026</t>
  </si>
  <si>
    <t>70/247/PCMI/AR/IV/2026</t>
  </si>
  <si>
    <t>088/278/PCMI/AR/V/2026</t>
  </si>
  <si>
    <t>080/313/PCMI/AR/VII/2026</t>
  </si>
  <si>
    <t>201/312/PCMI/AR/VII/2026</t>
  </si>
  <si>
    <t>200/311/PCMI/AR/VII/2026</t>
  </si>
  <si>
    <t>186/310/PCMI/AR/VII/2026</t>
  </si>
  <si>
    <t>151/289/PCMI/AR/VI/2026</t>
  </si>
  <si>
    <t>135/309/PCMI/AR/VII/2026</t>
  </si>
  <si>
    <t>196/307/PCMI/AR/VII/2026</t>
  </si>
  <si>
    <t>195/306/PCMI/AR/VII/2026</t>
  </si>
  <si>
    <t>194/305/PCMI/AR/VII/2026</t>
  </si>
  <si>
    <t>193/304/PCMI/AR/VII/2026</t>
  </si>
  <si>
    <t>192/303/PCMI/AR/VII/2026</t>
  </si>
  <si>
    <t>Biaya Transaksi Penjual</t>
  </si>
  <si>
    <t>SEWA RUANG KANTOR - BULAN JULI 2026</t>
  </si>
  <si>
    <t>Internet Juni 2026</t>
  </si>
  <si>
    <t>INVOICE 100625</t>
  </si>
  <si>
    <t>260700101973</t>
  </si>
  <si>
    <t>OSC/VII/2026/R0150</t>
  </si>
  <si>
    <t xml:space="preserve">93/277/PCMI/AR/V/2026	</t>
  </si>
  <si>
    <t>199/317/PCMI/AR/VIII/2026</t>
  </si>
  <si>
    <t>74/321/PCMI/AR/VIII/2026</t>
  </si>
  <si>
    <t>59/281/PCMI/AR/V/2026</t>
  </si>
  <si>
    <t>48/285/PCMI/AR/V/2026</t>
  </si>
  <si>
    <t>149/308/PCMI/AR/VII/2026</t>
  </si>
  <si>
    <t>210/320/PCMI/AR/VIII/2026</t>
  </si>
  <si>
    <t>173/319/PCMI/AR/VIII/2026</t>
  </si>
  <si>
    <t>185/291/PCMI/AR/VI/2026</t>
  </si>
  <si>
    <t>202/318/PCMI/AR/VIII/2026</t>
  </si>
  <si>
    <t>076/223/PCMI/AR/IV/2026</t>
  </si>
  <si>
    <t>208/316/PCMI/AR/VIII/2026</t>
  </si>
  <si>
    <t>187/314/PCMI/AR/VI/2026</t>
  </si>
  <si>
    <t>260800101870</t>
  </si>
  <si>
    <t>Inv no. 014/KLA/VIII/2026</t>
  </si>
  <si>
    <t>OSC/VIII/2026/R0152</t>
  </si>
  <si>
    <t>Internet Juli 2026</t>
  </si>
  <si>
    <t>Inv no. 015/KLA/VIII/2026</t>
  </si>
  <si>
    <t>SEWA RUANG KANTOR - BULAN AGUSTUS 2026</t>
  </si>
  <si>
    <t>03153/08/2026/ASIA</t>
  </si>
  <si>
    <t>Invoice No : 45635</t>
  </si>
  <si>
    <t>Invoice No : 45652</t>
  </si>
  <si>
    <t>Invoice No : 45634</t>
  </si>
  <si>
    <t>219/326/PCMI/AR/IX/2026</t>
  </si>
  <si>
    <t>207/328/PCMI/AR/IX/2026</t>
  </si>
  <si>
    <t>212/329/PCMI/AR/IX/2026</t>
  </si>
  <si>
    <t>066/322/PCMI/AR/VIII/2026</t>
  </si>
  <si>
    <t>222/330/PCMI/AR/IX/2026</t>
  </si>
  <si>
    <t>223/331/PCMI/AR/IX/2026</t>
  </si>
  <si>
    <t>224/332/PCMI/AR/IX/2026</t>
  </si>
  <si>
    <t>220/327/PCMI/AR/IX/2026</t>
  </si>
  <si>
    <t>190/325/PCMI/AR/VIII/2026</t>
  </si>
  <si>
    <t>218/324/PCMI/AR/IX/2026</t>
  </si>
  <si>
    <t>197/323/PCMI/AR/VIII/2026</t>
  </si>
  <si>
    <t>Sewa Sound System 10.000 WATT</t>
  </si>
  <si>
    <t>SEWA RUANG KANTOR - BULAN SEPTEMBER 2026</t>
  </si>
  <si>
    <t>INV/2026/31850</t>
  </si>
  <si>
    <t>463/ACE/OR/DTI-CX26/IX/2026</t>
  </si>
  <si>
    <t>464/ACE/OR-E/DTI-CX26/IX/2026</t>
  </si>
  <si>
    <t>0343/SI/K02/08/2026 Hall A Jcc, Booth</t>
  </si>
  <si>
    <t>OSC/IX/2026/R0149</t>
  </si>
  <si>
    <t>KWT 215</t>
  </si>
  <si>
    <t>260900101686</t>
  </si>
  <si>
    <t>Internet Agustus 2026</t>
  </si>
  <si>
    <t>Paid</t>
  </si>
  <si>
    <t xml:space="preserve"> </t>
  </si>
  <si>
    <t>UnPaid</t>
  </si>
  <si>
    <t>JENIS PPN</t>
  </si>
  <si>
    <t>MASA</t>
  </si>
  <si>
    <t>CUSTOMER / VENDOR</t>
  </si>
  <si>
    <t>DPP PPN</t>
  </si>
  <si>
    <t>CLAIMED</t>
  </si>
  <si>
    <t>AXA Financial Indonesia</t>
  </si>
  <si>
    <t>Bank Indonesia</t>
  </si>
  <si>
    <t>Bank Negara Indonesia (Persero) Tbk</t>
  </si>
  <si>
    <t>Kantor Pusat Otoritas Jasa Keuangan</t>
  </si>
  <si>
    <t>Adhouse Clarion Events</t>
  </si>
  <si>
    <t>Autorent Lancar Sejahtera, PT</t>
  </si>
  <si>
    <t>Bank Tabungan Negara, PT</t>
  </si>
  <si>
    <t>Biro Perjalanan Wisata Sahadewa Basundari Bali, PT</t>
  </si>
  <si>
    <t>Candra Awe Selaras, PT</t>
  </si>
  <si>
    <t>CSAccess Technology Indonesia</t>
  </si>
  <si>
    <t>Karindo Mitra Jakarta</t>
  </si>
  <si>
    <t>Infrastruktur Telekomunikasi Indonesia, PT</t>
  </si>
  <si>
    <t>Kinarya Legenda Abadi</t>
  </si>
  <si>
    <t>Mora Telematika Indonesia Tbk</t>
  </si>
  <si>
    <t>OSC Office Machinery, PT</t>
  </si>
  <si>
    <t>Pantravel, PT</t>
  </si>
  <si>
    <t>Shell Indonesia, PT</t>
  </si>
  <si>
    <t>Telekomunikasi Selular (Telkomsel), PT</t>
  </si>
  <si>
    <t>Telkom Indonesia (Persero) Tbk</t>
  </si>
  <si>
    <t>XLSmart Telecom Sejahtera</t>
  </si>
  <si>
    <t>Tridaya Mega Swara, PT</t>
  </si>
  <si>
    <t>Bank Rakyat Indonesia (Persero) Tbk</t>
  </si>
  <si>
    <t>Bank Mandiri (Persero) Tbk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</si>
</sst>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(* #,##0.00_);_(* \(#,##0.00\);_(* &quot;-&quot;_);_(@_)"/>
  </numFmts>
  <fonts count="7" x14ac:knownFonts="1">
    <font>
      <sz val="11"/>
      <name val="Calibri"/>
    </font>
    <font>
      <sz val="11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sz val="12"/>
      <name val="Times New Roman"/>
      <family val="1"/>
    </font>
    <font>
      <sz val="11"/>
      <color rgb="FFFF0000"/>
      <name val="Calibri"/>
      <family val="2"/>
    </font>
    <font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41" fontId="3" fillId="0" borderId="0" applyFont="0" applyFill="0" applyBorder="0" applyAlignment="0" applyProtection="0"/>
  </cellStyleXfs>
  <cellXfs count="17">
    <xf numFmtId="0" fontId="0" fillId="0" borderId="0" xfId="0"/>
    <xf numFmtId="0" fontId="2" fillId="2" borderId="0" xfId="0" applyFont="1" applyFill="1" applyAlignment="1">
      <alignment horizontal="center" vertical="center"/>
    </xf>
    <xf numFmtId="17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17" fontId="4" fillId="0" borderId="0" xfId="0" applyNumberFormat="1" applyFont="1" applyAlignment="1">
      <alignment horizontal="left"/>
    </xf>
    <xf numFmtId="0" fontId="4" fillId="0" borderId="0" xfId="0" quotePrefix="1" applyFont="1" applyAlignment="1">
      <alignment horizontal="left"/>
    </xf>
    <xf numFmtId="41" fontId="0" fillId="0" borderId="0" xfId="1" applyFont="1"/>
    <xf numFmtId="164" fontId="0" fillId="0" borderId="0" xfId="1" applyNumberFormat="1" applyFont="1"/>
    <xf numFmtId="0" fontId="1" fillId="0" borderId="0" xfId="0" applyFont="1"/>
    <xf numFmtId="164" fontId="0" fillId="0" borderId="0" xfId="0" applyNumberFormat="1"/>
    <xf numFmtId="164" fontId="5" fillId="0" borderId="0" xfId="1" applyNumberFormat="1" applyFont="1"/>
    <xf numFmtId="164" fontId="1" fillId="0" borderId="0" xfId="1" applyNumberFormat="1" applyFont="1"/>
    <xf numFmtId="0" fontId="1" fillId="0" borderId="1" xfId="0" applyFont="1" applyBorder="1"/>
    <xf numFmtId="17" fontId="6" fillId="0" borderId="0" xfId="0" applyNumberFormat="1" applyFont="1" applyAlignment="1">
      <alignment horizontal="center"/>
    </xf>
    <xf numFmtId="17" fontId="6" fillId="0" borderId="0" xfId="0" applyNumberFormat="1" applyFont="1" applyAlignment="1">
      <alignment horizontal="left"/>
    </xf>
    <xf numFmtId="0" fontId="5" fillId="0" borderId="0" xfId="0" applyFont="1"/>
    <xf numFmtId="41" fontId="5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0"/>
  <sheetViews>
    <sheetView tabSelected="1" workbookViewId="0">
      <selection activeCell="D239" sqref="D239"/>
    </sheetView>
  </sheetViews>
  <sheetFormatPr baseColWidth="10" defaultRowHeight="15" x14ac:dyDescent="0.2"/>
  <cols>
    <col min="1" max="1" width="13.83203125" customWidth="1"/>
    <col min="2" max="2" width="29.33203125" customWidth="1"/>
    <col min="3" max="3" width="23.33203125" customWidth="1"/>
    <col min="4" max="4" width="44.5" customWidth="1"/>
    <col min="5" max="5" width="39.83203125" customWidth="1"/>
    <col min="6" max="6" width="22.83203125" customWidth="1"/>
    <col min="7" max="7" width="9.1640625" customWidth="1"/>
    <col min="8" max="11" width="18.83203125" customWidth="1"/>
    <col min="12" max="12" width="15.1640625" customWidth="1"/>
    <col min="13" max="15" width="18.83203125" customWidth="1"/>
    <col min="16" max="16" width="15" customWidth="1"/>
    <col min="17" max="17" width="19.6640625" customWidth="1"/>
    <col min="18" max="18" width="14.83203125" customWidth="1"/>
    <col min="19" max="19" width="16.5" customWidth="1"/>
  </cols>
  <sheetData>
    <row r="1" spans="1:19" x14ac:dyDescent="0.2">
      <c r="A1" s="1" t="s">
        <v>524</v>
      </c>
      <c r="B1" s="1" t="s">
        <v>523</v>
      </c>
      <c r="C1" s="1" t="s">
        <v>0</v>
      </c>
      <c r="D1" s="1" t="s">
        <v>525</v>
      </c>
      <c r="E1" s="1" t="s">
        <v>1</v>
      </c>
      <c r="F1" s="1" t="s">
        <v>526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</row>
    <row r="2" spans="1:19" ht="16" x14ac:dyDescent="0.2">
      <c r="A2" s="2">
        <v>46023</v>
      </c>
      <c r="B2" s="3" t="s">
        <v>15</v>
      </c>
      <c r="C2" s="3" t="s">
        <v>18</v>
      </c>
      <c r="D2" s="8" t="s">
        <v>549</v>
      </c>
      <c r="E2" t="s">
        <v>289</v>
      </c>
      <c r="F2" s="7">
        <v>572072072</v>
      </c>
      <c r="G2" s="8" t="s">
        <v>520</v>
      </c>
      <c r="H2" s="7">
        <v>62927928</v>
      </c>
      <c r="I2" s="7">
        <v>62927928</v>
      </c>
      <c r="J2" s="7">
        <f>I2</f>
        <v>62927928</v>
      </c>
      <c r="K2" s="7">
        <f>I2-J2</f>
        <v>0</v>
      </c>
      <c r="M2" s="6">
        <v>0</v>
      </c>
      <c r="N2" s="6">
        <v>0</v>
      </c>
      <c r="O2" s="7">
        <v>0</v>
      </c>
    </row>
    <row r="3" spans="1:19" ht="16" x14ac:dyDescent="0.2">
      <c r="A3" s="2">
        <v>46023</v>
      </c>
      <c r="B3" s="3" t="s">
        <v>15</v>
      </c>
      <c r="C3" s="3" t="s">
        <v>19</v>
      </c>
      <c r="D3" s="8" t="s">
        <v>549</v>
      </c>
      <c r="E3" t="s">
        <v>290</v>
      </c>
      <c r="F3" s="7">
        <v>572072072</v>
      </c>
      <c r="G3" s="8" t="s">
        <v>520</v>
      </c>
      <c r="H3" s="7">
        <v>62927928</v>
      </c>
      <c r="I3" s="7">
        <v>62927928</v>
      </c>
      <c r="J3" s="7">
        <f>I3</f>
        <v>62927928</v>
      </c>
      <c r="K3" s="7">
        <f t="shared" ref="K3:K66" si="0">I3-J3</f>
        <v>0</v>
      </c>
      <c r="M3" s="6">
        <v>0</v>
      </c>
      <c r="N3" s="6">
        <v>0</v>
      </c>
      <c r="O3" s="7">
        <f>O2-M3+N3</f>
        <v>0</v>
      </c>
    </row>
    <row r="4" spans="1:19" ht="16" x14ac:dyDescent="0.2">
      <c r="A4" s="2">
        <v>46023</v>
      </c>
      <c r="B4" s="3" t="s">
        <v>15</v>
      </c>
      <c r="C4" s="3" t="s">
        <v>20</v>
      </c>
      <c r="D4" t="s">
        <v>255</v>
      </c>
      <c r="E4" t="s">
        <v>291</v>
      </c>
      <c r="F4" s="7">
        <v>315315315</v>
      </c>
      <c r="G4" s="8" t="s">
        <v>520</v>
      </c>
      <c r="H4" s="7">
        <v>34684685</v>
      </c>
      <c r="I4" s="7">
        <v>34684685</v>
      </c>
      <c r="J4" s="7">
        <f>I4</f>
        <v>34684685</v>
      </c>
      <c r="K4" s="7">
        <f t="shared" si="0"/>
        <v>0</v>
      </c>
      <c r="M4" s="6">
        <v>0</v>
      </c>
      <c r="N4" s="6">
        <v>0</v>
      </c>
      <c r="O4" s="7">
        <f t="shared" ref="O4:O67" si="1">O3-M4+N4</f>
        <v>0</v>
      </c>
    </row>
    <row r="5" spans="1:19" ht="16" x14ac:dyDescent="0.2">
      <c r="A5" s="2">
        <v>46023</v>
      </c>
      <c r="B5" s="3" t="s">
        <v>16</v>
      </c>
      <c r="C5" s="3" t="s">
        <v>21</v>
      </c>
      <c r="D5" t="s">
        <v>256</v>
      </c>
      <c r="E5" t="s">
        <v>292</v>
      </c>
      <c r="F5" s="7">
        <v>13784592</v>
      </c>
      <c r="G5" s="8" t="s">
        <v>520</v>
      </c>
      <c r="H5" s="7">
        <v>1516305</v>
      </c>
      <c r="I5" s="7">
        <v>0</v>
      </c>
      <c r="J5" s="7">
        <v>0</v>
      </c>
      <c r="K5" s="7">
        <f t="shared" si="0"/>
        <v>0</v>
      </c>
      <c r="M5" s="6">
        <v>1516305</v>
      </c>
      <c r="N5" s="6">
        <v>0</v>
      </c>
      <c r="O5" s="7">
        <f t="shared" si="1"/>
        <v>-1516305</v>
      </c>
    </row>
    <row r="6" spans="1:19" ht="16" x14ac:dyDescent="0.2">
      <c r="A6" s="2">
        <v>46023</v>
      </c>
      <c r="B6" s="3" t="s">
        <v>16</v>
      </c>
      <c r="C6" s="3" t="s">
        <v>22</v>
      </c>
      <c r="D6" t="s">
        <v>256</v>
      </c>
      <c r="E6" t="s">
        <v>293</v>
      </c>
      <c r="F6" s="7">
        <v>6892296</v>
      </c>
      <c r="G6" s="8" t="s">
        <v>520</v>
      </c>
      <c r="H6" s="7">
        <v>758153</v>
      </c>
      <c r="I6" s="7">
        <v>0</v>
      </c>
      <c r="J6" s="7">
        <v>0</v>
      </c>
      <c r="K6" s="7">
        <f t="shared" si="0"/>
        <v>0</v>
      </c>
      <c r="M6" s="6">
        <v>758153</v>
      </c>
      <c r="N6" s="6">
        <v>0</v>
      </c>
      <c r="O6" s="7">
        <f t="shared" si="1"/>
        <v>-2274458</v>
      </c>
    </row>
    <row r="7" spans="1:19" ht="16" x14ac:dyDescent="0.2">
      <c r="A7" s="2">
        <v>46023</v>
      </c>
      <c r="B7" s="3" t="s">
        <v>15</v>
      </c>
      <c r="C7" s="3" t="s">
        <v>23</v>
      </c>
      <c r="D7" s="8" t="s">
        <v>545</v>
      </c>
      <c r="E7" t="s">
        <v>294</v>
      </c>
      <c r="F7" s="7">
        <v>32367271</v>
      </c>
      <c r="G7" s="8" t="s">
        <v>520</v>
      </c>
      <c r="H7" s="7">
        <v>3560400</v>
      </c>
      <c r="I7" s="7">
        <v>3560400</v>
      </c>
      <c r="J7" s="7">
        <f t="shared" ref="J7:J12" si="2">I7</f>
        <v>3560400</v>
      </c>
      <c r="K7" s="7">
        <f t="shared" si="0"/>
        <v>0</v>
      </c>
      <c r="M7" s="6">
        <v>0</v>
      </c>
      <c r="N7" s="6">
        <v>0</v>
      </c>
      <c r="O7" s="7">
        <f t="shared" si="1"/>
        <v>-2274458</v>
      </c>
    </row>
    <row r="8" spans="1:19" ht="16" x14ac:dyDescent="0.2">
      <c r="A8" s="2">
        <v>46023</v>
      </c>
      <c r="B8" s="3" t="s">
        <v>15</v>
      </c>
      <c r="C8" s="3" t="s">
        <v>24</v>
      </c>
      <c r="D8" s="8" t="s">
        <v>545</v>
      </c>
      <c r="E8" t="s">
        <v>295</v>
      </c>
      <c r="F8" s="7">
        <v>22741485</v>
      </c>
      <c r="G8" s="8" t="s">
        <v>520</v>
      </c>
      <c r="H8" s="7">
        <v>2501563</v>
      </c>
      <c r="I8" s="7">
        <v>2501563</v>
      </c>
      <c r="J8" s="7">
        <f t="shared" si="2"/>
        <v>2501563</v>
      </c>
      <c r="K8" s="7">
        <f t="shared" si="0"/>
        <v>0</v>
      </c>
      <c r="M8" s="6">
        <v>0</v>
      </c>
      <c r="N8" s="6">
        <v>0</v>
      </c>
      <c r="O8" s="7">
        <f t="shared" si="1"/>
        <v>-2274458</v>
      </c>
    </row>
    <row r="9" spans="1:19" ht="16" x14ac:dyDescent="0.2">
      <c r="A9" s="2">
        <v>46023</v>
      </c>
      <c r="B9" s="3" t="s">
        <v>15</v>
      </c>
      <c r="C9" s="3" t="s">
        <v>25</v>
      </c>
      <c r="D9" s="8" t="s">
        <v>545</v>
      </c>
      <c r="E9" t="s">
        <v>296</v>
      </c>
      <c r="F9" s="7">
        <v>33680779</v>
      </c>
      <c r="G9" s="8" t="s">
        <v>520</v>
      </c>
      <c r="H9" s="7">
        <v>3704886</v>
      </c>
      <c r="I9" s="7">
        <v>3704886</v>
      </c>
      <c r="J9" s="7">
        <f t="shared" si="2"/>
        <v>3704886</v>
      </c>
      <c r="K9" s="7">
        <f t="shared" si="0"/>
        <v>0</v>
      </c>
      <c r="M9" s="6">
        <v>0</v>
      </c>
      <c r="N9" s="6">
        <v>0</v>
      </c>
      <c r="O9" s="7">
        <f t="shared" si="1"/>
        <v>-2274458</v>
      </c>
    </row>
    <row r="10" spans="1:19" ht="16" x14ac:dyDescent="0.2">
      <c r="A10" s="2">
        <v>46023</v>
      </c>
      <c r="B10" s="3" t="s">
        <v>15</v>
      </c>
      <c r="C10" s="3" t="s">
        <v>26</v>
      </c>
      <c r="D10" s="8" t="s">
        <v>545</v>
      </c>
      <c r="E10" t="s">
        <v>297</v>
      </c>
      <c r="F10" s="7">
        <v>80469140</v>
      </c>
      <c r="G10" s="8" t="s">
        <v>520</v>
      </c>
      <c r="H10" s="7">
        <v>8851605</v>
      </c>
      <c r="I10" s="7">
        <v>8851605</v>
      </c>
      <c r="J10" s="7">
        <f t="shared" si="2"/>
        <v>8851605</v>
      </c>
      <c r="K10" s="7">
        <f t="shared" si="0"/>
        <v>0</v>
      </c>
      <c r="M10" s="6">
        <v>0</v>
      </c>
      <c r="N10" s="6">
        <v>0</v>
      </c>
      <c r="O10" s="7">
        <f t="shared" si="1"/>
        <v>-2274458</v>
      </c>
    </row>
    <row r="11" spans="1:19" ht="16" x14ac:dyDescent="0.2">
      <c r="A11" s="2">
        <v>46023</v>
      </c>
      <c r="B11" s="3" t="s">
        <v>15</v>
      </c>
      <c r="C11" s="3" t="s">
        <v>27</v>
      </c>
      <c r="D11" s="8" t="s">
        <v>545</v>
      </c>
      <c r="E11" t="s">
        <v>298</v>
      </c>
      <c r="F11" s="7">
        <v>90551978</v>
      </c>
      <c r="G11" s="8" t="s">
        <v>520</v>
      </c>
      <c r="H11" s="7">
        <v>9960718</v>
      </c>
      <c r="I11" s="7">
        <v>9960718</v>
      </c>
      <c r="J11" s="7">
        <f t="shared" si="2"/>
        <v>9960718</v>
      </c>
      <c r="K11" s="7">
        <f t="shared" si="0"/>
        <v>0</v>
      </c>
      <c r="M11" s="6">
        <v>0</v>
      </c>
      <c r="N11" s="6">
        <v>0</v>
      </c>
      <c r="O11" s="7">
        <f t="shared" si="1"/>
        <v>-2274458</v>
      </c>
    </row>
    <row r="12" spans="1:19" ht="16" x14ac:dyDescent="0.2">
      <c r="A12" s="2">
        <v>46023</v>
      </c>
      <c r="B12" s="3" t="s">
        <v>15</v>
      </c>
      <c r="C12" s="3" t="s">
        <v>28</v>
      </c>
      <c r="D12" s="8" t="s">
        <v>545</v>
      </c>
      <c r="E12" t="s">
        <v>299</v>
      </c>
      <c r="F12" s="7">
        <v>32575828</v>
      </c>
      <c r="G12" s="8" t="s">
        <v>520</v>
      </c>
      <c r="H12" s="7">
        <v>3583341</v>
      </c>
      <c r="I12" s="7">
        <v>3583341</v>
      </c>
      <c r="J12" s="7">
        <f t="shared" si="2"/>
        <v>3583341</v>
      </c>
      <c r="K12" s="7">
        <f t="shared" si="0"/>
        <v>0</v>
      </c>
      <c r="M12" s="6">
        <v>0</v>
      </c>
      <c r="N12" s="6">
        <v>0</v>
      </c>
      <c r="O12" s="7">
        <f t="shared" si="1"/>
        <v>-2274458</v>
      </c>
    </row>
    <row r="13" spans="1:19" ht="16" x14ac:dyDescent="0.2">
      <c r="A13" s="2">
        <v>46023</v>
      </c>
      <c r="B13" s="3" t="s">
        <v>17</v>
      </c>
      <c r="C13" s="3" t="s">
        <v>29</v>
      </c>
      <c r="D13" s="8" t="s">
        <v>542</v>
      </c>
      <c r="E13" t="s">
        <v>300</v>
      </c>
      <c r="F13" s="7">
        <v>675676</v>
      </c>
      <c r="G13" s="8" t="s">
        <v>527</v>
      </c>
      <c r="H13" s="7">
        <v>74324</v>
      </c>
      <c r="I13" s="7">
        <v>74324</v>
      </c>
      <c r="J13" s="7">
        <v>0</v>
      </c>
      <c r="K13" s="7">
        <f t="shared" si="0"/>
        <v>74324</v>
      </c>
      <c r="M13" s="6">
        <v>0</v>
      </c>
      <c r="N13" s="6">
        <v>74324</v>
      </c>
      <c r="O13" s="7">
        <f t="shared" si="1"/>
        <v>-2200134</v>
      </c>
    </row>
    <row r="14" spans="1:19" ht="16" x14ac:dyDescent="0.2">
      <c r="A14" s="2">
        <v>46023</v>
      </c>
      <c r="B14" s="3" t="s">
        <v>17</v>
      </c>
      <c r="C14" s="3" t="s">
        <v>30</v>
      </c>
      <c r="D14" t="s">
        <v>257</v>
      </c>
      <c r="E14" t="s">
        <v>301</v>
      </c>
      <c r="F14" s="7">
        <v>7000000</v>
      </c>
      <c r="G14" s="8" t="s">
        <v>527</v>
      </c>
      <c r="H14" s="7">
        <v>770000</v>
      </c>
      <c r="I14" s="7">
        <v>770000</v>
      </c>
      <c r="J14" s="7">
        <v>0</v>
      </c>
      <c r="K14" s="7">
        <f t="shared" si="0"/>
        <v>770000</v>
      </c>
      <c r="M14" s="6">
        <v>0</v>
      </c>
      <c r="N14" s="6">
        <v>770000</v>
      </c>
      <c r="O14" s="7">
        <f t="shared" si="1"/>
        <v>-1430134</v>
      </c>
    </row>
    <row r="15" spans="1:19" ht="16" x14ac:dyDescent="0.2">
      <c r="A15" s="2">
        <v>46023</v>
      </c>
      <c r="B15" s="3" t="s">
        <v>17</v>
      </c>
      <c r="C15" s="3" t="s">
        <v>31</v>
      </c>
      <c r="D15" s="8" t="s">
        <v>535</v>
      </c>
      <c r="E15" t="s">
        <v>302</v>
      </c>
      <c r="F15" s="7">
        <v>3606984</v>
      </c>
      <c r="G15" s="8" t="s">
        <v>527</v>
      </c>
      <c r="H15" s="7">
        <v>39677</v>
      </c>
      <c r="I15" s="7">
        <v>39677</v>
      </c>
      <c r="J15" s="7">
        <v>0</v>
      </c>
      <c r="K15" s="7">
        <f t="shared" si="0"/>
        <v>39677</v>
      </c>
      <c r="M15" s="6">
        <v>0</v>
      </c>
      <c r="N15" s="6">
        <v>39677</v>
      </c>
      <c r="O15" s="7">
        <f t="shared" si="1"/>
        <v>-1390457</v>
      </c>
    </row>
    <row r="16" spans="1:19" ht="16" x14ac:dyDescent="0.2">
      <c r="A16" s="2">
        <v>46023</v>
      </c>
      <c r="B16" s="3" t="s">
        <v>17</v>
      </c>
      <c r="C16" s="3" t="s">
        <v>32</v>
      </c>
      <c r="D16" t="s">
        <v>258</v>
      </c>
      <c r="E16" t="s">
        <v>303</v>
      </c>
      <c r="F16" s="7">
        <v>862500</v>
      </c>
      <c r="G16" s="8" t="s">
        <v>527</v>
      </c>
      <c r="H16" s="7">
        <v>94875</v>
      </c>
      <c r="I16" s="7">
        <v>94875</v>
      </c>
      <c r="J16" s="7">
        <v>0</v>
      </c>
      <c r="K16" s="7">
        <f t="shared" si="0"/>
        <v>94875</v>
      </c>
      <c r="M16" s="6">
        <v>0</v>
      </c>
      <c r="N16" s="6">
        <v>94875</v>
      </c>
      <c r="O16" s="7">
        <f t="shared" si="1"/>
        <v>-1295582</v>
      </c>
    </row>
    <row r="17" spans="1:15" ht="16" x14ac:dyDescent="0.2">
      <c r="A17" s="2">
        <v>46023</v>
      </c>
      <c r="B17" s="3" t="s">
        <v>17</v>
      </c>
      <c r="C17" s="3" t="s">
        <v>33</v>
      </c>
      <c r="D17" s="8" t="s">
        <v>543</v>
      </c>
      <c r="E17" t="s">
        <v>304</v>
      </c>
      <c r="F17" s="7">
        <v>18018018</v>
      </c>
      <c r="G17" s="8" t="s">
        <v>527</v>
      </c>
      <c r="H17" s="7">
        <v>1981982</v>
      </c>
      <c r="I17" s="7">
        <v>1981982</v>
      </c>
      <c r="J17" s="7">
        <v>0</v>
      </c>
      <c r="K17" s="7">
        <f t="shared" si="0"/>
        <v>1981982</v>
      </c>
      <c r="M17" s="6">
        <v>0</v>
      </c>
      <c r="N17" s="6">
        <v>1981982</v>
      </c>
      <c r="O17" s="7">
        <f t="shared" si="1"/>
        <v>686400</v>
      </c>
    </row>
    <row r="18" spans="1:15" ht="16" x14ac:dyDescent="0.2">
      <c r="A18" s="2">
        <v>46023</v>
      </c>
      <c r="B18" s="3" t="s">
        <v>17</v>
      </c>
      <c r="C18" s="3" t="s">
        <v>34</v>
      </c>
      <c r="D18" s="8" t="s">
        <v>533</v>
      </c>
      <c r="E18" t="s">
        <v>305</v>
      </c>
      <c r="F18" s="7">
        <v>4600000</v>
      </c>
      <c r="G18" s="8" t="s">
        <v>527</v>
      </c>
      <c r="H18" s="7">
        <v>506000</v>
      </c>
      <c r="I18" s="7">
        <v>506000</v>
      </c>
      <c r="J18" s="7">
        <v>0</v>
      </c>
      <c r="K18" s="7">
        <f t="shared" si="0"/>
        <v>506000</v>
      </c>
      <c r="M18" s="6">
        <v>0</v>
      </c>
      <c r="N18" s="6">
        <v>506000</v>
      </c>
      <c r="O18" s="7">
        <f t="shared" si="1"/>
        <v>1192400</v>
      </c>
    </row>
    <row r="19" spans="1:15" ht="16" x14ac:dyDescent="0.2">
      <c r="A19" s="2">
        <v>46023</v>
      </c>
      <c r="B19" s="3" t="s">
        <v>17</v>
      </c>
      <c r="C19" s="5" t="s">
        <v>35</v>
      </c>
      <c r="D19" s="8" t="s">
        <v>541</v>
      </c>
      <c r="E19" t="s">
        <v>306</v>
      </c>
      <c r="F19" s="7">
        <v>3208333</v>
      </c>
      <c r="G19" s="8" t="s">
        <v>527</v>
      </c>
      <c r="H19" s="7">
        <v>385000</v>
      </c>
      <c r="I19" s="7">
        <v>385000</v>
      </c>
      <c r="J19" s="7">
        <v>0</v>
      </c>
      <c r="K19" s="7">
        <f t="shared" si="0"/>
        <v>385000</v>
      </c>
      <c r="M19" s="6">
        <v>0</v>
      </c>
      <c r="N19" s="6">
        <v>385000</v>
      </c>
      <c r="O19" s="7">
        <f t="shared" si="1"/>
        <v>1577400</v>
      </c>
    </row>
    <row r="20" spans="1:15" ht="16" x14ac:dyDescent="0.2">
      <c r="A20" s="2">
        <v>46054</v>
      </c>
      <c r="B20" s="3" t="s">
        <v>16</v>
      </c>
      <c r="C20" s="3" t="s">
        <v>36</v>
      </c>
      <c r="D20" t="s">
        <v>259</v>
      </c>
      <c r="E20" t="s">
        <v>307</v>
      </c>
      <c r="F20" s="7">
        <v>19500000</v>
      </c>
      <c r="G20" s="8" t="s">
        <v>520</v>
      </c>
      <c r="H20" s="7">
        <v>2145000</v>
      </c>
      <c r="I20" s="7">
        <v>0</v>
      </c>
      <c r="J20" s="7">
        <v>0</v>
      </c>
      <c r="K20" s="7">
        <f t="shared" si="0"/>
        <v>0</v>
      </c>
      <c r="M20" s="6">
        <v>2145000</v>
      </c>
      <c r="N20" s="6">
        <v>0</v>
      </c>
      <c r="O20" s="7">
        <f t="shared" si="1"/>
        <v>-567600</v>
      </c>
    </row>
    <row r="21" spans="1:15" ht="16" x14ac:dyDescent="0.2">
      <c r="A21" s="2">
        <v>46054</v>
      </c>
      <c r="B21" s="3" t="s">
        <v>16</v>
      </c>
      <c r="C21" s="3" t="s">
        <v>37</v>
      </c>
      <c r="D21" t="s">
        <v>260</v>
      </c>
      <c r="E21" t="s">
        <v>308</v>
      </c>
      <c r="F21" s="7">
        <v>6000000</v>
      </c>
      <c r="G21" s="8" t="s">
        <v>520</v>
      </c>
      <c r="H21" s="7">
        <v>660000</v>
      </c>
      <c r="I21" s="7">
        <v>0</v>
      </c>
      <c r="J21" s="7">
        <v>0</v>
      </c>
      <c r="K21" s="7">
        <f t="shared" si="0"/>
        <v>0</v>
      </c>
      <c r="M21" s="6">
        <v>660000</v>
      </c>
      <c r="N21" s="6">
        <v>0</v>
      </c>
      <c r="O21" s="7">
        <f t="shared" si="1"/>
        <v>-1227600</v>
      </c>
    </row>
    <row r="22" spans="1:15" ht="16" x14ac:dyDescent="0.2">
      <c r="A22" s="2">
        <v>46054</v>
      </c>
      <c r="B22" s="3" t="s">
        <v>15</v>
      </c>
      <c r="C22" s="3" t="s">
        <v>38</v>
      </c>
      <c r="D22" s="8" t="s">
        <v>545</v>
      </c>
      <c r="E22" t="s">
        <v>309</v>
      </c>
      <c r="F22" s="7">
        <v>30184074</v>
      </c>
      <c r="G22" s="8" t="s">
        <v>520</v>
      </c>
      <c r="H22" s="7">
        <v>3320248</v>
      </c>
      <c r="I22" s="7">
        <v>3320248</v>
      </c>
      <c r="J22" s="7">
        <f>I22</f>
        <v>3320248</v>
      </c>
      <c r="K22" s="7">
        <f t="shared" si="0"/>
        <v>0</v>
      </c>
      <c r="M22" s="6">
        <v>0</v>
      </c>
      <c r="N22" s="6">
        <v>0</v>
      </c>
      <c r="O22" s="7">
        <f t="shared" si="1"/>
        <v>-1227600</v>
      </c>
    </row>
    <row r="23" spans="1:15" ht="16" x14ac:dyDescent="0.2">
      <c r="A23" s="2">
        <v>46054</v>
      </c>
      <c r="B23" s="3" t="s">
        <v>15</v>
      </c>
      <c r="C23" s="3" t="s">
        <v>39</v>
      </c>
      <c r="D23" s="8" t="s">
        <v>545</v>
      </c>
      <c r="E23" t="s">
        <v>310</v>
      </c>
      <c r="F23" s="7">
        <v>54893689</v>
      </c>
      <c r="G23" s="8" t="s">
        <v>520</v>
      </c>
      <c r="H23" s="7">
        <v>6038306</v>
      </c>
      <c r="I23" s="7">
        <v>6038306</v>
      </c>
      <c r="J23" s="7">
        <f>I23</f>
        <v>6038306</v>
      </c>
      <c r="K23" s="7">
        <f t="shared" si="0"/>
        <v>0</v>
      </c>
      <c r="M23" s="6">
        <v>0</v>
      </c>
      <c r="N23" s="6">
        <v>0</v>
      </c>
      <c r="O23" s="7">
        <f t="shared" si="1"/>
        <v>-1227600</v>
      </c>
    </row>
    <row r="24" spans="1:15" ht="16" x14ac:dyDescent="0.2">
      <c r="A24" s="2">
        <v>46054</v>
      </c>
      <c r="B24" s="3" t="s">
        <v>15</v>
      </c>
      <c r="C24" s="3" t="s">
        <v>40</v>
      </c>
      <c r="D24" s="8" t="s">
        <v>534</v>
      </c>
      <c r="E24" t="s">
        <v>311</v>
      </c>
      <c r="F24" s="7">
        <v>540540540</v>
      </c>
      <c r="G24" s="8" t="s">
        <v>520</v>
      </c>
      <c r="H24" s="7">
        <v>59459460</v>
      </c>
      <c r="I24" s="7">
        <v>59459460</v>
      </c>
      <c r="J24" s="7">
        <f>I24</f>
        <v>59459460</v>
      </c>
      <c r="K24" s="7">
        <f t="shared" si="0"/>
        <v>0</v>
      </c>
      <c r="M24" s="6">
        <v>0</v>
      </c>
      <c r="N24" s="6">
        <v>0</v>
      </c>
      <c r="O24" s="7">
        <f t="shared" si="1"/>
        <v>-1227600</v>
      </c>
    </row>
    <row r="25" spans="1:15" ht="16" x14ac:dyDescent="0.2">
      <c r="A25" s="2">
        <v>46054</v>
      </c>
      <c r="B25" s="3" t="s">
        <v>16</v>
      </c>
      <c r="C25" s="3" t="s">
        <v>41</v>
      </c>
      <c r="D25" t="s">
        <v>261</v>
      </c>
      <c r="E25" t="s">
        <v>312</v>
      </c>
      <c r="F25" s="7">
        <v>118647650</v>
      </c>
      <c r="G25" s="8" t="s">
        <v>520</v>
      </c>
      <c r="H25" s="7">
        <v>1305124</v>
      </c>
      <c r="I25" s="7">
        <v>0</v>
      </c>
      <c r="J25" s="7">
        <v>0</v>
      </c>
      <c r="K25" s="7">
        <f t="shared" si="0"/>
        <v>0</v>
      </c>
      <c r="M25" s="6">
        <v>1305124</v>
      </c>
      <c r="N25" s="6">
        <v>0</v>
      </c>
      <c r="O25" s="7">
        <f t="shared" si="1"/>
        <v>-2532724</v>
      </c>
    </row>
    <row r="26" spans="1:15" ht="16" x14ac:dyDescent="0.2">
      <c r="A26" s="2">
        <v>46054</v>
      </c>
      <c r="B26" s="3" t="s">
        <v>16</v>
      </c>
      <c r="C26" s="3" t="s">
        <v>42</v>
      </c>
      <c r="D26" t="s">
        <v>262</v>
      </c>
      <c r="E26" t="s">
        <v>313</v>
      </c>
      <c r="F26" s="7">
        <v>27500000</v>
      </c>
      <c r="G26" s="8" t="s">
        <v>520</v>
      </c>
      <c r="H26" s="7">
        <v>3025000</v>
      </c>
      <c r="I26" s="7">
        <v>0</v>
      </c>
      <c r="J26" s="7">
        <v>0</v>
      </c>
      <c r="K26" s="7">
        <f t="shared" si="0"/>
        <v>0</v>
      </c>
      <c r="M26" s="6">
        <v>3025000</v>
      </c>
      <c r="N26" s="6">
        <v>0</v>
      </c>
      <c r="O26" s="7">
        <f t="shared" si="1"/>
        <v>-5557724</v>
      </c>
    </row>
    <row r="27" spans="1:15" ht="16" x14ac:dyDescent="0.2">
      <c r="A27" s="2">
        <v>46054</v>
      </c>
      <c r="B27" s="3" t="s">
        <v>16</v>
      </c>
      <c r="C27" s="3" t="s">
        <v>43</v>
      </c>
      <c r="D27" t="s">
        <v>263</v>
      </c>
      <c r="E27" t="s">
        <v>314</v>
      </c>
      <c r="F27" s="7">
        <v>57000000</v>
      </c>
      <c r="G27" s="8" t="s">
        <v>520</v>
      </c>
      <c r="H27" s="7">
        <v>6270000</v>
      </c>
      <c r="I27" s="7">
        <v>0</v>
      </c>
      <c r="J27" s="7">
        <v>0</v>
      </c>
      <c r="K27" s="7">
        <f t="shared" si="0"/>
        <v>0</v>
      </c>
      <c r="M27" s="6">
        <v>6270000</v>
      </c>
      <c r="N27" s="6">
        <v>0</v>
      </c>
      <c r="O27" s="7">
        <f t="shared" si="1"/>
        <v>-11827724</v>
      </c>
    </row>
    <row r="28" spans="1:15" ht="16" x14ac:dyDescent="0.2">
      <c r="A28" s="2">
        <v>46054</v>
      </c>
      <c r="B28" s="3" t="s">
        <v>16</v>
      </c>
      <c r="C28" s="3" t="s">
        <v>44</v>
      </c>
      <c r="D28" t="s">
        <v>264</v>
      </c>
      <c r="E28" t="s">
        <v>315</v>
      </c>
      <c r="F28" s="7">
        <v>6000000</v>
      </c>
      <c r="G28" s="8" t="s">
        <v>520</v>
      </c>
      <c r="H28" s="7">
        <v>660000</v>
      </c>
      <c r="I28" s="7">
        <v>0</v>
      </c>
      <c r="J28" s="7">
        <v>0</v>
      </c>
      <c r="K28" s="7">
        <f t="shared" si="0"/>
        <v>0</v>
      </c>
      <c r="M28" s="6">
        <v>660000</v>
      </c>
      <c r="N28" s="6">
        <v>0</v>
      </c>
      <c r="O28" s="7">
        <f t="shared" si="1"/>
        <v>-12487724</v>
      </c>
    </row>
    <row r="29" spans="1:15" ht="16" x14ac:dyDescent="0.2">
      <c r="A29" s="2">
        <v>46054</v>
      </c>
      <c r="B29" s="3" t="s">
        <v>16</v>
      </c>
      <c r="C29" s="3" t="s">
        <v>45</v>
      </c>
      <c r="D29" t="s">
        <v>261</v>
      </c>
      <c r="E29" t="s">
        <v>316</v>
      </c>
      <c r="F29" s="7">
        <v>101283791</v>
      </c>
      <c r="G29" s="8" t="s">
        <v>520</v>
      </c>
      <c r="H29" s="7">
        <v>1114122</v>
      </c>
      <c r="I29" s="7">
        <v>0</v>
      </c>
      <c r="J29" s="7">
        <v>0</v>
      </c>
      <c r="K29" s="7">
        <f t="shared" si="0"/>
        <v>0</v>
      </c>
      <c r="M29" s="6">
        <v>1114122</v>
      </c>
      <c r="N29" s="6">
        <v>0</v>
      </c>
      <c r="O29" s="7">
        <f t="shared" si="1"/>
        <v>-13601846</v>
      </c>
    </row>
    <row r="30" spans="1:15" ht="16" x14ac:dyDescent="0.2">
      <c r="A30" s="2">
        <v>46054</v>
      </c>
      <c r="B30" s="3" t="s">
        <v>17</v>
      </c>
      <c r="C30" s="3" t="s">
        <v>46</v>
      </c>
      <c r="D30" t="s">
        <v>265</v>
      </c>
      <c r="E30" t="s">
        <v>317</v>
      </c>
      <c r="F30" s="7">
        <v>197500000</v>
      </c>
      <c r="G30" s="8" t="s">
        <v>527</v>
      </c>
      <c r="H30" s="7">
        <v>21725000</v>
      </c>
      <c r="I30" s="7">
        <v>21725000</v>
      </c>
      <c r="J30" s="7">
        <v>0</v>
      </c>
      <c r="K30" s="7">
        <f t="shared" si="0"/>
        <v>21725000</v>
      </c>
      <c r="M30" s="6">
        <v>0</v>
      </c>
      <c r="N30" s="6">
        <v>21725000</v>
      </c>
      <c r="O30" s="7">
        <f t="shared" si="1"/>
        <v>8123154</v>
      </c>
    </row>
    <row r="31" spans="1:15" ht="16" x14ac:dyDescent="0.2">
      <c r="A31" s="2">
        <v>46054</v>
      </c>
      <c r="B31" s="3" t="s">
        <v>17</v>
      </c>
      <c r="C31" s="3" t="s">
        <v>47</v>
      </c>
      <c r="D31" s="8" t="s">
        <v>533</v>
      </c>
      <c r="E31" t="s">
        <v>318</v>
      </c>
      <c r="F31" s="7">
        <v>4600000</v>
      </c>
      <c r="G31" s="8" t="s">
        <v>527</v>
      </c>
      <c r="H31" s="7">
        <v>506000</v>
      </c>
      <c r="I31" s="7">
        <v>506000</v>
      </c>
      <c r="J31" s="7">
        <v>0</v>
      </c>
      <c r="K31" s="7">
        <f t="shared" si="0"/>
        <v>506000</v>
      </c>
      <c r="M31" s="6">
        <v>0</v>
      </c>
      <c r="N31" s="6">
        <v>506000</v>
      </c>
      <c r="O31" s="7">
        <f t="shared" si="1"/>
        <v>8629154</v>
      </c>
    </row>
    <row r="32" spans="1:15" ht="16" x14ac:dyDescent="0.2">
      <c r="A32" s="2">
        <v>46054</v>
      </c>
      <c r="B32" s="3" t="s">
        <v>17</v>
      </c>
      <c r="C32" s="3" t="s">
        <v>48</v>
      </c>
      <c r="D32" t="s">
        <v>266</v>
      </c>
      <c r="E32" t="s">
        <v>319</v>
      </c>
      <c r="F32" s="7">
        <v>200000</v>
      </c>
      <c r="G32" s="8" t="s">
        <v>527</v>
      </c>
      <c r="H32" s="7">
        <v>22000</v>
      </c>
      <c r="I32" s="7">
        <v>22000</v>
      </c>
      <c r="J32" s="7">
        <v>0</v>
      </c>
      <c r="K32" s="7">
        <f t="shared" si="0"/>
        <v>22000</v>
      </c>
      <c r="M32" s="6">
        <v>0</v>
      </c>
      <c r="N32" s="6">
        <v>22000</v>
      </c>
      <c r="O32" s="7">
        <f t="shared" si="1"/>
        <v>8651154</v>
      </c>
    </row>
    <row r="33" spans="1:15" ht="16" x14ac:dyDescent="0.2">
      <c r="A33" s="2">
        <v>46054</v>
      </c>
      <c r="B33" s="3" t="s">
        <v>17</v>
      </c>
      <c r="C33" s="3" t="s">
        <v>49</v>
      </c>
      <c r="D33" t="s">
        <v>265</v>
      </c>
      <c r="E33" t="s">
        <v>317</v>
      </c>
      <c r="F33" s="7">
        <v>197500000</v>
      </c>
      <c r="G33" s="8" t="s">
        <v>527</v>
      </c>
      <c r="H33" s="7">
        <v>21725000</v>
      </c>
      <c r="I33" s="7">
        <v>21725000</v>
      </c>
      <c r="J33" s="7">
        <v>0</v>
      </c>
      <c r="K33" s="7">
        <f t="shared" si="0"/>
        <v>21725000</v>
      </c>
      <c r="M33" s="6">
        <v>0</v>
      </c>
      <c r="N33" s="6">
        <v>21725000</v>
      </c>
      <c r="O33" s="7">
        <f t="shared" si="1"/>
        <v>30376154</v>
      </c>
    </row>
    <row r="34" spans="1:15" ht="16" x14ac:dyDescent="0.2">
      <c r="A34" s="2">
        <v>46054</v>
      </c>
      <c r="B34" s="3" t="s">
        <v>17</v>
      </c>
      <c r="C34" s="3" t="s">
        <v>50</v>
      </c>
      <c r="D34" s="8" t="s">
        <v>542</v>
      </c>
      <c r="E34" t="s">
        <v>320</v>
      </c>
      <c r="F34" s="7">
        <v>675676</v>
      </c>
      <c r="G34" s="8" t="s">
        <v>527</v>
      </c>
      <c r="H34" s="7">
        <v>74324</v>
      </c>
      <c r="I34" s="7">
        <v>74324</v>
      </c>
      <c r="J34" s="7">
        <v>0</v>
      </c>
      <c r="K34" s="7">
        <f t="shared" si="0"/>
        <v>74324</v>
      </c>
      <c r="M34" s="6">
        <v>0</v>
      </c>
      <c r="N34" s="6">
        <v>74324</v>
      </c>
      <c r="O34" s="7">
        <f t="shared" si="1"/>
        <v>30450478</v>
      </c>
    </row>
    <row r="35" spans="1:15" ht="16" x14ac:dyDescent="0.2">
      <c r="A35" s="2">
        <v>46054</v>
      </c>
      <c r="B35" s="3" t="s">
        <v>17</v>
      </c>
      <c r="C35" s="3" t="s">
        <v>51</v>
      </c>
      <c r="D35" t="s">
        <v>267</v>
      </c>
      <c r="E35" t="s">
        <v>321</v>
      </c>
      <c r="F35" s="7">
        <v>2000000</v>
      </c>
      <c r="G35" s="8" t="s">
        <v>527</v>
      </c>
      <c r="H35" s="7">
        <v>22000</v>
      </c>
      <c r="I35" s="7">
        <v>22000</v>
      </c>
      <c r="J35" s="7">
        <v>0</v>
      </c>
      <c r="K35" s="7">
        <f t="shared" si="0"/>
        <v>22000</v>
      </c>
      <c r="M35" s="6">
        <v>0</v>
      </c>
      <c r="N35" s="6">
        <v>22000</v>
      </c>
      <c r="O35" s="7">
        <f t="shared" si="1"/>
        <v>30472478</v>
      </c>
    </row>
    <row r="36" spans="1:15" ht="16" x14ac:dyDescent="0.2">
      <c r="A36" s="2">
        <v>46054</v>
      </c>
      <c r="B36" s="3" t="s">
        <v>17</v>
      </c>
      <c r="C36" s="3" t="s">
        <v>52</v>
      </c>
      <c r="D36" t="s">
        <v>268</v>
      </c>
      <c r="E36" t="s">
        <v>322</v>
      </c>
      <c r="F36" s="7">
        <v>18018018</v>
      </c>
      <c r="G36" s="8" t="s">
        <v>527</v>
      </c>
      <c r="H36" s="7">
        <v>1981982</v>
      </c>
      <c r="I36" s="7">
        <v>1981982</v>
      </c>
      <c r="J36" s="7">
        <v>0</v>
      </c>
      <c r="K36" s="7">
        <f t="shared" si="0"/>
        <v>1981982</v>
      </c>
      <c r="M36" s="6">
        <v>0</v>
      </c>
      <c r="N36" s="6">
        <v>1981982</v>
      </c>
      <c r="O36" s="7">
        <f t="shared" si="1"/>
        <v>32454460</v>
      </c>
    </row>
    <row r="37" spans="1:15" ht="16" x14ac:dyDescent="0.2">
      <c r="A37" s="2">
        <v>46054</v>
      </c>
      <c r="B37" s="3" t="s">
        <v>17</v>
      </c>
      <c r="C37" s="3" t="s">
        <v>53</v>
      </c>
      <c r="D37" t="s">
        <v>267</v>
      </c>
      <c r="E37" t="s">
        <v>323</v>
      </c>
      <c r="F37" s="7">
        <v>3745000</v>
      </c>
      <c r="G37" s="8" t="s">
        <v>527</v>
      </c>
      <c r="H37" s="7">
        <v>41195</v>
      </c>
      <c r="I37" s="7">
        <v>41195</v>
      </c>
      <c r="J37" s="7">
        <v>0</v>
      </c>
      <c r="K37" s="7">
        <f t="shared" si="0"/>
        <v>41195</v>
      </c>
      <c r="M37" s="6">
        <v>0</v>
      </c>
      <c r="N37" s="6">
        <v>41195</v>
      </c>
      <c r="O37" s="7">
        <f t="shared" si="1"/>
        <v>32495655</v>
      </c>
    </row>
    <row r="38" spans="1:15" ht="16" x14ac:dyDescent="0.2">
      <c r="A38" s="2">
        <v>46054</v>
      </c>
      <c r="B38" s="3" t="s">
        <v>17</v>
      </c>
      <c r="C38" s="3" t="s">
        <v>54</v>
      </c>
      <c r="D38" t="s">
        <v>267</v>
      </c>
      <c r="E38" t="s">
        <v>324</v>
      </c>
      <c r="F38" s="7">
        <v>53810000</v>
      </c>
      <c r="G38" s="8" t="s">
        <v>527</v>
      </c>
      <c r="H38" s="7">
        <v>591910</v>
      </c>
      <c r="I38" s="7">
        <v>591910</v>
      </c>
      <c r="J38" s="7">
        <v>0</v>
      </c>
      <c r="K38" s="7">
        <f t="shared" si="0"/>
        <v>591910</v>
      </c>
      <c r="M38" s="6">
        <v>0</v>
      </c>
      <c r="N38" s="6">
        <v>591910</v>
      </c>
      <c r="O38" s="7">
        <f t="shared" si="1"/>
        <v>33087565</v>
      </c>
    </row>
    <row r="39" spans="1:15" ht="16" x14ac:dyDescent="0.2">
      <c r="A39" s="2">
        <v>46054</v>
      </c>
      <c r="B39" s="3" t="s">
        <v>17</v>
      </c>
      <c r="C39" s="3" t="s">
        <v>55</v>
      </c>
      <c r="D39" t="s">
        <v>267</v>
      </c>
      <c r="E39" t="s">
        <v>325</v>
      </c>
      <c r="F39" s="7">
        <v>48066000</v>
      </c>
      <c r="G39" s="8" t="s">
        <v>527</v>
      </c>
      <c r="H39" s="7">
        <v>528726</v>
      </c>
      <c r="I39" s="7">
        <v>528726</v>
      </c>
      <c r="J39" s="7">
        <v>0</v>
      </c>
      <c r="K39" s="7">
        <f t="shared" si="0"/>
        <v>528726</v>
      </c>
      <c r="M39" s="6">
        <v>0</v>
      </c>
      <c r="N39" s="6">
        <v>528726</v>
      </c>
      <c r="O39" s="7">
        <f t="shared" si="1"/>
        <v>33616291</v>
      </c>
    </row>
    <row r="40" spans="1:15" ht="16" x14ac:dyDescent="0.2">
      <c r="A40" s="2">
        <v>46054</v>
      </c>
      <c r="B40" s="3" t="s">
        <v>17</v>
      </c>
      <c r="C40" s="3" t="s">
        <v>56</v>
      </c>
      <c r="D40" t="s">
        <v>267</v>
      </c>
      <c r="E40" t="s">
        <v>326</v>
      </c>
      <c r="F40" s="7">
        <v>11600000</v>
      </c>
      <c r="G40" s="8" t="s">
        <v>527</v>
      </c>
      <c r="H40" s="7">
        <v>127600</v>
      </c>
      <c r="I40" s="7">
        <v>127600</v>
      </c>
      <c r="J40" s="7">
        <v>0</v>
      </c>
      <c r="K40" s="7">
        <f t="shared" si="0"/>
        <v>127600</v>
      </c>
      <c r="M40" s="6">
        <v>0</v>
      </c>
      <c r="N40" s="6">
        <v>127600</v>
      </c>
      <c r="O40" s="7">
        <f t="shared" si="1"/>
        <v>33743891</v>
      </c>
    </row>
    <row r="41" spans="1:15" ht="16" x14ac:dyDescent="0.2">
      <c r="A41" s="2">
        <v>46054</v>
      </c>
      <c r="B41" s="3" t="s">
        <v>17</v>
      </c>
      <c r="C41" s="3" t="s">
        <v>57</v>
      </c>
      <c r="D41" s="8" t="s">
        <v>541</v>
      </c>
      <c r="E41" t="s">
        <v>327</v>
      </c>
      <c r="F41" s="7">
        <v>3208333</v>
      </c>
      <c r="G41" s="8" t="s">
        <v>527</v>
      </c>
      <c r="H41" s="7">
        <v>385000</v>
      </c>
      <c r="I41" s="7">
        <v>385000</v>
      </c>
      <c r="J41" s="7">
        <v>0</v>
      </c>
      <c r="K41" s="7">
        <f t="shared" si="0"/>
        <v>385000</v>
      </c>
      <c r="M41" s="6">
        <v>0</v>
      </c>
      <c r="N41" s="6">
        <v>385000</v>
      </c>
      <c r="O41" s="7">
        <f t="shared" si="1"/>
        <v>34128891</v>
      </c>
    </row>
    <row r="42" spans="1:15" ht="16" x14ac:dyDescent="0.2">
      <c r="A42" s="2">
        <v>46054</v>
      </c>
      <c r="B42" s="3" t="s">
        <v>17</v>
      </c>
      <c r="C42" s="3" t="s">
        <v>58</v>
      </c>
      <c r="D42" s="8" t="s">
        <v>535</v>
      </c>
      <c r="E42" t="s">
        <v>328</v>
      </c>
      <c r="F42" s="7">
        <v>21120000</v>
      </c>
      <c r="G42" s="8" t="s">
        <v>527</v>
      </c>
      <c r="H42" s="7">
        <v>232320</v>
      </c>
      <c r="I42" s="7">
        <v>232320</v>
      </c>
      <c r="J42" s="7">
        <v>0</v>
      </c>
      <c r="K42" s="7">
        <f t="shared" si="0"/>
        <v>232320</v>
      </c>
      <c r="M42" s="6">
        <v>0</v>
      </c>
      <c r="N42" s="6">
        <v>232320</v>
      </c>
      <c r="O42" s="7">
        <f t="shared" si="1"/>
        <v>34361211</v>
      </c>
    </row>
    <row r="43" spans="1:15" ht="16" x14ac:dyDescent="0.2">
      <c r="A43" s="2">
        <v>46082</v>
      </c>
      <c r="B43" s="4" t="s">
        <v>15</v>
      </c>
      <c r="C43" s="4" t="s">
        <v>59</v>
      </c>
      <c r="D43" s="8" t="s">
        <v>534</v>
      </c>
      <c r="E43" t="s">
        <v>329</v>
      </c>
      <c r="F43" s="7">
        <v>585585586</v>
      </c>
      <c r="G43" s="8" t="s">
        <v>520</v>
      </c>
      <c r="H43" s="7">
        <v>64414414</v>
      </c>
      <c r="I43" s="7">
        <v>64414414</v>
      </c>
      <c r="J43" s="9">
        <f>I43</f>
        <v>64414414</v>
      </c>
      <c r="K43" s="7">
        <f t="shared" si="0"/>
        <v>0</v>
      </c>
      <c r="M43" s="6">
        <v>0</v>
      </c>
      <c r="N43" s="6">
        <v>0</v>
      </c>
      <c r="O43" s="7">
        <f t="shared" si="1"/>
        <v>34361211</v>
      </c>
    </row>
    <row r="44" spans="1:15" ht="16" x14ac:dyDescent="0.2">
      <c r="A44" s="2">
        <v>46082</v>
      </c>
      <c r="B44" s="4" t="s">
        <v>15</v>
      </c>
      <c r="C44" s="4" t="s">
        <v>60</v>
      </c>
      <c r="D44" s="8" t="s">
        <v>539</v>
      </c>
      <c r="E44" t="s">
        <v>330</v>
      </c>
      <c r="F44" s="7">
        <v>27500000</v>
      </c>
      <c r="G44" s="8" t="s">
        <v>520</v>
      </c>
      <c r="H44" s="7">
        <v>3025000</v>
      </c>
      <c r="I44" s="7">
        <v>3025000</v>
      </c>
      <c r="J44" s="9">
        <f>I44</f>
        <v>3025000</v>
      </c>
      <c r="K44" s="7">
        <f t="shared" si="0"/>
        <v>0</v>
      </c>
      <c r="M44" s="6">
        <v>0</v>
      </c>
      <c r="N44" s="6">
        <v>0</v>
      </c>
      <c r="O44" s="7">
        <f t="shared" si="1"/>
        <v>34361211</v>
      </c>
    </row>
    <row r="45" spans="1:15" ht="16" x14ac:dyDescent="0.2">
      <c r="A45" s="2">
        <v>46082</v>
      </c>
      <c r="B45" s="4" t="s">
        <v>15</v>
      </c>
      <c r="C45" s="4" t="s">
        <v>61</v>
      </c>
      <c r="D45" s="8" t="s">
        <v>549</v>
      </c>
      <c r="E45" t="s">
        <v>331</v>
      </c>
      <c r="F45" s="7">
        <v>179405050</v>
      </c>
      <c r="G45" s="8" t="s">
        <v>520</v>
      </c>
      <c r="H45" s="7">
        <v>19734556</v>
      </c>
      <c r="I45" s="7">
        <v>19734556</v>
      </c>
      <c r="J45" s="9">
        <f>I45</f>
        <v>19734556</v>
      </c>
      <c r="K45" s="7">
        <f t="shared" si="0"/>
        <v>0</v>
      </c>
      <c r="M45" s="6">
        <v>0</v>
      </c>
      <c r="N45" s="6">
        <v>0</v>
      </c>
      <c r="O45" s="7">
        <f t="shared" si="1"/>
        <v>34361211</v>
      </c>
    </row>
    <row r="46" spans="1:15" ht="16" x14ac:dyDescent="0.2">
      <c r="A46" s="2">
        <v>46082</v>
      </c>
      <c r="B46" s="4" t="s">
        <v>15</v>
      </c>
      <c r="C46" s="4" t="s">
        <v>62</v>
      </c>
      <c r="D46" s="8" t="s">
        <v>549</v>
      </c>
      <c r="E46" t="s">
        <v>332</v>
      </c>
      <c r="F46" s="7">
        <v>585585586</v>
      </c>
      <c r="G46" s="8" t="s">
        <v>520</v>
      </c>
      <c r="H46" s="7">
        <v>64414414</v>
      </c>
      <c r="I46" s="7">
        <v>64414414</v>
      </c>
      <c r="J46" s="9">
        <f>I46</f>
        <v>64414414</v>
      </c>
      <c r="K46" s="7">
        <f t="shared" si="0"/>
        <v>0</v>
      </c>
      <c r="M46" s="6">
        <v>0</v>
      </c>
      <c r="N46" s="6">
        <v>0</v>
      </c>
      <c r="O46" s="7">
        <f t="shared" si="1"/>
        <v>34361211</v>
      </c>
    </row>
    <row r="47" spans="1:15" ht="16" x14ac:dyDescent="0.2">
      <c r="A47" s="2">
        <v>46082</v>
      </c>
      <c r="B47" s="4" t="s">
        <v>15</v>
      </c>
      <c r="C47" s="4" t="s">
        <v>63</v>
      </c>
      <c r="D47" s="8" t="s">
        <v>545</v>
      </c>
      <c r="E47" t="s">
        <v>333</v>
      </c>
      <c r="F47" s="7">
        <v>199357556</v>
      </c>
      <c r="G47" s="8" t="s">
        <v>522</v>
      </c>
      <c r="H47" s="7">
        <v>21929331</v>
      </c>
      <c r="I47" s="7">
        <v>21929331</v>
      </c>
      <c r="J47" s="7">
        <v>0</v>
      </c>
      <c r="K47" s="7">
        <f t="shared" si="0"/>
        <v>21929331</v>
      </c>
      <c r="M47" s="6">
        <v>0</v>
      </c>
      <c r="N47" s="6">
        <v>0</v>
      </c>
      <c r="O47" s="7">
        <f t="shared" si="1"/>
        <v>34361211</v>
      </c>
    </row>
    <row r="48" spans="1:15" ht="16" x14ac:dyDescent="0.2">
      <c r="A48" s="2">
        <v>46082</v>
      </c>
      <c r="B48" s="4" t="s">
        <v>15</v>
      </c>
      <c r="C48" s="4" t="s">
        <v>64</v>
      </c>
      <c r="D48" s="8" t="s">
        <v>545</v>
      </c>
      <c r="E48" t="s">
        <v>334</v>
      </c>
      <c r="F48" s="7">
        <v>47740000</v>
      </c>
      <c r="G48" s="8" t="s">
        <v>520</v>
      </c>
      <c r="H48" s="7">
        <v>5251400</v>
      </c>
      <c r="I48" s="7">
        <v>5251400</v>
      </c>
      <c r="J48" s="9">
        <f>I48</f>
        <v>5251400</v>
      </c>
      <c r="K48" s="7">
        <f t="shared" si="0"/>
        <v>0</v>
      </c>
      <c r="M48" s="6">
        <v>0</v>
      </c>
      <c r="N48" s="6">
        <v>0</v>
      </c>
      <c r="O48" s="7">
        <f t="shared" si="1"/>
        <v>34361211</v>
      </c>
    </row>
    <row r="49" spans="1:15" ht="16" x14ac:dyDescent="0.2">
      <c r="A49" s="2">
        <v>46082</v>
      </c>
      <c r="B49" s="3" t="s">
        <v>16</v>
      </c>
      <c r="C49" s="4" t="s">
        <v>65</v>
      </c>
      <c r="D49" t="s">
        <v>269</v>
      </c>
      <c r="E49" t="s">
        <v>335</v>
      </c>
      <c r="F49" s="7">
        <v>31000000</v>
      </c>
      <c r="G49" s="8" t="s">
        <v>520</v>
      </c>
      <c r="H49" s="7">
        <v>3410000</v>
      </c>
      <c r="I49" s="7">
        <v>0</v>
      </c>
      <c r="J49" s="7">
        <v>0</v>
      </c>
      <c r="K49" s="7">
        <f t="shared" si="0"/>
        <v>0</v>
      </c>
      <c r="M49" s="6">
        <v>3410000</v>
      </c>
      <c r="N49" s="6">
        <v>0</v>
      </c>
      <c r="O49" s="7">
        <f t="shared" si="1"/>
        <v>30951211</v>
      </c>
    </row>
    <row r="50" spans="1:15" ht="16" x14ac:dyDescent="0.2">
      <c r="A50" s="2">
        <v>46082</v>
      </c>
      <c r="B50" s="3" t="s">
        <v>16</v>
      </c>
      <c r="C50" s="4" t="s">
        <v>66</v>
      </c>
      <c r="D50" t="s">
        <v>270</v>
      </c>
      <c r="E50" t="s">
        <v>336</v>
      </c>
      <c r="F50" s="7">
        <v>142106938</v>
      </c>
      <c r="G50" s="8" t="s">
        <v>520</v>
      </c>
      <c r="H50" s="7">
        <v>1563176</v>
      </c>
      <c r="I50" s="7">
        <v>0</v>
      </c>
      <c r="J50" s="7">
        <v>0</v>
      </c>
      <c r="K50" s="7">
        <f t="shared" si="0"/>
        <v>0</v>
      </c>
      <c r="M50" s="6">
        <v>1563176</v>
      </c>
      <c r="N50" s="6">
        <v>0</v>
      </c>
      <c r="O50" s="7">
        <f t="shared" si="1"/>
        <v>29388035</v>
      </c>
    </row>
    <row r="51" spans="1:15" ht="16" x14ac:dyDescent="0.2">
      <c r="A51" s="2">
        <v>46082</v>
      </c>
      <c r="B51" s="4" t="s">
        <v>15</v>
      </c>
      <c r="C51" s="4" t="s">
        <v>67</v>
      </c>
      <c r="D51" s="8" t="s">
        <v>550</v>
      </c>
      <c r="E51" t="s">
        <v>337</v>
      </c>
      <c r="F51" s="7">
        <v>565862556</v>
      </c>
      <c r="G51" s="8" t="s">
        <v>522</v>
      </c>
      <c r="H51" s="7">
        <v>62244881</v>
      </c>
      <c r="I51" s="7">
        <v>62244881</v>
      </c>
      <c r="J51" s="7">
        <v>0</v>
      </c>
      <c r="K51" s="7">
        <f t="shared" si="0"/>
        <v>62244881</v>
      </c>
      <c r="M51" s="6">
        <v>0</v>
      </c>
      <c r="N51" s="6">
        <v>0</v>
      </c>
      <c r="O51" s="7">
        <f t="shared" si="1"/>
        <v>29388035</v>
      </c>
    </row>
    <row r="52" spans="1:15" ht="16" x14ac:dyDescent="0.2">
      <c r="A52" s="2">
        <v>46082</v>
      </c>
      <c r="B52" s="4" t="s">
        <v>17</v>
      </c>
      <c r="C52" s="4" t="s">
        <v>68</v>
      </c>
      <c r="D52" s="8" t="s">
        <v>533</v>
      </c>
      <c r="E52" t="s">
        <v>338</v>
      </c>
      <c r="F52" s="7">
        <v>4600000</v>
      </c>
      <c r="G52" s="8" t="s">
        <v>527</v>
      </c>
      <c r="H52" s="7">
        <v>506000</v>
      </c>
      <c r="I52" s="7">
        <v>506000</v>
      </c>
      <c r="J52" s="7">
        <v>0</v>
      </c>
      <c r="K52" s="7">
        <f t="shared" si="0"/>
        <v>506000</v>
      </c>
      <c r="M52" s="6">
        <v>0</v>
      </c>
      <c r="N52" s="6">
        <v>506000</v>
      </c>
      <c r="O52" s="7">
        <f t="shared" si="1"/>
        <v>29894035</v>
      </c>
    </row>
    <row r="53" spans="1:15" ht="16" x14ac:dyDescent="0.2">
      <c r="A53" s="2">
        <v>46082</v>
      </c>
      <c r="B53" s="4" t="s">
        <v>17</v>
      </c>
      <c r="C53" s="4" t="s">
        <v>69</v>
      </c>
      <c r="D53" t="s">
        <v>268</v>
      </c>
      <c r="E53" t="s">
        <v>339</v>
      </c>
      <c r="F53" s="7">
        <v>18018018</v>
      </c>
      <c r="G53" s="8" t="s">
        <v>527</v>
      </c>
      <c r="H53" s="7">
        <v>1981982</v>
      </c>
      <c r="I53" s="7">
        <v>1981982</v>
      </c>
      <c r="J53" s="7">
        <v>0</v>
      </c>
      <c r="K53" s="7">
        <f t="shared" si="0"/>
        <v>1981982</v>
      </c>
      <c r="M53" s="6">
        <v>0</v>
      </c>
      <c r="N53" s="6">
        <v>1981982</v>
      </c>
      <c r="O53" s="7">
        <f t="shared" si="1"/>
        <v>31876017</v>
      </c>
    </row>
    <row r="54" spans="1:15" ht="16" x14ac:dyDescent="0.2">
      <c r="A54" s="2">
        <v>46082</v>
      </c>
      <c r="B54" s="4" t="s">
        <v>17</v>
      </c>
      <c r="C54" s="4" t="s">
        <v>70</v>
      </c>
      <c r="D54" t="s">
        <v>271</v>
      </c>
      <c r="E54" t="s">
        <v>340</v>
      </c>
      <c r="F54" s="7">
        <v>15119400</v>
      </c>
      <c r="G54" s="8" t="s">
        <v>527</v>
      </c>
      <c r="H54" s="7">
        <v>1663134</v>
      </c>
      <c r="I54" s="7">
        <v>1663134</v>
      </c>
      <c r="J54" s="7">
        <v>0</v>
      </c>
      <c r="K54" s="7">
        <f t="shared" si="0"/>
        <v>1663134</v>
      </c>
      <c r="M54" s="6">
        <v>0</v>
      </c>
      <c r="N54" s="6">
        <v>1663134</v>
      </c>
      <c r="O54" s="7">
        <f t="shared" si="1"/>
        <v>33539151</v>
      </c>
    </row>
    <row r="55" spans="1:15" ht="16" x14ac:dyDescent="0.2">
      <c r="A55" s="2">
        <v>46082</v>
      </c>
      <c r="B55" s="4" t="s">
        <v>17</v>
      </c>
      <c r="C55" s="4" t="s">
        <v>71</v>
      </c>
      <c r="D55" t="s">
        <v>272</v>
      </c>
      <c r="E55" t="s">
        <v>341</v>
      </c>
      <c r="F55" s="7">
        <v>210000000</v>
      </c>
      <c r="G55" s="8" t="s">
        <v>527</v>
      </c>
      <c r="H55" s="7">
        <v>23100000</v>
      </c>
      <c r="I55" s="7">
        <v>23100000</v>
      </c>
      <c r="J55" s="7">
        <v>0</v>
      </c>
      <c r="K55" s="7">
        <f t="shared" si="0"/>
        <v>23100000</v>
      </c>
      <c r="M55" s="6">
        <v>0</v>
      </c>
      <c r="N55" s="6">
        <v>23100000</v>
      </c>
      <c r="O55" s="7">
        <f t="shared" si="1"/>
        <v>56639151</v>
      </c>
    </row>
    <row r="56" spans="1:15" ht="16" x14ac:dyDescent="0.2">
      <c r="A56" s="2">
        <v>46082</v>
      </c>
      <c r="B56" s="4" t="s">
        <v>17</v>
      </c>
      <c r="C56" s="4" t="s">
        <v>72</v>
      </c>
      <c r="D56" s="8" t="s">
        <v>542</v>
      </c>
      <c r="E56" t="s">
        <v>342</v>
      </c>
      <c r="F56" s="7">
        <v>711712</v>
      </c>
      <c r="G56" s="8" t="s">
        <v>527</v>
      </c>
      <c r="H56" s="7">
        <v>78288</v>
      </c>
      <c r="I56" s="7">
        <v>78288</v>
      </c>
      <c r="J56" s="7">
        <v>0</v>
      </c>
      <c r="K56" s="7">
        <f t="shared" si="0"/>
        <v>78288</v>
      </c>
      <c r="M56" s="6">
        <v>0</v>
      </c>
      <c r="N56" s="6">
        <v>78288</v>
      </c>
      <c r="O56" s="7">
        <f t="shared" si="1"/>
        <v>56717439</v>
      </c>
    </row>
    <row r="57" spans="1:15" ht="16" x14ac:dyDescent="0.2">
      <c r="A57" s="2">
        <v>46082</v>
      </c>
      <c r="B57" s="4" t="s">
        <v>17</v>
      </c>
      <c r="C57" s="4" t="s">
        <v>73</v>
      </c>
      <c r="D57" t="s">
        <v>267</v>
      </c>
      <c r="E57" t="s">
        <v>343</v>
      </c>
      <c r="F57" s="7">
        <v>950000</v>
      </c>
      <c r="G57" s="8" t="s">
        <v>527</v>
      </c>
      <c r="H57" s="7">
        <v>10450</v>
      </c>
      <c r="I57" s="7">
        <v>10450</v>
      </c>
      <c r="J57" s="7">
        <v>0</v>
      </c>
      <c r="K57" s="7">
        <f t="shared" si="0"/>
        <v>10450</v>
      </c>
      <c r="M57" s="6">
        <v>0</v>
      </c>
      <c r="N57" s="6">
        <v>10450</v>
      </c>
      <c r="O57" s="7">
        <f t="shared" si="1"/>
        <v>56727889</v>
      </c>
    </row>
    <row r="58" spans="1:15" ht="16" x14ac:dyDescent="0.2">
      <c r="A58" s="2">
        <v>46082</v>
      </c>
      <c r="B58" s="4" t="s">
        <v>17</v>
      </c>
      <c r="C58" s="4" t="s">
        <v>74</v>
      </c>
      <c r="D58" s="8" t="s">
        <v>541</v>
      </c>
      <c r="E58" t="s">
        <v>344</v>
      </c>
      <c r="F58" s="7">
        <v>3208333</v>
      </c>
      <c r="G58" s="8" t="s">
        <v>527</v>
      </c>
      <c r="H58" s="7">
        <v>385000</v>
      </c>
      <c r="I58" s="7">
        <v>385000</v>
      </c>
      <c r="J58" s="7">
        <v>0</v>
      </c>
      <c r="K58" s="7">
        <f t="shared" si="0"/>
        <v>385000</v>
      </c>
      <c r="M58" s="6">
        <v>0</v>
      </c>
      <c r="N58" s="6">
        <v>385000</v>
      </c>
      <c r="O58" s="7">
        <f t="shared" si="1"/>
        <v>57112889</v>
      </c>
    </row>
    <row r="59" spans="1:15" ht="16" x14ac:dyDescent="0.2">
      <c r="A59" s="2">
        <v>46113</v>
      </c>
      <c r="B59" s="4" t="s">
        <v>15</v>
      </c>
      <c r="C59" s="4" t="s">
        <v>75</v>
      </c>
      <c r="D59" s="8" t="s">
        <v>549</v>
      </c>
      <c r="E59" t="s">
        <v>345</v>
      </c>
      <c r="F59" s="7">
        <v>106732800</v>
      </c>
      <c r="G59" s="8" t="s">
        <v>520</v>
      </c>
      <c r="H59" s="7">
        <v>11740608</v>
      </c>
      <c r="I59" s="7">
        <v>11740608</v>
      </c>
      <c r="J59" s="9">
        <f>I59</f>
        <v>11740608</v>
      </c>
      <c r="K59" s="7">
        <f t="shared" si="0"/>
        <v>0</v>
      </c>
      <c r="M59" s="6">
        <v>0</v>
      </c>
      <c r="N59" s="6">
        <v>0</v>
      </c>
      <c r="O59" s="7">
        <f t="shared" si="1"/>
        <v>57112889</v>
      </c>
    </row>
    <row r="60" spans="1:15" ht="16" x14ac:dyDescent="0.2">
      <c r="A60" s="2">
        <v>46113</v>
      </c>
      <c r="B60" s="4" t="s">
        <v>15</v>
      </c>
      <c r="C60" s="4" t="s">
        <v>76</v>
      </c>
      <c r="D60" s="8" t="s">
        <v>549</v>
      </c>
      <c r="E60" t="s">
        <v>346</v>
      </c>
      <c r="F60" s="7">
        <v>155209608</v>
      </c>
      <c r="G60" s="8" t="s">
        <v>520</v>
      </c>
      <c r="H60" s="7">
        <v>17073057</v>
      </c>
      <c r="I60" s="7">
        <v>17073057</v>
      </c>
      <c r="J60" s="9">
        <f>I60</f>
        <v>17073057</v>
      </c>
      <c r="K60" s="7">
        <f t="shared" si="0"/>
        <v>0</v>
      </c>
      <c r="M60" s="6">
        <v>0</v>
      </c>
      <c r="N60" s="6">
        <v>0</v>
      </c>
      <c r="O60" s="7">
        <f t="shared" si="1"/>
        <v>57112889</v>
      </c>
    </row>
    <row r="61" spans="1:15" ht="16" x14ac:dyDescent="0.2">
      <c r="A61" s="2">
        <v>46113</v>
      </c>
      <c r="B61" s="4" t="s">
        <v>15</v>
      </c>
      <c r="C61" s="4" t="s">
        <v>77</v>
      </c>
      <c r="D61" s="8" t="s">
        <v>549</v>
      </c>
      <c r="E61" t="s">
        <v>347</v>
      </c>
      <c r="F61" s="7">
        <v>84810000</v>
      </c>
      <c r="G61" s="8" t="s">
        <v>520</v>
      </c>
      <c r="H61" s="7">
        <v>9329100</v>
      </c>
      <c r="I61" s="7">
        <v>9329100</v>
      </c>
      <c r="J61" s="9">
        <f>I61</f>
        <v>9329100</v>
      </c>
      <c r="K61" s="7">
        <f t="shared" si="0"/>
        <v>0</v>
      </c>
      <c r="M61" s="6">
        <v>0</v>
      </c>
      <c r="N61" s="6">
        <v>0</v>
      </c>
      <c r="O61" s="7">
        <f t="shared" si="1"/>
        <v>57112889</v>
      </c>
    </row>
    <row r="62" spans="1:15" ht="16" x14ac:dyDescent="0.2">
      <c r="A62" s="2">
        <v>46113</v>
      </c>
      <c r="B62" s="4" t="s">
        <v>15</v>
      </c>
      <c r="C62" s="4" t="s">
        <v>78</v>
      </c>
      <c r="D62" s="8" t="s">
        <v>549</v>
      </c>
      <c r="E62" t="s">
        <v>348</v>
      </c>
      <c r="F62" s="7">
        <v>77006529</v>
      </c>
      <c r="G62" s="8" t="s">
        <v>520</v>
      </c>
      <c r="H62" s="7">
        <v>8470718</v>
      </c>
      <c r="I62" s="7">
        <v>8470718</v>
      </c>
      <c r="J62" s="9">
        <f>I62</f>
        <v>8470718</v>
      </c>
      <c r="K62" s="7">
        <f t="shared" si="0"/>
        <v>0</v>
      </c>
      <c r="M62" s="6">
        <v>0</v>
      </c>
      <c r="N62" s="6">
        <v>0</v>
      </c>
      <c r="O62" s="7">
        <f t="shared" si="1"/>
        <v>57112889</v>
      </c>
    </row>
    <row r="63" spans="1:15" ht="16" x14ac:dyDescent="0.2">
      <c r="A63" s="2">
        <v>46113</v>
      </c>
      <c r="B63" s="3" t="s">
        <v>16</v>
      </c>
      <c r="C63" s="4" t="s">
        <v>79</v>
      </c>
      <c r="D63" t="s">
        <v>270</v>
      </c>
      <c r="E63" t="s">
        <v>349</v>
      </c>
      <c r="F63" s="7">
        <v>15950890</v>
      </c>
      <c r="G63" s="8" t="s">
        <v>520</v>
      </c>
      <c r="H63" s="7">
        <v>175460</v>
      </c>
      <c r="I63" s="7">
        <v>0</v>
      </c>
      <c r="J63" s="7">
        <v>0</v>
      </c>
      <c r="K63" s="7">
        <f t="shared" si="0"/>
        <v>0</v>
      </c>
      <c r="M63" s="6">
        <v>175460</v>
      </c>
      <c r="N63" s="6">
        <v>0</v>
      </c>
      <c r="O63" s="7">
        <f t="shared" si="1"/>
        <v>56937429</v>
      </c>
    </row>
    <row r="64" spans="1:15" ht="16" x14ac:dyDescent="0.2">
      <c r="A64" s="2">
        <v>46113</v>
      </c>
      <c r="B64" s="3" t="s">
        <v>16</v>
      </c>
      <c r="C64" s="4" t="s">
        <v>80</v>
      </c>
      <c r="D64" t="s">
        <v>270</v>
      </c>
      <c r="E64" t="s">
        <v>350</v>
      </c>
      <c r="F64" s="7">
        <v>9533500</v>
      </c>
      <c r="G64" s="8" t="s">
        <v>520</v>
      </c>
      <c r="H64" s="7">
        <v>104869</v>
      </c>
      <c r="I64" s="7">
        <v>0</v>
      </c>
      <c r="J64" s="7">
        <v>0</v>
      </c>
      <c r="K64" s="7">
        <f t="shared" si="0"/>
        <v>0</v>
      </c>
      <c r="M64" s="6">
        <v>104869</v>
      </c>
      <c r="N64" s="6">
        <v>0</v>
      </c>
      <c r="O64" s="7">
        <f t="shared" si="1"/>
        <v>56832560</v>
      </c>
    </row>
    <row r="65" spans="1:15" ht="16" x14ac:dyDescent="0.2">
      <c r="A65" s="2">
        <v>46113</v>
      </c>
      <c r="B65" s="3" t="s">
        <v>16</v>
      </c>
      <c r="C65" s="4" t="s">
        <v>81</v>
      </c>
      <c r="D65" t="s">
        <v>270</v>
      </c>
      <c r="E65" t="s">
        <v>351</v>
      </c>
      <c r="F65" s="7">
        <v>15849140</v>
      </c>
      <c r="G65" s="8" t="s">
        <v>520</v>
      </c>
      <c r="H65" s="7">
        <v>174341</v>
      </c>
      <c r="I65" s="7">
        <v>0</v>
      </c>
      <c r="J65" s="7">
        <v>0</v>
      </c>
      <c r="K65" s="7">
        <f t="shared" si="0"/>
        <v>0</v>
      </c>
      <c r="M65" s="6">
        <v>174341</v>
      </c>
      <c r="N65" s="6">
        <v>0</v>
      </c>
      <c r="O65" s="7">
        <f t="shared" si="1"/>
        <v>56658219</v>
      </c>
    </row>
    <row r="66" spans="1:15" ht="16" x14ac:dyDescent="0.2">
      <c r="A66" s="2">
        <v>46113</v>
      </c>
      <c r="B66" s="3" t="s">
        <v>16</v>
      </c>
      <c r="C66" s="4" t="s">
        <v>82</v>
      </c>
      <c r="D66" t="s">
        <v>270</v>
      </c>
      <c r="E66" t="s">
        <v>352</v>
      </c>
      <c r="F66" s="7">
        <v>27264890</v>
      </c>
      <c r="G66" s="8" t="s">
        <v>520</v>
      </c>
      <c r="H66" s="7">
        <v>299914</v>
      </c>
      <c r="I66" s="7">
        <v>0</v>
      </c>
      <c r="J66" s="7">
        <v>0</v>
      </c>
      <c r="K66" s="7">
        <f t="shared" si="0"/>
        <v>0</v>
      </c>
      <c r="M66" s="6">
        <v>299914</v>
      </c>
      <c r="N66" s="6">
        <v>0</v>
      </c>
      <c r="O66" s="7">
        <f t="shared" si="1"/>
        <v>56358305</v>
      </c>
    </row>
    <row r="67" spans="1:15" ht="16" x14ac:dyDescent="0.2">
      <c r="A67" s="2">
        <v>46113</v>
      </c>
      <c r="B67" s="3" t="s">
        <v>16</v>
      </c>
      <c r="C67" s="4" t="s">
        <v>83</v>
      </c>
      <c r="D67" t="s">
        <v>273</v>
      </c>
      <c r="E67" t="s">
        <v>353</v>
      </c>
      <c r="F67" s="7">
        <v>19500000</v>
      </c>
      <c r="G67" s="8" t="s">
        <v>520</v>
      </c>
      <c r="H67" s="7">
        <v>2145000</v>
      </c>
      <c r="I67" s="7">
        <v>0</v>
      </c>
      <c r="J67" s="7">
        <v>0</v>
      </c>
      <c r="K67" s="7">
        <f t="shared" ref="K67:K130" si="3">I67-J67</f>
        <v>0</v>
      </c>
      <c r="M67" s="6">
        <v>2145000</v>
      </c>
      <c r="N67" s="6">
        <v>0</v>
      </c>
      <c r="O67" s="7">
        <f t="shared" si="1"/>
        <v>54213305</v>
      </c>
    </row>
    <row r="68" spans="1:15" ht="16" x14ac:dyDescent="0.2">
      <c r="A68" s="2">
        <v>46113</v>
      </c>
      <c r="B68" s="3" t="s">
        <v>16</v>
      </c>
      <c r="C68" s="4" t="s">
        <v>84</v>
      </c>
      <c r="D68" t="s">
        <v>270</v>
      </c>
      <c r="E68" t="s">
        <v>354</v>
      </c>
      <c r="F68" s="7">
        <v>382464560</v>
      </c>
      <c r="G68" s="8" t="s">
        <v>520</v>
      </c>
      <c r="H68" s="7">
        <v>4207110</v>
      </c>
      <c r="I68" s="7">
        <v>0</v>
      </c>
      <c r="J68" s="7">
        <v>0</v>
      </c>
      <c r="K68" s="7">
        <f t="shared" si="3"/>
        <v>0</v>
      </c>
      <c r="M68" s="6">
        <v>4207110</v>
      </c>
      <c r="N68" s="6">
        <v>0</v>
      </c>
      <c r="O68" s="7">
        <f t="shared" ref="O68:O131" si="4">O67-M68+N68</f>
        <v>50006195</v>
      </c>
    </row>
    <row r="69" spans="1:15" ht="16" x14ac:dyDescent="0.2">
      <c r="A69" s="2">
        <v>46113</v>
      </c>
      <c r="B69" s="4" t="s">
        <v>16</v>
      </c>
      <c r="C69" s="4" t="s">
        <v>85</v>
      </c>
      <c r="D69" t="s">
        <v>270</v>
      </c>
      <c r="E69" t="s">
        <v>355</v>
      </c>
      <c r="F69" s="7">
        <v>154159950</v>
      </c>
      <c r="G69" s="8" t="s">
        <v>520</v>
      </c>
      <c r="H69" s="7">
        <v>1695759</v>
      </c>
      <c r="I69" s="7">
        <v>0</v>
      </c>
      <c r="J69" s="7">
        <v>0</v>
      </c>
      <c r="K69" s="7">
        <f t="shared" si="3"/>
        <v>0</v>
      </c>
      <c r="M69" s="6">
        <v>1695759</v>
      </c>
      <c r="N69" s="6">
        <v>0</v>
      </c>
      <c r="O69" s="7">
        <f t="shared" si="4"/>
        <v>48310436</v>
      </c>
    </row>
    <row r="70" spans="1:15" ht="16" x14ac:dyDescent="0.2">
      <c r="A70" s="2">
        <v>46113</v>
      </c>
      <c r="B70" s="4" t="s">
        <v>15</v>
      </c>
      <c r="C70" s="4" t="s">
        <v>86</v>
      </c>
      <c r="D70" s="8" t="s">
        <v>545</v>
      </c>
      <c r="E70" t="s">
        <v>356</v>
      </c>
      <c r="F70" s="7">
        <v>20642850</v>
      </c>
      <c r="G70" s="8" t="s">
        <v>520</v>
      </c>
      <c r="H70" s="7">
        <v>2270714</v>
      </c>
      <c r="I70" s="7">
        <v>2270714</v>
      </c>
      <c r="J70" s="9">
        <f>I70</f>
        <v>2270714</v>
      </c>
      <c r="K70" s="7">
        <f t="shared" si="3"/>
        <v>0</v>
      </c>
      <c r="M70" s="6">
        <v>0</v>
      </c>
      <c r="N70" s="6">
        <v>0</v>
      </c>
      <c r="O70" s="7">
        <f t="shared" si="4"/>
        <v>48310436</v>
      </c>
    </row>
    <row r="71" spans="1:15" ht="16" x14ac:dyDescent="0.2">
      <c r="A71" s="2">
        <v>46113</v>
      </c>
      <c r="B71" s="4" t="s">
        <v>16</v>
      </c>
      <c r="C71" s="4" t="s">
        <v>87</v>
      </c>
      <c r="D71" s="8" t="s">
        <v>544</v>
      </c>
      <c r="E71" t="s">
        <v>357</v>
      </c>
      <c r="F71" s="7">
        <v>840751731</v>
      </c>
      <c r="G71" s="8" t="s">
        <v>520</v>
      </c>
      <c r="H71" s="7">
        <v>9248269</v>
      </c>
      <c r="I71" s="7">
        <v>0</v>
      </c>
      <c r="J71" s="9">
        <v>0</v>
      </c>
      <c r="K71" s="7">
        <f t="shared" si="3"/>
        <v>0</v>
      </c>
      <c r="M71" s="6">
        <v>9248269</v>
      </c>
      <c r="N71" s="6">
        <v>0</v>
      </c>
      <c r="O71" s="7">
        <f t="shared" si="4"/>
        <v>39062167</v>
      </c>
    </row>
    <row r="72" spans="1:15" ht="16" x14ac:dyDescent="0.2">
      <c r="A72" s="2">
        <v>46113</v>
      </c>
      <c r="B72" s="4" t="s">
        <v>16</v>
      </c>
      <c r="C72" s="4" t="s">
        <v>88</v>
      </c>
      <c r="D72" t="s">
        <v>274</v>
      </c>
      <c r="E72" t="s">
        <v>358</v>
      </c>
      <c r="F72" s="7">
        <v>10250000</v>
      </c>
      <c r="G72" s="8" t="s">
        <v>520</v>
      </c>
      <c r="H72" s="7">
        <v>1127500</v>
      </c>
      <c r="I72" s="7">
        <v>0</v>
      </c>
      <c r="J72" s="9">
        <v>0</v>
      </c>
      <c r="K72" s="7">
        <f t="shared" si="3"/>
        <v>0</v>
      </c>
      <c r="M72" s="6">
        <v>1127500</v>
      </c>
      <c r="N72" s="6">
        <v>0</v>
      </c>
      <c r="O72" s="7">
        <f t="shared" si="4"/>
        <v>37934667</v>
      </c>
    </row>
    <row r="73" spans="1:15" ht="16" x14ac:dyDescent="0.2">
      <c r="A73" s="2">
        <v>46113</v>
      </c>
      <c r="B73" s="4" t="s">
        <v>16</v>
      </c>
      <c r="C73" s="4" t="s">
        <v>89</v>
      </c>
      <c r="D73" t="s">
        <v>274</v>
      </c>
      <c r="E73" t="s">
        <v>359</v>
      </c>
      <c r="F73" s="7">
        <v>5125000</v>
      </c>
      <c r="G73" s="8" t="s">
        <v>520</v>
      </c>
      <c r="H73" s="7">
        <v>563750</v>
      </c>
      <c r="I73" s="7">
        <v>0</v>
      </c>
      <c r="J73" s="9">
        <v>0</v>
      </c>
      <c r="K73" s="7">
        <f t="shared" si="3"/>
        <v>0</v>
      </c>
      <c r="M73" s="6">
        <v>563750</v>
      </c>
      <c r="N73" s="6">
        <v>0</v>
      </c>
      <c r="O73" s="7">
        <f t="shared" si="4"/>
        <v>37370917</v>
      </c>
    </row>
    <row r="74" spans="1:15" ht="16" x14ac:dyDescent="0.2">
      <c r="A74" s="2">
        <v>46113</v>
      </c>
      <c r="B74" s="4" t="s">
        <v>16</v>
      </c>
      <c r="C74" s="4" t="s">
        <v>90</v>
      </c>
      <c r="D74" t="s">
        <v>274</v>
      </c>
      <c r="E74" t="s">
        <v>360</v>
      </c>
      <c r="F74" s="7">
        <v>5125000</v>
      </c>
      <c r="G74" s="8" t="s">
        <v>520</v>
      </c>
      <c r="H74" s="7">
        <v>563750</v>
      </c>
      <c r="I74" s="7">
        <v>0</v>
      </c>
      <c r="J74" s="9">
        <v>0</v>
      </c>
      <c r="K74" s="7">
        <f t="shared" si="3"/>
        <v>0</v>
      </c>
      <c r="M74" s="6">
        <v>563750</v>
      </c>
      <c r="N74" s="6">
        <v>0</v>
      </c>
      <c r="O74" s="7">
        <f t="shared" si="4"/>
        <v>36807167</v>
      </c>
    </row>
    <row r="75" spans="1:15" ht="16" x14ac:dyDescent="0.2">
      <c r="A75" s="2">
        <v>46113</v>
      </c>
      <c r="B75" s="4" t="s">
        <v>16</v>
      </c>
      <c r="C75" s="4" t="s">
        <v>91</v>
      </c>
      <c r="D75" t="s">
        <v>274</v>
      </c>
      <c r="E75" t="s">
        <v>361</v>
      </c>
      <c r="F75" s="7">
        <v>5125000</v>
      </c>
      <c r="G75" s="8" t="s">
        <v>520</v>
      </c>
      <c r="H75" s="7">
        <v>563750</v>
      </c>
      <c r="I75" s="7">
        <v>0</v>
      </c>
      <c r="J75" s="9">
        <v>0</v>
      </c>
      <c r="K75" s="7">
        <f t="shared" si="3"/>
        <v>0</v>
      </c>
      <c r="M75" s="6">
        <v>563750</v>
      </c>
      <c r="N75" s="6">
        <v>0</v>
      </c>
      <c r="O75" s="7">
        <f t="shared" si="4"/>
        <v>36243417</v>
      </c>
    </row>
    <row r="76" spans="1:15" ht="16" x14ac:dyDescent="0.2">
      <c r="A76" s="2">
        <v>46113</v>
      </c>
      <c r="B76" s="4" t="s">
        <v>16</v>
      </c>
      <c r="C76" s="4" t="s">
        <v>92</v>
      </c>
      <c r="D76" t="s">
        <v>274</v>
      </c>
      <c r="E76" t="s">
        <v>362</v>
      </c>
      <c r="F76" s="7">
        <v>5125000</v>
      </c>
      <c r="G76" s="8" t="s">
        <v>520</v>
      </c>
      <c r="H76" s="7">
        <v>563750</v>
      </c>
      <c r="I76" s="7">
        <v>0</v>
      </c>
      <c r="J76" s="9">
        <v>0</v>
      </c>
      <c r="K76" s="7">
        <f t="shared" si="3"/>
        <v>0</v>
      </c>
      <c r="M76" s="6">
        <v>563750</v>
      </c>
      <c r="N76" s="6">
        <v>0</v>
      </c>
      <c r="O76" s="7">
        <f t="shared" si="4"/>
        <v>35679667</v>
      </c>
    </row>
    <row r="77" spans="1:15" ht="16" x14ac:dyDescent="0.2">
      <c r="A77" s="2">
        <v>46113</v>
      </c>
      <c r="B77" s="4" t="s">
        <v>16</v>
      </c>
      <c r="C77" s="4" t="s">
        <v>93</v>
      </c>
      <c r="D77" t="s">
        <v>274</v>
      </c>
      <c r="E77" t="s">
        <v>363</v>
      </c>
      <c r="F77" s="7">
        <v>5125000</v>
      </c>
      <c r="G77" s="8" t="s">
        <v>520</v>
      </c>
      <c r="H77" s="7">
        <v>563750</v>
      </c>
      <c r="I77" s="7">
        <v>0</v>
      </c>
      <c r="J77" s="9">
        <v>0</v>
      </c>
      <c r="K77" s="7">
        <f t="shared" si="3"/>
        <v>0</v>
      </c>
      <c r="M77" s="6">
        <v>563750</v>
      </c>
      <c r="N77" s="6">
        <v>0</v>
      </c>
      <c r="O77" s="7">
        <f t="shared" si="4"/>
        <v>35115917</v>
      </c>
    </row>
    <row r="78" spans="1:15" ht="16" x14ac:dyDescent="0.2">
      <c r="A78" s="2">
        <v>46113</v>
      </c>
      <c r="B78" s="4" t="s">
        <v>16</v>
      </c>
      <c r="C78" s="4" t="s">
        <v>94</v>
      </c>
      <c r="D78" t="s">
        <v>274</v>
      </c>
      <c r="E78" t="s">
        <v>364</v>
      </c>
      <c r="F78" s="7">
        <v>5125000</v>
      </c>
      <c r="G78" s="8" t="s">
        <v>520</v>
      </c>
      <c r="H78" s="7">
        <v>563750</v>
      </c>
      <c r="I78" s="7">
        <v>0</v>
      </c>
      <c r="J78" s="9">
        <v>0</v>
      </c>
      <c r="K78" s="7">
        <f t="shared" si="3"/>
        <v>0</v>
      </c>
      <c r="M78" s="6">
        <v>563750</v>
      </c>
      <c r="N78" s="6">
        <v>0</v>
      </c>
      <c r="O78" s="7">
        <f t="shared" si="4"/>
        <v>34552167</v>
      </c>
    </row>
    <row r="79" spans="1:15" ht="16" x14ac:dyDescent="0.2">
      <c r="A79" s="2">
        <v>46113</v>
      </c>
      <c r="B79" s="4" t="s">
        <v>15</v>
      </c>
      <c r="C79" s="4" t="s">
        <v>95</v>
      </c>
      <c r="D79" s="8" t="s">
        <v>545</v>
      </c>
      <c r="E79" t="s">
        <v>365</v>
      </c>
      <c r="F79" s="7">
        <v>49392591</v>
      </c>
      <c r="G79" s="8" t="s">
        <v>520</v>
      </c>
      <c r="H79" s="7">
        <v>5433185</v>
      </c>
      <c r="I79" s="7">
        <v>5433185</v>
      </c>
      <c r="J79" s="7">
        <f>I79</f>
        <v>5433185</v>
      </c>
      <c r="K79" s="7">
        <f t="shared" si="3"/>
        <v>0</v>
      </c>
      <c r="M79" s="6">
        <v>0</v>
      </c>
      <c r="N79" s="6">
        <v>0</v>
      </c>
      <c r="O79" s="7">
        <f t="shared" si="4"/>
        <v>34552167</v>
      </c>
    </row>
    <row r="80" spans="1:15" ht="16" x14ac:dyDescent="0.2">
      <c r="A80" s="2">
        <v>46113</v>
      </c>
      <c r="B80" s="4" t="s">
        <v>15</v>
      </c>
      <c r="C80" s="4" t="s">
        <v>96</v>
      </c>
      <c r="D80" s="8" t="s">
        <v>545</v>
      </c>
      <c r="E80" t="s">
        <v>366</v>
      </c>
      <c r="F80" s="7">
        <v>80223289</v>
      </c>
      <c r="G80" s="8" t="s">
        <v>520</v>
      </c>
      <c r="H80" s="7">
        <v>8824562</v>
      </c>
      <c r="I80" s="7">
        <v>8824562</v>
      </c>
      <c r="J80" s="9">
        <f>I80</f>
        <v>8824562</v>
      </c>
      <c r="K80" s="7">
        <f t="shared" si="3"/>
        <v>0</v>
      </c>
      <c r="M80" s="6">
        <v>0</v>
      </c>
      <c r="N80" s="6">
        <v>0</v>
      </c>
      <c r="O80" s="7">
        <f t="shared" si="4"/>
        <v>34552167</v>
      </c>
    </row>
    <row r="81" spans="1:15" ht="16" x14ac:dyDescent="0.2">
      <c r="A81" s="2">
        <v>46113</v>
      </c>
      <c r="B81" s="4" t="s">
        <v>16</v>
      </c>
      <c r="C81" s="4" t="s">
        <v>97</v>
      </c>
      <c r="D81" t="s">
        <v>275</v>
      </c>
      <c r="E81" t="s">
        <v>367</v>
      </c>
      <c r="F81" s="7">
        <v>6000000</v>
      </c>
      <c r="G81" s="8" t="s">
        <v>520</v>
      </c>
      <c r="H81" s="7">
        <v>660000</v>
      </c>
      <c r="I81" s="7">
        <v>0</v>
      </c>
      <c r="J81" s="9">
        <v>0</v>
      </c>
      <c r="K81" s="7">
        <f t="shared" si="3"/>
        <v>0</v>
      </c>
      <c r="M81" s="6">
        <v>660000</v>
      </c>
      <c r="N81" s="6">
        <v>0</v>
      </c>
      <c r="O81" s="7">
        <f t="shared" si="4"/>
        <v>33892167</v>
      </c>
    </row>
    <row r="82" spans="1:15" ht="16" x14ac:dyDescent="0.2">
      <c r="A82" s="2">
        <v>46113</v>
      </c>
      <c r="B82" s="4" t="s">
        <v>15</v>
      </c>
      <c r="C82" s="4" t="s">
        <v>98</v>
      </c>
      <c r="D82" s="8" t="s">
        <v>545</v>
      </c>
      <c r="E82" t="s">
        <v>368</v>
      </c>
      <c r="F82" s="7">
        <v>13207563</v>
      </c>
      <c r="G82" s="8" t="s">
        <v>520</v>
      </c>
      <c r="H82" s="7">
        <v>1452832</v>
      </c>
      <c r="I82" s="7">
        <v>1452832</v>
      </c>
      <c r="J82" s="9">
        <f>I82</f>
        <v>1452832</v>
      </c>
      <c r="K82" s="7">
        <f t="shared" si="3"/>
        <v>0</v>
      </c>
      <c r="M82" s="6">
        <v>0</v>
      </c>
      <c r="N82" s="6">
        <v>0</v>
      </c>
      <c r="O82" s="7">
        <f t="shared" si="4"/>
        <v>33892167</v>
      </c>
    </row>
    <row r="83" spans="1:15" ht="16" x14ac:dyDescent="0.2">
      <c r="A83" s="2">
        <v>46113</v>
      </c>
      <c r="B83" s="4" t="s">
        <v>16</v>
      </c>
      <c r="C83" s="4" t="s">
        <v>99</v>
      </c>
      <c r="D83" t="s">
        <v>256</v>
      </c>
      <c r="E83" t="s">
        <v>369</v>
      </c>
      <c r="F83" s="7">
        <v>8250000</v>
      </c>
      <c r="G83" s="8" t="s">
        <v>520</v>
      </c>
      <c r="H83" s="7">
        <v>907500</v>
      </c>
      <c r="I83" s="7">
        <v>0</v>
      </c>
      <c r="J83" s="7">
        <v>0</v>
      </c>
      <c r="K83" s="7">
        <f t="shared" si="3"/>
        <v>0</v>
      </c>
      <c r="M83" s="6">
        <v>907500</v>
      </c>
      <c r="N83" s="6">
        <v>0</v>
      </c>
      <c r="O83" s="7">
        <f t="shared" si="4"/>
        <v>32984667</v>
      </c>
    </row>
    <row r="84" spans="1:15" ht="16" x14ac:dyDescent="0.2">
      <c r="A84" s="2">
        <v>46113</v>
      </c>
      <c r="B84" s="4" t="s">
        <v>16</v>
      </c>
      <c r="C84" s="3" t="s">
        <v>100</v>
      </c>
      <c r="D84" t="s">
        <v>256</v>
      </c>
      <c r="E84" t="s">
        <v>370</v>
      </c>
      <c r="F84" s="7">
        <v>9050000</v>
      </c>
      <c r="G84" s="8" t="s">
        <v>520</v>
      </c>
      <c r="H84" s="7">
        <v>995500</v>
      </c>
      <c r="I84" s="7">
        <v>0</v>
      </c>
      <c r="J84" s="7">
        <v>0</v>
      </c>
      <c r="K84" s="7">
        <f t="shared" si="3"/>
        <v>0</v>
      </c>
      <c r="M84" s="6">
        <v>995500</v>
      </c>
      <c r="N84" s="6">
        <v>0</v>
      </c>
      <c r="O84" s="7">
        <f t="shared" si="4"/>
        <v>31989167</v>
      </c>
    </row>
    <row r="85" spans="1:15" ht="16" x14ac:dyDescent="0.2">
      <c r="A85" s="2">
        <v>46113</v>
      </c>
      <c r="B85" s="4" t="s">
        <v>16</v>
      </c>
      <c r="C85" s="4" t="s">
        <v>101</v>
      </c>
      <c r="D85" t="s">
        <v>256</v>
      </c>
      <c r="E85" t="s">
        <v>371</v>
      </c>
      <c r="F85" s="7">
        <v>9976930</v>
      </c>
      <c r="G85" s="8" t="s">
        <v>520</v>
      </c>
      <c r="H85" s="7">
        <v>1097462</v>
      </c>
      <c r="I85" s="7">
        <v>0</v>
      </c>
      <c r="J85" s="7">
        <v>0</v>
      </c>
      <c r="K85" s="7">
        <f t="shared" si="3"/>
        <v>0</v>
      </c>
      <c r="M85" s="6">
        <v>1097462</v>
      </c>
      <c r="N85" s="6">
        <v>0</v>
      </c>
      <c r="O85" s="7">
        <f t="shared" si="4"/>
        <v>30891705</v>
      </c>
    </row>
    <row r="86" spans="1:15" ht="16" x14ac:dyDescent="0.2">
      <c r="A86" s="2">
        <v>46113</v>
      </c>
      <c r="B86" s="4" t="s">
        <v>16</v>
      </c>
      <c r="C86" s="3" t="s">
        <v>102</v>
      </c>
      <c r="D86" t="s">
        <v>256</v>
      </c>
      <c r="E86" t="s">
        <v>372</v>
      </c>
      <c r="F86" s="7">
        <v>11902393</v>
      </c>
      <c r="G86" s="8" t="s">
        <v>520</v>
      </c>
      <c r="H86" s="7">
        <v>1309263</v>
      </c>
      <c r="I86" s="7">
        <v>0</v>
      </c>
      <c r="J86" s="7">
        <v>0</v>
      </c>
      <c r="K86" s="7">
        <f t="shared" si="3"/>
        <v>0</v>
      </c>
      <c r="M86" s="6">
        <v>1309263</v>
      </c>
      <c r="N86" s="6">
        <v>0</v>
      </c>
      <c r="O86" s="7">
        <f t="shared" si="4"/>
        <v>29582442</v>
      </c>
    </row>
    <row r="87" spans="1:15" ht="16" x14ac:dyDescent="0.2">
      <c r="A87" s="2">
        <v>46113</v>
      </c>
      <c r="B87" s="4" t="s">
        <v>16</v>
      </c>
      <c r="C87" s="4" t="s">
        <v>103</v>
      </c>
      <c r="D87" t="s">
        <v>276</v>
      </c>
      <c r="E87" t="s">
        <v>373</v>
      </c>
      <c r="F87" s="7">
        <v>57600720</v>
      </c>
      <c r="G87" s="8" t="s">
        <v>520</v>
      </c>
      <c r="H87" s="7">
        <v>633608</v>
      </c>
      <c r="I87" s="7">
        <v>0</v>
      </c>
      <c r="J87" s="7">
        <v>0</v>
      </c>
      <c r="K87" s="7">
        <f t="shared" si="3"/>
        <v>0</v>
      </c>
      <c r="M87" s="6">
        <v>633608</v>
      </c>
      <c r="N87" s="6">
        <v>0</v>
      </c>
      <c r="O87" s="7">
        <f t="shared" si="4"/>
        <v>28948834</v>
      </c>
    </row>
    <row r="88" spans="1:15" ht="16" x14ac:dyDescent="0.2">
      <c r="A88" s="2">
        <v>46113</v>
      </c>
      <c r="B88" s="4" t="s">
        <v>16</v>
      </c>
      <c r="C88" s="4" t="s">
        <v>104</v>
      </c>
      <c r="D88" t="s">
        <v>270</v>
      </c>
      <c r="E88" t="s">
        <v>374</v>
      </c>
      <c r="F88" s="7">
        <v>34303800</v>
      </c>
      <c r="G88" s="8" t="s">
        <v>520</v>
      </c>
      <c r="H88" s="7">
        <v>377342</v>
      </c>
      <c r="I88" s="7">
        <v>0</v>
      </c>
      <c r="J88" s="7">
        <v>0</v>
      </c>
      <c r="K88" s="7">
        <f t="shared" si="3"/>
        <v>0</v>
      </c>
      <c r="M88" s="6">
        <v>377342</v>
      </c>
      <c r="N88" s="6">
        <v>0</v>
      </c>
      <c r="O88" s="7">
        <f t="shared" si="4"/>
        <v>28571492</v>
      </c>
    </row>
    <row r="89" spans="1:15" ht="16" x14ac:dyDescent="0.2">
      <c r="A89" s="2">
        <v>46113</v>
      </c>
      <c r="B89" s="4" t="s">
        <v>16</v>
      </c>
      <c r="C89" s="4" t="s">
        <v>105</v>
      </c>
      <c r="D89" t="s">
        <v>270</v>
      </c>
      <c r="E89" t="s">
        <v>375</v>
      </c>
      <c r="F89" s="7">
        <v>22712653</v>
      </c>
      <c r="G89" s="8" t="s">
        <v>520</v>
      </c>
      <c r="H89" s="7">
        <v>249839</v>
      </c>
      <c r="I89" s="7">
        <v>0</v>
      </c>
      <c r="J89" s="7">
        <v>0</v>
      </c>
      <c r="K89" s="7">
        <f t="shared" si="3"/>
        <v>0</v>
      </c>
      <c r="M89" s="6">
        <v>249839</v>
      </c>
      <c r="N89" s="6">
        <v>0</v>
      </c>
      <c r="O89" s="7">
        <f t="shared" si="4"/>
        <v>28321653</v>
      </c>
    </row>
    <row r="90" spans="1:15" ht="16" x14ac:dyDescent="0.2">
      <c r="A90" s="2">
        <v>46113</v>
      </c>
      <c r="B90" s="4" t="s">
        <v>16</v>
      </c>
      <c r="C90" s="4" t="s">
        <v>106</v>
      </c>
      <c r="D90" t="s">
        <v>270</v>
      </c>
      <c r="E90" t="s">
        <v>376</v>
      </c>
      <c r="F90" s="7">
        <v>41884150</v>
      </c>
      <c r="G90" s="8" t="s">
        <v>520</v>
      </c>
      <c r="H90" s="7">
        <v>460726</v>
      </c>
      <c r="I90" s="7">
        <v>0</v>
      </c>
      <c r="J90" s="7">
        <v>0</v>
      </c>
      <c r="K90" s="7">
        <f t="shared" si="3"/>
        <v>0</v>
      </c>
      <c r="M90" s="6">
        <v>460726</v>
      </c>
      <c r="N90" s="6">
        <v>0</v>
      </c>
      <c r="O90" s="7">
        <f t="shared" si="4"/>
        <v>27860927</v>
      </c>
    </row>
    <row r="91" spans="1:15" ht="16" x14ac:dyDescent="0.2">
      <c r="A91" s="2">
        <v>46113</v>
      </c>
      <c r="B91" s="4" t="s">
        <v>16</v>
      </c>
      <c r="C91" s="4" t="s">
        <v>107</v>
      </c>
      <c r="D91" t="s">
        <v>261</v>
      </c>
      <c r="E91" t="s">
        <v>377</v>
      </c>
      <c r="F91" s="7">
        <v>28159561</v>
      </c>
      <c r="G91" s="8" t="s">
        <v>520</v>
      </c>
      <c r="H91" s="7">
        <v>309755</v>
      </c>
      <c r="I91" s="7">
        <v>0</v>
      </c>
      <c r="J91" s="7">
        <v>0</v>
      </c>
      <c r="K91" s="7">
        <f t="shared" si="3"/>
        <v>0</v>
      </c>
      <c r="M91" s="6">
        <v>309755</v>
      </c>
      <c r="N91" s="6">
        <v>0</v>
      </c>
      <c r="O91" s="7">
        <f t="shared" si="4"/>
        <v>27551172</v>
      </c>
    </row>
    <row r="92" spans="1:15" ht="16" x14ac:dyDescent="0.2">
      <c r="A92" s="2">
        <v>46113</v>
      </c>
      <c r="B92" s="4" t="s">
        <v>15</v>
      </c>
      <c r="C92" s="4" t="s">
        <v>108</v>
      </c>
      <c r="D92" s="8" t="s">
        <v>550</v>
      </c>
      <c r="E92" t="s">
        <v>378</v>
      </c>
      <c r="F92" s="7">
        <v>6966342</v>
      </c>
      <c r="G92" s="8" t="s">
        <v>520</v>
      </c>
      <c r="H92" s="7">
        <v>766298</v>
      </c>
      <c r="I92" s="7">
        <v>766298</v>
      </c>
      <c r="J92" s="9">
        <f>I92</f>
        <v>766298</v>
      </c>
      <c r="K92" s="7">
        <f t="shared" si="3"/>
        <v>0</v>
      </c>
      <c r="M92" s="6">
        <v>0</v>
      </c>
      <c r="N92" s="6">
        <v>0</v>
      </c>
      <c r="O92" s="7">
        <f t="shared" si="4"/>
        <v>27551172</v>
      </c>
    </row>
    <row r="93" spans="1:15" ht="16" x14ac:dyDescent="0.2">
      <c r="A93" s="2">
        <v>46113</v>
      </c>
      <c r="B93" s="4" t="s">
        <v>16</v>
      </c>
      <c r="C93" s="4" t="s">
        <v>109</v>
      </c>
      <c r="D93" t="s">
        <v>270</v>
      </c>
      <c r="E93" t="s">
        <v>379</v>
      </c>
      <c r="F93" s="7">
        <v>142106938</v>
      </c>
      <c r="G93" s="8" t="s">
        <v>520</v>
      </c>
      <c r="H93" s="7">
        <v>1563176</v>
      </c>
      <c r="I93" s="7">
        <v>0</v>
      </c>
      <c r="J93" s="9">
        <v>0</v>
      </c>
      <c r="K93" s="7">
        <f t="shared" si="3"/>
        <v>0</v>
      </c>
      <c r="M93" s="6">
        <v>1563176</v>
      </c>
      <c r="N93" s="6">
        <v>0</v>
      </c>
      <c r="O93" s="7">
        <f t="shared" si="4"/>
        <v>25987996</v>
      </c>
    </row>
    <row r="94" spans="1:15" ht="16" x14ac:dyDescent="0.2">
      <c r="A94" s="2">
        <v>46113</v>
      </c>
      <c r="B94" s="4" t="s">
        <v>16</v>
      </c>
      <c r="C94" s="4" t="s">
        <v>110</v>
      </c>
      <c r="D94" t="s">
        <v>261</v>
      </c>
      <c r="E94" t="s">
        <v>380</v>
      </c>
      <c r="F94" s="7">
        <v>66957254</v>
      </c>
      <c r="G94" s="8" t="s">
        <v>520</v>
      </c>
      <c r="H94" s="7">
        <v>736530</v>
      </c>
      <c r="I94" s="7">
        <v>0</v>
      </c>
      <c r="J94" s="9">
        <v>0</v>
      </c>
      <c r="K94" s="7">
        <f t="shared" si="3"/>
        <v>0</v>
      </c>
      <c r="M94" s="6">
        <v>736530</v>
      </c>
      <c r="N94" s="6">
        <v>0</v>
      </c>
      <c r="O94" s="7">
        <f t="shared" si="4"/>
        <v>25251466</v>
      </c>
    </row>
    <row r="95" spans="1:15" ht="16" x14ac:dyDescent="0.2">
      <c r="A95" s="2">
        <v>46113</v>
      </c>
      <c r="B95" s="4" t="s">
        <v>17</v>
      </c>
      <c r="C95" s="4" t="s">
        <v>111</v>
      </c>
      <c r="D95" s="8" t="s">
        <v>533</v>
      </c>
      <c r="E95" t="s">
        <v>381</v>
      </c>
      <c r="F95" s="7">
        <v>4600000</v>
      </c>
      <c r="G95" s="8" t="s">
        <v>527</v>
      </c>
      <c r="H95" s="7">
        <v>506000</v>
      </c>
      <c r="I95" s="7">
        <v>506000</v>
      </c>
      <c r="J95" s="9">
        <v>0</v>
      </c>
      <c r="K95" s="7">
        <f t="shared" si="3"/>
        <v>506000</v>
      </c>
      <c r="M95" s="6">
        <v>0</v>
      </c>
      <c r="N95" s="6">
        <v>506000</v>
      </c>
      <c r="O95" s="7">
        <f t="shared" si="4"/>
        <v>25757466</v>
      </c>
    </row>
    <row r="96" spans="1:15" ht="16" x14ac:dyDescent="0.2">
      <c r="A96" s="2">
        <v>46113</v>
      </c>
      <c r="B96" s="4" t="s">
        <v>17</v>
      </c>
      <c r="C96" s="4" t="s">
        <v>112</v>
      </c>
      <c r="D96" t="s">
        <v>271</v>
      </c>
      <c r="E96" t="s">
        <v>382</v>
      </c>
      <c r="F96" s="7">
        <v>5356300</v>
      </c>
      <c r="G96" s="8" t="s">
        <v>527</v>
      </c>
      <c r="H96" s="7">
        <v>589193</v>
      </c>
      <c r="I96" s="7">
        <v>589193</v>
      </c>
      <c r="J96" s="9">
        <v>0</v>
      </c>
      <c r="K96" s="7">
        <f t="shared" si="3"/>
        <v>589193</v>
      </c>
      <c r="M96" s="6">
        <v>0</v>
      </c>
      <c r="N96" s="6">
        <v>589193</v>
      </c>
      <c r="O96" s="7">
        <f t="shared" si="4"/>
        <v>26346659</v>
      </c>
    </row>
    <row r="97" spans="1:15" ht="16" x14ac:dyDescent="0.2">
      <c r="A97" s="2">
        <v>46113</v>
      </c>
      <c r="B97" s="4" t="s">
        <v>17</v>
      </c>
      <c r="C97" s="4" t="s">
        <v>113</v>
      </c>
      <c r="D97" t="s">
        <v>277</v>
      </c>
      <c r="E97" t="s">
        <v>383</v>
      </c>
      <c r="F97" s="7">
        <v>2996000</v>
      </c>
      <c r="G97" s="8" t="s">
        <v>527</v>
      </c>
      <c r="H97" s="7">
        <v>329560</v>
      </c>
      <c r="I97" s="7">
        <v>329560</v>
      </c>
      <c r="J97" s="9">
        <v>0</v>
      </c>
      <c r="K97" s="7">
        <f t="shared" si="3"/>
        <v>329560</v>
      </c>
      <c r="M97" s="6">
        <v>0</v>
      </c>
      <c r="N97" s="6">
        <v>329560</v>
      </c>
      <c r="O97" s="7">
        <f t="shared" si="4"/>
        <v>26676219</v>
      </c>
    </row>
    <row r="98" spans="1:15" ht="16" x14ac:dyDescent="0.2">
      <c r="A98" s="2">
        <v>46113</v>
      </c>
      <c r="B98" s="4" t="s">
        <v>17</v>
      </c>
      <c r="C98" s="4" t="s">
        <v>114</v>
      </c>
      <c r="D98" t="s">
        <v>271</v>
      </c>
      <c r="E98" t="s">
        <v>384</v>
      </c>
      <c r="F98" s="7">
        <v>1699500</v>
      </c>
      <c r="G98" s="8" t="s">
        <v>527</v>
      </c>
      <c r="H98" s="7">
        <v>186945</v>
      </c>
      <c r="I98" s="7">
        <v>186945</v>
      </c>
      <c r="J98" s="9">
        <v>0</v>
      </c>
      <c r="K98" s="7">
        <f t="shared" si="3"/>
        <v>186945</v>
      </c>
      <c r="M98" s="6">
        <v>0</v>
      </c>
      <c r="N98" s="6">
        <v>186945</v>
      </c>
      <c r="O98" s="7">
        <f t="shared" si="4"/>
        <v>26863164</v>
      </c>
    </row>
    <row r="99" spans="1:15" ht="16" x14ac:dyDescent="0.2">
      <c r="A99" s="2">
        <v>46113</v>
      </c>
      <c r="B99" s="4" t="s">
        <v>17</v>
      </c>
      <c r="C99" s="4" t="s">
        <v>115</v>
      </c>
      <c r="D99" t="s">
        <v>271</v>
      </c>
      <c r="E99" t="s">
        <v>385</v>
      </c>
      <c r="F99" s="7">
        <v>290000</v>
      </c>
      <c r="G99" s="8" t="s">
        <v>527</v>
      </c>
      <c r="H99" s="7">
        <v>31900</v>
      </c>
      <c r="I99" s="7">
        <v>31900</v>
      </c>
      <c r="J99" s="9">
        <v>0</v>
      </c>
      <c r="K99" s="7">
        <f t="shared" si="3"/>
        <v>31900</v>
      </c>
      <c r="M99" s="6">
        <v>0</v>
      </c>
      <c r="N99" s="6">
        <v>31900</v>
      </c>
      <c r="O99" s="7">
        <f t="shared" si="4"/>
        <v>26895064</v>
      </c>
    </row>
    <row r="100" spans="1:15" ht="16" x14ac:dyDescent="0.2">
      <c r="A100" s="2">
        <v>46113</v>
      </c>
      <c r="B100" s="4" t="s">
        <v>17</v>
      </c>
      <c r="C100" s="4" t="s">
        <v>116</v>
      </c>
      <c r="D100" t="s">
        <v>271</v>
      </c>
      <c r="E100" t="s">
        <v>386</v>
      </c>
      <c r="F100" s="7">
        <v>1699500</v>
      </c>
      <c r="G100" s="8" t="s">
        <v>527</v>
      </c>
      <c r="H100" s="7">
        <v>186945</v>
      </c>
      <c r="I100" s="7">
        <v>186945</v>
      </c>
      <c r="J100" s="9">
        <v>0</v>
      </c>
      <c r="K100" s="7">
        <f t="shared" si="3"/>
        <v>186945</v>
      </c>
      <c r="M100" s="6">
        <v>0</v>
      </c>
      <c r="N100" s="6">
        <v>186945</v>
      </c>
      <c r="O100" s="7">
        <f t="shared" si="4"/>
        <v>27082009</v>
      </c>
    </row>
    <row r="101" spans="1:15" ht="16" x14ac:dyDescent="0.2">
      <c r="A101" s="2">
        <v>46113</v>
      </c>
      <c r="B101" s="4" t="s">
        <v>17</v>
      </c>
      <c r="C101" s="4" t="s">
        <v>117</v>
      </c>
      <c r="D101" t="s">
        <v>271</v>
      </c>
      <c r="E101" t="s">
        <v>387</v>
      </c>
      <c r="F101" s="7">
        <v>290000</v>
      </c>
      <c r="G101" s="8" t="s">
        <v>527</v>
      </c>
      <c r="H101" s="7">
        <v>31900</v>
      </c>
      <c r="I101" s="7">
        <v>31900</v>
      </c>
      <c r="J101" s="9">
        <v>0</v>
      </c>
      <c r="K101" s="7">
        <f t="shared" si="3"/>
        <v>31900</v>
      </c>
      <c r="M101" s="6">
        <v>0</v>
      </c>
      <c r="N101" s="6">
        <v>31900</v>
      </c>
      <c r="O101" s="7">
        <f t="shared" si="4"/>
        <v>27113909</v>
      </c>
    </row>
    <row r="102" spans="1:15" ht="16" x14ac:dyDescent="0.2">
      <c r="A102" s="2">
        <v>46113</v>
      </c>
      <c r="B102" s="4" t="s">
        <v>17</v>
      </c>
      <c r="C102" s="4" t="s">
        <v>118</v>
      </c>
      <c r="D102" t="s">
        <v>271</v>
      </c>
      <c r="E102" t="s">
        <v>388</v>
      </c>
      <c r="F102" s="7">
        <v>290000</v>
      </c>
      <c r="G102" s="8" t="s">
        <v>527</v>
      </c>
      <c r="H102" s="7">
        <v>31900</v>
      </c>
      <c r="I102" s="7">
        <v>31900</v>
      </c>
      <c r="J102" s="9">
        <v>0</v>
      </c>
      <c r="K102" s="7">
        <f t="shared" si="3"/>
        <v>31900</v>
      </c>
      <c r="M102" s="6">
        <v>0</v>
      </c>
      <c r="N102" s="6">
        <v>31900</v>
      </c>
      <c r="O102" s="7">
        <f t="shared" si="4"/>
        <v>27145809</v>
      </c>
    </row>
    <row r="103" spans="1:15" ht="16" x14ac:dyDescent="0.2">
      <c r="A103" s="2">
        <v>46113</v>
      </c>
      <c r="B103" s="4" t="s">
        <v>17</v>
      </c>
      <c r="C103" s="4" t="s">
        <v>119</v>
      </c>
      <c r="D103" t="s">
        <v>271</v>
      </c>
      <c r="E103" t="s">
        <v>389</v>
      </c>
      <c r="F103" s="7">
        <v>1699500</v>
      </c>
      <c r="G103" s="8" t="s">
        <v>527</v>
      </c>
      <c r="H103" s="7">
        <v>186945</v>
      </c>
      <c r="I103" s="7">
        <v>186945</v>
      </c>
      <c r="J103" s="9">
        <v>0</v>
      </c>
      <c r="K103" s="7">
        <f t="shared" si="3"/>
        <v>186945</v>
      </c>
      <c r="M103" s="6">
        <v>0</v>
      </c>
      <c r="N103" s="6">
        <v>186945</v>
      </c>
      <c r="O103" s="7">
        <f t="shared" si="4"/>
        <v>27332754</v>
      </c>
    </row>
    <row r="104" spans="1:15" ht="16" x14ac:dyDescent="0.2">
      <c r="A104" s="2">
        <v>46113</v>
      </c>
      <c r="B104" s="4" t="s">
        <v>17</v>
      </c>
      <c r="C104" s="4" t="s">
        <v>120</v>
      </c>
      <c r="D104" t="s">
        <v>271</v>
      </c>
      <c r="E104" t="s">
        <v>390</v>
      </c>
      <c r="F104" s="7">
        <v>290000</v>
      </c>
      <c r="G104" s="8" t="s">
        <v>527</v>
      </c>
      <c r="H104" s="7">
        <v>31900</v>
      </c>
      <c r="I104" s="7">
        <v>31900</v>
      </c>
      <c r="J104" s="9">
        <v>0</v>
      </c>
      <c r="K104" s="7">
        <f t="shared" si="3"/>
        <v>31900</v>
      </c>
      <c r="M104" s="6">
        <v>0</v>
      </c>
      <c r="N104" s="6">
        <v>31900</v>
      </c>
      <c r="O104" s="7">
        <f t="shared" si="4"/>
        <v>27364654</v>
      </c>
    </row>
    <row r="105" spans="1:15" ht="16" x14ac:dyDescent="0.2">
      <c r="A105" s="2">
        <v>46113</v>
      </c>
      <c r="B105" s="4" t="s">
        <v>17</v>
      </c>
      <c r="C105" s="4" t="s">
        <v>121</v>
      </c>
      <c r="D105" t="s">
        <v>271</v>
      </c>
      <c r="E105" t="s">
        <v>391</v>
      </c>
      <c r="F105" s="7">
        <v>1845000</v>
      </c>
      <c r="G105" s="8" t="s">
        <v>527</v>
      </c>
      <c r="H105" s="7">
        <v>202950</v>
      </c>
      <c r="I105" s="7">
        <v>202950</v>
      </c>
      <c r="J105" s="9">
        <v>0</v>
      </c>
      <c r="K105" s="7">
        <f t="shared" si="3"/>
        <v>202950</v>
      </c>
      <c r="M105" s="6">
        <v>0</v>
      </c>
      <c r="N105" s="6">
        <v>202950</v>
      </c>
      <c r="O105" s="7">
        <f t="shared" si="4"/>
        <v>27567604</v>
      </c>
    </row>
    <row r="106" spans="1:15" ht="16" x14ac:dyDescent="0.2">
      <c r="A106" s="2">
        <v>46113</v>
      </c>
      <c r="B106" s="4" t="s">
        <v>17</v>
      </c>
      <c r="C106" s="4" t="s">
        <v>122</v>
      </c>
      <c r="D106" t="s">
        <v>271</v>
      </c>
      <c r="E106" t="s">
        <v>392</v>
      </c>
      <c r="F106" s="7">
        <v>290000</v>
      </c>
      <c r="G106" s="8" t="s">
        <v>527</v>
      </c>
      <c r="H106" s="7">
        <v>31900</v>
      </c>
      <c r="I106" s="7">
        <v>31900</v>
      </c>
      <c r="J106" s="9">
        <v>0</v>
      </c>
      <c r="K106" s="7">
        <f t="shared" si="3"/>
        <v>31900</v>
      </c>
      <c r="M106" s="6">
        <v>0</v>
      </c>
      <c r="N106" s="6">
        <v>31900</v>
      </c>
      <c r="O106" s="7">
        <f t="shared" si="4"/>
        <v>27599504</v>
      </c>
    </row>
    <row r="107" spans="1:15" ht="16" x14ac:dyDescent="0.2">
      <c r="A107" s="2">
        <v>46113</v>
      </c>
      <c r="B107" s="4" t="s">
        <v>17</v>
      </c>
      <c r="C107" s="4" t="s">
        <v>123</v>
      </c>
      <c r="D107" t="s">
        <v>271</v>
      </c>
      <c r="E107" t="s">
        <v>393</v>
      </c>
      <c r="F107" s="7">
        <v>1699500</v>
      </c>
      <c r="G107" s="8" t="s">
        <v>527</v>
      </c>
      <c r="H107" s="7">
        <v>186945</v>
      </c>
      <c r="I107" s="7">
        <v>186945</v>
      </c>
      <c r="J107" s="9">
        <v>0</v>
      </c>
      <c r="K107" s="7">
        <f t="shared" si="3"/>
        <v>186945</v>
      </c>
      <c r="M107" s="6">
        <v>0</v>
      </c>
      <c r="N107" s="6">
        <v>186945</v>
      </c>
      <c r="O107" s="7">
        <f t="shared" si="4"/>
        <v>27786449</v>
      </c>
    </row>
    <row r="108" spans="1:15" ht="16" x14ac:dyDescent="0.2">
      <c r="A108" s="2">
        <v>46113</v>
      </c>
      <c r="B108" s="4" t="s">
        <v>17</v>
      </c>
      <c r="C108" s="4" t="s">
        <v>124</v>
      </c>
      <c r="D108" t="s">
        <v>271</v>
      </c>
      <c r="E108" t="s">
        <v>394</v>
      </c>
      <c r="F108" s="7">
        <v>1699500</v>
      </c>
      <c r="G108" s="8" t="s">
        <v>527</v>
      </c>
      <c r="H108" s="7">
        <v>186945</v>
      </c>
      <c r="I108" s="7">
        <v>186945</v>
      </c>
      <c r="J108" s="9">
        <v>0</v>
      </c>
      <c r="K108" s="7">
        <f t="shared" si="3"/>
        <v>186945</v>
      </c>
      <c r="M108" s="6">
        <v>0</v>
      </c>
      <c r="N108" s="6">
        <v>186945</v>
      </c>
      <c r="O108" s="7">
        <f t="shared" si="4"/>
        <v>27973394</v>
      </c>
    </row>
    <row r="109" spans="1:15" ht="16" x14ac:dyDescent="0.2">
      <c r="A109" s="2">
        <v>46113</v>
      </c>
      <c r="B109" s="4" t="s">
        <v>17</v>
      </c>
      <c r="C109" s="4" t="s">
        <v>125</v>
      </c>
      <c r="D109" t="s">
        <v>271</v>
      </c>
      <c r="E109" t="s">
        <v>395</v>
      </c>
      <c r="F109" s="7">
        <v>290000</v>
      </c>
      <c r="G109" s="8" t="s">
        <v>527</v>
      </c>
      <c r="H109" s="7">
        <v>31900</v>
      </c>
      <c r="I109" s="7">
        <v>31900</v>
      </c>
      <c r="J109" s="9">
        <v>0</v>
      </c>
      <c r="K109" s="7">
        <f t="shared" si="3"/>
        <v>31900</v>
      </c>
      <c r="M109" s="6">
        <v>0</v>
      </c>
      <c r="N109" s="6">
        <v>31900</v>
      </c>
      <c r="O109" s="7">
        <f t="shared" si="4"/>
        <v>28005294</v>
      </c>
    </row>
    <row r="110" spans="1:15" ht="16" x14ac:dyDescent="0.2">
      <c r="A110" s="2">
        <v>46113</v>
      </c>
      <c r="B110" s="4" t="s">
        <v>17</v>
      </c>
      <c r="C110" s="4" t="s">
        <v>126</v>
      </c>
      <c r="D110" s="8" t="s">
        <v>535</v>
      </c>
      <c r="E110" t="s">
        <v>396</v>
      </c>
      <c r="F110" s="7">
        <v>4650000</v>
      </c>
      <c r="G110" s="8" t="s">
        <v>527</v>
      </c>
      <c r="H110" s="7">
        <v>51150</v>
      </c>
      <c r="I110" s="7">
        <v>51150</v>
      </c>
      <c r="J110" s="9">
        <v>0</v>
      </c>
      <c r="K110" s="7">
        <f t="shared" si="3"/>
        <v>51150</v>
      </c>
      <c r="M110" s="6">
        <v>0</v>
      </c>
      <c r="N110" s="6">
        <v>51150</v>
      </c>
      <c r="O110" s="7">
        <f t="shared" si="4"/>
        <v>28056444</v>
      </c>
    </row>
    <row r="111" spans="1:15" ht="16" x14ac:dyDescent="0.2">
      <c r="A111" s="2">
        <v>46113</v>
      </c>
      <c r="B111" s="4" t="s">
        <v>17</v>
      </c>
      <c r="C111" s="4" t="s">
        <v>127</v>
      </c>
      <c r="D111" s="8" t="s">
        <v>535</v>
      </c>
      <c r="E111" t="s">
        <v>397</v>
      </c>
      <c r="F111" s="7">
        <v>13960000</v>
      </c>
      <c r="G111" s="8" t="s">
        <v>527</v>
      </c>
      <c r="H111" s="7">
        <v>153560</v>
      </c>
      <c r="I111" s="7">
        <v>153560</v>
      </c>
      <c r="J111" s="9">
        <v>0</v>
      </c>
      <c r="K111" s="7">
        <f t="shared" si="3"/>
        <v>153560</v>
      </c>
      <c r="M111" s="6">
        <v>0</v>
      </c>
      <c r="N111" s="6">
        <v>153560</v>
      </c>
      <c r="O111" s="7">
        <f t="shared" si="4"/>
        <v>28210004</v>
      </c>
    </row>
    <row r="112" spans="1:15" ht="16" x14ac:dyDescent="0.2">
      <c r="A112" s="2">
        <v>46113</v>
      </c>
      <c r="B112" s="4" t="s">
        <v>17</v>
      </c>
      <c r="C112" s="4" t="s">
        <v>128</v>
      </c>
      <c r="D112" s="8" t="s">
        <v>535</v>
      </c>
      <c r="E112" t="s">
        <v>398</v>
      </c>
      <c r="F112" s="7">
        <v>57665000</v>
      </c>
      <c r="G112" s="8" t="s">
        <v>527</v>
      </c>
      <c r="H112" s="7">
        <v>634315</v>
      </c>
      <c r="I112" s="7">
        <v>634315</v>
      </c>
      <c r="J112" s="9">
        <v>0</v>
      </c>
      <c r="K112" s="7">
        <f t="shared" si="3"/>
        <v>634315</v>
      </c>
      <c r="M112" s="6">
        <v>0</v>
      </c>
      <c r="N112" s="6">
        <v>634315</v>
      </c>
      <c r="O112" s="7">
        <f t="shared" si="4"/>
        <v>28844319</v>
      </c>
    </row>
    <row r="113" spans="1:15" ht="16" x14ac:dyDescent="0.2">
      <c r="A113" s="2">
        <v>46113</v>
      </c>
      <c r="B113" s="4" t="s">
        <v>17</v>
      </c>
      <c r="C113" s="4" t="s">
        <v>129</v>
      </c>
      <c r="D113" t="s">
        <v>257</v>
      </c>
      <c r="E113" t="s">
        <v>399</v>
      </c>
      <c r="F113" s="7">
        <v>4000000</v>
      </c>
      <c r="G113" s="8" t="s">
        <v>527</v>
      </c>
      <c r="H113" s="7">
        <v>440000</v>
      </c>
      <c r="I113" s="7">
        <v>440000</v>
      </c>
      <c r="J113" s="9">
        <v>0</v>
      </c>
      <c r="K113" s="7">
        <f t="shared" si="3"/>
        <v>440000</v>
      </c>
      <c r="M113" s="6">
        <v>0</v>
      </c>
      <c r="N113" s="6">
        <v>440000</v>
      </c>
      <c r="O113" s="7">
        <f t="shared" si="4"/>
        <v>29284319</v>
      </c>
    </row>
    <row r="114" spans="1:15" ht="16" x14ac:dyDescent="0.2">
      <c r="A114" s="2">
        <v>46113</v>
      </c>
      <c r="B114" s="4" t="s">
        <v>17</v>
      </c>
      <c r="C114" s="4" t="s">
        <v>130</v>
      </c>
      <c r="D114" s="8" t="s">
        <v>542</v>
      </c>
      <c r="E114" t="s">
        <v>400</v>
      </c>
      <c r="F114" s="7">
        <v>711712</v>
      </c>
      <c r="G114" s="8" t="s">
        <v>527</v>
      </c>
      <c r="H114" s="7">
        <v>78288</v>
      </c>
      <c r="I114" s="7">
        <v>78288</v>
      </c>
      <c r="J114" s="9">
        <v>0</v>
      </c>
      <c r="K114" s="7">
        <f t="shared" si="3"/>
        <v>78288</v>
      </c>
      <c r="M114" s="6">
        <v>0</v>
      </c>
      <c r="N114" s="6">
        <v>78288</v>
      </c>
      <c r="O114" s="7">
        <f t="shared" si="4"/>
        <v>29362607</v>
      </c>
    </row>
    <row r="115" spans="1:15" ht="16" x14ac:dyDescent="0.2">
      <c r="A115" s="2">
        <v>46113</v>
      </c>
      <c r="B115" s="4" t="s">
        <v>17</v>
      </c>
      <c r="C115" s="4" t="s">
        <v>131</v>
      </c>
      <c r="D115" t="s">
        <v>267</v>
      </c>
      <c r="E115" t="s">
        <v>401</v>
      </c>
      <c r="F115" s="7">
        <v>1600000</v>
      </c>
      <c r="G115" s="8" t="s">
        <v>527</v>
      </c>
      <c r="H115" s="7">
        <v>17600</v>
      </c>
      <c r="I115" s="7">
        <v>17600</v>
      </c>
      <c r="J115" s="9">
        <v>0</v>
      </c>
      <c r="K115" s="7">
        <f t="shared" si="3"/>
        <v>17600</v>
      </c>
      <c r="M115" s="6">
        <v>0</v>
      </c>
      <c r="N115" s="6">
        <v>17600</v>
      </c>
      <c r="O115" s="7">
        <f t="shared" si="4"/>
        <v>29380207</v>
      </c>
    </row>
    <row r="116" spans="1:15" ht="16" x14ac:dyDescent="0.2">
      <c r="A116" s="2">
        <v>46113</v>
      </c>
      <c r="B116" s="4" t="s">
        <v>17</v>
      </c>
      <c r="C116" s="4" t="s">
        <v>132</v>
      </c>
      <c r="D116" t="s">
        <v>267</v>
      </c>
      <c r="E116" t="s">
        <v>402</v>
      </c>
      <c r="F116" s="7">
        <v>8000000</v>
      </c>
      <c r="G116" s="8" t="s">
        <v>527</v>
      </c>
      <c r="H116" s="7">
        <v>88000</v>
      </c>
      <c r="I116" s="7">
        <v>88000</v>
      </c>
      <c r="J116" s="9">
        <v>0</v>
      </c>
      <c r="K116" s="7">
        <f t="shared" si="3"/>
        <v>88000</v>
      </c>
      <c r="M116" s="6">
        <v>0</v>
      </c>
      <c r="N116" s="6">
        <v>88000</v>
      </c>
      <c r="O116" s="7">
        <f t="shared" si="4"/>
        <v>29468207</v>
      </c>
    </row>
    <row r="117" spans="1:15" ht="16" x14ac:dyDescent="0.2">
      <c r="A117" s="2">
        <v>46113</v>
      </c>
      <c r="B117" s="4" t="s">
        <v>17</v>
      </c>
      <c r="C117" s="4" t="s">
        <v>133</v>
      </c>
      <c r="D117" s="8" t="s">
        <v>541</v>
      </c>
      <c r="E117" t="s">
        <v>403</v>
      </c>
      <c r="F117" s="7">
        <v>3208333</v>
      </c>
      <c r="G117" s="8" t="s">
        <v>527</v>
      </c>
      <c r="H117" s="7">
        <v>385000</v>
      </c>
      <c r="I117" s="7">
        <v>385000</v>
      </c>
      <c r="J117" s="9">
        <v>0</v>
      </c>
      <c r="K117" s="7">
        <f t="shared" si="3"/>
        <v>385000</v>
      </c>
      <c r="M117" s="6">
        <v>0</v>
      </c>
      <c r="N117" s="6">
        <v>385000</v>
      </c>
      <c r="O117" s="7">
        <f t="shared" si="4"/>
        <v>29853207</v>
      </c>
    </row>
    <row r="118" spans="1:15" ht="16" x14ac:dyDescent="0.2">
      <c r="A118" s="2">
        <v>46143</v>
      </c>
      <c r="B118" s="4" t="s">
        <v>15</v>
      </c>
      <c r="C118" s="4" t="s">
        <v>134</v>
      </c>
      <c r="D118" s="8" t="s">
        <v>534</v>
      </c>
      <c r="E118" t="s">
        <v>404</v>
      </c>
      <c r="F118" s="7">
        <v>765765766</v>
      </c>
      <c r="G118" s="8" t="s">
        <v>520</v>
      </c>
      <c r="H118" s="7">
        <v>84234234</v>
      </c>
      <c r="I118" s="7">
        <v>84234234</v>
      </c>
      <c r="J118" s="9">
        <f>I118</f>
        <v>84234234</v>
      </c>
      <c r="K118" s="7">
        <f t="shared" si="3"/>
        <v>0</v>
      </c>
      <c r="M118" s="6">
        <v>0</v>
      </c>
      <c r="N118" s="6">
        <v>0</v>
      </c>
      <c r="O118" s="7">
        <f t="shared" si="4"/>
        <v>29853207</v>
      </c>
    </row>
    <row r="119" spans="1:15" ht="16" x14ac:dyDescent="0.2">
      <c r="A119" s="2">
        <v>46143</v>
      </c>
      <c r="B119" s="4" t="s">
        <v>15</v>
      </c>
      <c r="C119" s="4" t="s">
        <v>135</v>
      </c>
      <c r="D119" s="8" t="s">
        <v>549</v>
      </c>
      <c r="E119" t="s">
        <v>405</v>
      </c>
      <c r="F119" s="7">
        <v>630630631</v>
      </c>
      <c r="G119" s="8" t="s">
        <v>520</v>
      </c>
      <c r="H119" s="7">
        <v>69369369</v>
      </c>
      <c r="I119" s="7">
        <v>69369369</v>
      </c>
      <c r="J119" s="9">
        <f>I119</f>
        <v>69369369</v>
      </c>
      <c r="K119" s="7">
        <f t="shared" si="3"/>
        <v>0</v>
      </c>
      <c r="M119" s="6">
        <v>0</v>
      </c>
      <c r="N119" s="6">
        <v>0</v>
      </c>
      <c r="O119" s="7">
        <f t="shared" si="4"/>
        <v>29853207</v>
      </c>
    </row>
    <row r="120" spans="1:15" ht="16" x14ac:dyDescent="0.2">
      <c r="A120" s="2">
        <v>46143</v>
      </c>
      <c r="B120" s="4" t="s">
        <v>16</v>
      </c>
      <c r="C120" s="4" t="s">
        <v>136</v>
      </c>
      <c r="D120" t="s">
        <v>270</v>
      </c>
      <c r="E120" t="s">
        <v>406</v>
      </c>
      <c r="F120" s="7">
        <v>163913383</v>
      </c>
      <c r="G120" s="8" t="s">
        <v>520</v>
      </c>
      <c r="H120" s="7">
        <v>1803047</v>
      </c>
      <c r="I120" s="7">
        <v>0</v>
      </c>
      <c r="J120" s="9">
        <v>0</v>
      </c>
      <c r="K120" s="7">
        <f t="shared" si="3"/>
        <v>0</v>
      </c>
      <c r="M120" s="6">
        <v>1803047</v>
      </c>
      <c r="N120" s="6">
        <v>0</v>
      </c>
      <c r="O120" s="7">
        <f t="shared" si="4"/>
        <v>28050160</v>
      </c>
    </row>
    <row r="121" spans="1:15" ht="16" x14ac:dyDescent="0.2">
      <c r="A121" s="2">
        <v>46143</v>
      </c>
      <c r="B121" s="4" t="s">
        <v>15</v>
      </c>
      <c r="C121" s="4" t="s">
        <v>137</v>
      </c>
      <c r="D121" s="8" t="s">
        <v>530</v>
      </c>
      <c r="E121" t="s">
        <v>407</v>
      </c>
      <c r="F121" s="7">
        <v>729729730</v>
      </c>
      <c r="G121" s="8" t="s">
        <v>522</v>
      </c>
      <c r="H121" s="7">
        <v>80270270</v>
      </c>
      <c r="I121" s="7">
        <v>80270270</v>
      </c>
      <c r="J121" s="9">
        <v>0</v>
      </c>
      <c r="K121" s="7">
        <f t="shared" si="3"/>
        <v>80270270</v>
      </c>
      <c r="M121" s="6">
        <v>0</v>
      </c>
      <c r="N121" s="6">
        <v>0</v>
      </c>
      <c r="O121" s="7">
        <f t="shared" si="4"/>
        <v>28050160</v>
      </c>
    </row>
    <row r="122" spans="1:15" ht="16" x14ac:dyDescent="0.2">
      <c r="A122" s="2">
        <v>46143</v>
      </c>
      <c r="B122" s="4" t="s">
        <v>16</v>
      </c>
      <c r="C122" s="4" t="s">
        <v>138</v>
      </c>
      <c r="D122" t="s">
        <v>278</v>
      </c>
      <c r="E122" t="s">
        <v>408</v>
      </c>
      <c r="F122" s="7">
        <v>394637523</v>
      </c>
      <c r="G122" s="8" t="s">
        <v>520</v>
      </c>
      <c r="H122" s="7">
        <v>4341013</v>
      </c>
      <c r="I122" s="7">
        <v>0</v>
      </c>
      <c r="J122" s="9">
        <v>0</v>
      </c>
      <c r="K122" s="7">
        <f t="shared" si="3"/>
        <v>0</v>
      </c>
      <c r="M122" s="6">
        <v>4341013</v>
      </c>
      <c r="N122" s="6">
        <v>0</v>
      </c>
      <c r="O122" s="7">
        <f t="shared" si="4"/>
        <v>23709147</v>
      </c>
    </row>
    <row r="123" spans="1:15" ht="16" x14ac:dyDescent="0.2">
      <c r="A123" s="2">
        <v>46143</v>
      </c>
      <c r="B123" s="4" t="s">
        <v>16</v>
      </c>
      <c r="C123" s="4" t="s">
        <v>139</v>
      </c>
      <c r="D123" t="s">
        <v>278</v>
      </c>
      <c r="E123" t="s">
        <v>409</v>
      </c>
      <c r="F123" s="7">
        <v>314877796</v>
      </c>
      <c r="G123" s="8" t="s">
        <v>520</v>
      </c>
      <c r="H123" s="7">
        <v>3463656</v>
      </c>
      <c r="I123" s="7">
        <v>0</v>
      </c>
      <c r="J123" s="9">
        <v>0</v>
      </c>
      <c r="K123" s="7">
        <f t="shared" si="3"/>
        <v>0</v>
      </c>
      <c r="M123" s="6">
        <v>3463656</v>
      </c>
      <c r="N123" s="6">
        <v>0</v>
      </c>
      <c r="O123" s="7">
        <f t="shared" si="4"/>
        <v>20245491</v>
      </c>
    </row>
    <row r="124" spans="1:15" ht="16" x14ac:dyDescent="0.2">
      <c r="A124" s="2">
        <v>46143</v>
      </c>
      <c r="B124" s="4" t="s">
        <v>16</v>
      </c>
      <c r="C124" s="4" t="s">
        <v>140</v>
      </c>
      <c r="D124" t="s">
        <v>278</v>
      </c>
      <c r="E124" t="s">
        <v>410</v>
      </c>
      <c r="F124" s="7">
        <v>233234421</v>
      </c>
      <c r="G124" s="8" t="s">
        <v>520</v>
      </c>
      <c r="H124" s="7">
        <v>2565579</v>
      </c>
      <c r="I124" s="7">
        <v>0</v>
      </c>
      <c r="J124" s="9">
        <v>0</v>
      </c>
      <c r="K124" s="7">
        <f t="shared" si="3"/>
        <v>0</v>
      </c>
      <c r="M124" s="6">
        <v>2565579</v>
      </c>
      <c r="N124" s="6">
        <v>0</v>
      </c>
      <c r="O124" s="7">
        <f t="shared" si="4"/>
        <v>17679912</v>
      </c>
    </row>
    <row r="125" spans="1:15" ht="16" x14ac:dyDescent="0.2">
      <c r="A125" s="2">
        <v>46143</v>
      </c>
      <c r="B125" s="4" t="s">
        <v>15</v>
      </c>
      <c r="C125" s="4" t="s">
        <v>141</v>
      </c>
      <c r="D125" s="8" t="s">
        <v>545</v>
      </c>
      <c r="E125" t="s">
        <v>411</v>
      </c>
      <c r="F125" s="7">
        <v>47649884</v>
      </c>
      <c r="G125" s="8" t="s">
        <v>520</v>
      </c>
      <c r="H125" s="7">
        <v>5241487</v>
      </c>
      <c r="I125" s="7">
        <v>5241487</v>
      </c>
      <c r="J125" s="9">
        <f>I125</f>
        <v>5241487</v>
      </c>
      <c r="K125" s="7">
        <f t="shared" si="3"/>
        <v>0</v>
      </c>
      <c r="M125" s="6">
        <v>0</v>
      </c>
      <c r="N125" s="6">
        <v>0</v>
      </c>
      <c r="O125" s="7">
        <f t="shared" si="4"/>
        <v>17679912</v>
      </c>
    </row>
    <row r="126" spans="1:15" ht="16" x14ac:dyDescent="0.2">
      <c r="A126" s="2">
        <v>46143</v>
      </c>
      <c r="B126" s="4" t="s">
        <v>15</v>
      </c>
      <c r="C126" s="4" t="s">
        <v>142</v>
      </c>
      <c r="D126" s="8" t="s">
        <v>545</v>
      </c>
      <c r="E126" t="s">
        <v>412</v>
      </c>
      <c r="F126" s="7">
        <v>32177040</v>
      </c>
      <c r="G126" s="8" t="s">
        <v>520</v>
      </c>
      <c r="H126" s="7">
        <v>3539474</v>
      </c>
      <c r="I126" s="7">
        <v>3539474</v>
      </c>
      <c r="J126" s="7">
        <f>I126</f>
        <v>3539474</v>
      </c>
      <c r="K126" s="7">
        <f t="shared" si="3"/>
        <v>0</v>
      </c>
      <c r="M126" s="6">
        <v>0</v>
      </c>
      <c r="N126" s="6">
        <v>0</v>
      </c>
      <c r="O126" s="7">
        <f t="shared" si="4"/>
        <v>17679912</v>
      </c>
    </row>
    <row r="127" spans="1:15" ht="16" x14ac:dyDescent="0.2">
      <c r="A127" s="2">
        <v>46143</v>
      </c>
      <c r="B127" s="4" t="s">
        <v>15</v>
      </c>
      <c r="C127" s="4" t="s">
        <v>143</v>
      </c>
      <c r="D127" s="8" t="s">
        <v>545</v>
      </c>
      <c r="E127" t="s">
        <v>413</v>
      </c>
      <c r="F127" s="7">
        <v>136402323</v>
      </c>
      <c r="G127" s="8" t="s">
        <v>520</v>
      </c>
      <c r="H127" s="7">
        <v>15004256</v>
      </c>
      <c r="I127" s="7">
        <v>15004256</v>
      </c>
      <c r="J127" s="9">
        <f>I127</f>
        <v>15004256</v>
      </c>
      <c r="K127" s="7">
        <f t="shared" si="3"/>
        <v>0</v>
      </c>
      <c r="M127" s="6">
        <v>0</v>
      </c>
      <c r="N127" s="6">
        <v>0</v>
      </c>
      <c r="O127" s="7">
        <f t="shared" si="4"/>
        <v>17679912</v>
      </c>
    </row>
    <row r="128" spans="1:15" ht="16" x14ac:dyDescent="0.2">
      <c r="A128" s="2">
        <v>46143</v>
      </c>
      <c r="B128" s="4" t="s">
        <v>15</v>
      </c>
      <c r="C128" s="4" t="s">
        <v>144</v>
      </c>
      <c r="D128" s="8" t="s">
        <v>545</v>
      </c>
      <c r="E128" t="s">
        <v>414</v>
      </c>
      <c r="F128" s="7">
        <v>34937500</v>
      </c>
      <c r="G128" s="8" t="s">
        <v>520</v>
      </c>
      <c r="H128" s="7">
        <v>3843125</v>
      </c>
      <c r="I128" s="7">
        <v>3843125</v>
      </c>
      <c r="J128" s="9">
        <f>I128</f>
        <v>3843125</v>
      </c>
      <c r="K128" s="7">
        <f t="shared" si="3"/>
        <v>0</v>
      </c>
      <c r="M128" s="6">
        <v>0</v>
      </c>
      <c r="N128" s="6">
        <v>0</v>
      </c>
      <c r="O128" s="7">
        <f t="shared" si="4"/>
        <v>17679912</v>
      </c>
    </row>
    <row r="129" spans="1:15" ht="16" x14ac:dyDescent="0.2">
      <c r="A129" s="2">
        <v>46143</v>
      </c>
      <c r="B129" s="4" t="s">
        <v>15</v>
      </c>
      <c r="C129" s="4" t="s">
        <v>145</v>
      </c>
      <c r="D129" s="8" t="s">
        <v>549</v>
      </c>
      <c r="E129" t="s">
        <v>415</v>
      </c>
      <c r="F129" s="7">
        <v>276045303</v>
      </c>
      <c r="G129" s="8" t="s">
        <v>522</v>
      </c>
      <c r="H129" s="7">
        <v>30364983</v>
      </c>
      <c r="I129" s="7">
        <v>30364983</v>
      </c>
      <c r="J129" s="7">
        <v>0</v>
      </c>
      <c r="K129" s="7">
        <f t="shared" si="3"/>
        <v>30364983</v>
      </c>
      <c r="M129" s="6">
        <v>0</v>
      </c>
      <c r="N129" s="6">
        <v>0</v>
      </c>
      <c r="O129" s="7">
        <f t="shared" si="4"/>
        <v>17679912</v>
      </c>
    </row>
    <row r="130" spans="1:15" ht="16" x14ac:dyDescent="0.2">
      <c r="A130" s="2">
        <v>46143</v>
      </c>
      <c r="B130" s="4" t="s">
        <v>15</v>
      </c>
      <c r="C130" s="4" t="s">
        <v>146</v>
      </c>
      <c r="D130" s="8" t="s">
        <v>545</v>
      </c>
      <c r="E130" t="s">
        <v>416</v>
      </c>
      <c r="F130" s="7">
        <v>152891774</v>
      </c>
      <c r="G130" s="8" t="s">
        <v>520</v>
      </c>
      <c r="H130" s="7">
        <v>16818095</v>
      </c>
      <c r="I130" s="7">
        <v>16818095</v>
      </c>
      <c r="J130" s="9">
        <f>I130</f>
        <v>16818095</v>
      </c>
      <c r="K130" s="7">
        <f t="shared" si="3"/>
        <v>0</v>
      </c>
      <c r="M130" s="6">
        <v>0</v>
      </c>
      <c r="N130" s="6">
        <v>0</v>
      </c>
      <c r="O130" s="7">
        <f t="shared" si="4"/>
        <v>17679912</v>
      </c>
    </row>
    <row r="131" spans="1:15" ht="16" x14ac:dyDescent="0.2">
      <c r="A131" s="2">
        <v>46143</v>
      </c>
      <c r="B131" s="4" t="s">
        <v>15</v>
      </c>
      <c r="C131" s="4" t="s">
        <v>147</v>
      </c>
      <c r="D131" s="8" t="s">
        <v>545</v>
      </c>
      <c r="E131" t="s">
        <v>417</v>
      </c>
      <c r="F131" s="7">
        <v>64001701</v>
      </c>
      <c r="G131" s="8" t="s">
        <v>520</v>
      </c>
      <c r="H131" s="7">
        <v>7040187</v>
      </c>
      <c r="I131" s="7">
        <v>7040187</v>
      </c>
      <c r="J131" s="9">
        <f>I131</f>
        <v>7040187</v>
      </c>
      <c r="K131" s="7">
        <f t="shared" ref="K131:K194" si="5">I131-J131</f>
        <v>0</v>
      </c>
      <c r="M131" s="6">
        <v>0</v>
      </c>
      <c r="N131" s="6">
        <v>0</v>
      </c>
      <c r="O131" s="7">
        <f t="shared" si="4"/>
        <v>17679912</v>
      </c>
    </row>
    <row r="132" spans="1:15" ht="16" x14ac:dyDescent="0.2">
      <c r="A132" s="2">
        <v>46143</v>
      </c>
      <c r="B132" s="4" t="s">
        <v>15</v>
      </c>
      <c r="C132" s="4" t="s">
        <v>148</v>
      </c>
      <c r="D132" s="8" t="s">
        <v>545</v>
      </c>
      <c r="E132" t="s">
        <v>418</v>
      </c>
      <c r="F132" s="7">
        <v>18975834</v>
      </c>
      <c r="G132" s="8" t="s">
        <v>520</v>
      </c>
      <c r="H132" s="7">
        <v>2087342</v>
      </c>
      <c r="I132" s="7">
        <v>2087342</v>
      </c>
      <c r="J132" s="9">
        <f>I132</f>
        <v>2087342</v>
      </c>
      <c r="K132" s="7">
        <f t="shared" si="5"/>
        <v>0</v>
      </c>
      <c r="M132" s="6">
        <v>0</v>
      </c>
      <c r="N132" s="6">
        <v>0</v>
      </c>
      <c r="O132" s="7">
        <f t="shared" ref="O132:O195" si="6">O131-M132+N132</f>
        <v>17679912</v>
      </c>
    </row>
    <row r="133" spans="1:15" s="15" customFormat="1" ht="16" x14ac:dyDescent="0.2">
      <c r="A133" s="13">
        <v>46143</v>
      </c>
      <c r="B133" s="14" t="s">
        <v>15</v>
      </c>
      <c r="C133" s="14" t="s">
        <v>149</v>
      </c>
      <c r="D133" s="8" t="s">
        <v>550</v>
      </c>
      <c r="E133" s="15" t="s">
        <v>419</v>
      </c>
      <c r="F133" s="10">
        <v>78990523</v>
      </c>
      <c r="G133" s="15" t="s">
        <v>522</v>
      </c>
      <c r="H133" s="10">
        <v>8688958</v>
      </c>
      <c r="I133" s="10">
        <v>8688958</v>
      </c>
      <c r="J133" s="10">
        <v>0</v>
      </c>
      <c r="K133" s="10">
        <f t="shared" si="5"/>
        <v>8688958</v>
      </c>
      <c r="M133" s="16">
        <v>0</v>
      </c>
      <c r="N133" s="16">
        <v>0</v>
      </c>
      <c r="O133" s="10">
        <f t="shared" si="6"/>
        <v>17679912</v>
      </c>
    </row>
    <row r="134" spans="1:15" ht="16" x14ac:dyDescent="0.2">
      <c r="A134" s="2">
        <v>46143</v>
      </c>
      <c r="B134" s="4" t="s">
        <v>17</v>
      </c>
      <c r="C134" s="4" t="s">
        <v>150</v>
      </c>
      <c r="D134" s="8" t="s">
        <v>533</v>
      </c>
      <c r="E134" t="s">
        <v>420</v>
      </c>
      <c r="F134" s="7">
        <v>4600000</v>
      </c>
      <c r="G134" s="8" t="s">
        <v>527</v>
      </c>
      <c r="H134" s="7">
        <v>506000</v>
      </c>
      <c r="I134" s="7">
        <v>506000</v>
      </c>
      <c r="J134" s="7">
        <v>0</v>
      </c>
      <c r="K134" s="7">
        <f t="shared" si="5"/>
        <v>506000</v>
      </c>
      <c r="M134" s="6">
        <v>0</v>
      </c>
      <c r="N134" s="6">
        <v>506000</v>
      </c>
      <c r="O134" s="7">
        <f t="shared" si="6"/>
        <v>18185912</v>
      </c>
    </row>
    <row r="135" spans="1:15" ht="16" x14ac:dyDescent="0.2">
      <c r="A135" s="2">
        <v>46143</v>
      </c>
      <c r="B135" s="4" t="s">
        <v>17</v>
      </c>
      <c r="C135" s="4" t="s">
        <v>151</v>
      </c>
      <c r="D135" t="s">
        <v>279</v>
      </c>
      <c r="E135" t="s">
        <v>421</v>
      </c>
      <c r="F135" s="7">
        <v>11710811</v>
      </c>
      <c r="G135" s="8" t="s">
        <v>527</v>
      </c>
      <c r="H135" s="7">
        <v>1288189</v>
      </c>
      <c r="I135" s="7">
        <v>1288189</v>
      </c>
      <c r="J135" s="7">
        <v>0</v>
      </c>
      <c r="K135" s="7">
        <f t="shared" si="5"/>
        <v>1288189</v>
      </c>
      <c r="M135" s="6">
        <v>0</v>
      </c>
      <c r="N135" s="6">
        <v>1288189</v>
      </c>
      <c r="O135" s="7">
        <f t="shared" si="6"/>
        <v>19474101</v>
      </c>
    </row>
    <row r="136" spans="1:15" ht="16" x14ac:dyDescent="0.2">
      <c r="A136" s="2">
        <v>46143</v>
      </c>
      <c r="B136" s="4" t="s">
        <v>17</v>
      </c>
      <c r="C136" s="4" t="s">
        <v>152</v>
      </c>
      <c r="D136" t="s">
        <v>279</v>
      </c>
      <c r="E136" t="s">
        <v>422</v>
      </c>
      <c r="F136" s="7">
        <v>10269369</v>
      </c>
      <c r="G136" s="8" t="s">
        <v>527</v>
      </c>
      <c r="H136" s="7">
        <v>1129631</v>
      </c>
      <c r="I136" s="7">
        <v>1129631</v>
      </c>
      <c r="J136" s="7">
        <v>0</v>
      </c>
      <c r="K136" s="7">
        <f t="shared" si="5"/>
        <v>1129631</v>
      </c>
      <c r="M136" s="6">
        <v>0</v>
      </c>
      <c r="N136" s="6">
        <v>1129631</v>
      </c>
      <c r="O136" s="7">
        <f t="shared" si="6"/>
        <v>20603732</v>
      </c>
    </row>
    <row r="137" spans="1:15" ht="16" x14ac:dyDescent="0.2">
      <c r="A137" s="2">
        <v>46143</v>
      </c>
      <c r="B137" s="4" t="s">
        <v>17</v>
      </c>
      <c r="C137" s="4" t="s">
        <v>153</v>
      </c>
      <c r="D137" t="s">
        <v>280</v>
      </c>
      <c r="E137" t="s">
        <v>423</v>
      </c>
      <c r="F137" s="7">
        <v>64614846</v>
      </c>
      <c r="G137" s="8" t="s">
        <v>527</v>
      </c>
      <c r="H137" s="7">
        <v>7107633</v>
      </c>
      <c r="I137" s="7">
        <v>7107633</v>
      </c>
      <c r="J137" s="7">
        <v>0</v>
      </c>
      <c r="K137" s="7">
        <f t="shared" si="5"/>
        <v>7107633</v>
      </c>
      <c r="M137" s="6">
        <v>0</v>
      </c>
      <c r="N137" s="6">
        <v>7107633</v>
      </c>
      <c r="O137" s="7">
        <f t="shared" si="6"/>
        <v>27711365</v>
      </c>
    </row>
    <row r="138" spans="1:15" ht="16" x14ac:dyDescent="0.2">
      <c r="A138" s="2">
        <v>46143</v>
      </c>
      <c r="B138" s="4" t="s">
        <v>17</v>
      </c>
      <c r="C138" s="4" t="s">
        <v>154</v>
      </c>
      <c r="D138" t="s">
        <v>268</v>
      </c>
      <c r="E138" t="s">
        <v>424</v>
      </c>
      <c r="F138" s="7">
        <v>18018019</v>
      </c>
      <c r="G138" s="8" t="s">
        <v>527</v>
      </c>
      <c r="H138" s="7">
        <v>1981982</v>
      </c>
      <c r="I138" s="7">
        <v>1981982</v>
      </c>
      <c r="J138" s="7">
        <v>0</v>
      </c>
      <c r="K138" s="7">
        <f t="shared" si="5"/>
        <v>1981982</v>
      </c>
      <c r="M138" s="6">
        <v>0</v>
      </c>
      <c r="N138" s="6">
        <v>1981982</v>
      </c>
      <c r="O138" s="7">
        <f t="shared" si="6"/>
        <v>29693347</v>
      </c>
    </row>
    <row r="139" spans="1:15" ht="16" x14ac:dyDescent="0.2">
      <c r="A139" s="2">
        <v>46143</v>
      </c>
      <c r="B139" s="4" t="s">
        <v>17</v>
      </c>
      <c r="C139" s="4" t="s">
        <v>155</v>
      </c>
      <c r="D139" t="s">
        <v>277</v>
      </c>
      <c r="E139" t="s">
        <v>425</v>
      </c>
      <c r="F139" s="7">
        <v>7981245</v>
      </c>
      <c r="G139" s="8" t="s">
        <v>527</v>
      </c>
      <c r="H139" s="7">
        <v>877936</v>
      </c>
      <c r="I139" s="7">
        <v>877936</v>
      </c>
      <c r="J139" s="7">
        <v>0</v>
      </c>
      <c r="K139" s="7">
        <f t="shared" si="5"/>
        <v>877936</v>
      </c>
      <c r="M139" s="6">
        <v>0</v>
      </c>
      <c r="N139" s="6">
        <v>877936</v>
      </c>
      <c r="O139" s="7">
        <f t="shared" si="6"/>
        <v>30571283</v>
      </c>
    </row>
    <row r="140" spans="1:15" ht="16" x14ac:dyDescent="0.2">
      <c r="A140" s="2">
        <v>46143</v>
      </c>
      <c r="B140" s="4" t="s">
        <v>17</v>
      </c>
      <c r="C140" s="4" t="s">
        <v>156</v>
      </c>
      <c r="D140" s="8" t="s">
        <v>542</v>
      </c>
      <c r="E140" t="s">
        <v>426</v>
      </c>
      <c r="F140" s="7">
        <v>8300000</v>
      </c>
      <c r="G140" s="8" t="s">
        <v>527</v>
      </c>
      <c r="H140" s="7">
        <v>913000</v>
      </c>
      <c r="I140" s="7">
        <v>913000</v>
      </c>
      <c r="J140" s="7">
        <v>0</v>
      </c>
      <c r="K140" s="7">
        <f t="shared" si="5"/>
        <v>913000</v>
      </c>
      <c r="M140" s="6">
        <v>0</v>
      </c>
      <c r="N140" s="6">
        <v>913000</v>
      </c>
      <c r="O140" s="7">
        <f t="shared" si="6"/>
        <v>31484283</v>
      </c>
    </row>
    <row r="141" spans="1:15" ht="16" x14ac:dyDescent="0.2">
      <c r="A141" s="2">
        <v>46143</v>
      </c>
      <c r="B141" s="4" t="s">
        <v>17</v>
      </c>
      <c r="C141" s="4" t="s">
        <v>157</v>
      </c>
      <c r="D141" s="8" t="s">
        <v>542</v>
      </c>
      <c r="E141" t="s">
        <v>427</v>
      </c>
      <c r="F141" s="7">
        <v>711712</v>
      </c>
      <c r="G141" s="8" t="s">
        <v>527</v>
      </c>
      <c r="H141" s="7">
        <v>78288</v>
      </c>
      <c r="I141" s="7">
        <v>78288</v>
      </c>
      <c r="J141" s="7">
        <v>0</v>
      </c>
      <c r="K141" s="7">
        <f t="shared" si="5"/>
        <v>78288</v>
      </c>
      <c r="M141" s="6">
        <v>0</v>
      </c>
      <c r="N141" s="6">
        <v>78288</v>
      </c>
      <c r="O141" s="7">
        <f t="shared" si="6"/>
        <v>31562571</v>
      </c>
    </row>
    <row r="142" spans="1:15" ht="16" x14ac:dyDescent="0.2">
      <c r="A142" s="2">
        <v>46143</v>
      </c>
      <c r="B142" s="4" t="s">
        <v>17</v>
      </c>
      <c r="C142" s="4" t="s">
        <v>158</v>
      </c>
      <c r="D142" t="s">
        <v>267</v>
      </c>
      <c r="E142" t="s">
        <v>428</v>
      </c>
      <c r="F142" s="7">
        <v>348460517</v>
      </c>
      <c r="G142" s="8" t="s">
        <v>527</v>
      </c>
      <c r="H142" s="7">
        <v>3833066</v>
      </c>
      <c r="I142" s="7">
        <v>3833066</v>
      </c>
      <c r="J142" s="7">
        <v>0</v>
      </c>
      <c r="K142" s="7">
        <f t="shared" si="5"/>
        <v>3833066</v>
      </c>
      <c r="M142" s="6">
        <v>0</v>
      </c>
      <c r="N142" s="6">
        <v>3833066</v>
      </c>
      <c r="O142" s="7">
        <f t="shared" si="6"/>
        <v>35395637</v>
      </c>
    </row>
    <row r="143" spans="1:15" ht="16" x14ac:dyDescent="0.2">
      <c r="A143" s="2">
        <v>46143</v>
      </c>
      <c r="B143" s="4" t="s">
        <v>17</v>
      </c>
      <c r="C143" s="4" t="s">
        <v>159</v>
      </c>
      <c r="D143" t="s">
        <v>281</v>
      </c>
      <c r="E143" t="s">
        <v>429</v>
      </c>
      <c r="F143" s="7">
        <v>3208333</v>
      </c>
      <c r="G143" s="8" t="s">
        <v>527</v>
      </c>
      <c r="H143" s="7">
        <v>385000</v>
      </c>
      <c r="I143" s="7">
        <v>385000</v>
      </c>
      <c r="J143" s="7">
        <v>0</v>
      </c>
      <c r="K143" s="7">
        <f t="shared" si="5"/>
        <v>385000</v>
      </c>
      <c r="M143" s="6">
        <v>0</v>
      </c>
      <c r="N143" s="6">
        <v>385000</v>
      </c>
      <c r="O143" s="7">
        <f t="shared" si="6"/>
        <v>35780637</v>
      </c>
    </row>
    <row r="144" spans="1:15" ht="16" x14ac:dyDescent="0.2">
      <c r="A144" s="2">
        <v>46174</v>
      </c>
      <c r="B144" s="4" t="s">
        <v>15</v>
      </c>
      <c r="C144" s="4" t="s">
        <v>160</v>
      </c>
      <c r="D144" t="s">
        <v>282</v>
      </c>
      <c r="E144" t="s">
        <v>430</v>
      </c>
      <c r="F144" s="7">
        <v>392700593</v>
      </c>
      <c r="G144" s="8" t="s">
        <v>522</v>
      </c>
      <c r="H144" s="7">
        <v>359975544</v>
      </c>
      <c r="I144" s="7">
        <v>359975544</v>
      </c>
      <c r="J144" s="7">
        <v>0</v>
      </c>
      <c r="K144" s="7">
        <f t="shared" si="5"/>
        <v>359975544</v>
      </c>
      <c r="M144" s="6">
        <v>0</v>
      </c>
      <c r="N144" s="6">
        <v>0</v>
      </c>
      <c r="O144" s="7">
        <f t="shared" si="6"/>
        <v>35780637</v>
      </c>
    </row>
    <row r="145" spans="1:15" ht="16" x14ac:dyDescent="0.2">
      <c r="A145" s="2">
        <v>46174</v>
      </c>
      <c r="B145" s="4" t="s">
        <v>15</v>
      </c>
      <c r="C145" s="4" t="s">
        <v>161</v>
      </c>
      <c r="D145" s="8" t="s">
        <v>545</v>
      </c>
      <c r="E145" t="s">
        <v>431</v>
      </c>
      <c r="F145" s="7">
        <v>273625805</v>
      </c>
      <c r="G145" s="8" t="s">
        <v>522</v>
      </c>
      <c r="H145" s="7">
        <v>250823655</v>
      </c>
      <c r="I145" s="7">
        <v>250823655</v>
      </c>
      <c r="J145" s="7">
        <v>0</v>
      </c>
      <c r="K145" s="7">
        <f t="shared" si="5"/>
        <v>250823655</v>
      </c>
      <c r="M145" s="6">
        <v>0</v>
      </c>
      <c r="N145" s="6">
        <v>0</v>
      </c>
      <c r="O145" s="7">
        <f t="shared" si="6"/>
        <v>35780637</v>
      </c>
    </row>
    <row r="146" spans="1:15" ht="16" x14ac:dyDescent="0.2">
      <c r="A146" s="2">
        <v>46174</v>
      </c>
      <c r="B146" s="4" t="s">
        <v>15</v>
      </c>
      <c r="C146" s="4" t="s">
        <v>162</v>
      </c>
      <c r="D146" s="8" t="s">
        <v>539</v>
      </c>
      <c r="E146" t="s">
        <v>432</v>
      </c>
      <c r="F146" s="7">
        <v>28000000</v>
      </c>
      <c r="G146" s="8" t="s">
        <v>522</v>
      </c>
      <c r="H146" s="7">
        <v>25666667</v>
      </c>
      <c r="I146" s="7">
        <v>25666667</v>
      </c>
      <c r="J146" s="7">
        <v>0</v>
      </c>
      <c r="K146" s="7">
        <f t="shared" si="5"/>
        <v>25666667</v>
      </c>
      <c r="M146" s="6">
        <v>0</v>
      </c>
      <c r="N146" s="6">
        <v>0</v>
      </c>
      <c r="O146" s="7">
        <f t="shared" si="6"/>
        <v>35780637</v>
      </c>
    </row>
    <row r="147" spans="1:15" ht="16" x14ac:dyDescent="0.2">
      <c r="A147" s="2">
        <v>46174</v>
      </c>
      <c r="B147" s="4" t="s">
        <v>15</v>
      </c>
      <c r="C147" s="4" t="s">
        <v>163</v>
      </c>
      <c r="D147" s="8" t="s">
        <v>550</v>
      </c>
      <c r="E147" t="s">
        <v>433</v>
      </c>
      <c r="F147" s="7">
        <v>5752557783</v>
      </c>
      <c r="G147" s="8" t="s">
        <v>522</v>
      </c>
      <c r="H147" s="7">
        <v>5273177968</v>
      </c>
      <c r="I147" s="7">
        <v>5273177968</v>
      </c>
      <c r="J147" s="7">
        <v>0</v>
      </c>
      <c r="K147" s="7">
        <f t="shared" si="5"/>
        <v>5273177968</v>
      </c>
      <c r="M147" s="6">
        <v>0</v>
      </c>
      <c r="N147" s="6">
        <v>0</v>
      </c>
      <c r="O147" s="7">
        <f t="shared" si="6"/>
        <v>35780637</v>
      </c>
    </row>
    <row r="148" spans="1:15" ht="16" x14ac:dyDescent="0.2">
      <c r="A148" s="2">
        <v>46174</v>
      </c>
      <c r="B148" s="4" t="s">
        <v>15</v>
      </c>
      <c r="C148" s="4" t="s">
        <v>164</v>
      </c>
      <c r="D148" s="8" t="s">
        <v>550</v>
      </c>
      <c r="E148" t="s">
        <v>434</v>
      </c>
      <c r="F148" s="7">
        <v>737324009</v>
      </c>
      <c r="G148" s="8" t="s">
        <v>522</v>
      </c>
      <c r="H148" s="7">
        <v>675880342</v>
      </c>
      <c r="I148" s="7">
        <v>675880342</v>
      </c>
      <c r="J148" s="7">
        <v>0</v>
      </c>
      <c r="K148" s="7">
        <f t="shared" si="5"/>
        <v>675880342</v>
      </c>
      <c r="M148" s="6">
        <v>0</v>
      </c>
      <c r="N148" s="6">
        <v>0</v>
      </c>
      <c r="O148" s="7">
        <f t="shared" si="6"/>
        <v>35780637</v>
      </c>
    </row>
    <row r="149" spans="1:15" ht="16" x14ac:dyDescent="0.2">
      <c r="A149" s="2">
        <v>46174</v>
      </c>
      <c r="B149" s="4" t="s">
        <v>15</v>
      </c>
      <c r="C149" s="4" t="s">
        <v>165</v>
      </c>
      <c r="D149" s="8" t="s">
        <v>534</v>
      </c>
      <c r="E149" t="s">
        <v>435</v>
      </c>
      <c r="F149" s="7">
        <v>495495495</v>
      </c>
      <c r="G149" s="8" t="s">
        <v>522</v>
      </c>
      <c r="H149" s="7">
        <v>454204205</v>
      </c>
      <c r="I149" s="7">
        <v>454204205</v>
      </c>
      <c r="J149" s="7">
        <v>0</v>
      </c>
      <c r="K149" s="7">
        <f t="shared" si="5"/>
        <v>454204205</v>
      </c>
      <c r="M149" s="6">
        <v>0</v>
      </c>
      <c r="N149" s="6">
        <v>0</v>
      </c>
      <c r="O149" s="7">
        <f t="shared" si="6"/>
        <v>35780637</v>
      </c>
    </row>
    <row r="150" spans="1:15" ht="16" x14ac:dyDescent="0.2">
      <c r="A150" s="2">
        <v>46174</v>
      </c>
      <c r="B150" s="4" t="s">
        <v>15</v>
      </c>
      <c r="C150" s="4" t="s">
        <v>166</v>
      </c>
      <c r="D150" t="s">
        <v>283</v>
      </c>
      <c r="E150" t="s">
        <v>436</v>
      </c>
      <c r="F150" s="7">
        <v>250000000</v>
      </c>
      <c r="G150" s="8" t="s">
        <v>522</v>
      </c>
      <c r="H150" s="7">
        <v>229166667</v>
      </c>
      <c r="I150" s="7">
        <v>229166667</v>
      </c>
      <c r="J150" s="7">
        <v>0</v>
      </c>
      <c r="K150" s="7">
        <f t="shared" si="5"/>
        <v>229166667</v>
      </c>
      <c r="M150" s="6">
        <v>0</v>
      </c>
      <c r="N150" s="6">
        <v>0</v>
      </c>
      <c r="O150" s="7">
        <f t="shared" si="6"/>
        <v>35780637</v>
      </c>
    </row>
    <row r="151" spans="1:15" ht="16" x14ac:dyDescent="0.2">
      <c r="A151" s="2">
        <v>46174</v>
      </c>
      <c r="B151" s="4" t="s">
        <v>15</v>
      </c>
      <c r="C151" s="4" t="s">
        <v>167</v>
      </c>
      <c r="D151" s="8" t="s">
        <v>549</v>
      </c>
      <c r="E151" t="s">
        <v>437</v>
      </c>
      <c r="F151" s="7">
        <v>720720721</v>
      </c>
      <c r="G151" s="8" t="s">
        <v>522</v>
      </c>
      <c r="H151" s="7">
        <v>660660661</v>
      </c>
      <c r="I151" s="7">
        <v>660660661</v>
      </c>
      <c r="J151" s="7">
        <v>0</v>
      </c>
      <c r="K151" s="7">
        <f t="shared" si="5"/>
        <v>660660661</v>
      </c>
      <c r="M151" s="6">
        <v>0</v>
      </c>
      <c r="N151" s="6">
        <v>0</v>
      </c>
      <c r="O151" s="7">
        <f t="shared" si="6"/>
        <v>35780637</v>
      </c>
    </row>
    <row r="152" spans="1:15" ht="16" x14ac:dyDescent="0.2">
      <c r="A152" s="2">
        <v>46174</v>
      </c>
      <c r="B152" s="4" t="s">
        <v>15</v>
      </c>
      <c r="C152" s="4" t="s">
        <v>168</v>
      </c>
      <c r="D152" s="8" t="s">
        <v>549</v>
      </c>
      <c r="E152" t="s">
        <v>438</v>
      </c>
      <c r="F152" s="7">
        <v>810810811</v>
      </c>
      <c r="G152" s="8" t="s">
        <v>522</v>
      </c>
      <c r="H152" s="7">
        <v>743243243</v>
      </c>
      <c r="I152" s="7">
        <v>743243243</v>
      </c>
      <c r="J152" s="7">
        <v>0</v>
      </c>
      <c r="K152" s="7">
        <f t="shared" si="5"/>
        <v>743243243</v>
      </c>
      <c r="M152" s="6">
        <v>0</v>
      </c>
      <c r="N152" s="6">
        <v>0</v>
      </c>
      <c r="O152" s="7">
        <f t="shared" si="6"/>
        <v>35780637</v>
      </c>
    </row>
    <row r="153" spans="1:15" ht="16" x14ac:dyDescent="0.2">
      <c r="A153" s="2">
        <v>46174</v>
      </c>
      <c r="B153" s="4" t="s">
        <v>16</v>
      </c>
      <c r="C153" s="4" t="s">
        <v>169</v>
      </c>
      <c r="D153" t="s">
        <v>284</v>
      </c>
      <c r="E153" t="s">
        <v>369</v>
      </c>
      <c r="F153" s="7">
        <v>8250000</v>
      </c>
      <c r="G153" s="8" t="s">
        <v>520</v>
      </c>
      <c r="H153" s="7">
        <v>907500</v>
      </c>
      <c r="I153" s="7">
        <v>907500</v>
      </c>
      <c r="J153" s="7">
        <v>0</v>
      </c>
      <c r="K153" s="7">
        <f t="shared" si="5"/>
        <v>907500</v>
      </c>
      <c r="M153" s="6">
        <v>0</v>
      </c>
      <c r="N153" s="6">
        <v>0</v>
      </c>
      <c r="O153" s="7">
        <f t="shared" si="6"/>
        <v>35780637</v>
      </c>
    </row>
    <row r="154" spans="1:15" ht="16" x14ac:dyDescent="0.2">
      <c r="A154" s="2">
        <v>46174</v>
      </c>
      <c r="B154" s="4" t="s">
        <v>15</v>
      </c>
      <c r="C154" s="4" t="s">
        <v>170</v>
      </c>
      <c r="D154" s="8" t="s">
        <v>534</v>
      </c>
      <c r="E154" t="s">
        <v>439</v>
      </c>
      <c r="F154" s="7">
        <v>630630631</v>
      </c>
      <c r="G154" s="8" t="s">
        <v>520</v>
      </c>
      <c r="H154" s="7">
        <v>69369369</v>
      </c>
      <c r="I154" s="7">
        <v>69369369</v>
      </c>
      <c r="J154" s="9">
        <f>I154</f>
        <v>69369369</v>
      </c>
      <c r="K154" s="7">
        <f t="shared" si="5"/>
        <v>0</v>
      </c>
      <c r="M154" s="6">
        <v>0</v>
      </c>
      <c r="N154" s="6">
        <v>0</v>
      </c>
      <c r="O154" s="7">
        <f t="shared" si="6"/>
        <v>35780637</v>
      </c>
    </row>
    <row r="155" spans="1:15" ht="16" x14ac:dyDescent="0.2">
      <c r="A155" s="2">
        <v>46174</v>
      </c>
      <c r="B155" s="4" t="s">
        <v>15</v>
      </c>
      <c r="C155" s="4" t="s">
        <v>171</v>
      </c>
      <c r="D155" s="8" t="s">
        <v>545</v>
      </c>
      <c r="E155" t="s">
        <v>440</v>
      </c>
      <c r="F155" s="7">
        <v>21610139</v>
      </c>
      <c r="G155" s="8" t="s">
        <v>520</v>
      </c>
      <c r="H155" s="7">
        <v>2377115</v>
      </c>
      <c r="I155" s="7">
        <v>2377115</v>
      </c>
      <c r="J155" s="9">
        <f>I155</f>
        <v>2377115</v>
      </c>
      <c r="K155" s="7">
        <f t="shared" si="5"/>
        <v>0</v>
      </c>
      <c r="M155" s="6">
        <v>0</v>
      </c>
      <c r="N155" s="6">
        <v>0</v>
      </c>
      <c r="O155" s="7">
        <f t="shared" si="6"/>
        <v>35780637</v>
      </c>
    </row>
    <row r="156" spans="1:15" ht="16" x14ac:dyDescent="0.2">
      <c r="A156" s="2">
        <v>46174</v>
      </c>
      <c r="B156" s="4" t="s">
        <v>15</v>
      </c>
      <c r="C156" s="4" t="s">
        <v>172</v>
      </c>
      <c r="D156" s="8" t="s">
        <v>545</v>
      </c>
      <c r="E156" t="s">
        <v>441</v>
      </c>
      <c r="F156" s="7">
        <v>67871290</v>
      </c>
      <c r="G156" s="8" t="s">
        <v>520</v>
      </c>
      <c r="H156" s="7">
        <v>7465842</v>
      </c>
      <c r="I156" s="7">
        <v>7465842</v>
      </c>
      <c r="J156" s="9">
        <f>I156</f>
        <v>7465842</v>
      </c>
      <c r="K156" s="7">
        <f t="shared" si="5"/>
        <v>0</v>
      </c>
      <c r="M156" s="6">
        <v>0</v>
      </c>
      <c r="N156" s="6">
        <v>0</v>
      </c>
      <c r="O156" s="7">
        <f t="shared" si="6"/>
        <v>35780637</v>
      </c>
    </row>
    <row r="157" spans="1:15" ht="16" x14ac:dyDescent="0.2">
      <c r="A157" s="2">
        <v>46174</v>
      </c>
      <c r="B157" s="4" t="s">
        <v>15</v>
      </c>
      <c r="C157" s="4" t="s">
        <v>173</v>
      </c>
      <c r="D157" s="8" t="s">
        <v>545</v>
      </c>
      <c r="E157" t="s">
        <v>442</v>
      </c>
      <c r="F157" s="7">
        <v>41322945</v>
      </c>
      <c r="G157" s="8" t="s">
        <v>520</v>
      </c>
      <c r="H157" s="7">
        <v>4545524</v>
      </c>
      <c r="I157" s="7">
        <v>4545524</v>
      </c>
      <c r="J157" s="9">
        <f>I157</f>
        <v>4545524</v>
      </c>
      <c r="K157" s="7">
        <f t="shared" si="5"/>
        <v>0</v>
      </c>
      <c r="M157" s="6">
        <v>0</v>
      </c>
      <c r="N157" s="6">
        <v>0</v>
      </c>
      <c r="O157" s="7">
        <f t="shared" si="6"/>
        <v>35780637</v>
      </c>
    </row>
    <row r="158" spans="1:15" ht="16" x14ac:dyDescent="0.2">
      <c r="A158" s="2">
        <v>46174</v>
      </c>
      <c r="B158" s="4" t="s">
        <v>15</v>
      </c>
      <c r="C158" s="4" t="s">
        <v>174</v>
      </c>
      <c r="D158" s="8" t="s">
        <v>545</v>
      </c>
      <c r="E158" t="s">
        <v>443</v>
      </c>
      <c r="F158" s="7">
        <v>853052020</v>
      </c>
      <c r="G158" s="8" t="s">
        <v>520</v>
      </c>
      <c r="H158" s="7">
        <v>93835722</v>
      </c>
      <c r="I158" s="7">
        <v>93835722</v>
      </c>
      <c r="J158" s="9">
        <f>I158</f>
        <v>93835722</v>
      </c>
      <c r="K158" s="7">
        <f t="shared" si="5"/>
        <v>0</v>
      </c>
      <c r="M158" s="6">
        <v>0</v>
      </c>
      <c r="N158" s="6">
        <v>0</v>
      </c>
      <c r="O158" s="7">
        <f t="shared" si="6"/>
        <v>35780637</v>
      </c>
    </row>
    <row r="159" spans="1:15" ht="16" x14ac:dyDescent="0.2">
      <c r="A159" s="2">
        <v>46174</v>
      </c>
      <c r="B159" s="4" t="s">
        <v>16</v>
      </c>
      <c r="C159" s="4" t="s">
        <v>175</v>
      </c>
      <c r="D159" s="8" t="s">
        <v>544</v>
      </c>
      <c r="E159" t="s">
        <v>444</v>
      </c>
      <c r="F159" s="7">
        <v>270818596</v>
      </c>
      <c r="G159" s="8" t="s">
        <v>520</v>
      </c>
      <c r="H159" s="7">
        <v>2979005</v>
      </c>
      <c r="I159" s="7">
        <v>0</v>
      </c>
      <c r="J159" s="7">
        <v>0</v>
      </c>
      <c r="K159" s="7">
        <f t="shared" si="5"/>
        <v>0</v>
      </c>
      <c r="M159" s="6">
        <v>2979005</v>
      </c>
      <c r="N159" s="6">
        <v>0</v>
      </c>
      <c r="O159" s="7">
        <f t="shared" si="6"/>
        <v>32801632</v>
      </c>
    </row>
    <row r="160" spans="1:15" ht="16" x14ac:dyDescent="0.2">
      <c r="A160" s="2">
        <v>46174</v>
      </c>
      <c r="B160" s="4" t="s">
        <v>15</v>
      </c>
      <c r="C160" s="4" t="s">
        <v>176</v>
      </c>
      <c r="D160" s="8" t="s">
        <v>545</v>
      </c>
      <c r="E160" t="s">
        <v>445</v>
      </c>
      <c r="F160" s="7">
        <v>639924198</v>
      </c>
      <c r="G160" s="8" t="s">
        <v>520</v>
      </c>
      <c r="H160" s="7">
        <v>70391662</v>
      </c>
      <c r="I160" s="7">
        <v>70391662</v>
      </c>
      <c r="J160" s="9">
        <f>I160</f>
        <v>70391662</v>
      </c>
      <c r="K160" s="7">
        <f t="shared" si="5"/>
        <v>0</v>
      </c>
      <c r="M160" s="6">
        <v>0</v>
      </c>
      <c r="N160" s="6">
        <v>0</v>
      </c>
      <c r="O160" s="7">
        <f t="shared" si="6"/>
        <v>32801632</v>
      </c>
    </row>
    <row r="161" spans="1:15" ht="16" x14ac:dyDescent="0.2">
      <c r="A161" s="2">
        <v>46174</v>
      </c>
      <c r="B161" s="4" t="s">
        <v>17</v>
      </c>
      <c r="C161" s="4" t="s">
        <v>177</v>
      </c>
      <c r="D161" s="8" t="s">
        <v>533</v>
      </c>
      <c r="E161" t="s">
        <v>446</v>
      </c>
      <c r="F161" s="7">
        <v>4600000</v>
      </c>
      <c r="G161" s="8" t="s">
        <v>527</v>
      </c>
      <c r="H161" s="7">
        <v>506000</v>
      </c>
      <c r="I161" s="7">
        <v>506000</v>
      </c>
      <c r="J161" s="7">
        <v>0</v>
      </c>
      <c r="K161" s="7">
        <f t="shared" si="5"/>
        <v>506000</v>
      </c>
      <c r="M161" s="6">
        <v>0</v>
      </c>
      <c r="N161" s="6">
        <v>506000</v>
      </c>
      <c r="O161" s="7">
        <f t="shared" si="6"/>
        <v>33307632</v>
      </c>
    </row>
    <row r="162" spans="1:15" ht="16" x14ac:dyDescent="0.2">
      <c r="A162" s="2">
        <v>46174</v>
      </c>
      <c r="B162" s="4" t="s">
        <v>17</v>
      </c>
      <c r="C162" s="4" t="s">
        <v>178</v>
      </c>
      <c r="D162" t="s">
        <v>268</v>
      </c>
      <c r="E162" t="s">
        <v>447</v>
      </c>
      <c r="F162" s="7">
        <v>18018018</v>
      </c>
      <c r="G162" s="8" t="s">
        <v>527</v>
      </c>
      <c r="H162" s="7">
        <v>1981982</v>
      </c>
      <c r="I162" s="7">
        <v>1981982</v>
      </c>
      <c r="J162" s="7">
        <v>0</v>
      </c>
      <c r="K162" s="7">
        <f t="shared" si="5"/>
        <v>1981982</v>
      </c>
      <c r="M162" s="6">
        <v>0</v>
      </c>
      <c r="N162" s="6">
        <v>1981982</v>
      </c>
      <c r="O162" s="7">
        <f t="shared" si="6"/>
        <v>35289614</v>
      </c>
    </row>
    <row r="163" spans="1:15" ht="16" x14ac:dyDescent="0.2">
      <c r="A163" s="2">
        <v>46174</v>
      </c>
      <c r="B163" s="4" t="s">
        <v>17</v>
      </c>
      <c r="C163" s="4" t="s">
        <v>179</v>
      </c>
      <c r="D163" s="8" t="s">
        <v>535</v>
      </c>
      <c r="E163" t="s">
        <v>448</v>
      </c>
      <c r="F163" s="7">
        <v>6550000</v>
      </c>
      <c r="G163" s="8" t="s">
        <v>527</v>
      </c>
      <c r="H163" s="7">
        <v>72050</v>
      </c>
      <c r="I163" s="7">
        <v>72050</v>
      </c>
      <c r="J163" s="7">
        <v>0</v>
      </c>
      <c r="K163" s="7">
        <f t="shared" si="5"/>
        <v>72050</v>
      </c>
      <c r="M163" s="6">
        <v>0</v>
      </c>
      <c r="N163" s="6">
        <v>72050</v>
      </c>
      <c r="O163" s="7">
        <f t="shared" si="6"/>
        <v>35361664</v>
      </c>
    </row>
    <row r="164" spans="1:15" ht="16" x14ac:dyDescent="0.2">
      <c r="A164" s="2">
        <v>46174</v>
      </c>
      <c r="B164" s="4" t="s">
        <v>17</v>
      </c>
      <c r="C164" s="4" t="s">
        <v>180</v>
      </c>
      <c r="D164" s="8" t="s">
        <v>535</v>
      </c>
      <c r="E164" t="s">
        <v>449</v>
      </c>
      <c r="F164" s="7">
        <v>49308000</v>
      </c>
      <c r="G164" s="8" t="s">
        <v>527</v>
      </c>
      <c r="H164" s="7">
        <v>542388</v>
      </c>
      <c r="I164" s="7">
        <v>542388</v>
      </c>
      <c r="J164" s="7">
        <v>0</v>
      </c>
      <c r="K164" s="7">
        <f t="shared" si="5"/>
        <v>542388</v>
      </c>
      <c r="M164" s="6">
        <v>0</v>
      </c>
      <c r="N164" s="6">
        <v>542388</v>
      </c>
      <c r="O164" s="7">
        <f t="shared" si="6"/>
        <v>35904052</v>
      </c>
    </row>
    <row r="165" spans="1:15" ht="16" x14ac:dyDescent="0.2">
      <c r="A165" s="2">
        <v>46174</v>
      </c>
      <c r="B165" s="4" t="s">
        <v>17</v>
      </c>
      <c r="C165" s="4" t="s">
        <v>181</v>
      </c>
      <c r="D165" s="8" t="s">
        <v>535</v>
      </c>
      <c r="E165" t="s">
        <v>450</v>
      </c>
      <c r="F165" s="7">
        <v>1100000</v>
      </c>
      <c r="G165" s="8" t="s">
        <v>527</v>
      </c>
      <c r="H165" s="7">
        <v>12100</v>
      </c>
      <c r="I165" s="7">
        <v>12100</v>
      </c>
      <c r="J165" s="7">
        <v>0</v>
      </c>
      <c r="K165" s="7">
        <f t="shared" si="5"/>
        <v>12100</v>
      </c>
      <c r="M165" s="6">
        <v>0</v>
      </c>
      <c r="N165" s="6">
        <v>12100</v>
      </c>
      <c r="O165" s="7">
        <f t="shared" si="6"/>
        <v>35916152</v>
      </c>
    </row>
    <row r="166" spans="1:15" ht="16" x14ac:dyDescent="0.2">
      <c r="A166" s="2">
        <v>46174</v>
      </c>
      <c r="B166" s="4" t="s">
        <v>17</v>
      </c>
      <c r="C166" s="4" t="s">
        <v>182</v>
      </c>
      <c r="D166" t="s">
        <v>267</v>
      </c>
      <c r="E166" t="s">
        <v>451</v>
      </c>
      <c r="F166" s="7">
        <v>13200000</v>
      </c>
      <c r="G166" s="8" t="s">
        <v>527</v>
      </c>
      <c r="H166" s="7">
        <v>145200</v>
      </c>
      <c r="I166" s="7">
        <v>145200</v>
      </c>
      <c r="J166" s="7">
        <v>0</v>
      </c>
      <c r="K166" s="7">
        <f t="shared" si="5"/>
        <v>145200</v>
      </c>
      <c r="M166" s="6">
        <v>0</v>
      </c>
      <c r="N166" s="6">
        <v>145200</v>
      </c>
      <c r="O166" s="7">
        <f t="shared" si="6"/>
        <v>36061352</v>
      </c>
    </row>
    <row r="167" spans="1:15" ht="16" x14ac:dyDescent="0.2">
      <c r="A167" s="2">
        <v>46174</v>
      </c>
      <c r="B167" s="4" t="s">
        <v>17</v>
      </c>
      <c r="C167" s="4" t="s">
        <v>183</v>
      </c>
      <c r="D167" t="s">
        <v>267</v>
      </c>
      <c r="E167" t="s">
        <v>452</v>
      </c>
      <c r="F167" s="7">
        <v>3400000</v>
      </c>
      <c r="G167" s="8" t="s">
        <v>527</v>
      </c>
      <c r="H167" s="7">
        <v>37400</v>
      </c>
      <c r="I167" s="7">
        <v>37400</v>
      </c>
      <c r="J167" s="7">
        <v>0</v>
      </c>
      <c r="K167" s="7">
        <f t="shared" si="5"/>
        <v>37400</v>
      </c>
      <c r="M167" s="6">
        <v>0</v>
      </c>
      <c r="N167" s="6">
        <v>37400</v>
      </c>
      <c r="O167" s="7">
        <f t="shared" si="6"/>
        <v>36098752</v>
      </c>
    </row>
    <row r="168" spans="1:15" ht="16" x14ac:dyDescent="0.2">
      <c r="A168" s="2">
        <v>46174</v>
      </c>
      <c r="B168" s="4" t="s">
        <v>17</v>
      </c>
      <c r="C168" s="4" t="s">
        <v>184</v>
      </c>
      <c r="D168" s="8" t="s">
        <v>542</v>
      </c>
      <c r="E168" t="s">
        <v>453</v>
      </c>
      <c r="F168" s="7">
        <v>711712</v>
      </c>
      <c r="G168" s="8" t="s">
        <v>527</v>
      </c>
      <c r="H168" s="7">
        <v>78288</v>
      </c>
      <c r="I168" s="7">
        <v>78288</v>
      </c>
      <c r="J168" s="7">
        <v>0</v>
      </c>
      <c r="K168" s="7">
        <f t="shared" si="5"/>
        <v>78288</v>
      </c>
      <c r="M168" s="6">
        <v>0</v>
      </c>
      <c r="N168" s="6">
        <v>78288</v>
      </c>
      <c r="O168" s="7">
        <f t="shared" si="6"/>
        <v>36177040</v>
      </c>
    </row>
    <row r="169" spans="1:15" ht="16" x14ac:dyDescent="0.2">
      <c r="A169" s="2">
        <v>46174</v>
      </c>
      <c r="B169" s="4" t="s">
        <v>17</v>
      </c>
      <c r="C169" s="4" t="s">
        <v>185</v>
      </c>
      <c r="D169" t="s">
        <v>281</v>
      </c>
      <c r="E169" t="s">
        <v>454</v>
      </c>
      <c r="F169" s="7">
        <v>3208333</v>
      </c>
      <c r="G169" s="8" t="s">
        <v>527</v>
      </c>
      <c r="H169" s="7">
        <v>385000</v>
      </c>
      <c r="I169" s="7">
        <v>385000</v>
      </c>
      <c r="J169" s="7">
        <v>0</v>
      </c>
      <c r="K169" s="7">
        <f t="shared" si="5"/>
        <v>385000</v>
      </c>
      <c r="M169" s="6">
        <v>0</v>
      </c>
      <c r="N169" s="6">
        <v>385000</v>
      </c>
      <c r="O169" s="7">
        <f t="shared" si="6"/>
        <v>36562040</v>
      </c>
    </row>
    <row r="170" spans="1:15" ht="16" x14ac:dyDescent="0.2">
      <c r="A170" s="2">
        <v>46204</v>
      </c>
      <c r="B170" s="4" t="s">
        <v>15</v>
      </c>
      <c r="C170" s="3" t="s">
        <v>186</v>
      </c>
      <c r="D170" s="8" t="s">
        <v>549</v>
      </c>
      <c r="E170" t="s">
        <v>455</v>
      </c>
      <c r="F170" s="7">
        <v>587016920</v>
      </c>
      <c r="G170" s="8" t="s">
        <v>520</v>
      </c>
      <c r="H170" s="7">
        <v>64571861</v>
      </c>
      <c r="I170" s="7">
        <v>64571861</v>
      </c>
      <c r="J170" s="9">
        <f>I170</f>
        <v>64571861</v>
      </c>
      <c r="K170" s="7">
        <f t="shared" si="5"/>
        <v>0</v>
      </c>
      <c r="M170" s="6">
        <v>0</v>
      </c>
      <c r="N170" s="6">
        <v>0</v>
      </c>
      <c r="O170" s="7">
        <f t="shared" si="6"/>
        <v>36562040</v>
      </c>
    </row>
    <row r="171" spans="1:15" ht="16" x14ac:dyDescent="0.2">
      <c r="A171" s="2">
        <v>46204</v>
      </c>
      <c r="B171" s="4" t="s">
        <v>15</v>
      </c>
      <c r="C171" s="3" t="s">
        <v>187</v>
      </c>
      <c r="D171" s="8" t="s">
        <v>549</v>
      </c>
      <c r="E171" t="s">
        <v>456</v>
      </c>
      <c r="F171" s="7">
        <v>720720721</v>
      </c>
      <c r="G171" s="8" t="s">
        <v>520</v>
      </c>
      <c r="H171" s="7">
        <v>79279279</v>
      </c>
      <c r="I171" s="7">
        <v>79279279</v>
      </c>
      <c r="J171" s="9">
        <f>I171</f>
        <v>79279279</v>
      </c>
      <c r="K171" s="7">
        <f t="shared" si="5"/>
        <v>0</v>
      </c>
      <c r="M171" s="6">
        <v>0</v>
      </c>
      <c r="N171" s="6">
        <v>0</v>
      </c>
      <c r="O171" s="7">
        <f t="shared" si="6"/>
        <v>36562040</v>
      </c>
    </row>
    <row r="172" spans="1:15" ht="16" x14ac:dyDescent="0.2">
      <c r="A172" s="2">
        <v>46204</v>
      </c>
      <c r="B172" s="4" t="s">
        <v>15</v>
      </c>
      <c r="C172" s="3" t="s">
        <v>188</v>
      </c>
      <c r="D172" s="8" t="s">
        <v>545</v>
      </c>
      <c r="E172" t="s">
        <v>457</v>
      </c>
      <c r="F172" s="7">
        <v>22565423</v>
      </c>
      <c r="G172" s="8" t="s">
        <v>520</v>
      </c>
      <c r="H172" s="7">
        <v>2482197</v>
      </c>
      <c r="I172" s="7">
        <v>2482197</v>
      </c>
      <c r="J172" s="9">
        <f>I172</f>
        <v>2482197</v>
      </c>
      <c r="K172" s="7">
        <f t="shared" si="5"/>
        <v>0</v>
      </c>
      <c r="M172" s="6">
        <v>0</v>
      </c>
      <c r="N172" s="6">
        <v>0</v>
      </c>
      <c r="O172" s="7">
        <f t="shared" si="6"/>
        <v>36562040</v>
      </c>
    </row>
    <row r="173" spans="1:15" ht="16" x14ac:dyDescent="0.2">
      <c r="A173" s="2">
        <v>46204</v>
      </c>
      <c r="B173" s="4" t="s">
        <v>15</v>
      </c>
      <c r="C173" s="3" t="s">
        <v>189</v>
      </c>
      <c r="D173" s="8" t="s">
        <v>545</v>
      </c>
      <c r="E173" t="s">
        <v>458</v>
      </c>
      <c r="F173" s="7">
        <v>24095781</v>
      </c>
      <c r="G173" s="8" t="s">
        <v>520</v>
      </c>
      <c r="H173" s="7">
        <v>2650536</v>
      </c>
      <c r="I173" s="7">
        <v>2650536</v>
      </c>
      <c r="J173" s="9">
        <f>I173</f>
        <v>2650536</v>
      </c>
      <c r="K173" s="7">
        <f t="shared" si="5"/>
        <v>0</v>
      </c>
      <c r="M173" s="6">
        <v>0</v>
      </c>
      <c r="N173" s="6">
        <v>0</v>
      </c>
      <c r="O173" s="7">
        <f t="shared" si="6"/>
        <v>36562040</v>
      </c>
    </row>
    <row r="174" spans="1:15" ht="16" x14ac:dyDescent="0.2">
      <c r="A174" s="2">
        <v>46204</v>
      </c>
      <c r="B174" s="4" t="s">
        <v>15</v>
      </c>
      <c r="C174" s="3" t="s">
        <v>190</v>
      </c>
      <c r="D174" s="8" t="s">
        <v>545</v>
      </c>
      <c r="E174" t="s">
        <v>459</v>
      </c>
      <c r="F174" s="7">
        <v>30385000</v>
      </c>
      <c r="G174" s="8" t="s">
        <v>520</v>
      </c>
      <c r="H174" s="7">
        <v>3342350</v>
      </c>
      <c r="I174" s="7">
        <v>3342350</v>
      </c>
      <c r="J174" s="9">
        <f>I174</f>
        <v>3342350</v>
      </c>
      <c r="K174" s="7">
        <f t="shared" si="5"/>
        <v>0</v>
      </c>
      <c r="M174" s="6">
        <v>0</v>
      </c>
      <c r="N174" s="6">
        <v>0</v>
      </c>
      <c r="O174" s="7">
        <f t="shared" si="6"/>
        <v>36562040</v>
      </c>
    </row>
    <row r="175" spans="1:15" ht="16" x14ac:dyDescent="0.2">
      <c r="A175" s="2">
        <v>46204</v>
      </c>
      <c r="B175" s="4" t="s">
        <v>16</v>
      </c>
      <c r="C175" s="3" t="s">
        <v>191</v>
      </c>
      <c r="D175" t="s">
        <v>278</v>
      </c>
      <c r="E175" t="s">
        <v>460</v>
      </c>
      <c r="F175" s="7">
        <v>77744807</v>
      </c>
      <c r="G175" s="8" t="s">
        <v>520</v>
      </c>
      <c r="H175" s="7">
        <v>855193</v>
      </c>
      <c r="I175" s="7">
        <v>0</v>
      </c>
      <c r="J175" s="7">
        <v>0</v>
      </c>
      <c r="K175" s="7">
        <f t="shared" si="5"/>
        <v>0</v>
      </c>
      <c r="M175" s="6">
        <v>855193</v>
      </c>
      <c r="N175" s="6">
        <v>0</v>
      </c>
      <c r="O175" s="7">
        <f t="shared" si="6"/>
        <v>35706847</v>
      </c>
    </row>
    <row r="176" spans="1:15" ht="16" x14ac:dyDescent="0.2">
      <c r="A176" s="2">
        <v>46204</v>
      </c>
      <c r="B176" s="4" t="s">
        <v>16</v>
      </c>
      <c r="C176" s="3" t="s">
        <v>192</v>
      </c>
      <c r="D176" t="s">
        <v>278</v>
      </c>
      <c r="E176" t="s">
        <v>461</v>
      </c>
      <c r="F176" s="7">
        <v>77744807</v>
      </c>
      <c r="G176" s="8" t="s">
        <v>520</v>
      </c>
      <c r="H176" s="7">
        <v>855193</v>
      </c>
      <c r="I176" s="7">
        <v>0</v>
      </c>
      <c r="J176" s="7">
        <v>0</v>
      </c>
      <c r="K176" s="7">
        <f t="shared" si="5"/>
        <v>0</v>
      </c>
      <c r="M176" s="6">
        <v>855193</v>
      </c>
      <c r="N176" s="6">
        <v>0</v>
      </c>
      <c r="O176" s="7">
        <f t="shared" si="6"/>
        <v>34851654</v>
      </c>
    </row>
    <row r="177" spans="1:15" ht="16" x14ac:dyDescent="0.2">
      <c r="A177" s="2">
        <v>46204</v>
      </c>
      <c r="B177" s="4" t="s">
        <v>16</v>
      </c>
      <c r="C177" s="3" t="s">
        <v>193</v>
      </c>
      <c r="D177" s="8" t="s">
        <v>528</v>
      </c>
      <c r="E177" t="s">
        <v>462</v>
      </c>
      <c r="F177" s="7">
        <v>8811450</v>
      </c>
      <c r="G177" s="8" t="s">
        <v>520</v>
      </c>
      <c r="H177" s="7">
        <v>969260</v>
      </c>
      <c r="I177" s="7">
        <v>0</v>
      </c>
      <c r="J177" s="7">
        <v>0</v>
      </c>
      <c r="K177" s="7">
        <f t="shared" si="5"/>
        <v>0</v>
      </c>
      <c r="M177" s="6">
        <v>969260</v>
      </c>
      <c r="N177" s="6">
        <v>0</v>
      </c>
      <c r="O177" s="7">
        <f t="shared" si="6"/>
        <v>33882394</v>
      </c>
    </row>
    <row r="178" spans="1:15" ht="16" x14ac:dyDescent="0.2">
      <c r="A178" s="2">
        <v>46204</v>
      </c>
      <c r="B178" s="4" t="s">
        <v>15</v>
      </c>
      <c r="C178" s="3" t="s">
        <v>194</v>
      </c>
      <c r="D178" t="s">
        <v>255</v>
      </c>
      <c r="E178" t="s">
        <v>463</v>
      </c>
      <c r="F178" s="7">
        <v>675675676</v>
      </c>
      <c r="G178" s="8" t="s">
        <v>520</v>
      </c>
      <c r="H178" s="7">
        <v>74324324</v>
      </c>
      <c r="I178" s="7">
        <v>74324324</v>
      </c>
      <c r="J178" s="9">
        <f>I178</f>
        <v>74324324</v>
      </c>
      <c r="K178" s="7">
        <f t="shared" si="5"/>
        <v>0</v>
      </c>
      <c r="M178" s="6">
        <v>0</v>
      </c>
      <c r="N178" s="6">
        <v>0</v>
      </c>
      <c r="O178" s="7">
        <f t="shared" si="6"/>
        <v>33882394</v>
      </c>
    </row>
    <row r="179" spans="1:15" ht="16" x14ac:dyDescent="0.2">
      <c r="A179" s="2">
        <v>46204</v>
      </c>
      <c r="B179" s="4" t="s">
        <v>15</v>
      </c>
      <c r="C179" s="3" t="s">
        <v>195</v>
      </c>
      <c r="D179" s="8" t="s">
        <v>549</v>
      </c>
      <c r="E179" t="s">
        <v>464</v>
      </c>
      <c r="F179" s="7">
        <v>311520000</v>
      </c>
      <c r="G179" s="8" t="s">
        <v>522</v>
      </c>
      <c r="H179" s="7">
        <v>34267200</v>
      </c>
      <c r="I179" s="7">
        <v>34267200</v>
      </c>
      <c r="J179" s="9">
        <v>0</v>
      </c>
      <c r="K179" s="7">
        <f t="shared" si="5"/>
        <v>34267200</v>
      </c>
      <c r="M179" s="6">
        <v>0</v>
      </c>
      <c r="N179" s="6">
        <v>0</v>
      </c>
      <c r="O179" s="7">
        <f t="shared" si="6"/>
        <v>33882394</v>
      </c>
    </row>
    <row r="180" spans="1:15" ht="16" x14ac:dyDescent="0.2">
      <c r="A180" s="2">
        <v>46204</v>
      </c>
      <c r="B180" s="4" t="s">
        <v>15</v>
      </c>
      <c r="C180" s="3" t="s">
        <v>196</v>
      </c>
      <c r="D180" s="8" t="s">
        <v>550</v>
      </c>
      <c r="E180" t="s">
        <v>419</v>
      </c>
      <c r="F180" s="7">
        <v>78990523</v>
      </c>
      <c r="G180" s="8" t="s">
        <v>520</v>
      </c>
      <c r="H180" s="7">
        <v>8688958</v>
      </c>
      <c r="I180" s="7">
        <v>8688958</v>
      </c>
      <c r="J180" s="9">
        <f>I180</f>
        <v>8688958</v>
      </c>
      <c r="K180" s="7">
        <f t="shared" si="5"/>
        <v>0</v>
      </c>
      <c r="M180" s="6">
        <v>0</v>
      </c>
      <c r="N180" s="6">
        <v>0</v>
      </c>
      <c r="O180" s="7">
        <f t="shared" si="6"/>
        <v>33882394</v>
      </c>
    </row>
    <row r="181" spans="1:15" ht="16" x14ac:dyDescent="0.2">
      <c r="A181" s="2">
        <v>46204</v>
      </c>
      <c r="B181" s="4" t="s">
        <v>16</v>
      </c>
      <c r="C181" s="3" t="s">
        <v>197</v>
      </c>
      <c r="D181" t="s">
        <v>278</v>
      </c>
      <c r="E181" t="s">
        <v>465</v>
      </c>
      <c r="F181" s="7">
        <v>46555812</v>
      </c>
      <c r="G181" s="8" t="s">
        <v>520</v>
      </c>
      <c r="H181" s="7">
        <v>512114</v>
      </c>
      <c r="I181" s="7">
        <v>0</v>
      </c>
      <c r="J181" s="9">
        <v>0</v>
      </c>
      <c r="K181" s="7">
        <f t="shared" si="5"/>
        <v>0</v>
      </c>
      <c r="M181" s="6">
        <v>512114</v>
      </c>
      <c r="N181" s="6">
        <v>0</v>
      </c>
      <c r="O181" s="7">
        <f t="shared" si="6"/>
        <v>33370280</v>
      </c>
    </row>
    <row r="182" spans="1:15" ht="16" x14ac:dyDescent="0.2">
      <c r="A182" s="2">
        <v>46204</v>
      </c>
      <c r="B182" s="4" t="s">
        <v>16</v>
      </c>
      <c r="C182" s="3" t="s">
        <v>198</v>
      </c>
      <c r="D182" t="s">
        <v>278</v>
      </c>
      <c r="E182" t="s">
        <v>466</v>
      </c>
      <c r="F182" s="7">
        <v>23797089</v>
      </c>
      <c r="G182" s="8" t="s">
        <v>520</v>
      </c>
      <c r="H182" s="7">
        <v>261768</v>
      </c>
      <c r="I182" s="7">
        <v>0</v>
      </c>
      <c r="J182" s="9">
        <v>0</v>
      </c>
      <c r="K182" s="7">
        <f t="shared" si="5"/>
        <v>0</v>
      </c>
      <c r="M182" s="6">
        <v>261768</v>
      </c>
      <c r="N182" s="6">
        <v>0</v>
      </c>
      <c r="O182" s="7">
        <f t="shared" si="6"/>
        <v>33108512</v>
      </c>
    </row>
    <row r="183" spans="1:15" ht="16" x14ac:dyDescent="0.2">
      <c r="A183" s="2">
        <v>46204</v>
      </c>
      <c r="B183" s="4" t="s">
        <v>16</v>
      </c>
      <c r="C183" s="3" t="s">
        <v>199</v>
      </c>
      <c r="D183" t="s">
        <v>278</v>
      </c>
      <c r="E183" t="s">
        <v>467</v>
      </c>
      <c r="F183" s="7">
        <v>231349189</v>
      </c>
      <c r="G183" s="8" t="s">
        <v>520</v>
      </c>
      <c r="H183" s="7">
        <v>2544841</v>
      </c>
      <c r="I183" s="7">
        <v>0</v>
      </c>
      <c r="J183" s="9">
        <v>0</v>
      </c>
      <c r="K183" s="7">
        <f t="shared" si="5"/>
        <v>0</v>
      </c>
      <c r="M183" s="6">
        <v>2544841</v>
      </c>
      <c r="N183" s="6">
        <v>0</v>
      </c>
      <c r="O183" s="7">
        <f t="shared" si="6"/>
        <v>30563671</v>
      </c>
    </row>
    <row r="184" spans="1:15" ht="16" x14ac:dyDescent="0.2">
      <c r="A184" s="2">
        <v>46204</v>
      </c>
      <c r="B184" s="4" t="s">
        <v>16</v>
      </c>
      <c r="C184" s="3" t="s">
        <v>200</v>
      </c>
      <c r="D184" t="s">
        <v>278</v>
      </c>
      <c r="E184" t="s">
        <v>468</v>
      </c>
      <c r="F184" s="7">
        <v>314877796</v>
      </c>
      <c r="G184" s="8" t="s">
        <v>520</v>
      </c>
      <c r="H184" s="7">
        <v>3463656</v>
      </c>
      <c r="I184" s="7">
        <v>0</v>
      </c>
      <c r="J184" s="9">
        <v>0</v>
      </c>
      <c r="K184" s="7">
        <f t="shared" si="5"/>
        <v>0</v>
      </c>
      <c r="M184" s="6">
        <v>3463656</v>
      </c>
      <c r="N184" s="6">
        <v>0</v>
      </c>
      <c r="O184" s="7">
        <f t="shared" si="6"/>
        <v>27100015</v>
      </c>
    </row>
    <row r="185" spans="1:15" ht="16" x14ac:dyDescent="0.2">
      <c r="A185" s="2">
        <v>46204</v>
      </c>
      <c r="B185" s="4" t="s">
        <v>16</v>
      </c>
      <c r="C185" s="3" t="s">
        <v>201</v>
      </c>
      <c r="D185" t="s">
        <v>278</v>
      </c>
      <c r="E185" t="s">
        <v>469</v>
      </c>
      <c r="F185" s="7">
        <v>394637523</v>
      </c>
      <c r="G185" s="8" t="s">
        <v>520</v>
      </c>
      <c r="H185" s="7">
        <v>4341013</v>
      </c>
      <c r="I185" s="7">
        <v>0</v>
      </c>
      <c r="J185" s="9">
        <v>0</v>
      </c>
      <c r="K185" s="7">
        <f t="shared" si="5"/>
        <v>0</v>
      </c>
      <c r="M185" s="6">
        <v>4341013</v>
      </c>
      <c r="N185" s="6">
        <v>0</v>
      </c>
      <c r="O185" s="7">
        <f t="shared" si="6"/>
        <v>22759002</v>
      </c>
    </row>
    <row r="186" spans="1:15" ht="16" x14ac:dyDescent="0.2">
      <c r="A186" s="2">
        <v>46204</v>
      </c>
      <c r="B186" s="4" t="s">
        <v>17</v>
      </c>
      <c r="C186" s="4" t="s">
        <v>202</v>
      </c>
      <c r="D186" s="8" t="s">
        <v>546</v>
      </c>
      <c r="E186" t="s">
        <v>470</v>
      </c>
      <c r="F186" s="7">
        <v>25912423</v>
      </c>
      <c r="G186" s="8" t="s">
        <v>527</v>
      </c>
      <c r="H186" s="7">
        <v>2850366</v>
      </c>
      <c r="I186" s="7">
        <v>2850366</v>
      </c>
      <c r="J186" s="9">
        <v>0</v>
      </c>
      <c r="K186" s="7">
        <f t="shared" si="5"/>
        <v>2850366</v>
      </c>
      <c r="M186" s="6">
        <v>0</v>
      </c>
      <c r="N186" s="6">
        <v>2850366</v>
      </c>
      <c r="O186" s="7">
        <f t="shared" si="6"/>
        <v>25609368</v>
      </c>
    </row>
    <row r="187" spans="1:15" ht="16" x14ac:dyDescent="0.2">
      <c r="A187" s="2">
        <v>46204</v>
      </c>
      <c r="B187" s="4" t="s">
        <v>17</v>
      </c>
      <c r="C187" s="4" t="s">
        <v>203</v>
      </c>
      <c r="D187" s="8" t="s">
        <v>543</v>
      </c>
      <c r="E187" t="s">
        <v>471</v>
      </c>
      <c r="F187" s="7">
        <v>18018018</v>
      </c>
      <c r="G187" s="8" t="s">
        <v>527</v>
      </c>
      <c r="H187" s="7">
        <v>1981982</v>
      </c>
      <c r="I187" s="7">
        <v>1981982</v>
      </c>
      <c r="J187" s="9">
        <v>0</v>
      </c>
      <c r="K187" s="7">
        <f t="shared" si="5"/>
        <v>1981982</v>
      </c>
      <c r="M187" s="6">
        <v>0</v>
      </c>
      <c r="N187" s="6">
        <v>1981982</v>
      </c>
      <c r="O187" s="7">
        <f t="shared" si="6"/>
        <v>27591350</v>
      </c>
    </row>
    <row r="188" spans="1:15" ht="16" x14ac:dyDescent="0.2">
      <c r="A188" s="2">
        <v>46204</v>
      </c>
      <c r="B188" s="4" t="s">
        <v>17</v>
      </c>
      <c r="C188" s="4" t="s">
        <v>204</v>
      </c>
      <c r="D188" t="s">
        <v>285</v>
      </c>
      <c r="E188" t="s">
        <v>472</v>
      </c>
      <c r="F188" s="7">
        <v>3208333</v>
      </c>
      <c r="G188" s="8" t="s">
        <v>527</v>
      </c>
      <c r="H188" s="7">
        <v>385000</v>
      </c>
      <c r="I188" s="7">
        <v>385000</v>
      </c>
      <c r="J188" s="9">
        <v>0</v>
      </c>
      <c r="K188" s="7">
        <f t="shared" si="5"/>
        <v>385000</v>
      </c>
      <c r="M188" s="6">
        <v>0</v>
      </c>
      <c r="N188" s="6">
        <v>385000</v>
      </c>
      <c r="O188" s="7">
        <f t="shared" si="6"/>
        <v>27976350</v>
      </c>
    </row>
    <row r="189" spans="1:15" ht="16" x14ac:dyDescent="0.2">
      <c r="A189" s="2">
        <v>46204</v>
      </c>
      <c r="B189" s="4" t="s">
        <v>17</v>
      </c>
      <c r="C189" s="4" t="s">
        <v>205</v>
      </c>
      <c r="D189" s="8" t="s">
        <v>535</v>
      </c>
      <c r="E189" t="s">
        <v>473</v>
      </c>
      <c r="F189" s="7">
        <v>6887500</v>
      </c>
      <c r="G189" s="8" t="s">
        <v>527</v>
      </c>
      <c r="H189" s="7">
        <v>75763</v>
      </c>
      <c r="I189" s="7">
        <v>75763</v>
      </c>
      <c r="J189" s="9">
        <v>0</v>
      </c>
      <c r="K189" s="7">
        <f t="shared" si="5"/>
        <v>75763</v>
      </c>
      <c r="M189" s="6">
        <v>0</v>
      </c>
      <c r="N189" s="6">
        <v>75763</v>
      </c>
      <c r="O189" s="7">
        <f t="shared" si="6"/>
        <v>28052113</v>
      </c>
    </row>
    <row r="190" spans="1:15" ht="16" x14ac:dyDescent="0.2">
      <c r="A190" s="2">
        <v>46204</v>
      </c>
      <c r="B190" s="4" t="s">
        <v>17</v>
      </c>
      <c r="C190" s="4" t="s">
        <v>206</v>
      </c>
      <c r="D190" s="8" t="s">
        <v>533</v>
      </c>
      <c r="E190" t="s">
        <v>474</v>
      </c>
      <c r="F190" s="7">
        <v>4600000</v>
      </c>
      <c r="G190" s="8" t="s">
        <v>527</v>
      </c>
      <c r="H190" s="7">
        <v>506000</v>
      </c>
      <c r="I190" s="7">
        <v>506000</v>
      </c>
      <c r="J190" s="9">
        <v>0</v>
      </c>
      <c r="K190" s="7">
        <f t="shared" si="5"/>
        <v>506000</v>
      </c>
      <c r="M190" s="6">
        <v>0</v>
      </c>
      <c r="N190" s="6">
        <v>506000</v>
      </c>
      <c r="O190" s="7">
        <f t="shared" si="6"/>
        <v>28558113</v>
      </c>
    </row>
    <row r="191" spans="1:15" ht="16" x14ac:dyDescent="0.2">
      <c r="A191" s="2">
        <v>46204</v>
      </c>
      <c r="B191" s="4" t="s">
        <v>17</v>
      </c>
      <c r="C191" s="4" t="s">
        <v>207</v>
      </c>
      <c r="D191" s="8" t="s">
        <v>542</v>
      </c>
      <c r="E191" t="s">
        <v>475</v>
      </c>
      <c r="F191" s="7">
        <v>711712</v>
      </c>
      <c r="G191" s="8" t="s">
        <v>527</v>
      </c>
      <c r="H191" s="7">
        <v>78288</v>
      </c>
      <c r="I191" s="7">
        <v>78288</v>
      </c>
      <c r="J191" s="9">
        <v>0</v>
      </c>
      <c r="K191" s="7">
        <f t="shared" si="5"/>
        <v>78288</v>
      </c>
      <c r="M191" s="6">
        <v>0</v>
      </c>
      <c r="N191" s="6">
        <v>78288</v>
      </c>
      <c r="O191" s="7">
        <f t="shared" si="6"/>
        <v>28636401</v>
      </c>
    </row>
    <row r="192" spans="1:15" ht="16" x14ac:dyDescent="0.2">
      <c r="A192" s="2">
        <v>46235</v>
      </c>
      <c r="B192" s="4" t="s">
        <v>15</v>
      </c>
      <c r="C192" s="4" t="s">
        <v>208</v>
      </c>
      <c r="D192" s="8" t="s">
        <v>545</v>
      </c>
      <c r="E192" t="s">
        <v>476</v>
      </c>
      <c r="F192" s="7">
        <v>22790000</v>
      </c>
      <c r="G192" s="8" t="s">
        <v>520</v>
      </c>
      <c r="H192" s="7">
        <v>2506900</v>
      </c>
      <c r="I192" s="7">
        <v>2506900</v>
      </c>
      <c r="J192" s="9">
        <f t="shared" ref="J192:J197" si="7">I192</f>
        <v>2506900</v>
      </c>
      <c r="K192" s="7">
        <f t="shared" si="5"/>
        <v>0</v>
      </c>
      <c r="M192" s="6">
        <v>0</v>
      </c>
      <c r="N192" s="6">
        <v>0</v>
      </c>
      <c r="O192" s="7">
        <f t="shared" si="6"/>
        <v>28636401</v>
      </c>
    </row>
    <row r="193" spans="1:15" ht="16" x14ac:dyDescent="0.2">
      <c r="A193" s="2">
        <v>46235</v>
      </c>
      <c r="B193" s="4" t="s">
        <v>15</v>
      </c>
      <c r="C193" s="4" t="s">
        <v>209</v>
      </c>
      <c r="D193" s="8" t="s">
        <v>534</v>
      </c>
      <c r="E193" t="s">
        <v>477</v>
      </c>
      <c r="F193" s="7">
        <v>77361000</v>
      </c>
      <c r="G193" s="8" t="s">
        <v>520</v>
      </c>
      <c r="H193" s="7">
        <v>8509710</v>
      </c>
      <c r="I193" s="7">
        <v>8509710</v>
      </c>
      <c r="J193" s="9">
        <f t="shared" si="7"/>
        <v>8509710</v>
      </c>
      <c r="K193" s="7">
        <f t="shared" si="5"/>
        <v>0</v>
      </c>
      <c r="M193" s="6">
        <v>0</v>
      </c>
      <c r="N193" s="6">
        <v>0</v>
      </c>
      <c r="O193" s="7">
        <f t="shared" si="6"/>
        <v>28636401</v>
      </c>
    </row>
    <row r="194" spans="1:15" ht="16" x14ac:dyDescent="0.2">
      <c r="A194" s="2">
        <v>46235</v>
      </c>
      <c r="B194" s="4" t="s">
        <v>15</v>
      </c>
      <c r="C194" s="4" t="s">
        <v>210</v>
      </c>
      <c r="D194" s="8" t="s">
        <v>545</v>
      </c>
      <c r="E194" t="s">
        <v>478</v>
      </c>
      <c r="F194" s="7">
        <v>144301306</v>
      </c>
      <c r="G194" s="8" t="s">
        <v>520</v>
      </c>
      <c r="H194" s="7">
        <v>15873144</v>
      </c>
      <c r="I194" s="7">
        <v>15873144</v>
      </c>
      <c r="J194" s="9">
        <f t="shared" si="7"/>
        <v>15873144</v>
      </c>
      <c r="K194" s="7">
        <f t="shared" si="5"/>
        <v>0</v>
      </c>
      <c r="M194" s="6">
        <v>0</v>
      </c>
      <c r="N194" s="6">
        <v>0</v>
      </c>
      <c r="O194" s="7">
        <f t="shared" si="6"/>
        <v>28636401</v>
      </c>
    </row>
    <row r="195" spans="1:15" ht="16" x14ac:dyDescent="0.2">
      <c r="A195" s="2">
        <v>46235</v>
      </c>
      <c r="B195" s="4" t="s">
        <v>15</v>
      </c>
      <c r="C195" s="4" t="s">
        <v>211</v>
      </c>
      <c r="D195" s="8" t="s">
        <v>545</v>
      </c>
      <c r="E195" t="s">
        <v>479</v>
      </c>
      <c r="F195" s="7">
        <v>34193011</v>
      </c>
      <c r="G195" s="8" t="s">
        <v>520</v>
      </c>
      <c r="H195" s="7">
        <v>3761231</v>
      </c>
      <c r="I195" s="7">
        <v>3761231</v>
      </c>
      <c r="J195" s="9">
        <f t="shared" si="7"/>
        <v>3761231</v>
      </c>
      <c r="K195" s="7">
        <f t="shared" ref="K195:K238" si="8">I195-J195</f>
        <v>0</v>
      </c>
      <c r="M195" s="6">
        <v>0</v>
      </c>
      <c r="N195" s="6">
        <v>0</v>
      </c>
      <c r="O195" s="7">
        <f t="shared" si="6"/>
        <v>28636401</v>
      </c>
    </row>
    <row r="196" spans="1:15" ht="16" x14ac:dyDescent="0.2">
      <c r="A196" s="2">
        <v>46235</v>
      </c>
      <c r="B196" s="4" t="s">
        <v>15</v>
      </c>
      <c r="C196" s="4" t="s">
        <v>212</v>
      </c>
      <c r="D196" s="8" t="s">
        <v>545</v>
      </c>
      <c r="E196" t="s">
        <v>480</v>
      </c>
      <c r="F196" s="7">
        <v>138982584</v>
      </c>
      <c r="G196" s="8" t="s">
        <v>520</v>
      </c>
      <c r="H196" s="7">
        <v>15288084</v>
      </c>
      <c r="I196" s="7">
        <v>15288084</v>
      </c>
      <c r="J196" s="9">
        <f t="shared" si="7"/>
        <v>15288084</v>
      </c>
      <c r="K196" s="7">
        <f t="shared" si="8"/>
        <v>0</v>
      </c>
      <c r="M196" s="6">
        <v>0</v>
      </c>
      <c r="N196" s="6">
        <v>0</v>
      </c>
      <c r="O196" s="7">
        <f t="shared" ref="O196:O238" si="9">O195-M196+N196</f>
        <v>28636401</v>
      </c>
    </row>
    <row r="197" spans="1:15" ht="16" x14ac:dyDescent="0.2">
      <c r="A197" s="2">
        <v>46235</v>
      </c>
      <c r="B197" s="4" t="s">
        <v>15</v>
      </c>
      <c r="C197" s="4" t="s">
        <v>213</v>
      </c>
      <c r="D197" s="8" t="s">
        <v>530</v>
      </c>
      <c r="E197" t="s">
        <v>481</v>
      </c>
      <c r="F197" s="7">
        <v>532432432</v>
      </c>
      <c r="G197" s="8" t="s">
        <v>520</v>
      </c>
      <c r="H197" s="7">
        <v>58567568</v>
      </c>
      <c r="I197" s="7">
        <v>58567568</v>
      </c>
      <c r="J197" s="9">
        <f t="shared" si="7"/>
        <v>58567568</v>
      </c>
      <c r="K197" s="7">
        <f t="shared" si="8"/>
        <v>0</v>
      </c>
      <c r="M197" s="6">
        <v>0</v>
      </c>
      <c r="N197" s="6">
        <v>0</v>
      </c>
      <c r="O197" s="7">
        <f t="shared" si="9"/>
        <v>28636401</v>
      </c>
    </row>
    <row r="198" spans="1:15" ht="16" x14ac:dyDescent="0.2">
      <c r="A198" s="2">
        <v>46235</v>
      </c>
      <c r="B198" s="4" t="s">
        <v>16</v>
      </c>
      <c r="C198" s="4" t="s">
        <v>214</v>
      </c>
      <c r="D198" s="8" t="s">
        <v>529</v>
      </c>
      <c r="E198" t="s">
        <v>482</v>
      </c>
      <c r="F198" s="7">
        <v>98373923</v>
      </c>
      <c r="G198" s="8" t="s">
        <v>520</v>
      </c>
      <c r="H198" s="7">
        <v>10821132</v>
      </c>
      <c r="I198" s="7">
        <v>0</v>
      </c>
      <c r="J198" s="7">
        <v>0</v>
      </c>
      <c r="K198" s="7">
        <f t="shared" si="8"/>
        <v>0</v>
      </c>
      <c r="M198" s="6">
        <v>10821132</v>
      </c>
      <c r="N198" s="6">
        <v>0</v>
      </c>
      <c r="O198" s="7">
        <f t="shared" si="9"/>
        <v>17815269</v>
      </c>
    </row>
    <row r="199" spans="1:15" ht="16" x14ac:dyDescent="0.2">
      <c r="A199" s="2">
        <v>46235</v>
      </c>
      <c r="B199" s="4" t="s">
        <v>15</v>
      </c>
      <c r="C199" s="4" t="s">
        <v>215</v>
      </c>
      <c r="D199" s="8" t="s">
        <v>550</v>
      </c>
      <c r="E199" t="s">
        <v>483</v>
      </c>
      <c r="F199" s="7">
        <v>430920000</v>
      </c>
      <c r="G199" s="8" t="s">
        <v>522</v>
      </c>
      <c r="H199" s="7">
        <v>47401200</v>
      </c>
      <c r="I199" s="7">
        <v>47401200</v>
      </c>
      <c r="J199" s="7">
        <v>0</v>
      </c>
      <c r="K199" s="7">
        <f t="shared" si="8"/>
        <v>47401200</v>
      </c>
      <c r="M199" s="6">
        <v>0</v>
      </c>
      <c r="N199" s="6">
        <v>0</v>
      </c>
      <c r="O199" s="7">
        <f t="shared" si="9"/>
        <v>17815269</v>
      </c>
    </row>
    <row r="200" spans="1:15" ht="16" x14ac:dyDescent="0.2">
      <c r="A200" s="2">
        <v>46235</v>
      </c>
      <c r="B200" s="4" t="s">
        <v>15</v>
      </c>
      <c r="C200" s="4" t="s">
        <v>216</v>
      </c>
      <c r="D200" s="8" t="s">
        <v>550</v>
      </c>
      <c r="E200" t="s">
        <v>484</v>
      </c>
      <c r="F200" s="7">
        <v>356516208</v>
      </c>
      <c r="G200" s="8" t="s">
        <v>520</v>
      </c>
      <c r="H200" s="7">
        <v>39216783</v>
      </c>
      <c r="I200" s="7">
        <v>39216783</v>
      </c>
      <c r="J200" s="9">
        <f>I200</f>
        <v>39216783</v>
      </c>
      <c r="K200" s="7">
        <f t="shared" si="8"/>
        <v>0</v>
      </c>
      <c r="M200" s="6">
        <v>0</v>
      </c>
      <c r="N200" s="6">
        <v>0</v>
      </c>
      <c r="O200" s="7">
        <f t="shared" si="9"/>
        <v>17815269</v>
      </c>
    </row>
    <row r="201" spans="1:15" ht="16" x14ac:dyDescent="0.2">
      <c r="A201" s="2">
        <v>46235</v>
      </c>
      <c r="B201" s="4" t="s">
        <v>15</v>
      </c>
      <c r="C201" s="4" t="s">
        <v>217</v>
      </c>
      <c r="D201" s="8" t="s">
        <v>549</v>
      </c>
      <c r="E201" t="s">
        <v>485</v>
      </c>
      <c r="F201" s="7">
        <v>270270270</v>
      </c>
      <c r="G201" s="8" t="s">
        <v>522</v>
      </c>
      <c r="H201" s="7">
        <v>29729730</v>
      </c>
      <c r="I201" s="7">
        <v>29729730</v>
      </c>
      <c r="J201" s="7">
        <v>0</v>
      </c>
      <c r="K201" s="7">
        <f t="shared" si="8"/>
        <v>29729730</v>
      </c>
      <c r="M201" s="6">
        <v>0</v>
      </c>
      <c r="N201" s="6">
        <v>0</v>
      </c>
      <c r="O201" s="7">
        <f t="shared" si="9"/>
        <v>17815269</v>
      </c>
    </row>
    <row r="202" spans="1:15" ht="16" x14ac:dyDescent="0.2">
      <c r="A202" s="2">
        <v>46235</v>
      </c>
      <c r="B202" s="4" t="s">
        <v>15</v>
      </c>
      <c r="C202" s="4" t="s">
        <v>218</v>
      </c>
      <c r="D202" s="8" t="s">
        <v>550</v>
      </c>
      <c r="E202" t="s">
        <v>486</v>
      </c>
      <c r="F202" s="7">
        <v>656208000</v>
      </c>
      <c r="G202" s="8" t="s">
        <v>522</v>
      </c>
      <c r="H202" s="7">
        <v>72182880</v>
      </c>
      <c r="I202" s="7">
        <v>72182880</v>
      </c>
      <c r="J202" s="7">
        <v>0</v>
      </c>
      <c r="K202" s="7">
        <f t="shared" si="8"/>
        <v>72182880</v>
      </c>
      <c r="M202" s="6">
        <v>0</v>
      </c>
      <c r="N202" s="6">
        <v>0</v>
      </c>
      <c r="O202" s="7">
        <f t="shared" si="9"/>
        <v>17815269</v>
      </c>
    </row>
    <row r="203" spans="1:15" ht="16" x14ac:dyDescent="0.2">
      <c r="A203" s="2">
        <v>46235</v>
      </c>
      <c r="B203" s="4" t="s">
        <v>15</v>
      </c>
      <c r="C203" s="4" t="s">
        <v>219</v>
      </c>
      <c r="D203" s="8" t="s">
        <v>550</v>
      </c>
      <c r="E203" t="s">
        <v>487</v>
      </c>
      <c r="F203" s="7">
        <v>829638040</v>
      </c>
      <c r="G203" s="8" t="s">
        <v>522</v>
      </c>
      <c r="H203" s="7">
        <v>91260184</v>
      </c>
      <c r="I203" s="7">
        <v>91260184</v>
      </c>
      <c r="J203" s="7">
        <v>0</v>
      </c>
      <c r="K203" s="7">
        <f t="shared" si="8"/>
        <v>91260184</v>
      </c>
      <c r="M203" s="6">
        <v>0</v>
      </c>
      <c r="N203" s="6">
        <v>0</v>
      </c>
      <c r="O203" s="7">
        <f t="shared" si="9"/>
        <v>17815269</v>
      </c>
    </row>
    <row r="204" spans="1:15" ht="16" x14ac:dyDescent="0.2">
      <c r="A204" s="2">
        <v>46235</v>
      </c>
      <c r="B204" s="4" t="s">
        <v>15</v>
      </c>
      <c r="C204" s="4" t="s">
        <v>220</v>
      </c>
      <c r="D204" s="8" t="s">
        <v>529</v>
      </c>
      <c r="E204" t="s">
        <v>488</v>
      </c>
      <c r="F204" s="7">
        <v>144921259</v>
      </c>
      <c r="G204" s="8" t="s">
        <v>520</v>
      </c>
      <c r="H204" s="7">
        <v>15941338</v>
      </c>
      <c r="I204" s="7">
        <v>0</v>
      </c>
      <c r="J204" s="7">
        <v>0</v>
      </c>
      <c r="K204" s="7">
        <f t="shared" si="8"/>
        <v>0</v>
      </c>
      <c r="M204" s="6">
        <v>15941338</v>
      </c>
      <c r="N204" s="6">
        <v>0</v>
      </c>
      <c r="O204" s="7">
        <f t="shared" si="9"/>
        <v>1873931</v>
      </c>
    </row>
    <row r="205" spans="1:15" ht="16" x14ac:dyDescent="0.2">
      <c r="A205" s="2">
        <v>46235</v>
      </c>
      <c r="B205" s="4" t="s">
        <v>17</v>
      </c>
      <c r="C205" s="4" t="s">
        <v>221</v>
      </c>
      <c r="D205" s="8" t="s">
        <v>533</v>
      </c>
      <c r="E205" t="s">
        <v>489</v>
      </c>
      <c r="F205" s="7">
        <v>4600000</v>
      </c>
      <c r="G205" s="8" t="s">
        <v>527</v>
      </c>
      <c r="H205" s="7">
        <v>506000</v>
      </c>
      <c r="I205" s="7">
        <v>506000</v>
      </c>
      <c r="J205" s="7">
        <v>0</v>
      </c>
      <c r="K205" s="7">
        <f t="shared" si="8"/>
        <v>506000</v>
      </c>
      <c r="M205" s="6">
        <v>0</v>
      </c>
      <c r="N205" s="6">
        <v>506000</v>
      </c>
      <c r="O205" s="7">
        <f t="shared" si="9"/>
        <v>2379931</v>
      </c>
    </row>
    <row r="206" spans="1:15" ht="16" x14ac:dyDescent="0.2">
      <c r="A206" s="2">
        <v>46235</v>
      </c>
      <c r="B206" s="4" t="s">
        <v>17</v>
      </c>
      <c r="C206" s="4" t="s">
        <v>222</v>
      </c>
      <c r="D206" s="8" t="s">
        <v>540</v>
      </c>
      <c r="E206" t="s">
        <v>490</v>
      </c>
      <c r="F206" s="7">
        <v>92500000</v>
      </c>
      <c r="G206" s="8" t="s">
        <v>527</v>
      </c>
      <c r="H206" s="7">
        <v>10175000</v>
      </c>
      <c r="I206" s="7">
        <v>10175000</v>
      </c>
      <c r="J206" s="7">
        <v>0</v>
      </c>
      <c r="K206" s="7">
        <f t="shared" si="8"/>
        <v>10175000</v>
      </c>
      <c r="M206" s="6">
        <v>0</v>
      </c>
      <c r="N206" s="6">
        <v>10175000</v>
      </c>
      <c r="O206" s="7">
        <f t="shared" si="9"/>
        <v>12554931</v>
      </c>
    </row>
    <row r="207" spans="1:15" ht="16" x14ac:dyDescent="0.2">
      <c r="A207" s="2">
        <v>46235</v>
      </c>
      <c r="B207" s="4" t="s">
        <v>17</v>
      </c>
      <c r="C207" s="4" t="s">
        <v>223</v>
      </c>
      <c r="D207" s="8" t="s">
        <v>542</v>
      </c>
      <c r="E207" t="s">
        <v>491</v>
      </c>
      <c r="F207" s="7">
        <v>711712</v>
      </c>
      <c r="G207" s="8" t="s">
        <v>527</v>
      </c>
      <c r="H207" s="7">
        <v>78288</v>
      </c>
      <c r="I207" s="7">
        <v>78288</v>
      </c>
      <c r="J207" s="7">
        <v>0</v>
      </c>
      <c r="K207" s="7">
        <f t="shared" si="8"/>
        <v>78288</v>
      </c>
      <c r="M207" s="6">
        <v>0</v>
      </c>
      <c r="N207" s="6">
        <v>78288</v>
      </c>
      <c r="O207" s="7">
        <f t="shared" si="9"/>
        <v>12633219</v>
      </c>
    </row>
    <row r="208" spans="1:15" ht="16" x14ac:dyDescent="0.2">
      <c r="A208" s="2">
        <v>46235</v>
      </c>
      <c r="B208" s="4" t="s">
        <v>17</v>
      </c>
      <c r="C208" s="4" t="s">
        <v>224</v>
      </c>
      <c r="D208" t="s">
        <v>285</v>
      </c>
      <c r="E208" t="s">
        <v>492</v>
      </c>
      <c r="F208" s="7">
        <v>3208333</v>
      </c>
      <c r="G208" s="12" t="s">
        <v>527</v>
      </c>
      <c r="H208" s="7">
        <v>385000</v>
      </c>
      <c r="I208" s="7">
        <v>385000</v>
      </c>
      <c r="J208" s="7">
        <v>0</v>
      </c>
      <c r="K208" s="7">
        <f t="shared" si="8"/>
        <v>385000</v>
      </c>
      <c r="M208" s="6">
        <v>0</v>
      </c>
      <c r="N208" s="6">
        <v>385000</v>
      </c>
      <c r="O208" s="7">
        <f t="shared" si="9"/>
        <v>13018219</v>
      </c>
    </row>
    <row r="209" spans="1:15" ht="16" x14ac:dyDescent="0.2">
      <c r="A209" s="2">
        <v>46235</v>
      </c>
      <c r="B209" s="4" t="s">
        <v>17</v>
      </c>
      <c r="C209" s="4" t="s">
        <v>225</v>
      </c>
      <c r="D209" s="8" t="s">
        <v>540</v>
      </c>
      <c r="E209" t="s">
        <v>493</v>
      </c>
      <c r="F209" s="7">
        <v>92500000</v>
      </c>
      <c r="G209" s="12" t="s">
        <v>527</v>
      </c>
      <c r="H209" s="7">
        <v>10175000</v>
      </c>
      <c r="I209" s="7">
        <v>10175000</v>
      </c>
      <c r="J209" s="7">
        <v>0</v>
      </c>
      <c r="K209" s="7">
        <f t="shared" si="8"/>
        <v>10175000</v>
      </c>
      <c r="M209" s="6">
        <v>0</v>
      </c>
      <c r="N209" s="6">
        <v>10175000</v>
      </c>
      <c r="O209" s="7">
        <f t="shared" si="9"/>
        <v>23193219</v>
      </c>
    </row>
    <row r="210" spans="1:15" ht="16" x14ac:dyDescent="0.2">
      <c r="A210" s="2">
        <v>46235</v>
      </c>
      <c r="B210" s="4" t="s">
        <v>17</v>
      </c>
      <c r="C210" s="4" t="s">
        <v>226</v>
      </c>
      <c r="D210" s="8" t="s">
        <v>543</v>
      </c>
      <c r="E210" t="s">
        <v>494</v>
      </c>
      <c r="F210" s="7">
        <v>18018018</v>
      </c>
      <c r="G210" s="12" t="s">
        <v>527</v>
      </c>
      <c r="H210" s="7">
        <v>1981982</v>
      </c>
      <c r="I210" s="7">
        <v>1981982</v>
      </c>
      <c r="J210" s="7">
        <v>0</v>
      </c>
      <c r="K210" s="7">
        <f t="shared" si="8"/>
        <v>1981982</v>
      </c>
      <c r="M210" s="6">
        <v>0</v>
      </c>
      <c r="N210" s="6">
        <v>1981982</v>
      </c>
      <c r="O210" s="7">
        <f t="shared" si="9"/>
        <v>25175201</v>
      </c>
    </row>
    <row r="211" spans="1:15" ht="16" x14ac:dyDescent="0.2">
      <c r="A211" s="2">
        <v>46235</v>
      </c>
      <c r="B211" s="4" t="s">
        <v>17</v>
      </c>
      <c r="C211" s="4" t="s">
        <v>227</v>
      </c>
      <c r="D211" t="s">
        <v>286</v>
      </c>
      <c r="E211" t="s">
        <v>495</v>
      </c>
      <c r="F211" s="7">
        <v>1725000</v>
      </c>
      <c r="G211" s="12" t="s">
        <v>527</v>
      </c>
      <c r="H211" s="7">
        <v>189750</v>
      </c>
      <c r="I211" s="7">
        <v>189750</v>
      </c>
      <c r="J211" s="7">
        <v>0</v>
      </c>
      <c r="K211" s="7">
        <f t="shared" si="8"/>
        <v>189750</v>
      </c>
      <c r="M211" s="6">
        <v>0</v>
      </c>
      <c r="N211" s="6">
        <v>189750</v>
      </c>
      <c r="O211" s="7">
        <f t="shared" si="9"/>
        <v>25364951</v>
      </c>
    </row>
    <row r="212" spans="1:15" ht="16" x14ac:dyDescent="0.2">
      <c r="A212" s="2">
        <v>46235</v>
      </c>
      <c r="B212" s="4" t="s">
        <v>17</v>
      </c>
      <c r="C212" s="4" t="s">
        <v>228</v>
      </c>
      <c r="D212" t="s">
        <v>287</v>
      </c>
      <c r="E212" t="s">
        <v>496</v>
      </c>
      <c r="F212" s="7">
        <v>5400000</v>
      </c>
      <c r="G212" s="12" t="s">
        <v>527</v>
      </c>
      <c r="H212" s="7">
        <v>594000</v>
      </c>
      <c r="I212" s="7">
        <v>594000</v>
      </c>
      <c r="J212" s="7">
        <v>0</v>
      </c>
      <c r="K212" s="7">
        <f t="shared" si="8"/>
        <v>594000</v>
      </c>
      <c r="M212" s="6">
        <v>0</v>
      </c>
      <c r="N212" s="6">
        <v>594000</v>
      </c>
      <c r="O212" s="7">
        <f t="shared" si="9"/>
        <v>25958951</v>
      </c>
    </row>
    <row r="213" spans="1:15" ht="16" x14ac:dyDescent="0.2">
      <c r="A213" s="2">
        <v>46235</v>
      </c>
      <c r="B213" s="4" t="s">
        <v>17</v>
      </c>
      <c r="C213" s="4" t="s">
        <v>229</v>
      </c>
      <c r="D213" t="s">
        <v>287</v>
      </c>
      <c r="E213" t="s">
        <v>497</v>
      </c>
      <c r="F213" s="7">
        <v>2200000</v>
      </c>
      <c r="G213" s="12" t="s">
        <v>527</v>
      </c>
      <c r="H213" s="7">
        <v>242000</v>
      </c>
      <c r="I213" s="7">
        <v>242000</v>
      </c>
      <c r="J213" s="7">
        <v>0</v>
      </c>
      <c r="K213" s="7">
        <f t="shared" si="8"/>
        <v>242000</v>
      </c>
      <c r="M213" s="6">
        <v>0</v>
      </c>
      <c r="N213" s="6">
        <v>242000</v>
      </c>
      <c r="O213" s="7">
        <f t="shared" si="9"/>
        <v>26200951</v>
      </c>
    </row>
    <row r="214" spans="1:15" ht="16" x14ac:dyDescent="0.2">
      <c r="A214" s="2">
        <v>46235</v>
      </c>
      <c r="B214" s="4" t="s">
        <v>17</v>
      </c>
      <c r="C214" s="4" t="s">
        <v>230</v>
      </c>
      <c r="D214" t="s">
        <v>287</v>
      </c>
      <c r="E214" t="s">
        <v>498</v>
      </c>
      <c r="F214" s="7">
        <v>25900000</v>
      </c>
      <c r="G214" s="12" t="s">
        <v>527</v>
      </c>
      <c r="H214" s="7">
        <v>284900</v>
      </c>
      <c r="I214" s="7">
        <v>284900</v>
      </c>
      <c r="J214" s="7">
        <v>0</v>
      </c>
      <c r="K214" s="7">
        <f t="shared" si="8"/>
        <v>284900</v>
      </c>
      <c r="M214" s="6">
        <v>0</v>
      </c>
      <c r="N214" s="6">
        <v>284900</v>
      </c>
      <c r="O214" s="7">
        <f t="shared" si="9"/>
        <v>26485851</v>
      </c>
    </row>
    <row r="215" spans="1:15" ht="16" x14ac:dyDescent="0.2">
      <c r="A215" s="2">
        <v>46235</v>
      </c>
      <c r="B215" s="4" t="s">
        <v>17</v>
      </c>
      <c r="C215" s="4" t="s">
        <v>231</v>
      </c>
      <c r="D215" s="8" t="s">
        <v>537</v>
      </c>
      <c r="F215" s="7">
        <v>118918919</v>
      </c>
      <c r="G215" s="12" t="s">
        <v>527</v>
      </c>
      <c r="H215" s="7">
        <v>13081081</v>
      </c>
      <c r="I215" s="7">
        <v>13081081</v>
      </c>
      <c r="J215" s="7">
        <v>0</v>
      </c>
      <c r="K215" s="7">
        <f t="shared" si="8"/>
        <v>13081081</v>
      </c>
      <c r="M215" s="6">
        <v>0</v>
      </c>
      <c r="N215" s="6">
        <v>13081081</v>
      </c>
      <c r="O215" s="7">
        <f t="shared" si="9"/>
        <v>39566932</v>
      </c>
    </row>
    <row r="216" spans="1:15" ht="16" x14ac:dyDescent="0.2">
      <c r="A216" s="2">
        <v>46235</v>
      </c>
      <c r="B216" s="4" t="s">
        <v>17</v>
      </c>
      <c r="C216" s="4" t="s">
        <v>232</v>
      </c>
      <c r="D216" s="8" t="s">
        <v>537</v>
      </c>
      <c r="F216" s="7">
        <v>148648648</v>
      </c>
      <c r="G216" s="12" t="s">
        <v>527</v>
      </c>
      <c r="H216" s="7">
        <v>16351351</v>
      </c>
      <c r="I216" s="7">
        <v>16351351</v>
      </c>
      <c r="J216" s="7">
        <v>0</v>
      </c>
      <c r="K216" s="7">
        <f t="shared" si="8"/>
        <v>16351351</v>
      </c>
      <c r="M216" s="6">
        <v>0</v>
      </c>
      <c r="N216" s="6">
        <v>16351351</v>
      </c>
      <c r="O216" s="7">
        <f t="shared" si="9"/>
        <v>55918283</v>
      </c>
    </row>
    <row r="217" spans="1:15" ht="16" x14ac:dyDescent="0.2">
      <c r="A217" s="2">
        <v>46266</v>
      </c>
      <c r="B217" s="4" t="s">
        <v>15</v>
      </c>
      <c r="C217" s="4" t="s">
        <v>233</v>
      </c>
      <c r="D217" s="8" t="s">
        <v>550</v>
      </c>
      <c r="E217" t="s">
        <v>499</v>
      </c>
      <c r="F217" s="7">
        <v>115801697</v>
      </c>
      <c r="G217" s="8" t="s">
        <v>522</v>
      </c>
      <c r="H217" s="7">
        <v>12738187</v>
      </c>
      <c r="I217" s="7">
        <v>12738187</v>
      </c>
      <c r="J217" s="7">
        <v>0</v>
      </c>
      <c r="K217" s="7">
        <f t="shared" si="8"/>
        <v>12738187</v>
      </c>
      <c r="M217" s="6">
        <v>0</v>
      </c>
      <c r="N217" s="6">
        <v>0</v>
      </c>
      <c r="O217" s="7">
        <f t="shared" si="9"/>
        <v>55918283</v>
      </c>
    </row>
    <row r="218" spans="1:15" ht="16" x14ac:dyDescent="0.2">
      <c r="A218" s="2">
        <v>46266</v>
      </c>
      <c r="B218" s="4" t="s">
        <v>16</v>
      </c>
      <c r="C218" s="4" t="s">
        <v>234</v>
      </c>
      <c r="D218" s="8" t="s">
        <v>547</v>
      </c>
      <c r="E218" t="s">
        <v>500</v>
      </c>
      <c r="F218" s="7">
        <v>251527400</v>
      </c>
      <c r="G218" s="8" t="s">
        <v>520</v>
      </c>
      <c r="H218" s="7">
        <v>27668014</v>
      </c>
      <c r="I218" s="7">
        <v>0</v>
      </c>
      <c r="J218" s="7">
        <v>0</v>
      </c>
      <c r="K218" s="7">
        <f t="shared" si="8"/>
        <v>0</v>
      </c>
      <c r="M218" s="6">
        <v>27668014</v>
      </c>
      <c r="N218" s="6">
        <v>0</v>
      </c>
      <c r="O218" s="7">
        <f t="shared" si="9"/>
        <v>28250269</v>
      </c>
    </row>
    <row r="219" spans="1:15" ht="16" x14ac:dyDescent="0.2">
      <c r="A219" s="2">
        <v>46266</v>
      </c>
      <c r="B219" s="4" t="s">
        <v>16</v>
      </c>
      <c r="C219" s="4" t="s">
        <v>235</v>
      </c>
      <c r="D219" s="8" t="s">
        <v>547</v>
      </c>
      <c r="E219" t="s">
        <v>501</v>
      </c>
      <c r="F219" s="7">
        <v>15370000</v>
      </c>
      <c r="G219" s="8" t="s">
        <v>520</v>
      </c>
      <c r="H219" s="7">
        <v>1690700</v>
      </c>
      <c r="I219" s="7">
        <v>0</v>
      </c>
      <c r="J219" s="7">
        <v>0</v>
      </c>
      <c r="K219" s="7">
        <f t="shared" si="8"/>
        <v>0</v>
      </c>
      <c r="M219" s="6">
        <v>1690700</v>
      </c>
      <c r="N219" s="6">
        <v>0</v>
      </c>
      <c r="O219" s="7">
        <f t="shared" si="9"/>
        <v>26559569</v>
      </c>
    </row>
    <row r="220" spans="1:15" ht="16" x14ac:dyDescent="0.2">
      <c r="A220" s="2">
        <v>46266</v>
      </c>
      <c r="B220" s="4" t="s">
        <v>15</v>
      </c>
      <c r="C220" s="4" t="s">
        <v>236</v>
      </c>
      <c r="D220" s="8" t="s">
        <v>545</v>
      </c>
      <c r="E220" t="s">
        <v>502</v>
      </c>
      <c r="F220" s="7">
        <v>24657497</v>
      </c>
      <c r="G220" s="8" t="s">
        <v>522</v>
      </c>
      <c r="H220" s="7">
        <v>2712325</v>
      </c>
      <c r="I220" s="7">
        <v>2712325</v>
      </c>
      <c r="J220" s="7">
        <v>0</v>
      </c>
      <c r="K220" s="7">
        <f t="shared" si="8"/>
        <v>2712325</v>
      </c>
      <c r="M220" s="6">
        <v>0</v>
      </c>
      <c r="N220" s="6">
        <v>0</v>
      </c>
      <c r="O220" s="7">
        <f t="shared" si="9"/>
        <v>26559569</v>
      </c>
    </row>
    <row r="221" spans="1:15" ht="16" x14ac:dyDescent="0.2">
      <c r="A221" s="2">
        <v>46266</v>
      </c>
      <c r="B221" s="4" t="s">
        <v>16</v>
      </c>
      <c r="C221" s="4" t="s">
        <v>237</v>
      </c>
      <c r="D221" t="s">
        <v>278</v>
      </c>
      <c r="E221" t="s">
        <v>503</v>
      </c>
      <c r="F221" s="7">
        <v>245354450</v>
      </c>
      <c r="G221" s="8" t="s">
        <v>520</v>
      </c>
      <c r="H221" s="7">
        <v>2698899</v>
      </c>
      <c r="I221" s="7">
        <v>0</v>
      </c>
      <c r="J221" s="7">
        <v>0</v>
      </c>
      <c r="K221" s="7">
        <f t="shared" si="8"/>
        <v>0</v>
      </c>
      <c r="M221" s="6">
        <v>2698899</v>
      </c>
      <c r="N221" s="6">
        <v>0</v>
      </c>
      <c r="O221" s="7">
        <f t="shared" si="9"/>
        <v>23860670</v>
      </c>
    </row>
    <row r="222" spans="1:15" ht="16" x14ac:dyDescent="0.2">
      <c r="A222" s="2">
        <v>46266</v>
      </c>
      <c r="B222" s="4" t="s">
        <v>16</v>
      </c>
      <c r="C222" s="4" t="s">
        <v>238</v>
      </c>
      <c r="D222" t="s">
        <v>278</v>
      </c>
      <c r="E222" t="s">
        <v>504</v>
      </c>
      <c r="F222" s="7">
        <v>97533021</v>
      </c>
      <c r="G222" s="8" t="s">
        <v>520</v>
      </c>
      <c r="H222" s="7">
        <v>1072863</v>
      </c>
      <c r="I222" s="7">
        <v>0</v>
      </c>
      <c r="J222" s="7">
        <v>0</v>
      </c>
      <c r="K222" s="7">
        <f t="shared" si="8"/>
        <v>0</v>
      </c>
      <c r="M222" s="6">
        <v>1072863</v>
      </c>
      <c r="N222" s="6">
        <v>0</v>
      </c>
      <c r="O222" s="7">
        <f t="shared" si="9"/>
        <v>22787807</v>
      </c>
    </row>
    <row r="223" spans="1:15" ht="16" x14ac:dyDescent="0.2">
      <c r="A223" s="2">
        <v>46266</v>
      </c>
      <c r="B223" s="4" t="s">
        <v>16</v>
      </c>
      <c r="C223" s="4" t="s">
        <v>239</v>
      </c>
      <c r="D223" t="s">
        <v>278</v>
      </c>
      <c r="E223" t="s">
        <v>505</v>
      </c>
      <c r="F223" s="7">
        <v>94542848</v>
      </c>
      <c r="G223" s="8" t="s">
        <v>520</v>
      </c>
      <c r="H223" s="7">
        <v>1039971</v>
      </c>
      <c r="I223" s="7">
        <v>0</v>
      </c>
      <c r="J223" s="7">
        <v>0</v>
      </c>
      <c r="K223" s="7">
        <f t="shared" si="8"/>
        <v>0</v>
      </c>
      <c r="M223" s="6">
        <v>1039971</v>
      </c>
      <c r="N223" s="6">
        <v>0</v>
      </c>
      <c r="O223" s="7">
        <f t="shared" si="9"/>
        <v>21747836</v>
      </c>
    </row>
    <row r="224" spans="1:15" ht="16" x14ac:dyDescent="0.2">
      <c r="A224" s="2">
        <v>46266</v>
      </c>
      <c r="B224" s="4" t="s">
        <v>16</v>
      </c>
      <c r="C224" s="4" t="s">
        <v>240</v>
      </c>
      <c r="D224" s="8" t="s">
        <v>529</v>
      </c>
      <c r="E224" t="s">
        <v>506</v>
      </c>
      <c r="F224" s="7">
        <v>106123923</v>
      </c>
      <c r="G224" s="8" t="s">
        <v>520</v>
      </c>
      <c r="H224" s="7">
        <v>11673632</v>
      </c>
      <c r="I224" s="7">
        <v>0</v>
      </c>
      <c r="J224" s="7">
        <v>0</v>
      </c>
      <c r="K224" s="7">
        <f t="shared" si="8"/>
        <v>0</v>
      </c>
      <c r="M224" s="6">
        <v>11673632</v>
      </c>
      <c r="N224" s="6">
        <v>0</v>
      </c>
      <c r="O224" s="7">
        <f t="shared" si="9"/>
        <v>10074204</v>
      </c>
    </row>
    <row r="225" spans="1:15" ht="16" x14ac:dyDescent="0.2">
      <c r="A225" s="2">
        <v>46266</v>
      </c>
      <c r="B225" s="4" t="s">
        <v>15</v>
      </c>
      <c r="C225" s="4" t="s">
        <v>241</v>
      </c>
      <c r="D225" s="8" t="s">
        <v>549</v>
      </c>
      <c r="E225" t="s">
        <v>464</v>
      </c>
      <c r="F225" s="7">
        <v>311520000</v>
      </c>
      <c r="G225" s="8" t="s">
        <v>522</v>
      </c>
      <c r="H225" s="7">
        <v>34267200</v>
      </c>
      <c r="I225" s="7">
        <v>34267200</v>
      </c>
      <c r="J225" s="7">
        <v>0</v>
      </c>
      <c r="K225" s="7">
        <f t="shared" si="8"/>
        <v>34267200</v>
      </c>
      <c r="M225" s="6">
        <v>0</v>
      </c>
      <c r="N225" s="6">
        <v>0</v>
      </c>
      <c r="O225" s="7">
        <f t="shared" si="9"/>
        <v>10074204</v>
      </c>
    </row>
    <row r="226" spans="1:15" ht="16" x14ac:dyDescent="0.2">
      <c r="A226" s="2">
        <v>46266</v>
      </c>
      <c r="B226" s="4" t="s">
        <v>15</v>
      </c>
      <c r="C226" s="4" t="s">
        <v>242</v>
      </c>
      <c r="D226" s="8" t="s">
        <v>534</v>
      </c>
      <c r="E226" t="s">
        <v>507</v>
      </c>
      <c r="F226" s="7">
        <v>315315316</v>
      </c>
      <c r="G226" s="8" t="s">
        <v>520</v>
      </c>
      <c r="H226" s="7">
        <v>34684685</v>
      </c>
      <c r="I226" s="7">
        <v>34684685</v>
      </c>
      <c r="J226" s="9">
        <f>I226</f>
        <v>34684685</v>
      </c>
      <c r="K226" s="7">
        <f t="shared" si="8"/>
        <v>0</v>
      </c>
      <c r="M226" s="6">
        <v>0</v>
      </c>
      <c r="N226" s="6">
        <v>0</v>
      </c>
      <c r="O226" s="7">
        <f t="shared" si="9"/>
        <v>10074204</v>
      </c>
    </row>
    <row r="227" spans="1:15" ht="16" x14ac:dyDescent="0.2">
      <c r="A227" s="2">
        <v>46266</v>
      </c>
      <c r="B227" s="4" t="s">
        <v>16</v>
      </c>
      <c r="C227" s="4" t="s">
        <v>243</v>
      </c>
      <c r="D227" s="8" t="s">
        <v>531</v>
      </c>
      <c r="E227" t="s">
        <v>508</v>
      </c>
      <c r="F227" s="7">
        <v>44006825</v>
      </c>
      <c r="G227" s="8" t="s">
        <v>520</v>
      </c>
      <c r="H227" s="7">
        <v>4840751</v>
      </c>
      <c r="I227" s="7">
        <v>0</v>
      </c>
      <c r="J227" s="9">
        <v>0</v>
      </c>
      <c r="K227" s="7">
        <f t="shared" si="8"/>
        <v>0</v>
      </c>
      <c r="M227" s="6">
        <v>4840751</v>
      </c>
      <c r="N227" s="6">
        <v>0</v>
      </c>
      <c r="O227" s="7">
        <f t="shared" si="9"/>
        <v>5233453</v>
      </c>
    </row>
    <row r="228" spans="1:15" ht="16" x14ac:dyDescent="0.2">
      <c r="A228" s="2">
        <v>46266</v>
      </c>
      <c r="B228" s="4" t="s">
        <v>15</v>
      </c>
      <c r="C228" s="4" t="s">
        <v>244</v>
      </c>
      <c r="D228" s="8" t="s">
        <v>549</v>
      </c>
      <c r="E228" t="s">
        <v>509</v>
      </c>
      <c r="F228" s="7">
        <v>900900901</v>
      </c>
      <c r="G228" s="8" t="s">
        <v>522</v>
      </c>
      <c r="H228" s="7">
        <v>99099099</v>
      </c>
      <c r="I228" s="7">
        <v>99099099</v>
      </c>
      <c r="J228" s="9">
        <v>0</v>
      </c>
      <c r="K228" s="7">
        <f t="shared" si="8"/>
        <v>99099099</v>
      </c>
      <c r="M228" s="6">
        <v>0</v>
      </c>
      <c r="N228" s="6">
        <v>0</v>
      </c>
      <c r="O228" s="7">
        <f t="shared" si="9"/>
        <v>5233453</v>
      </c>
    </row>
    <row r="229" spans="1:15" ht="16" x14ac:dyDescent="0.2">
      <c r="A229" s="2">
        <v>46266</v>
      </c>
      <c r="B229" s="4" t="s">
        <v>17</v>
      </c>
      <c r="C229" s="4" t="s">
        <v>245</v>
      </c>
      <c r="D229" s="8" t="s">
        <v>548</v>
      </c>
      <c r="E229" t="s">
        <v>510</v>
      </c>
      <c r="F229" s="7">
        <v>14125000</v>
      </c>
      <c r="G229" s="12" t="s">
        <v>527</v>
      </c>
      <c r="H229" s="7">
        <v>1553750</v>
      </c>
      <c r="I229" s="7">
        <v>1553750</v>
      </c>
      <c r="J229" s="9">
        <v>0</v>
      </c>
      <c r="K229" s="7">
        <f t="shared" si="8"/>
        <v>1553750</v>
      </c>
      <c r="M229" s="6">
        <v>0</v>
      </c>
      <c r="N229" s="6">
        <v>1553750</v>
      </c>
      <c r="O229" s="7">
        <f t="shared" si="9"/>
        <v>6787203</v>
      </c>
    </row>
    <row r="230" spans="1:15" ht="16" x14ac:dyDescent="0.2">
      <c r="A230" s="2">
        <v>46266</v>
      </c>
      <c r="B230" s="4" t="s">
        <v>17</v>
      </c>
      <c r="C230" s="4" t="s">
        <v>246</v>
      </c>
      <c r="D230" s="8" t="s">
        <v>543</v>
      </c>
      <c r="E230" t="s">
        <v>511</v>
      </c>
      <c r="F230" s="7">
        <v>18018018</v>
      </c>
      <c r="G230" s="12" t="s">
        <v>527</v>
      </c>
      <c r="H230" s="7">
        <v>1981982</v>
      </c>
      <c r="I230" s="7">
        <v>1981982</v>
      </c>
      <c r="J230" s="9">
        <v>0</v>
      </c>
      <c r="K230" s="7">
        <f t="shared" si="8"/>
        <v>1981982</v>
      </c>
      <c r="M230" s="6">
        <v>0</v>
      </c>
      <c r="N230" s="6">
        <v>1981982</v>
      </c>
      <c r="O230" s="7">
        <f t="shared" si="9"/>
        <v>8769185</v>
      </c>
    </row>
    <row r="231" spans="1:15" ht="16" x14ac:dyDescent="0.2">
      <c r="A231" s="2">
        <v>46266</v>
      </c>
      <c r="B231" s="4" t="s">
        <v>17</v>
      </c>
      <c r="C231" s="4" t="s">
        <v>247</v>
      </c>
      <c r="D231" t="s">
        <v>288</v>
      </c>
      <c r="E231" t="s">
        <v>512</v>
      </c>
      <c r="F231" s="7">
        <v>50000</v>
      </c>
      <c r="G231" s="12" t="s">
        <v>527</v>
      </c>
      <c r="H231" s="7">
        <v>5500</v>
      </c>
      <c r="I231" s="7">
        <v>5500</v>
      </c>
      <c r="J231" s="9">
        <v>0</v>
      </c>
      <c r="K231" s="7">
        <f t="shared" si="8"/>
        <v>5500</v>
      </c>
      <c r="M231" s="6">
        <v>0</v>
      </c>
      <c r="N231" s="6">
        <v>5500</v>
      </c>
      <c r="O231" s="7">
        <f t="shared" si="9"/>
        <v>8774685</v>
      </c>
    </row>
    <row r="232" spans="1:15" ht="16" x14ac:dyDescent="0.2">
      <c r="A232" s="2">
        <v>46266</v>
      </c>
      <c r="B232" s="4" t="s">
        <v>17</v>
      </c>
      <c r="C232" s="4" t="s">
        <v>248</v>
      </c>
      <c r="D232" s="8" t="s">
        <v>532</v>
      </c>
      <c r="E232" t="s">
        <v>513</v>
      </c>
      <c r="F232" s="7">
        <v>64200000</v>
      </c>
      <c r="G232" s="12" t="s">
        <v>527</v>
      </c>
      <c r="H232" s="7">
        <v>7062000</v>
      </c>
      <c r="I232" s="7">
        <v>7062000</v>
      </c>
      <c r="J232" s="9">
        <v>0</v>
      </c>
      <c r="K232" s="7">
        <f t="shared" si="8"/>
        <v>7062000</v>
      </c>
      <c r="M232" s="6">
        <v>0</v>
      </c>
      <c r="N232" s="6">
        <v>7062000</v>
      </c>
      <c r="O232" s="7">
        <f t="shared" si="9"/>
        <v>15836685</v>
      </c>
    </row>
    <row r="233" spans="1:15" ht="16" x14ac:dyDescent="0.2">
      <c r="A233" s="2">
        <v>46266</v>
      </c>
      <c r="B233" s="4" t="s">
        <v>17</v>
      </c>
      <c r="C233" s="4" t="s">
        <v>249</v>
      </c>
      <c r="D233" s="8" t="s">
        <v>532</v>
      </c>
      <c r="E233" t="s">
        <v>514</v>
      </c>
      <c r="F233" s="7">
        <v>950000</v>
      </c>
      <c r="G233" s="12" t="s">
        <v>527</v>
      </c>
      <c r="H233" s="7">
        <v>104500</v>
      </c>
      <c r="I233" s="7">
        <v>104500</v>
      </c>
      <c r="J233" s="9">
        <v>0</v>
      </c>
      <c r="K233" s="7">
        <f t="shared" si="8"/>
        <v>104500</v>
      </c>
      <c r="M233" s="6">
        <v>0</v>
      </c>
      <c r="N233" s="6">
        <v>104500</v>
      </c>
      <c r="O233" s="7">
        <f t="shared" si="9"/>
        <v>15941185</v>
      </c>
    </row>
    <row r="234" spans="1:15" ht="16" x14ac:dyDescent="0.2">
      <c r="A234" s="2">
        <v>46266</v>
      </c>
      <c r="B234" s="4" t="s">
        <v>17</v>
      </c>
      <c r="C234" s="4" t="s">
        <v>250</v>
      </c>
      <c r="D234" s="8" t="s">
        <v>538</v>
      </c>
      <c r="E234" t="s">
        <v>515</v>
      </c>
      <c r="F234" s="7">
        <v>25200000</v>
      </c>
      <c r="G234" s="12" t="s">
        <v>527</v>
      </c>
      <c r="H234" s="7">
        <v>2772000</v>
      </c>
      <c r="I234" s="7">
        <v>2772000</v>
      </c>
      <c r="J234" s="9">
        <v>0</v>
      </c>
      <c r="K234" s="7">
        <f t="shared" si="8"/>
        <v>2772000</v>
      </c>
      <c r="M234" s="6">
        <v>0</v>
      </c>
      <c r="N234" s="6">
        <v>2772000</v>
      </c>
      <c r="O234" s="7">
        <f t="shared" si="9"/>
        <v>18713185</v>
      </c>
    </row>
    <row r="235" spans="1:15" ht="16" x14ac:dyDescent="0.2">
      <c r="A235" s="2">
        <v>46266</v>
      </c>
      <c r="B235" s="4" t="s">
        <v>17</v>
      </c>
      <c r="C235" s="4" t="s">
        <v>251</v>
      </c>
      <c r="D235" s="8" t="s">
        <v>542</v>
      </c>
      <c r="E235" t="s">
        <v>516</v>
      </c>
      <c r="F235" s="7">
        <v>711712</v>
      </c>
      <c r="G235" s="12" t="s">
        <v>527</v>
      </c>
      <c r="H235" s="7">
        <v>78288</v>
      </c>
      <c r="I235" s="7">
        <v>78288</v>
      </c>
      <c r="J235" s="9">
        <v>0</v>
      </c>
      <c r="K235" s="7">
        <f t="shared" si="8"/>
        <v>78288</v>
      </c>
      <c r="M235" s="6">
        <v>0</v>
      </c>
      <c r="N235" s="6">
        <v>78288</v>
      </c>
      <c r="O235" s="7">
        <f t="shared" si="9"/>
        <v>18791473</v>
      </c>
    </row>
    <row r="236" spans="1:15" ht="16" x14ac:dyDescent="0.2">
      <c r="A236" s="2">
        <v>46266</v>
      </c>
      <c r="B236" s="4" t="s">
        <v>17</v>
      </c>
      <c r="C236" s="4" t="s">
        <v>252</v>
      </c>
      <c r="D236" s="8" t="s">
        <v>536</v>
      </c>
      <c r="E236" t="s">
        <v>517</v>
      </c>
      <c r="F236" s="7">
        <v>5783783</v>
      </c>
      <c r="G236" s="12" t="s">
        <v>527</v>
      </c>
      <c r="H236" s="7">
        <v>636217</v>
      </c>
      <c r="I236" s="7">
        <v>636217</v>
      </c>
      <c r="J236" s="9">
        <v>0</v>
      </c>
      <c r="K236" s="7">
        <f t="shared" si="8"/>
        <v>636217</v>
      </c>
      <c r="M236" s="6">
        <v>0</v>
      </c>
      <c r="N236" s="6">
        <v>636217</v>
      </c>
      <c r="O236" s="7">
        <f t="shared" si="9"/>
        <v>19427690</v>
      </c>
    </row>
    <row r="237" spans="1:15" ht="16" x14ac:dyDescent="0.2">
      <c r="A237" s="2">
        <v>46266</v>
      </c>
      <c r="B237" s="4" t="s">
        <v>17</v>
      </c>
      <c r="C237" s="4" t="s">
        <v>253</v>
      </c>
      <c r="D237" s="8" t="s">
        <v>533</v>
      </c>
      <c r="E237" t="s">
        <v>518</v>
      </c>
      <c r="F237" s="7">
        <v>4600000</v>
      </c>
      <c r="G237" s="12" t="s">
        <v>527</v>
      </c>
      <c r="H237" s="7">
        <v>506000</v>
      </c>
      <c r="I237" s="7">
        <v>506000</v>
      </c>
      <c r="J237" s="9">
        <v>0</v>
      </c>
      <c r="K237" s="7">
        <f t="shared" si="8"/>
        <v>506000</v>
      </c>
      <c r="M237" s="6">
        <v>0</v>
      </c>
      <c r="N237" s="6">
        <v>506000</v>
      </c>
      <c r="O237" s="7">
        <f t="shared" si="9"/>
        <v>19933690</v>
      </c>
    </row>
    <row r="238" spans="1:15" ht="16" x14ac:dyDescent="0.2">
      <c r="A238" s="2">
        <v>46266</v>
      </c>
      <c r="B238" s="4" t="s">
        <v>17</v>
      </c>
      <c r="C238" s="4" t="s">
        <v>254</v>
      </c>
      <c r="D238" t="s">
        <v>285</v>
      </c>
      <c r="E238" t="s">
        <v>519</v>
      </c>
      <c r="F238" s="7">
        <v>3208333</v>
      </c>
      <c r="G238" s="12" t="s">
        <v>527</v>
      </c>
      <c r="H238" s="7">
        <v>385000</v>
      </c>
      <c r="I238" s="7">
        <v>385000</v>
      </c>
      <c r="J238" s="9">
        <v>0</v>
      </c>
      <c r="K238" s="7">
        <f t="shared" si="8"/>
        <v>385000</v>
      </c>
      <c r="M238" s="6">
        <v>0</v>
      </c>
      <c r="N238" s="6">
        <v>385000</v>
      </c>
      <c r="O238" s="7">
        <f t="shared" si="9"/>
        <v>20318690</v>
      </c>
    </row>
    <row r="240" spans="1:15" x14ac:dyDescent="0.2">
      <c r="H240" s="7">
        <f t="shared" ref="H240:N240" si="10">SUBTOTAL(9,H2:H239)</f>
        <v>10995195791</v>
      </c>
      <c r="I240" s="7">
        <f t="shared" si="10"/>
        <v>10834504850</v>
      </c>
      <c r="J240" s="7">
        <f t="shared" si="10"/>
        <v>1352632339</v>
      </c>
      <c r="K240" s="7">
        <f t="shared" si="10"/>
        <v>9481872511</v>
      </c>
      <c r="L240" s="7">
        <f t="shared" si="10"/>
        <v>0</v>
      </c>
      <c r="M240" s="7">
        <f t="shared" si="10"/>
        <v>160690941</v>
      </c>
      <c r="N240" s="7">
        <f t="shared" si="10"/>
        <v>181009631</v>
      </c>
      <c r="O240" s="11" t="s">
        <v>521</v>
      </c>
    </row>
  </sheetData>
  <autoFilter ref="A1:S238" xr:uid="{00000000-0001-0000-0000-000000000000}"/>
  <pageMargins left="0.7" right="0.7" top="0.75" bottom="0.75" header="0.3" footer="0.3"/>
  <ignoredErrors>
    <ignoredError sqref="C1 E1 G1:H1 N1:S1 J1:L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PpnInOut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Harsamto</cp:lastModifiedBy>
  <dcterms:created xsi:type="dcterms:W3CDTF">2026-09-24T08:50:15Z</dcterms:created>
  <dcterms:modified xsi:type="dcterms:W3CDTF">2026-09-26T07:28:40Z</dcterms:modified>
</cp:coreProperties>
</file>