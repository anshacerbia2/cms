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A Sho" sheetId="1" r:id="rId5"/>
    <sheet state="visible" name="BCA Juanda" sheetId="2" r:id="rId6"/>
    <sheet state="visible" name="Mandiri MP" sheetId="3" r:id="rId7"/>
    <sheet state="visible" name="BRI Sho" sheetId="4" r:id="rId8"/>
    <sheet state="visible" name="BTN" sheetId="5" r:id="rId9"/>
    <sheet state="visible" name="BNI" sheetId="6" r:id="rId10"/>
    <sheet state="visible" name="Raya" sheetId="7" r:id="rId11"/>
    <sheet state="visible" name="Cash IDR" sheetId="8" r:id="rId12"/>
    <sheet state="visible" name="Non CB" sheetId="9" r:id="rId13"/>
  </sheets>
  <definedNames>
    <definedName hidden="1" localSheetId="0" name="_xlnm._FilterDatabase">'BCA Sho'!$A$4:$I$323</definedName>
    <definedName hidden="1" localSheetId="1" name="_xlnm._FilterDatabase">'BCA Juanda'!$A$4:$I$873</definedName>
    <definedName hidden="1" localSheetId="2" name="_xlnm._FilterDatabase">'Mandiri MP'!$A$4:$I$1068</definedName>
    <definedName hidden="1" localSheetId="3" name="_xlnm._FilterDatabase">'BRI Sho'!$A$4:$I$158</definedName>
    <definedName hidden="1" localSheetId="4" name="_xlnm._FilterDatabase">BTN!$A$4:$I$65</definedName>
    <definedName hidden="1" localSheetId="5" name="_xlnm._FilterDatabase">BNI!$A$4:$I$36</definedName>
    <definedName hidden="1" localSheetId="6" name="_xlnm._FilterDatabase">Raya!$A$4:$G$19</definedName>
    <definedName hidden="1" localSheetId="7" name="_xlnm._FilterDatabase">'Cash IDR'!$A$4:$I$442</definedName>
    <definedName hidden="1" localSheetId="8" name="_xlnm._FilterDatabase">'Non CB'!$A$4:$I$2764</definedName>
  </definedNames>
  <calcPr/>
</workbook>
</file>

<file path=xl/sharedStrings.xml><?xml version="1.0" encoding="utf-8"?>
<sst xmlns="http://schemas.openxmlformats.org/spreadsheetml/2006/main" count="22760" uniqueCount="4729">
  <si>
    <t>B R I</t>
  </si>
  <si>
    <t>BCA</t>
  </si>
  <si>
    <t>Mandiri</t>
  </si>
  <si>
    <t xml:space="preserve">1125-01-000255-30-1 </t>
  </si>
  <si>
    <t>122-000-487-5566</t>
  </si>
  <si>
    <t>575-0489-666</t>
  </si>
  <si>
    <t xml:space="preserve"> </t>
  </si>
  <si>
    <t>5350-285-999</t>
  </si>
  <si>
    <t>PT Pan Convince Mitra International</t>
  </si>
  <si>
    <t>RD HIDIANITJE</t>
  </si>
  <si>
    <t>Tanggal</t>
  </si>
  <si>
    <t>Saldo Akhir Tahun 2024</t>
  </si>
  <si>
    <t>Saldo Akhir Tahun 2025</t>
  </si>
  <si>
    <t>PAN CONVINCE MITRA INTERNATIONAL</t>
  </si>
  <si>
    <t>PT TELEKOMUNIKASI SELULAR - 031</t>
  </si>
  <si>
    <t>ADBT 0000000000320321 45193834 AUTOCORP</t>
  </si>
  <si>
    <t>Byr AP Loan 31Des DAVID HARSAMTO</t>
  </si>
  <si>
    <t>Sisa Petty Cash Bl n Dec 2025  FRIDA ACHMADI</t>
  </si>
  <si>
    <t>Account Payable</t>
  </si>
  <si>
    <t>AP Temporary Loan</t>
  </si>
  <si>
    <t>David Harsamto</t>
  </si>
  <si>
    <t>Inter Accounts</t>
  </si>
  <si>
    <t xml:space="preserve">SETORAN TUNAI </t>
  </si>
  <si>
    <t>Cash IDR to BCA Juanda</t>
  </si>
  <si>
    <t>Account Receivable</t>
  </si>
  <si>
    <t>AP Credit Card</t>
  </si>
  <si>
    <t>AR Trade</t>
  </si>
  <si>
    <t>Telkomsel Alignment SIFA Mobile &amp; Fixed</t>
  </si>
  <si>
    <t>BRI Corp Card</t>
  </si>
  <si>
    <t>269/PCMI/AR/XII/2025</t>
  </si>
  <si>
    <t>AR Others</t>
  </si>
  <si>
    <t>Pemindahan Dana Akhir Tahun</t>
  </si>
  <si>
    <t xml:space="preserve">pembayaran jasa EO sponsorship dari BRI IFT_TO_PAN CONVINCE MITRA </t>
  </si>
  <si>
    <t>BI-FAST CR TRANSFER   DR 087 MR HARTONO ANTONIU</t>
  </si>
  <si>
    <t>OCBC Visa JT-3Jan NISPIDJA/DAVID HARSAMTO</t>
  </si>
  <si>
    <t>lebih bayar CA 001 22 BSIN SupMet  M RIZKY AULIA</t>
  </si>
  <si>
    <t>BRI Peringatan Puncak HUT ke-26 DWP dan Hari Ibu ke-97 DWP BKN</t>
  </si>
  <si>
    <t>226/PCMI/AR/XII/2025</t>
  </si>
  <si>
    <t>OCBC Visa</t>
  </si>
  <si>
    <t>Abonemen 012026 CMS PAN CONVINCE MI T</t>
  </si>
  <si>
    <t>20260104BMRIIDJA010O9937655669</t>
  </si>
  <si>
    <t>Non Cash Bank to BCA Juanda</t>
  </si>
  <si>
    <t>CA-122/25</t>
  </si>
  <si>
    <t>Financial Expense</t>
  </si>
  <si>
    <t>Rizky</t>
  </si>
  <si>
    <t>Bank Charge</t>
  </si>
  <si>
    <t>Retur PCMI 30Des  YOHAN KRISTANTO</t>
  </si>
  <si>
    <t>Abonemen 122025 CMS PAN CONVINCE MI T</t>
  </si>
  <si>
    <t>TELKOM DIVRE2  02183700923     01 PAN CONVINCE MITRA</t>
  </si>
  <si>
    <t>UOB Master JT-6Jan  BBIJIDJA/DAVID HARSAMTO</t>
  </si>
  <si>
    <t>Office Expense</t>
  </si>
  <si>
    <t>Telephone</t>
  </si>
  <si>
    <t>Abonemen 102025 CMS PAN CONVINCE MI T</t>
  </si>
  <si>
    <t>Office</t>
  </si>
  <si>
    <t>JESSICA WELVRIANTI : WA FA 12-May - Cash back hotel - Telkomsel Reach Beyond Sumatera 2025</t>
  </si>
  <si>
    <t>UOB Master</t>
  </si>
  <si>
    <t>TELKOM DIVRE2  02183700926     01 PAN CONVINCE MITRA</t>
  </si>
  <si>
    <t xml:space="preserve">20260104BMRIIDJA010O9937656405 </t>
  </si>
  <si>
    <t>Cost of goods</t>
  </si>
  <si>
    <t>COGS</t>
  </si>
  <si>
    <t>Interest on Account</t>
  </si>
  <si>
    <t>Telkomsel Workshop Reach Beyond Area Sumatera</t>
  </si>
  <si>
    <t>HimbaraKunKerBatamTunai Adnan       TIKA RISKI ASTARI</t>
  </si>
  <si>
    <t>Other Income (Expense)</t>
  </si>
  <si>
    <t>TELKOM DIVRE2  02183700854     01 PAN CONVINCE MITRA</t>
  </si>
  <si>
    <t>Interest Income</t>
  </si>
  <si>
    <t>DBS Visa White JT-6Jan DBSBIDJA/DAVID HARSAMTO</t>
  </si>
  <si>
    <t>Tax</t>
  </si>
  <si>
    <t>Himbara Kunjungan Kerja Batam BRI dan BTN</t>
  </si>
  <si>
    <t>TARIKAN PEMINDAHAN TRSF KE 7660777177ELANG MULIA ABADI SEMPURNA</t>
  </si>
  <si>
    <t>DBS Visa White</t>
  </si>
  <si>
    <t xml:space="preserve">00123766541F SAP1900125007 005/PCMI/A 258 SCD SPS Kon </t>
  </si>
  <si>
    <t>Anne Hidayat</t>
  </si>
  <si>
    <t>20260105BMRIIDJA010O9937785485</t>
  </si>
  <si>
    <t>TELKOM DIVRE2  02183700967     01 PAN CONVINCE MITRA</t>
  </si>
  <si>
    <t>Sales</t>
  </si>
  <si>
    <t>Sales Invoice</t>
  </si>
  <si>
    <t>BRI KunKerBogorDPRTunai Selisih BOQ TIKA RISKI ASTARI</t>
  </si>
  <si>
    <t>005/200/PCMI/AR/I/2026</t>
  </si>
  <si>
    <t>00123875071F SAP1900125040 006/PCMI/A 259 SCD SPS Kon</t>
  </si>
  <si>
    <t>AP Trade</t>
  </si>
  <si>
    <t>BRI Kunjungan Kerja Bogor DPR Komisi XI</t>
  </si>
  <si>
    <t>TELKOM DIVRE2  02183700872     01 PAN CONVINCE MITRA</t>
  </si>
  <si>
    <t xml:space="preserve">PT PLN INDONESIA POWER - 009 </t>
  </si>
  <si>
    <t>BRI FGD Semarang  Tunai Selisih BOQ TIKA RISKI ASTARI</t>
  </si>
  <si>
    <t>BRI FGD Semarang Komisi XI</t>
  </si>
  <si>
    <t>006/201/PCMI/AR/I/2026</t>
  </si>
  <si>
    <t>PLN Indonesia Power PIKK Festival Bazaar UMKM</t>
  </si>
  <si>
    <t>286/PCMI/AR/XII/2024</t>
  </si>
  <si>
    <t>BFST2241379576        CMSX:CENAIDJA</t>
  </si>
  <si>
    <t>BRI FGD Semarang</t>
  </si>
  <si>
    <t>TELKOM DIVRE2  02183700953     01 PAN CONVINCE MITRA</t>
  </si>
  <si>
    <t>HimbaraFGDSemarangTunai Selisih BOQ TIKA RISKI ASTARI</t>
  </si>
  <si>
    <t>Ayat Silang</t>
  </si>
  <si>
    <t>HIMBARA FGD Semarang</t>
  </si>
  <si>
    <t>288/PCMI/AR/XII/2024</t>
  </si>
  <si>
    <t>BI-FAST CR TRANSFER   DR 008 TESYA RIANI BR TAR</t>
  </si>
  <si>
    <t>TELKOM DIVRE2  02183700934     01 PAN CONVINCE MITRA</t>
  </si>
  <si>
    <t xml:space="preserve">Shell Bali Private T 00006  PINBIDJA/PARATUALANG INDONESIA, CV </t>
  </si>
  <si>
    <t>Telkomsel WS Sales A1 Play Hard Serve Harder</t>
  </si>
  <si>
    <t>Shell Bali Private Trip</t>
  </si>
  <si>
    <t>001/PCMI/AR/I/2026</t>
  </si>
  <si>
    <t xml:space="preserve">20260108BMRIIDJA010O9938817849 </t>
  </si>
  <si>
    <t>Shell BaliPTrip 26 court padel 12Jan  ANALITA YULISTYA C</t>
  </si>
  <si>
    <t>Med Reimb 1Dec    REVIANA VERONICA P</t>
  </si>
  <si>
    <t>Personnel Expense</t>
  </si>
  <si>
    <t>Medical Allowance</t>
  </si>
  <si>
    <t xml:space="preserve">Trimegah Trainning C  BRINIDJA/TOUR SUMBA </t>
  </si>
  <si>
    <t>Mandiri PasarMurahPO Fee            M RIZKY AULIA</t>
  </si>
  <si>
    <t>BFST112501000255301DAVID HARSAM:CENAIDJA</t>
  </si>
  <si>
    <t>Reimb Kas Kecil FRIDA ACHMADI</t>
  </si>
  <si>
    <t>Trimegah Training Camp 2026</t>
  </si>
  <si>
    <t>Mandiri FGD Pasar Murah</t>
  </si>
  <si>
    <t xml:space="preserve">20260108BMRIIDJA010O9938818203  </t>
  </si>
  <si>
    <t>BFST112501000255301DAVID HARSAM:CENAIDJA3039</t>
  </si>
  <si>
    <t>BSIN Tomo Gath    PO Fee            M RIZKY AULIA</t>
  </si>
  <si>
    <t>BCA Juanda to Cash IDR</t>
  </si>
  <si>
    <t>BSIN Tomo Gathering</t>
  </si>
  <si>
    <t>Natal Nasional 25 Mtg Steer Comm  DINA KARDIENA HAKI</t>
  </si>
  <si>
    <t>NBMB MARIA PATRICIA TO PAN CONVINCE MITR</t>
  </si>
  <si>
    <t>Telkomsel Pengamanan 06869   BNINIDJA/NABILA ASY SYIFA</t>
  </si>
  <si>
    <t>Cirebon Power EG  PO Fee            M RIZKY AULIA</t>
  </si>
  <si>
    <t>Non Cash Bank to BRI Sahardjo</t>
  </si>
  <si>
    <t>CA-01/26 Patrice</t>
  </si>
  <si>
    <t>Other Expense</t>
  </si>
  <si>
    <t>AR Deposit to vendor</t>
  </si>
  <si>
    <t>Telkomsel Pengamanan Target Akhir Tahun 2025</t>
  </si>
  <si>
    <t>Cirebon Power Employee Gathering Bandung</t>
  </si>
  <si>
    <t>20260108BMRIIDJA010O9938818206</t>
  </si>
  <si>
    <t>BI-FAST DB TRANSFER   KE 013 YOHAN KRISTANTO  KBB</t>
  </si>
  <si>
    <t>BTN Excellent Awd PO Fee            M RIZKY AULIA</t>
  </si>
  <si>
    <t>CA-03/26 Patrice</t>
  </si>
  <si>
    <t>ADBT 0000000000320321 75853201 AUTOCORP</t>
  </si>
  <si>
    <t>BTN Excellence Award</t>
  </si>
  <si>
    <t>Intrareps</t>
  </si>
  <si>
    <t>BTN Mini Olympic  PO Fee            M RIZKY AULIA</t>
  </si>
  <si>
    <t>BRI Sahardjo to Non Cash Bank</t>
  </si>
  <si>
    <t>BI-FAST DB BIAYA TXN  KE 013 YOHAN KRISTANTO  KBB</t>
  </si>
  <si>
    <t>Abonemen 022026 CMS PAN CONVINCE MI</t>
  </si>
  <si>
    <t>BTN Mini Olympic</t>
  </si>
  <si>
    <t xml:space="preserve">PT TELEKOMUNIKASI SELULAR - 031 </t>
  </si>
  <si>
    <t>BRI Journalist BC PO Fee            M RIZKY AULIA</t>
  </si>
  <si>
    <t>Telkomsel Event Market Recovery &amp; City Fokus Q3</t>
  </si>
  <si>
    <t>268/PCMI/AR/XII/2025</t>
  </si>
  <si>
    <t>BRI Journalist Bootcamp</t>
  </si>
  <si>
    <t>Overtime Des      ADUN SOPANDI</t>
  </si>
  <si>
    <t>PT TELEKOMUNIKASI SELULAR - 031 : Rp. 218.359.111</t>
  </si>
  <si>
    <t>AP Expense</t>
  </si>
  <si>
    <t>Overtime</t>
  </si>
  <si>
    <t>Telkomsel MICE Piala byU Q2 2025</t>
  </si>
  <si>
    <t>228/PCMI/AR/XII/2025</t>
  </si>
  <si>
    <t>Overtime Des      SUKANDA</t>
  </si>
  <si>
    <t>Telkomsel Pengamanan Target Sem II Reg. Sumbagsel</t>
  </si>
  <si>
    <t>Overtime Des      MUHAMMAD UJER AWAL</t>
  </si>
  <si>
    <t>253/PCMI/AR/XII/2025</t>
  </si>
  <si>
    <t>CA0926 Patrice IFT_TO_MARIA PATRICIA SUGAM</t>
  </si>
  <si>
    <t>CA-09/26 Patrice</t>
  </si>
  <si>
    <t>Pin Buk BCA Sho   PAN CONVINCE MITRA</t>
  </si>
  <si>
    <t>Interest on Account </t>
  </si>
  <si>
    <t>Overtime Des      SUPRIYADI</t>
  </si>
  <si>
    <t>BAGUS HARYANTO</t>
  </si>
  <si>
    <t>Pin Buk BCA Juanda CN_TO_PAN CONVINCE MITRA INTER</t>
  </si>
  <si>
    <t>Telkomsel Town Hall Sales 2024</t>
  </si>
  <si>
    <t>124/PCMI/AR/VI/2024 = 277/PCMI/AR/XI/2025</t>
  </si>
  <si>
    <t>Internet Jan MORA TELEMATIKA IN : Rp. 3.815.000</t>
  </si>
  <si>
    <t>Telkomsel Support Renego Backpacker BKL - LPG Q4 2025</t>
  </si>
  <si>
    <t>Mandiri Visa JT-10Ja MCM InhouseTrf CS-CS  KE DAVID HARSAMTO</t>
  </si>
  <si>
    <t>011/PCMI/AR/I/2026</t>
  </si>
  <si>
    <t>BIAYA ADM</t>
  </si>
  <si>
    <t>BRI Sahardjo to BCA Juanda</t>
  </si>
  <si>
    <t>Mandiri Visa</t>
  </si>
  <si>
    <t>Pin Buk BCA Juanda CN_TO_PAN CONVINCE MITRA</t>
  </si>
  <si>
    <t>PT SHELL INDONESIA - 050                  12206</t>
  </si>
  <si>
    <t>NABILA ASY SYIFA : WA FA/YW 12-May - Penyesuaian Nilai PO - Selisih Budget Telkomsel Pengamanan Target Akhir Tahun</t>
  </si>
  <si>
    <t>Shell Visit Factory Bangkok 2025</t>
  </si>
  <si>
    <t>083/PCMI/AR/X/2025</t>
  </si>
  <si>
    <t>BFST1220004875566 CMSX:BMRIIDJA 20260227BRINIDJA010O9940693744</t>
  </si>
  <si>
    <t>PT PLN INDONESIA POWER - 009              12206</t>
  </si>
  <si>
    <t>Internet and emails</t>
  </si>
  <si>
    <t>PLN IP Energy Business Forum 2025</t>
  </si>
  <si>
    <t>Jan</t>
  </si>
  <si>
    <t>278/PCMI/AR/XI/2025</t>
  </si>
  <si>
    <t>BRI FGD SEMARANG, Ke00026  BNINIDJA/PACTO : Rp. 2.350.000</t>
  </si>
  <si>
    <t>BFST1220004875566 CMSX:BMRIIDJA 20260227BRINIDJA010O9940693756</t>
  </si>
  <si>
    <t>BCA Juanda to Non Cash Bank</t>
  </si>
  <si>
    <t>PPn Masa Jan-26</t>
  </si>
  <si>
    <t>Shell Visit KUL   SPJ 1D 21-Jan     PRAJA SAPUTRA S</t>
  </si>
  <si>
    <t>BRI Sahardjo to Mandiri Mid Plaza</t>
  </si>
  <si>
    <t>Shell Visit Kuala Lumpur</t>
  </si>
  <si>
    <t>Salary PCMI Jan   DAVID HARSAMTO</t>
  </si>
  <si>
    <t>Mandiri Mid Plaza to BCA Juanda</t>
  </si>
  <si>
    <t>PPh-23 BuPot 2026</t>
  </si>
  <si>
    <t>Mora Telematika Indonesia</t>
  </si>
  <si>
    <t>Salary and THR</t>
  </si>
  <si>
    <t>AP Tax</t>
  </si>
  <si>
    <t>PPn Masukan 2025 dilaporkan 2026</t>
  </si>
  <si>
    <t>Internet Des 2025 MORA TELEMATIKA IN : Rp. 3.815.000</t>
  </si>
  <si>
    <t>AR StaffLoan OdheyDAVID HARSAMTO</t>
  </si>
  <si>
    <t>AR Staff Loan</t>
  </si>
  <si>
    <t>Odhey</t>
  </si>
  <si>
    <t>BFST1220004875566 CMSX:BMRIIDJA 20260228BRINIDJA010O9909177472</t>
  </si>
  <si>
    <t>AR StaffLoan FridaDAVID HARSAMTO</t>
  </si>
  <si>
    <t xml:space="preserve">TSel Leaders Mtg Q4  06898  MCM InhouseTrf  KE PANTRAVEL </t>
  </si>
  <si>
    <t>Frieda</t>
  </si>
  <si>
    <t>Telkomsel Leaders Meeting Q4 Area 1</t>
  </si>
  <si>
    <t>RD HIDIANITJE DRA</t>
  </si>
  <si>
    <t>Transfer Fee         0689899102</t>
  </si>
  <si>
    <t>BFST1220004875566 CMSX:BMRIIDJA 20260228BRINIDJA010O9909172882</t>
  </si>
  <si>
    <t>BUNGA</t>
  </si>
  <si>
    <t>TSel Reach Beyond Ar 00017 BSMDIDJA/AULIA AYU ASYURA</t>
  </si>
  <si>
    <t>PAJAK BUNGA</t>
  </si>
  <si>
    <t>Telkomsel Reach Beyond Area Sumatera 2025</t>
  </si>
  <si>
    <t>BFST5350285999 CMSX:CENAIDJA 20260304BRINIDJA010O9914219438</t>
  </si>
  <si>
    <t>SETORAN TRSF DR 0790296621HYUNDAI STARGAZ   ER ATNO</t>
  </si>
  <si>
    <t xml:space="preserve">TSel Leaders Mtg Q4  06897 MCM InhouseTrf  KE PANTRAVEL </t>
  </si>
  <si>
    <t>Atno</t>
  </si>
  <si>
    <t>BI-FAST CR TRANSFER   DR 002 PT KADAL PROMO IND,</t>
  </si>
  <si>
    <t xml:space="preserve">Internet Nov 2025 MORA TELEMATIKA IN  </t>
  </si>
  <si>
    <t xml:space="preserve">20260114BMRIIDJA010O9930972733 </t>
  </si>
  <si>
    <t>BFST5350285999 CMSX:CENAIDJA 20260305BRINIDJA010O9934921801</t>
  </si>
  <si>
    <t>FIF NMC ACT Handling</t>
  </si>
  <si>
    <t>217/PCMI/AR/XII/2025</t>
  </si>
  <si>
    <t>Internet Nov 2025 MORA TELEMATIKA IN : Rp. 3.815.000</t>
  </si>
  <si>
    <t>TSel E2E DivACH1  E2E 2D 5-6Feb     YOGI PURWO WIDODO,</t>
  </si>
  <si>
    <t>Listrik Januari 202 00030 MCM InhouseTrf  KE PANTRAVEL</t>
  </si>
  <si>
    <t>Building Management</t>
  </si>
  <si>
    <t>Telkomsel E2E Division Alignment Collaboration H1</t>
  </si>
  <si>
    <t>BFST5350285999 CMSX:CENAIDJA 20260305BRINIDJA010O9934918835</t>
  </si>
  <si>
    <t>TSel E2E Div AC H1SPJ 2D 5-6Feb     SUPRIYADI,</t>
  </si>
  <si>
    <t xml:space="preserve">Telkomsel Mtg Procur00001  BRINIDJA/SALSABILA FAHIRA </t>
  </si>
  <si>
    <t>Telkomsel Meeting Procurement Q2 2025</t>
  </si>
  <si>
    <t>BRI Kunker KXI BdgSPJ 2D 29-30Jan   SUPRIYADI,</t>
  </si>
  <si>
    <t>20260114BMRIIDJA010O9930972740            99102</t>
  </si>
  <si>
    <t>BFST1220004875566 CMSX:BMRIIDJA 20260307BRINIDJA010O9916728784</t>
  </si>
  <si>
    <t>BRI Kunjungan Kerja Komisi XI DPR RI - Bandung</t>
  </si>
  <si>
    <t>BRI Kunker BAKN KBSPJ 2D 27-28Jan   SUPRIYADI,</t>
  </si>
  <si>
    <t xml:space="preserve">TSel Reach Beyond Ar 00031  MCM InhouseTrf  KE PANTRAVEL </t>
  </si>
  <si>
    <t>B2313BRN JAN26 AUTORENT LANCAR SE : Rp. 5.014.000</t>
  </si>
  <si>
    <t>BRI Kunjungan Kerja BAKN Kota Bahru Parahyangan</t>
  </si>
  <si>
    <t>Overtime Jan      SUPRIYADI,</t>
  </si>
  <si>
    <t>RTGS#DAVID HARSAMTO #NISPIDJA : USD 160.000</t>
  </si>
  <si>
    <t>TSel E2E Div AC H1SPJ 1D Museum SM  PRAJA SAPUTRA S,</t>
  </si>
  <si>
    <t xml:space="preserve">TSel Mtg Evaluasi Se00032  BRINIDJA/CINDY APRILIA </t>
  </si>
  <si>
    <t>Other expense</t>
  </si>
  <si>
    <t>AR StaffLoan PrajaPRAJA SAPUTRA S,</t>
  </si>
  <si>
    <t>Transportation</t>
  </si>
  <si>
    <t>B 2313 BRN</t>
  </si>
  <si>
    <t>Praja</t>
  </si>
  <si>
    <t xml:space="preserve">20260114BMRIIDJA010O9930972743 </t>
  </si>
  <si>
    <t>ESB:INDS:0002A00W:531f54</t>
  </si>
  <si>
    <t>Overtime Jan      ADUN SOPANDI,</t>
  </si>
  <si>
    <t>Overtime Jan      SUKANDA,</t>
  </si>
  <si>
    <t xml:space="preserve">Shell Visit KUL, 012 00025 MCM InhouseTrf  KE PANTRAVEL </t>
  </si>
  <si>
    <t>CA-13/26 Patricia</t>
  </si>
  <si>
    <t>Autorent Lancar Sejahtera</t>
  </si>
  <si>
    <t>Overtime Jan      MUHAMMAD UJER AWAL,</t>
  </si>
  <si>
    <t>00127667801F SAP1900541552 B.171.e-IN Dukungan Keg Wo</t>
  </si>
  <si>
    <t xml:space="preserve">Shell Visit KUL PullmanKL 21-23Jan  DUA PILAR BERSAMA </t>
  </si>
  <si>
    <t>BOTKIDJX/BRIDGESTONE TIRE INDONESIA, PT 3665IDRCUA510000135899102</t>
  </si>
  <si>
    <t>BRI - BPJS Meeting Solo</t>
  </si>
  <si>
    <t>BI-FAST CR TRANSFER   DR 451 RSHINTIADWIAPRIANI : WA FA 12May - Telkomsel ANO Sumatera Network Forum 2026, tiket FIT Spouse</t>
  </si>
  <si>
    <t>092/215/PCMI/AR/II/2026</t>
  </si>
  <si>
    <t>BFST5350285999 CMSX:CENAIDJA 20260313BRINIDJA010O9908481104</t>
  </si>
  <si>
    <t>BSIN Supplier Meeting</t>
  </si>
  <si>
    <t>229/PCMI/AR/XII/2025</t>
  </si>
  <si>
    <t xml:space="preserve">Lunch PCMI Kick Off Mtg  MARIA PATRICIA SUG </t>
  </si>
  <si>
    <t>Telkomsel ANO Sumatera Network Forum 2026</t>
  </si>
  <si>
    <t>102/PCMI/AR/II/2026</t>
  </si>
  <si>
    <t>Refund Tiket PCMI Ta  MCM InhouseTrf  DARI PANTRAVEL</t>
  </si>
  <si>
    <t>DR 008 ERA BANGUN TOWERINPLAZA MANDI,</t>
  </si>
  <si>
    <t>Meal Allowance</t>
  </si>
  <si>
    <t>PCMI Team</t>
  </si>
  <si>
    <t>AR Refund</t>
  </si>
  <si>
    <t xml:space="preserve">Pin Buk BCA Sho RD HIDIANITJE DRA  </t>
  </si>
  <si>
    <t>104/PCMI/AR/II/2026</t>
  </si>
  <si>
    <t xml:space="preserve">Shell Bali Private T00042  PINBIDJA/PARATUALANG INDONESIA, CV </t>
  </si>
  <si>
    <t>00127827761F SAP1900567058 117/PCMI/A 659 SCD SPS Keg ESB</t>
  </si>
  <si>
    <t xml:space="preserve">Shell Visit KUL 26 MYR UangSaku  TOM VALASINDO PT </t>
  </si>
  <si>
    <t>Konsinyering Komisi XI DPR RI bersama OJK dan BRI
Hilton Hotel - Bandung , 30 Jan 2026</t>
  </si>
  <si>
    <t>BI-FAST DB TRANSFER   KE 008 GNC               KBI,</t>
  </si>
  <si>
    <t>117/222/PCMI/AR/III/2026</t>
  </si>
  <si>
    <t xml:space="preserve">20260115BMRIIDJA010O9931471309  </t>
  </si>
  <si>
    <t>Abonemen 032026 CMS PAN CONVINCE MI T:0374891:CMS</t>
  </si>
  <si>
    <t>AP Deposit to customer</t>
  </si>
  <si>
    <t>Mandiri Pasar Murah</t>
  </si>
  <si>
    <t>Sisa sembako Jayapura</t>
  </si>
  <si>
    <t xml:space="preserve">Shell Bali PvtTrip UangSakuPeserta  ANALITA YULISTYA C </t>
  </si>
  <si>
    <t>BI-FAST DB BIAYA TXN  KE 008 GNC               KBI,</t>
  </si>
  <si>
    <t xml:space="preserve">HIMBARA KUNKER BATAM00045  CENAIDJA/TIKA RISKI ASTARI </t>
  </si>
  <si>
    <t>BFST112501000255301PAN CONVINCE:BTANIDJA 20260325BTANIDJA010O9900559326</t>
  </si>
  <si>
    <t>BTN to BRI Sahardjo</t>
  </si>
  <si>
    <t xml:space="preserve">Shell Visit KUL 26 Land Tour Pack  DUA PILAR BERSAMA </t>
  </si>
  <si>
    <t>Shell BKK CustTripSPJ Apo Handling  PRAJA SAPUTRA S,</t>
  </si>
  <si>
    <t>BFST112501000255301PAN CONVINCE:BTANIDJA 20260325BTANIDJA010O9900559327</t>
  </si>
  <si>
    <t>Shell Bangkok Customer Trip</t>
  </si>
  <si>
    <t>Shell Bali PvtTrip Add Meals+Trans  BPW SAHADEWA BASUN : Rp. 3.646.661</t>
  </si>
  <si>
    <t>BRI Kunker KXI BdgSPJ 2D + Meals    ANALITA YULISTYA C,</t>
  </si>
  <si>
    <t>BFST112501000255301PAN CONVINCE:BMRIIDJA 20260325BMRIIDJA010O9938741469</t>
  </si>
  <si>
    <t>Mandiri Mid Plaza to BRI Sahardjo</t>
  </si>
  <si>
    <t>BIAYA ADM ,</t>
  </si>
  <si>
    <t>20260115BMRIIDJA010O9931471317</t>
  </si>
  <si>
    <t>BFST112501000255301PAN CONVINCE:BMRIIDJA 20260325BMRIIDJA010O9938741471</t>
  </si>
  <si>
    <t>BI-FAST CR TRANSFER   DR 451 LINDAMORASIREGAR,</t>
  </si>
  <si>
    <t>BFST112501000255301PAN CONVINCE:BMRIIDJA 20260325BMRIIDJA010O9938741473</t>
  </si>
  <si>
    <t xml:space="preserve">DP Upgrade Menu Orbi   CENAIDJA/ANDIKA MULIA </t>
  </si>
  <si>
    <t>106/PCMI/AR/II/2026</t>
  </si>
  <si>
    <t>Expenditure</t>
  </si>
  <si>
    <t>Fixed Asset</t>
  </si>
  <si>
    <t>Orbitz System</t>
  </si>
  <si>
    <t xml:space="preserve">HimbaraKunKerBatam SelisihBOQ Helda  TIKA RISKI ASTARI </t>
  </si>
  <si>
    <t xml:space="preserve">20260115BMRIIDJA010O9931471326 </t>
  </si>
  <si>
    <t>BRI Farewell GH   SPJ 1D 8Feb       PRAJA SAPUTRA S,</t>
  </si>
  <si>
    <t xml:space="preserve">BTN FGDCirebon KXI SelisihBOQ Helda  TIKA RISKI ASTARI </t>
  </si>
  <si>
    <t xml:space="preserve">BRI FGD SEMARANG KOM00044   CENAIDJA/TIKA RISKI ASTARI </t>
  </si>
  <si>
    <t>BRI Farewell Lunch - Greyhound</t>
  </si>
  <si>
    <t>Mandiri JurXtraSolSPJ 1D 3Feb       ADUN SOPANDI,</t>
  </si>
  <si>
    <t>Part-2 AP Loan  160K 12-Mar BRI Sho_RTG_ 6085112821896010</t>
  </si>
  <si>
    <t>BTN FGD Cirebon Komisi XI</t>
  </si>
  <si>
    <t xml:space="preserve">BRI Kunker BAKN DP LED, Sound,Gdn  M ILYAS ROHMAN </t>
  </si>
  <si>
    <t>Mandiri Juragan Xtra Solo</t>
  </si>
  <si>
    <t>Mandiri JurXtraSolSPJ 1D 3Feb       SUPRIYADI,</t>
  </si>
  <si>
    <t xml:space="preserve">20260115BMRIIDJA010O9931471331 </t>
  </si>
  <si>
    <t xml:space="preserve">TSel Orbit HH Q4 DP VillaKanaAtas  POPY FERINA </t>
  </si>
  <si>
    <t>TSel ANO Sum NF   SPJ + Meals       ALEXADRUS NULIADY,</t>
  </si>
  <si>
    <t>Telkomsel Orbit Household Q4 2024</t>
  </si>
  <si>
    <t>Accounting Bank Syariah Mandiri - 451     12206</t>
  </si>
  <si>
    <t>Telkomsel ANO Sumatera Network Forum</t>
  </si>
  <si>
    <t xml:space="preserve">Shell Visit KUL 26 Add Upgrade Meals  DUA PILAR BERSAMA </t>
  </si>
  <si>
    <t>Partial AP Loan  160K 12-Mar BRI Sho_RTG 6085112821470780</t>
  </si>
  <si>
    <t>BRI BPJS Mtg Solo SPJ + Meals       ALEXADRUS NULIADY,</t>
  </si>
  <si>
    <t>BSI Kunjungan Kerja BAKN Pangkal Pinang</t>
  </si>
  <si>
    <t>002/197/PCMI/AR/I/2026</t>
  </si>
  <si>
    <t>BRI BPJS Meeting Solo</t>
  </si>
  <si>
    <t>F 1138 ABU Jan FRIDA ACHMADI : RP. 5.777.000 Lebih Bayar seharus tanpa PPn dan PPh</t>
  </si>
  <si>
    <t>PT TELEKOMUNIKASI SELULAR - 031           12206</t>
  </si>
  <si>
    <t>Mandiri JurXtraSolSPJ + Meals       ALEXADRUS NULIADY,</t>
  </si>
  <si>
    <t>Telkomsel Event Direksi Visit Medan &amp; OM Consolidation</t>
  </si>
  <si>
    <t>254/PCMI/AR/XII/2025</t>
  </si>
  <si>
    <t>BRI Kunker KXI BdgSPJ + Meals       ALEXADRUS NULIADY,</t>
  </si>
  <si>
    <t>PT TELEKOMUNIKASI SELULAR - 031           12206 : Rp. 150.313.985</t>
  </si>
  <si>
    <t xml:space="preserve">F 1138 ABU </t>
  </si>
  <si>
    <t>Telkomsel Delight &amp; Excellent Execution 2025</t>
  </si>
  <si>
    <t>219/PCMI/AR/XII/2025</t>
  </si>
  <si>
    <t>BFST1220004875566     CMSX:BMRIIDJA 20260327BRINIDJA010O9933086560</t>
  </si>
  <si>
    <t>BRI KunkerBAKN KB SPJ + Meals       ALEXADRUS NULIADY,</t>
  </si>
  <si>
    <t>TSel ANO Sum NF   SPJ + Meals       ANALITA YULISTYA C,</t>
  </si>
  <si>
    <t>Retur</t>
  </si>
  <si>
    <t>Mandiri JurXtraSolSPJ + Meals       ANALITA YULISTYA C,</t>
  </si>
  <si>
    <t>IBIZ GEMALINDO KREA TO PAN CONVINCE MITR</t>
  </si>
  <si>
    <t>Telkomsel Pengadaan untuk visit Cluster Area Sumatera Q3</t>
  </si>
  <si>
    <t>261/PCMI/AR/XII/2025</t>
  </si>
  <si>
    <t xml:space="preserve">BRI Kunker BAKN KB Add Mobil Peserta MAMAN SULAEMAN  </t>
  </si>
  <si>
    <t>BRI PERINGATAN PUNCA00051  020601052431504/OI36000807492341</t>
  </si>
  <si>
    <t>BRI Kunker BAKN Kota Bahru Parahyangan</t>
  </si>
  <si>
    <t>198/PCMI/AR/VII/2026</t>
  </si>
  <si>
    <t>BRI KunkerBAKN KB SPJ + Meals       ANALITA YULISTYA C,</t>
  </si>
  <si>
    <t xml:space="preserve">TSel Sum On Ground Rm+BFast 3-5Feb Muhammad Ilham &amp; Bambang Prayogi SETRA GITA NUSANTA  </t>
  </si>
  <si>
    <t>TSel ANO Sum NF   SPJ + Meals       YOGI PURWO WIDODO,</t>
  </si>
  <si>
    <t>BFST5350285999 CMSX:CENAIDJA 20260407BRINIDJA010O9931862714</t>
  </si>
  <si>
    <t>Telkomsel Sumatera On Ground Recovery Review Q1 2026</t>
  </si>
  <si>
    <t>Transfer Fee         00051</t>
  </si>
  <si>
    <t>Salary PCM Feb    DAVID HARSAMTO,</t>
  </si>
  <si>
    <t xml:space="preserve">TSel Orbit HH Q4 2 Hiace Situgunung BIG BIRD PUSAKA PT  </t>
  </si>
  <si>
    <t>Feb</t>
  </si>
  <si>
    <t>UBP60215001202FFFFFF041656438860744 : Pembayaran Surat Tagihan Denda PPN Masa Agustus 2025</t>
  </si>
  <si>
    <t>AR StaffLoan OdheyDAVID HARSAMTO,</t>
  </si>
  <si>
    <t>BFST1220004875566 CMSX:BMRIIDJA 20260407BRINIDJA010O9931865605</t>
  </si>
  <si>
    <t xml:space="preserve">TSel Orbit HH Q4 Lunas Visa Grp POPY FERINA  </t>
  </si>
  <si>
    <t>AR StafLoan FriedaDAVID HARSAMTO,</t>
  </si>
  <si>
    <t>UBP60215001202FFFFFF041678644028726 : PPh-Unifikasi Masa Desember 2025 : Rp. 2.569.455</t>
  </si>
  <si>
    <t xml:space="preserve">BRI Kunker BAKN KB Sewa 35 DM ADITYA CHANDRA KUS  </t>
  </si>
  <si>
    <t>PPh-23 : Disetor di 23-Jan-2026</t>
  </si>
  <si>
    <t>AR StaffLoan PrajaDAVID HARSAMTO,</t>
  </si>
  <si>
    <t>BFST1220004875566 CMSX:BMRIIDJA 20260407BRINIDJA010O9931867446</t>
  </si>
  <si>
    <t xml:space="preserve">BRI Kunker BAKN KB Mobll BAKN Bdg MAMAN SULAEMAN  </t>
  </si>
  <si>
    <t>BUNGA ,</t>
  </si>
  <si>
    <t>PT ASIA UTAM Ivma Salsabila Psiko Test 22Jan 000472 : Rp. 940.125</t>
  </si>
  <si>
    <t>PAJAK BUNGA ,</t>
  </si>
  <si>
    <t>Abonemen 042026 CMS PAN CONVINCE MI T</t>
  </si>
  <si>
    <t>PPh-4 Ayat 2 Tahun 2025 : Disetor di 23-Jan-2026</t>
  </si>
  <si>
    <t>HR Development</t>
  </si>
  <si>
    <t>CR TRF 60100478900731-111/PCMI/AR/II/2026 - Kinarya : masuk ke sales 2025 Sales Code : Telkomsel Orbit Household Q4 2024
Sales Code : Telkomsel Orbit Household Q4 2024</t>
  </si>
  <si>
    <t>298/PCMI/AR/XI/2025</t>
  </si>
  <si>
    <t>00131014911F SAP1900874091 108/PCMI/A 979 COM MED Bia</t>
  </si>
  <si>
    <t>Overtime Feb      SUPRIYADI</t>
  </si>
  <si>
    <t>Asia Utama Konsultan</t>
  </si>
  <si>
    <t xml:space="preserve">108/243/PCMI/AR/IV/2026	</t>
  </si>
  <si>
    <t>Photo Copy Jan OSC OFFICE MACHINE : Rp. 736.486</t>
  </si>
  <si>
    <t>00131031611F SAP1900907674 121/PCMI/ Kegiatan Living</t>
  </si>
  <si>
    <t>Overtime Feb      SUKANDA</t>
  </si>
  <si>
    <t>UBP60215001202FFFFFF041607364870439 : PPh-Unifikasi Masa Nopember 2025 : Rp. 12.359.412</t>
  </si>
  <si>
    <t>BRI SAR Living Cost Haji 2026</t>
  </si>
  <si>
    <t>121/245/PCMI/AR/IV/2026</t>
  </si>
  <si>
    <t>Overtime Feb      MUHAMMAD UJER AWAL</t>
  </si>
  <si>
    <t xml:space="preserve">BFST1220004875566     CMSX:BMRIIDJA 20260429BRINIDJA010O9900903297 </t>
  </si>
  <si>
    <t>Photocopy</t>
  </si>
  <si>
    <t>Overtime Feb      ADUN SOPANDI</t>
  </si>
  <si>
    <t>BFST1220004875566     CMSX:BMRIIDJA 20260429BRINIDJA010O9900903297</t>
  </si>
  <si>
    <t>THR 26 PCMI       DAVID HARSAMTO</t>
  </si>
  <si>
    <t>BFST5350285999        CMSX:CENAIDJA 20260429BRINIDJA010O9900973650</t>
  </si>
  <si>
    <t>Mar</t>
  </si>
  <si>
    <t>OSC Office Machinery</t>
  </si>
  <si>
    <t>BRI CSR HUT Danan SPJ 4D+ApoHandlingYOGI PURWO WIDODO</t>
  </si>
  <si>
    <t xml:space="preserve">TSel Orbit HH Q4 UHPD 2D 16Paxs YOGI PURWO WIDODO  </t>
  </si>
  <si>
    <t>BRI CSR HUT Danantara 2026</t>
  </si>
  <si>
    <t>BFST112501000255301DAVID HARSAM:CENAIDJA 20260505CENAIDJA010O0199165852</t>
  </si>
  <si>
    <t>MandiriMudikBersamSPJ 5D Logistik   PRAJA SAPUTRA S</t>
  </si>
  <si>
    <t xml:space="preserve">CA-004/26 Tika TIKA RISKI ASTARI   </t>
  </si>
  <si>
    <t>Mandiri Mudik Bersama</t>
  </si>
  <si>
    <t>F1138ABU Maret    FRIDA ACHMADI</t>
  </si>
  <si>
    <t>00131773321F SAP1900923548 114 1019 Humas CSR</t>
  </si>
  <si>
    <t>CA-04/26</t>
  </si>
  <si>
    <t>Tika</t>
  </si>
  <si>
    <t>F 1138 ABU</t>
  </si>
  <si>
    <t xml:space="preserve">CA-002/26 Rizky M RIZKY AULIA   </t>
  </si>
  <si>
    <t>134/251/PCMI/AR/IV/2026</t>
  </si>
  <si>
    <t>KK 5534790180165003CMSX5534790180165003</t>
  </si>
  <si>
    <t>CA-002/26</t>
  </si>
  <si>
    <t xml:space="preserve">BI-FAST CR TRANSFER   DR 008 PAN CONVINCE MITRA     </t>
  </si>
  <si>
    <t>MandiriJuraganXtraSPJ+Meals         ANALITA YULISTYA C,</t>
  </si>
  <si>
    <t>KK 5534790100867506CMSX5534790100867506</t>
  </si>
  <si>
    <t>Pin Buk BCA Sho   PAN CONVINCE MITRA,</t>
  </si>
  <si>
    <t>KK 5534790180132102CMSX5534790180132102</t>
  </si>
  <si>
    <t>Salary PCMI Mar   DAVID HARSAMTO,</t>
  </si>
  <si>
    <t xml:space="preserve">Pin Buk BCA Sho RD HIDIANITJE DRA   </t>
  </si>
  <si>
    <t>Apr</t>
  </si>
  <si>
    <t>BFST5750205811 CMSX:CENAIDJA 20260507BRINIDJA010O9917467050</t>
  </si>
  <si>
    <t>AR StafLoan Odhey DAVID HARSAMTO,</t>
  </si>
  <si>
    <t xml:space="preserve">Salary PCMI Jan DAVID HARSAMTO   </t>
  </si>
  <si>
    <t xml:space="preserve">BIAYA ADM       </t>
  </si>
  <si>
    <t>BFST5350285999 CMSX:CENAIDJA 20260507BRINIDJA010O9917621189</t>
  </si>
  <si>
    <t xml:space="preserve">TELKOM DIVRE2  02183700967     02 PAN CONVINCE MITRA  0232055350285999 </t>
  </si>
  <si>
    <t>4th installment   RD HIDIANITJE DRA,</t>
  </si>
  <si>
    <t xml:space="preserve">TELKOM DIVRE2  02183700923     02 PAN CONVINCE MITRA  0232055350285999 </t>
  </si>
  <si>
    <t>BFST1220004875566 CMSX:BMRIIDJA 20260507BRINIDJA010O9917764972</t>
  </si>
  <si>
    <t>Pin Buk BCA JuandaPAN CONVINCE MITRA,</t>
  </si>
  <si>
    <t xml:space="preserve">TELKOM DIVRE2  02183700953     02 PAN CONVINCE MITRA  0232055350285999 </t>
  </si>
  <si>
    <t>BRI BPJS Mtg Solo SPJ               DEDI PURWANTO SE,</t>
  </si>
  <si>
    <t xml:space="preserve">TELKOM DIVRE2  02183700926     02 PAN CONVINCE MITRA  0232055350285999 </t>
  </si>
  <si>
    <t>UBP60215001202FFFFFF041608795642306 : PPn Masa Nopember 2025</t>
  </si>
  <si>
    <t xml:space="preserve">00131868351F SAP1900924106 /CSR/2026 1018 HMS CSR/ </t>
  </si>
  <si>
    <t xml:space="preserve">TELKOM DIVRE2  02183700872     02 PAN CONVINCE MITRA  0232055350285999 </t>
  </si>
  <si>
    <t>PPn Masa Nopember 2025</t>
  </si>
  <si>
    <t>BRI Mudik Bersama BUMN</t>
  </si>
  <si>
    <t>153/252/PCMI/AR/IV/2026</t>
  </si>
  <si>
    <t xml:space="preserve">CA-01/26 Patrice    00001  BRINIDJA/MARIA PATRICIA SUGAM </t>
  </si>
  <si>
    <t xml:space="preserve">BFST5350285999 CMSX:CENAIDJA </t>
  </si>
  <si>
    <t xml:space="preserve">TELKOM DIVRE2  02183700854     02 PAN CONVINCE MITRA  0232055350285999 </t>
  </si>
  <si>
    <t>Mandiri Mid Plaza to Non Cash Bank</t>
  </si>
  <si>
    <t>CA-01/26</t>
  </si>
  <si>
    <t>Dipinjam PCMI BCA 666 DAVID HARSAMTO,</t>
  </si>
  <si>
    <t>Patrice</t>
  </si>
  <si>
    <t>20260122BMRIIDJA010O9932914447</t>
  </si>
  <si>
    <t xml:space="preserve">TELKOM DIVRE2  02183700934     02 PAN CONVINCE MITRA  0232055350285999 </t>
  </si>
  <si>
    <t>Shell Japan F1 Trip SPJ 28Mar   PRAJA SAPUTRA S</t>
  </si>
  <si>
    <t xml:space="preserve">BFST112501000255301PAN CONVINCE:BMRIIDJA </t>
  </si>
  <si>
    <t>UBP60212399902FFFFFF422150605000 : BPJS Tenaga Kerja</t>
  </si>
  <si>
    <t xml:space="preserve">BI-FAST CR TRANSFER   DR 008 PAN CONVINCE MITRA    </t>
  </si>
  <si>
    <t>Shell Japan Formula 1 Trip</t>
  </si>
  <si>
    <t>Pin Buk BCA 666   PAN CONVINCE MITRA,'0000,36550000.00,CR,36600000.47</t>
  </si>
  <si>
    <t>BPJS Tenaga Kerja</t>
  </si>
  <si>
    <t>KK 5534790180165003CMSX55</t>
  </si>
  <si>
    <t xml:space="preserve">Refund Panconvince (MCM InhouseTrf  DARI PANTRAVEL </t>
  </si>
  <si>
    <t>MandiriMudikBersamPIC Load+Runner   DEDI PURWANTO SE,'0000,5500000.00,DB,31100000.47</t>
  </si>
  <si>
    <t xml:space="preserve">BRI BPJS Mtg Solo Cash Ops BRI Team  DEDI PURWANTO SE </t>
  </si>
  <si>
    <t>UBP60215001202FFFFFF041636826958565 : Pembayaran Surat Tagihan Denda dan bunga PPH Badan 2024</t>
  </si>
  <si>
    <t>MandiriMudikBersamCrew Prod+Runners M RIZKY AULIA,'0000,8500000.00,DB,22600000.47</t>
  </si>
  <si>
    <t>UBP60215001202FFFFFF041675165816265 : PPn Masa Desember 2025 - Kurang Bayar</t>
  </si>
  <si>
    <t>MandiriMudikBersamSPJ 3D Kemenag+GBKANALITA YULISTYA C,'0000,1200000.00,DB,21400000.47</t>
  </si>
  <si>
    <t xml:space="preserve">BRI Kunker KXI Bdg Dok PhotoVideo  MUHAMAD ARIF SUBAR </t>
  </si>
  <si>
    <t>PPn Masa Desember 2025</t>
  </si>
  <si>
    <t>MandiriMudikBersamSPJ 5D            ALEXADRUS NULIADY,'0000,2000000.00,DB,19400000.47</t>
  </si>
  <si>
    <t xml:space="preserve">TSel Market Visit Al00069   BNINIDJA/ANITA HERMAWATI </t>
  </si>
  <si>
    <t>SAP1901297074 109/PCMI/A 1321 SCD SPS</t>
  </si>
  <si>
    <t xml:space="preserve">BRI Kunker BAKN KB Dok Photo Video  MUHAMAD ARIF SUBAR </t>
  </si>
  <si>
    <t>Telkomsel Market Visit All Branch Regional SumBagTeng Q4 2025</t>
  </si>
  <si>
    <t>Himbara Kunjungan Kerja Medan BRI BTN</t>
  </si>
  <si>
    <t>109/268/PCMI/AR/V/2026</t>
  </si>
  <si>
    <t>MandiriMudikBersamSPJ 2D            ALIF FAREZA,'0000,800000.00,DB,18600000.47</t>
  </si>
  <si>
    <t>BFST1220004875566 CMSX:BMRIIDJA 20260617BRINIDJA010O9946383080</t>
  </si>
  <si>
    <t xml:space="preserve">Mandiri JurXtraSol GoodieBags Dll  MUHAMMAD ANGGARA D </t>
  </si>
  <si>
    <t>MandiriMudikBersamSPJ 4D            MUHAMMAD FADLI AKB,'0000,1600000.00,DB,17000000.47</t>
  </si>
  <si>
    <t xml:space="preserve">Shell Japan F1 Trip, 00058  MCM InhouseTrf  KE PANTRAVEL </t>
  </si>
  <si>
    <t xml:space="preserve">Mandiri JurXtraSol Add Giant Flower  INGKITA WINDI ASMA </t>
  </si>
  <si>
    <t>MandiriMudikBersamSPJ 5D            ADUN SOPANDI,'0000,2000000.00,DB,15000000.47</t>
  </si>
  <si>
    <t xml:space="preserve">20260128BMRIIDJA010O9934323797 </t>
  </si>
  <si>
    <t>BFST5350285999 CMSX:CENAIDJA 20260617BRINIDJA010O9946377848</t>
  </si>
  <si>
    <t xml:space="preserve">Shell Hexindo KL Package LA+Htl  DUA PILAR BERSAMA </t>
  </si>
  <si>
    <t>MandiriMudikBersamSPJ 2D            SUTARNO,'0000,800000.00,DB,14200000.47</t>
  </si>
  <si>
    <t xml:space="preserve">TSel Leadership Plan00082   BNINIDJA/KINARYA SELARAS PIRANTI </t>
  </si>
  <si>
    <t>Shell Hexindo Trip Kuala Lumpur</t>
  </si>
  <si>
    <t xml:space="preserve">Mandiri JurXtraSol GiantFlower Decor  TATANG TARYANTO </t>
  </si>
  <si>
    <t>MandiriMudikBersamSPJ 4D            SUPRIYADI,'0000,600000.00,DB,13600000.47</t>
  </si>
  <si>
    <t>Telkomsel Leadership Plan and Ops Continuity Q1 2026</t>
  </si>
  <si>
    <t>BFST1220004875566 CMSX:BMRIIDJA 20260617BRINIDJA010O9946379855</t>
  </si>
  <si>
    <t xml:space="preserve">TSel Orbit HH Q4, 16 00083 MCM InhouseTrf  KE TOKOLARI MITRA KREASI </t>
  </si>
  <si>
    <t xml:space="preserve">Mandiri JurXtraSol Diffuser&amp;Ess Oil  RICHARD KARL </t>
  </si>
  <si>
    <t>MandiriMudikBersamSPJ 3D            MUHAMMAD UJER AWAL,'0000,450000.00,DB,13150000.47</t>
  </si>
  <si>
    <t>MandiriMudikBersamSPJ 3D            FRIDA ACHMADI,'0000,1500000.00,DB,11650000.47</t>
  </si>
  <si>
    <t xml:space="preserve">BRI Kunker KXI Bdg Prod Hilton 30Jan  M ILYAS ROHMAN </t>
  </si>
  <si>
    <t>BFST1220004875566     CMSX:BMRIIDJA 20260619BRINIDJA010O9921076774</t>
  </si>
  <si>
    <t xml:space="preserve">20260128BMRIIDJA010O9934323799 </t>
  </si>
  <si>
    <t>MandiriMudikBersamSPJ 2D            HERI HERMAWAN,'0000,800000.00,DB,10850000.47</t>
  </si>
  <si>
    <t xml:space="preserve">Shell Hexindo KL 2 Passport 10Th  ALEXADRUS NULIADY </t>
  </si>
  <si>
    <t xml:space="preserve">TSel Leadership Plan00070  BNINIDJA/KINARYA SELARAS PIRANTI </t>
  </si>
  <si>
    <t>MandiriMudikBersamSPJ 3D            DIMAS DANANG JOYO,'0000,1200000.00,DB,9650000.47</t>
  </si>
  <si>
    <t>BFST112501000255301PAN CONVINCE:BMRIIDJA 20260622BMRIIDJA010O9935499568 ESB:BFST:0008N:20260622FASTIDJA010440527</t>
  </si>
  <si>
    <t xml:space="preserve">BRI Kunker KXI Bdg Sewa Mobil 2Days  MAMAN SULAEMAN </t>
  </si>
  <si>
    <t xml:space="preserve">20260128BMRIIDJA010O9934323951 </t>
  </si>
  <si>
    <t>MandiriMudikBersamSPJ 3D            M RIZKY AULIA,'0000,1200000.00,DB,8450000.47</t>
  </si>
  <si>
    <t>KK  5534790180132102CMSX5534790180132102  ESB:CMSX:0300Y00P:MP0027412236</t>
  </si>
  <si>
    <t xml:space="preserve">BRI Kunker KXI Bdg Live Cam 30 Jan  BADRU SALAM </t>
  </si>
  <si>
    <t xml:space="preserve">Pin Buk BCA Juanda  CENAIDJA/PAN CONVINCE MITRA INTER </t>
  </si>
  <si>
    <t>MandiriMudikBersamSPJ 3D            YOGI PURWO WIDODO,'0000,1200000.00,DB,7250000.47</t>
  </si>
  <si>
    <t>KK  5534790100867506CMSX5534790100867506  ESB:CMSX:0300Y00P:MP0027412237</t>
  </si>
  <si>
    <t xml:space="preserve">Pulsa Hp Jan REVIANA VERONICA P  </t>
  </si>
  <si>
    <t>MandiriMudikBersamSPJ 5D            MARIA PATRICIA SUG,'0000,2000000.00,DB,5250000.47</t>
  </si>
  <si>
    <t xml:space="preserve">20260128BMRIIDJA010O9934325037 </t>
  </si>
  <si>
    <t>Reviana</t>
  </si>
  <si>
    <t xml:space="preserve">Mandiri JurXtraSol DP Prod 5feb  ROBERTUS BELLARMIN </t>
  </si>
  <si>
    <t>MandiriMudikBersamSPJ 5D            DEDI PURWANTO SE,'0000,2000000.00,DB,3250000.47</t>
  </si>
  <si>
    <t xml:space="preserve">Pin Buk BCA Juanda CENAIDJA/PAN CONVINCE MITRA INTER </t>
  </si>
  <si>
    <t>Overtime Mar      MUHAMMAD UJER AWAL,'0000,870000.00,DB,2380000.47</t>
  </si>
  <si>
    <t xml:space="preserve">TSel Sum OnGround Room Bfast 3-5 Feb  an Riedho Agustian SETRA GITA NUSANTA </t>
  </si>
  <si>
    <t>00135957611F SAP1901390956 129/PCMI/A 1408 SCD SPS Ke</t>
  </si>
  <si>
    <t xml:space="preserve">20260128BMRIIDJA010O9934325039 </t>
  </si>
  <si>
    <t>Himbara FGD Fairmont 2026</t>
  </si>
  <si>
    <t>Overtime Mar      SUKANDA,'0000,1330000.00,DB,1050000.47</t>
  </si>
  <si>
    <t>129/288/PCMI/AR/VI/2026</t>
  </si>
  <si>
    <t xml:space="preserve">BRI Kunker BAKN KB Print,LED,Runner  M ILYAS ROHMAN </t>
  </si>
  <si>
    <t xml:space="preserve">CA-003/26 Patrice MCM Outw CN  MARIA PATRICIA SUGAM </t>
  </si>
  <si>
    <t>BFST5350285999  CMSX:CENAIDJA 20260630BRINIDJA010O9939460247</t>
  </si>
  <si>
    <t>Overtime Mar      SUPRIYADI,'0000,600000.00,DB,450000.47</t>
  </si>
  <si>
    <t>CA-03/26</t>
  </si>
  <si>
    <t xml:space="preserve">CA-05/26 Yogi YOGI PURWO WIDODO  </t>
  </si>
  <si>
    <t xml:space="preserve">Clearing Fee </t>
  </si>
  <si>
    <t>BFST5350285999        CMSX:CENAIDJA 20260630BRINIDJA010O9939460247</t>
  </si>
  <si>
    <t>CA-05/26</t>
  </si>
  <si>
    <t>Overtime Mar      ADUN SOPANDI,'0000,400000.00,DB,50000.47</t>
  </si>
  <si>
    <t>Yogi</t>
  </si>
  <si>
    <t xml:space="preserve">Lunas Upgrade Sys ANDIKA MULIA  </t>
  </si>
  <si>
    <t>BFST1220004875566     CMSX:BMRIIDJA 20260630BRINIDJA010O9939462011</t>
  </si>
  <si>
    <t xml:space="preserve">OCBC Visa JT-3Feb    NISPIDJA/DAVID HARSAMTO </t>
  </si>
  <si>
    <t xml:space="preserve">Reimb Kas Kecil TIKA RISKI ASTARI  </t>
  </si>
  <si>
    <t>Ticket Garuda CGKSRGYUDITAMA : WA FA 21May - Refund Tix dari GA - Trimegah Training Camp Semarang 2026</t>
  </si>
  <si>
    <t>BFST5350285999        CMSX:CENAIDJA 20260630BRINIDJA010O9939585610</t>
  </si>
  <si>
    <t xml:space="preserve">20260130BMRIIDJA010O9934821231  </t>
  </si>
  <si>
    <t xml:space="preserve">Mandiri JurXtraSol Microsite  AGUS SHODIKIN </t>
  </si>
  <si>
    <t>Top Up OCBC Visa  NISPIDJA/DAVID HARSAMTO</t>
  </si>
  <si>
    <t xml:space="preserve">TSel Sum OnGround 2Rms 3-5Feb  SETRA GITA NUSANTA </t>
  </si>
  <si>
    <t>BFST5350285999        CMSX:CENAIDJA 20260630BRINIDJA010O9939680311</t>
  </si>
  <si>
    <t>AR StaffLoan PrajaDAVID HARSAMTO</t>
  </si>
  <si>
    <t>Refund CA00004 an Yogi TIKA RISKI ASTARI</t>
  </si>
  <si>
    <t xml:space="preserve">20260130BMRIIDJA010O9934826952 </t>
  </si>
  <si>
    <t>F 1138 ABU AprilFRIDA ACHMADI</t>
  </si>
  <si>
    <t>00136415721F SAP1901454458 172/PCMI/A 1456 SCD SPS Ec</t>
  </si>
  <si>
    <t xml:space="preserve">Refund Panconvince (  MCM InhouseTrf  DARI PANTRAVEL </t>
  </si>
  <si>
    <t xml:space="preserve">Mandiri JurXtraSol MC 5 Feb MOHAMAD TOMI IMAM  </t>
  </si>
  <si>
    <t>Himbara Konsinyering Pontianak 2026</t>
  </si>
  <si>
    <t>TSel WS RBA SumSPJ 1D+4DDEDI PURWANTO SE</t>
  </si>
  <si>
    <t>172/294/PCMI/AR/VI/2026</t>
  </si>
  <si>
    <t xml:space="preserve">BFST112501000255301PAN CONVINCE:BMRIIDJA 20260707BMRIIDJA010O9931328112 </t>
  </si>
  <si>
    <t>Biaya Adm</t>
  </si>
  <si>
    <t xml:space="preserve">TSel E2E Div AC H1 LO 5-6Feb RAKA DRAJAT PUTRA  </t>
  </si>
  <si>
    <t>BI-FAST CR TRANSFER DR 008 FEBRIYANTI NASUTIO : RP. 43.000.000</t>
  </si>
  <si>
    <t xml:space="preserve">BFST112501000255301PAN CONVINCE:BMRIIDJA 20260707BMRIIDJA010O9931328123 </t>
  </si>
  <si>
    <t xml:space="preserve">Mandiri JurXtraSol Paket Oleh2 MARIA PATRICIA SUG  </t>
  </si>
  <si>
    <t xml:space="preserve">Byr AP Loan 12-Mar Part-3 CN_TO_DAVID HARSAMTO </t>
  </si>
  <si>
    <t>BRI Sahardjo to BCA Sahardjo</t>
  </si>
  <si>
    <t xml:space="preserve">CA-08/26 Yogi YOGI PURWO WIDODO   </t>
  </si>
  <si>
    <t>Byr AP Loan 12-Mar Part-3 CN_TO_DAVID HARSAMTO</t>
  </si>
  <si>
    <t>CA-08/26</t>
  </si>
  <si>
    <t>BFST121810088017 CMSX:NISPIDJA 20260707BRINIDJA010O990</t>
  </si>
  <si>
    <t xml:space="preserve">TRANSFER OR VIA IB SUMITOMO MITSUI BA JPY     4502400.00 JCM CORPORATION LT  </t>
  </si>
  <si>
    <t>BFST112501000255301PAN CONVINCE:BMRIIDJA</t>
  </si>
  <si>
    <t>KK  5534790180132102CMSX5534790180132102</t>
  </si>
  <si>
    <t xml:space="preserve">FEE TELEX OR SUMITOMO MITSUI BA JCM CORPORATION LT   </t>
  </si>
  <si>
    <t>Abonemen 072026 CMS PAN CONVINCE MI T:0374891:CMS</t>
  </si>
  <si>
    <t xml:space="preserve">FEE FULL AMT OR SUMITOMO MITSUI BA JCM CORPORATION LT   </t>
  </si>
  <si>
    <t>Abonemen 062026 CMS PAN CONVINCE MI T:0374891:CMS</t>
  </si>
  <si>
    <t xml:space="preserve">BI-FAST CR TRANSFER   DR 008 SATU VISI PRODUKTA     </t>
  </si>
  <si>
    <t>BFST112501000255301PAN CONVINCE:BMRIIDJA 20260721</t>
  </si>
  <si>
    <t xml:space="preserve">103/212/PCMI/AR/II/2026	</t>
  </si>
  <si>
    <t>BMSPRO26205144535_0391_ADBT_553479018016</t>
  </si>
  <si>
    <t xml:space="preserve">BTN FGD Cirb KXI Sisa Budget Helda TIKA RISKI ASTARI  </t>
  </si>
  <si>
    <t xml:space="preserve">BRI Kunker BAKN KB SisaBudgetAtuyAdna TIKA RISKI ASTARI  </t>
  </si>
  <si>
    <t xml:space="preserve">BRI Kunker BAKN KB Lunas Produksi M ILYAS ROHMAN  </t>
  </si>
  <si>
    <t xml:space="preserve">Mandiri JurXtraSol PIC Logistik+Ongki MUHAMAD IYAN SURYA  </t>
  </si>
  <si>
    <t>KK 5534790154866511CMSX5534790154866511</t>
  </si>
  <si>
    <t xml:space="preserve">Mandiri JurXtraSol Fee PIC Dekor 2D AJENG PUTRI HARYAN  </t>
  </si>
  <si>
    <t>00138543211F SAP1901674345 189/PCMI/A 1639 SCD SPS Kg</t>
  </si>
  <si>
    <t xml:space="preserve">Mandiri JurXtraSol Team ShowMgt GD TEUKU DONNYA SYAHP  </t>
  </si>
  <si>
    <t>BRI BSBI Kunjungan Kerja Banyuwangi</t>
  </si>
  <si>
    <t>189/315/PCMI/AR/VII/2026</t>
  </si>
  <si>
    <t>Deposit Event Loading MB Konsinyering 07 IFT_TO_PAN CONVINCE MITRA I</t>
  </si>
  <si>
    <t>Deposit Loading Menara Brilian</t>
  </si>
  <si>
    <t xml:space="preserve">Med Allowance AH Mt Elizabeth MC RD HIDIANITJE DRA  </t>
  </si>
  <si>
    <t>Gemalindo Kreasi Indonesia CN_TO_RD HIDIANITJE DRA</t>
  </si>
  <si>
    <t>BFST1220004875566 CMSX:BMRIIDJA</t>
  </si>
  <si>
    <t xml:space="preserve">BRI Kunker KXI Bdg SisaBudgetAtuyAdna TIKA RISKI ASTARI  </t>
  </si>
  <si>
    <t>00139541031F SAP1901781763 99/PCMI/AR O072_PENY TENDA</t>
  </si>
  <si>
    <t xml:space="preserve">laporan CA 05 2026 Yogi YOGI PURWO WIDODO  </t>
  </si>
  <si>
    <t>BRI Kunjungan Ibu Wapres Seruni ke Padang</t>
  </si>
  <si>
    <t>099/286/PCMI/AR/V/2026</t>
  </si>
  <si>
    <t xml:space="preserve">Lebih bayar CA 26 00002 Juragan M RIZKY AULIA  </t>
  </si>
  <si>
    <t>CA-02/26</t>
  </si>
  <si>
    <t>Internet Feb MORA TELEMATIKA IN : RP. 3.815.000</t>
  </si>
  <si>
    <t>ADBT 0000000000320321 61602498 AUTOCORP</t>
  </si>
  <si>
    <t xml:space="preserve">146/PCMI/AR/IV/2026	</t>
  </si>
  <si>
    <t>Abonemen 082026 CMS PAN CONVINCE MIT</t>
  </si>
  <si>
    <t xml:space="preserve">147/PCMI/AR/IV/2026	</t>
  </si>
  <si>
    <t>Abonemen 052026 CMS PAN CONVINCE MIT</t>
  </si>
  <si>
    <t>BFST5350285999 CMSX:CENAIDJA</t>
  </si>
  <si>
    <t>PPn Masa Feb-26</t>
  </si>
  <si>
    <t xml:space="preserve">148/PCMI/AR/IV/2026	</t>
  </si>
  <si>
    <t>BI-FAST DB TRANSFER   KE 008 PAN CONVINCE MITRAKBI,</t>
  </si>
  <si>
    <t xml:space="preserve">BRI Kunke KXI Bdg Show Mgt 2D TEUKU DONNYA SYAHP  </t>
  </si>
  <si>
    <t>BI-FAST DB BIAYA TXN  KE 008 PAN CONVINCE MITRAKBI,</t>
  </si>
  <si>
    <t>Minimum Balance Fee</t>
  </si>
  <si>
    <t xml:space="preserve">BRI KunKerBAKN KB Show Mgt 2D TEUKU DONNYA SYAHP  </t>
  </si>
  <si>
    <t xml:space="preserve">BRI Farewell Lunch Hadiah Pemenang MARIA PATRICIA SUG  </t>
  </si>
  <si>
    <t xml:space="preserve">BRI Farewell Lunch MC 8Feb Agusman MARIA PATRICIA SUG  </t>
  </si>
  <si>
    <t xml:space="preserve">Himbara KunKer Mdn Cetak Jilid materi MARIA PATRICIA SUG  </t>
  </si>
  <si>
    <t>BI-FAST CR TANGGAL :15/05    TRANSFER   DR 008 PAN CONVINCE MITRA,</t>
  </si>
  <si>
    <t>Photo Copy Feb OSC OFFICE MACHINE : Rp. 736.486</t>
  </si>
  <si>
    <t>Overtime April    MUHAMMAD UJER AWAL,</t>
  </si>
  <si>
    <t>Bunga</t>
  </si>
  <si>
    <t>Overtime April    SUKANDA,</t>
  </si>
  <si>
    <t>Overtime April    SUPRIYADI,</t>
  </si>
  <si>
    <t xml:space="preserve">BRI BPJS Mtg Solo Oleh2 solofloss MARIA PATRICIA SUG  </t>
  </si>
  <si>
    <t xml:space="preserve">Pajak </t>
  </si>
  <si>
    <t xml:space="preserve">BRI BPJS Mtg Solo Oleh2 MARIA PATRICIA SUG  </t>
  </si>
  <si>
    <t xml:space="preserve">UOB Master JT5Feb  BBIJIDJA/DAVID HARSAMTO </t>
  </si>
  <si>
    <t xml:space="preserve">BRI Kunj Wapres Cash Felik TIKA RISKI ASTARI  </t>
  </si>
  <si>
    <t>Overtime April    ADUN SOPANDI,</t>
  </si>
  <si>
    <t>BRI Kunjungan Ibu Wapres SERUNI ke Padang</t>
  </si>
  <si>
    <t xml:space="preserve">TSel ANO Sum NF LO Fee+Trans+ApoAs HARI SUSANTO  </t>
  </si>
  <si>
    <t>BRI Sos KPP PontiaSPJ 3D            MARIA PATRICIA SUG,</t>
  </si>
  <si>
    <t>BRI Sosialisasi KPP Pontianak</t>
  </si>
  <si>
    <t>BRI SAR LivingCostSPJ 1D 9-Apr      SUPRIYADI,</t>
  </si>
  <si>
    <t>B2313BRN Feb AUTORENT LANCAR SE : RP. 5.014.000</t>
  </si>
  <si>
    <t xml:space="preserve">DBS Visa White JT4Fe DBSBIDJA/DAVID HARSAMTO </t>
  </si>
  <si>
    <t>BRI SAR Living Cost Haji</t>
  </si>
  <si>
    <t>TSel WS RBA Sum   SPJ 1+4 Days      MARIA PATRICIA SUG,</t>
  </si>
  <si>
    <t>HimbaraKunKerMedanSPJ 3D +Meals     MARIA PATRICIA SUG,</t>
  </si>
  <si>
    <t xml:space="preserve">20260201BMRIIDJA010O9935232289 </t>
  </si>
  <si>
    <t>TSel ANO Sum NF   SPJ 2D+1D         MARIA PATRICIA SUG,</t>
  </si>
  <si>
    <t xml:space="preserve">20260201BMRIIDJA010O9935232292  </t>
  </si>
  <si>
    <t>BRI BPJS Mtg Solo SPJ 2D+2D         MARIA PATRICIA SUG,</t>
  </si>
  <si>
    <t>N2UEEF INV-PDU-251230-00937515 DARI SINAR DIGITAL TERDEP : pengembalian bukti potong dr Padi</t>
  </si>
  <si>
    <t>BRI Kunker BAKN KB DP 50% Prod M ILYAS ROHMAN : Double Bayar - Retur 25-Feb</t>
  </si>
  <si>
    <t>MandiriJurXtraSoloSPJ 1D+3D         MARIA PATRICIA SUG,</t>
  </si>
  <si>
    <t>Padi Telkom</t>
  </si>
  <si>
    <t>BRI Kunker KXI BdgSPJ 2D            MARIA PATRICIA SUG,</t>
  </si>
  <si>
    <t xml:space="preserve">TSel ANO Sum NF SoundSys&amp;Genset MARIA PATRICIA SUG  </t>
  </si>
  <si>
    <t>CA-06/26 Lita MCM InhouseTrf  KE ANALITA YULISTYA C</t>
  </si>
  <si>
    <t>BRI Kunker BAKN KBSPJ 2D            MARIA PATRICIA SUG,</t>
  </si>
  <si>
    <t>CA-06/26</t>
  </si>
  <si>
    <t>Lita</t>
  </si>
  <si>
    <t xml:space="preserve">BRI Kunj IbuWapres Tenda Req Inu BRI MARIA PATRICIA SUG  </t>
  </si>
  <si>
    <t>Pin Buk BCA Juanda  CENAIDJA/PAN CONVINCE MITRA INTER</t>
  </si>
  <si>
    <t>HimbaraKunKerMedanSPJ 3D+Meals      ANALITA YULISTYA C,</t>
  </si>
  <si>
    <t xml:space="preserve">Mandiri JurXtraSol Lunas Produksi ROBERTUS BELLARMIN  </t>
  </si>
  <si>
    <t>20260204BMRIIDJA010O9935976145</t>
  </si>
  <si>
    <t>TSel WS RBA Sum   SPJ 1D+4D         YOGI PURWO WIDODO,</t>
  </si>
  <si>
    <t>BRI Sos KPP Ponti SPJ 3D            DEDI PURWANTO SE,</t>
  </si>
  <si>
    <t xml:space="preserve">20260204BMRIIDJA010O9935976150 </t>
  </si>
  <si>
    <t>AR StaffLoan KandaSUKANDA,'0000,2000000.00,DB,12800000.47</t>
  </si>
  <si>
    <t xml:space="preserve">BRI Farewell GH Crew Event 8Feb MOCH SUPRIYADI  </t>
  </si>
  <si>
    <t>AR Cash Advance</t>
  </si>
  <si>
    <t>CA-00/26 Sukanda</t>
  </si>
  <si>
    <t>UBP602123998028000008988890000030956 : BPJS Kesehatan - Jan dan Feb</t>
  </si>
  <si>
    <t>F 1138 ABU May    FRIDA ACHMADI,</t>
  </si>
  <si>
    <t xml:space="preserve">BRI Farewell GH PIC Event 7-8Feb AJENG PUTRI HARYAN  </t>
  </si>
  <si>
    <t>BPJS Kesehatan</t>
  </si>
  <si>
    <t>Jan dan Feb</t>
  </si>
  <si>
    <t>Mandiri OutingBaliApo Handling 1May PRAJA SAPUTRA S,</t>
  </si>
  <si>
    <t>Mandiri Outing Bali</t>
  </si>
  <si>
    <t>Mandiri OutingBaliApo Handling 1May ANALITA YULISTYA C,</t>
  </si>
  <si>
    <t xml:space="preserve">Mandiri JurXtraSol MultiMediaContent BUDI UTOMO  </t>
  </si>
  <si>
    <t>Mandiri Kons BPN  SPJ 3D 6-8 May    ANALITA YULISTYA C,</t>
  </si>
  <si>
    <t>003/198/PCMI/AR/I/2026</t>
  </si>
  <si>
    <t>BRI KunKer Ibu Wapre00129   BRINIDJA/MDP PERSADA NUSANTAR : Rp. 228.225.000</t>
  </si>
  <si>
    <t>Mandiri Konsinyering Balikpapan</t>
  </si>
  <si>
    <t xml:space="preserve">BRI KunkerBAKN Bdg GoodieBagsCanvas MUHAMMAD ANGGARA D  </t>
  </si>
  <si>
    <t>Mandiri Konsy BPN SPJ 4D 5-8May     M RIZKY AULIA,</t>
  </si>
  <si>
    <t>Mandiri Konys BPN SPJ 3D 6-8 May    FRIDA ACHMADI,</t>
  </si>
  <si>
    <t xml:space="preserve">Himbara BRIBTN Mdn GoodieBagsBatik MUHAMMAD ANGGARA D  </t>
  </si>
  <si>
    <t>Himbara Kons PontiSPJ 4D 5-8 May    ALEXADRUS NULIADY,</t>
  </si>
  <si>
    <t>BI-FAST CR TRANSFER   DR 008 PAN CONVINCE MITRA,</t>
  </si>
  <si>
    <t xml:space="preserve">F 1138 ABU Feb FRIDA ACHMADI   </t>
  </si>
  <si>
    <t>TSel ANO Sum NF 4Hiace+1Avansa HARI SUSANTO : Rp. 13.014.400</t>
  </si>
  <si>
    <t>Mandiri OutingBaliSPJ3D 30Apr1-3MayALEXADRUS NULIADY,</t>
  </si>
  <si>
    <t>Himbara KonsyPontiSPJ 4D 5-8May     MARIA PATRICIA SUG,</t>
  </si>
  <si>
    <t>Himbara Konsinyering Pontianak</t>
  </si>
  <si>
    <t>Mandiri OutingBaliSPJ4D 30Apr1-3MayMARIA PATRICIA SUG,</t>
  </si>
  <si>
    <t>Byr AP Loan 7-Apr BCA Sho DAVID HARSAMTO</t>
  </si>
  <si>
    <t xml:space="preserve">20260206BMRIIDJA010O9936771406  </t>
  </si>
  <si>
    <t>BI-FAST DB TRANSFER   KE 008 PAN CONVINCE MITRAKBI, Pin Buk Mandiri MP 21-May Retur</t>
  </si>
  <si>
    <t>UBP60215001202FFFFFF041734140721304 : PPh-21 Karyawan, Masa Desember 2025 (Kurang Bayar)</t>
  </si>
  <si>
    <t xml:space="preserve">Shell Visit KUL, 012 00052 MCM InhouseTrf  KE PANTRAVEL </t>
  </si>
  <si>
    <t>Pin Buk BCA JuandaPAN CONVINCE MITRA</t>
  </si>
  <si>
    <t xml:space="preserve">TSel ANO Sum NF Show D 12Feb TEUKU DONNYA SYAHP  </t>
  </si>
  <si>
    <t>Sewa Gedung Januari  00029 MCM InhouseTrf  KE PANTRAVEL : Rp. 18.198.198</t>
  </si>
  <si>
    <t>Dipinjam PCMI     BCA Sho           DAVID HARSAMTO</t>
  </si>
  <si>
    <t xml:space="preserve">TSel ANO Sum NF ShowMgt, Dll ZEHRA BALINA  </t>
  </si>
  <si>
    <t>Salary PCMI May   DAVID HARSAMTO</t>
  </si>
  <si>
    <t>May</t>
  </si>
  <si>
    <t>Office Rent</t>
  </si>
  <si>
    <t>TSel ANO Sum NF Lighting+LED TV ZEHRA BALINA : Rp. 9.805.000</t>
  </si>
  <si>
    <t>AR StaffLoanFriedaDAVID HARSAMTO</t>
  </si>
  <si>
    <t>PPh-4 Ayat 2 BuPot 2026</t>
  </si>
  <si>
    <t>Pantravel</t>
  </si>
  <si>
    <t xml:space="preserve">Shell Visit KUL, 012 00041  MCM InhouseTrf  KE PANTRAVEL </t>
  </si>
  <si>
    <t xml:space="preserve">TSel Leadership Plan 00071  MCM InhouseTrf  KE PANTRAVEL </t>
  </si>
  <si>
    <t xml:space="preserve">Top Up OCBC Visa  NISPIDJA/DAVID HARSAMTO </t>
  </si>
  <si>
    <t>Pin Buk BCA Juanda PAN CONVINCE MITRA</t>
  </si>
  <si>
    <t xml:space="preserve">20260206BMRIIDJA010O9936869459 </t>
  </si>
  <si>
    <t>Pulsa HP AprMayJunFRIDA ACHMADI,</t>
  </si>
  <si>
    <t>SPT PPH Masa Januari 2026 ID Billing 041783171446810 : Rp. 2.262.254</t>
  </si>
  <si>
    <t>TSel FB RM DigiadsSPJ Mtg Dinner    YOGI PURWO WIDODO,</t>
  </si>
  <si>
    <t xml:space="preserve">AR Loan for Visa RD HIDIANITJE   </t>
  </si>
  <si>
    <t>Telkomsel FB, Reward and Merch Digiads</t>
  </si>
  <si>
    <t>Trimegah TC 26    SPJ 2D + 3D       MARIA PATRICIA SUG,</t>
  </si>
  <si>
    <t>Pegembalian DP 50% BRI KUNKER KBB M ILYAS ROHMAN : Retur, Double Bayar 20-Feb</t>
  </si>
  <si>
    <t>Trimegah TC 26    SPJ 1D+3D         M RIZKY AULIA,</t>
  </si>
  <si>
    <t>Shell Bali PvtTrip TourPack 4D3N 7Pax BPW SAHADEWA BASUN : Rp. 21.352.320</t>
  </si>
  <si>
    <t>Trimegah TC 26    SPJ 2D+3D         ALEXADRUS NULIADY,</t>
  </si>
  <si>
    <t>Trimegah TC 26    Apo Handling 22MayANALITA YULISTYA C,</t>
  </si>
  <si>
    <t>Trimegah TC 26    Apo Handling 22MayPRAJA SAPUTRA S,</t>
  </si>
  <si>
    <t xml:space="preserve">Mandiri JurXtraSol 4 Ushers+Uniform TRI OKTAVIANI  </t>
  </si>
  <si>
    <t>F 1138 ABU June   FRIDA ACHMADI,</t>
  </si>
  <si>
    <t xml:space="preserve">LLG-BRI PT PAN CONVINCE MI Pin Buk BCA Juanda 260227001435988031   </t>
  </si>
  <si>
    <t xml:space="preserve">LLG-BRI PT PAN CONVINCE MI Pin Buk BCA Juanda 260227001435988097   </t>
  </si>
  <si>
    <t>AXA AFI Rental LEDSPJ 2D 10-11Jun   M RIZKY AULIA,</t>
  </si>
  <si>
    <t>AXA AFI Rental LED Screen</t>
  </si>
  <si>
    <t>AXA AFI Rental LEDSPJ 2D 10-11Jun   MUHAMMAD FADLI AKB,</t>
  </si>
  <si>
    <t xml:space="preserve">sisa CA 0009 MARIA PATRICIA SUG  </t>
  </si>
  <si>
    <t>BRI KunkerBAKN UPGSPJ 2D+2D         MARIA PATRICIA SUG,</t>
  </si>
  <si>
    <t>BRI Kunjungan Kerja BAKN Ujung Pandang</t>
  </si>
  <si>
    <t>Overtime May      SUPRIYADI,</t>
  </si>
  <si>
    <t>CA-09/26</t>
  </si>
  <si>
    <t xml:space="preserve">CA-11/26 Yogi YOGI PURWO WIDODO  </t>
  </si>
  <si>
    <t>Overtime May      MUHAMMAD UJER AWAL,</t>
  </si>
  <si>
    <t>PPh-23 BuPot 2025</t>
  </si>
  <si>
    <t>CA-11/26</t>
  </si>
  <si>
    <t xml:space="preserve">MandiriMudikBersam DP Merchandise  MUHAMMAD ANGGARA D </t>
  </si>
  <si>
    <t>Overtime May      ADUN SOPANDI,</t>
  </si>
  <si>
    <t>Overtime May      SUKANDA,</t>
  </si>
  <si>
    <t xml:space="preserve">CA-10/26 Odhey DEDI PURWANTO SE  </t>
  </si>
  <si>
    <t>CA-10/26</t>
  </si>
  <si>
    <t xml:space="preserve">DP Menu FinReport OrbitzOneSysPolicy  ANDIKA MULIA </t>
  </si>
  <si>
    <t>Pin BCA Sho       Retur 31-Mar      PAN CONVINCE MITRA,</t>
  </si>
  <si>
    <t xml:space="preserve">BI-FAST CR TRANSFER   DR 002 PAN CONVINCE MITRA    </t>
  </si>
  <si>
    <t>Pin BCA Sho       Retur 11-May      PAN CONVINCE MITRA,</t>
  </si>
  <si>
    <t xml:space="preserve">BRI Sos KPP Ponti DP Prod+ShowMgt  RISTANTY DWI PRATI </t>
  </si>
  <si>
    <t>Pin Buk BCA Sho   Retur 26-May      PAN CONVINCE MITRA,</t>
  </si>
  <si>
    <t xml:space="preserve">Pulsa HP Jan-Mar FRIDA ACHMADI  </t>
  </si>
  <si>
    <t>CA-07/26 AnalitaMCM InhouseTrf  KE ANALITA YULISTYA C</t>
  </si>
  <si>
    <t>Pin Buk BCA Sho   Retur 3-Jun       PAN CONVINCE MITRA,</t>
  </si>
  <si>
    <t>CA-07/26</t>
  </si>
  <si>
    <t xml:space="preserve">MandiriMudikBersam DP Microsite Tix  AGUS SHODIKIN </t>
  </si>
  <si>
    <t>BRI KunkerBAKN UPGSPJ 811+9-10 Jun ALEXADRUS NULIADY,</t>
  </si>
  <si>
    <t xml:space="preserve">TSel ANO Sum Network00145 SUNIIDJA/MATHIUS FELIX WATTIMENA </t>
  </si>
  <si>
    <t>BRI CSR HUT Danan Hiace 3-4 Mar  MOGANA KOMODO FANT : Rp. 2.744.000</t>
  </si>
  <si>
    <t xml:space="preserve">20260210BMRIIDJA010O9937699158 </t>
  </si>
  <si>
    <t>Dipinjam PCMI     BCA Sho           DAVID HARSAMTO,</t>
  </si>
  <si>
    <t>BRI Kunj Ibu Wapres 00157  BRINIDJA/MDP PERSADA NUSANTAR : Rp. 219.225.000</t>
  </si>
  <si>
    <t>Salary PCMI Jun   DAVID HARSAMTO,</t>
  </si>
  <si>
    <t>Jun</t>
  </si>
  <si>
    <t>AR StaffLoan FridaDAVID HARSAMTO,</t>
  </si>
  <si>
    <t>Byr APLoan Praja  DAVID HARSAMTO,</t>
  </si>
  <si>
    <t xml:space="preserve">CA-17/26 Tika TIKA RISKI ASTARI  </t>
  </si>
  <si>
    <t>BRI BSBI Kunker BySPJ 17-20Jun      MARIA PATRICIA SUG,</t>
  </si>
  <si>
    <t xml:space="preserve">20260210BMRIIDJA010O9937699160 </t>
  </si>
  <si>
    <t>CA-17/26</t>
  </si>
  <si>
    <t>BRI BSBI Kunker BySPJ 17-20 Jun     ALEXADRUS NULIADY,</t>
  </si>
  <si>
    <t>TSel Sum On Ground R00117  BSMDIDJA/AULIA AYU ASYURA</t>
  </si>
  <si>
    <t xml:space="preserve">TRANSFER OR VIA IB  SIAM COMMERCIAL BA USD        2881.00  SATHIT KASIKAMPHIB </t>
  </si>
  <si>
    <t>20260210BMRIIDJA010O9937699162</t>
  </si>
  <si>
    <t>Pin Buk BCA Sho PAN CONVINCE MITRA</t>
  </si>
  <si>
    <t>TSel FB RM Digiads SPJ 19Jun GrillRes YOGI PURWO WIDODO</t>
  </si>
  <si>
    <t xml:space="preserve">FEE TELEX OR  SIAM COMMERCIAL BA SATHIT KASIKAMPHIB  </t>
  </si>
  <si>
    <t xml:space="preserve">BIAYA ADM </t>
  </si>
  <si>
    <t xml:space="preserve">20260210BMRIIDJA010O9937699164 </t>
  </si>
  <si>
    <t xml:space="preserve">FEE FULL AMT OR  SIAM COMMERCIAL BA SATHIT KASIKAMPHIB  </t>
  </si>
  <si>
    <t>BI-FAST CR TRANSFER DR 008 PAN CONVINCE MITRA</t>
  </si>
  <si>
    <t xml:space="preserve">Penggantian Hasil Pe BNINIDJA/TELEKOMUNIKASI SELULAR </t>
  </si>
  <si>
    <t>Mandiri Mid Plaza to BCA Sahardjo</t>
  </si>
  <si>
    <t xml:space="preserve">KR OTOMATIS LLG-UOB INDONESIA GIHON TELEKOMUNIKA    </t>
  </si>
  <si>
    <t>Byr AP Loan 29-May BCA Sho DAVID HARSAMTO</t>
  </si>
  <si>
    <t xml:space="preserve">20260212BMRIIDJA010O9938190309  </t>
  </si>
  <si>
    <t>114/220/PCMI/AR/II/2026</t>
  </si>
  <si>
    <t>Byr AP Loan 27-Jun BCA Sho DAVID HARSAMTO</t>
  </si>
  <si>
    <t>BI-FAST CR TRANSFER   DR 008 SAKI HAMSAT BRAMON</t>
  </si>
  <si>
    <t xml:space="preserve">KR OTOMATIS LLG-DBS INDONESIA DHOST TELEKOMUNIKA  WORKSHOP TSEL 2026 - AREA 1 SUMATERA  11-13/FEB/2IA </t>
  </si>
  <si>
    <t xml:space="preserve">166/PCMI/AR/IV/2026	</t>
  </si>
  <si>
    <t xml:space="preserve">20260212BMRIIDJA010O9938224564 </t>
  </si>
  <si>
    <t>RTGS-PT BANK OCBC NISPIDJA/006258   DAVID HARSAMTO JALRetur PCMI BRI Sahardjo 5750489666</t>
  </si>
  <si>
    <t>112/218/PCMI/AR/II/2026</t>
  </si>
  <si>
    <t>Pin Buk BCA Juanda CENAIDJA/PAN CONVINCE MITRA INTER</t>
  </si>
  <si>
    <t>BI-FAST CR TRANSFER   DR 028 DAVID HARSAMTO</t>
  </si>
  <si>
    <t xml:space="preserve">KR OTOMATIS LLG-DBS INDONESIA PT TOWER BERSAMA  EXPN-TB-010295-26   </t>
  </si>
  <si>
    <t xml:space="preserve">20260212BMRIIDJA010O9938224566 </t>
  </si>
  <si>
    <t>Part-1 a18.000    TOM VALASINDO PT</t>
  </si>
  <si>
    <t>Telkomsel ANO Forum 2024 (Lampung)</t>
  </si>
  <si>
    <t>199/PCMI/AR/IX/2025</t>
  </si>
  <si>
    <t xml:space="preserve">PT TELEKOMUNIKASI SELULAR - 031  </t>
  </si>
  <si>
    <t>Part-2 a18.000    TOM VALASINDO PT</t>
  </si>
  <si>
    <t>Telkomsel FBP West Area</t>
  </si>
  <si>
    <t>004/199/PCMI/AR/I/2026</t>
  </si>
  <si>
    <t xml:space="preserve">Retur Sembako Pasar  00077 MCM InhouseTrf  KE GNC </t>
  </si>
  <si>
    <t>Pelunasan         DAVID HARSAMTO</t>
  </si>
  <si>
    <t xml:space="preserve">MandiriMudikBesama Meals Peserta  TIKA RISKI ASTARI </t>
  </si>
  <si>
    <t>AP Deposit from customer</t>
  </si>
  <si>
    <t>Overtime Jun      SUPRIYADI</t>
  </si>
  <si>
    <t>Overtime Jun      SUKANDA</t>
  </si>
  <si>
    <t xml:space="preserve">Retur Sembako Pasar  00077  MCM InhouseTrf  KE GNC </t>
  </si>
  <si>
    <t xml:space="preserve">MandiriMudikBersam DP UjiRam,Ijin,Dll  SUKARDI </t>
  </si>
  <si>
    <t>Overtime Jun      MUHAMMAD UJER AWAL</t>
  </si>
  <si>
    <t xml:space="preserve">Shell Japan F1 2 Visa Jepang  OKI GLENN ARMADI </t>
  </si>
  <si>
    <t>Overtime Jun      ADUN SOPANDI</t>
  </si>
  <si>
    <t>BRI Kons KomVI MB SPJ 7Jul          ALIF FAREZA,</t>
  </si>
  <si>
    <t xml:space="preserve">BI-FAST CR TRANSFER   DR 200 PAN CONVINCE MITRA    </t>
  </si>
  <si>
    <t>BRI Konsinyering Komisi VI Menara Brillian</t>
  </si>
  <si>
    <t>BRI Kons KomVI MB SPJ 6-7 Jul       MARIA PATRICIA SUG,</t>
  </si>
  <si>
    <t>BTN to BCA Juanda</t>
  </si>
  <si>
    <t>Retur Sembako Pasar  00077  MCM InhouseTrf  KE GNC</t>
  </si>
  <si>
    <t xml:space="preserve">BI-FAST CR TRANSFER   DR 213 ANTONIUS NICOLAAS    </t>
  </si>
  <si>
    <t>BRI Kons KomVI MB SPJ Konsumsi 7Jul FRIDA ACHMADI,</t>
  </si>
  <si>
    <t>BRI Kons KomVI MB SPJ 6-7 Jul       PRAJA SAPUTRA S,</t>
  </si>
  <si>
    <t>BRI Kons KomVI MB SPJ 2D 6-7Jul     ANALITA YULISTYA C,</t>
  </si>
  <si>
    <t xml:space="preserve">BI-FAST CR TRANSFER   DR 011 NI PUTU NOVI ARYAN    </t>
  </si>
  <si>
    <t>BRI Kons KomVI MB SPJ 2D 6-7 Jul    ALEXADRUS NULIADY,</t>
  </si>
  <si>
    <t>Retur Sembako Pasar  00077 MCM InhouseTrf  KE GNC</t>
  </si>
  <si>
    <t>Lap Badminton 9JulHERI HERMAWAN,</t>
  </si>
  <si>
    <t>BTN DS Harkopnas  SPJ 2D 11-12Jul   M RIZKY AULIA,</t>
  </si>
  <si>
    <t xml:space="preserve">MandiriMudikBersam DP Anman Bus  ASET NABI SULAIMAN </t>
  </si>
  <si>
    <t>BTN Digital Store Harkopnas</t>
  </si>
  <si>
    <t>BRI Kons KomVI MB SPJ 2D Prod Crew M RIZKY AULIA,</t>
  </si>
  <si>
    <t xml:space="preserve">BI-FAST DB TANGGAL :11/03 TRANSFER   KE 008  PAN CONVINCE MITRA KBB  </t>
  </si>
  <si>
    <t>BTN DS Harkopnas  SPJ 11Jul         SUPRIYADI,</t>
  </si>
  <si>
    <t>BCA Juanda to Mandiri Mid Plaza</t>
  </si>
  <si>
    <t>BTN DS Harkopnas  SPJ 12 Jul        DEDI PURWANTO SE,</t>
  </si>
  <si>
    <t xml:space="preserve">BI-FAST DB TANGGAL :11/03 BIAYA TXN  KE 008  PAN CONVINCE MITRA KBB  </t>
  </si>
  <si>
    <t>Avanza F1138 Juli FRIDA ACHMADI,</t>
  </si>
  <si>
    <t xml:space="preserve">BRI CSR HUT Danant Bea Ijin Agusman  TIKA RISKI ASTARI </t>
  </si>
  <si>
    <t>PT TELEKOMUNIKASI SELULAR - 031 : Rp. 134.153.575</t>
  </si>
  <si>
    <t>BTN BDS Townhall  SPJ Load 15Jul    DEDI PURWANTO SE,</t>
  </si>
  <si>
    <t>B2313BRN Maret AUTORENT LANCAR SE : RP. 5.014.000</t>
  </si>
  <si>
    <t>Telkomsel Batam Redesign Network Review</t>
  </si>
  <si>
    <t>BTN Pembuatan Booth DIgital Store di Townhall Meeting CXD BTN</t>
  </si>
  <si>
    <t>008/203/PCMI/AR/I/2026</t>
  </si>
  <si>
    <t>BRI WS Corsec KBP SPJ 15-18 Jul     MARIA PATRICIA SUG,</t>
  </si>
  <si>
    <t>BRI Workshop Corsec KBP</t>
  </si>
  <si>
    <t>Telkomsel Collaboration Pacu Jalur dan HUT Nias 2025</t>
  </si>
  <si>
    <t>009/204/PCMI/AR/I/2026</t>
  </si>
  <si>
    <t>Salary PCMI Jul   DAVID HARSAMTO,</t>
  </si>
  <si>
    <t>Jul</t>
  </si>
  <si>
    <t>PPn Masa Mar-26</t>
  </si>
  <si>
    <t>Telkomsel HUT Tsel dan 5G Relaunch Batam</t>
  </si>
  <si>
    <t>010/205/PCMI/AR/I/2026</t>
  </si>
  <si>
    <t>05012500402136452  - PT SHELL INDONESIA12206</t>
  </si>
  <si>
    <t xml:space="preserve">SETORAN TUNAI  PENGEMBALIAN CA  0012 - KONSINY ERING FAIRMONT  </t>
  </si>
  <si>
    <t>Shell MotoGp Sepang 2025</t>
  </si>
  <si>
    <t>CA-023/26 Sukanda Byr Pinj CA       DAVID HARSAMTO,</t>
  </si>
  <si>
    <t>212/PCMI/AR/X/2025</t>
  </si>
  <si>
    <t xml:space="preserve">PT TELEKOMUNIKASI SELULAR - 031   </t>
  </si>
  <si>
    <t>Sukanda</t>
  </si>
  <si>
    <t>CA-12/26</t>
  </si>
  <si>
    <t>AR Staff Loan Frida                 FRIDA ACHMADI,</t>
  </si>
  <si>
    <t>Telkomsel Consolidate Pekanbaru</t>
  </si>
  <si>
    <t>007/202/PCMI/AR/I/2026</t>
  </si>
  <si>
    <t>20260220BBLUIDJA010O0243950796  BBLUIDJA/Analita Yulistya.C</t>
  </si>
  <si>
    <t>TSel FB RM DigiadsSPF 25Jul Golf    YOGI PURWO WIDODO,</t>
  </si>
  <si>
    <t xml:space="preserve">BI-FAST DB TRANSFER   KE 011 NI PUTU NOVI ARYAN  KBB  </t>
  </si>
  <si>
    <t>Non Cash Bank to Mandiri Mid Plaza</t>
  </si>
  <si>
    <t>BRI Kunjungan Ibu Wa 00208 MCM InhouseTrf  KE ARIFANDU LADIO : Rp. 10.866.327</t>
  </si>
  <si>
    <t>SewaLapBadminton  23Jul             HERI HERMAWAN,</t>
  </si>
  <si>
    <t xml:space="preserve">BI-FAST DB BIAYA TXN  KE 011 NI PUTU NOVI ARYAN  KBB  </t>
  </si>
  <si>
    <t>BRI WS Corsec KBP SPJ 15-18Jul      ALEXADRUS NULIADY,</t>
  </si>
  <si>
    <t xml:space="preserve">laporan CA 011 Yog i 2026  YOGI PURWO WIDODO </t>
  </si>
  <si>
    <t>BRI WS Corsec KBP SPJ 15-18 Jul     ANALITA YULISTYA C,</t>
  </si>
  <si>
    <t>BRI Konsy KomVI MBSPJ 6-7Jul        SUPRIYADI,</t>
  </si>
  <si>
    <t xml:space="preserve">BI-FAST DB TRANSFER   KE 213 ANTONIUS NICOLAAS  KBB  </t>
  </si>
  <si>
    <t xml:space="preserve">BI-FAST DB BIAYA TXN  KE 213 ANTONIUS NICOLAAS  KBB  </t>
  </si>
  <si>
    <t xml:space="preserve">TSel Sum On Ground R00155    BSMDIDJA/AULIA AYU ASYURA </t>
  </si>
  <si>
    <t>'01/08/2026,BIAYA ADM ,'0998,20000.00,DB,1575699.93</t>
  </si>
  <si>
    <t>LLG-BRI           PT PAN CONVINCE MIGemalindo Kreasi Indonesia</t>
  </si>
  <si>
    <t xml:space="preserve">20260220BMRIIDJA010O9930794147  </t>
  </si>
  <si>
    <t>MandiriJuraganXtraPO Fee ANALITA YULISTYA C</t>
  </si>
  <si>
    <t xml:space="preserve">Listrik Februari     00182  MCM InhouseTrf  KE PANTRAVEL </t>
  </si>
  <si>
    <t>AR StaffLoan PrajaKuliah Anak       PRAJA SAPUTRA S</t>
  </si>
  <si>
    <t xml:space="preserve">TSel Sum On Ground R00153  BSMDIDJA/AULIA AYU ASYURA </t>
  </si>
  <si>
    <t>LapBadminton 30JulHERI HERMAWAN</t>
  </si>
  <si>
    <t xml:space="preserve">20260220BMRIIDJA010O9930794452 </t>
  </si>
  <si>
    <t>Finance Charge    DBS Visa W JT-4AugDAVID HARSAMTO</t>
  </si>
  <si>
    <t xml:space="preserve">MandiriMudikBersam Lunas Sewa Bus  ASET NABI SULAIMAN </t>
  </si>
  <si>
    <t xml:space="preserve">TSel Sum On Ground R00156  BSMDIDJA/AULIA AYU ASYURA </t>
  </si>
  <si>
    <t>Non Cash Bank to BCA Sahardjo</t>
  </si>
  <si>
    <t>COLA PCMI 2025    DAVID HARSAMTO</t>
  </si>
  <si>
    <t xml:space="preserve">CA-13/26 Rizky M RIZKY AULIA  </t>
  </si>
  <si>
    <t xml:space="preserve">20260220BMRIIDJA010O9930794456  </t>
  </si>
  <si>
    <t>Incentive and Bonus</t>
  </si>
  <si>
    <t>Fee Renov Office  1-2 Aug           ADUN SOPANDI</t>
  </si>
  <si>
    <t>CA-13/26</t>
  </si>
  <si>
    <t xml:space="preserve">MandiriMudikBersam LunasUjiRamIjinDll  SUKARDI </t>
  </si>
  <si>
    <t>Honorarium</t>
  </si>
  <si>
    <t>TSel Sum On Ground R00159  BSMDIDJA/AULIA AYU ASYURA</t>
  </si>
  <si>
    <t>Overtime Juli     ADUN SOPANDI</t>
  </si>
  <si>
    <t xml:space="preserve">MandiriMudikBersam ParkirVIP+Sampah  M RIZKY AULIA </t>
  </si>
  <si>
    <t xml:space="preserve">20260220BMRIIDJA010O9930794469 </t>
  </si>
  <si>
    <t>Overtime Juli     SUPRIYADI</t>
  </si>
  <si>
    <t xml:space="preserve">MandiriMudikBersam 125 KaosCrew  ERWIN PURWANA </t>
  </si>
  <si>
    <t>Overtime Juli     SUKANDA</t>
  </si>
  <si>
    <t xml:space="preserve">TSel Sum On Ground R00158  BSMDIDJA/AULIA AYU ASYURA </t>
  </si>
  <si>
    <t>Overtime Juli     MUHAMMAD UJER AWAL</t>
  </si>
  <si>
    <t xml:space="preserve">MandiriMudikBersam LO 7Bus+LO 4Log  ANGLENE KRISTYARIN </t>
  </si>
  <si>
    <t xml:space="preserve">20260220BMRIIDJA010O9930794498  </t>
  </si>
  <si>
    <t>XL Smart Booth DTISPJ Dokumentasi 1DYOGI PURWO WIDODO</t>
  </si>
  <si>
    <t xml:space="preserve">MandiriMudikBersam 10RpkBedug+5Tari  RENATHA LYDIA PANJ </t>
  </si>
  <si>
    <t xml:space="preserve">CA-06/26 Lita  MCM InhouseTrf  KE ANALITA YULISTYA C </t>
  </si>
  <si>
    <t>XL Smart Booth DTI-CX 2026 JICC</t>
  </si>
  <si>
    <t>XL Smart Booth DTISPJ 3D 4-6 Aug    PRAJA SAPUTRA S</t>
  </si>
  <si>
    <t xml:space="preserve">CA-14/26 Lita ANALITA YULISTYA C  </t>
  </si>
  <si>
    <t>Trimegah TC 26, 0126 27010  MCM InhouseTrf  KE PANTRAVEL</t>
  </si>
  <si>
    <t>CA-14/26</t>
  </si>
  <si>
    <t>Pin BCA Juanda    Retur 14-Jan      PAN CONVINCE MITRA</t>
  </si>
  <si>
    <t xml:space="preserve">HimbaraFGDFairmont Dok Photo+Video  KATHERIN VICENTIA </t>
  </si>
  <si>
    <t>TSel Leadership Plan 00076  MCM InhouseTrf  KE PANTRAVEL</t>
  </si>
  <si>
    <t>Pin Buk BCA JuandaRetur 29-Jan      PAN CONVINCE MITRA</t>
  </si>
  <si>
    <t>Himbara FGD Fairmont</t>
  </si>
  <si>
    <t xml:space="preserve">BRI Konsinyering 2D StageCrew  AHMAD WIDYA NUGRAH </t>
  </si>
  <si>
    <t xml:space="preserve">TSel Sum On Ground R00255 BSMDIDJA/AULIA AYU ASYURA </t>
  </si>
  <si>
    <t>Pin Buk BCA JuandaRetur 27-Mar      PAN CONVINCE MITRA</t>
  </si>
  <si>
    <t>20260225BMRIIDJA010O9931734452</t>
  </si>
  <si>
    <t xml:space="preserve">TSel WS ReachBAS DP Lunch 95Paxs  BEBEK BOGA LESTARI </t>
  </si>
  <si>
    <t>Pin Buk BCA JuandaRetur 16-Apr      PAN CONVINCE MITRA</t>
  </si>
  <si>
    <t>Mandiri JuraganXtra 00246  BNINIDJA/PACTO : Rp. 47.939.726</t>
  </si>
  <si>
    <t xml:space="preserve">BRI KunKerBAKN KB 2D Stage Crew  AHMAD WIDYA NUGRAH </t>
  </si>
  <si>
    <t>Pin Buk BCA JuandaRetur 18-Jun      PAN CONVINCE MITRA</t>
  </si>
  <si>
    <t>LLG-PERMATA       MARGARETA YOVITA SREIMB BCA JUANDA DP LIFT CSA,</t>
  </si>
  <si>
    <t xml:space="preserve">HimbaraFGDFairmont Loading+Produksi  ANDRI LUKITO RD </t>
  </si>
  <si>
    <t>BCA Juanda to BCA Sahardjo</t>
  </si>
  <si>
    <t>BRI BoardRetreatT2SPJ 5D+ProjOfficerM RIZKY AULIA,</t>
  </si>
  <si>
    <t xml:space="preserve">HimbaraFGDFairmont Runner 12Mar  AGUNG ROMADONI </t>
  </si>
  <si>
    <t>BRI Board Retreat Tahap 2</t>
  </si>
  <si>
    <t>XL Smart Booth DTISPJ 3D + GR       M RIZKY AULIA,</t>
  </si>
  <si>
    <t xml:space="preserve">HimbaraFGDFairmont 4 Ushers 12Mar  DWITA SEPTIANA </t>
  </si>
  <si>
    <t>BRI BoardRetreatT2SPJ 5D 11-15Aug   DIMAS DANANG JOYO,</t>
  </si>
  <si>
    <t>BRI BoardRetreatT2SPJ 5D 11-15Aug   DEDI PURWANTO SE,</t>
  </si>
  <si>
    <t xml:space="preserve">MandiriMudikBersam Team Logistik  MOCH SUPRIYADI </t>
  </si>
  <si>
    <t>BRI BoardRetreatT2SPJ 5D 11-15 Aug  MUHAMMAD FADLI AKB,</t>
  </si>
  <si>
    <t>Pacto</t>
  </si>
  <si>
    <t>BRI BoardRetreatT2SPJ 4D PIC VIP+KoFRIDA ACHMADI,</t>
  </si>
  <si>
    <t xml:space="preserve">BRI Konsinyering SPJ 16-17Feb  MOCH SUPRIYADI </t>
  </si>
  <si>
    <t xml:space="preserve">20260225BMRIIDJA010O9931734460 </t>
  </si>
  <si>
    <t>F 1138 ABU AgustusFRIDA ACHMADI,</t>
  </si>
  <si>
    <t xml:space="preserve">TSel ANO Sum NF, Tik00250  BRINIDJA/NOVLI FELISIA SITUMO </t>
  </si>
  <si>
    <t xml:space="preserve">CA-15/26 Adun ADUN SOPANDI  </t>
  </si>
  <si>
    <t>Trimegah Seku EG  SPJ 3D 15-17Aug   PRAJA SAPUTRA S,</t>
  </si>
  <si>
    <t xml:space="preserve">20260225BMRIIDJA010O9931734467 </t>
  </si>
  <si>
    <t>CA-15/26</t>
  </si>
  <si>
    <t>Adun</t>
  </si>
  <si>
    <t>Trimegah Sekuritas Employee Gathering 2026</t>
  </si>
  <si>
    <t xml:space="preserve">BRI CSR HUT Danan Hiace 7-10 Maret  NOVA INDRI ASIH </t>
  </si>
  <si>
    <t>Trimegah Seku EG  SPJ 1D+3D 14-17AugALEXADRUS NULIADY,</t>
  </si>
  <si>
    <t xml:space="preserve">TSel Sum On Ground R00247 BNINIDJA/T SY AMANDA REFITA </t>
  </si>
  <si>
    <t>Trimegah Seku EG  SPJ 1D+3D 14-17AugMARIA PATRICIA SUG,</t>
  </si>
  <si>
    <t xml:space="preserve">20260225BMRIIDJA010O9931734477 </t>
  </si>
  <si>
    <t xml:space="preserve">MandiriMudikBersam LO Bus 18Paxs  ANGLENE KRISTYARIN </t>
  </si>
  <si>
    <t>LapBadminton 20AugHERI HERMAWAN,</t>
  </si>
  <si>
    <t>TSel Sum On Ground R00249 BNINIDJA/T SY AMANDA REFITA</t>
  </si>
  <si>
    <t>Trimegah Seku EG  SPJ 1D+3D 14-17AugANALITA YULISTYA C,</t>
  </si>
  <si>
    <t xml:space="preserve">MandiriMudikBersam Internet 50MbpsGBK  UGAN MARTIO HERIAW </t>
  </si>
  <si>
    <t xml:space="preserve">20260225BMRIIDJA010O9931734484 </t>
  </si>
  <si>
    <t>Trimegah Seku EG  SPJ 1D 15Aug      MUHAMMAD UJER AWAL,</t>
  </si>
  <si>
    <t>BRI - BPJS Meeting S00251 BNINIDJA/PACTO : Rp. 11.500.600</t>
  </si>
  <si>
    <t>Trimegah Seku EG  SPJ 1D 15Aug LO ApALIF FAREZA,</t>
  </si>
  <si>
    <t xml:space="preserve">HimbaraFGDFairmont Show Mgt 12Mar  TEUKU DONNYA SYAHP </t>
  </si>
  <si>
    <t>Salary PCMI Aug   DAVID HARSAMTO,</t>
  </si>
  <si>
    <t>Aug</t>
  </si>
  <si>
    <t xml:space="preserve">MandiriMudikBersam UstadKajianSubuh  AHMAD FIRDAUS </t>
  </si>
  <si>
    <t xml:space="preserve">MandiriMudikBersam CrewLoading+7Runer  AHMAD WIDYA NUGRAH </t>
  </si>
  <si>
    <t xml:space="preserve">20260225BMRIIDJA010O9931734491  </t>
  </si>
  <si>
    <t>XL Smart Booth DTISPJ 2D 5-6 Aug    SUPRIYADI,</t>
  </si>
  <si>
    <t xml:space="preserve">MandiriMudikBersam 4RunnersMabesTNI  AJENG PUTRI HARYAN </t>
  </si>
  <si>
    <t>TSel Sum On Ground R00248  BSMDIDJA/AULIA AYU ASYURA</t>
  </si>
  <si>
    <t>BRI BoardRetreatT2SPJ 1D 10Aug      SUPRIYADI,</t>
  </si>
  <si>
    <t>Krg Bayar Gaji    DAVID HARSAMTO,</t>
  </si>
  <si>
    <t xml:space="preserve">20260225BMRIIDJA010O9931734498  </t>
  </si>
  <si>
    <t>MandiriMudikBersam SoundSys 10K Watt  SONJAYA ADIPUTRA : RP. 14.700.000</t>
  </si>
  <si>
    <t>Tanda Kasih PCMI  Adun Resignation  ADUN SOPANDI,</t>
  </si>
  <si>
    <t>Termination</t>
  </si>
  <si>
    <t xml:space="preserve">20260225BMRIIDJA010O9931738707 </t>
  </si>
  <si>
    <t>20260227BRINIDJA010O9940693744  BRINIDJA/PAN CONVINCE MITRA I</t>
  </si>
  <si>
    <t>BI-FAST DB TRANSFER KE 008 PAN CONVINCE MITRAKBI</t>
  </si>
  <si>
    <t xml:space="preserve">20260227BRINIDJA010O9940693756  BRINIDJA/PAN CONVINCE MITRA I </t>
  </si>
  <si>
    <t>BI-FAST DB BIAYA TXN KE 008 PAN CONVINCE MITRAKBI</t>
  </si>
  <si>
    <t xml:space="preserve">MandiriMudikBersam DP CrowdControl  SANDI FITRIANSYAH </t>
  </si>
  <si>
    <t xml:space="preserve">Salary PCMI Feb  CENAIDJA/DAVID HARSAMTO </t>
  </si>
  <si>
    <t>20260227BMRIIDJA010O9932423592</t>
  </si>
  <si>
    <t xml:space="preserve">MandiriMudikBersam 5 Show Mgt 18Mar  TEUKU DONNYA SYAHP </t>
  </si>
  <si>
    <t xml:space="preserve">20260228BRINIDJA010O9909172882  BRINIDJA/PAN CONVINCE MITRA I </t>
  </si>
  <si>
    <t xml:space="preserve">MandiriMudikBersam 2 Giant Confetty  RIZQI DAYWIDODO </t>
  </si>
  <si>
    <t>20260228BRINIDJA010O9909177472  BRINIDJA/PAN CONVINCE MITRA I</t>
  </si>
  <si>
    <t xml:space="preserve">MandiriMudikBersam Loading+FlagOff  ANDRI LUKITO RD </t>
  </si>
  <si>
    <t xml:space="preserve">Shell Hexindo Trip K 00107 MCM InhouseTrf  KE PANTRAVEL </t>
  </si>
  <si>
    <t>Shell Hexindo Trip Kuala Lumpur </t>
  </si>
  <si>
    <t xml:space="preserve">MandiriMudikBersam Home Band 18Mar  ANDRE NANLOHY </t>
  </si>
  <si>
    <t xml:space="preserve">Telkomsel Sumatera O   MCM InhouseTrf  KE PANTRAVEL </t>
  </si>
  <si>
    <t>BRI BI KunKer KXI SPJ 2D+1D 27-29Aug ANALITA YULISTYA C</t>
  </si>
  <si>
    <t>BRI BI Kunjungan Kerja Komisi XI Surabaya</t>
  </si>
  <si>
    <t xml:space="preserve">MandiriMudikBersam CrewLoad+3Runner  RIAN KARTIKA </t>
  </si>
  <si>
    <t>BRI BI KunKer KXI SPJ 2D+2D 26-29Aug MARIA PATRICIA SUG</t>
  </si>
  <si>
    <t xml:space="preserve">Mandiri JuraganXtra   MCM InhouseTrf  KE PANTRAVEL </t>
  </si>
  <si>
    <t>Pelunasan AR StaffLoan Frida        FRIDA ACHMADI,</t>
  </si>
  <si>
    <t xml:space="preserve">BRI BPJS Meeting Sol MCM InhouseTrf  KE PANTRAVEL </t>
  </si>
  <si>
    <t xml:space="preserve">MandiriMudikBersam LunasMicrositeTix  AGUS SHODIKIN </t>
  </si>
  <si>
    <t xml:space="preserve">Shell Bangkok Custom  MCM InhouseTrf  KE PANTRAVEL </t>
  </si>
  <si>
    <t>AR StafLoan Frieda5Jt x 10 Bulan    FRIDA ACHMADI,</t>
  </si>
  <si>
    <t>Shell Bangkok Customer Trip </t>
  </si>
  <si>
    <t xml:space="preserve">Telkomsel ANO Sumate  MCM InhouseTrf  KE PANTRAVEL </t>
  </si>
  <si>
    <t>BCA Sahardjo to BCA Juanda</t>
  </si>
  <si>
    <t>Lap Badminton 2SepHERI HERMAWAN,</t>
  </si>
  <si>
    <t xml:space="preserve">BRI Sos KPP Ponti Lunas Produksi  RISTANTY DWI PRATI </t>
  </si>
  <si>
    <t>BRI KunKer KXI SubSPJ 2D+2D         ALEXADRUS NULIADY,</t>
  </si>
  <si>
    <t>Fee SupervisiRenovKantor            HERI HERMAWAN,</t>
  </si>
  <si>
    <t>BOTKIDJX/BRIDGESTONE TIRE INDONESIA, PT : WA FA 12May - 235/PCMI/AR/XII/2025 BSIN Supplier Meeting</t>
  </si>
  <si>
    <t>BIAYA TXN KE 008 PAN CONVINCE MITRAKBI</t>
  </si>
  <si>
    <t>235/PCMI/AR/XII/2025</t>
  </si>
  <si>
    <t>TSel ANO Sum NF, 012 00206 MCM InhouseTrf  KE PANTRAVEL</t>
  </si>
  <si>
    <t xml:space="preserve">CA-16/26 Frieda FRIDA ACHMADI  </t>
  </si>
  <si>
    <t>Overtime Aug SUKANDA</t>
  </si>
  <si>
    <t>CA-16/26</t>
  </si>
  <si>
    <t>Overtime Aug SUPRIYADI</t>
  </si>
  <si>
    <t xml:space="preserve">TSel Training TL Aca27023 BNINIDJA/TARISYA FERINA FITRI </t>
  </si>
  <si>
    <t>MandiriMudikBersam IllusionPhotoBooth  GUNGGI GIANNASKAF : Rp. 7.996.800</t>
  </si>
  <si>
    <t>Telkomsel Training TL Academy Session 2</t>
  </si>
  <si>
    <t>Overtime Aug MUHAMMAD UJER AWAL</t>
  </si>
  <si>
    <t>20260303BMRIIDJA010O9933615226</t>
  </si>
  <si>
    <t>Overtime Aug ADUN SOPANDI</t>
  </si>
  <si>
    <t xml:space="preserve">UBP60218836902FFFFFF8836920212400001  </t>
  </si>
  <si>
    <t>UBP60218836902FFFFFF8836920212400001 - PPKGBK : Rp. 148.050.000</t>
  </si>
  <si>
    <t xml:space="preserve">MandiriMudikBersam ManPowerRegistrasi  ALIF FAREZA </t>
  </si>
  <si>
    <t xml:space="preserve">MandiriMudikBersam MC 18Mar  IKHE MUTIARA </t>
  </si>
  <si>
    <t>BI-FAST DB TRANSFER KE 008 PAN CONVINCE MITRA KBB</t>
  </si>
  <si>
    <t>BI-FAST DB BIAYA TXN KE 008 PAN CONVINCE MITRA KBB</t>
  </si>
  <si>
    <t>GBK Senayan</t>
  </si>
  <si>
    <t>PT TELEKOMUNIKASI SELULAR - 031  : Rp. 83.376.208</t>
  </si>
  <si>
    <t xml:space="preserve">BI-FAST DB TRANSFER   KE 008 PAN CONVINCE MITRA KBB    </t>
  </si>
  <si>
    <t>Telkomsel Support Evaluasi GraPARI Optimalisasi Area 1\</t>
  </si>
  <si>
    <t>016/209/PCMI/AR/II/2026</t>
  </si>
  <si>
    <t xml:space="preserve">BI-FAST DB BIAYA TXN  KE 008 PAN CONVINCE MITRA KBB    </t>
  </si>
  <si>
    <t>Shell Bali PvtTrip Land Tour Bali BPW SAHADEWA BASUNn: Rp. 3.612.661 - Dbl Byr 20-Jan</t>
  </si>
  <si>
    <t>Telkomsel Event securing Target Regional sumbagsel</t>
  </si>
  <si>
    <t>017/210/PCMI/AR/II/2026</t>
  </si>
  <si>
    <t xml:space="preserve">OCBC Visa JT-6Mar  NISPIDJA/DAVID HARSAMTO </t>
  </si>
  <si>
    <t xml:space="preserve">20260306BMRIIDJA010O9934788848 </t>
  </si>
  <si>
    <t>UOB Master JT-6Mar   BBIJIDJA/DAVID HARSAMTO</t>
  </si>
  <si>
    <t xml:space="preserve">CA-08/26 YOGI PURWO WIDODO   </t>
  </si>
  <si>
    <t xml:space="preserve">20260306BMRIIDJA010O9934797829 </t>
  </si>
  <si>
    <t xml:space="preserve">CA-11B/26 Yogi YOGI PURWO WIDODO   </t>
  </si>
  <si>
    <t>BRINIDJA/PAN CONVINCE MITRA I 11250100025530199102</t>
  </si>
  <si>
    <t>CA-11B/26</t>
  </si>
  <si>
    <t xml:space="preserve">DBS Visa White JT-9M DBSBIDJA/DAVID HARSAMTO </t>
  </si>
  <si>
    <t xml:space="preserve">TSel WS RBA Sum SoundSys+BandGear HAPPY MEDIA DISPLA  </t>
  </si>
  <si>
    <t>LINKAJA 082279332371 : TSel WS RAB Sum, Meals Allowance Peserta tgl 31 Mar 2026 &amp; 02 Apr 2026 (Alya Solehat, Full Payment)</t>
  </si>
  <si>
    <t>20260307BMRIIDJA010O9934997222</t>
  </si>
  <si>
    <t>BTANIDJA/PAN CONVINCE MITRA I 10130001293599102</t>
  </si>
  <si>
    <t>BTN to Mandiri Mid Plaza</t>
  </si>
  <si>
    <t xml:space="preserve">BI-FAST CR TRANSFER   DR 200 PAN CONVINCE MITRA     </t>
  </si>
  <si>
    <t xml:space="preserve">TSel Mtg Koord FBP W 27106  MCM InhouseTrf  KE PANTRAVEL </t>
  </si>
  <si>
    <t xml:space="preserve">UBP60218836902FFFFFF8836920212400001 </t>
  </si>
  <si>
    <t xml:space="preserve">BI-FAST CR TRANSFER   DR 009 PAN CONVINCE MITRA     </t>
  </si>
  <si>
    <t>BNI to BCA Juanda</t>
  </si>
  <si>
    <t xml:space="preserve">Pin Buk BCA Juanda RD HIDIANITJE DRA   </t>
  </si>
  <si>
    <t xml:space="preserve">Dipinjam PCMI BCA Juanda  DAVID HARSAMTO </t>
  </si>
  <si>
    <t>LINKAJA  - -  08118106980 : Tsel WS RAB Sum, Meals Allowance Peserta tgl 31 Mar 2026 &amp; 02 Apr 2026 (Raulni Ghand</t>
  </si>
  <si>
    <t>CENAIDJA/PAN CONVINCE MITRA INTER 535028599999102</t>
  </si>
  <si>
    <t xml:space="preserve">THR 2026 PCMI   CENAIDJA/DAVID HARSAMTO </t>
  </si>
  <si>
    <t>THR</t>
  </si>
  <si>
    <t xml:space="preserve">20260311BMRIIDJA010O9936135791  </t>
  </si>
  <si>
    <t xml:space="preserve">PINJAMAN PT PAN CONV  MCM InhouseTrf  DARI AYUBERGA </t>
  </si>
  <si>
    <t>LINKAJA  - -  081196510305 : Tsel WS RAN Sum, Meals Allowance Peserta tgl 31 Mar &amp; 01 Apr 2026 cord Amanda (T.Sy Amanda Refita, Pelunasan)</t>
  </si>
  <si>
    <t>Elly Hutabarat</t>
  </si>
  <si>
    <t>CENAIDJA/TRIMEGAH ASSET MANAGEMEN 5375385888</t>
  </si>
  <si>
    <t>119/224/PCMI/AR/III/2026</t>
  </si>
  <si>
    <t xml:space="preserve">Mandiri Visa JT-13Ma  MCM InhouseTrf  KE DAVID HARSAMTO </t>
  </si>
  <si>
    <t xml:space="preserve">Shell Japan F1, 0126 27143  MCM InhouseTrf  KE PANTRAVEL </t>
  </si>
  <si>
    <t>Office Rent Feb      PV27137  MCM InhouseTrf  KE PANTRAVEL : Rp. 18.198.198</t>
  </si>
  <si>
    <t>UBP602123998028000008988890000030956</t>
  </si>
  <si>
    <t xml:space="preserve">UBP60212399902FFFFFF422150605000    </t>
  </si>
  <si>
    <t xml:space="preserve">Mandiri Mudik Bersam27148  BRINIDJA/ENDRIK SUYANTO </t>
  </si>
  <si>
    <t xml:space="preserve">20260314BMRIIDJA010O9937139799  </t>
  </si>
  <si>
    <t>Top Up UOB Master  BBIJIDJA/DAVID HARSAMTO</t>
  </si>
  <si>
    <t xml:space="preserve">20260315BMRIIDJA010O9937258362 </t>
  </si>
  <si>
    <t xml:space="preserve">20260316BMRIIDJA010O9937614597 </t>
  </si>
  <si>
    <t>GBHO3-PEMB PAKET MAKAN HOKA BENTO 100 X  Transfer 11800 : WA FA 12May Pembayaran pembelian paket Hokben 100paket dari Mandiri Region 3 - Kwitansi no 0160 16Mar 2026, Bank Mandiri Mudik Bersama 2026</t>
  </si>
  <si>
    <t>180/PCMI/AR/V/2026</t>
  </si>
  <si>
    <t xml:space="preserve">TSel WS Reach Beyond 27173   MCM InhouseTrf  KE NI LUH EKA SUPRIANI DEWI </t>
  </si>
  <si>
    <t>TSel WS Reach Beyond27180  BNINIDJA/MAS DERU KURLI 20260317</t>
  </si>
  <si>
    <t xml:space="preserve">20260317BMRIIDJA010O9937942827   </t>
  </si>
  <si>
    <t xml:space="preserve">Mandiri Pasar Murah, 27084 MCM InhouseTrf  KE GNC </t>
  </si>
  <si>
    <t xml:space="preserve">TSel WS RBA Sum BackDrop Dll 31Mar  I PUTU BAGUS PRATA </t>
  </si>
  <si>
    <t xml:space="preserve">Mandiri Mudik Bersam27274 BNINIDJA/KOPERASI KARYAWAN GELORA BUNG K </t>
  </si>
  <si>
    <t xml:space="preserve">TSel WS RBA Sum Lunas Full band  ANGGUN TRI BAWANTI </t>
  </si>
  <si>
    <t xml:space="preserve">20260317BMRIIDJA010O9937942834  </t>
  </si>
  <si>
    <t xml:space="preserve">Pin Buk BCA Juanda   CENAIDJA/PAN CONVINCE MITRA INTER </t>
  </si>
  <si>
    <t xml:space="preserve">BI-FAST DB TRANSFER   KE 008 PAN CONVINCE MITRA  KBB  </t>
  </si>
  <si>
    <t xml:space="preserve">20260317BMRIIDJA010O9937942842  </t>
  </si>
  <si>
    <t xml:space="preserve">BI-FAST DB BIAYA TXN  KE 008 PAN CONVINCE MITRA  KBB  </t>
  </si>
  <si>
    <t xml:space="preserve">TSel Sum On Ground R27136 BSMDIDJA/AULIA AYU ASYURA </t>
  </si>
  <si>
    <t xml:space="preserve">BI-FAST CR TRANSFER   DR 013 MARGARETA YOVITA S    </t>
  </si>
  <si>
    <t xml:space="preserve">20260317BMRIIDJA010O9937942848  </t>
  </si>
  <si>
    <t xml:space="preserve">MandiriMudikBersam LO BGNDL Lunas  GALIH AHMADI BIN A </t>
  </si>
  <si>
    <t xml:space="preserve">refund  CA00010202 6  DEDI PURWANTO SE </t>
  </si>
  <si>
    <t xml:space="preserve">20260317BMRIIDJA010O9937943109  </t>
  </si>
  <si>
    <t>EBiz 13 Pro 2026/27  EXABYTES NETWORK I : Rp. 3.265.640</t>
  </si>
  <si>
    <t xml:space="preserve">20260317BMRIIDJA010O9937943118  </t>
  </si>
  <si>
    <t>Trimegah Training Ca27194  BNIAIDJA/PACTO : Rp. 3.716.195</t>
  </si>
  <si>
    <t>PPn Masa Apr-26</t>
  </si>
  <si>
    <t>Exabytes Network Indonesia</t>
  </si>
  <si>
    <t xml:space="preserve">MandiriMudikBesama 4 Crew Stakeholder  AGUNG ROMADONI </t>
  </si>
  <si>
    <t xml:space="preserve">MandiriMudikBersam Totem Prosesi  GUNGGI GIANNASKAF </t>
  </si>
  <si>
    <t xml:space="preserve">MandiriMudikBersam 2 Crew Stakeholder  YUDI HARNOWO </t>
  </si>
  <si>
    <t xml:space="preserve">20260317BMRIIDJA010O9937943127  </t>
  </si>
  <si>
    <t xml:space="preserve">MandiriMudikBersam 4 Crew Steakholder  MUHAMMAD FADLI AKB </t>
  </si>
  <si>
    <t xml:space="preserve">PIn Buk BCA Juanda  CENAIDJA/PAN CONVINCE MITRA INTER </t>
  </si>
  <si>
    <t xml:space="preserve">MandiriMudikBersam 3 Crew Steakholder  MOCH SUPRIYADI </t>
  </si>
  <si>
    <t xml:space="preserve">20260317BMRIIDJA010O9937943134 </t>
  </si>
  <si>
    <t xml:space="preserve">MandiriMudikBersam 3 Crew Stakeholder  PRAFITRIA ARTHA LE </t>
  </si>
  <si>
    <t>TSel Sum On Ground R27132  BSMDIDJA/AULIA AYU ASYURA</t>
  </si>
  <si>
    <t xml:space="preserve">MandiriMudikBersam 4 Crew Steakholder  ALEXADRUS NULIADY </t>
  </si>
  <si>
    <t xml:space="preserve">20260317BMRIIDJA010O9937943138  </t>
  </si>
  <si>
    <t xml:space="preserve">MandiriMudikBersam 3 Crew Stakeholder  ALEXADRUS NULIADY </t>
  </si>
  <si>
    <t>TSel Sum On Ground R27135 BSMDIDJA/AULIA AYU ASYURA</t>
  </si>
  <si>
    <t xml:space="preserve">MandiriMudikBersam Crew Lumpsump  DIMAS DANANG JOYO </t>
  </si>
  <si>
    <t xml:space="preserve">20260317BMRIIDJA010O9937943142  </t>
  </si>
  <si>
    <t xml:space="preserve">MandiriMudikBersam Project Officers  M RIZKY AULIA </t>
  </si>
  <si>
    <t xml:space="preserve">Mandiri Mudik Bersam27275  BRINIDJA/KREASI MILIMETER NUS </t>
  </si>
  <si>
    <t xml:space="preserve">MandiriMudikBersam LO KbnSirih+Cibitu  YOGI PURWO WIDODO </t>
  </si>
  <si>
    <t xml:space="preserve">20260317BMRIIDJA010O9937943150  </t>
  </si>
  <si>
    <t xml:space="preserve">20260317BMRIIDJA010O9937943504  </t>
  </si>
  <si>
    <t>BRI Mudik Bersama,  27208  BRINIDJA/NIA AYU SORAYA</t>
  </si>
  <si>
    <t xml:space="preserve">20260317BMRIIDJA010O9937943509  </t>
  </si>
  <si>
    <t>Himbara KunKer Medan27195 BNIAIDJA/PACTO : Rp. 53.407.910</t>
  </si>
  <si>
    <t xml:space="preserve">20260317BMRIIDJA010O9937943518   </t>
  </si>
  <si>
    <t xml:space="preserve">Mandiri Mudik Bersam 27199    MCM InhouseTrf  KE SURYA AGUNG MALTA </t>
  </si>
  <si>
    <t xml:space="preserve">20260317BMRIIDJA010O9937950719 </t>
  </si>
  <si>
    <t xml:space="preserve">Mandiri Mudik Bersam27175  BRINIDJA/ENDRIK SUYANTO </t>
  </si>
  <si>
    <t xml:space="preserve">BI-FAST DB TRANSFER   KE 002 ENDRIK SUYANTO  KBB  </t>
  </si>
  <si>
    <t xml:space="preserve">20260317BMRIIDJA010O9937950726  </t>
  </si>
  <si>
    <t xml:space="preserve">BI-FAST DB BIAYA TXN  KE 002 ENDRIK SUYANTO  KBB  </t>
  </si>
  <si>
    <t xml:space="preserve">20260317BMRIIDJA010O9937990394 </t>
  </si>
  <si>
    <t xml:space="preserve">BI-FAST CR TRANSFER   DR 002 ENDRIK SUYANTO    </t>
  </si>
  <si>
    <t xml:space="preserve">20260317BMRIIDJA010O9937990397  </t>
  </si>
  <si>
    <t>Mandiri Mudik Bersam 27171  MCM InhouseTrf  KE HARTADI PRANATA DJAYA SEBASTIAN</t>
  </si>
  <si>
    <t>Byr APLoan 1-Apr BCA Juanda DAVID HARSAMTO</t>
  </si>
  <si>
    <t>TRANSFER KE 008 PAN CONVINCE MITRA KBB</t>
  </si>
  <si>
    <t xml:space="preserve">Pin Buk BRI Sahardjo  BRINIDJA/PAN CONVINCE MITRA I </t>
  </si>
  <si>
    <t>BI-FAST CR TRANSFER DR 002 PAN CONVINCE MITRA</t>
  </si>
  <si>
    <t xml:space="preserve">20260325BMRIIDJA010O9938741469  </t>
  </si>
  <si>
    <t>Mandiri Mudik Bus 50Seat JKTSUB ASET NABI SULAIMAN</t>
  </si>
  <si>
    <t>Internet Maret MORA TELEMATIKA IN : Rp. 3.815.000</t>
  </si>
  <si>
    <t xml:space="preserve">20260325BMRIIDJA010O9938741471  </t>
  </si>
  <si>
    <t xml:space="preserve">20260325BMRIIDJA010O9938741473  </t>
  </si>
  <si>
    <t xml:space="preserve">Trimegah Trainning C 00291  MCM InhouseTrf  KE PANTRAVEL </t>
  </si>
  <si>
    <t>Sewa Co-Working Spac00296   HSBCIDJA/PT IWG MANAGEMENT INDONESIA : Rp. 1.716.495</t>
  </si>
  <si>
    <t>Development Serviced Offices Indonesia One</t>
  </si>
  <si>
    <t>20260327BMRIIDJA010O9930043354</t>
  </si>
  <si>
    <t>Photocopy Mar OSC OFFICE MACHINE : Rp. 775.766</t>
  </si>
  <si>
    <t>Sewa Co-Working Spa00294   HSBCIDJA/PT IWG MANAGEMENT INDONESIA : Rp. 8.729.430</t>
  </si>
  <si>
    <t>Reimb Kas Kecil TIKA RISKI ASTARI</t>
  </si>
  <si>
    <t>Mandiri Mudik StreamingSilentMov TEUKU DONNYA SYAHP</t>
  </si>
  <si>
    <t>Mandiri Mudik Special Effect CO2 RIZQI DAYWIDODO</t>
  </si>
  <si>
    <t>Mandiri Mudik Kord Bus KSP WIRA KURNIANTO</t>
  </si>
  <si>
    <t>DP FinReport+BOQ Orbitz ANDIKA MULIA</t>
  </si>
  <si>
    <t>Klinik Izimedika Dr Benny, 27Mar FRIDA ACHMADI</t>
  </si>
  <si>
    <t>FPAM-26-0039 NUR AMALIA KHUSROH BI-FAST CR</t>
  </si>
  <si>
    <t>110/214/PCMI/AR/II/2026</t>
  </si>
  <si>
    <t>Mandiri Konsinyeri TambahanSouvenir TIKA RISKI ASTARI</t>
  </si>
  <si>
    <t>B T N</t>
  </si>
  <si>
    <t xml:space="preserve">20260327BMRIIDJA010O9930043356   </t>
  </si>
  <si>
    <t>00001-01-30-001293-5</t>
  </si>
  <si>
    <t>BI-FAST DB TRANSFER KE 011 NI PUTU NOVI ARYAN</t>
  </si>
  <si>
    <t>Sewa Ruang di HQ Sah00292 HSBCIDJA/PT IWG MANAGEMENT INDONESIA : Rp. 15.270.594</t>
  </si>
  <si>
    <t>BIAYA TXN KE 011 NI PUTU NOVI ARYAN KBB</t>
  </si>
  <si>
    <t xml:space="preserve">KR OTOMATIS LLG-CIMB NIAGA PT.PROFESIONAL TEL  LPP01-20260414-PAN CONVINCE MITRA 20  260413140116 </t>
  </si>
  <si>
    <t xml:space="preserve">Biaya Administrasi </t>
  </si>
  <si>
    <t>078/PCMI/AR/IV/2025</t>
  </si>
  <si>
    <t xml:space="preserve">KR OTOMATIS LLG-PERMATA PT. Abhimata Citra  Inv. 120/PCMI/AR/I II/2026   </t>
  </si>
  <si>
    <t xml:space="preserve">20260327BMRIIDJA010O9930043359   </t>
  </si>
  <si>
    <t>120/225/PCMI/AR/III/2026</t>
  </si>
  <si>
    <t>SPM 34/CSD/26_PEMB BIAYA SPONSORSHIP KEG </t>
  </si>
  <si>
    <t xml:space="preserve">MandiriMudikBersam Rental HT  RINI INDRANTI </t>
  </si>
  <si>
    <t>018/211/PCMI/AR/II/2026</t>
  </si>
  <si>
    <t xml:space="preserve">MandiriMudikBersam Crowd Control  SANDI FITRIANSYAH </t>
  </si>
  <si>
    <t>Salary PCMI Mar 2026  CENAIDJA/DAVID HARSAMTO</t>
  </si>
  <si>
    <t>Pajak</t>
  </si>
  <si>
    <t xml:space="preserve">MandiriMudikBersam RunnerStakeholder  MUHAMAD IYAN SURYA </t>
  </si>
  <si>
    <t>Other Income/Expense</t>
  </si>
  <si>
    <t>Bunga Rekening</t>
  </si>
  <si>
    <t xml:space="preserve">20260327BMRIIDJA010O9930208966  </t>
  </si>
  <si>
    <t xml:space="preserve">MandiriMudikBersam Dok PhotoVideo  KATHERIN VICENTIA </t>
  </si>
  <si>
    <t>Pin Buk Mandiri MP TRF 1220004875566 PAN CONVINCE MI 001480291586 BMRI MANDIRI</t>
  </si>
  <si>
    <t xml:space="preserve">Top Up UOB Visa  BBIJIDJA/DAVID HARSAMTO </t>
  </si>
  <si>
    <t xml:space="preserve">MandiriMudikBersam Kids Corner Lunas  HENDRO YUSMANTO </t>
  </si>
  <si>
    <t xml:space="preserve">20260329BMRIIDJA010O9930419333  </t>
  </si>
  <si>
    <t>Pin Buk BCA Juanda TRF 5350285999 PAN CONVINCE MI 002022690748 BCA</t>
  </si>
  <si>
    <t xml:space="preserve">MandiriMudikBersam 3 LiveCam+TV  SUTRISNO </t>
  </si>
  <si>
    <t>CENAIDJA/PAN CONVINCE MITRA INTER</t>
  </si>
  <si>
    <t xml:space="preserve">Trimegah TrainCamp Rattan Box  ROHYATUN </t>
  </si>
  <si>
    <t xml:space="preserve">20260331BMRIIDJA010O9930911671  </t>
  </si>
  <si>
    <t>SPM 66/CSD/26_116/PCMI/AR/III/2026</t>
  </si>
  <si>
    <t xml:space="preserve">MandiriMudikBersam MLTR Incl PPh  DEDI PURWANTO SE </t>
  </si>
  <si>
    <t>Kunker BTN Komisi XI DPR RI Luxton Cirebon - 28 November 2025</t>
  </si>
  <si>
    <t>116/221/PCMI/AR/III/2026</t>
  </si>
  <si>
    <t>Pin Buk BRI Sahardjo TRF 00000112501000255301 PAN CONVINCE MI</t>
  </si>
  <si>
    <t xml:space="preserve">TSel WS RBA Sum AddCost Cetak+MP  I PUTU BAGUS PRATA </t>
  </si>
  <si>
    <t xml:space="preserve">TSel WS RBA Sum LO Reg + Meals  I PUTU BAGUS PRATA </t>
  </si>
  <si>
    <t>MandiriMudikBersam Lighting 18Mar GBK  MASRUHIN : Rp. 6.860.000</t>
  </si>
  <si>
    <t>CENAIDJA/PAN CONVINCE MITRA INTER 5350285999</t>
  </si>
  <si>
    <t>Telkomsel Workshop R MCM InhouseTrf KE NI LUH EKA SUPRIANI DEWI </t>
  </si>
  <si>
    <t>Pin Buk Mandiri MP TRF 00000001220004875566 PAN CONVINCE MI</t>
  </si>
  <si>
    <t>0260401BMRIIDJA010O9931198464</t>
  </si>
  <si>
    <t>TSel Workshop Reach BSMDIDJA/AULIA AYU ASYURA</t>
  </si>
  <si>
    <t xml:space="preserve">Pin Buk BCA 666 RD HIDIANITJE DRA  </t>
  </si>
  <si>
    <t xml:space="preserve">Reimb Beli SSD MUHAMMAD FADLI AKB  </t>
  </si>
  <si>
    <t>SSD Hard Disk</t>
  </si>
  <si>
    <t>BSIN Supplier Mtg, P BRINIDJA/KREASI MILIMETER NUS</t>
  </si>
  <si>
    <t xml:space="preserve">MandiriMudikBersam PIC BP BUMN 17Mar  REVIANA VERONICA P </t>
  </si>
  <si>
    <t>Pin Buk BCA Juanda TRF 00000000005350285999 PAN CONVINCE MI</t>
  </si>
  <si>
    <t>Biaya admin bulanan -Tunggakan</t>
  </si>
  <si>
    <t xml:space="preserve">MandiriMudikBersam PoloShirtVIP Airsm  MUHAMMAD ANGGARA D </t>
  </si>
  <si>
    <t>20260401BMRIIDJA010O9931496667</t>
  </si>
  <si>
    <t>Biaya Admin PRK - Tunggakan</t>
  </si>
  <si>
    <t xml:space="preserve">Pengembalian CA000 12 2026 an FA  FRIDA ACHMADI </t>
  </si>
  <si>
    <t>BIFAST Inc GL-CS CENAIDJA/PAN CONVINCE MITRA INTER</t>
  </si>
  <si>
    <t>Pungutan denda saldo dibawah</t>
  </si>
  <si>
    <t>Biaya Administrasi</t>
  </si>
  <si>
    <t>ATMB CR Transfer 75166577 /0000780712/ATB-0000000000013</t>
  </si>
  <si>
    <t xml:space="preserve">Dipinjam PCMI $10K Penalty $50  YOHAN KRISTANTO </t>
  </si>
  <si>
    <t>SPM 110/CSD/26_098/PCMI/V/2026</t>
  </si>
  <si>
    <t>ATMB CR Transfer 75166577 /0000780716/ATB-0000000000013</t>
  </si>
  <si>
    <t>BI-FAST DB TRANSFER   KE 008 PANTRAVEL  KBB : Mandiri Outing Bali</t>
  </si>
  <si>
    <t>150/PCMI/AR/IV/2026</t>
  </si>
  <si>
    <t>Dipinjam PCMI Mandiri MP MP MCM InhouseTrf CS-CS DARI DAVID HARSAMTO</t>
  </si>
  <si>
    <t xml:space="preserve">BI-FAST DB BIAYA TXN  KE 008 PANTRAVEL  KBB  </t>
  </si>
  <si>
    <t>BI-FAST DB TRANSFER   KE 008 PANTRAVEL  KBB  : Trimegah Sekuritas EG 2026 - Tiket</t>
  </si>
  <si>
    <t>Trimegah Sekuritas Employee Gathering</t>
  </si>
  <si>
    <t>OCBC Visa JT-3Apr BIFAST Out CS-GL NISPIDJA/DAVID HARSAMTO</t>
  </si>
  <si>
    <t>B2313BRN April AUTORENT LANCAR SE : Rp. 4.508.000</t>
  </si>
  <si>
    <t>0260403BMRIIDJA010O9931970181 BIFAST Out CS-GL</t>
  </si>
  <si>
    <t>BIFAST Inc GL-CS BBBAIDJA/MARIA IMAKULATA SANDRA PUSPITA</t>
  </si>
  <si>
    <t>BRINIDJA010O9931867446 BIFAST Inc GL-CS BRINIDJA/PAN CONVINCE MITRA I</t>
  </si>
  <si>
    <t>SPM 127/CSD/26_158/PCMI/AR/V/2026</t>
  </si>
  <si>
    <t>Himbara Kunker Medan BRI BTN</t>
  </si>
  <si>
    <t>158/287/PCMI/AR/VI/2026</t>
  </si>
  <si>
    <t>BRINIDJA010O9931865605 BIFAST Inc GL-CS BRINIDJA/PAN CONVINCE MITRA I</t>
  </si>
  <si>
    <t xml:space="preserve">BRI Kunker BAKN KB Claim Meals  MARIA PATRICIA SUG </t>
  </si>
  <si>
    <t>PPh 23 Masa Februari 2026 Billing ID 041984190484036 : Rp. 1.724.441</t>
  </si>
  <si>
    <t xml:space="preserve">BRI SARLivingCost Lunas Prod Crew  R DINAR KUSUMAYANT </t>
  </si>
  <si>
    <t xml:space="preserve">BRI SAR LivingCost Runner 1D 9Apr  ERDIN BINTANG </t>
  </si>
  <si>
    <t xml:space="preserve">Pin Buk BCA Juanda TRF 00000000005350285999 PAN CONVINCE MI </t>
  </si>
  <si>
    <t>SPM 158/CSD/26_DUK SPONSORSHIP ECONOMIC </t>
  </si>
  <si>
    <t xml:space="preserve">BRI SAR LivingCost Crew Lumpsum  RAKA DRAJAT PUTRA </t>
  </si>
  <si>
    <t>183/301/PCMI/AR/VI/2026</t>
  </si>
  <si>
    <t>Pungutan denda saldo dibawah </t>
  </si>
  <si>
    <t xml:space="preserve">BRI SAR LivingCost ShowMgt SilentMove  TEUKU DONNYA SYAHP </t>
  </si>
  <si>
    <t xml:space="preserve">MandiriMudikBersam Snacks&amp;Aqua  MARIA PATRICIA SUG </t>
  </si>
  <si>
    <t xml:space="preserve">LapTop Omen Alex ALEXADRUS NULIADY  </t>
  </si>
  <si>
    <t>Lap Top Omen Alex</t>
  </si>
  <si>
    <t xml:space="preserve">TSel Orbit HH Q4 MealsMba Umi H  UMI HABIBAH MANSYU </t>
  </si>
  <si>
    <t xml:space="preserve">BRI SAR LivingCost Lunas Sofa VIP  DIAZ MUBAROK </t>
  </si>
  <si>
    <t xml:space="preserve">BRI Mudik Bersama Lunas Perijinan  MARIA PATRICIA SUG </t>
  </si>
  <si>
    <t xml:space="preserve">MandiriMudikBersam Lunas GoodieBags  MUHAMMAD ANGGARA D </t>
  </si>
  <si>
    <t>Listrik Mar MCM InhouseTrf CS-CS KE PANTRAVEL</t>
  </si>
  <si>
    <t>Pin Buk BCA Juanda BIFAST Out CS-GL CENAIDJA/PAN CONVINCE MITRA INTER</t>
  </si>
  <si>
    <t>1404/SPM/2940 BOOTH HARKOPNAS 2026</t>
  </si>
  <si>
    <t>BTN Digital Store Hari Koperasi Nasional</t>
  </si>
  <si>
    <t xml:space="preserve">199/317/PCMI/AR/VIII/2026	</t>
  </si>
  <si>
    <t xml:space="preserve">Dipinjam PCMI BCA Juanda  YOHAN KRISTANTO </t>
  </si>
  <si>
    <t>BMRIIDJA010O9932737121 BIFAST Out CS-GL</t>
  </si>
  <si>
    <t>DBS Visa White JT-9A BIFAST Out CS-GL DBSBIDJA/DAVID HARSAMTO</t>
  </si>
  <si>
    <t>BMRIIDJA010O9932737125 BIFAST Out CS-GL</t>
  </si>
  <si>
    <t>Mandiri Visa JT-10Ap MCM InhouseTrf CS-CS KE DAVID HARSAMTO</t>
  </si>
  <si>
    <t>UOB Master JT-7Apr BIFAST Out CS-GL BBIJIDJA/DAVID HARSAMTO</t>
  </si>
  <si>
    <t xml:space="preserve">BRI SAR LivingCost 2KW LimitlessProd  SONJAYA ADIPUTRA </t>
  </si>
  <si>
    <t>BMRIIDJA010O9932737138 BIFAST Out CS-GL</t>
  </si>
  <si>
    <t xml:space="preserve">CR TRF        DR 494 PT PAN CONVINCE MI IBUSER    </t>
  </si>
  <si>
    <t>Bank Raya to BCA Juanda</t>
  </si>
  <si>
    <t>BRI Sosialisasi KPP 00299 BIFAST Out CS-GL BRINIDJA/FRANCISCA ESA RIZKY</t>
  </si>
  <si>
    <t xml:space="preserve">CR TRANSFER   DR 008 PAN CONVINCE MITRA     </t>
  </si>
  <si>
    <t>BMRIIDJA010O9932737146 BIFAST Out CS-GL</t>
  </si>
  <si>
    <t>BMRIIDJA010O9932737451 BIFAST Out CS-GL</t>
  </si>
  <si>
    <t>Byr APLoan 3-Apr Man BIFAST Out CS-GL BBBAIDJA/MARGARETA YOVITA SEPTIANA</t>
  </si>
  <si>
    <t xml:space="preserve">BI-FAST CR TRANSFER   DR 009 HARIFF DAYA TUNGGA     </t>
  </si>
  <si>
    <t>20260407BMRIIDJA010O9932772818 BIFAST Out CS-GL</t>
  </si>
  <si>
    <t>105/213/PCMI/AR/II/2026</t>
  </si>
  <si>
    <t xml:space="preserve">BI-FAST CR TRANSFER   DR 002 PAN CONVINCE MITRA     </t>
  </si>
  <si>
    <t>Byr APLoan 3-Apr Man MCM InhouseTrf CS-CS KE DAVID HARSAMTO</t>
  </si>
  <si>
    <t xml:space="preserve">Byr APLoan 24Apr BCA Juanda YOHAN KRISTANTO  </t>
  </si>
  <si>
    <t xml:space="preserve">TSel WS RBA Sum Spanduk&amp;BDrop I PUTU BAGUS PRATA  </t>
  </si>
  <si>
    <t>20260407BMRIIDJA010O9932772828 BIFAST Out CS-GL</t>
  </si>
  <si>
    <t>Mandiri Mudik, Tenda00313 BIFAST Out CS-GL BRINIDJA/ENDRIK SUYANTO</t>
  </si>
  <si>
    <t>BI-FAST DB TRANSFER   KE 013 MARGARETA YOVITA S KBB - Bayar AP Loan 1-Apr Mandiri MP</t>
  </si>
  <si>
    <t>20260407BMRIIDJA010O9932789760 BIFAST Out CS-GL</t>
  </si>
  <si>
    <t xml:space="preserve">BI-FAST DB BIAYA TXN  KE 013 MARGARETA YOVITA S KBB    </t>
  </si>
  <si>
    <t>TRIMEGAH ASSET MANAGEMEN - 014 12206</t>
  </si>
  <si>
    <t>078/231/PCMI/AR/IV/2026</t>
  </si>
  <si>
    <t>INFRASTRUKTUR TELEKOMUNIKASI INDONESIA - 12206</t>
  </si>
  <si>
    <t xml:space="preserve">Salary PCMI April DAVID HARSAMTO   </t>
  </si>
  <si>
    <t>113/219/PCMI/AR/II/2026</t>
  </si>
  <si>
    <t>Byr APLoan $160 NISPIDJA/DAVID HARSAMTO</t>
  </si>
  <si>
    <t>20260409BMRIIDJA010O9933419315</t>
  </si>
  <si>
    <t xml:space="preserve">Byr APLoan 24Apr BCA Juanda DAVID HARSAMTO  </t>
  </si>
  <si>
    <t>20260410BMRIIDJA010O9933693610 </t>
  </si>
  <si>
    <t>BI-FAST CR TRANSFER   DR 008 PAN CONVINCE MITRA</t>
  </si>
  <si>
    <t>Trimegah TC 26 Kits Peserta Lunas  ROHYATUN</t>
  </si>
  <si>
    <t>Invoice Bis Mudik Mandiri CA Cash Deposit Invoice Bis Mudik Mandiri</t>
  </si>
  <si>
    <t>Himbara FGD FMont Delegate Mic Lunas  ADITYA CHANDRA KUS</t>
  </si>
  <si>
    <t>Mandiri Mudik 2026</t>
  </si>
  <si>
    <t>118/233/PCMI/AR/III/2026</t>
  </si>
  <si>
    <t>Himbara FGD FMont area stage+matador  HARTONO</t>
  </si>
  <si>
    <t>MCM InhouseTrf CS-CS DARI AITI MITRA UTAMA</t>
  </si>
  <si>
    <t>Shell Japan F1 Trip 2026</t>
  </si>
  <si>
    <t xml:space="preserve">128/237/PCMI/AR/IV/2026	</t>
  </si>
  <si>
    <t>Himbara FGD FMont SoundSys 3000W  SONJAYA ADIPUTRA : Rp. 4.900.000</t>
  </si>
  <si>
    <t>PT TELEKOMUNIKASI SELULAR - 031 INW.CN-SKN CR CA-MCS PAN CONVINCE MITRA I : Rp. 242.155.605</t>
  </si>
  <si>
    <t>044/97/PCMI/AR/II/2026</t>
  </si>
  <si>
    <t>Telkomsel E2E Division Alignment Collaboration H1 2026</t>
  </si>
  <si>
    <t>096/226/PCMI/AR/III/2026</t>
  </si>
  <si>
    <t>BI-FAST CR TRANSFER   DR 002 PAN CONVINCE MITRA</t>
  </si>
  <si>
    <t xml:space="preserve">retur CA 00109 PYC TALKS  DEDI PURWANTO SE </t>
  </si>
  <si>
    <t>20260415BMRIIDJA010O9934890581</t>
  </si>
  <si>
    <t>CA-109/25</t>
  </si>
  <si>
    <t xml:space="preserve">BI-FAST CR TANGGAL :07/05 TRANSFER   DR 002  PAN CONVINCE MITRA   </t>
  </si>
  <si>
    <t>Shell Japan F1 Trip, 00375 00375 MCM InhouseTrf CS-CS KE TITIAN JAYA</t>
  </si>
  <si>
    <t xml:space="preserve">Trimegah TC 26 Lovy Ticket  LOVY EVELYN S MELI </t>
  </si>
  <si>
    <t>PPh 23 Masa Maret 2026 Billing ID 041953157053019 : Rp. 5.107.176</t>
  </si>
  <si>
    <t xml:space="preserve">Trimegah TC 26 Hotel+Tiket Lulita  LULITA </t>
  </si>
  <si>
    <t xml:space="preserve">BRI SAR LivingCost Op Exp  M RIZKY AULIA </t>
  </si>
  <si>
    <t xml:space="preserve">Konsul Doc &amp; Obat Sukanda  RD HIDIANITJE DRA </t>
  </si>
  <si>
    <t xml:space="preserve">TSel FB,RM DigiAds Citadine Htl Sin  DUA PILAR BERSAMA </t>
  </si>
  <si>
    <t>BRI SAR LivingCost Lighting Sys  MASRUHIN : Rp. 2.940.000</t>
  </si>
  <si>
    <t>Himbara FGDFairmon LED Screen  WIDI SURYA BUDIANA : Rp. 37.877.000</t>
  </si>
  <si>
    <t xml:space="preserve">Telkom Infra HBH Souv+FunFootBall  ANDRI TAMAMANY CHR </t>
  </si>
  <si>
    <t>Telkom Infra Halal Bihalal ENOM 2.0 Area 1 dan Area 3</t>
  </si>
  <si>
    <t xml:space="preserve">BRI SAR LivingCost Dok PhotoVideo  KATHERIN VICENTIA </t>
  </si>
  <si>
    <t xml:space="preserve">TSel Orbit HH Q4 Add Meals BakuSay  UMI HABIBAH MANSYU </t>
  </si>
  <si>
    <t xml:space="preserve">Shell Japan F1Trip Lugg Tags  ANALITA YULISTYA C </t>
  </si>
  <si>
    <t xml:space="preserve">BRI SAR LivingCost Center piece  HARTONO </t>
  </si>
  <si>
    <t>Byr AP Loan 21Apr USD10K  TOM VALASINDO PT : USD 10.000 X RP. 17.460</t>
  </si>
  <si>
    <t>Forex Gain (Loss)</t>
  </si>
  <si>
    <t xml:space="preserve">TD Penalty USD50 TOM VALASINDO PT  </t>
  </si>
  <si>
    <t>Interest Loan</t>
  </si>
  <si>
    <t>Biaya Office Restora HSBCIDJA/PT IWG MANAGEMENT INDONESIA : Rp. 7.167.263</t>
  </si>
  <si>
    <t xml:space="preserve">Pin Buk BCA Juanda RD HIDIANITJE DRA  </t>
  </si>
  <si>
    <t xml:space="preserve">Trimegah TC 26 DP Soto Wito 22May  VINDA AMBHITA MONA </t>
  </si>
  <si>
    <t>TRANSFER OR VIA IB  SUMITOMO MITSUI BA JPY       55150.00  JCM CORPORATION LT : Shell Japan F1 Trip Suica, Rest Nakau, Meals (Japan Tabi Expert, Full Payment)</t>
  </si>
  <si>
    <t xml:space="preserve">FEE TELEX OR  SUMITOMO MITSUI BA JCM CORPORATION LT  </t>
  </si>
  <si>
    <t xml:space="preserve">FEE FULL AMT OR  SUMITOMO MITSUI BA JCM CORPORATION LT  </t>
  </si>
  <si>
    <t xml:space="preserve">TSel WS RBA Sum SoundSys+Mic  HAPPY MEDIA DISPLA </t>
  </si>
  <si>
    <t xml:space="preserve">BRI SAR LivingCost Meals PCMI+Crew  MARIA PATRICIA SUG </t>
  </si>
  <si>
    <t xml:space="preserve">laporan CA 00016 ANALITA YULISTYA C  </t>
  </si>
  <si>
    <t xml:space="preserve">BI-FAST CR TANGGAL :15/05 TRANSFER   DR 008  PAN CONVINCE MITRA   </t>
  </si>
  <si>
    <t xml:space="preserve">Internet April EKAMAS MORA REPUBL  </t>
  </si>
  <si>
    <t xml:space="preserve">Photocopy April OSC OFFICE MACHINE  </t>
  </si>
  <si>
    <t xml:space="preserve">Penggantian Mesin Photocopy  OSC OFFICE MACHINE </t>
  </si>
  <si>
    <t xml:space="preserve">MandiriKonsyBPN Show Mgt  TEUKU DONNYA SYAHP </t>
  </si>
  <si>
    <t xml:space="preserve">Trimegah TC 26 Styling &amp; Concept  LEONARDO AUGUST GU </t>
  </si>
  <si>
    <t xml:space="preserve">TSel WS RBA Sum LED Screen 2x3 M  HAPPY MEDIA DISPLA </t>
  </si>
  <si>
    <t xml:space="preserve">CA-017/26 Yogi YOGI PURWO WIDODO  </t>
  </si>
  <si>
    <t xml:space="preserve">CA-17/26 </t>
  </si>
  <si>
    <t xml:space="preserve">KR OTOMATIS LLG-CIMB NIAGA PT.CENTRATAMA MENA  CMIPV26-002076 202 605121836297490   </t>
  </si>
  <si>
    <t>145/263/PCMI/AR/IV/2026</t>
  </si>
  <si>
    <t xml:space="preserve">SETORAN TUNAI  PENGEMBALIAN UA  NG SAKU SHELL J EPANG  </t>
  </si>
  <si>
    <t>BNI</t>
  </si>
  <si>
    <t xml:space="preserve">KR OTOMATIS LLG-DBS INDONESIA PT TOWER BERSAMA  EXPN-TB-038890-26   </t>
  </si>
  <si>
    <t>160/254/PCMI/AR/IV/2026</t>
  </si>
  <si>
    <t xml:space="preserve">KR OTOMATIS LLG-DBS INDONESIA PT TOWER BERSAMA  EXPN-TB-040838-26   </t>
  </si>
  <si>
    <t>161/255/PCMI/AR/IV/2026</t>
  </si>
  <si>
    <t xml:space="preserve">BI-FAST CR TANGGAL :19/05 TRANSFER   DR 200  PAN CONVINCE MITRA   </t>
  </si>
  <si>
    <t>BIAYA ADM REK</t>
  </si>
  <si>
    <t xml:space="preserve">KR OTOMATIS LLG-DBS INDONESIA PT TOWER BERSAMA  EXPN-TB-038538-26   </t>
  </si>
  <si>
    <t xml:space="preserve">20260417BMRIIDJA010O9935286933 </t>
  </si>
  <si>
    <t>162/256/PCMI/AR/IV/2026</t>
  </si>
  <si>
    <t xml:space="preserve">Trimegah EG Kaos EG  ROHYATUN </t>
  </si>
  <si>
    <t>Bank charge</t>
  </si>
  <si>
    <t>Design SysSvc HR Consultation  BYOND TECH GLOBAL : Rp. 32.000.000</t>
  </si>
  <si>
    <t xml:space="preserve">20260417BMRIIDJA010O9935295489 </t>
  </si>
  <si>
    <t>Trimegah Training Ca 00554   BNINIDJA/PACTO : Rp. 1.960.000</t>
  </si>
  <si>
    <t>TRF/PAY/TOP-UP ECHANNEL | PEMINDAHAN KE 5350285999 | Pin Buk BCA Juanda</t>
  </si>
  <si>
    <t>HR System</t>
  </si>
  <si>
    <t>Byond Tech Global</t>
  </si>
  <si>
    <t>Bayar APLoan 21Apr BCA Juanda DAVID HARSAMTO</t>
  </si>
  <si>
    <t>BY TRX BIFAST </t>
  </si>
  <si>
    <t xml:space="preserve">20260421BMRIIDJA010O9936304394 </t>
  </si>
  <si>
    <t>KR OTOMATIS LLG-DBS INDONESIA PT TOWER BERSAMA EXPN-TB-038886-26</t>
  </si>
  <si>
    <t>163/257/PCMI/AR/IV/2026</t>
  </si>
  <si>
    <t>20260421BNINIDJA010O0181964891 BNINIDJA/INTRAREPS 2933923599102</t>
  </si>
  <si>
    <t>KR OTOMATIS LLG-DBS INDONESIA PT TOWER BERSAMA EXP-TB-000070-26</t>
  </si>
  <si>
    <t>TRANSFER DARI | PEMINDAHAN DARI 753360289129006 |CN/CSE/1098</t>
  </si>
  <si>
    <t>Trimegah Training Ca00555 BNINIDJA/YANTO</t>
  </si>
  <si>
    <t>164/258/PCMI/AR/IV/2026</t>
  </si>
  <si>
    <t>Himbara FGD Semarang</t>
  </si>
  <si>
    <t>282/PCMI/AR/XI/2025</t>
  </si>
  <si>
    <t>Trimegah Sekuritas E 00553 MCM InhouseTrf  KE PANTRAVEL</t>
  </si>
  <si>
    <t>TRF/PAY/TOP-UP ECHANNEL | PEMINDAHAN KE   1220004875566 |Pin Buk Mandiri MP</t>
  </si>
  <si>
    <t>20260421BMRIIDJA010O9936311769</t>
  </si>
  <si>
    <t>BNI to Mandiri Mid Plaza</t>
  </si>
  <si>
    <t>Trimegah Training Ca00557 BNINIDJA/YANTO</t>
  </si>
  <si>
    <t>BY TRX BIFAST</t>
  </si>
  <si>
    <t xml:space="preserve">20260421BMRIIDJA010O9936311776 </t>
  </si>
  <si>
    <t>TRF/PAY/TOP-UP ECHANNEL | PEMINDAHAN KE   5350285999 |Pin Buk BCA Juanda</t>
  </si>
  <si>
    <t xml:space="preserve">HIMBARA KUNKER MEDAN00544 BRINIDJA/MARIA PATRICIA SUGAM </t>
  </si>
  <si>
    <t xml:space="preserve">20260421BMRIIDJA010O9936311782 </t>
  </si>
  <si>
    <t xml:space="preserve">TSel FB RM Digiads Reimb Mar-Mei FARAH YUMNA PRADIS  </t>
  </si>
  <si>
    <t>TRIMEGAH ASSET MANAGEMEN - 014  12206 : Rp. 99.790.709</t>
  </si>
  <si>
    <t>123/234/PCMI/AR/IV/2026</t>
  </si>
  <si>
    <t xml:space="preserve">TSel FB RM Digiads HBH Sabhu&amp;Remboela NADYA ROSALIA HANU  </t>
  </si>
  <si>
    <t>124/235/PCMI/AR/IV/2026</t>
  </si>
  <si>
    <t xml:space="preserve">Trimegah TC 26 Fee Tl dan tips FARIZ LANA  </t>
  </si>
  <si>
    <t>TRF/PAY/TOP-UP ECHANNEL | PEMINDAHAN KE   1220004875566 | Pin Buk Mandiri MP</t>
  </si>
  <si>
    <t xml:space="preserve">Trimegah TC 26 Fee TL dan Tips HENDRO PRASETYO WI  </t>
  </si>
  <si>
    <t xml:space="preserve">125/236PCMI/AR/IV/2026	</t>
  </si>
  <si>
    <t>20260423CENAIDJA010O0104674261 BIFAST Inc GL-CS  CENAIDJA/DAVID HARSAMTO</t>
  </si>
  <si>
    <t xml:space="preserve">Krg Byr PPn Ganti Mesin FtCopy OSC OFFICE MACHINE  </t>
  </si>
  <si>
    <t>20260423BBBAIDJA010O0101829902 BIFAST Inc GL-CS  BBBAIDJA/YOHAN KRISTANTO</t>
  </si>
  <si>
    <t>PPn Masa May-26</t>
  </si>
  <si>
    <t>Krb Byr PPn-PPh Sewa Fotocopy Apr OSC OFFICE MACHINE : Rp. 64.054</t>
  </si>
  <si>
    <t>Trimegah Sekuritas E 00562 00562 MCM InhouseTrf CS-CS  KE PANTRAVEL</t>
  </si>
  <si>
    <t>Mandiri Outing Bali, 00563 00563 MCM InhouseTrf CS-CS  KE PANTRAVEL</t>
  </si>
  <si>
    <t>BIAYA SALDO MIN</t>
  </si>
  <si>
    <t>Trimegah Sekuritas E  00580 MCM InhouseTrf CS-CS  KE PANTRAVEL</t>
  </si>
  <si>
    <t>Krg Byr PPn-PPh Internet April EKAMAS MORA REPUBL : Rp. 315.000</t>
  </si>
  <si>
    <t xml:space="preserve">UBP602123998028000008988890000030956 MCM CASA UBP Pym 1L  </t>
  </si>
  <si>
    <t xml:space="preserve">UBP60212399902FFFFFF422150605000 MCM CASA UBP Pym 1L  </t>
  </si>
  <si>
    <t>Mandiri Outing Bali, 00567 00567 MCM InhouseTrf CS-CS  KE KREASI LANGIT SEMBILAN</t>
  </si>
  <si>
    <t>Mandiri Outing Bali,00568 BIFAST Out CS-GL  BNINIDJA/BALI CRUISES NUSANTARA</t>
  </si>
  <si>
    <t xml:space="preserve">Dipinjam PCMI DAVID HARSAMTO   </t>
  </si>
  <si>
    <t xml:space="preserve">20260423BMRIIDJA010O9936999557 BIFAST Out CS-GL  </t>
  </si>
  <si>
    <t>EBiz 17 AI Max 2026/27 EXABYTES NETWORK I  : Rp. 8.699.557</t>
  </si>
  <si>
    <t>Pin Buk BCA Juanda BIFAST Out CS-GL  CENAIDJA/PAN CONVINCE MITRA INTER</t>
  </si>
  <si>
    <t xml:space="preserve">20260424BMRIIDJA010O9937017625 BIFAST Out CS-GL  </t>
  </si>
  <si>
    <t>BIFAST Inc GL-CS  CENAIDJA/PAN CONVINCE MITRA INTER</t>
  </si>
  <si>
    <t xml:space="preserve">TRANSFER DARI | PEMINDAHAN  DARI 753360289101001 |  EFS3897CN/BNI/CSE/0492 </t>
  </si>
  <si>
    <t>Trimegah Training Ca00442 BIFAST Out CS-GL  BNINIDJA/YANTO</t>
  </si>
  <si>
    <t xml:space="preserve">Shell JapanF1 Trip Krg Byr Local Agen ANALITA YULISTYA C  </t>
  </si>
  <si>
    <t>149/308/PCMI/AR/VII/2026</t>
  </si>
  <si>
    <t xml:space="preserve">BIFAST Out CS-GL  </t>
  </si>
  <si>
    <t xml:space="preserve">Trimegah TC 26 TL Fee 3 days RYAN PRAWIRA  </t>
  </si>
  <si>
    <t>JASA GIRO/BUNGA</t>
  </si>
  <si>
    <t xml:space="preserve">Trimegah TC 26 TL Fee 3Days NUGRAHA WIJAYA  </t>
  </si>
  <si>
    <t>PPH</t>
  </si>
  <si>
    <t>20260428BMRIIDJA010O9938263313</t>
  </si>
  <si>
    <t xml:space="preserve">Trimegah TC 26 Lunas Dingklik MARIA PATRICIA SUG  </t>
  </si>
  <si>
    <t xml:space="preserve">Trimegah TC 26 DP Dingklik MARIA PATRICIA SUG  </t>
  </si>
  <si>
    <t xml:space="preserve">Byr APLoan 23-Apr Ma BBBAIDJA/YOHAN KRISTANTO </t>
  </si>
  <si>
    <t xml:space="preserve">Reimb Kas Kecil TIKA RISKI ASTARI   </t>
  </si>
  <si>
    <t>TRF/PAY/TOP-UP ECHANNEL | 5350285999 Pin Buk BCA Juanda |</t>
  </si>
  <si>
    <t xml:space="preserve">20260429BMRIIDJA010O9938393507 </t>
  </si>
  <si>
    <t xml:space="preserve">TSel FB RM Digiads Reimb Mtg OMD NICO ANDREAS  </t>
  </si>
  <si>
    <t>BNINIDJA/PAN CONVINCE MITRA INTERNATIONA 195615754999102</t>
  </si>
  <si>
    <t xml:space="preserve">Dipinjam PCMI BCA Juanda DAVID HARSAMTO  </t>
  </si>
  <si>
    <t xml:space="preserve">Bunga u/ Ibu Elly Medistra PRISKA YANTI WIDYA  </t>
  </si>
  <si>
    <t>RF/PAY/TOP-UP ECHANNEL | 1220004875566Pin Buk Mandiri MP</t>
  </si>
  <si>
    <t xml:space="preserve">Bayar AP Loan 7-Apr BBBAIDJA/MARIA IMAKULATA SANDRA PUSPITA </t>
  </si>
  <si>
    <t>Pengkinian Akta Pengurus JIMMY TANAL : Rp. 4.590.000</t>
  </si>
  <si>
    <t xml:space="preserve">20260429BMRIIDJA010O9938537042 </t>
  </si>
  <si>
    <t>Marketing Expense</t>
  </si>
  <si>
    <t>Notarial Fee</t>
  </si>
  <si>
    <t>TRF/PAY/TOP-UP ECHANNEL | 5350285999 Pin Buk BCA Juanda</t>
  </si>
  <si>
    <t>Salary PCMI April  CENAIDJA/DAVID HARSAMTO</t>
  </si>
  <si>
    <t>Pengkinian Akta Pengurus JIMMY TANAL : Rp. 4.590.000 : Belum Setor PPh-21</t>
  </si>
  <si>
    <t xml:space="preserve">20260429BMRIIDJA010O9938586856 </t>
  </si>
  <si>
    <t>Bayar APLoan 24-Apr  CENAIDJA/DAVID HARSAMTO</t>
  </si>
  <si>
    <t>Himbara Kons Ponti 00726 TIKA RISKI ASTARI  : Rp. 50.000.000</t>
  </si>
  <si>
    <t>20260429BMRIIDJA010O9938620060</t>
  </si>
  <si>
    <t>TRIMEGAH ASSET MANAGEMEN - 014</t>
  </si>
  <si>
    <t>Corporate Social Responsibility at SDN Barunawati - Semarang (CSR)</t>
  </si>
  <si>
    <t>139/261/PCMI/AR/IV/2026</t>
  </si>
  <si>
    <t>HimbaraKunKerMedan 00725 TIKA RISKI ASTARI : Rp. 129.400.000</t>
  </si>
  <si>
    <t>OCBC Visa JT-4May NISPIDJA/DAVID HARSAMTO 20260504BMRIIDJA</t>
  </si>
  <si>
    <t xml:space="preserve">BI-FAST CR TRANSFER   DR 046 PT TOWER BERSAMA     </t>
  </si>
  <si>
    <t>OCBC DH</t>
  </si>
  <si>
    <t xml:space="preserve">20260504BMRIIDJA010O9931025619 </t>
  </si>
  <si>
    <t>165/259/PCMI/AR/IV/2026</t>
  </si>
  <si>
    <t>UBP60215001202FFFFFF042000088846803 : Kurang Bayar PPh-21 Tahun 2025</t>
  </si>
  <si>
    <t xml:space="preserve">BIAYA ADM   </t>
  </si>
  <si>
    <t>Retur OCBC Visa JT4May MCM InhouseTrf  DARI DAVID HARSAMTO Retur OCBC Visa JT4May99101</t>
  </si>
  <si>
    <t>LLG-HSBC INDONESIA PT REGUS BUSINESS  5920661127 * JNB00 0339166 5920661127 : WA Frieda 15-Jun Retur Deposit Office Rent HQ</t>
  </si>
  <si>
    <t>Pin Buk BCA Juanda  CENAIDJA/PAN CONVINCE MITRA INTER 20260505BMRIIDJA</t>
  </si>
  <si>
    <t>Retur Deposit HQ Office Rent</t>
  </si>
  <si>
    <t xml:space="preserve">20260505BMRIIDJA010O9931149443 </t>
  </si>
  <si>
    <t>LLG-HSBC INDONESIA PT REGUS BUSINESS  5920661129 * JNB00 0339166 5920661129 : WA Frieda 15-Jun Retur Deposit Office Rent HQ</t>
  </si>
  <si>
    <t>CENAIDJA/DAVID HARSAMTO 575020581199102</t>
  </si>
  <si>
    <t>LLG-HSBC INDONESIA PT REGUS BUSINESS  5920661130 * JNB00 0339166 5920661130 : WA Frieda 15-Jun Retur Deposit Office Rent HQ</t>
  </si>
  <si>
    <t xml:space="preserve">DBS Visa White JT-5M DBSBIDJA/DAVID HARSAMTO </t>
  </si>
  <si>
    <t>LLG-HSBC INDONESIA PT REGUS BUSINESS  5920661128 * JNB00 0339166 5920661128 : WA Frieda 15-Jun Retur Deposit Office Rent HQ</t>
  </si>
  <si>
    <t>20260505BMRIIDJA010O9931476908</t>
  </si>
  <si>
    <t>20260506HSBCIDJA010O0100544700  HSBCIDJA/MR HARTONO ANTONIUS NICOLAAS TO</t>
  </si>
  <si>
    <t>LLG-HSBC INDONESIA PT REGUS BUSINESS  5920661131 * JNB00 0339166 5920661131 : WA Frieda 15-Jun Retur Deposit Office Rent HQ</t>
  </si>
  <si>
    <t>20260506HSBCIDJA010O0100544702  HSBCIDJA/MR HARTONO ANTONIUS NICOLAAS TO</t>
  </si>
  <si>
    <t>LLG-HSBC INDONESIA PT REGUS BUSINESS  5920661132 * JNB00 0339166 5920661132 : WA Frieda 15-Jun Retur Deposit Office Rent HQ</t>
  </si>
  <si>
    <t>CA-20/26 Patrice, Pa BRINIDJA/MARIA PATRICIA SUGAM</t>
  </si>
  <si>
    <t xml:space="preserve">CA-020/26 </t>
  </si>
  <si>
    <t xml:space="preserve">20260506BMRIIDJA010O9931571182 </t>
  </si>
  <si>
    <t>LLG-HSBC INDONESIA PT REGUS BUSINESS  5920661126 * JNB00 0339166 5920661126 : WA Frieda 15-Jun Retur Deposit Office Rent HQ</t>
  </si>
  <si>
    <t>CA-20/26 Patrice, Pa  BRINIDJA/MARIA PATRICIA SUGAM</t>
  </si>
  <si>
    <t>CA-020/26</t>
  </si>
  <si>
    <t>TSel WS RBA Sum Innova+Driver  BPW SAHADEWA BASUN : Rp. 13.834.360</t>
  </si>
  <si>
    <t xml:space="preserve">20260506BMRIIDJA010O9931571191 </t>
  </si>
  <si>
    <t>CENAIDJA/DAVID HARSAMTO 224137957699102</t>
  </si>
  <si>
    <t xml:space="preserve">CA-21/26 Lita  MCM InhouseTrf  KE ANALITA YULISTYA C </t>
  </si>
  <si>
    <t>CA-021/26</t>
  </si>
  <si>
    <t>BIFAST Inc GL-CS  BRINIDJA/PAN CONVINCE MITRA I</t>
  </si>
  <si>
    <t>BPW Sahadewa Basundari Bali</t>
  </si>
  <si>
    <t>Byr AP Loan 6-May Ma BIFAST Out CS-GL  CENAIDJA/DAVID HARSAMTO</t>
  </si>
  <si>
    <t xml:space="preserve">20260507BMRIIDJA010O9931875639 BIFAST Out CS-GL  </t>
  </si>
  <si>
    <t>TSel WS RBA Sum 8 Hiace 3Days  BPW SAHADEWA BASUN : Rp. 57.146.015</t>
  </si>
  <si>
    <t>UBP60215001202FFFFFF042082495394940 MCM CASA UBP Pym 1L  : STP Denda Pajak PPN Masa Nop</t>
  </si>
  <si>
    <t>OCBC Visa JT-5May Re MCM InhouseTrf CS-CS  KE DAVID HARSAMTO</t>
  </si>
  <si>
    <t>TRIMEGAH ASSET MANAGEMEN - 014 12206 : Rp. 455.122.548</t>
  </si>
  <si>
    <t xml:space="preserve">167/262/PCMI/AR/IV/2026	</t>
  </si>
  <si>
    <t xml:space="preserve">168/263/PCMI/AR/IV/2026	</t>
  </si>
  <si>
    <t xml:space="preserve">169/264/PCMI/AR/IV/2026	</t>
  </si>
  <si>
    <t xml:space="preserve">170/265/PCMI/AR/IV/2026	</t>
  </si>
  <si>
    <t xml:space="preserve">171/266/PCMI/AR/IV/2026	</t>
  </si>
  <si>
    <t>UOB Master JT-6May 00632 BBIJIDJA/DAVID HARSAMTO </t>
  </si>
  <si>
    <t>20260507BMRIIDJA010O9932067463</t>
  </si>
  <si>
    <t xml:space="preserve">Mandiri OutingBali Foto Video 3Days  YOHANES LEXIANUS </t>
  </si>
  <si>
    <t>Bayar AP Loan 6-May CENAIDJA/DAVID HARSAMTO</t>
  </si>
  <si>
    <t xml:space="preserve">Mandiri OutingBali LO 2May  MARINA LUANDA </t>
  </si>
  <si>
    <t>20260507BMRIIDJA010O9932143484</t>
  </si>
  <si>
    <t>Internet Msy EKAMAS MORA REPUBL : Rp. 3.815.000</t>
  </si>
  <si>
    <t>Byr AP Loan 6-May Ma CENAIDJA/DAVID HARSAMTO</t>
  </si>
  <si>
    <t>Photocopy May OSC OFFICE MACHINE : Rp. 775.766</t>
  </si>
  <si>
    <t>20260507BMRIIDJA010O9932142300</t>
  </si>
  <si>
    <t>REDPOD INDONESIA,PT - 213 12206 : Rp. 318.513.787</t>
  </si>
  <si>
    <t>Shell Bali Private Trip 2026</t>
  </si>
  <si>
    <t>014/208/PCMI/AR/I/2026</t>
  </si>
  <si>
    <t>Shell Visit KUL 2026</t>
  </si>
  <si>
    <t>087/217/PCMI/AR/II/2026</t>
  </si>
  <si>
    <t xml:space="preserve">TSel FB RM DIgiads Reimb Lunch Mtg  ANDREE KURNIAWAN </t>
  </si>
  <si>
    <t>Shell Hexindo Trip KUL 2026</t>
  </si>
  <si>
    <t>098/216/PCMI/AR/II/2026</t>
  </si>
  <si>
    <t xml:space="preserve">TSel FB RM Digiads Reimb Sin Biz Trip  FARAH YUMNA PRADIS </t>
  </si>
  <si>
    <t xml:space="preserve">Trimegah TC 26 Reimb Mobil Jkt  ALEXADRUS NULIADY </t>
  </si>
  <si>
    <t xml:space="preserve">Mandiri OutingBali Op Exp  MARIA PATRICIA SUG </t>
  </si>
  <si>
    <t>Shell Bangkok Customer Trip 2026</t>
  </si>
  <si>
    <t>101/230/PCMI/AR/II/2026</t>
  </si>
  <si>
    <t xml:space="preserve">TSel FB RM DIgiads Mtg Seabank Dll  AFFANDI BASITH </t>
  </si>
  <si>
    <t xml:space="preserve">TSel FB RM Digiads Padel OMD+Lunch  NICO ANDREAS </t>
  </si>
  <si>
    <t>20260508BMRIIDJA010O9932248737</t>
  </si>
  <si>
    <t xml:space="preserve">KR OTOMATIS LLG-DBS INDONESIA PT TOWER BERSAMA  EXP-TB-000328-26   </t>
  </si>
  <si>
    <t>20260508CENAIDJA010O0117521120 CENAIDJA/RD HIDIANITJE DRA</t>
  </si>
  <si>
    <t>BCA Sahardjo</t>
  </si>
  <si>
    <t>159/253/PCMI/AR/IV/2026</t>
  </si>
  <si>
    <t>Trimegah Sekuritas E 00603 00603 MCM InhouseTrf KE PANTRAVEL</t>
  </si>
  <si>
    <t xml:space="preserve">DB 0806/FTFVA/WS95051 19008/PELITA AIR  - -  1008000090346 </t>
  </si>
  <si>
    <t xml:space="preserve">CA-19/26 Rizky M RIZKY AULIA  </t>
  </si>
  <si>
    <t>Trimegah TC, 0126002 00630 00630 MCM InhouseTrf KE PANTRAVEL</t>
  </si>
  <si>
    <t>CA-19/26</t>
  </si>
  <si>
    <t>CA-15/26 Yogi YOGI PURWO WIDODO  : CA-11B/26</t>
  </si>
  <si>
    <t xml:space="preserve">tagihan lampung CR P  NOVIKA NASUTION </t>
  </si>
  <si>
    <t>BIFAST Inc GL-CS CENAIDJA/RD HIDIANITJE DRA</t>
  </si>
  <si>
    <t>080/PCMI/AR/IV/2025</t>
  </si>
  <si>
    <t>Mandiri Visa JT-11Ma 00633 00633 MCM InhouseTrf CS-CS KE DAVID HARSAMTO</t>
  </si>
  <si>
    <t>TRIMEGAH SEKURITAS MCM InhouseTrf CS</t>
  </si>
  <si>
    <t>156/269/PCMI/AR/V/2026</t>
  </si>
  <si>
    <t>Mandiri Outing Bali, 00608  MCM InhouseTrf  KE PANTRAVEL</t>
  </si>
  <si>
    <t xml:space="preserve">DP HeadHunter AE  BYOND TECH GLOBAL </t>
  </si>
  <si>
    <t>Trimegah Training Ca00558   BNINIDJA/YANTO 20260511</t>
  </si>
  <si>
    <t xml:space="preserve">HimbaraKonsyiPonti 2 Events  TEUKU DONNYA SYAHP </t>
  </si>
  <si>
    <t xml:space="preserve">20260511BMRIIDJA010O9933104794 </t>
  </si>
  <si>
    <t xml:space="preserve">Bunga Papan HUT Telkomsel  MUH NURHIDAYAT TAU </t>
  </si>
  <si>
    <t xml:space="preserve">TSel Mtg CP2 &amp; Townh00599 BRINIDJA/NOVLI FELISIA SITUMO </t>
  </si>
  <si>
    <t>Sales and Promotion</t>
  </si>
  <si>
    <t>Telkomsel Meeting CP2 and Townhall Network Jakarta</t>
  </si>
  <si>
    <t xml:space="preserve">20260511BMRIIDJA010O9933104798 </t>
  </si>
  <si>
    <t xml:space="preserve">Trimegah TC 26 Opex  MARIA PATRICIA SUG </t>
  </si>
  <si>
    <t xml:space="preserve">TSel Operational Rev00600 BRINIDJA/NOVLI FELISIA SITUMO </t>
  </si>
  <si>
    <t xml:space="preserve">Trimegah TC 26 Show Mgt  TEUKU DONNYA SYAHP </t>
  </si>
  <si>
    <t>Telkomsel Operational Review Meeting Sumatera</t>
  </si>
  <si>
    <t xml:space="preserve">20260511BMRIIDJA010O9933104800 </t>
  </si>
  <si>
    <t xml:space="preserve">Trimegah Sekur EG LuggTag+WelcPack  ROHYATUN </t>
  </si>
  <si>
    <t xml:space="preserve">TSel WS RBA Sum, Mea00414  BNINIDJA/T SY AMANDA REFITA </t>
  </si>
  <si>
    <t>20260511BMRIIDJA010O9933105002</t>
  </si>
  <si>
    <t>B2313BRN May AUTORENT LANCAR SE : Rp. 5.014.000</t>
  </si>
  <si>
    <t xml:space="preserve">Mandiri Outing Bali, 00619  MCM InhouseTrf  KE TITIAN JAYA </t>
  </si>
  <si>
    <t xml:space="preserve">Mandiri Mudik Bersam00625  BRINIDJA/KREASI MILIMETER NUS </t>
  </si>
  <si>
    <t xml:space="preserve">20260511BMRIIDJA010O9933105430  </t>
  </si>
  <si>
    <t>TSel WS RBA Sum, 012 00400 MCM InhouseTrf  KE PANTRAVEL</t>
  </si>
  <si>
    <t>Listrik April  00593 MCM InhouseTrf  KE PANTRAVEL</t>
  </si>
  <si>
    <t xml:space="preserve">PPN B2313BRN April  AUTORENT LANCAR SE </t>
  </si>
  <si>
    <t xml:space="preserve">TSel Mtg CP2 &amp; Townh 00490  MCM InhouseTrf  KE PANTRAVEL </t>
  </si>
  <si>
    <t xml:space="preserve">HimbaraKonsiPonti Delegate Mic  ADITYA CHANDRA KUS </t>
  </si>
  <si>
    <t xml:space="preserve">TSel Mtg CP2 &amp; Townh 00575 MCM InhouseTrf  KE PANTRAVEL </t>
  </si>
  <si>
    <t xml:space="preserve">Shell JapanF1 Trip Assist Card  SANDEEP BANGARA </t>
  </si>
  <si>
    <t>TSel WS RBA Sum, 012 00410 MCM InhouseTrf  KE PANTRAVEL</t>
  </si>
  <si>
    <t xml:space="preserve">TSel FB, Reward &amp; Me 00551 MCM InhouseTrf  KE PANTRAVEL </t>
  </si>
  <si>
    <t xml:space="preserve">TSel WS RBA Sum, 012 00390 MCM InhouseTrf  KE PANTRAVEL </t>
  </si>
  <si>
    <t xml:space="preserve">Himbara KonsiPonti Prod FGDPonti 7May  TEMAN KERJA NUSANT </t>
  </si>
  <si>
    <t xml:space="preserve">TSel WS RBA Sum, 012 00411  MCM InhouseTrf  KE PANTRAVEL </t>
  </si>
  <si>
    <t>TSel WS RBA Sum, 012 00402 MCM InhouseTrf  KE PANTRAVEL</t>
  </si>
  <si>
    <t xml:space="preserve">TSel Mtg CP2 &amp; Townh 00577 MCM InhouseTrf  KE PANTRAVEL </t>
  </si>
  <si>
    <t xml:space="preserve">Byr AP Loan 26May BCA Juanda  DAVID HARSAMTO </t>
  </si>
  <si>
    <t xml:space="preserve">TSel Digital Placeme 00392 MCM InhouseTrf  KE PANTRAVEL </t>
  </si>
  <si>
    <t>Telkomsel Digital Placement Support Area Sumatera</t>
  </si>
  <si>
    <t xml:space="preserve">TSel WS RBA Sum, 012 00401 MCM InhouseTrf  KE PANTRAVEL </t>
  </si>
  <si>
    <t xml:space="preserve">Byr AP Loan 28May BCA Juanda  DAVID HARSAMTO </t>
  </si>
  <si>
    <t>TSel WS RBA Sum, 012 00344  MCM InhouseTrf  KE PANTRAVEL</t>
  </si>
  <si>
    <t xml:space="preserve">Byr AP Loan 3-Jun BCA Juanda  DAVID HARSAMTO </t>
  </si>
  <si>
    <t xml:space="preserve">20260512BMRIIDJA010O9933198782 </t>
  </si>
  <si>
    <t xml:space="preserve">20260512BMRIIDJA010O9933443077 </t>
  </si>
  <si>
    <t xml:space="preserve">TSel FB RM Digiads Mtg Jenius Dll  FRIDONDY PRAWIRA D </t>
  </si>
  <si>
    <t>PT TELEKOMUNIKASI SELULAR - 031 : Rp. 98.848.816</t>
  </si>
  <si>
    <t>TSel WS RBA Sum Avansa 29-2Apr  BPW SAHADEWA BASUN : Rp. 4.608.150</t>
  </si>
  <si>
    <t>058/248/PCMI/AR/IV/2026</t>
  </si>
  <si>
    <t xml:space="preserve">068/249/PCMI/AR/IV/2026	</t>
  </si>
  <si>
    <t xml:space="preserve">Pin Buk BRI Sho  BRINIDJA/PAN CONVINCE MITRA I </t>
  </si>
  <si>
    <t>20260513BMRIIDJA010O9933547339</t>
  </si>
  <si>
    <t>138/238/PCMI/AR/IV/2026</t>
  </si>
  <si>
    <t xml:space="preserve">TRIMEGAH ASSET MANAGEMEN - 014  </t>
  </si>
  <si>
    <t xml:space="preserve">AXA AFI Rental LED CrewProd 1D 10Jun  ANDRI LUKITO RD </t>
  </si>
  <si>
    <t>178/273/PCMI/AR/V/2026</t>
  </si>
  <si>
    <t>BIFAST Inc GL-CS  CENAIDJA/ANALITA YULISTYA C</t>
  </si>
  <si>
    <t xml:space="preserve">CA-20/26 Patrice MARIA PATRICIA SUG  </t>
  </si>
  <si>
    <t>Pin Buk BCA Sahardjo CENAIDJA/RD HIDIANITJE DRA </t>
  </si>
  <si>
    <t>CA-20/26</t>
  </si>
  <si>
    <t>20260515BMRIIDJA010O9934264260</t>
  </si>
  <si>
    <t>Pin Buk BCA Sahardjo CENAIDJA/RD HIDIANITJE DRA</t>
  </si>
  <si>
    <t>Mandiri OutingBali Mobil,Guide,Oleh2  BPW SAHADEWA BASUN : Rp. 49.211.688</t>
  </si>
  <si>
    <t>20260515BMRIIDJA010O9934264263 </t>
  </si>
  <si>
    <t>20260515BMRIIDJA010O9934267125</t>
  </si>
  <si>
    <t>TSel WS RBA Sum, 012 00393 00393 MCM InhouseTrf KE PANTRAVEL </t>
  </si>
  <si>
    <t>PPn Masa Jun-26</t>
  </si>
  <si>
    <t>TSel FB, Reward Merc 00601 00601 MCM InhouseTrf KE PANTRAVEL</t>
  </si>
  <si>
    <t>PPh 23 dan Final Masa April 2026 Billing ID 042072655680816 : Rp. 2.065.800</t>
  </si>
  <si>
    <t xml:space="preserve">Retur Deposit HQ 2-Jun BCA Juanda  RD HIDIANITJE DRA </t>
  </si>
  <si>
    <t xml:space="preserve">Retur Deposit HQ 2Jun BCA Juanda  RD HIDIANITJE DRA </t>
  </si>
  <si>
    <t xml:space="preserve">Retur Deposito HQ 2Jun BCA Juanda  RD HIDIANITJE DRA </t>
  </si>
  <si>
    <t xml:space="preserve">BRI KunkerBAKN UPG Prod&amp;Stage Crew  MOCH SUPRIYADI </t>
  </si>
  <si>
    <t xml:space="preserve">Trimegah TC 26 LO Event  PRADITA BERLIANI </t>
  </si>
  <si>
    <t xml:space="preserve">Pin BCA Sho Retur 31-Mar  RD HIDIANITJE DRA </t>
  </si>
  <si>
    <t xml:space="preserve">Pin BCA Sho Retur 11-May  RD HIDIANITJE DRA </t>
  </si>
  <si>
    <t xml:space="preserve">Pin Buk BCA Sho Retur 26-May  RD HIDIANITJE DRA </t>
  </si>
  <si>
    <t xml:space="preserve">Pin Buk BCA Sho Retur 3-Jun  RD HIDIANITJE DRA </t>
  </si>
  <si>
    <t>30/06,"BI-FAST CR TRANSFER   DR 008 PAN CONVINCE MITRA</t>
  </si>
  <si>
    <t>Himbara Kons Ponti Meals at Hotel MEGA KRISTINA</t>
  </si>
  <si>
    <t xml:space="preserve">BRI BSBI Kunker By Prod+Stage Crew MOCH SUPRIYADI </t>
  </si>
  <si>
    <t>Bunga Ultah AH DHEFFY KRISTANTO</t>
  </si>
  <si>
    <t>Bunga Pernikahan Lita+Kris DHEFFY KRISTANTO</t>
  </si>
  <si>
    <t>TSel FB RM Digiads Lunch Savoria+Orca NICO ANDREAS</t>
  </si>
  <si>
    <t xml:space="preserve">BRI KunkerBAKN UPG Show Mgt TEUKU DONNYA SYAHP </t>
  </si>
  <si>
    <t>20260515BMRIIDJA010O9934268568 </t>
  </si>
  <si>
    <t xml:space="preserve">BI-FAST CR TANGGAL :30/06 TRANSFER   DR 002  PAN CONVINCE MITRA   </t>
  </si>
  <si>
    <t>20260519BTANIDJA010O9900999008 BTANIDJA/PAN CONVINCE MITRA</t>
  </si>
  <si>
    <t>TSel WS RBA Sum, 012 00399 00399 MCM InhouseTrf KE PANTRAVEL</t>
  </si>
  <si>
    <t xml:space="preserve">BI-FAST DB TANGGAL :30/06 TRANSFER   KE 013  MARGARETA YOVITA S KBB  </t>
  </si>
  <si>
    <t>UBP60212399902FFFFFF422150605000</t>
  </si>
  <si>
    <t>Trimegah TC, DP Land00666 BNINIDJA/PACTO </t>
  </si>
  <si>
    <t xml:space="preserve">BIAYA TXN  KE 013  MARGARETA YOVITA S KBB  </t>
  </si>
  <si>
    <t>20260520BMRIIDJA010O9935244528</t>
  </si>
  <si>
    <t>Pin Buk BCA Sho, Ret BIFAST Out CS-GL CENAIDJA/RD HIDIANITJE DRA</t>
  </si>
  <si>
    <t>20260521BMRIIDJA010O9935747143 BIFAST Out CS-GL</t>
  </si>
  <si>
    <t>Pin Buk BCA Sho. Ret BIFAST Out CS-GL CENAIDJA/RD HIDIANITJE DRA</t>
  </si>
  <si>
    <t>20260521BMRIIDJA010O9935747150 BIFAST Out CS-GL</t>
  </si>
  <si>
    <t>CENAIDJA/RD HIDIANITJE DRA 5750489666</t>
  </si>
  <si>
    <t xml:space="preserve">BTN KonsBanyuwangi Show Mgt  TEUKU DONNYA SYAHP </t>
  </si>
  <si>
    <t>PT TELEKOMUNIKASI SELULAR - 031 INW.CN-SKN CR CA-MCS PAN CONVINCE MITRA I</t>
  </si>
  <si>
    <t>Telkomsel Fiberisasi Target Sumatera</t>
  </si>
  <si>
    <t>042/250/PCMI/AR/IV/2026</t>
  </si>
  <si>
    <t>MCM InhouseTrf DARI TRIMEGAH SEKURITAS INDONESIA : Rp. 554.141.452</t>
  </si>
  <si>
    <t>181/274/PCMI/AR/V/2026</t>
  </si>
  <si>
    <t xml:space="preserve">Trimegah TC 26 Garuda SRG-CGK  CYNTIA CHRISTIANI </t>
  </si>
  <si>
    <t>182/275/PCMI/AR/V/2026</t>
  </si>
  <si>
    <t>Byr AP Loan 21-Apr, BNINIDJA/INTRAREPS </t>
  </si>
  <si>
    <t xml:space="preserve">Trimegah TC 26 Garuda SRG-CGK  YEREMIA ANDY KUSSO </t>
  </si>
  <si>
    <t>20260525BMRIIDJA010O9936711550</t>
  </si>
  <si>
    <t>Byr AP Loan 6-May Ma SUNIIDJA/ANTONIUS NICOLAAS TONNY HARTONO 20260525BMRIIDJA010O9936712004</t>
  </si>
  <si>
    <t xml:space="preserve">TSel FB RM Digiads JEMIMA KASAMIRA LE  </t>
  </si>
  <si>
    <t>20260525BMRIIDJA010O9936712004</t>
  </si>
  <si>
    <t>Bank Raya</t>
  </si>
  <si>
    <t>001-001-001-907-409</t>
  </si>
  <si>
    <t xml:space="preserve">TSel FB RM Digiads Mtg LinkAja dll  AFFANDI BASITH </t>
  </si>
  <si>
    <t>Byr AP Loan 6-May Ma SUNIIDJA/ANTONIUS NICOLAAS TONNY HARTONO 20260525BMRIIDJA010O993671200</t>
  </si>
  <si>
    <t>20260525BMRIIDJA010O9936712009</t>
  </si>
  <si>
    <t xml:space="preserve">TSel FB RM Digiads Mtg Prudential dll  FRIDONDY PRAWIRA D </t>
  </si>
  <si>
    <t>TSel Sum On Ground R00372 BSMDIDJA/AULIA AYU ASYURA 20260526BMRIIDJA010O9937333877</t>
  </si>
  <si>
    <t>20260526BMRIIDJA010O9937333877</t>
  </si>
  <si>
    <t xml:space="preserve">BI-FAST CR TRANSFER   DR 213 DEWI NOVIANI SETIY    </t>
  </si>
  <si>
    <t xml:space="preserve">152/246/PCMI/AR/IV/2026	</t>
  </si>
  <si>
    <t>TSel WS RBA Sum, Rei00380 BSMDIDJA/AULIA AYU ASYURA 20260526BMRIIDJA010O9937333886</t>
  </si>
  <si>
    <t>20260526BMRIIDJA010O9937333886</t>
  </si>
  <si>
    <t xml:space="preserve">BRI Kons KomVI MB Furniture  MARIA SYARIFA </t>
  </si>
  <si>
    <t>TSel WS RBA Sum, Rei00592 BSMDIDJA/AULIA AYU ASYURA 20260526BMRIIDJA010O9937333893</t>
  </si>
  <si>
    <t>CMS BANKRAYA: TRFLA 6361051001907409 DARI 001001001907409 KE 5350285999</t>
  </si>
  <si>
    <t>20260526BMRIIDJA010O9937333893</t>
  </si>
  <si>
    <t xml:space="preserve">BRI Kons KomVI MB DP Prod  YAKUB </t>
  </si>
  <si>
    <t>TSel WS RBA Sum, Rei00405 BSMDIDJA/AULIA AYU ASYURA 20260526BMRIIDJA010O9937334204</t>
  </si>
  <si>
    <t>BIAYA ADMINISTRASI</t>
  </si>
  <si>
    <t>BIAYA PENALTI</t>
  </si>
  <si>
    <t>20260526BMRIIDJA010O9937334204</t>
  </si>
  <si>
    <t>TSel WS RBA Sum, Rei00449 BSMDIDJA/AULIA AYU ASYURA 20260526BMRIIDJA010O9937334209</t>
  </si>
  <si>
    <t>20260526BMRIIDJA010O9937334209</t>
  </si>
  <si>
    <t>TSel WS RBA Sum, Rei00446 BSMDIDJA/AULIA AYU ASYURA 20260526BMRIIDJA010O9937334215</t>
  </si>
  <si>
    <t xml:space="preserve">Deviden PCMI EH NURLAILA HUTABARAT  </t>
  </si>
  <si>
    <t>20260526BMRIIDJA010O9937334215</t>
  </si>
  <si>
    <t>Retained Earnings</t>
  </si>
  <si>
    <t>Deviden</t>
  </si>
  <si>
    <t xml:space="preserve">Deviden PCMI AH RD HIDIANITJE DRA  </t>
  </si>
  <si>
    <t>TSel F&amp;B, Reward &amp; M00662 JAGBIDJA/RAKASIWI PERMANA PUTRA 20260526BMRIIDJA010O9937339778</t>
  </si>
  <si>
    <t xml:space="preserve">Deviden PCMI DH DAVID HARSAMTO  </t>
  </si>
  <si>
    <t>20260526BMRIIDJA010O9937339778</t>
  </si>
  <si>
    <t xml:space="preserve">Rini tsel batam AMELINDA ARUM WIDY  </t>
  </si>
  <si>
    <t>TSel WS RBA Sum, Rei00443 BNINIDJA/KINARYA SELARAS PIRANTI 20260526BMRIIDJA010O9937348449</t>
  </si>
  <si>
    <t>143/242/PCMI/AR/IV/2026</t>
  </si>
  <si>
    <t>20260526BMRIIDJA010O9937348449</t>
  </si>
  <si>
    <t>Trimegah TC 26, Krg 00713 BNINIDJA/PACTO 20260526BMRIIDJA010O9937363391</t>
  </si>
  <si>
    <t xml:space="preserve">TELKOM DIVRE2  02183700854     07 PAN CONVINCE MITRA  0232055350285999 </t>
  </si>
  <si>
    <t>20260526BMRIIDJA010O9937363391</t>
  </si>
  <si>
    <t>Dipinjam PCMI Mandiri MP MP MCM InhouseTrf DARI DAVID HARSAMTO</t>
  </si>
  <si>
    <t xml:space="preserve">TELKOM DIVRE2  02183700872     07 PAN CONVINCE MITRA  0232055350285999 </t>
  </si>
  <si>
    <t>Trimegah Trainning C 00712 00712 MCM InhouseTrf KE TITIAN JAYA</t>
  </si>
  <si>
    <t xml:space="preserve">TELKOM DIVRE2  02183700923     07 PAN CONVINCE MITRA  0232055350285999 </t>
  </si>
  <si>
    <t>CENAIDJA/DAVID HARSAMTO 5750205811</t>
  </si>
  <si>
    <t xml:space="preserve">TELKOM DIVRE2  02183700926     07 PAN CONVINCE MITRA  0232055350285999 </t>
  </si>
  <si>
    <t>Salary PCMI May  CENAIDJA/DAVID HARSAMTO</t>
  </si>
  <si>
    <t xml:space="preserve">20260529BMRIIDJA010O9938062739 </t>
  </si>
  <si>
    <t xml:space="preserve">TELKOM DIVRE2  02183700934     07 PAN CONVINCE MITRA  0232055350285999 </t>
  </si>
  <si>
    <t xml:space="preserve">TELKOM DIVRE2  02183700953     07 PAN CONVINCE MITRA  0232055350285999 </t>
  </si>
  <si>
    <t>Baya Saldo Min</t>
  </si>
  <si>
    <t xml:space="preserve">TELKOM DIVRE2  02183700967     07 PAN CONVINCE MITRA  0232055350285999 </t>
  </si>
  <si>
    <t xml:space="preserve">BRI BSBI Kunker By Prod di Dialoog  SATRIA KOMUNIKA PR </t>
  </si>
  <si>
    <t>BRI BSBI Kunker By Mobil Zenix 1D  NOVA INDRI ASIH : Rp. 2.100.000</t>
  </si>
  <si>
    <t>DBS Visa White JT-4J  DBSBIDJA/DAVID HARSAMTO</t>
  </si>
  <si>
    <t xml:space="preserve">OCBC Visa JT-3Jun NISPIDJA/DAVID HARSAMTO </t>
  </si>
  <si>
    <t xml:space="preserve">20260603BMRIIDJA010O9930529066 </t>
  </si>
  <si>
    <t>Nova Indri Asih</t>
  </si>
  <si>
    <t>20260603BMRIIDJA010O9930529068</t>
  </si>
  <si>
    <t xml:space="preserve">Trimegah TC 26 Prod CSR&amp;Padel  MOCH HASBI ASH SHI </t>
  </si>
  <si>
    <t>CENAIDJA/PAN CONVINCE MITRA INTER 535028599999</t>
  </si>
  <si>
    <t>BI-FAST CR TRANSFER DR 200 PAN CONVINCE MITRA</t>
  </si>
  <si>
    <t xml:space="preserve">UOB Master JT-5Jun  BBIJIDJA/DAVID HARSAMTO </t>
  </si>
  <si>
    <t>20260604BMRIIDJA010O9930702111</t>
  </si>
  <si>
    <t>BRI Konsy KomVI MB Lunas Prod 7Jul  YAKUB</t>
  </si>
  <si>
    <t>MARGARETA YOVITA SEP - 013  12206</t>
  </si>
  <si>
    <t xml:space="preserve">TSel FB, Reward &amp; Me 00741 MCM InhouseTrf  KE ANDI MARIO </t>
  </si>
  <si>
    <t>BI-FAST DB TRANSFER   KE 008 PAN CONVINCE MITRA  KBB</t>
  </si>
  <si>
    <t xml:space="preserve">CA-24/26 Part-1 Patr00024 BRINIDJA/MARIA PATRICIA SUGAM </t>
  </si>
  <si>
    <t>BI-FAST DB BIAYA TXN  KE 008 PAN CONVINCE MITRA  KBB\</t>
  </si>
  <si>
    <t>CA-024/26</t>
  </si>
  <si>
    <t xml:space="preserve">20260609BMRIIDJA010O9931952453 </t>
  </si>
  <si>
    <t>RETUR NURLAILA HUTABARAT</t>
  </si>
  <si>
    <t xml:space="preserve">CA-24/26 Part-2 Patr00024 BRINIDJA/MARIA PATRICIA SUGAM </t>
  </si>
  <si>
    <t xml:space="preserve">20260609BMRIIDJA010O9931952342 </t>
  </si>
  <si>
    <t>Byr APLoan 28Nop25 Mandiri MP  DAVID HARSAMTO</t>
  </si>
  <si>
    <t>Telkomsel Event HCM - MPP dan Pensiun Q4 2025</t>
  </si>
  <si>
    <t>B2313BRN JUN AUTORENT LANCAR SE : Rp. 5.014.000</t>
  </si>
  <si>
    <t>175/272/PCMI/AR/V/2026</t>
  </si>
  <si>
    <t>BRINIDJA/MARIA PATRICIA SUGAM 11250101651950799102</t>
  </si>
  <si>
    <t>CA-24/26</t>
  </si>
  <si>
    <t xml:space="preserve">TSel Mtg CP2 &amp; Townh 00569 MCM InhouseTrf  KE PANTRAVEL </t>
  </si>
  <si>
    <t xml:space="preserve">TSel Sum On Ground R00729  BSMDIDJA/AULIA AYU ASYURA </t>
  </si>
  <si>
    <t>20260615BMRIIDJA010O9933860273</t>
  </si>
  <si>
    <t xml:space="preserve">Mandiri Outing Bali, 00606  MCM InhouseTrf  KE PANTRAVEL </t>
  </si>
  <si>
    <t xml:space="preserve">Mandiri Konsinyering00663  BNINIDJA/BINTANG LIMA KREATIF </t>
  </si>
  <si>
    <t>Photo Copy Jun Kabel 8M  OSC OFFICE MACHINE : Rp. 855.766</t>
  </si>
  <si>
    <t xml:space="preserve">20260615BMRIIDJA010O9933860283 </t>
  </si>
  <si>
    <t>Trimegah TC 26, 0126 00570  MCM InhouseTrf  KE PANTRAVEL</t>
  </si>
  <si>
    <t xml:space="preserve">TSel Sum On Ground R00618  BSMDIDJA/AULIA AYU ASYURA </t>
  </si>
  <si>
    <t xml:space="preserve">20260615BMRIIDJA010O9933860291 </t>
  </si>
  <si>
    <t xml:space="preserve">TSel Sum On Ground R00730  BSMDIDJA/AULIA AYU ASYURA </t>
  </si>
  <si>
    <t xml:space="preserve">Trimegah TC 26, 0126 00616  MCM InhouseTrf  KE PANTRAVEL </t>
  </si>
  <si>
    <t>20260615BMRIIDJA010O9933860601</t>
  </si>
  <si>
    <t xml:space="preserve">Trimegah TC 26, 0126 00391 MCM InhouseTrf  KE PANTRAVEL </t>
  </si>
  <si>
    <t>Trimegah Sekuritas E 00638 MCM InhouseTrf  KE PANTRAVEL</t>
  </si>
  <si>
    <t>Computer Supplies</t>
  </si>
  <si>
    <t xml:space="preserve">TSel WS RBArea Sum,  00617  MCM InhouseTrf  KE PANTRAVEL </t>
  </si>
  <si>
    <t>BRI Kons KomVI MB SoundSys 7Jul  TRIDAYA MEGA SWARA : Rp. 15.678.750</t>
  </si>
  <si>
    <t>Trimegah TC 26, 0126 00412   MCM InhouseTrf  KE PANTRAVEL</t>
  </si>
  <si>
    <t>TSel Event Safari RA 00607  MCM InhouseTrf  KE PANTRAVEL</t>
  </si>
  <si>
    <t>Telkomsel Event Safari RAFI BOD Palembang</t>
  </si>
  <si>
    <t xml:space="preserve">Trimegah TC 26, 0126 00639 MCM InhouseTrf  KE PANTRAVEL </t>
  </si>
  <si>
    <t>AR Prepaid Tax</t>
  </si>
  <si>
    <t>PPn Masukan 2026</t>
  </si>
  <si>
    <t xml:space="preserve">20260615BMRIIDJA010O9933884380 </t>
  </si>
  <si>
    <t>Tridaya Mega Swara</t>
  </si>
  <si>
    <t xml:space="preserve">BRI Kons KomVI MB Dok PhotoVideo  KATHERIN VICENTIA </t>
  </si>
  <si>
    <t xml:space="preserve">Pin Buk BCA Sahardjo  CENAIDJA/RD HIDIANITJE DRA </t>
  </si>
  <si>
    <t xml:space="preserve">20260615BMRIIDJA010O9933888096 </t>
  </si>
  <si>
    <t xml:space="preserve">Trimegah Sek EG ToteBag DanLain2  ROHYATUN </t>
  </si>
  <si>
    <t xml:space="preserve">UBP60212399902FFFFFF422150605000  </t>
  </si>
  <si>
    <t xml:space="preserve">BRI Kons KomVI MB Log Crew 6-7Jul  AGUNG ROMADONI </t>
  </si>
  <si>
    <t>Bayar AP Loan 26-May MCM InhouseTrf CS-CS  KE DAVID HARSAMTO</t>
  </si>
  <si>
    <t xml:space="preserve">BRI Kons KomVI MB Prod Crew 6-7Jul  MOCH SUPRIYADI </t>
  </si>
  <si>
    <t>BIFAST Inc GL-CS  CENAIDJA/YOHAN KRISTANTO</t>
  </si>
  <si>
    <t>CA-25/26 Patrice BIFAST Out CS-GL  BRINIDJA/MARIA PATRICIA SUGAM</t>
  </si>
  <si>
    <t xml:space="preserve">Prod Crew 6-7Jul BRI Kons KoVI MB  MUHAMAD IYAN SURYA </t>
  </si>
  <si>
    <t>CA-25/26</t>
  </si>
  <si>
    <t xml:space="preserve">BRI Kons KomVI MB SM 07Jul  TEUKU DONNYA SYAHP </t>
  </si>
  <si>
    <t xml:space="preserve">TSel FB RM Digiads Mtg Superindo Dll  FARAH YUMNA PRADIS </t>
  </si>
  <si>
    <t>Bayar AP Loan 29-May BIFAST Out CS-GL  CENAIDJA/DAVID HARSAMTO</t>
  </si>
  <si>
    <t>TSel FB RM Digiads InnovaR 24-30Jun  BPW SAHADEWA BASUN : Rp. 6.825.513</t>
  </si>
  <si>
    <t>CA-26/26 Patrice BIFAST Out CS-GL  BRINIDJA/MARIA PATRICIA SUGAM</t>
  </si>
  <si>
    <t>PPn Masa Jul-26</t>
  </si>
  <si>
    <t>94/PCMI/AR/IV/2026  PP/JRB.MDA/WFMS00312/2026 150020570210002026</t>
  </si>
  <si>
    <t xml:space="preserve">CA-31/26 Rizky M RIZKY AULIA  </t>
  </si>
  <si>
    <t>094/232/PCMI/AR/IV/2026</t>
  </si>
  <si>
    <t>Byr AP Loan 17-Jun M CENAIDJA/YOHAN KRISTANTO 20260618BMRIIDJA010O9934533030</t>
  </si>
  <si>
    <t>CA-31/26</t>
  </si>
  <si>
    <t xml:space="preserve">20260618BMRIIDJA010O9934533030 </t>
  </si>
  <si>
    <t xml:space="preserve">BTN DS Harkopnas CrewLoading 2D  ANDRI LUKITO RD </t>
  </si>
  <si>
    <t>Bayar AP Loan 4-Jun MCM Outw CN  MARGARETA YOVITA SEPTIANA</t>
  </si>
  <si>
    <t xml:space="preserve">BTN DS Harkopnas Crew Booth 12Jul  MUHAMAD IYAN SURYA </t>
  </si>
  <si>
    <t>Clearing Fee</t>
  </si>
  <si>
    <t xml:space="preserve">BRI WS CorSec KBP Accom Crew  MARIA PATRICIA SUG </t>
  </si>
  <si>
    <t>PPh 23 Masa Mei 2026 Billing ID 042112611821466 : Rp. 1.256.859</t>
  </si>
  <si>
    <t>Internet Jun EKAMAS MORA REPUBL : Rp. 3.815.000</t>
  </si>
  <si>
    <t xml:space="preserve">BTN DS Harkopnas Chair+Table 12Jul  DIAZ MUBAROK </t>
  </si>
  <si>
    <t>Jimmy Tanal</t>
  </si>
  <si>
    <t xml:space="preserve">TSel FM RM Digiads Lunch Mtg WPP  NADYA ROSALIA HANU </t>
  </si>
  <si>
    <t xml:space="preserve">TSel FB RM Digiads Lunch Mtg WorldCup  AFFANDI BASITH </t>
  </si>
  <si>
    <t>AXA AFI Rental LED LEDScreen 10-11Jul  INSPIRASI MULTIMED : Rp. 4.586.400</t>
  </si>
  <si>
    <t>TSel FB, Reward Merc00775 AGBIDJA/RAKASIWI PERMANA PUTRA</t>
  </si>
  <si>
    <t>Inspirasi Multimedia Indonesia</t>
  </si>
  <si>
    <t xml:space="preserve">BTN BDS TownHall Produksi  BAMBANG SUPRIYANTO </t>
  </si>
  <si>
    <t xml:space="preserve">Lulita FIT, 01250112 06889  MCM InhouseTrf  KE PANTRAVEL </t>
  </si>
  <si>
    <t>FIT Tickets and Others</t>
  </si>
  <si>
    <t xml:space="preserve">20260618BMRIIDJA010O9934727451 </t>
  </si>
  <si>
    <t xml:space="preserve">BTN BDS TownHall PIC Prod Loading  ANDRI LUKITO RD </t>
  </si>
  <si>
    <t xml:space="preserve">TSel FB, Reward Merc00763 JAGBIDJA/RAKASIWI PERMANA PUTRA </t>
  </si>
  <si>
    <t xml:space="preserve">Himbara Konsinyering 00641  MCM InhouseTrf  KE PANTRAVEL </t>
  </si>
  <si>
    <t xml:space="preserve">BTN BDS Townhall Crew Load 15Jul  MOCH SUPRIYADI </t>
  </si>
  <si>
    <t xml:space="preserve">20260618BMRIIDJA010O9934727461 </t>
  </si>
  <si>
    <t>Trimegah Training Ca00790  BNINIDJA/PACTO : Rp. 941.450</t>
  </si>
  <si>
    <t xml:space="preserve">Kabel Charger Denza B994NNE  RD HIDIANITJE DRA </t>
  </si>
  <si>
    <t>Battery Charger Denza</t>
  </si>
  <si>
    <t xml:space="preserve">Doc consultation RD HIDIANITJE DRA  </t>
  </si>
  <si>
    <t xml:space="preserve">Mandiri Outing Bali, 00765 MCM InhouseTrf  KE PANTRAVEL </t>
  </si>
  <si>
    <t xml:space="preserve">BRI Kons KomVI MB Sticker FOH 9Jul  MUHAMMAD ANGGARA D </t>
  </si>
  <si>
    <t>20260618BMRIIDJA010O9934727472</t>
  </si>
  <si>
    <t>Trimegah Training Ca00792 BNINIDJA/PACTO : Rp. 1.585.600</t>
  </si>
  <si>
    <t xml:space="preserve">BTN DS Harkopnas Prod Booth  BAMBANG SUPRIYANTO </t>
  </si>
  <si>
    <t xml:space="preserve">BRI Kons KomVI MB Live Cam 7Aug  SUTRISNO </t>
  </si>
  <si>
    <t xml:space="preserve">20260618BMRIIDJA010O9934727479 </t>
  </si>
  <si>
    <t>BRI Kons KomVI MB Setup Visual  SEMBILAN AUDIO VIS : Rp. 19.000.000</t>
  </si>
  <si>
    <t xml:space="preserve">TSel FBP West Area,  00092  MCM InhouseTrf  KE PANTRAVEL </t>
  </si>
  <si>
    <t>Mandiri Konsinyering00789  BNINIDJA/PACTO : Rp. 7.928.000</t>
  </si>
  <si>
    <t>Sembilan Audio Visual</t>
  </si>
  <si>
    <t xml:space="preserve">BRI Kons KomVI MB 4 Ushers 7Jul  DWITA SEPTIANA </t>
  </si>
  <si>
    <t xml:space="preserve">Mandiri Konsinyering 00640  MCM InhouseTrf  KE PANTRAVEL </t>
  </si>
  <si>
    <t xml:space="preserve">20260618BMRIIDJA010O9934727487  </t>
  </si>
  <si>
    <t xml:space="preserve">BRI WS Corsec KBP OpEx 16-18Jul  MARIA PATRICIA SUG </t>
  </si>
  <si>
    <t xml:space="preserve">TSel Pengawalan Visi 00719  MCM InhouseTrf  KE PANTRAVEL </t>
  </si>
  <si>
    <t xml:space="preserve">Birthday Flower Lulita Trimegah  DHEFFY KRISTANTO </t>
  </si>
  <si>
    <t>Telkomsel Pengawalan Visit Direktur Network di Palembang</t>
  </si>
  <si>
    <t xml:space="preserve">TSel Leadership Plan 00076  MCM InhouseTrf  KE PANTRAVEL </t>
  </si>
  <si>
    <t xml:space="preserve">BRI Kunker BAKN UPG, 00786   MCM InhouseTrf  KE PANTRAVEL </t>
  </si>
  <si>
    <t xml:space="preserve">WS KPI Mastery AH&amp;FH  RD HIDIANITJE DRA </t>
  </si>
  <si>
    <t>TSel Pengawalan Visi 00787   MCM InhouseTrf  KE PANTRAVEL</t>
  </si>
  <si>
    <t xml:space="preserve">Orbitz System Upgrade  RD HIDIANITJE DRA </t>
  </si>
  <si>
    <t>Trimegah Training Ca 00679  MCM InhouseTrf  KE PANTRAVEL</t>
  </si>
  <si>
    <t xml:space="preserve">TSel Pengawalan Visi 00684  MCM InhouseTrf  KE PANTRAVEL </t>
  </si>
  <si>
    <t>Trimegah Training Ca 00764  MCM InhouseTrf  KE PANTRAVEL</t>
  </si>
  <si>
    <t xml:space="preserve">BRI WS Corsec KBP LO+Meals 15-18Jul  MUHAMAD IYAN SURYA </t>
  </si>
  <si>
    <t xml:space="preserve">Listrik Juni 2026    00796 MCM InhouseTrf  KE PANTRAVEL </t>
  </si>
  <si>
    <t xml:space="preserve">BRI WS Corsec KBP Produksi 16-17Jul  M ILYAS ROHMAN </t>
  </si>
  <si>
    <t xml:space="preserve">Trimegah Training Ca 00718  MCM InhouseTrf  KE PANTRAVEL </t>
  </si>
  <si>
    <t xml:space="preserve">Mandiri OutingBali PIC Per Diem  MARIA PATRICIA SUG </t>
  </si>
  <si>
    <t xml:space="preserve">Trimegah Training Ca 00486   MCM InhouseTrf  KE PANTRAVEL </t>
  </si>
  <si>
    <t xml:space="preserve">20260618BMRIIDJA010O9934733376 </t>
  </si>
  <si>
    <t xml:space="preserve">TSel FB RM Digiads Mtg MAP+Dentsu  JEMIMA KASAMIRA LE </t>
  </si>
  <si>
    <t>Telkomsel Alignment Sales Strategy All Branch Sumbagteng Q4 2025</t>
  </si>
  <si>
    <t>079/276/PCMI/AR/V/2026</t>
  </si>
  <si>
    <t xml:space="preserve">BRI Kons KomVI MB 8 Unit Holyland  YUDHA SAIFULISLAM </t>
  </si>
  <si>
    <t xml:space="preserve">20260619BMRIIDJA010O9934959208  </t>
  </si>
  <si>
    <t xml:space="preserve">Pin Buk BCA Sahardjo CENAIDJA/RD HIDIANITJE DRA </t>
  </si>
  <si>
    <t xml:space="preserve">20260619BMRIIDJA010O9934963745 </t>
  </si>
  <si>
    <t xml:space="preserve">CA-32/26 Yogi YOGI PURWO WIDODO  </t>
  </si>
  <si>
    <t>20260619BRINIDJA010O9921076774 BRINIDJA/PAN CONVINCE MITRA I 112501000255301</t>
  </si>
  <si>
    <t>CA-32/26</t>
  </si>
  <si>
    <t>PT TELEKOMUNIKASI SELULAR - 031 INW.CN-SKN CR CA-MCS  PAN CONVINCE MITRA I : Rp. 290.785.991</t>
  </si>
  <si>
    <t>Telkomsel Harmoni Sumatera</t>
  </si>
  <si>
    <t>046/284/PCMI/AR/V/2026</t>
  </si>
  <si>
    <t>Telkomsel Securing Target SM 1 2025</t>
  </si>
  <si>
    <t>051/280/PCMI/AR/V/2026</t>
  </si>
  <si>
    <t>Telkomsel TLP</t>
  </si>
  <si>
    <t>055/282/PCMI/AR/V/2026</t>
  </si>
  <si>
    <t xml:space="preserve">AH Loan HouseRent RD HIDIANITJE DRA   </t>
  </si>
  <si>
    <t xml:space="preserve">BRI BSBI Kunker By Hilton GI Bali MARIA PATRICIA SUG  </t>
  </si>
  <si>
    <t>Telkomsel Focus Action Paying User Sumatera Q3</t>
  </si>
  <si>
    <t>056/283/PCMI/AR/V/2026</t>
  </si>
  <si>
    <t>PT TELEKOMUNIKASI SELULAR - 031 INW.CN-SKN CR CA-MCS  PAN CONVINCE MITRA I</t>
  </si>
  <si>
    <t>Telkomsel Sales Townhall</t>
  </si>
  <si>
    <t>050/279/PCMI/AR/V/2026</t>
  </si>
  <si>
    <t xml:space="preserve">Mandiri Konsi BPN Lunas SisaBudget MARIA PATRICIA SUG  </t>
  </si>
  <si>
    <t xml:space="preserve">Trimegah Sekuritas E 00714   MCM InhouseTrf  KE PANTRAVEL </t>
  </si>
  <si>
    <t xml:space="preserve">BRI WS Corsec KBP Mobil BDG 16-18Jul MAMAN SULAEMAN  </t>
  </si>
  <si>
    <t>20260622BMRIIDJA010O9935499568</t>
  </si>
  <si>
    <t>Laptop Patricia RD HIDIANITJE DRA : Rp. 11.002.035 + PPm Minus Disc Rp. 396.965</t>
  </si>
  <si>
    <t xml:space="preserve">20260622BMRIIDJA010O9935502369 </t>
  </si>
  <si>
    <t>Penalty Deposito $16  NISPIDJA/DAVID HARSAMTO</t>
  </si>
  <si>
    <t>Lap Top Patricia</t>
  </si>
  <si>
    <t xml:space="preserve">20260622BMRIIDJA010O9935509797 </t>
  </si>
  <si>
    <t xml:space="preserve">20260622BMRIIDJA010O9935683221 </t>
  </si>
  <si>
    <t xml:space="preserve">WS MagicFramework Expense Bandung RD HIDIANITJE DRA  </t>
  </si>
  <si>
    <t xml:space="preserve">20260622BMRIIDJA010O9935692213  </t>
  </si>
  <si>
    <t>Retur CA 25  MCM InhouseTrf  DARI MARIA PATRICIA SUGAMA Retur CA 2599101</t>
  </si>
  <si>
    <t xml:space="preserve">Workshop &amp; Webinar RD HIDIANITJE DRA   </t>
  </si>
  <si>
    <t>Retur CA 26  MCM InhouseTrf  DARI MARIA PATRICIA SUGAMA Retur CA 2699101</t>
  </si>
  <si>
    <t>CA-26/26</t>
  </si>
  <si>
    <t xml:space="preserve">Trimegah Seku EG DP 50% Transport BPW SAHADEWA BASUN  </t>
  </si>
  <si>
    <t>Dipinjam PCMI Mandiri MP  MCM InhouseTrf  DARI DAVID HARSAMTO</t>
  </si>
  <si>
    <t>Salary PCMI Jun CENAIDJA/DAVID HARSAMTO</t>
  </si>
  <si>
    <t xml:space="preserve">Orbit Sys Upgrade New Menu RD HIDIANITJE DRA  </t>
  </si>
  <si>
    <t>20260627BMRIIDJA010O9937339524            99102</t>
  </si>
  <si>
    <t>INFRASTRUKTUR TELEKOMUNIKASI INDONESIA -  12206</t>
  </si>
  <si>
    <t>137/292/PCMI/AR/V/2026</t>
  </si>
  <si>
    <t xml:space="preserve">Telkomsel FB, RM Dig00832 BSMDIDJA/RIMAS BENIARDY PRASETYO </t>
  </si>
  <si>
    <t xml:space="preserve">MAMAN SULAEMAN    </t>
  </si>
  <si>
    <t xml:space="preserve">20260630BMRIIDJA010O9937845955 </t>
  </si>
  <si>
    <t>Maman Sulaeman</t>
  </si>
  <si>
    <t xml:space="preserve">Trimegah Seku EG DP Transport 15Aug REGITA AMALIA  </t>
  </si>
  <si>
    <t xml:space="preserve">20260630BMRIIDJA010O9937881577 </t>
  </si>
  <si>
    <t>20260630BRINIDJA010O9939462011 BRINIDJA/PAN CONVINCE MITRA I 112501000255301</t>
  </si>
  <si>
    <t xml:space="preserve">CA-33/26 Rizky M RIZKY AULIA  </t>
  </si>
  <si>
    <t>CA-33/26</t>
  </si>
  <si>
    <t xml:space="preserve">TSel FB RM Digiads Mtg OMC,IPG,Grab  NICO ANDREAS </t>
  </si>
  <si>
    <t>TSel FB RM Digiads Innova Zenix 25Jul  NOVA INDRI ASIH : Rp. 1.850.001</t>
  </si>
  <si>
    <t xml:space="preserve">TSel FB RM Digiads,  00839 MCM InhouseTrf  KE ANDI MARIO </t>
  </si>
  <si>
    <t>BRI BSBI Kunker Bany00851  BRINIDJA/MARGARIA DJIRZANAH</t>
  </si>
  <si>
    <t xml:space="preserve">20260702BMRIIDJA010O9938926063 </t>
  </si>
  <si>
    <t xml:space="preserve">OCBC Visa JT-4Jul   00858 NISPIDJA/DAVID HARSAMTO </t>
  </si>
  <si>
    <t xml:space="preserve">TSel FB RM Digiads Nobar Final FIFA26  JEMIMA KASAMIRA LE </t>
  </si>
  <si>
    <t xml:space="preserve">20260702BMRIIDJA010O9938926070  </t>
  </si>
  <si>
    <t>BTN DS Harkopnas TV 60 Inc 12Jul  SEMBILAN AUDIO VIS : Rp. 800.000</t>
  </si>
  <si>
    <t>Pin Buk BCA Juanda   CENAIDJA/PAN CONVINCE MITRA INTER</t>
  </si>
  <si>
    <t xml:space="preserve">20260702BMRIIDJA010O9930007195 </t>
  </si>
  <si>
    <t xml:space="preserve">BY REF BANK   Biaya rupa2 </t>
  </si>
  <si>
    <t>update kekurangan ca00021 MCM InhouseTrf  DARI ANALITA YULISTYA C update kekurangan ca00021</t>
  </si>
  <si>
    <t xml:space="preserve">BRI BoardRetreat 2 DP KLA Project  KINARYA LEGENDA AB </t>
  </si>
  <si>
    <t>S3mz9V PaDi 1trx 2026-07-02  MCM InhouseTrf  DARI SINAR DIGITAL TERDEP 1782990990418350617</t>
  </si>
  <si>
    <t>81/238/PCMI/AR/IV/2026</t>
  </si>
  <si>
    <t xml:space="preserve">LLG-CIMB NIAGA PT.PROFESIONAL TEL  Payment LPP06-2026 0806-PAN CONVINCE  MIT 20260805 </t>
  </si>
  <si>
    <t>Byr AP Loan 13Mar Outw RTGS Dr CS  TPS  MRS HUTABARAT NURLAILA 001-358787-001</t>
  </si>
  <si>
    <t>141/240/PCMI/AR/IV/2026</t>
  </si>
  <si>
    <t xml:space="preserve">RTGS Fee </t>
  </si>
  <si>
    <t xml:space="preserve">Trimegah Seku EG Handuk+StaterKit  ROHYATUN </t>
  </si>
  <si>
    <t>Byr AP Loan Part-3 B MCM InhouseTrf CS-CS  KE TOM VALASINDO : USD 60.000 x 17.980 = Rp. 1.078.800.000</t>
  </si>
  <si>
    <t xml:space="preserve">dbl transfer penge mbalian CA 08  YOGI PURWO WIDODO </t>
  </si>
  <si>
    <t>CASH IDR</t>
  </si>
  <si>
    <t xml:space="preserve">TSel FB RM Digiads 2D PIC Dinner+Spa  MEGAWATY </t>
  </si>
  <si>
    <t>Transfer Fee</t>
  </si>
  <si>
    <t xml:space="preserve">XL Smart Booth DTI 1 Supp Log Crew  MOCH SUPRIYADI </t>
  </si>
  <si>
    <t>Tgl</t>
  </si>
  <si>
    <t>Byr AP Loan 27Jun CENAIDJA/DAVID HARSAMTO</t>
  </si>
  <si>
    <t xml:space="preserve">XL Smart Booth DTI 2D Prod+Booth Crew  ANDRI LUKITO RD </t>
  </si>
  <si>
    <t xml:space="preserve">20260703BMRIIDJA010O9930483343 </t>
  </si>
  <si>
    <t xml:space="preserve">XL Smart Booth DTI 3D Booth Logistic  MUHAMAD IYAN SURYA </t>
  </si>
  <si>
    <t xml:space="preserve">127/293/PCMI/AR/VI/2026	</t>
  </si>
  <si>
    <t xml:space="preserve">XL Smart Booth DTI 3D Booth Crew  AJENG PUTRI HARYAN </t>
  </si>
  <si>
    <t>20260703BMRIIDJA010O9930540752</t>
  </si>
  <si>
    <t>Fuel F1138ABU - (CC DBS error saat payment) SPBU 3416704 Jagorawi 6 Jan'26</t>
  </si>
  <si>
    <t xml:space="preserve">BRI BoardRetreatT2 Transport JktJogPP  KINARYA LEGENDA AB </t>
  </si>
  <si>
    <t>50699 askrindo M1015 Sekper MCM InhouseTrf  DARI ASURANSI KREDIT INDONESIA</t>
  </si>
  <si>
    <t>Fuel Motor B5485KCC untuk operasional antar invoice</t>
  </si>
  <si>
    <t>Mandiri Konsinyering Balikpapan 2026</t>
  </si>
  <si>
    <t>191/302/PCMI/AR/VI/2026</t>
  </si>
  <si>
    <t>Motor</t>
  </si>
  <si>
    <t>Trimegah Seku EG Bus SCBD-APO 15Aug  REGITA AMALIA : Rp. 16.085.000</t>
  </si>
  <si>
    <t>144/PCMI/AR/IV/2026 DUKUNGAN KEGIATAN MU Kredit SAP</t>
  </si>
  <si>
    <t>Sewa Motor Des 2025</t>
  </si>
  <si>
    <t>144/244/PCMI/AR/IV/2026</t>
  </si>
  <si>
    <t>Tiki - Kirim invoice Brigestone / Reza</t>
  </si>
  <si>
    <t>Post and stamps</t>
  </si>
  <si>
    <t xml:space="preserve">20260706BMRIIDJA010O9931023647 </t>
  </si>
  <si>
    <t>Tol dan parkir e-card</t>
  </si>
  <si>
    <t>B 994 NNE</t>
  </si>
  <si>
    <t>BRI Konsinyering Kom00873 BRINIDJA/LEZAT SUGIH RASA</t>
  </si>
  <si>
    <t>Aqua Galon 17 Des'25 - 9 Jan'26</t>
  </si>
  <si>
    <t>Groceries and Household Misc</t>
  </si>
  <si>
    <t xml:space="preserve">Trimegah Seku EG Meals CL Peserta  MARIA PATRICIA SUG </t>
  </si>
  <si>
    <t>Cuci Sajadah Nov + Des 2025</t>
  </si>
  <si>
    <t xml:space="preserve">20260706BMRIIDJA010O9931024002 </t>
  </si>
  <si>
    <t>Maintenance</t>
  </si>
  <si>
    <t>Kopi + Gula pasir</t>
  </si>
  <si>
    <t xml:space="preserve">CA-027/26 Patrice  MCM Outw CN  MARIA PATRICIA SUGAM </t>
  </si>
  <si>
    <t>Duplikat Kunci Gerbang</t>
  </si>
  <si>
    <t>CA-27/26</t>
  </si>
  <si>
    <t xml:space="preserve">Retur CA 26 00031 BTN Harkopnas  M RIZKY AULIA </t>
  </si>
  <si>
    <t>Tiki - Kirim invoice Bridgestone</t>
  </si>
  <si>
    <t>Sampul Kado Coklat</t>
  </si>
  <si>
    <t>Stationary</t>
  </si>
  <si>
    <t xml:space="preserve">20260706BMRIIDJA010O9931129187  </t>
  </si>
  <si>
    <t>Lampu LED Hannocks</t>
  </si>
  <si>
    <t>BI-FAST CR TRANSFER   DR 451 ENDRAWATIRATNASARI : Unknown transaction</t>
  </si>
  <si>
    <t>Other Income</t>
  </si>
  <si>
    <t>3 Paper Clips</t>
  </si>
  <si>
    <t>Aqua Botol, jamu, balon, oreo, tali, the pucuk</t>
  </si>
  <si>
    <t xml:space="preserve">BRI BroadRetreatT2 DP Prod Jog 13Aug  ROBERTUS BELLARMIN </t>
  </si>
  <si>
    <t xml:space="preserve">20260706BMRIIDJA010O9931129190 </t>
  </si>
  <si>
    <t>Kertas HVS 1 Rim</t>
  </si>
  <si>
    <t xml:space="preserve">Kalkulator Citizen </t>
  </si>
  <si>
    <t xml:space="preserve">TSel FB RM Digiads DnrManaraiBali6Aug  YOGI PURWO WIDODO </t>
  </si>
  <si>
    <t xml:space="preserve">20260706BMRIIDJA010O9931129194 </t>
  </si>
  <si>
    <t>Parkir cash</t>
  </si>
  <si>
    <t xml:space="preserve">TSel FB RM Digiads The Spa Bali 7Aug  YOGI PURWO WIDODO </t>
  </si>
  <si>
    <t>072/271/PCMI/AR/V/2026</t>
  </si>
  <si>
    <t xml:space="preserve">Pembelian 2 buah Odner </t>
  </si>
  <si>
    <t>Pembelian 1 pcs mouse untuk PC Akunting</t>
  </si>
  <si>
    <t>Pin Buk BRI Sahardjo  BRINIDJA/PAN CONVINCE MITRA I</t>
  </si>
  <si>
    <t>XL Smart Booth DTI PhotoboothTotem2D  GUNGGI GIANNASKAF : Rp. 14.000.000</t>
  </si>
  <si>
    <t>Materai</t>
  </si>
  <si>
    <t>20260707BMRIIDJA010O9931328112</t>
  </si>
  <si>
    <t xml:space="preserve">Tol dan parkir e-card </t>
  </si>
  <si>
    <t xml:space="preserve">Pin Buk BRI Sahardjo BRINIDJA/PAN CONVINCE MITRA I </t>
  </si>
  <si>
    <t xml:space="preserve">20260707BMRIIDJA010O9931328123 </t>
  </si>
  <si>
    <t>Reimburse Pembelanjaan Klient (buah naga, nanas)</t>
  </si>
  <si>
    <t>UOB Master JT-7Jul BIFAST Out CS-GL  BBIJIDJA/DAVID HARSAMTO</t>
  </si>
  <si>
    <t>Reimburse Pembelanjaan Klient (snack)</t>
  </si>
  <si>
    <t xml:space="preserve">20260708BMRIIDJA010O9931563568 BIFAST Out CS-GL  </t>
  </si>
  <si>
    <t xml:space="preserve">Pembayaran lugage tag </t>
  </si>
  <si>
    <t>Photo Copy Juli OSC OFFICE MACHINE : Rp. 775.766</t>
  </si>
  <si>
    <t>TSel Sum On Ground R 00821 00821 MCM InhouseTrf CS-CS  KE PANTRAVEL</t>
  </si>
  <si>
    <t>DBS Visa White JT-7J00856 BIFAST Out CS-GL  DBSBIDJA/DAVID HARSAMTO</t>
  </si>
  <si>
    <t>Tol dan Parkir</t>
  </si>
  <si>
    <t xml:space="preserve">20260708BMRIIDJA010O9931585168 BIFAST Out CS-GL  </t>
  </si>
  <si>
    <t>Trimegah TC 2026, Lu BIFAST Out CS-GL  BNINIDJA/PACTO : Rp. 228.859.423</t>
  </si>
  <si>
    <t>Tagihan Internet XL pascabayar AH Bulan Januari 2025</t>
  </si>
  <si>
    <t>Pembelian keperluan Kabel (tang Kabel jaringan, Lan tester pengetes kabel</t>
  </si>
  <si>
    <t>Pembelian Aqua Galon</t>
  </si>
  <si>
    <t>Pengiriman dokument melalui Tiki</t>
  </si>
  <si>
    <t>Photocopy Bintang Maju</t>
  </si>
  <si>
    <t xml:space="preserve">20260708BMRIIDJA010O9931585170 BIFAST Out CS-GL  </t>
  </si>
  <si>
    <t>Pembelian le minerele</t>
  </si>
  <si>
    <t>Amplas (toilet)</t>
  </si>
  <si>
    <t>TSel Ground Check Im MCM InhouseTrf CS-CS  KE EMIL SATRIA PUTRA</t>
  </si>
  <si>
    <t>B2313BRN Juli AUTORENT LANCAR SE  : Rp. 5.014.000</t>
  </si>
  <si>
    <t>Telkomsel Ground Check Implementasi Program HH GTM</t>
  </si>
  <si>
    <t>Kopi, gula</t>
  </si>
  <si>
    <t>Pembelian Tinta Printer untuk bu Frieda</t>
  </si>
  <si>
    <t xml:space="preserve">20260708BMRIIDJA010O9931587732 BIFAST Out CS-GL  </t>
  </si>
  <si>
    <t>BTANIDJA/PAN CONVINCE MITRA I 101300012935</t>
  </si>
  <si>
    <t>Biaya pengisian daya listrik mobil B994NNE - pengisian gopay pak kanda</t>
  </si>
  <si>
    <t>Sewa Gedung Mei  00755  MCM InhouseTrf  KE PANTRAVEL : Rp. 18.198.198</t>
  </si>
  <si>
    <t>Cuci AC dan isi freon all AC kantor PCMI</t>
  </si>
  <si>
    <t xml:space="preserve">Trimegah Sekur EG Dekorasi di Mulia  KASIH PUTIH CV </t>
  </si>
  <si>
    <t>Kapasitor dan Pemasangan AC</t>
  </si>
  <si>
    <t xml:space="preserve">BRI BoardRetreatT2 Mobil Band KLAProj  SUWARDI </t>
  </si>
  <si>
    <t xml:space="preserve">BRI BoardRetreatT2 U.Mkn KLAProj 2D  KINARYA LEGENDA AB </t>
  </si>
  <si>
    <t>TSel FB, RM Digiads,00869  BSMDIDJA/RIMAS BENIARDY PRASETYO</t>
  </si>
  <si>
    <t xml:space="preserve">20260709BMRIIDJA010O9932100037 </t>
  </si>
  <si>
    <t xml:space="preserve">TSel FB RM Digiads Reimb Mtg Jun Jul  ANDREE KURNIAWAN </t>
  </si>
  <si>
    <t xml:space="preserve">TSel Pengawalan Even 00859   BNINIDJA/FERNANDO PASARIBU </t>
  </si>
  <si>
    <t>Telkomsel Pengawalan Event Regional Sumatera Bagian Utara</t>
  </si>
  <si>
    <t>Sewa Gedung Maret  00341  MCM InhouseTrf  KE PANTRAVEL : Rp. 18.198.198</t>
  </si>
  <si>
    <t>Perbaikan Kantin</t>
  </si>
  <si>
    <t xml:space="preserve">Donasi Pesantren Sirojul Huda Bogor  MUHAMMAD UJER AWAL </t>
  </si>
  <si>
    <t>Makan Siang Pak DH</t>
  </si>
  <si>
    <t>Donation</t>
  </si>
  <si>
    <t>Meals Allowance</t>
  </si>
  <si>
    <t>Aqua Galon</t>
  </si>
  <si>
    <t xml:space="preserve">CA-36/26 Yogi YOGI PURWO WIDODO  </t>
  </si>
  <si>
    <t>Plitur</t>
  </si>
  <si>
    <t>CA-36/26</t>
  </si>
  <si>
    <t>Kopi, gula, tisu (Amenities)</t>
  </si>
  <si>
    <t xml:space="preserve">CA-35/26 Rizky M RIZKY AULIA  </t>
  </si>
  <si>
    <t>20260709BMRIIDJA010O9932100041</t>
  </si>
  <si>
    <t>CA-35/26</t>
  </si>
  <si>
    <t>Bensin Motor Sutarno Bulan Januari</t>
  </si>
  <si>
    <t>TSel Event Safari RA 00850 MCM InhouseTrf  KE PANTRAVEL</t>
  </si>
  <si>
    <t xml:space="preserve">CA-34/26 Patrice MARIA PATRICIA SUG  </t>
  </si>
  <si>
    <t>Parkir motor</t>
  </si>
  <si>
    <t>CA-34/26</t>
  </si>
  <si>
    <t>Sewa Motor Januari 2026</t>
  </si>
  <si>
    <t xml:space="preserve">BRI CSR HUT Danantar 00849 MCM InhouseTrf  KE PANTRAVEL </t>
  </si>
  <si>
    <t xml:space="preserve">Pin BCA Juanda Retur 14-Jan  RD HIDIANITJE DRA </t>
  </si>
  <si>
    <t>Pengiriman InvoiceNo 13  ke Protelindo Kudus (Tiki)</t>
  </si>
  <si>
    <t>BRI CSR HUT Danantar 00824 MCM InhouseTrf  KE PANTRAVEL</t>
  </si>
  <si>
    <t>Medical an Sutarno</t>
  </si>
  <si>
    <t xml:space="preserve">TSel Sum On Ground R 00817  MCM InhouseTrf  KE PANTRAVEL </t>
  </si>
  <si>
    <t xml:space="preserve">Pin Buk BCA Juanda Retur 29-Jan  RD HIDIANITJE DRA </t>
  </si>
  <si>
    <t>Sutarno</t>
  </si>
  <si>
    <t>Kekurangan bayar pengisian  daya listrik mobil B994NNE</t>
  </si>
  <si>
    <t xml:space="preserve">Pin Buk BCA Juanda Retur 27-Mar  RD HIDIANITJE DRA </t>
  </si>
  <si>
    <t xml:space="preserve">Pin Buk BCA Juanda Retur 16-Apr  RD HIDIANITJE DRA </t>
  </si>
  <si>
    <t>Medical Istri an Supriyadi</t>
  </si>
  <si>
    <t xml:space="preserve">Pin Buk BCA Juanda Retur 18-Jun  RD HIDIANITJE DRA </t>
  </si>
  <si>
    <t>Supriyadi</t>
  </si>
  <si>
    <t>DIpinjam PCMI Mandiri MP MCM InhouseTrf  DARI DAVID HARSAMTO</t>
  </si>
  <si>
    <t xml:space="preserve">XL Smart PG DC ID PG West  MUHAMMAD KHAIDIR B </t>
  </si>
  <si>
    <t>Tol dan Parkir Cash</t>
  </si>
  <si>
    <t>XL Smart Payment Gateway Direct Channel Independence Day</t>
  </si>
  <si>
    <t>Top up Emoney untuk Airport Handling</t>
  </si>
  <si>
    <t xml:space="preserve">XL Smart PG DC ID PG East  YOHANES WIDIATMOKO </t>
  </si>
  <si>
    <t>CA-029/26 Patrice  MCM Outw CN  MARIA PATRICIA SUGAM</t>
  </si>
  <si>
    <t>Sewa Laptop 1 unit core I7 1 hari, PIC BRI Bayu</t>
  </si>
  <si>
    <t>CA-29/26</t>
  </si>
  <si>
    <t>Parkir Inap Bandara</t>
  </si>
  <si>
    <t xml:space="preserve">XL Smart PG DC ID PG Central  ANNISA FIRDA SETIA </t>
  </si>
  <si>
    <t>TRIMEGAH SEKURITAS   MCM Inhouse : Rp. 656.931.423</t>
  </si>
  <si>
    <t xml:space="preserve">XL Smart PG DC ID PG Jabo  NURLAILA AL QODRIA </t>
  </si>
  <si>
    <t>192/303/PCMI/AR/VII/2026</t>
  </si>
  <si>
    <t>Paper klip, Buku, Lakban, Kertas A4, Kwitansi, Lem Korea</t>
  </si>
  <si>
    <t xml:space="preserve">Trimegah Sekur EG Meals Grp Citilink  MARIA PATRICIA SUG </t>
  </si>
  <si>
    <t>194/305/PCMI/AR/VII/2026</t>
  </si>
  <si>
    <t>Keset Nilon</t>
  </si>
  <si>
    <t>Kopi</t>
  </si>
  <si>
    <t>BRI BoardRetreatT2 Lunas KLA Project  KINARYA LEGENDA AB : Rp. 98.050.000</t>
  </si>
  <si>
    <t>195/306/PCMI/AR/VII/2026</t>
  </si>
  <si>
    <t>Internet Bu Anne Feb'26</t>
  </si>
  <si>
    <t>PPn Masa Aug-26</t>
  </si>
  <si>
    <t>Pembelian meals</t>
  </si>
  <si>
    <t>TSel FB, RM Digiads,00874  JAGBIDJA/RAKASIWI PERMANA PUTRA</t>
  </si>
  <si>
    <t>Bensin</t>
  </si>
  <si>
    <t xml:space="preserve">TSel Pengawalan Even 00852 MCM InhouseTrf  KE PANTRAVEL </t>
  </si>
  <si>
    <t>B 1600 VKK</t>
  </si>
  <si>
    <t>Gocar meeting Client</t>
  </si>
  <si>
    <t xml:space="preserve">TSel Digital Placeme 00819  MCM InhouseTrf  KE PANTRAVEL </t>
  </si>
  <si>
    <t>Parkir</t>
  </si>
  <si>
    <t xml:space="preserve">Shell Japan F1 Trip  00822 MCM InhouseTrf  KE PANTRAVEL </t>
  </si>
  <si>
    <t xml:space="preserve">Trimegah Sekuritas E 00823 MCM InhouseTrf  KE PANTRAVEL </t>
  </si>
  <si>
    <t xml:space="preserve">Acct Bit.Ly USD120 ALEXADRUS NULIADY  </t>
  </si>
  <si>
    <t>Trimegah Sekuritas E 00912 MCM InhouseTrf  KE PANTRAVEL</t>
  </si>
  <si>
    <t>Subscription</t>
  </si>
  <si>
    <t>20260715BMRIIDJA010O9933554337</t>
  </si>
  <si>
    <t xml:space="preserve">CA-37/26 Frieda FRIDA ACHMADI  </t>
  </si>
  <si>
    <t>CA-37/26</t>
  </si>
  <si>
    <t xml:space="preserve">Trimegah EG, 0126003 00853 MCM InhouseTrf  KE PANTRAVEL </t>
  </si>
  <si>
    <t xml:space="preserve">CA-38/26 Frieda FRIDA ACHMADI  </t>
  </si>
  <si>
    <t>Pembelian 2 buah Konektor untuk Bu anne dan Finance</t>
  </si>
  <si>
    <t xml:space="preserve">Pin Buk BRI Sahardjo BRINIDJA/PAN CONVINCE MITRA </t>
  </si>
  <si>
    <t>Pembelian tinta Printer untuk tim Finance</t>
  </si>
  <si>
    <t>CA-38/26</t>
  </si>
  <si>
    <t xml:space="preserve">20260715BMRIIDJA010O9933629440 </t>
  </si>
  <si>
    <t>Pembuatan ID Card 2 pcs an Tika dan Ivma : Rp. 222.000</t>
  </si>
  <si>
    <t xml:space="preserve">LLG-HSBC INDONESIA PT REGUS BUSINESS  5962347135 * JNB00 0387095 /ORDP/PAN  CONVINCE MIT135 </t>
  </si>
  <si>
    <t>PPh 23 Masa Juni 2026 Billing ID 042263250915851 : Rp. 3.191.434</t>
  </si>
  <si>
    <t>Cash IDR to Non Cash Bank</t>
  </si>
  <si>
    <t>Gocar dari rumah ke Airport</t>
  </si>
  <si>
    <t>BI-FAST DB TRANSFER   KE 028 PT. CSACCESS TECHN  KBB : LIFT CSA oleh Ibu Elly, PPn Masukan PCMI</t>
  </si>
  <si>
    <t>Amplop Coklat Kabinet</t>
  </si>
  <si>
    <t>Lift CSA</t>
  </si>
  <si>
    <t>Pengiriman Dokumen melalui Tiki PT Hariff Daya Tunggal</t>
  </si>
  <si>
    <t xml:space="preserve">BI-FAST DB BIAYA TXN  KE 028 PT. CSACCESS TECHN  KBB  </t>
  </si>
  <si>
    <t>Tagihan Internet XL pascabayar AH Bulan Februari 2025</t>
  </si>
  <si>
    <t xml:space="preserve">BI-FAST CR TANGGAL :18/08 TRANSFER   DR 008  PAN CONVINCE MITRA   </t>
  </si>
  <si>
    <t>Sewa Motor Feb' 2026</t>
  </si>
  <si>
    <t>BBM motor kurir Feb;26</t>
  </si>
  <si>
    <t xml:space="preserve">BRI BoardRetreatT2 Runner Log JKT 2D  MOCH SUPRIYADI </t>
  </si>
  <si>
    <t xml:space="preserve">BRI BoardRetreatT2 PIC Cargo 5D  MUHAMAD IYAN SURYA </t>
  </si>
  <si>
    <t>Pembelian baju Seragam 4 Set + kaos kaki</t>
  </si>
  <si>
    <t xml:space="preserve">BRI BoardRetreatT2 PIC Deco+Accom 5D  AJENG PUTRI HARYAN </t>
  </si>
  <si>
    <t>Etoll</t>
  </si>
  <si>
    <t xml:space="preserve">XL Smart BoothDTI 200 Cup Kopi  SAFERUS ARLIN </t>
  </si>
  <si>
    <t>Parkir Emoney</t>
  </si>
  <si>
    <t>Emoney tanpa struk</t>
  </si>
  <si>
    <t xml:space="preserve">BRI BoardRetreatT2 Talent grand piano  AG FENGKY ANJAS PR </t>
  </si>
  <si>
    <t>Parkir Cash</t>
  </si>
  <si>
    <t xml:space="preserve">BRI BoardRetreatT2 Show Mgt + Meals  DEDE RACHMAN </t>
  </si>
  <si>
    <t>Isi Angin Nitrogen</t>
  </si>
  <si>
    <t xml:space="preserve">BRI BoardRetreatT2 PPH 15/KLA/VIII/26  KINARYA LEGENDA AB </t>
  </si>
  <si>
    <t>Pembelian ATK Anak Sekolah</t>
  </si>
  <si>
    <t>Pembelian Amplop THR</t>
  </si>
  <si>
    <t xml:space="preserve">TSel FB RM Digiads Mtg OMC WPP Lever  NICO ANDREAS </t>
  </si>
  <si>
    <t xml:space="preserve">TSel FB RM Digiads Lunch Mtg Vivo Mob  NADYA ROSALIA HANU </t>
  </si>
  <si>
    <t xml:space="preserve">TSel Pengawalan Even00836   BRINIDJA/NOVLI FELISIA SITUMO </t>
  </si>
  <si>
    <t>BRI Kunker BAKN Ujun 00911 MCM InhouseTrf  KE COLOR PRODUCTION</t>
  </si>
  <si>
    <t>XL Smart Booth DTI Sewa Elektronik  KARINDO MITRA JAKA : RP. 27.468.000</t>
  </si>
  <si>
    <t xml:space="preserve">20260720BMRIIDJA010O9934815266  </t>
  </si>
  <si>
    <t xml:space="preserve">Cuci Sajadah </t>
  </si>
  <si>
    <t>Soklin, Baygon, Kamper</t>
  </si>
  <si>
    <t>Buku, Isolasi, sign here, kertas A4, paper klip</t>
  </si>
  <si>
    <t xml:space="preserve">20260721BMRIIDJA010O9935475944 </t>
  </si>
  <si>
    <t xml:space="preserve">Bensin Motor </t>
  </si>
  <si>
    <t>PT TELEKOMUNIKASI SELULAR - 031 : RP. 128.188.286</t>
  </si>
  <si>
    <t>Keperluan belanja untuk Event (plastik HBD, plastik, ATK)</t>
  </si>
  <si>
    <t>062/298/PCMI/AR/VI/2026</t>
  </si>
  <si>
    <t>Makan malam team 13Mar 2026</t>
  </si>
  <si>
    <t xml:space="preserve">TSel FB RM Digiads Meals Mtg PG  AFFANDI BASITH </t>
  </si>
  <si>
    <t>Telkomsel Sales Academy September 2025</t>
  </si>
  <si>
    <t>063/297/PCMI/AR/VI/2026</t>
  </si>
  <si>
    <t>Makan siang team 13Mar 2026</t>
  </si>
  <si>
    <t xml:space="preserve">Car Insurance Denza B 994 NNE  JOBAKA JASAPRATAMA </t>
  </si>
  <si>
    <t>Car Insurance</t>
  </si>
  <si>
    <t>Lalamove angkat barang dari tip top</t>
  </si>
  <si>
    <t>154/296/PCMI/AR/VI/2026</t>
  </si>
  <si>
    <t xml:space="preserve">Trimegah Sekuritas E 00931  MCM InhouseTrf  KE PANTRAVEL </t>
  </si>
  <si>
    <t xml:space="preserve">BRI BoardRetreatT2 AzurChair,Dekor,Mj  CHRISTINE SUSILOWA </t>
  </si>
  <si>
    <t>Tiiping angkat barang ke lalamove</t>
  </si>
  <si>
    <t>PBY SPON NAVIGASI PANCONV FKA0  025A???28/2607210637-1/ID0010001 PT PAN CONVINCE MITRA INTERNATIONAL12206</t>
  </si>
  <si>
    <t>Meals</t>
  </si>
  <si>
    <t xml:space="preserve">BRI BoardRetreatT2 40 Azzura Chair  CHRISTINE SUSILOWA </t>
  </si>
  <si>
    <t xml:space="preserve">151/289/PCMI/AR/VI/2026	</t>
  </si>
  <si>
    <t>Fuel motor dari kantor-tipping-kantor</t>
  </si>
  <si>
    <t>Trimegah TC 26, Pena00940  BNINIDJA/YANTO</t>
  </si>
  <si>
    <t xml:space="preserve">LLG-CITIBANK PT AXA FINANCIAL I  186/PCMI/AR/VII/20 26SEWA LED SCREEN  VVIP AXA GRO </t>
  </si>
  <si>
    <t xml:space="preserve">Trimegah Sekuritas E 00938  MCM InhouseTrf  KE PANTRAVEL </t>
  </si>
  <si>
    <t>AXA AFI Sewa LED Screen</t>
  </si>
  <si>
    <t>186/310/PCMI/AR/VII/2026</t>
  </si>
  <si>
    <t xml:space="preserve">20260724BMRIIDJA010O9936190681 </t>
  </si>
  <si>
    <t xml:space="preserve">TSel PengEvRegS Cambai Hill Solok  YOGI PURWO WIDODO </t>
  </si>
  <si>
    <t>Parkir tanpa struk</t>
  </si>
  <si>
    <t>Telkomsel Pengawalan Event Regional Sumatera Bagian Tengah</t>
  </si>
  <si>
    <t xml:space="preserve">UBP602123998028000008988890000030956 </t>
  </si>
  <si>
    <t>Lalamove untuk snack dan 5000 air mineral</t>
  </si>
  <si>
    <t xml:space="preserve">Trimegah Seku EG LO&amp;Koord Bus  MOCH SUPRIYADI </t>
  </si>
  <si>
    <t>UBP60215001202FFFFFF042292602464631 : SPT PPN Pembetulan Masa April 2025 ID Billing 042292602464631</t>
  </si>
  <si>
    <t>Others</t>
  </si>
  <si>
    <t xml:space="preserve">Fee Runner 2 orang untuk logistik 13 maret </t>
  </si>
  <si>
    <t>SPT PPn Masa April</t>
  </si>
  <si>
    <t xml:space="preserve">XL Smart Booth DTI MejaDealing+Kursi  DIAZ MUBAROK </t>
  </si>
  <si>
    <t>Pengisian listrik</t>
  </si>
  <si>
    <t>Pembelian Papan</t>
  </si>
  <si>
    <t xml:space="preserve">BRI BoardRetreatT2 Team PhotoVideo 3D  YOSE ABDURRAHMAN B </t>
  </si>
  <si>
    <t xml:space="preserve">Trimegah Sekuritas E 00941  MCM InhouseTrf  KE PANTRAVEL </t>
  </si>
  <si>
    <t xml:space="preserve">HimbaraFGDFairmont SelisihByr PIC BSI  SUTARNO </t>
  </si>
  <si>
    <t xml:space="preserve">20260724BMRIIDJA010O9936190683 </t>
  </si>
  <si>
    <t xml:space="preserve">Modem Bu Anne Orbit Paket Telkomsel Orbit 20 GB (90 hari) </t>
  </si>
  <si>
    <t xml:space="preserve">Trimegah Seku EG Show Mgt  TEUKU DONNYA SYAHP </t>
  </si>
  <si>
    <t>Tagihan Internet XL pascabayar AH Bulan Maret 2025</t>
  </si>
  <si>
    <t xml:space="preserve">Trimegah Seku EG Patwal  NYOMAN OKA WIJAYA </t>
  </si>
  <si>
    <t xml:space="preserve">20260724BMRIIDJA010O9936622595  </t>
  </si>
  <si>
    <t>BBM Motor Mas Praja cari ATK dan Papan Jalan</t>
  </si>
  <si>
    <t>Pin Buk BRI Sahardjo BIFAST Out CS-GL  BRINIDJA/PAN CONVINCE MITRA I</t>
  </si>
  <si>
    <t>BBM Mobil Bu Frieda F1138ABU</t>
  </si>
  <si>
    <t xml:space="preserve">Trimegah Seku EG TL+Tips 3D  FARIZ LANA </t>
  </si>
  <si>
    <t xml:space="preserve">20260726BMRIIDJA010O9936885338 BIFAST Out CS-GL  </t>
  </si>
  <si>
    <t>Pembelian ATK pulpen, papre clip, steples, binder klip</t>
  </si>
  <si>
    <t>PT TELEKOMUNIKASI SELULAR12206 : RP. 1.104.144.269</t>
  </si>
  <si>
    <t>Telkomsel Pisah Sambut VP Sales A1</t>
  </si>
  <si>
    <t>060/300/PCMI/AR/VI/2026</t>
  </si>
  <si>
    <t>Pembelian pulsa Orbit kantor untuk internet di kantor HQ</t>
  </si>
  <si>
    <t xml:space="preserve">Trimegah Seku EG TL + Tips 3D  ARIEL ABEDNEGO WIJ </t>
  </si>
  <si>
    <t>Pembelian kontener, sarung tangan, masker</t>
  </si>
  <si>
    <t>Kertas HVS 3 lembar, print colour, fotocopy</t>
  </si>
  <si>
    <t xml:space="preserve">Trimegah Seku EG TL + Tips 3D  HENDRO PRASETYO WI </t>
  </si>
  <si>
    <t>Telkomsel Workshop Sales A1 Play Hard Serve Harder</t>
  </si>
  <si>
    <t>073/299/PCMI/AR/VI/2026</t>
  </si>
  <si>
    <t>Trf  DARI TRIMEGAH SEKURITAS INDONESIA : Rp. 444.009.378</t>
  </si>
  <si>
    <t>Isi Ban Nitrogen</t>
  </si>
  <si>
    <t>193/304/PCMI/AR/VII/2026</t>
  </si>
  <si>
    <t xml:space="preserve">XL Smart Booth DTI 2Usher FD+Uniform  DESTI MARGIANINGSI </t>
  </si>
  <si>
    <t>Tol Emoney</t>
  </si>
  <si>
    <t>196/307/PCMI/AR/VII/2026</t>
  </si>
  <si>
    <t>Tol tanpa Struk</t>
  </si>
  <si>
    <t xml:space="preserve">BRI BoardRetreatT2 Trans+Dokumentasi  YOGI PURWO WIDODO </t>
  </si>
  <si>
    <t>Pembelian Lakban</t>
  </si>
  <si>
    <t>200/311/PCMI/AR/VII/2026</t>
  </si>
  <si>
    <t>Salary PCMI Juli  CENAIDJA/DAVID HARSAMTO</t>
  </si>
  <si>
    <t xml:space="preserve">Pembelian Amplop Coklat </t>
  </si>
  <si>
    <t>20260727BMRIIDJA010O9937086511</t>
  </si>
  <si>
    <t>Pembelian Sepatu Boot</t>
  </si>
  <si>
    <t>Pembelian Paper bag batik</t>
  </si>
  <si>
    <t>TELKOM DIVRE2 02183700923 08 PAN CONVINCE MITRA</t>
  </si>
  <si>
    <t xml:space="preserve">Pengiriman Tiki ke Redpod </t>
  </si>
  <si>
    <t xml:space="preserve">20260727BMRIIDJA010O9937086514 </t>
  </si>
  <si>
    <t>Pengiriman Tiki ke PT. Graha Prima Energy</t>
  </si>
  <si>
    <t>TELKOM DIVRE2 02183700953 08 PAN CONVINCE MITRA</t>
  </si>
  <si>
    <t>Sewa Motor Maret' 2026</t>
  </si>
  <si>
    <t xml:space="preserve">20260727BMRIIDJA010O9937196160 </t>
  </si>
  <si>
    <t>Bensin Motor Sutarno Bulan Maret' 2026</t>
  </si>
  <si>
    <t>Parkir motor Sutarno</t>
  </si>
  <si>
    <t>TELKOM DIVRE2 02183700872 08 PAN CONVINCE MITRA</t>
  </si>
  <si>
    <t xml:space="preserve">20260727BMRIIDJA010O9937196171 </t>
  </si>
  <si>
    <t>TELKOM DIVRE2 02183700967 08 PAN CONVINCE MITRA</t>
  </si>
  <si>
    <t xml:space="preserve">20260727BMRIIDJA010O9937196176 </t>
  </si>
  <si>
    <t xml:space="preserve">Pembelian 3  Kontener untuk menaruh dokumen </t>
  </si>
  <si>
    <t>TELKOM DIVRE2 02183700934 08 PAN CONVINCE MITRA</t>
  </si>
  <si>
    <t>USD 25K Saving, approved by AH 30Jul DAVID HARSAMTO2241379576</t>
  </si>
  <si>
    <t>Pembelia n 3  plastik tempat sampah</t>
  </si>
  <si>
    <t>AR Time Deposit</t>
  </si>
  <si>
    <t>RTGS Fee PAN CONVINCE MITRA I</t>
  </si>
  <si>
    <t>TELKOM DIVRE2 02183700926 08 PAN CONVINCE MITRA</t>
  </si>
  <si>
    <t>Parkir Inap Bandara Alex</t>
  </si>
  <si>
    <t>Listrik July 00979 MCM InhouseTrf  KE PANTRAVEL</t>
  </si>
  <si>
    <t>Perbaikan Material Laptop Kantor</t>
  </si>
  <si>
    <t>TELKOM DIVRE2 02183700854 08 PAN CONVINCE MITRA</t>
  </si>
  <si>
    <t>TSel FB RM Digiads, 00882 MCM InhouseTrf  KE PANTRAVEL</t>
  </si>
  <si>
    <t>Medical Istri dari Pak  Supriyadi</t>
  </si>
  <si>
    <t xml:space="preserve">Trimegah Sekuritas E 00942  MCM InhouseTrf  KE PANTRAVEL </t>
  </si>
  <si>
    <t>Internet Juli EKAMAS MORA REPUBL : Rp. 3.815.000</t>
  </si>
  <si>
    <t xml:space="preserve">TSek FB, RM Digiads, 00937  MCM InhouseTrf  KE PANTRAVEL </t>
  </si>
  <si>
    <t>Fuel Mobil Operasional</t>
  </si>
  <si>
    <t>Biaya Adm 12206</t>
  </si>
  <si>
    <t>Cetak Kertas A4 Kop Surat</t>
  </si>
  <si>
    <t>Pembelian Kalkulator</t>
  </si>
  <si>
    <t>Pembelian Tinta Printer</t>
  </si>
  <si>
    <t>Pembelian Materai 30 lembar @10.000</t>
  </si>
  <si>
    <t>TSel FB, RM Digiads,00971 JAGBIDJA/RAKASIWI PERMANA PUTRA</t>
  </si>
  <si>
    <t>Trimegah Seku EG SCBD-Apo 15Aug NOVA INDRI ASIH</t>
  </si>
  <si>
    <t xml:space="preserve">20260803BMRIIDJA010O9930696039 </t>
  </si>
  <si>
    <t>Bensin an Yogi B2239BKX</t>
  </si>
  <si>
    <t>OCBC Visa JT-3Aug  NISPIDJA/DAVID HARSAMTO</t>
  </si>
  <si>
    <t>TSel FB RM Digiads Mtg FF,Uniqlo,Eraj JEMIMA KASAMIRA LE</t>
  </si>
  <si>
    <t>Parkir Emoney mobil mas Yogi</t>
  </si>
  <si>
    <t>20260803BMRIIDJA010O9930696043</t>
  </si>
  <si>
    <t>Tol Emoney mobil mas Yogi</t>
  </si>
  <si>
    <t>TSel FB RM Digiads Mtg PaymentChannel FRIDONDY PRAWIRA D</t>
  </si>
  <si>
    <t>DBS Visa White JT-4A DBSBIDJA/DAVID HARSAMTO</t>
  </si>
  <si>
    <t>Gosend Obat-obatan ke kantor 15 Mar</t>
  </si>
  <si>
    <t>Pembelian Toner Printer Laser Jet PI005</t>
  </si>
  <si>
    <t>TSel FB RM Digiads Mtg MetroTV dll FARAH YUMNA PRADIS</t>
  </si>
  <si>
    <t xml:space="preserve">20260804BMRIIDJA010O9930837142 </t>
  </si>
  <si>
    <t xml:space="preserve">Pembelian Toner Printer Laser Jet </t>
  </si>
  <si>
    <t>UOB Master JT-5Aug BBIJIDJA/DAVID HARSAMTO</t>
  </si>
  <si>
    <t>XL Smart PG DCI GOPay08816600100 TIKA RISKI ASTARI</t>
  </si>
  <si>
    <t>Pembelian USB Kantor untuk 3 Printer</t>
  </si>
  <si>
    <t>20260804BMRIIDJA010O9930837653</t>
  </si>
  <si>
    <t>Pembelian Kontener 3 buah</t>
  </si>
  <si>
    <t>XL Smart PG DCI GoPay0287759539129 TIKA RISKI ASTARI</t>
  </si>
  <si>
    <t>DBSBIDJA/DAVID HARSAMTO 1701932627</t>
  </si>
  <si>
    <t>Perbaikan Printer  Canon MG2570S</t>
  </si>
  <si>
    <t>XL Smart Booth DTI-C 01028 MCM InhouseTrf  KE ADHOUSE CLARION EVENTS : Rp. 71.262.000</t>
  </si>
  <si>
    <t>XL Smart PG DCI GoPay0819667555 TIKA RISKI ASTARI</t>
  </si>
  <si>
    <t>Trimegah Seku EG LO 14-17 Aug VERY CRISTIAN SAMB</t>
  </si>
  <si>
    <t>Perbaikan Material Macbook (Laptop)</t>
  </si>
  <si>
    <t xml:space="preserve">Parkir motor Mas Praja perbaikan Macbook </t>
  </si>
  <si>
    <t>XL Smart Booth DTI-C MCM InhouseTrf  KE ADHOUSE CLARION EVENTS : Rp. 1.054.500</t>
  </si>
  <si>
    <t xml:space="preserve">LLG-HSBC INDONESIA PT REGUS BUSINESS 5963217633 * JNB00 0393886 /ORDP/PAN 260826001505494143  </t>
  </si>
  <si>
    <t xml:space="preserve">LLG-HSBC INDONESIA PT REGUS BUSINESS 5963217634 * JNB00 0393886 /ORDP/PAN 260826001505494156  </t>
  </si>
  <si>
    <t>Bensin B2313BRN</t>
  </si>
  <si>
    <t xml:space="preserve">CA 26 00033 XL Sma rt DTI CX M RIZKY AULIA  </t>
  </si>
  <si>
    <t>Pembelian Paket data MIFI bu AH</t>
  </si>
  <si>
    <t>BRINIDJA/PAN CONVINCE MITRA I 112501000255301</t>
  </si>
  <si>
    <t xml:space="preserve">Pembelian keyboard dan mouse </t>
  </si>
  <si>
    <t>Bunga Pinjaman HSBC 00886  HSBCIDJA/MRS HUTABARAT NURLAILA : Rp. 59.337.495</t>
  </si>
  <si>
    <t xml:space="preserve">20260807BMRIIDJA010O9932145464 </t>
  </si>
  <si>
    <t>07405/PT ASIA UTAM Psi Test Hanny+Nares 000472  : Rp. 1.880.250</t>
  </si>
  <si>
    <t>Tambal ban dan Angin</t>
  </si>
  <si>
    <t>Trimegah Sekuritas E 01017 01017 MCM InhouseTrf CS-CS  KE PANTRAVEL</t>
  </si>
  <si>
    <t>Gojek Pak Kanda</t>
  </si>
  <si>
    <t>TRIMEGAH SEKURITAS  MCM Inhouse</t>
  </si>
  <si>
    <t>201/312/PCMI/AR/VII/2026</t>
  </si>
  <si>
    <t>Himbara Konsinyering 01045 BRINIDJA/MARIA PATRICIA SUGAM</t>
  </si>
  <si>
    <t>Pembelian Kardus, batu batrai, Tisu wajah</t>
  </si>
  <si>
    <t>Sewa Gedung Juli 202 00980 MCM InhouseTrf  KE PANTRAVEL : Rp. 18.198.198</t>
  </si>
  <si>
    <t>Kertas A4 1 rim, map plastik</t>
  </si>
  <si>
    <t>2 rangkap print fotocopy</t>
  </si>
  <si>
    <t>Pembelian stempel an Panconvince 3 jenis</t>
  </si>
  <si>
    <t>Pembelian Amplop Folio</t>
  </si>
  <si>
    <t>Pembelian Spidol</t>
  </si>
  <si>
    <t xml:space="preserve">20260811BMRIIDJA010O9933093099 </t>
  </si>
  <si>
    <t>Sewa Gedung Juni 202 00795 MCM InhouseTrf  KE PANTRAVEL : Rp. 18.198.198</t>
  </si>
  <si>
    <t>Pembeian Pulpen, Lakban Hitam</t>
  </si>
  <si>
    <t xml:space="preserve">BRI RelaBhaktiBUMN PA Tedy Barata VERY CRISTIAN SAMB  </t>
  </si>
  <si>
    <t>Pembelian 3 pack spidol snowman, permanen dan 1 pusin pulpen , 3 pcx pulpen</t>
  </si>
  <si>
    <t>BRI Relawan Bakti BUMN</t>
  </si>
  <si>
    <t>Tagihan Internet Telkomsel pascabayar AH Bulan April 2026</t>
  </si>
  <si>
    <t>Materai 30 pcs</t>
  </si>
  <si>
    <t xml:space="preserve">BRI BoardRetreatT2 Crew+Accom PRADITA BERLIANI  </t>
  </si>
  <si>
    <t>BTN Konsinyering Ban 01046 BRINIDJA/MARIA PATRICIA SUGAM</t>
  </si>
  <si>
    <t>Pembelian anti bau untuk ruangan 96a</t>
  </si>
  <si>
    <t>BTN Konsinyering Banyuwangi</t>
  </si>
  <si>
    <t>Medical a.n. Praja</t>
  </si>
  <si>
    <t xml:space="preserve">20260811BMRIIDJA010O9933093505 </t>
  </si>
  <si>
    <t xml:space="preserve">laporan CA no 36 t hn 2026 YOGI PURWO WIDODO  </t>
  </si>
  <si>
    <t>Listrik Agustus 2026 01025  MCM InhouseTrf  KE PANTRAVEL</t>
  </si>
  <si>
    <t xml:space="preserve">sisa saldo petty c ash TIKA RISKI ASTARI  </t>
  </si>
  <si>
    <t xml:space="preserve">20260811BMRIIDJA010O9933123334 </t>
  </si>
  <si>
    <t xml:space="preserve">BI-FAST DB TRANSFER   KE 028 PT. CSACCESS TECHN KBB    </t>
  </si>
  <si>
    <t>20260811BMRIIDJA010O9933151928</t>
  </si>
  <si>
    <t>AR Temporary Notes</t>
  </si>
  <si>
    <t>CSA Lift</t>
  </si>
  <si>
    <t>XL Smart Payment Gat01057   SBJKIDJA/A HARDIANTI ARMARINI RACHMAN</t>
  </si>
  <si>
    <t>Tol tanpa struk</t>
  </si>
  <si>
    <t>XL Smart Payment Gateway Direct Channel Independence Day 2026</t>
  </si>
  <si>
    <t xml:space="preserve">BI-FAST DB BIAYA TXN  KE 028 PT. CSACCESS TECHN KBB    </t>
  </si>
  <si>
    <t>Pembelian tinta printer Canon MG 2500</t>
  </si>
  <si>
    <t xml:space="preserve">20260811BMRIIDJA010O9933343099 </t>
  </si>
  <si>
    <t>Tol dan Parkir ke Airport</t>
  </si>
  <si>
    <t xml:space="preserve">Kas Kecil Setoran awal SITI MOOZANAH  </t>
  </si>
  <si>
    <t xml:space="preserve">Pembelian Lampu untuk ruang meeting </t>
  </si>
  <si>
    <t>080/313/PCMI/AR/VII/2026</t>
  </si>
  <si>
    <t>Pembelian Tinta Printer colour dan Black</t>
  </si>
  <si>
    <t>088/278/PCMI/AR/V/2026</t>
  </si>
  <si>
    <t>8 Unit AC RONGGOLAWE TEKNIK</t>
  </si>
  <si>
    <t>Sewa Motor April' 2026</t>
  </si>
  <si>
    <t>AC Daikin 8 Unit</t>
  </si>
  <si>
    <t>Bensin Motor Pak Titing</t>
  </si>
  <si>
    <t>XL Smart PG DCI GoPay 087820770108 SITI MOOZANAH</t>
  </si>
  <si>
    <t>Telkomsel Program Market Visit (SBU &amp; SBS)</t>
  </si>
  <si>
    <t xml:space="preserve">070/247/PCMI/AR/IV/2026	</t>
  </si>
  <si>
    <t>Parkir Motor Pak Titing</t>
  </si>
  <si>
    <t>05002600146716213  - PT SHELL INDONESIA12206</t>
  </si>
  <si>
    <t>Pembelian minuman untuk rapih2 File Kantin atas</t>
  </si>
  <si>
    <t>090/260/PCMI/AR/IV/2026</t>
  </si>
  <si>
    <t>UBP60215001202FFFFFF042360271260257 : 411126-200 Pajak Badan SPT PCMI 2025</t>
  </si>
  <si>
    <t>TSel OpsConsulPH2 Grp Room+Bfast SINAR LAUT LAMPUNG</t>
  </si>
  <si>
    <t>Pembelian kopi untuk Ruangan atas</t>
  </si>
  <si>
    <t>SPT PPh Badan 2025</t>
  </si>
  <si>
    <t xml:space="preserve">  </t>
  </si>
  <si>
    <t>UBP60216040102FFFFFF08116289027 : Telkomsel Pengawalan Event Regional Sumbagteng - Junaidi Siregar</t>
  </si>
  <si>
    <t>Kirim dokumen ke Redpod, Tower Bersama, dan PT KAI</t>
  </si>
  <si>
    <t>Telkomsel Operation Consolidation Program H2 ANO Sumatera</t>
  </si>
  <si>
    <t>Pembelian kalkulator</t>
  </si>
  <si>
    <t>UBP60215001202FFFFFF042301314670474 : Denda SPT PPH Badan 2025</t>
  </si>
  <si>
    <t>Pembelian Printer tinta Printer Warna Canon MG 2500</t>
  </si>
  <si>
    <t>UBP60216040102FFFFFF08111000865 : Telkomsel Pengawalan Event Regional Sumbagteng - Mukhlis Pasaribu</t>
  </si>
  <si>
    <t>CA-40/26 Yogi YOGI PURWO WIDODO</t>
  </si>
  <si>
    <t>Pembelian Lampu Philips dan Lampu Panel (depan ruangan Pak Edwin)</t>
  </si>
  <si>
    <t>UBP602123998028000008988890000030956 : Iuran BPJS Kesehatan bulan Agustus 2026,</t>
  </si>
  <si>
    <t>CA-40/26</t>
  </si>
  <si>
    <t>Pembelian Pulsa Paket Data Modem untuk Table Top PADI business forum</t>
  </si>
  <si>
    <t>BI-FAST CR TRANSFER DR 009 PAN CONVINCE MITRA</t>
  </si>
  <si>
    <t>PPh 23 Masa Juli 2026 Billing ID 042334407735870 : Rp. 8.563.817</t>
  </si>
  <si>
    <t>Pemasangan Lampu Philips dan Lampu Panel (depan ruangan Pak Edwin)</t>
  </si>
  <si>
    <t>Kabel Eternal 5M</t>
  </si>
  <si>
    <t>Pembelian Glade, Aqua galon</t>
  </si>
  <si>
    <t>BRI BoardRetreatT2 Lunas Prod Jogja ROBERTUS BELLARMIN</t>
  </si>
  <si>
    <t>Pembelian Rapika, swallow kamper, sabun Yuri</t>
  </si>
  <si>
    <t>Baygon</t>
  </si>
  <si>
    <t>Pngharum ruangan dahlia</t>
  </si>
  <si>
    <t>Kabel dan steker</t>
  </si>
  <si>
    <t>Cuci sajadah mukena</t>
  </si>
  <si>
    <t xml:space="preserve">BRI KunKer KXI Sub Transport  FERA NENGSIH </t>
  </si>
  <si>
    <t>Aqua galon</t>
  </si>
  <si>
    <t>5 pcs pemasangan lampu, 1pcs pemasangan kabel dan stop kontak, 2 line penarikan kabel data</t>
  </si>
  <si>
    <t xml:space="preserve">Trimegah Seku EG Apo Assist  TITIK NOL NUSANTAR </t>
  </si>
  <si>
    <t>Parkir rawat inap bandara</t>
  </si>
  <si>
    <t xml:space="preserve">BRI Relawan Bakti Tiket CSR Agusman  ASTRINDO SATRYA KH </t>
  </si>
  <si>
    <t>WA Tika : 5-Aug-26 : pembelian Lakban, Stop Kontak, Lampu, ATK Odner</t>
  </si>
  <si>
    <t xml:space="preserve">Trimegah Seku EG LO Bagasi 15Aug  VERY CRISTIAN SAMB </t>
  </si>
  <si>
    <t xml:space="preserve">BRI KunKer KXI Sub Prod 1D LO 2D  MOCH SUPRIYADI </t>
  </si>
  <si>
    <t>Isi Emoney untuk Tol dan Parkir Bandara</t>
  </si>
  <si>
    <t xml:space="preserve">TSel Op Conso PH2 Kamar 1-4 Sep  SINAR LAUT LAMPUNG </t>
  </si>
  <si>
    <t>Parkir ke Mangga Dua cari Laptop dan monitor</t>
  </si>
  <si>
    <t>Parkir Inap Bandara Soekarno Hatta</t>
  </si>
  <si>
    <t xml:space="preserve">BRI KunKer KXI Sub Show Mgt 28Aug  TEUKU DONNYA SYAHP </t>
  </si>
  <si>
    <t>Materai 10 pcs</t>
  </si>
  <si>
    <t>Pembelian makan siang Mie Ayam Bakso GM dan Pangsit Bu AH</t>
  </si>
  <si>
    <t xml:space="preserve">BRI KunKer KXI Sub Trans Lombok 5D  I MADE BAGUS SUHAR </t>
  </si>
  <si>
    <t>Parkir Shoppe food beli makan siang bu AH</t>
  </si>
  <si>
    <t>3 buah Aqua Galon, Kopi dan gula</t>
  </si>
  <si>
    <t>Laundry Pakaian kaos biru</t>
  </si>
  <si>
    <t>UBP60212399902FFFFFF422150605000 : Iuran BPJS Ketenagakerjaan bulan Juli 2026</t>
  </si>
  <si>
    <t>Amplop Coklat (ATK)</t>
  </si>
  <si>
    <t>Non Cash - Non Bank</t>
  </si>
  <si>
    <t xml:space="preserve">TSel FB RM Digiads,  01027 MCM InhouseTrf  KE ANDI MARIO </t>
  </si>
  <si>
    <t xml:space="preserve">BRI Relawan Bakti Ops Tedi Bharata  MARIA PATRICIA SUG </t>
  </si>
  <si>
    <t>3 buah Aqua Galon</t>
  </si>
  <si>
    <t xml:space="preserve">TSel Pengawalan Even 00996  BRINIDJA/NOVLI FELISIA SITUMO </t>
  </si>
  <si>
    <t>Kopi, gula, Soklin lantai, Wings porcelen, baygon</t>
  </si>
  <si>
    <t>Cash Advance Report - Credit Cards and others</t>
  </si>
  <si>
    <t>Ganti ban dalam motor Operasional B6177STN</t>
  </si>
  <si>
    <t xml:space="preserve">20260818BMRIIDJA010O9935204564 </t>
  </si>
  <si>
    <t>TSel Pengawalan Even 00997 MCM InhouseTrf  KE BERNITO ARDIAWAN</t>
  </si>
  <si>
    <t>Posting COGS Proyek 2026 yang dibayarkan di 2025 sebagai AR Deposit to vendor</t>
  </si>
  <si>
    <t>Emoney toll</t>
  </si>
  <si>
    <t xml:space="preserve">TSel FB RM Digiads, 01061 JAGBIDJA/RAKASIWI PERMANA PUTRA </t>
  </si>
  <si>
    <t xml:space="preserve">HimbaraFGDFairmont SisBud Andini BSI  SUTARNO </t>
  </si>
  <si>
    <t>Parkir Cash (tanpa struk)</t>
  </si>
  <si>
    <t xml:space="preserve">20260818BMRIIDJA010O9935204566 </t>
  </si>
  <si>
    <t xml:space="preserve">BRI Kons Plataran Mobil Wicaksono  BPW SAHADEWA BASUN </t>
  </si>
  <si>
    <t>Cek  Servis 4 Printer :  Printer HP Smart Touch, Printer Canon Pixma 2750S, HP LaserJet P1005, HJP LaserJet P1102</t>
  </si>
  <si>
    <t>BRI Konsinyering BAKN Plataran Bandung</t>
  </si>
  <si>
    <t>BRI FGD Smg Kom XISPJ 2D+Meals      M RIZKY AULIA,</t>
  </si>
  <si>
    <t>Toll Emoney</t>
  </si>
  <si>
    <t>20260818BMRIIDJA010O9935209293</t>
  </si>
  <si>
    <t xml:space="preserve">TSel WS RBA Sum Snack,Parkir,Water  BPW SAHADEWA BASUN </t>
  </si>
  <si>
    <t>Cost of Goods</t>
  </si>
  <si>
    <t>BRI FGD Smg KomXI SPJ 2D + Meals    ANALITA YULISTYA C,</t>
  </si>
  <si>
    <t>Trimegah Sekuritas E 01091 MCM InhouseTrf  KE GUNAWAN</t>
  </si>
  <si>
    <t xml:space="preserve">BRI Kons Plataran DP Prod Bandung  M ILYAS ROHMAN </t>
  </si>
  <si>
    <t>BRI FGD SEM KomXI Biaya Ops  ROBERTUS BELLARMIN Mandiri Plasa</t>
  </si>
  <si>
    <t>CA-39/26 Patrice MCM Outw CN (CS)  MARIA PATRICIA SUGAM</t>
  </si>
  <si>
    <t>CA-39/26</t>
  </si>
  <si>
    <t>Retur PV 06644 MARIA PATRICIA SUG : WA Pat 13-Dec BRI FGD Semarang Komisi XI</t>
  </si>
  <si>
    <t xml:space="preserve">TSel FB RM Digiads Mtg Lunch Adakami  AFFANDI BASITH </t>
  </si>
  <si>
    <t xml:space="preserve">BRI FGD Smg KomXI Stage+MC Crew AHMAD WIDYA NUGRAH  </t>
  </si>
  <si>
    <t>Trimegah Seku EG, Ap 01115 01115 MCM InhouseTrf CS-CS  KE TITIAN JAYA</t>
  </si>
  <si>
    <t>BRI FGD Semarang Kom MCM InhouseTrf CS-CS  KE ROBERTUS BELLARMINO DHANY AS</t>
  </si>
  <si>
    <t>BRI Kons Komisi VI M00978 BIFAST Out CS-GL  BRINIDJA/UPAYA PURNABHAKTI SE</t>
  </si>
  <si>
    <t xml:space="preserve">B2313BRN Aug AUTORENT LANCAR SE  </t>
  </si>
  <si>
    <t>BRI FGD Smg Kom XI,  06778 06778 MCM InhouseTrf CS-CS  KE ROBERTUS BELLARMINO DHANY AS</t>
  </si>
  <si>
    <t xml:space="preserve">20260824BMRIIDJA010O9936918529 BIFAST Out CS-GL  </t>
  </si>
  <si>
    <t xml:space="preserve">BRI FGD Smg Kom XI,  06736    MCM InhouseTrf  KE PANTRAVEL </t>
  </si>
  <si>
    <t xml:space="preserve">Foto Copy Aug OSC OFFICE MACHINE  </t>
  </si>
  <si>
    <t>TSe FB, RM Digiads, 01086 BIFAST Out CS-GL  BSMDIDJA/RIMAS BENIARDY PRASETYO</t>
  </si>
  <si>
    <t>Toll Emoney tanpa struk</t>
  </si>
  <si>
    <t>TIKET.COM Jakarta PusatID - Hotel Ibis Simpang lima semarang an Mas Rizky dan Analita ( 2 kamar ) 27 -28 Nov 2025</t>
  </si>
  <si>
    <t>Parkir inap bandara</t>
  </si>
  <si>
    <t xml:space="preserve">20260824BMRIIDJA010O9936918538 BIFAST Out CS-GL  </t>
  </si>
  <si>
    <t>HOTEL TENTREM SEMARANG - Pembayaran Kamar atas Nama Adnan (User BRI)</t>
  </si>
  <si>
    <t xml:space="preserve">Orbits Sys Upgrade ANDIKA MULIA  </t>
  </si>
  <si>
    <t>Reimburse Makan bersama bu Lulita dan Bu Lovy</t>
  </si>
  <si>
    <t>HOTEL TENTREM SEMARANG - Pembayaran Ballroom Hotel Tentrem Semarang dilakukan dalam 4 termin pembayaran agar tidak kena charge 2%</t>
  </si>
  <si>
    <t>20260827BMRIIDJA010O9937736912            99102</t>
  </si>
  <si>
    <t>Reimburse refreshment Klenteng Sam Poo kong</t>
  </si>
  <si>
    <t xml:space="preserve">BRI BoardRetreatT2 Rompi+Topi VIP  MUHAMMAD ANGGARA D </t>
  </si>
  <si>
    <t>ATK (pembolong kertas besar, Clear Holder 2 pcs, Odner 2 Pcs, dan lakban)</t>
  </si>
  <si>
    <t>Salary PCMI Aug   CENAIDJA/DAVID HARSAMTO</t>
  </si>
  <si>
    <t>05012600235087928 - PT SHELL INDONESIA12206</t>
  </si>
  <si>
    <t xml:space="preserve">XL Smart Booth DTI Prod Merchandize  MUHAMMAD ANGGARA D </t>
  </si>
  <si>
    <t>GUMAYA TOWER HOTEL-HO SEMARANG - Pembayaran Kamar Hotel Gumaya atas Nama Bapak Harris Turino (DPR)</t>
  </si>
  <si>
    <t>131/295/PCMI/AR/VI/2026</t>
  </si>
  <si>
    <t xml:space="preserve">Pensiun Supriyadi, S01137 CENAIDJA/SUPRIYADI </t>
  </si>
  <si>
    <t xml:space="preserve">20260831BMRIIDJA010O9938960976 </t>
  </si>
  <si>
    <t xml:space="preserve">TSel FB RM Digiads InnovaReborn Bali  BPW SAHADEWA BASUN </t>
  </si>
  <si>
    <t>BSI KunKer BAKN PPSPJ 3D + Meals    MARIA PATRICIA SUG,</t>
  </si>
  <si>
    <t>Materai 50pcs</t>
  </si>
  <si>
    <t>BSI KunKer BAKN PPSPJ 2D+Meals      ANALITA YULISTYA C,</t>
  </si>
  <si>
    <t xml:space="preserve">Sabic Tumbler Merchandize  CAHAYA MANDIRI DIG </t>
  </si>
  <si>
    <t>Kirim dokumen Tiki Pak David</t>
  </si>
  <si>
    <t>BSI Kunker BAKN PP DP Produksi  AFANDI Mandiri Plasa</t>
  </si>
  <si>
    <t>Sabic Tumbler</t>
  </si>
  <si>
    <t>Pembelian Kopi, Jandsoap, Baygon, mama lemon, swallow, Kamper, Soklin lantai</t>
  </si>
  <si>
    <t xml:space="preserve">BSI KunKer BAKN PP Lunas BSI Bangka  AFANDI </t>
  </si>
  <si>
    <t xml:space="preserve">Kelebihan Biaya Se wa Mobil FA  FRIDA ACHMADI </t>
  </si>
  <si>
    <t xml:space="preserve">Parkir Inap Bandara </t>
  </si>
  <si>
    <t xml:space="preserve">BSI KunKer BAKN PP SD,Stage+MC Crew  TEUKU DONNYA SYAHP </t>
  </si>
  <si>
    <t xml:space="preserve">BSI KunKer BAKN PP Prod 25-27Nop AHMAD WIDYA NUGRAH  </t>
  </si>
  <si>
    <t>Pembelian tinta printer Canon MG 2500 black white</t>
  </si>
  <si>
    <t xml:space="preserve">BSI KunKer BAKN Pang 06691   MCM InhouseTrf  KE PANTRAVEL </t>
  </si>
  <si>
    <t>Pengobatan karyawan atas nama Tika</t>
  </si>
  <si>
    <t>BSI KunKer BAKN Pang 06647   MCM InhouseTrf  KE PANTRAVEL</t>
  </si>
  <si>
    <t xml:space="preserve">By admin </t>
  </si>
  <si>
    <t>Bank Charges</t>
  </si>
  <si>
    <t>- Pimpinan Rapat (1 orang)</t>
  </si>
  <si>
    <t>Barang cetakan buat tanda terima / Form Received</t>
  </si>
  <si>
    <t>CA-42/26 Patrice BRINIDJA/MARIA PATRICIA SUGAM</t>
  </si>
  <si>
    <t>Gosend buku tanda terima ke kantor</t>
  </si>
  <si>
    <t>- Anggota (5 orang)</t>
  </si>
  <si>
    <t>CA-42/26</t>
  </si>
  <si>
    <t>20260901BMRIIDJA010O9930575996</t>
  </si>
  <si>
    <t>- Setkom</t>
  </si>
  <si>
    <t>Tipping Hotel</t>
  </si>
  <si>
    <t>Tipping Driver (2 Hari)</t>
  </si>
  <si>
    <t>20260901BMRIIDJA010O9930583804</t>
  </si>
  <si>
    <t>Fee MC</t>
  </si>
  <si>
    <t>BIFAST Inc GL-CS BNINIDJA/PAN CONVINCE MITRA INTERNATIONA</t>
  </si>
  <si>
    <t>Tagihan Internet Telkomsel pascabayar AH Bulan Mei 2026</t>
  </si>
  <si>
    <t xml:space="preserve">BRI Board Retreat T201118 BNINIDJA/PACTO </t>
  </si>
  <si>
    <t>Fee Qori</t>
  </si>
  <si>
    <t>Pengisian  daya listrik mobil B994NNE</t>
  </si>
  <si>
    <t>Sewa Table Clothes</t>
  </si>
  <si>
    <t xml:space="preserve">20260903BMRIIDJA010O9931426598 </t>
  </si>
  <si>
    <t xml:space="preserve">Gocar Transportation meeting dgn FIF di PIM 2 Jaksel </t>
  </si>
  <si>
    <t>Cetak  Table Name - art paper</t>
  </si>
  <si>
    <t>DBS Visa White 4-Sep 01164  DBSBIDJA/DAVID HARSAMTO</t>
  </si>
  <si>
    <t>Reimburse BSI PGK as per rqst Ibu Andini</t>
  </si>
  <si>
    <t>20260903BMRIIDJA010O9931427057</t>
  </si>
  <si>
    <t>Fee Qory baca Quran</t>
  </si>
  <si>
    <t>UOB Master JT-7Sep  01165  BBIJIDJA/DAVID HARSAMTO</t>
  </si>
  <si>
    <t xml:space="preserve">Bayar tambahan kopi dan minuman di Resto </t>
  </si>
  <si>
    <t>20260903BMRIIDJA010O9931427075</t>
  </si>
  <si>
    <t>Request Cash dari Ibu Andini per tgl 17 Dec</t>
  </si>
  <si>
    <t xml:space="preserve">OCBC Visa JT-3Sep  01166  NISPIDJA/DAVID HARSAMTO </t>
  </si>
  <si>
    <t>GODAI SEJIWA-HO BANGKA TENGAH ID - Pembayaran oleh2 BSI</t>
  </si>
  <si>
    <t>Gula Pasir</t>
  </si>
  <si>
    <t>20260903BMRIIDJA010O9931427085</t>
  </si>
  <si>
    <t xml:space="preserve">SWISS-BELHOTEL PANGKAL PGKL PINANG ID - Pembayaran paket meeting Halfday tanggal 27Nov	</t>
  </si>
  <si>
    <t>Lampu Ruang Meeting</t>
  </si>
  <si>
    <t>20260903BRINIDJA010O0211138200 BRINIDJA/MARIA PATRICIA SUGAM</t>
  </si>
  <si>
    <t>Regal untuk bu Anne</t>
  </si>
  <si>
    <t xml:space="preserve">Batu Baterai </t>
  </si>
  <si>
    <t>BTN FGD CirebonKXISPJ 3D +Meals     MARIA PATRICIA SUG,</t>
  </si>
  <si>
    <t xml:space="preserve">20260904BMRIIDJA010O9931701268 BIFAST Out CS-GL  </t>
  </si>
  <si>
    <t>Kertas HVS A4</t>
  </si>
  <si>
    <t>BTN FGD CirebonKXISPJ 4D + Meals    ALEXADRUS NULIADY,</t>
  </si>
  <si>
    <t>Pembelian Regal, Lotte Xylitol,  dan Gado2 untuk Bu Anne</t>
  </si>
  <si>
    <t>Inv. 001/FIN-PAN/VII 00895  MCM InhouseTrf  KE PANTRAVEL : Jasa Reklame PCMI Signage</t>
  </si>
  <si>
    <t>BTN FGDCirebon KXI DP Production  HARRY SUSANTO Mandiri Plasa</t>
  </si>
  <si>
    <t xml:space="preserve">Pembelian Kopi, dan botol Sealant, dan Aqua Galon </t>
  </si>
  <si>
    <t xml:space="preserve">BTN FGD Cirebon Lunas EO BTNLuxton  HARRY SUSANTO </t>
  </si>
  <si>
    <t>BCA Sahardjo to Mandiri Mid Plaza</t>
  </si>
  <si>
    <t xml:space="preserve">BTN FGD Cirebon SD+Stage crew 2D  TEUKU DONNYA SYAHP </t>
  </si>
  <si>
    <t>Byr AP Loan 19-Feb M  MCM InhouseTrf  KE DAVID HARSAMTO</t>
  </si>
  <si>
    <t xml:space="preserve">BTN FGD CirebonKXI 35 MicDel 28Nop  ADITYA CHANDRA KUS </t>
  </si>
  <si>
    <t>Byr AP Loan 11-Aug OCBC NISPIDJA/DAVID HARSAMTO</t>
  </si>
  <si>
    <t>DP untuk emoney dan parkir mobil bu Anne</t>
  </si>
  <si>
    <t>Pembayaran Pimpinan Rapat (1 orang @Rp. 20.000.000)</t>
  </si>
  <si>
    <t>20260906BMRIIDJA010O9932323639</t>
  </si>
  <si>
    <t>Ongkir lalamove untuk pembelian meja pingpong</t>
  </si>
  <si>
    <t>Pembayaran Anggota (17 orang @Rp. 10.000.000)</t>
  </si>
  <si>
    <t>Byr AP Loan 10-Jul  MCM InhouseTrf  KE DAVID HARSAMTO</t>
  </si>
  <si>
    <t>by admin bank</t>
  </si>
  <si>
    <t>Pembayaran Setkom, Kasubag (1 orang @Rp. 3.000.000)</t>
  </si>
  <si>
    <t>Byr AP Loan 15-Aug OCBC NISPIDJA/DAVID HARSAMTO</t>
  </si>
  <si>
    <t>Parkir Inap Bandara Jakarta 17-20 Juni 2026</t>
  </si>
  <si>
    <t>Pembayaran Setkom, Staff (4 orang @Rp. 2.000.000)</t>
  </si>
  <si>
    <t>20260906BMRIIDJA010O9932323641</t>
  </si>
  <si>
    <t>Parkir Inap Bandara Jakarta 08-11 Juni 2026</t>
  </si>
  <si>
    <t>Permintaan Ibu Helda</t>
  </si>
  <si>
    <t>Byr AP Loan 10-Jul k MCM InhouseTrf  KE DAVID HARSAMTO</t>
  </si>
  <si>
    <t>Meals Rizky, Akbar, Ableh 10/06/26</t>
  </si>
  <si>
    <t>Meals Rizky, Akbar, Ableh 11/06/26</t>
  </si>
  <si>
    <t>Byr AP Loan 14-Aug OCBC NISPIDJA/DAVID HARSAMTO</t>
  </si>
  <si>
    <t>Pembelian Oleh Oleh Cirebon</t>
  </si>
  <si>
    <t>Parkir mobil tgl 10-11 Juni 2026</t>
  </si>
  <si>
    <t>Reimburs Biaya Bensin dan Tol Alex</t>
  </si>
  <si>
    <t xml:space="preserve">20260906BMRIIDJA010O9932323643 </t>
  </si>
  <si>
    <t>Pembelian Amplop uang</t>
  </si>
  <si>
    <t>Traveloka3DS-130362829 Jakarta ID - inv 1303628294, 1303696484 tiket KAI an Maria, Teuku, Aditya</t>
  </si>
  <si>
    <t>DKom Bank Indonesia Setor Tunai  DKom Bank Indonesia</t>
  </si>
  <si>
    <t>Sewa Motor Mei 2026</t>
  </si>
  <si>
    <t>Traveloka-1303696484 Jakarta ID - inv 1303628294, 1303696484 tiket KAI an Maria, Teuku, Aditya</t>
  </si>
  <si>
    <t>Traveloka3DS-130421694 Jakarta ID - inv 1304216940 tiket KAI an Teuku</t>
  </si>
  <si>
    <t>BBM Motor bulanan Mei</t>
  </si>
  <si>
    <t xml:space="preserve">20260908BMRIIDJA010O9933072475 </t>
  </si>
  <si>
    <t>Parkir Motor Mei</t>
  </si>
  <si>
    <t>LUXTON HOTEL CIREBON CIREBON KOT. ID - Pembayaran paket meeting HD dan kamar Pak Hekal</t>
  </si>
  <si>
    <t>NO.222/PCMI/AR/IX/20  MCM InhouseTrf  DARI TRIMEGAH SEKURITAS INDONESIA</t>
  </si>
  <si>
    <t>THE LUXTON CRB HOTEL MBL CIREBON ID - Pembayaran penambahan makanan dan kamar as per rqst Helda</t>
  </si>
  <si>
    <t>222/330/PCMI/AR/IX/2026</t>
  </si>
  <si>
    <t xml:space="preserve">TSel FB, Reward &amp; Me 01123 MCM InhouseTrf  KE PANTRAVEL </t>
  </si>
  <si>
    <t>Pembelian Kartu Orbit baru bu Anne</t>
  </si>
  <si>
    <t>BRI Board Retreat T2 01173 BNINIDJA/PACTO</t>
  </si>
  <si>
    <t>HimbaraKunKerBatamSPJ 4D+MMOps+MealsALEXADRUS NULIADY,</t>
  </si>
  <si>
    <t>Revisi hard cover Laporan Kegiatan BTN Pontianak</t>
  </si>
  <si>
    <t xml:space="preserve">20260910BMRIIDJA010O9933645457 </t>
  </si>
  <si>
    <t>HimbaraKunKerBatamSPJ 4D + Meals    ANALITA YULISTYA C,</t>
  </si>
  <si>
    <t>Revisi hard cover Laporan Kegiatan Mandiri</t>
  </si>
  <si>
    <t>BRI Board retreat T2 01124 MCM InhouseTrf  KE PANTRAVEL</t>
  </si>
  <si>
    <t>HimbaraKunKerBatamSPJ 4D + Meals    MARIA PATRICIA SUG,</t>
  </si>
  <si>
    <t>Pengisian kekurangan  daya listrik mobil B994NNE (sudah DP 500.000)</t>
  </si>
  <si>
    <t xml:space="preserve">HimbaranKunKerBata Show Mgt+GR TEUKU DONNYA SYAHP  </t>
  </si>
  <si>
    <t>BRI BSBI Kunker Bany 01181 BNINIDJA/PACTO</t>
  </si>
  <si>
    <t xml:space="preserve">HimbaraKunKerBatam 35Mic11DecMarriott MARIA PATRICIA SUG  </t>
  </si>
  <si>
    <t>Toll Emoney  (sudah DP 100.000)</t>
  </si>
  <si>
    <t xml:space="preserve">20260910BMRIIDJA010O9933645462 </t>
  </si>
  <si>
    <t xml:space="preserve">HimbaraKunKerBatam Produksi 11Dec ZEHRA BALINA  </t>
  </si>
  <si>
    <t>Trimegah Sekuritas E 01125  MCM InhouseTrf  KE PANTRAVEL</t>
  </si>
  <si>
    <t xml:space="preserve">Himbara KunKer Batam 06772   MCM InhouseTrf  KE PANTRAVEL </t>
  </si>
  <si>
    <t>BRI BSBI Kunker Bany 01180  BNINIDJA/PACTO</t>
  </si>
  <si>
    <t xml:space="preserve">Toll Emoney </t>
  </si>
  <si>
    <t>Pimpinan Rapat (3 orang) @15,000,000 x 2</t>
  </si>
  <si>
    <t>20260910BMRIIDJA010O9933645465</t>
  </si>
  <si>
    <t>Anggota (17 orang) @10,000,000 x 2</t>
  </si>
  <si>
    <t>Setkom, Kabag (1 orang)</t>
  </si>
  <si>
    <t>20260910BMRIIDJA010O9933651135</t>
  </si>
  <si>
    <t>Cetak mockup hadiah pernikahan Analita</t>
  </si>
  <si>
    <t>Setkom, Staff (4 orang) @2,000,000</t>
  </si>
  <si>
    <t>DBSBIDJA/DAVID HARSAMTO 1701932627 : Retur DBS Visa White 8-Jul</t>
  </si>
  <si>
    <t>By ongkir cetak mockup</t>
  </si>
  <si>
    <t>Fee MC as per rqst Atuy BRI</t>
  </si>
  <si>
    <t>Tipping pengantaran kulkas pernikahan Analita</t>
  </si>
  <si>
    <t>Retur 8Jul DBS Visa White hite MCM InhouseTrf CS-CS  DARI DAVID HARSAMTO</t>
  </si>
  <si>
    <t>Paper bag batik</t>
  </si>
  <si>
    <t xml:space="preserve">Materai </t>
  </si>
  <si>
    <t>Luti Gendang</t>
  </si>
  <si>
    <t>Retur 14-Sep Double 12-Sep MCM InhouseTrf  KE DAVID HARSAMTO</t>
  </si>
  <si>
    <t>Pembelian tinta black and white  untuk Canon MG 2500</t>
  </si>
  <si>
    <t>Oleh-oleh BTN (tambahan)</t>
  </si>
  <si>
    <t>Pembelian tinta berawarna untuk Canon MG 2500</t>
  </si>
  <si>
    <t>Wrapping Bandara Soekarno Hatta</t>
  </si>
  <si>
    <t xml:space="preserve"> beli kabel perlenk 10 PCs 4 lobang 3 meter</t>
  </si>
  <si>
    <t>Wrapping Bandara Hang Nadim, Batam</t>
  </si>
  <si>
    <t>BRI Konsinyering Komisi VI Menara Brilian</t>
  </si>
  <si>
    <t>Tagihan Internet Telkomsel pascabayar AH Bulan Juni 2025</t>
  </si>
  <si>
    <t>Tipping Hotel Banquet</t>
  </si>
  <si>
    <t>Pembelian tinta warna dan hitam putih Canon MG 2500</t>
  </si>
  <si>
    <t>Tipping Driver (4 hari)</t>
  </si>
  <si>
    <t xml:space="preserve">Toll Emoney 23 Juni - 04 Juli </t>
  </si>
  <si>
    <t>Req cash dari BTN (Mba Helda) utk PA Pak Hekal (Frank)</t>
  </si>
  <si>
    <t>Parkir Emoney 25 Juni - 07 Juli</t>
  </si>
  <si>
    <t>Req cash dari BTN (Mba Helda) tanggal 15 Dec</t>
  </si>
  <si>
    <t>Tol tanpa Struk 4 Juli</t>
  </si>
  <si>
    <t>BKG*HOTEL AT BOOKING.C (888)850-3958NL - Zest Hotel Batam Pembayaran kamar hotel untuk Team PCMI tanggal 9 - 12 Desember 2 rooms</t>
  </si>
  <si>
    <t>MARRIOTT HOTEL BATAM-H BATAM - Pembayaran paket meeting dan kamar BRI dan BTN</t>
  </si>
  <si>
    <t>Parkir Cash (tanpa struk) 5 Juli</t>
  </si>
  <si>
    <t>TOP 100 GRAND BATAM - Beli coklat oleh2 utk goodybag Peserta BRI dan BTN</t>
  </si>
  <si>
    <t>isi ban nitrogen 29 Juni</t>
  </si>
  <si>
    <t>TOP 100 GRAND BATAM - Bayar oleh2 untuk kantor BRI sesuai request Adnan dan Atuy</t>
  </si>
  <si>
    <t>Makan siang bu AH</t>
  </si>
  <si>
    <t>Kopi, baygon, map</t>
  </si>
  <si>
    <t>Mandiri FGD Banten</t>
  </si>
  <si>
    <t>Sewa Motor Sutarno Juni 2026</t>
  </si>
  <si>
    <t>Mandiri FGD BantenSPJ 1D 7Nop       SUPRIYADI,Mandiri Plasa</t>
  </si>
  <si>
    <t xml:space="preserve">Parkir </t>
  </si>
  <si>
    <t>MANDIRI FGD BantenSPJ 2D + Meals    MARIA PATRICIA SUG,</t>
  </si>
  <si>
    <t>BBM Motor Sutarno bulanan Juni</t>
  </si>
  <si>
    <t>MANDIRI FGD BantenSPJ 2D+Meals      ALEXADRUS NULIADY,</t>
  </si>
  <si>
    <t>Pembelian Ball Liner kekurangan (1pcs)</t>
  </si>
  <si>
    <t>MANDIRI FGD BantenSPJ 2D + Meals    ANALITA YULISTYA C,</t>
  </si>
  <si>
    <t>Toll Emoney 20 Juni - 07 Juli</t>
  </si>
  <si>
    <t>MANDIRI FGD IKN   SPJ 2D + Meals    FRIDA ACHMADI,</t>
  </si>
  <si>
    <t>Parkir Emoney 22 Juni - 07 Juli</t>
  </si>
  <si>
    <t>MANDIRI FGD BantenSPJ 1D 6Nop       SUPRIYADI,</t>
  </si>
  <si>
    <t>Parkir Cash (tanpa struk) 22 Juni - 07 Juli 2026</t>
  </si>
  <si>
    <t xml:space="preserve">Mandiri FGD Banten Courier 25Box 6Nop  ANALITA YULISTYA C </t>
  </si>
  <si>
    <t xml:space="preserve">Mandiri FGD Banten LO 2D JHLSolitaire  MOCH SUPRIYADI </t>
  </si>
  <si>
    <t xml:space="preserve">Pembayaran sewa lapangan main badminton </t>
  </si>
  <si>
    <t xml:space="preserve">Mandiri FGD Banten PIC Produksi 2D  R DINAR KUSUMAYANT </t>
  </si>
  <si>
    <t>Meals Lunch bu Anne</t>
  </si>
  <si>
    <t xml:space="preserve">Mandiri FGD Banten +an 10Pcs Batik  ANALITA YULISTYA C </t>
  </si>
  <si>
    <t>Meeting dengan Klien</t>
  </si>
  <si>
    <t>Mandiri FGD Banten Doc PhotoVideo 1D  KATHERIN VICENTIA Mandiri Plasa</t>
  </si>
  <si>
    <t>BTN Booth Digital Store at HarI Koperasi Nasional</t>
  </si>
  <si>
    <t>Emoney Toll 28 Mei - 07 Juli 2026</t>
  </si>
  <si>
    <t>Mandiri FGD Banten SD,MC&amp;Stage Crew  TEUKU DONNYA SYAHP Mandiri Plasa</t>
  </si>
  <si>
    <t>Emoney Parkir 8 - 26 Juni 2026</t>
  </si>
  <si>
    <t>Mandiri FGD Banten 35 DelegateMic-JL  ADITYA CHANDRA KUS Mandiri Plasa</t>
  </si>
  <si>
    <t>Parkir tanpa Struk 24 Juni - 07 Juli</t>
  </si>
  <si>
    <t>Mandiri FGD Banten LiveCam JHL 7Nov  SUTRISNO Mandiri Plasa</t>
  </si>
  <si>
    <t xml:space="preserve">Stik bawang, singkong balado, keripik bawang </t>
  </si>
  <si>
    <t xml:space="preserve">Mandiri FGD Banten Gardening JHL 7Nop  HARTONO </t>
  </si>
  <si>
    <t>Proporsal Laporan Kegiatan BSI</t>
  </si>
  <si>
    <t xml:space="preserve">Mandiri FGD Banten LED dan Matador  WIDI SURYA BUDIANA </t>
  </si>
  <si>
    <t>Proporsal Laporan Kegiatan BRI</t>
  </si>
  <si>
    <t>Biaya Ongkir Bajaj - Pengiriman 25 pcs Keranjang Anyaman dari Mayestik</t>
  </si>
  <si>
    <t>Pembelian Goody Bag</t>
  </si>
  <si>
    <t>Promagh Herbal dan Caladine cair bu AH</t>
  </si>
  <si>
    <t>Amplop Coklat</t>
  </si>
  <si>
    <t>Makan Siang Gado-gado bu AH</t>
  </si>
  <si>
    <t>Biaya Bensin, Parkir dan makan Pak Ableh - Produksian</t>
  </si>
  <si>
    <t>Kopi, gula, batu batrai ABC, Amplop coklat, Aqua Galon</t>
  </si>
  <si>
    <t>Bensin mobil Alex, 5Nov 2025</t>
  </si>
  <si>
    <t>Pembelian kabel untuk kantor permintaan bu AH</t>
  </si>
  <si>
    <t>Parkir Inap Bandara CGK - Alex, 6-7Nov 2025</t>
  </si>
  <si>
    <t>Pembelian TP Link Deco M5 untuk kantor</t>
  </si>
  <si>
    <t>Cetak Laporan Mandiri FGD Banten</t>
  </si>
  <si>
    <t>Retail IDN Jakarta Tokopedia - Tokopedia - Pembelian Dodol Ny Lauw 75 Pcs</t>
  </si>
  <si>
    <t>Retail IDN Jakarta Tokopedia - Tokopedia - Pembelian tambahan 15 Pcs Dodol Ny Lauw</t>
  </si>
  <si>
    <t xml:space="preserve">Parkir Cash (tanpa struk) </t>
  </si>
  <si>
    <t>Retail IDN Jakarta Tokopedia - Whoosh - inv GA29432490 tiket an. Vivi, Sri, Dedih</t>
  </si>
  <si>
    <t>SOLITAIRE HOTEL INDONE TANGERANG KAB - BBM B 2313 BRN, 29 Oct 2025</t>
  </si>
  <si>
    <t>Jasa Pasang Whiper mobil bu AH</t>
  </si>
  <si>
    <t>ALFAMRT T893 MDRS MEND TANGERANG - Indomaret dan Alfamart - Pembelian permen Fisherman utk semua peserta FGD</t>
  </si>
  <si>
    <t>Pembelian Modem Wifi Orbit Telkomsel</t>
  </si>
  <si>
    <t>IDM T9W2-KEBAYORAN LAM TANGERANG - Indomaret dan Alfamart - Pembelian permen Fisherman utk semua peserta FGD</t>
  </si>
  <si>
    <t>INDOMARET TWKZ - MEDRI Tangerang (Ka - Indomaret dan Alfamart - Pembelian permen Fisherman utk semua peserta FGD</t>
  </si>
  <si>
    <t>Tagihan Internet Telkomsel pascabayar AH Bulan Juli 2025</t>
  </si>
  <si>
    <t>PIGMA TANGERANG - Pembayaran print materi OJK</t>
  </si>
  <si>
    <t xml:space="preserve">Reimburse Golf Breakfast Wishnu 25 Juli 2026 </t>
  </si>
  <si>
    <t>RM PAYAKUMBUAH GADING TANGERANG KOT - Beli makan siang team PCMI dan PIC Mandiri</t>
  </si>
  <si>
    <t>Pembelian kabel + sling baja untuk kantor permintaan bu AH</t>
  </si>
  <si>
    <t>SOLITAIRE HOTEL INDONE TANGERANG </t>
  </si>
  <si>
    <t>Sewa Lapangan badminton untuk tangal 07 Agustus di Sport Mega Kuningan</t>
  </si>
  <si>
    <t>Pembayaran Wakil Ketua (1 orang @Rp. 15.000.000)</t>
  </si>
  <si>
    <t>Toll Emoney 08-24 Juli 2026</t>
  </si>
  <si>
    <t>Parkir Emoney 10-21 Juli 2026</t>
  </si>
  <si>
    <t>Pembayaran Setkom Kasubag (1 orang @Rp. 5.000.000)</t>
  </si>
  <si>
    <t>Parkir Cash (tanpa struk) 08-24 Juli 2026</t>
  </si>
  <si>
    <t>Pembayarab Setkom Staff (4 orang @Rp. 2.000.000)</t>
  </si>
  <si>
    <t>Toll Emoney 20-28 Juli 2026</t>
  </si>
  <si>
    <t>Parkir Emoney 21-29 Juli 2026</t>
  </si>
  <si>
    <t>Gallery Batik Organik</t>
  </si>
  <si>
    <t>Parkir Cash (tanpa struk) 20-29 Juli 2026</t>
  </si>
  <si>
    <t>Madu &amp; Emping</t>
  </si>
  <si>
    <t>Tol tanpa Struk 20-29 Juli</t>
  </si>
  <si>
    <t>Tipping &amp; Toll Gosend (Mas Yogi)</t>
  </si>
  <si>
    <t>Tambahan Bandeng</t>
  </si>
  <si>
    <t>Cetak Table name di Snapy</t>
  </si>
  <si>
    <t>Baygon, kopi, odner, klip, baygon, gula, sunlight dll</t>
  </si>
  <si>
    <t>Cetak Produksian &amp; Printingan</t>
  </si>
  <si>
    <t>Betadine Kumur Bu AH</t>
  </si>
  <si>
    <t>Paper Bag Batik</t>
  </si>
  <si>
    <t>Cuci sajadah mukena mushola</t>
  </si>
  <si>
    <t>Gosend ambil Paper bag Batik (Isi Gopay + admin 1.300)</t>
  </si>
  <si>
    <t>Paper Bag Batik (Salah Ukuran)</t>
  </si>
  <si>
    <t>DP untuk Pengisian Baterai Listrik mobil bu Anne</t>
  </si>
  <si>
    <t>Tambahan sate Bandeng (10 pcs)</t>
  </si>
  <si>
    <t>Pembayaran Medical Karyawan an Tika Astari</t>
  </si>
  <si>
    <t>Tambahan madu emping (10pcs)</t>
  </si>
  <si>
    <t>By admin bank Medical Karyawan an Tika Astari</t>
  </si>
  <si>
    <t>Tambahan Tas Anyam (10pcs)</t>
  </si>
  <si>
    <t>Pembayaran Medical Karyawan an Patricia</t>
  </si>
  <si>
    <t>Bayar Tas Anyam (5pcs)</t>
  </si>
  <si>
    <t>Patricia</t>
  </si>
  <si>
    <t>Parkir Cash (tanpa struk) 29 Juli - 02 Agustus 2026</t>
  </si>
  <si>
    <t>Payment add cost Mandiri</t>
  </si>
  <si>
    <t>Etoll Cash (tanpa struk) 31 Juli</t>
  </si>
  <si>
    <t>Bayar Meals Ibu Nina</t>
  </si>
  <si>
    <t>Toll Emoney 30 Juli - 05 Agustus 2026</t>
  </si>
  <si>
    <t xml:space="preserve">Pembelian Keranjang </t>
  </si>
  <si>
    <t>Parkir Emoney 01- 05 Agustus 2026</t>
  </si>
  <si>
    <t xml:space="preserve">Pembelian ikan Bandeng req OJK </t>
  </si>
  <si>
    <t>BBM Motor Sutarno bulanan Juli 10-30 Juli 2026</t>
  </si>
  <si>
    <t>Pembelian Emping &amp; Madu req OJK</t>
  </si>
  <si>
    <t>Parkir Motor 15 - 23 Juli 2026</t>
  </si>
  <si>
    <t>Req Pembayaran Transportasi di Labuan Bajo oleh Pak Arie</t>
  </si>
  <si>
    <t>Sewa Motor Juli 2026</t>
  </si>
  <si>
    <t>Req pembayaran oleh Pak Arie</t>
  </si>
  <si>
    <t>Pengiriman barang (kirei dan kayu) via Tiki</t>
  </si>
  <si>
    <t>Tipping Banquet JHL Hotel Serpong</t>
  </si>
  <si>
    <t>Cetak Proporsal dan Laporan</t>
  </si>
  <si>
    <t>Req Cash Pak Arie</t>
  </si>
  <si>
    <t>Pembayaran utk stakeholder diberikan ke Pak Arie oleh Bu Frida</t>
  </si>
  <si>
    <t>Tipping Driver 2 hari</t>
  </si>
  <si>
    <t>Pembelian tiket Citi Link</t>
  </si>
  <si>
    <t>Traveloka*1308275473 Jakarta ID - inv 1308275473, 1308277910 tiket an frida</t>
  </si>
  <si>
    <t>Pembelian tinta printer Black</t>
  </si>
  <si>
    <t>Traveloka-1308277910 Jakarta ID - inv 1308275473, 1308277910 tiket an frida</t>
  </si>
  <si>
    <t>Pembelian 4 meter sling kabel lampu gantung untuk Ruang meeting besar</t>
  </si>
  <si>
    <t>Perubahan tiket katon</t>
  </si>
  <si>
    <t>Retail IDN Gianyar (Kab BALI SUPERHOST B : Pembayaran 1 unit Villa Arroyo Ubud (10-12 Januari 2026)</t>
  </si>
  <si>
    <t>Biaya overbagasi nya mas Katon</t>
  </si>
  <si>
    <t>Retail IDN Gianyar (Kab BALI SUPERHOST B : Balinese Spa 90mnt (11-Jan) dan Breakfast (12-Jan)</t>
  </si>
  <si>
    <t>Parkir Cash (tanpa struk) 07 - 13 Agustus 2026</t>
  </si>
  <si>
    <t>Etoll Cash (tanpa struk)13 Agusus</t>
  </si>
  <si>
    <t xml:space="preserve">TSel Alignment Sales06628   BNINIDJA/RADIATUL ADAWIYAH </t>
  </si>
  <si>
    <t>Toll Emoney 06 - 17 Agustus 2026</t>
  </si>
  <si>
    <t>TSel Alignment Sales06629  BNINIDJA/ULFA SARTIKA</t>
  </si>
  <si>
    <t>Parkir Emoney 09 - 17 Agustus 2026</t>
  </si>
  <si>
    <t>TSel Alignment Sales06631    BNINIDJA/RINO OKTABRILA</t>
  </si>
  <si>
    <t>Sample Paper Bag 3 pcs</t>
  </si>
  <si>
    <t xml:space="preserve">TSel Alignment Sales06630  BNINIDJA/EKA PUTRIANA </t>
  </si>
  <si>
    <t>Keyboard Logitech Yogi</t>
  </si>
  <si>
    <t xml:space="preserve">TSel Alignment Sales  BNINIDJA/DINA YULIANTARI </t>
  </si>
  <si>
    <t>Emoney Toll 15 Juli - 17 Agustus 2026</t>
  </si>
  <si>
    <t>B2313BRN</t>
  </si>
  <si>
    <t>Emoney Parkir 09 Juli - 18 Agustus 2026</t>
  </si>
  <si>
    <t xml:space="preserve">TSel Batam Redesign 05806  BNINIDJA/KINARYA SELARAS PIRANTI </t>
  </si>
  <si>
    <t xml:space="preserve">TSel Batam Redesign  05862  MCM InhouseTrf  KE PANTRAVEL </t>
  </si>
  <si>
    <t xml:space="preserve">Kopi,air mineral, lakban, plastik, gerbang duplikat, lem, binder clip, paper clip, cutter </t>
  </si>
  <si>
    <t>Teh pucuk, okolali, McD, Nasi goreng dll</t>
  </si>
  <si>
    <t xml:space="preserve">TSel Batam Redesign  05863  MCM InhouseTrf  KE PANTRAVEL </t>
  </si>
  <si>
    <t>Toll Emoney 28 Juli -  15 Agustus 2026</t>
  </si>
  <si>
    <t>Parkir Emoney 06 - 15 Agustus 2026</t>
  </si>
  <si>
    <t>Parkir Cash (tanpa struk) 29 Juli - 12 Agustus  2026</t>
  </si>
  <si>
    <t xml:space="preserve">TSel Collab Pacu Jal 05672  MCM InhouseTrf  KE SADAMINA LAOLI </t>
  </si>
  <si>
    <t>Medical Karyawan a.n. Praja</t>
  </si>
  <si>
    <t xml:space="preserve">TSel Collab PacuJalu 05683 MCM InhouseTrf  KE PANTRAVEL </t>
  </si>
  <si>
    <t>Materai 50 pcs @10.000</t>
  </si>
  <si>
    <t>TSel Collab PacuJalu 05685 MCM InhouseTrf  KE PANTRAVEL</t>
  </si>
  <si>
    <t xml:space="preserve">TSel Collab Pacu Jal 05706   MCM InhouseTrf  KE PANTRAVEL </t>
  </si>
  <si>
    <t>Cuci Sajadah dan mukena Juli dan agustus</t>
  </si>
  <si>
    <t xml:space="preserve">TSel Collab Pacu Jal 05745  MCM InhouseTrf  KE PANTRAVEL </t>
  </si>
  <si>
    <t>Kabel HDMI untuk ruang meeting besar dan kecil</t>
  </si>
  <si>
    <t>Sisa Petty Cash Bulan Agustus 2026 Tika Astari</t>
  </si>
  <si>
    <t xml:space="preserve">TSel Collab Pacu Jal 05849  MCM InhouseTrf  KE PANTRAVEL </t>
  </si>
  <si>
    <t>Traveloka3Ds*1276181885 - Hotel Kaliki Nias 15-18 Aug 2025 an Nurdianto</t>
  </si>
  <si>
    <t>Tiket.Com - Hotel The Premiere Pekanbaru 20 -22 Aug (2 kamar) an Nugroho Adi Wibowo &amp; Muhammad Saleh Usman , periode 21 - 22 Aug 2025 (1 kamar) an Hendri Morelta Tarigan</t>
  </si>
  <si>
    <t>Refund Wibowo/Nugroho Adi Mr PKU-HLP</t>
  </si>
  <si>
    <t xml:space="preserve">TSel Consolidate Pek 05528  MCM InhouseTrf  KE PANTRAVEL </t>
  </si>
  <si>
    <t xml:space="preserve">TSel Consolidate Pek 05678 MCM InhouseTrf  KE PANTRAVEL </t>
  </si>
  <si>
    <t>Pelita Air-Ipg - inv 000250495 tiket an Hendri</t>
  </si>
  <si>
    <t>The Premiere Ho*000063625Pekanbaru Id - Room &amp; bfat 4 rooms (1exec+3Sup ) twn 04-08 Aug 2025 ( Nugroho Adi Wibowo, M Saleh Usman, Hendri M Tarigan , I Putu Eka Udayana )</t>
  </si>
  <si>
    <t>Refund TARIGAN/HENDRIMORELTA MR CGK-PKU</t>
  </si>
  <si>
    <t xml:space="preserve">TSel Dig Placement S 05686   MCM InhouseTrf  KE PANTRAVEL </t>
  </si>
  <si>
    <t xml:space="preserve">TSel Dig Placement S 05703  MCM InhouseTrf  KE PANTRAVEL </t>
  </si>
  <si>
    <t>XDT*PALAM MANSION https://wwwxeID - Apartemen One Residence Batam 13-17 Okt 2025 an Wahyu Gunawan</t>
  </si>
  <si>
    <t>TIKET.COM Jakarta PusatID - Hotel Ibis Padang 17-19 Dec 2025 an Wahyu Gunawan</t>
  </si>
  <si>
    <t>Telkomsel Event Securing Target Regional Sumatera Bagian Selatan</t>
  </si>
  <si>
    <t>TSel Event Sec Targe06598 BNINIDJA/NABILA ASY SYIFA</t>
  </si>
  <si>
    <t xml:space="preserve">TSel FBP West Area Support  A1 Sep YOGI PURWO WIDODO  </t>
  </si>
  <si>
    <t xml:space="preserve">TSel FBP West Area Reimb Div Fin  YOGI PURWO WIDODO </t>
  </si>
  <si>
    <t>TSel FBP West Area Tunai Div Finance  YOGI PURWO WIDODO Mandiri Plasa</t>
  </si>
  <si>
    <t>TSel FBP West Area,  06268 MCM InhouseTrf  KE PANTRAVEL</t>
  </si>
  <si>
    <t xml:space="preserve">TSel FBP West Area, 06539,24,07 MCM InhouseTrf  KE PANTRAVEL </t>
  </si>
  <si>
    <t xml:space="preserve">TSel FBP West Area,  06791  MCM InhouseTrf  KE PANTRAVEL </t>
  </si>
  <si>
    <t>TIKET.COM Jakarta PusatID - Hotel Grand City Hall Medan 2 kamar tgl 08 -10 Okt 2025 an Mirza Fachlevy &amp; Desti Sadene</t>
  </si>
  <si>
    <t>TIKET.COM Jakarta PusatID - Hotel Grand Central Medan 30 Dec 2025 - 01 Jan 2026 an Ilham Jani Lubis</t>
  </si>
  <si>
    <t>TIKET.COM Jakarta PusatID - Hotel Amaris Lampung 30 Dec 2025 - 01 Jan 2026</t>
  </si>
  <si>
    <t>TIKET.COM Jakarta PusatID - Hotel KHAS Pekanbaru 30 Dec2025 - 01 Jan 2026 an Septryan Akbar Tenrisauk</t>
  </si>
  <si>
    <t xml:space="preserve">TSel Fiberisasi TS Fave PLG 12-14Feb  YOGI PURWO WIDODO </t>
  </si>
  <si>
    <t xml:space="preserve">TSel FiberasiTargetS 04273  Trf  KE PANTRAVEL </t>
  </si>
  <si>
    <t>TSel FiberTargetSum  04329  MCM InhouseTrf  KE PANTRAVEL</t>
  </si>
  <si>
    <t xml:space="preserve">TSel Fiber TargetSum 04436  MCM InhouseTrf  KE PANTRAVEL </t>
  </si>
  <si>
    <t xml:space="preserve">TSel Fiber TargetSum 04367 MCM InhouseTrf  KE PANTRAVEL </t>
  </si>
  <si>
    <t xml:space="preserve">TSel FaberisasiTarSu04532  BNINIDJA/HADI PRASTYA UTAMA </t>
  </si>
  <si>
    <t>Traveloka3Ds-1224883446 - Inv 1224883446 tiket an. Agus</t>
  </si>
  <si>
    <t>Traveloka3Ds-1224882239 - inv 1224882239 tiket an. Agus</t>
  </si>
  <si>
    <t>Traveloka3Ds-1224897124 - inv 1224897124 tiket an. Franky</t>
  </si>
  <si>
    <t>Traveloka3Ds-1224897064 - inv 1224897064 tiket an. Guntur</t>
  </si>
  <si>
    <t>Hotel Aryaduta Palembang - Room &amp; Bfast Hotel Aryaduta Palembang 3 rooms 12-14 Feb 2025</t>
  </si>
  <si>
    <t>Traveloka3Ds-1226887382 - inv 1226887382 tiket an. M Saleh</t>
  </si>
  <si>
    <t>Traveloka3Ds-1226884869 - Inv 1226884869 tiket an. Agus</t>
  </si>
  <si>
    <t>Traveloka3Ds-1227253219 - inv 1227253219 tiket an. M saleh</t>
  </si>
  <si>
    <t>TSel Focus Act PaySPJ 1D+Meal       YOGI PURWO WIDODO,</t>
  </si>
  <si>
    <t>Refund Ongkir Corp PT Panconvince SITI NURHAYATI : WA Yogi 30Nop Telkomsel Focus Paying Auction Sumatera pak</t>
  </si>
  <si>
    <t xml:space="preserve">TSel FocusActPay MtgSeniorLeaderJkt  ZULFAHMI </t>
  </si>
  <si>
    <t xml:space="preserve">TSel Focus Act Pay U 05671 MCM InhouseTrf  KE SADAMINA LAOLI </t>
  </si>
  <si>
    <t xml:space="preserve">TSel Focus Act Pay U05679 BRINIDJA/LURUSKAN ZEBUA </t>
  </si>
  <si>
    <t xml:space="preserve">TSel Focus Act Pay U 05701  MCM InhouseTrf  KE PANTRAVEL </t>
  </si>
  <si>
    <t xml:space="preserve">TSel Focus Act Pay U 05615  MCM InhouseTrf  KE PANTRAVEL </t>
  </si>
  <si>
    <t>TSel Focus Act Pay U05604  BSMDIDJA/AULIA AYU ASYURA</t>
  </si>
  <si>
    <t xml:space="preserve">TSel Focus Act Pay U 05684  MCM InhouseTrf  KE PANTRAVEL </t>
  </si>
  <si>
    <t xml:space="preserve">TSel Focus Act Pay U05730  BSMDIDJA/AULIA AYU ASYURA </t>
  </si>
  <si>
    <t xml:space="preserve">TSel Focus Act Pay 05851  BNINIDJA/DELFIRA RAHMAN </t>
  </si>
  <si>
    <t xml:space="preserve">TSel Focus Act Pay S05815  BSMDIDJA/AULIA AYU ASYURA </t>
  </si>
  <si>
    <t xml:space="preserve">TSel Focus Act Pay S05852  BSMDIDJA/AULIA AYU ASYURA </t>
  </si>
  <si>
    <t>TSel Focus Act Pay S 05854  MCM InhouseTrf  KE PANTRAVEL</t>
  </si>
  <si>
    <t>TSel Focus Act Pay S 05865 MCM InhouseTrf  KE PANTRAVEL</t>
  </si>
  <si>
    <t xml:space="preserve">TSel Foc Act Pay Use 05872  BSMDIDJA/AULIA AYU ASYURA </t>
  </si>
  <si>
    <t xml:space="preserve">TSel Focus Act Pay U 06008  MCM InhouseTrf  KE NIRWANA TURISINDO </t>
  </si>
  <si>
    <t>TSel Focus Act Pay U 06048  MCM InhouseTrf  KE PANTRAVEL</t>
  </si>
  <si>
    <t>TSel Focus Act Pay U 06039 MCM InhouseTrf  KE PANTRAVEL</t>
  </si>
  <si>
    <t xml:space="preserve">TSel Focus Act Pay U06244  BSMDIDJA/AULIA AYU ASYURA </t>
  </si>
  <si>
    <t>TSel Focus Act Pay U06128  BSMDIDJA/AULIA AYU ASYURA</t>
  </si>
  <si>
    <t xml:space="preserve">TSel Focus Act Pay U 06067 MCM InhouseTrf  KE PANTRAVEL </t>
  </si>
  <si>
    <t xml:space="preserve">TSel Focus Act Pay U 06138 MCM InhouseTrf  KE PANTRAVEL </t>
  </si>
  <si>
    <t xml:space="preserve">TSel Focus Act Pay U06456 BSMDIDJA/AULIA AYU ASYURA </t>
  </si>
  <si>
    <t xml:space="preserve">TSel FocusActPayUser06486  BNINIDJA/YESSI NOPRIANI </t>
  </si>
  <si>
    <t>TSel Focus Act Pay U 06674  BSMDIDJA/AULIA AYU ASYURA</t>
  </si>
  <si>
    <t>Tiket.Com - Hotel The Premiere Pekanbaru 04-06 Aug 2025 an Mustakim Wahyudi type Executive Room</t>
  </si>
  <si>
    <t>Traveloka3Ds*1276237938 - Hotel Kaliki Nias 15-18 Aug 2025 an Ari Fariski</t>
  </si>
  <si>
    <t>Tiket.Com - Hotel Mercure Gatsu 14-15 Aug 2025 an Bambang Prayogi</t>
  </si>
  <si>
    <t>Tiket.Com - Hotel Swissbell Lampung 27-29 AUg 2025 an Budi Kusuma</t>
  </si>
  <si>
    <t>Pelita Air-Ipg - inv 000258584 tiket an Mulya</t>
  </si>
  <si>
    <t>Tiket.Com - Hotel Azana Boutique Bandar Lampung 28-29 Aug 2025 an Fachrul Rizzal</t>
  </si>
  <si>
    <t>Tiket.Com - Hotel d'primahotel Airport Jakarta Terminal 1A 27 - 28 Aug 2025 an Fachrul Rizzal</t>
  </si>
  <si>
    <t>Tiket.Com - Hotel Mercure Gatsu Jakarta 03-04 Sept 2025 an Fachrul Rizzal</t>
  </si>
  <si>
    <t>Tiket.Com - Hotel Aston Nagoya Batam (2 kamar) 10-12 Sept 2025 an Josia Prananta Tarigan &amp; Eko Widyatmoko</t>
  </si>
  <si>
    <t>Tiket.Com - Hotel Mercure Gatsu Jakarta 15-16 Sept 2025 an Fachrul Rizzal</t>
  </si>
  <si>
    <t>Tiket.Com - Hotel Mercure Gatsu Jakarta 28 - 29 Sept 2025 an Muhammad Ilham</t>
  </si>
  <si>
    <t>Retail IDN JAKARTA UTARA MERCURE JAKARTA - Meeting Private Senior Leader PIK tgl 20 Oct 2025</t>
  </si>
  <si>
    <t xml:space="preserve">The Premiere Ho*000063631Pekanbaru Id - Hotel The Premiere Pekanbaru 04-05 Agustus 2025 an Yuli Haryadi	</t>
  </si>
  <si>
    <t>Refund Mustakim Wahyudi PKU-CGK</t>
  </si>
  <si>
    <t>Refund Budiman/Mulya Mr KNO-CGK</t>
  </si>
  <si>
    <t>Refund Budiman/Mulya Mr KNO-HLP</t>
  </si>
  <si>
    <t>Refund Budiman/Mulya Mr CGK-KNO</t>
  </si>
  <si>
    <t>Refund Muhammad Farhan PDG-KNO</t>
  </si>
  <si>
    <t>Refund Andre Firdaus Ginting Munthe PKU-KNO</t>
  </si>
  <si>
    <t>Refund Andri Sulaeman PKU-KNO</t>
  </si>
  <si>
    <t>Refund Alfon Oktrianda KNO-BTH</t>
  </si>
  <si>
    <t>Refund Hasanul Haq KNO-BTH-PKU</t>
  </si>
  <si>
    <t>Refund Alfon Oktrianda HLP-KNO</t>
  </si>
  <si>
    <t>Refund Hasanul Haq PKU-KNO</t>
  </si>
  <si>
    <t>Refund Mario Carolus Beato Gelu PKU-KNO</t>
  </si>
  <si>
    <t>Refund Citra dwisatyawan PLM-KNO</t>
  </si>
  <si>
    <t>Refund Budi febri ramizon PLM-KNO</t>
  </si>
  <si>
    <t>Refund Purnama Adhiputra KNO-CGK</t>
  </si>
  <si>
    <t>Refund Hollyanto PGK-CGK-KNO-CGK-PGK</t>
  </si>
  <si>
    <t>Refund Nopi Afandi KNO-CGK</t>
  </si>
  <si>
    <t>Refund Nopi Afandi CGK-KNO</t>
  </si>
  <si>
    <t>Refund Dheni Haryanto PLM-KNO-PLM</t>
  </si>
  <si>
    <t>Refund Mario Carolus Beato Gelu KNO-PKU</t>
  </si>
  <si>
    <t xml:space="preserve">TSel Harmoni Sum BackDrop+Dekor Pkb MAS DERU KURLI  </t>
  </si>
  <si>
    <t xml:space="preserve">TSel Harmoni Sum BackDropHalbil MES DEDDY SOFYAN  </t>
  </si>
  <si>
    <t>TSel Harmoni Sumatra 04689  MCM InhouseTrf  KE HOTEL RAZ INDONESIA</t>
  </si>
  <si>
    <t xml:space="preserve">TSel Harmoni Sumatra04709  BSMDIDJA/MAJELIS TELKOMSEL TAQWA SUMBAGS </t>
  </si>
  <si>
    <t xml:space="preserve">TSel Harmoni Sum    04787   MAJELIS TELKOMSEL TAQWA R SUMBA </t>
  </si>
  <si>
    <t>TSel Harmoni Sum    04728  AULIA AYU ASYURA</t>
  </si>
  <si>
    <t xml:space="preserve">TSel Harmoni Sum    04685   AULIA AYU ASYURA </t>
  </si>
  <si>
    <t xml:space="preserve">TSel Harmoni Sum    04711   BESTAR SUMATERA </t>
  </si>
  <si>
    <t xml:space="preserve">TSel Harmoni Sum    04743   BSMDIDJA/AULIA AYU ASYURA </t>
  </si>
  <si>
    <t xml:space="preserve">TSel Harmoni Sum     04807  Trf  KE YURIANDA SAPUTRA PANE </t>
  </si>
  <si>
    <t xml:space="preserve">TSel HUT 5G Batam   05062  BNINIDJA/KINARYA SELARAS PIRANTI </t>
  </si>
  <si>
    <t>TSel HUT 5G Batam    05166-151-150  Trf  KE PANTRAVEL</t>
  </si>
  <si>
    <t xml:space="preserve">TSel HUT 5G Batam    05178 Trf  KE PANTRAVEL </t>
  </si>
  <si>
    <t xml:space="preserve">TSel HUT 5G Ralaunch 05310 MCM InhouseTrf  KE PANTRAVEL </t>
  </si>
  <si>
    <t xml:space="preserve">TSel HUT 5G RB, Ruma05209   BNINIDJA/KINARYA SELARAS PIRANTI </t>
  </si>
  <si>
    <t>Telkomsel HUT Tsel d 06018 BRINIDJA/NOVLI FELISIA SITUMO</t>
  </si>
  <si>
    <t xml:space="preserve">TSel HUT Tsel dan 5G 06040  MCM InhouseTrf  KE PANTRAVEL </t>
  </si>
  <si>
    <t>Citilink Mobile Apps - Inv T95676 pembayaran block seat an. Agus</t>
  </si>
  <si>
    <t>Tiket.Com - favehotel Medan 11-13 Jun 2025 an Hendra Irawan</t>
  </si>
  <si>
    <t>Tiket.Com - favehotel Medan 11-13 Jun 2025 an Hotma Eduard HT</t>
  </si>
  <si>
    <t>Tiket.Com - favehotel Medan 11-13 Jun 2025 an Perdana Candra Desusetyo</t>
  </si>
  <si>
    <t>Tiket.Com - favehotel Medan 11-13 Jun 2025 an Alya Solehat</t>
  </si>
  <si>
    <t>Tiket.Com - favehotel Medan 11-13 Jun 2025 an Agus Sugiarto</t>
  </si>
  <si>
    <t>Tiket.Com - Hotel Aston Tanjung Pinang 13-14 Jun 2025 an Muh Saleh Usman</t>
  </si>
  <si>
    <t xml:space="preserve">Tiket.Com - Hotel Aston Tanjung Pinang 13-14 Jun 2025 an Hadi P Utama	</t>
  </si>
  <si>
    <t xml:space="preserve">Tiket.Com - Hotel Aston Tanjung Pinang 14-15 Jun 2025 an Agus Sugiarto	</t>
  </si>
  <si>
    <t>Tiket.Com - Hotel Aston Tanjung Pinang 13-14 Jun 2025 an Agus Sugiarto</t>
  </si>
  <si>
    <t>Tiket.Com - Hotel Aston Tanjung Pinang 14-15 Jun 2025 an Hadi P Utama</t>
  </si>
  <si>
    <t>Tiket.Com - Hotel Aston Tanjung Pinang 14-15 Jun 2025 an Muh Saleh Usman</t>
  </si>
  <si>
    <t>Tiket.Com - Hotel Aston Tanjung Pinang 14-15 Jun 2025 an Nugroho Adi Wibowo</t>
  </si>
  <si>
    <t>Refund Nugroho Adi Wibowo KNO-BTH</t>
  </si>
  <si>
    <t>Refund Muh Saleh Usman KNO-BTH</t>
  </si>
  <si>
    <t>Refund Hendri M Tarigan KNO-BTH</t>
  </si>
  <si>
    <t>Refund I Putu Eka Udayana Rudita KNO-BTH</t>
  </si>
  <si>
    <t>Refund NOVLI FELISIA SITUMORANG ms BTH-KNO</t>
  </si>
  <si>
    <t>Telkomsel Implentasi New Ways of Working</t>
  </si>
  <si>
    <t>TSel Implement NWWSPJ 28-April      YOGI PURWO WIDODO,</t>
  </si>
  <si>
    <t xml:space="preserve">TSel Implement NWW Santika 11Rms27Mei PESONA INDONESIA M  </t>
  </si>
  <si>
    <t xml:space="preserve">Refund Santika Bkt kelebihan pemby PESONA INDONESIA M  </t>
  </si>
  <si>
    <t xml:space="preserve">TSel Implement NWW  04804    BSMDIDJA/AULIA AYU ASYURA </t>
  </si>
  <si>
    <t xml:space="preserve">TSel Implement NWW  04788  BSMDIDJA/AULIA AYU ASYURA </t>
  </si>
  <si>
    <t xml:space="preserve">TSel Implement NWW  04948  BSMDIDJA/AULIA AYU ASYURA </t>
  </si>
  <si>
    <t>TSel Implemet NWW   04879   BSMDIDJA/AULIA AYU ASYURA</t>
  </si>
  <si>
    <t xml:space="preserve">TSel Implement NWW   04884  Trf  KE PANTRAVEL </t>
  </si>
  <si>
    <t xml:space="preserve">TSel Implement NWW   04905  Trf  KE PANTRAVEL </t>
  </si>
  <si>
    <t xml:space="preserve">TSel Implement NWW   04883 Trf  KE PANTRAVEL </t>
  </si>
  <si>
    <t xml:space="preserve">TSel Implement NWW   05169-127-061 Trf  KE PANTRAVEL </t>
  </si>
  <si>
    <t xml:space="preserve">TSel Implement NWW  05210 BSMDIDJA/AULIA AYU ASYURA </t>
  </si>
  <si>
    <t xml:space="preserve">TSel Implent NWW    05047   JAGBIDJA/RAIHAN RAZAFUAD </t>
  </si>
  <si>
    <t>TSel Implement NWW   05215 MCM InhouseTrf  KE PANTRAVEL</t>
  </si>
  <si>
    <t>TSel Implement NWW   05311 MCM InhouseTrf  KE PANTRAVEL</t>
  </si>
  <si>
    <t>TSel Implement NWW,  05275 MCM InhouseTrf  KE PANTRAVEL</t>
  </si>
  <si>
    <t>TSel Implement NWW, 05415 BSMDIDJA/AULIA AYU ASYURA</t>
  </si>
  <si>
    <t xml:space="preserve">TSel Implent NWW, Ti05532  BSMDIDJA/AULIA AYU ASYURA </t>
  </si>
  <si>
    <t>penyewaan ruangan fullday meeting TLT Lt 7 tgl 29 April 2025 : Indofood Court</t>
  </si>
  <si>
    <t>Snack Meeting 29 April 2025</t>
  </si>
  <si>
    <t>Parkir Valey 29 April 2025</t>
  </si>
  <si>
    <t>Senyata Mbl - Fullday Meeting @Senyata Senopati tgl 28 Apr 2025</t>
  </si>
  <si>
    <t>Csz*Indifoodcourt-Kasi - Snack Meeting TLT tgl 29 April 2025 Bpk Yuli Haryadi</t>
  </si>
  <si>
    <t>Csz*Indifoodcourt-Waru - Snack Meeting TLT tgl 29 April 2025 Bpk Yuli Haryadi</t>
  </si>
  <si>
    <t>Csz*Indifoodcourt-Drin - Snack Meeting TLT tgl 29 April 2025 Bpk Yuli Haryadi</t>
  </si>
  <si>
    <t>Csz*Indifoodcourt-Depo - Snack Meeting TLT tgl 29 April 2025 Bpk Yuli Haryadi</t>
  </si>
  <si>
    <t>Traveloka3Ds-1253088798 - inv 1253088798 tiket an. Ari , Agra</t>
  </si>
  <si>
    <t>Tiket.Com - Hotel Mercure Gatsu 19-22 Mei 2025 an Ari Pariski @Rp.1.523.273,-</t>
  </si>
  <si>
    <t>Pelita Air-Ipg - inv 000212001 tiket an. Jakson</t>
  </si>
  <si>
    <t>Pelita Air-Ipg - inv 000212003 tiket an. Mustakim</t>
  </si>
  <si>
    <t>Pelita Air-Ipg - inv 000211929 tiket an. Mulya, Yuli</t>
  </si>
  <si>
    <t>Pelita Air-Ipg - inv 000211944 tiket an. Alfon, Agung, Fachrul, Fahmy, Erric</t>
  </si>
  <si>
    <t>Tiket.Com - Hotel Santika Medan 11-13 Jun 2025 an Ali AKbar Rafsanjani</t>
  </si>
  <si>
    <t>Tiket.Com - Hotel Santika Medan 11-13 Jun 2025 an Vivi Oktaviani Damanik</t>
  </si>
  <si>
    <t>Tiket.Com - Hotel Aston Tanjung Pinang 13-14 Jun 2025 an Nugroho Adi Wibowo</t>
  </si>
  <si>
    <t>Tiket.Com - Hotel Santika Medan 11-12 Jun 2025 an Arinda Layla Alfira</t>
  </si>
  <si>
    <t>Tiket.Com - Hotel Santika Medan 11-12 Jun 2025 an Aulia Ayu Asyura</t>
  </si>
  <si>
    <t>Traveloka3Ds-1260254273 - inv 1260254273 tiket an. Maulydia</t>
  </si>
  <si>
    <t xml:space="preserve">Tiket.Com - Hotel Santika Medan 14-15 Jun 2025 an Wahyu Gunawan	</t>
  </si>
  <si>
    <t>Tiket.Com - Hotel Santika Medan 14-15 Jun 2025 an Maulydia Trivania</t>
  </si>
  <si>
    <t>Tiket.Com - Hotel Mercure Gatsu JKt 18-19 Jun 2025 an Fachrul Rizzal</t>
  </si>
  <si>
    <t>Tiket.Com - Deviasi an Fachrul Rizzal 19-20 jun 2025 ( Hotel Mercure Gatsu JKT)</t>
  </si>
  <si>
    <t>Tiket.Com - Hotel Mercure Gatsu JKT 22-25 Jun 2025 an Rizal Nur Andy &amp; Habyasa Perdana Putra</t>
  </si>
  <si>
    <t>Tiket.Com - Hotel D Prima Airport Terminal 1A Jakarta , 25 - 26 Jun 2025 an Mustakim Wahyudi</t>
  </si>
  <si>
    <t>Pelita Air-Ipg - inv 000223193 tiket an. Yuli</t>
  </si>
  <si>
    <t>Pelita Air-Ipg  - inv 000223377 tiket an. Mustakim</t>
  </si>
  <si>
    <t>Pelita Air-Ipg - Inv 000223276 tiket an. Mustakim</t>
  </si>
  <si>
    <t>Refund Mustakim Wahyudi mr PKU-CGK</t>
  </si>
  <si>
    <t>Telkomsel International Event Leaders Meeting Q3 2025 PKU</t>
  </si>
  <si>
    <t>TSel Int Event Leade 05971  BNINIDJA/DELFIRA RAHMAN</t>
  </si>
  <si>
    <t>Tiket.Com - Hotel Kuretakeso Kemang Jakarta Ci 25-27 Aug 2025 an Saifuzzuhri &amp; Heru Mursalin</t>
  </si>
  <si>
    <t>TIKET.COM Jakarta PusatID - Hotel Fave Medan 05-08 Nov 2025 an Rio Ramadhan</t>
  </si>
  <si>
    <t>Beringin Tanjung Api-Api</t>
  </si>
  <si>
    <t>Pempek Candy</t>
  </si>
  <si>
    <t>Lokok Café Bandung</t>
  </si>
  <si>
    <t>Kopi Anjis</t>
  </si>
  <si>
    <t>Nasi Bancakan</t>
  </si>
  <si>
    <t>Teh Aba</t>
  </si>
  <si>
    <t>Bika Ambon Zulaikha</t>
  </si>
  <si>
    <t>Bolu Meranti</t>
  </si>
  <si>
    <t>Warung Humairoh S.S.K (Sop, Soto, Kari)</t>
  </si>
  <si>
    <t>Nelayan Kafe</t>
  </si>
  <si>
    <t>Kok Tong Express Kualanamu Airport</t>
  </si>
  <si>
    <t>Ichiban Sushi</t>
  </si>
  <si>
    <t>Hotel Kuretakeso Kemang</t>
  </si>
  <si>
    <t>Ayam Penyet Ria PS</t>
  </si>
  <si>
    <t>Pepper Lunch</t>
  </si>
  <si>
    <t>Jawara Roti &amp; Kue</t>
  </si>
  <si>
    <t>Asli Soto Medan 1930</t>
  </si>
  <si>
    <t>Mie Sop AbuDin</t>
  </si>
  <si>
    <t>K Kupi</t>
  </si>
  <si>
    <t>RM Gumarang Jaya 2</t>
  </si>
  <si>
    <t>Pempek Nabti Resto</t>
  </si>
  <si>
    <t>Kok Tong</t>
  </si>
  <si>
    <t>Fore Coffee</t>
  </si>
  <si>
    <t>Soto Tom and Jerry</t>
  </si>
  <si>
    <t>Kopikuni</t>
  </si>
  <si>
    <t>Hai Sushi</t>
  </si>
  <si>
    <t>Coffee Box Wahid Hasyim</t>
  </si>
  <si>
    <t>Moscot</t>
  </si>
  <si>
    <t>Terang Bulan Martabak Bangka</t>
  </si>
  <si>
    <t xml:space="preserve">Dara Kupi Medan </t>
  </si>
  <si>
    <t>Misop Gurilla</t>
  </si>
  <si>
    <t>Soto Medan 1930</t>
  </si>
  <si>
    <t>Lalapan Pojok Raya Panjaitan</t>
  </si>
  <si>
    <t>Kak Yus</t>
  </si>
  <si>
    <t>Martabak Har</t>
  </si>
  <si>
    <t>Sadah Teduh</t>
  </si>
  <si>
    <t>TSel PisahSambut  SPJ 3D+meals      YOGI PURWO WIDODO,</t>
  </si>
  <si>
    <t>TSel PisSamVPSalesSPJ 3D + Meals    M RIZKY AULIA,</t>
  </si>
  <si>
    <t xml:space="preserve">TSel Pisah Sambut 11Sep 267Paxs ADIMULIA GOLDEN LE  </t>
  </si>
  <si>
    <t xml:space="preserve">Tsel PisSamVPSales Event 10-Sep VALDI RUSLI  </t>
  </si>
  <si>
    <t>TSel Pisah Sambut, M05938 BRINIDJA/NAJEB MUBARAK</t>
  </si>
  <si>
    <t xml:space="preserve">TSel Pisah Sambut, 0 05868 MCM InhouseTrf  KE PANTRAVEL </t>
  </si>
  <si>
    <t xml:space="preserve">TSel PisSam VPSales  05976 MCM InhouseTrf  KE PANTRAVEL </t>
  </si>
  <si>
    <t>TSel Pisah Sambut VP 06049 MCM InhouseTrf  KE PANTRAVEL</t>
  </si>
  <si>
    <t>Tiket.Com - Hotel Selecta Medan 10-12 Sept 2025 (2 malam) an Yogi &amp; Rizky Aulia</t>
  </si>
  <si>
    <t>Tokopedia - Pembelian LM Antam 10 Gr</t>
  </si>
  <si>
    <t>Gojek Recurring Non3Ds - Transport Yogi to Aiirport Soetta</t>
  </si>
  <si>
    <t xml:space="preserve">Tiket.Com - Hotel Selecta Medan 09-11 Sept 2025 an Yog &amp; Rizky (reschedule)	</t>
  </si>
  <si>
    <t>Gojek Recurring Non3Ds - pembelian meals pagi untuk Crew Show management , runner, driver dan Band</t>
  </si>
  <si>
    <t>Gojek Recurring Non3Ds - pembelian meals siang untuk Crew Show management , runner, driver dan Band</t>
  </si>
  <si>
    <t>Gojek Recurring Non3Ds - Gocar Hotel Selecta Medan - Stasiun Kereta Medan tgl 11 Sept 2025</t>
  </si>
  <si>
    <t>Adimulia Hotel - Ho Medan - Pelunasan halfday meeting 267 paxs 10 Sept 2025 dan 8 rooms 9-12 Sept 2025 Telkomsel Grp</t>
  </si>
  <si>
    <t>Adimulia Hotel - Ho Medan - Dinner day 2 - 10 Sept 2025 di Hotel Adimulia Medan</t>
  </si>
  <si>
    <t>Pilastro Signature -Ho Medan - Dinner Day 02 (10 Sept 25) @ Pilastro Signature</t>
  </si>
  <si>
    <t>Snack dan Lunch MC 2 orang</t>
  </si>
  <si>
    <t xml:space="preserve">Pembelian Souvenir </t>
  </si>
  <si>
    <t xml:space="preserve">Sewa Topi Tanjak, Keris dan Ulos </t>
  </si>
  <si>
    <t xml:space="preserve">Meals Telkomsel di Santika Dyandra </t>
  </si>
  <si>
    <t>Meals Driver Telkomsel ( ampolp Tunai ) 2 hari @Rp.150K</t>
  </si>
  <si>
    <t xml:space="preserve">Taxi Airport ke Rumah (Yogi) - Penutupan jalan / alt routse </t>
  </si>
  <si>
    <t xml:space="preserve">Reimburse Ayu Meals Pisah Sambut </t>
  </si>
  <si>
    <t>Isi Flazz Rizky (Toll Airport)</t>
  </si>
  <si>
    <t>Wraping Bandara</t>
  </si>
  <si>
    <t>Beli Air Mineral 5 Dos</t>
  </si>
  <si>
    <t>Beli ATK &amp; Lakban</t>
  </si>
  <si>
    <t>Beli kertas A4 &amp; Kertas Photo</t>
  </si>
  <si>
    <t>Beli trashbag</t>
  </si>
  <si>
    <t>Beli Ballpoint Gel &amp; Amplop Batik untuk Penandatanganan</t>
  </si>
  <si>
    <t>Gosend Pengiriman Sewa Baju Adat Melayu untuk VIP</t>
  </si>
  <si>
    <t>Gosend Pengembalian Sewa Baju Adat Melayu untuk VIP</t>
  </si>
  <si>
    <t>Beli Kopi Team (Rizky, Yogi dan Team Show Management)</t>
  </si>
  <si>
    <t>Gosend Kopi</t>
  </si>
  <si>
    <t>Cetak Poster Albatros</t>
  </si>
  <si>
    <t>Gosend Cetakan Poster</t>
  </si>
  <si>
    <t>Tip Driver 2 Day (9 - 10 Sept 2025)</t>
  </si>
  <si>
    <t>Parkir Liar Mobil (Indomaret, Makan Malam at Wajir, Toko ATK, Beli Makan Siang Team, Makan Malam Peserta at Kopi Pilastro)</t>
  </si>
  <si>
    <t>Tip Bunquet &amp; Operator Sound System Hotel                                            (Payement via Kemal / Crew Loading)</t>
  </si>
  <si>
    <t>Parkir Inap Bandara Soeta</t>
  </si>
  <si>
    <t>Refund M. Rizky Aulia CGK-KNO-CGK</t>
  </si>
  <si>
    <t>Refund Yogi Purwo Widodo CGK-KNO-CGK</t>
  </si>
  <si>
    <t>Refund Wawan kuswandono CGK-KNO : WA Yogi 9-Jan-25 = Telkomsel Pisah Sambut VP Sales A1</t>
  </si>
  <si>
    <t>TSel Prog Mkt Visit  06077 MCM InhouseTrf  KE EMIL SATRIA PUTRA</t>
  </si>
  <si>
    <t xml:space="preserve">TSel Prog Mkt Visit 06078 BNINIDJA/ZENY THAHIRA KRISMA SARI </t>
  </si>
  <si>
    <t>LINKAJA 9903883534 : Telkomsel Sales Academy September 2025 : Tiket Woosh Jakarta Bandung PP 20</t>
  </si>
  <si>
    <t xml:space="preserve">TSel Sales Academy LO 1D 18Sep+Meals RATNAMETTHA SUGAMA  </t>
  </si>
  <si>
    <t xml:space="preserve">TSel Sales Academy 21 Dinner 18Sep YOGI PURWO WIDODO  </t>
  </si>
  <si>
    <t>LINKAJA 08111991665 : Telkomsel Sales Academy September 2025 - tambahan Reimburse Tiket Woosh PP an Agra Andhyka Chandra</t>
  </si>
  <si>
    <t>TSel Sales Academy,  06011-12  MCM InhouseTrf  KE PANTRAVEL</t>
  </si>
  <si>
    <t xml:space="preserve">TSel Sales Academy S 06044   MCM InhouseTrf  KE PANTRAVEL </t>
  </si>
  <si>
    <t>Traveloka3Ds-1284709231 - inv 1284709231 tiket an Muzlin</t>
  </si>
  <si>
    <t>Refund Purnama Adhiputra CGK-PLM</t>
  </si>
  <si>
    <t>Telkomsel Sales Townhall 2025</t>
  </si>
  <si>
    <t>Tsel SalesTownHallSPJ 25May         ADUN SOPANDI,</t>
  </si>
  <si>
    <t>TSel SalesTownHallSPJ 25-26 May     DEDI PURWANTO SE,</t>
  </si>
  <si>
    <t>TSel SalesTownHallSPJ 25-26 May     CLARA LIA RESTU SA,</t>
  </si>
  <si>
    <t>TSel SalesTownHallSPJ 25-26May      SUPRIYADI,</t>
  </si>
  <si>
    <t>TSel SalesTownHallSPJ 25-26 May     YOGI PURWO WIDODO,</t>
  </si>
  <si>
    <t xml:space="preserve">TSel SalesTownHall PIC Prod+Load 2D R DINAR KUSUMAYANT  </t>
  </si>
  <si>
    <t xml:space="preserve">TSel SalesTownHall CrewLog Komeng 2D MOCH SUPRIYADI  </t>
  </si>
  <si>
    <t xml:space="preserve">TSel SaleTownHall Crew Runner 2D MOH SUPRIYATNA  </t>
  </si>
  <si>
    <t xml:space="preserve">TSel SalesTownHall Taman Area Booth HARTONO  </t>
  </si>
  <si>
    <t xml:space="preserve">TSel SalesTownHall Dekor Booth Sum BAMBANG SUPRIYANTO  </t>
  </si>
  <si>
    <t xml:space="preserve">TSel SalesTownHall 30 Pin Logo YOSEFINA JUNIARTA  </t>
  </si>
  <si>
    <t xml:space="preserve">TSel SalesTownHall  04927  BNINIDJA/JOHN APRYANTO </t>
  </si>
  <si>
    <t xml:space="preserve">TSel SalesTownHall   04920 Trf  KE PANTRAVEL </t>
  </si>
  <si>
    <t xml:space="preserve">TSel SalesTownHall   04919   Trf  KE PANTRAVEL </t>
  </si>
  <si>
    <t>TSel SalesTownHall   04930 Trf  KE PANTRAVEL</t>
  </si>
  <si>
    <t>TSel SalesTownHall   04928   Trf  KE PANTRAVEL</t>
  </si>
  <si>
    <t xml:space="preserve">TSel Sales Townhall 04967  BSMDIDJA/AULIA AYU ASYURA </t>
  </si>
  <si>
    <t xml:space="preserve">Kap Risol </t>
  </si>
  <si>
    <t xml:space="preserve">Piring, Sendok, Garpu Plastik Dan Kertas Nasi </t>
  </si>
  <si>
    <t>Makan malam + minum (ableh &amp; odhey) - loading</t>
  </si>
  <si>
    <t>Tipping security loading in</t>
  </si>
  <si>
    <t>Taxi dari kantor TLT - kantor (pulang loading)</t>
  </si>
  <si>
    <t>Gocar Kosan - Kantor TLT (event)</t>
  </si>
  <si>
    <t>Taxi dari kantor TLT - kantor (pulang event)</t>
  </si>
  <si>
    <t>Tipping security loading out</t>
  </si>
  <si>
    <t>Pelita Air-Ipg - Inv 000211606 tiket an. Andri</t>
  </si>
  <si>
    <t>Tokopedia - Invoice Kursi Bar 6 pcs</t>
  </si>
  <si>
    <t>Mercure Jakarta Gatot Sub - Hotel Mercure gatsu Jkt 25-27 Mei 2025 total 4 Kamar 2 malam Telkomsel Grp</t>
  </si>
  <si>
    <t>Tokopedia - invoice tissue roll minyak</t>
  </si>
  <si>
    <t>Pelita Air-Ipg - inv CHOGMG tiket an. Wahyu</t>
  </si>
  <si>
    <t>Indomaret - Invoice Piring kertas</t>
  </si>
  <si>
    <t>Indomaret - Invoice Minyak Goreng</t>
  </si>
  <si>
    <t>Gojek Recurring Non3Ds - Gosend return Sewa baju adat</t>
  </si>
  <si>
    <t>Gojek ke Rumah Komeng- TSO</t>
  </si>
  <si>
    <t>Gojek ke TSO - Rumah Komeng</t>
  </si>
  <si>
    <t>Meals komeng</t>
  </si>
  <si>
    <t>Gojek ke Rumah Komeng- Hotel Mercure</t>
  </si>
  <si>
    <t>Gojek ke Hotel Mercure - Rumah Komeng</t>
  </si>
  <si>
    <t>Meals Siang 2 Pax</t>
  </si>
  <si>
    <t>Print Table menu + Cutting Art Carton</t>
  </si>
  <si>
    <t xml:space="preserve">Gojek Table menu </t>
  </si>
  <si>
    <t>Bensin ambil baju adat</t>
  </si>
  <si>
    <t xml:space="preserve">Parkir  </t>
  </si>
  <si>
    <t>Beli roti kadet rolls 54 pcs</t>
  </si>
  <si>
    <t>Gosend umbul" booth</t>
  </si>
  <si>
    <t>Sewa kaleng kerupuk untuk dekorasi 2 pcs</t>
  </si>
  <si>
    <t>Meals malam - nasi padang 4 pax</t>
  </si>
  <si>
    <t>Gojek dodol</t>
  </si>
  <si>
    <t>Lakban Bening</t>
  </si>
  <si>
    <t>Kapur tulis</t>
  </si>
  <si>
    <t>Cetak sticker 300X60</t>
  </si>
  <si>
    <t>Sewa HT 1day (5 x @30.000)</t>
  </si>
  <si>
    <t>Gojek sticker</t>
  </si>
  <si>
    <t>Otak - Otak Vacum 200 pcs</t>
  </si>
  <si>
    <t>Ketam Is 350 gr (7 x 99.000)</t>
  </si>
  <si>
    <t>Biaya Pengiriman JNE Express otak-otak dan ketam</t>
  </si>
  <si>
    <t>Keripik Pisang Coklat</t>
  </si>
  <si>
    <t>Biaya Admin Linkaja</t>
  </si>
  <si>
    <t>Dodol (1200k), Kue dan kopi sisip (140k) + Pengiriman (110k)</t>
  </si>
  <si>
    <t>biaya transfer</t>
  </si>
  <si>
    <t>Cetak Bendera Satin 40cm x 3 m (BB) 2 pcs</t>
  </si>
  <si>
    <t xml:space="preserve">Stempel Mie Balap </t>
  </si>
  <si>
    <t>Kopi Tarik 200 cup + 2 crew</t>
  </si>
  <si>
    <t>Sate Padang Uda Kanduang 15 porsi req pak yuli GM</t>
  </si>
  <si>
    <t>Gosend Sate Padang Uda Kanduang</t>
  </si>
  <si>
    <t>Gosend Stampel Mie balap</t>
  </si>
  <si>
    <t xml:space="preserve">Standing Pouch Ziplock </t>
  </si>
  <si>
    <t>Kipas Pisang Super Jumbo 40 pcs</t>
  </si>
  <si>
    <t>Kripik sanjai, sala lauk, karakak, dakak</t>
  </si>
  <si>
    <t>Patin Fish Skin +Packing</t>
  </si>
  <si>
    <t>Uang Makan Event Cash @50.000 x 2 (Lunch n Dinner) Yogi, Odhey, Clara</t>
  </si>
  <si>
    <t>DP Pembayaran Cathering Event Indie Food Court</t>
  </si>
  <si>
    <t>Air Lemineral 330 ml (6 dus x Rp 38.000)</t>
  </si>
  <si>
    <t>Reimburse Pulsa telp callcenter TIKI untuk percepatan pengiriman Dodol</t>
  </si>
  <si>
    <t xml:space="preserve">cetakan mahkota die cut </t>
  </si>
  <si>
    <t>sewa topi dan selendang sumbat</t>
  </si>
  <si>
    <t xml:space="preserve">sewa kostum sepasang minangkabau </t>
  </si>
  <si>
    <t xml:space="preserve">Sewa Speaker </t>
  </si>
  <si>
    <t xml:space="preserve">Photographer dari client </t>
  </si>
  <si>
    <t xml:space="preserve">Gojek ke tempat sewa Topi dan selendang </t>
  </si>
  <si>
    <t>Bika Ambon , Bolu meranti dan selai</t>
  </si>
  <si>
    <t>biaya transfer  2x</t>
  </si>
  <si>
    <t>Bayar seragam event Townhall</t>
  </si>
  <si>
    <t xml:space="preserve">Makan Malam H-1 Wayang Café </t>
  </si>
  <si>
    <t xml:space="preserve">Makan Malam H-1 Shapire Lounge </t>
  </si>
  <si>
    <t>Transportasi Aulia Ayu to Bandara Soeta</t>
  </si>
  <si>
    <t xml:space="preserve">TSel SecureTarget SM 04931  Trf  KE PANTRAVEL </t>
  </si>
  <si>
    <t xml:space="preserve">TSel SecureTarget SM 04940 Trf  KE PANTRAVEL </t>
  </si>
  <si>
    <t xml:space="preserve">TSel SecureTargetSM1 04976  Trf  KE PANTRAVEL </t>
  </si>
  <si>
    <t>TSel SecureTargetSM105029  BSMDIDJA/AULIA AYU ASYURA</t>
  </si>
  <si>
    <t>TSel SecureTargetSM1 05297  MCM InhouseTrf  KE PANTRAVEL</t>
  </si>
  <si>
    <t>TSel Securing Target SM1 - 29-30Mei IFT_TO_SENTRAL THETA JAYA</t>
  </si>
  <si>
    <t>Tiket.Com - Hotel Santika premiere Padang an Raulni Ghandi 26-27 Mei 2025</t>
  </si>
  <si>
    <t>Tiket.Com - Hotel Santika Bukittinggi An Aswar 28 -29 Mei 2025</t>
  </si>
  <si>
    <t>Tiket.Com - Hotel Santika Bukittinggi An Herul Hidayatullah 28-29 Mei 2025</t>
  </si>
  <si>
    <t>Tiket.Com - Hotel Santika Bukittinggi An Rendy 28-29 Mei 2025</t>
  </si>
  <si>
    <t>Pelita Air-Ipg - inv 000212956 tiket an. Mustakim</t>
  </si>
  <si>
    <t>Pelita Air-Ipg - inv 000213011 tiket an. Herul</t>
  </si>
  <si>
    <t>Tiket.Com - Hotel Santika Bukittinggi An Mustakim Wahyudi 28 -29 Mei 2025</t>
  </si>
  <si>
    <t>Tiket.Com - Hotel Santika Padang an Jackson Sihombing 29-30 Mei 2025</t>
  </si>
  <si>
    <t>Refund Setyobudi/Agung Erwan Mr PDG-KNO</t>
  </si>
  <si>
    <t>Telkomsel Support Evaluasi GraPARI Optimalisasi Area 1</t>
  </si>
  <si>
    <t>BI-FAST CR TRANSFER DR ADE IRMA SARTIKA T, Retur Mandiri MP 30-Sep</t>
  </si>
  <si>
    <t xml:space="preserve">TSel Evaluasi GraPAR 06057 SSPIIDJA/ADE IRMA SARTIKA.T </t>
  </si>
  <si>
    <t>TSel Supp Evaluasi G 06450,06444 06450,06444 MCM InhouseTrf CS-CS  KE PANTRAVEL</t>
  </si>
  <si>
    <t>Retail IDN TANGERANG KOT ESPAY*CITILINK - Pembayaran block seat citilink an Ahson, franky</t>
  </si>
  <si>
    <t>HARRIS HOTEL BA*000044804BATAM ID - Harris Batam Centre Pembayaran 7 Kamar Tsel Grp 29 -31 Oct 2025</t>
  </si>
  <si>
    <t>HARRIS HOTEL BA*000045245BATAM ID - Telkomsel Dinner 29 Oct 2025 40 Paxs</t>
  </si>
  <si>
    <t>Refund CAMELIA RIZKIKA BTH-KNO</t>
  </si>
  <si>
    <t xml:space="preserve">TSel Supp Renego 4Rms Gr Mercure YOGI PURWO WIDODO  </t>
  </si>
  <si>
    <t xml:space="preserve">TSel SuppRenegoBP Villa Zimzala 8Pax YOGI PURWO WIDODO  </t>
  </si>
  <si>
    <t xml:space="preserve">TSel Supp RenegoBP 4Rms GoldenTulip PESONA ALAM LAMPUN  </t>
  </si>
  <si>
    <t>TSel Supp Renego Bac 06009 MCM InhouseTrf  KE PANTRAVEL Transfer Fee         0600999102</t>
  </si>
  <si>
    <t xml:space="preserve">TSel Supp Renego BP  06045 MCM InhouseTrf  KE PANTRAVEL </t>
  </si>
  <si>
    <t xml:space="preserve">TSel Supp Renego BPB 06059   MCM InhouseTrf  KE PANTRAVEL </t>
  </si>
  <si>
    <t>Tiket.Com - Hotel Neo+ Airport Jakarta 14-15 Sept 2025 an I Putu Eka Udayana Rudita</t>
  </si>
  <si>
    <t>Traveloka3Ds-1285120806 - inv 1285120806 tiket an. I Putu</t>
  </si>
  <si>
    <t>Traveloka3Ds-1285120642 - inv 1285120642 tiket an. Nugroho dengan pinaltu atas pembatalan</t>
  </si>
  <si>
    <t>Tiket.Com - Tiket Air Asia TKG CGK 18 Sept an Nugroho Adi Wibowo</t>
  </si>
  <si>
    <t>Traveloka3Ds-1285120642 retur tiket an. Nugroho dengan pinaltu atas pembatalan</t>
  </si>
  <si>
    <t xml:space="preserve">TSel TLP 2025, 01250 05676  MCM InhouseTrf  KE PANTRAVEL </t>
  </si>
  <si>
    <t xml:space="preserve">TSel TLP 2025, 01250 05677 MCM InhouseTrf  KE PANTRAVEL </t>
  </si>
  <si>
    <t xml:space="preserve">TSEL TLP 2025, 01250 05954   MCM InhouseTrf  KE PANTRAVEL </t>
  </si>
  <si>
    <t>TSel TLP 2025, Reimb06129  BNINIDJA/T SY AMANDA REFITA</t>
  </si>
  <si>
    <t>Traveloka3Ds-1272262882 - inv 1272262882 tiket an. Zulhelmi</t>
  </si>
  <si>
    <t>Traveloka3Ds-1272263570 - inv 1272263570 tiket an. Hollyanto</t>
  </si>
  <si>
    <t>Traveloka3Ds-1272270892 - inv 1272270892 tiket an. Anwirman</t>
  </si>
  <si>
    <t>Traveloka3Ds-1272271353 - inv 1272271353 tiket an. Mario</t>
  </si>
  <si>
    <t>Traveloka3Ds-1272271592 - inv 1272271592 tiket an. Jaya</t>
  </si>
  <si>
    <t>Traveloka3Ds-1272279809 - inv 1272279809 tiket an. Rylo</t>
  </si>
  <si>
    <t>TSel Training TL Aca 06058 BNINIDJA/TARISYA FERINA FITRI</t>
  </si>
  <si>
    <t>TSel ReachBeyondSu LO Dinner SLM  RATNAMETTHA SUGAMA Mandiri Plasa</t>
  </si>
  <si>
    <t>TSel ReachBeyondSu Meals MtgSLM 19Nov  MARIA PATRICIA SUG Mandiri Plasa</t>
  </si>
  <si>
    <t>TSel Reach Beyond Ar06483  BNINIDJA/SINAR LAUT LAMPUNG PERMAI</t>
  </si>
  <si>
    <t>TSel Reach Beyond Ar06476  BNINIDJA/SINAR LAUT LAMPUNG PERMAI</t>
  </si>
  <si>
    <t xml:space="preserve">TSel Reach Beyond Ar 06432, 06421 MCM InhouseTrf  KE PANTRAVEL </t>
  </si>
  <si>
    <t>TSel Reach Beyond Ar 06479 06479 MCM InhouseTrf CS-CS  KE PANTRAVEL</t>
  </si>
  <si>
    <t xml:space="preserve">TSel ReachBeyondArea06448   BSMDIDJA/AULIA AYU ASYURA </t>
  </si>
  <si>
    <t xml:space="preserve">TSel Reach Beyond Ar 06538 MCM InhouseTrf  KE PANTRAVEL </t>
  </si>
  <si>
    <t>TSel Reach Beyond Ar06447  BSMDIDJA/AULIA AYU ASYURA</t>
  </si>
  <si>
    <t xml:space="preserve">Tsel ReachBeyondArea 06525,20,06  MCM InhouseTrf  KE PANTRAVEL </t>
  </si>
  <si>
    <t xml:space="preserve">TSel Reach Beyond Ar 06594  MCM InhouseTrf  KE PANTRAVEL </t>
  </si>
  <si>
    <t>TSel Reach Beyond Ar06449  BSMDIDJA/AULIA AYU ASYURA</t>
  </si>
  <si>
    <t xml:space="preserve">TSel Reach Beyond Ar 06623  MCM InhouseTrf  KE PANTRAVEL </t>
  </si>
  <si>
    <t xml:space="preserve">TSel Reach Beyond Ar06558  BSMDIDJA/AULIA AYU ASYURA </t>
  </si>
  <si>
    <t xml:space="preserve">TSel Reach Beyond Ar06601 BSMDIDJA/AULIA AYU ASYURA </t>
  </si>
  <si>
    <t>TSel Reach Beyond Ar 06603   BSMDIDJA/AULIA AYU ASYURA</t>
  </si>
  <si>
    <t xml:space="preserve">TSel Reach Beyond Ar 06602  BSMDIDJA/AULIA AYU ASYURA </t>
  </si>
  <si>
    <t xml:space="preserve">TSel Reach Beyond Ar 06643 MCM InhouseTrf  KE PANTRAVEL </t>
  </si>
  <si>
    <t xml:space="preserve">TSel Reach Beyond Ar 06673  BSMDIDJA/AULIA AYU ASYURA </t>
  </si>
  <si>
    <t>TSel Reach Beyond Ar 06692 MCM InhouseTrf  KE PANTRAVEL</t>
  </si>
  <si>
    <t xml:space="preserve">TSel Reach Beyond Ar 06662   MCM InhouseTrf  KE PANTRAVEL </t>
  </si>
  <si>
    <t xml:space="preserve">TSel Reach Beyond Ar 06693   MCM InhouseTrf  KE PANTRAVEL </t>
  </si>
  <si>
    <t xml:space="preserve">TSel Reach Beyond Ar06700  BSMDIDJA/AULIA AYU ASYURA </t>
  </si>
  <si>
    <t>TSel Reach Beyond Ar06804   BSMDIDJA/AULIA AYU ASYURA</t>
  </si>
  <si>
    <t>Pembelian Nestle di TSO dan Biaya Manpower</t>
  </si>
  <si>
    <t xml:space="preserve">Retail IDN JAKARTA BARAT TIKET.COM </t>
  </si>
  <si>
    <t>Retail IDN Tangerang (K PT INDONESIA AIR - Airasia 350919240607 - Telkomsel Reach Beyond Area Sumatera 2025</t>
  </si>
  <si>
    <t>Retail IDN JAKARTA SELAT GOJEK RECURRING - Gofood - Pembelian Kopi Fore 10 cup Late untuk tgl 11 Nov TLT lanrai 20</t>
  </si>
  <si>
    <t>Retail IDN JAKARTA HB MAMPANG II - Holland Bakery Mampang - Pengadaan Snack Box untuk di TLT lantai 20 tgl 11 Nov 2025 total 10 snackbox</t>
  </si>
  <si>
    <t>Retail IDN JAKARTA PELITA AIR-IPG - HOTEL DI MEGAMENDUNG - Pembayaran hotel utk team 16-17 Nov</t>
  </si>
  <si>
    <t>Traveloka3DS-1294318370 Jakarta ID - Tiket Citilink KNO CGK tgl 22 Oct an Henny Purweni &amp; Duma Sianipar</t>
  </si>
  <si>
    <t>HOTEL THE EXCEL*000049290PALEMBANG ID - Hotel Excelton Palembang Room and Bfast 2 kamar 2 malam 3-5Nov 2025 an Agra Andhyka &amp; Muhammad Ilham</t>
  </si>
  <si>
    <t>HOTEL THE EXCEL*000049299PALEMBANG ID - Deviasi kamar tgl 06-07 Nov 2025 an Agra Andhyka Chandra dan Josia</t>
  </si>
  <si>
    <t>TIKET.COM Jakarta PusatID - Hotel harper Palembang 06-07 Nov 2025 (2 kamar ) an Agra Andhyika Chandra &amp; Muhammad Ilham</t>
  </si>
  <si>
    <t>TIKET.COM Jakarta PusatID - Hotel Mercure Gatsu Jakarta 09-11 Nov 2025 ( 2 kamar) an Ari Farizki &amp; Josia Prananta Tarigan</t>
  </si>
  <si>
    <t>TIKET.COM Jakarta PusatID - Hotel Mercure Gatsu 09-11 Nov 2025 an Jackson Sihombing</t>
  </si>
  <si>
    <t>MERCURE JAKARTA*000060296JAKARTA SLT ID - Hotel Mercure Gatot Subroto Jakarta Room and Bfast 17-19 Nov 2025 an Fachrul Rizzal</t>
  </si>
  <si>
    <t xml:space="preserve">Restaurant Garuda Medan </t>
  </si>
  <si>
    <t xml:space="preserve">Toko Abadi ( Le minerale ) 3 dus </t>
  </si>
  <si>
    <t xml:space="preserve">Beli Nestle Pure Life 6 dus </t>
  </si>
  <si>
    <t xml:space="preserve">Tambahan Meals Rest Garuda Medan </t>
  </si>
  <si>
    <t xml:space="preserve">Gofood beli Kopi Titik Koma </t>
  </si>
  <si>
    <t xml:space="preserve">Gofood Risol dan lemper </t>
  </si>
  <si>
    <t>Gofood Fore Coffee</t>
  </si>
  <si>
    <t xml:space="preserve">Rumah Makan Padang Sidempuan </t>
  </si>
  <si>
    <t xml:space="preserve">Kopi Titik Temu Medan </t>
  </si>
  <si>
    <t xml:space="preserve">Biaya Transfer ke Client </t>
  </si>
  <si>
    <t>MERCURE JAKARTA*000061051JAKARTA SLT ID - Room and Bfast an Ari Fariski 18-20 nov 2025</t>
  </si>
  <si>
    <t>MERCURE JAKARTA*000061174JAKARTA SLT ID - Room and Bfast an Ari Fariski 18-20 nov 2025</t>
  </si>
  <si>
    <t>TIKET.COM Jakarta PusatID - Hotel Jayakarta Suites Bandung, 19-21 Nov 2025 an Josia Prananta Tarigan</t>
  </si>
  <si>
    <t>MERCURE JAKARTA*000061756JAKARTA SLT ID - deviasi Kamar ke 2 tgl 19-20 Nov 2025 an Ari Fariski</t>
  </si>
  <si>
    <t>TIKET.COM Jakarta PusatID - Hotel Best Western Senayan 23-25 Nov 2025 an Rizal Nur Andy</t>
  </si>
  <si>
    <t>TIKET.COM Jakarta PusatID - Biaya reschedule Kamar an Rizal Nur Andy</t>
  </si>
  <si>
    <t>TIKET.COM Jakarta PusatID - Hotel Artotel Gelora Senayan, 24-25 Nov 2025 an Rizal Nur Andy</t>
  </si>
  <si>
    <t>TIKET.COM Jakarta PusatID - Hotel Artotel Gelora Senayan , 25-26 Nov 2025 an Rizal Nur Andy</t>
  </si>
  <si>
    <t>IPAY88*ARYADUTA MEDAN MEDAN KOT. ID - Pembayaran Room and Bfast checkin 26- 28 Nov ( 2 kamar ) an Purnama Adiputra &amp; Budi Ramizon/Muzlin Manurung</t>
  </si>
  <si>
    <t>TIKET.COM Jakarta PusatID - Hotel Fave Gatsu Jakarta 30 Nov - 02 Dec 2025 an Trinanda Aditya Arya Wibisono</t>
  </si>
  <si>
    <t>TIKET.COM Jakarta PusatID - Hotel JS Luwansa 03-04 Dec 1 kamar Twn &amp; Hotel Studio One Thamrin 04-05 Dec db bed an Josia Prananta &amp; Trinanda</t>
  </si>
  <si>
    <t>JSLUWANSA.COM Jakarta SelatID - Hotel JS Luwansa 03-04 Dec 1 kamar Twn &amp; Hotel Studio One Thamrin 04-05 Dec db bed an Josia Prananta &amp; Trinanda</t>
  </si>
  <si>
    <t>Refund Henni Purweni CGK-KNO</t>
  </si>
  <si>
    <t>Refund Duma Sianipar CGK-KNO</t>
  </si>
  <si>
    <t>Refund Muhammad Ilham KNO-CGK</t>
  </si>
  <si>
    <t>Refund ASYURA AULIA AYU MS TKG-CGK</t>
  </si>
  <si>
    <t>Refund ASYURA/AULIAAYUMS KNO-BTH</t>
  </si>
  <si>
    <t>Refund FARIZKI/ARIMR KNO-BTH</t>
  </si>
  <si>
    <t>Refund MS AULIA AYU ASYURA       CGK-KNO</t>
  </si>
  <si>
    <t>Refund MS AULIA AYU ASYURA KNO-CGK-TKG</t>
  </si>
  <si>
    <t>Refund BRAMONO SAKI HAMSAT MR PKU-CGK</t>
  </si>
  <si>
    <t>TSel  WS Sales A1 SPJ 3D + Meals    MARIA PATRICIA SUG,</t>
  </si>
  <si>
    <t>TSel WSSalesA1PlaySPJ 5D +Meals     DEDI PURWANTO SE,</t>
  </si>
  <si>
    <t>TSelWSSalesA1Play SPJ 5D +Meals     YOGI PURWO WIDODO,</t>
  </si>
  <si>
    <t xml:space="preserve">TSel WSSalesA1Play DP 52Rms+125Dnr  MULTI DAYA INVESTA </t>
  </si>
  <si>
    <t xml:space="preserve">TSEL WSSalesA1PHSH MotivatorJamesGwee  ACADEMIA CITRA ABA </t>
  </si>
  <si>
    <t xml:space="preserve">TSel WSSalesA1PHSH Catering Batam  MANVIA MEGA SOLUSI </t>
  </si>
  <si>
    <t xml:space="preserve">TSel WS Sales A1 Produksi All in  ZEHRA BALINA </t>
  </si>
  <si>
    <t xml:space="preserve">TSel WSSalesA1P Kend Crew 13-17Okt  HARI SUSANTO </t>
  </si>
  <si>
    <t>LINKAJA 08122020294 : Telkomsel WS Sales A1 Play Hard Serve Harder -Reimburse Meals dan pembelian spidol di Batam</t>
  </si>
  <si>
    <t xml:space="preserve">TSel  WS Sales A1 Pl 06220 MCM InhouseTrf  KE RAHMAD RIVANDA DEWRO BANGUN </t>
  </si>
  <si>
    <t xml:space="preserve">TSel WS Sales A1 Pla06243  BNINIDJA/FERRY HERNAWAN </t>
  </si>
  <si>
    <t>0207511866 CENAIDJA/TATYANA MANVIASARI : WA FA 11-Jan-26 - tyt komisi Catering event Tsel Batam nya yg Yogi</t>
  </si>
  <si>
    <t>TSel WS Sales A1 Pla06304 SUNIIDJA/MATHIUS FELIX WATTIMENA</t>
  </si>
  <si>
    <t>TSel WS Sales A1 Pla 06279  MCM InhouseTrf  KE PANTRAVEL</t>
  </si>
  <si>
    <t>TSel WS Sales A1 Pla MCM InhouseTrf CS-CS  KE PANTRAVEL</t>
  </si>
  <si>
    <t xml:space="preserve">TSel WS Sales A1 Pla 06411,349,324,315   MCM InhouseTrf  KE PANTRAVEL </t>
  </si>
  <si>
    <t>HOTEL SANTIKA BATAM-HO BATAM - Pelunasan Hotel dan paket dinner</t>
  </si>
  <si>
    <t>WEY WEY PALACE BATAM - Pembayaran makan malam Telkomsel Region dan VIP</t>
  </si>
  <si>
    <t>HOODS COFFEE-HO BATAM - Bayar Makan Malam VIP dan Regional Tsel</t>
  </si>
  <si>
    <t>HOTEL SANTIKA BATAM-HO BATAM - Pembayaran 3 malam utk Extra bed dan 1 malam tambahan as per rqst TSEL</t>
  </si>
  <si>
    <t>TIKET.COM Jakarta PusatID - Hotel d'Primahotel Kualanamu Airport Medan 13-14 Okt 2025 an Fadlan Azmi</t>
  </si>
  <si>
    <t>TIKET.COM Jakarta PusatID - Favehotel Olo Padang 13-14 Okt 2025 an Muhammad Ridho Simatupang</t>
  </si>
  <si>
    <t>HARRIS HOTEL BA*000031944BATAM ID - Room adn Bfast 3 Kamar Speaker James Gwee dan asistant tgl 13-15 Oct 2025</t>
  </si>
  <si>
    <t>TIKET.COM Jakarta PusatID - Hotel Desatu Medan 19-20 Okt 2025 an Zulhelmi</t>
  </si>
  <si>
    <t>MORNING BAKERY GREENLAND Batam (Kota) ID - Pembelian Kopi Susu 50 cup untuk meeting lantai 3 breakout TSO Batam tgl 15 Okt 2025</t>
  </si>
  <si>
    <t>BATAMIA-HO BATAM ID - Pembelian Luti Gendang 3 Kotak isi 20 Pcs ( Tambahan Mbak Ayu )</t>
  </si>
  <si>
    <t>LAPIS MULIA GB BATAM KOT. ID - Pembelian LapisNo 1 Batam Bang Ican dan Pak Saki</t>
  </si>
  <si>
    <t xml:space="preserve">Gocar Yogi to Airport </t>
  </si>
  <si>
    <t xml:space="preserve">Sewa Kursi Futura Tambahan 30 Pcs </t>
  </si>
  <si>
    <t xml:space="preserve">Seragam Uniqlo Bang Ari </t>
  </si>
  <si>
    <t xml:space="preserve">Monitor  MSI Pro Bang Naufal </t>
  </si>
  <si>
    <t xml:space="preserve">Morning Bakery Briefing Koordinasi Transportasi hari ke 2 </t>
  </si>
  <si>
    <t xml:space="preserve">Meeting Point Airport Kedatangan Peserta </t>
  </si>
  <si>
    <t xml:space="preserve">Jersey Bola </t>
  </si>
  <si>
    <t>Tiping Hiace 2 hari @Rp. 150.000 *8 unit Hiace</t>
  </si>
  <si>
    <t xml:space="preserve">Meals Driver Avanza  dan Cord Transport </t>
  </si>
  <si>
    <t xml:space="preserve">Meals Driver dan minum  13-15 Okt 2025 </t>
  </si>
  <si>
    <t xml:space="preserve">Tipping Avanza crew  5 hari </t>
  </si>
  <si>
    <t xml:space="preserve">Luti Gendang 1 Box tambahan oleh oleh </t>
  </si>
  <si>
    <t xml:space="preserve">Lapis no 1 Tambahan Oleh oleh </t>
  </si>
  <si>
    <t xml:space="preserve">Taxi Airport ke Rumah </t>
  </si>
  <si>
    <t>Inject Meals to 0811916244</t>
  </si>
  <si>
    <t>Inject Meals to 0811655566</t>
  </si>
  <si>
    <t>Inject Meals to 0811626234</t>
  </si>
  <si>
    <t>Inject Meals to 08116207457</t>
  </si>
  <si>
    <t>Inject Meals to 081190090119</t>
  </si>
  <si>
    <t>Inject Meals to 08127072006</t>
  </si>
  <si>
    <t>Inject Meals to 0811716663</t>
  </si>
  <si>
    <t>Inject Meals to 9903883534</t>
  </si>
  <si>
    <t xml:space="preserve">Pembelian Luti Gendang 15 Box dan Dus 5 buah </t>
  </si>
  <si>
    <t>Beli Luti Gendang Tsel - Yogi 7 Dus</t>
  </si>
  <si>
    <t>Beli Luti utk Herry Simbollon dan Saiful</t>
  </si>
  <si>
    <t xml:space="preserve">Bayar Makan Pak Saki dan Mba Ayu </t>
  </si>
  <si>
    <t xml:space="preserve">Tambahan Luti Gendang 2 Box </t>
  </si>
  <si>
    <t xml:space="preserve">Sewa Mixer </t>
  </si>
  <si>
    <t xml:space="preserve">Tiket Zulfahmi </t>
  </si>
  <si>
    <t>Beli Luti Gendang Tsel - Yogi</t>
  </si>
  <si>
    <t xml:space="preserve">Beli Air mineral </t>
  </si>
  <si>
    <t>Beli Luti sarapan GM Pak Saki</t>
  </si>
  <si>
    <t>Uang Makan Tunai utk James Gwee</t>
  </si>
  <si>
    <t>Tipping OB Tsel yg bersih2</t>
  </si>
  <si>
    <t xml:space="preserve">Beli Luti utk Mba Fai 2 box as per Yogi </t>
  </si>
  <si>
    <t>Refund Agus Supranowo KNO-BTH</t>
  </si>
  <si>
    <t>Refund Nopi Afandi PLM-BTH</t>
  </si>
  <si>
    <t>Refund Muhammad ronni lubis CGK-BTH</t>
  </si>
  <si>
    <t>Refund Agung Erwan Setyobudi BTH-CGK</t>
  </si>
  <si>
    <t>Refund Ahson Mas'ud KNO-CGK</t>
  </si>
  <si>
    <t>Refund Freddy Siburian KNO-CGK</t>
  </si>
  <si>
    <t>Refund Azrin Ayub BTH-KNO</t>
  </si>
  <si>
    <t>Refund Darmawan Damanik BTH-KNO</t>
  </si>
  <si>
    <t>Refund Fadlan Azmi BTH-KNO</t>
  </si>
  <si>
    <t>Refund Randy Noary BTH-TKG</t>
  </si>
  <si>
    <t>Refund Nopi Afandi BTH-PLM</t>
  </si>
  <si>
    <t>Refund Muhammad Naufal Rizaldy BTH-CGK</t>
  </si>
  <si>
    <t>Refund Riki Agus Setiawan BTH-KNO</t>
  </si>
  <si>
    <t xml:space="preserve">TSel Ground Check Im 06690  MCM InhouseTrf  KE PANTRAVEL </t>
  </si>
  <si>
    <t xml:space="preserve">TSel Ground Check Im 06645  MCM InhouseTrf  KE PANTRAVEL </t>
  </si>
  <si>
    <t>TSel Ground Check Im 06786  MCM InhouseTrf  KE TJAHAYA</t>
  </si>
  <si>
    <t xml:space="preserve">TSel Ground Check Im 06789  MCM InhouseTrf  KE PANTRAVEL </t>
  </si>
  <si>
    <t xml:space="preserve">TSel Ground Check Im 06699  MCM InhouseTrf  KE PANTRAVEL </t>
  </si>
  <si>
    <t>TIKET.COM Jakarta PusatID - Hotel Amel Banda Aceh 26-28 Nov 2025 3 kamar an Avanty , Budi Kusuma , Eko Widyatmoko</t>
  </si>
  <si>
    <t>HARRIS HTL&amp;SUIT*000076342BATAM ID - Room &amp; Bfast 15 -17 Dec 2025 2 kamar an Riris &amp; Chicio // Eko Susanto &amp; Raihan Razafuad</t>
  </si>
  <si>
    <t>Traveloka3DS-130814912 Jakarta ID - inv 1308149128 tiket an chicio, riris</t>
  </si>
  <si>
    <t>Refund EKO SUSANTO BTH-KNO </t>
  </si>
  <si>
    <t>Refund Dian Abdillah BTJ-KNO</t>
  </si>
  <si>
    <t>Refund Budi Kusuma BTJ-KNO</t>
  </si>
  <si>
    <t>Refund Trinanda Aditya Arya Wibisono BTJ-KNO</t>
  </si>
  <si>
    <t>Refund Avanty Fariska Hafdar BTJ-KNO</t>
  </si>
  <si>
    <t>Refund Rina Agustina Anggraeni BTJ-KNO</t>
  </si>
  <si>
    <t>Refund TAMBUNAN/RIRISYULIANAMRS BTH-KNO</t>
  </si>
  <si>
    <t>Refund SEMBIRING/CHICIOZEVENIAMRS       BTH-KNO</t>
  </si>
  <si>
    <t>Refund RAZAFUAD/RAIHANMR       BTH-KNO</t>
  </si>
  <si>
    <t xml:space="preserve">TSel Pengawalan Even 06051 BNINIDJA/FERNANDO PASARIBU </t>
  </si>
  <si>
    <t xml:space="preserve">TSel Pengawalan Even06466  BNINIDJA/FERNANDO PASARIBU </t>
  </si>
  <si>
    <t>Pelunasan Invoice : 085/PCMI/AR/VI/2026 yang dibayarkan dari AP Deposit from customer 2025</t>
  </si>
  <si>
    <t>085/PCMI/AR/VI/2026</t>
  </si>
  <si>
    <t>SETORAN TUNAI PEMBAYARAN MANDIRI FGD IKN,</t>
  </si>
  <si>
    <t>CR 12/22 Z27J1  TIKA RISKI ASTARI : WA Tika 2-Jan-26 - Mandiri FGD IKN dari Patrice</t>
  </si>
  <si>
    <t>012/PCMI/AR/II/2025 : PT Asuransi Jiwa IFG : PPnWAPU tapi pembayaran tidak dipotong PPn</t>
  </si>
  <si>
    <t>PPn Keluaran 2025 - WAPU</t>
  </si>
  <si>
    <t>012/PCMI/AR/II/2025</t>
  </si>
  <si>
    <t>025/25/PCMI/AR/II/2025 : PT Timah Tbk : PPnWAPU tapi pembayaran tidak dipotong PPn</t>
  </si>
  <si>
    <t>025/25/PCMI/AR/II/2025</t>
  </si>
  <si>
    <t>Write Off : Akmulasi PPN Masukan s/d 2025 - Yang Belum/Tidak di kreditkan</t>
  </si>
  <si>
    <t>PPn Masukan - Yang Belum/Tidak di kreditkan</t>
  </si>
  <si>
    <t>Write Off : Akmulasi PPh-4 Ayat 2 Tahun 2024 - Yang sudah dipotong oleh pelanggan</t>
  </si>
  <si>
    <t xml:space="preserve">PPh-4 Ayat 2 Tahun 2024 </t>
  </si>
  <si>
    <t>Yang sudah dipotong oleh pelanggan</t>
  </si>
  <si>
    <t>DH Bayar Akta Notaris RUPS PCMI, PPn Masukan ditujukan ke PCMI, Lapor Potong PPn Masa Jan</t>
  </si>
  <si>
    <t>Interest billed</t>
  </si>
  <si>
    <t>SPBU 3412805 Casablanca JKT, Fuel F 1138ABU, 18Dec 2025</t>
  </si>
  <si>
    <t>IDM TOPS POINT TEBET : snack dan minuman utk Year End PCMI &amp; Intrareps, 18Dec 2025</t>
  </si>
  <si>
    <t>SNAPY TEBET I : Print Compro PCMI 10 set utk keperluan Sales Call, 19Dec 2025</t>
  </si>
  <si>
    <t>SNAPY TEBET I : Print Laporan Kegiatan BSIN Supplier Gathering, 10Dec 2025</t>
  </si>
  <si>
    <t>SERIBU RASA GATOT SUBROTO : DP Lunch Meeting Tsel @ Seribu Rasa Gatsu Jaksel tgl 23 Dec 2025 _ 20 Paxs</t>
  </si>
  <si>
    <t>TIKET.COM : Hotel Monopoli Bukittinggi 19-20 Dec 2025 ( 2 kamar ) an Wahyu Gunawan &amp; Abdul Muhid</t>
  </si>
  <si>
    <t>TIKET.COM : Hotel Ibis Padang 19-20 Dec 2026 an Zulfahmi</t>
  </si>
  <si>
    <t>TIKET.COM : Hotel Royal Kuningan Jakarta 22-23 Dec 2025 an Denny Irawan Mardiyanto</t>
  </si>
  <si>
    <t>HOTEL GRAND MER*00085383BATAM : Grand Mercure Batam
Room &amp; Bfast 4 rooms Tsel Grp Saki Hamsat Bramono, Fachrul Rizzal, Ivan Anngga , Dedfriady Masta 22-23 Dec2025"</t>
  </si>
  <si>
    <t>PRABU LAPTOP : service laptop ROG user Dimas &amp; Ganti IC Processor</t>
  </si>
  <si>
    <t xml:space="preserve">TRAVELOKA : inv 1313242490 tiket an wahyu, </t>
  </si>
  <si>
    <t>THE PREMIER H0*000088459 PEKANBARU : Room and Bfast 4 kamar Telkomsel tgl 26-27 Dec 2025 an Saki Hamsat Bramono, Fachrul Rizzal, Ivan Angga Utama , Aulia Ayu</t>
  </si>
  <si>
    <t>TRAVELOKA - 1313694510 : Reddoorz Syariah Near Terminal Terpadu Langsa 27-28 Dec 2025 (2 kamar ) an Ivan Angga Utama &amp; Fachrul Rizzal"</t>
  </si>
  <si>
    <t>TRAVELOKA - 1313691947 : Reddoorz Syariah Near Terminal Terpadu Langsa 27-28 Dec 2025 (2 kamar ) an Ivan Angga Utama &amp; Fachrul Rizzal"</t>
  </si>
  <si>
    <t>RAMEN YA : RamenYA,Lunch AH &amp; event team (5pax)</t>
  </si>
  <si>
    <t>Team Event</t>
  </si>
  <si>
    <t>SOSIAL AFFAIR CITOS : Lunch Meeting AH</t>
  </si>
  <si>
    <t>E STATEMENT FREE</t>
  </si>
  <si>
    <t>BIAYA NOTIFIKASI</t>
  </si>
  <si>
    <t>SNAPY TEBET : Print Laporan Kegiatan BRI, 13 Jan'26</t>
  </si>
  <si>
    <t>BEA MATERAI LUNAS</t>
  </si>
  <si>
    <t>SPBU 34-12805 : SPBU Casablanca,Jl. Casablanca Menteng Dalam BBM B2313BRN 08 Jan'26</t>
  </si>
  <si>
    <t>TABUR RASA : Meeting dengan Adnan dan Atuy, 12 Jan 2026</t>
  </si>
  <si>
    <t>Entertainment</t>
  </si>
  <si>
    <t xml:space="preserve">Retail USA 8667882482 STUBHUB INC : TWD 224.512 x 548 : Ticket Formula 1 (BRI YOGI, Full Payment)	</t>
  </si>
  <si>
    <t xml:space="preserve">Retail USA 8667882482 STUBHUB INC : TWD 89.805 x 548 : Ticket Formula 1 (BRI YOGI, Full Payment)	</t>
  </si>
  <si>
    <t xml:space="preserve">Retail USA 8667882482 STUBHUB INC : EUR 689,93 x 20.189 : Ticket Formula 1 (BRI YOGI, Full Payment)	</t>
  </si>
  <si>
    <t>Retail IDN JAKARTA SELATAN SHORI PIM : Meeting dengan Paragon Mbak Selsya dan Mas Kibar, PCMI Bu Frida , Yogi , Kak Revi</t>
  </si>
  <si>
    <t>Retail IDN JAKARTA PUSAT TIKET.COM : Hotel Margo Depok Deluxe Twn bed 24-25 Jan 2026 an Faisal</t>
  </si>
  <si>
    <t>Telkomsel Leadership Plan and Operation Continuity Q1 2026</t>
  </si>
  <si>
    <t>Retail USA Wilmington FACEBK *EE6ASEMAK2 : USD 2 x 17.259</t>
  </si>
  <si>
    <t>Retail GBR LONDON AIRBNB *HMYEJ44TTC : Penginapan crew (27-28 Januari 2026)</t>
  </si>
  <si>
    <t>Retail IDN JAKARTA PUSAT TIKET.COM : Hotel Royal Kuningan 28-29 Jan 2026 an Paino</t>
  </si>
  <si>
    <t>Retail IDN JAKARTA PUSAT TIKET.COM : Hotel Swissbel Pangkal Pinang 02-03 Feb 2026 an Riedho Agustian</t>
  </si>
  <si>
    <t>Retail IDN JAKARTA PUSAT TIKET.COM : Hotel Swissbel Pangkal Pinang 02-03 Feb 2026 an Muhammad Ilham &amp; Bambang Prayogi</t>
  </si>
  <si>
    <t>Retails IDN JAKARTA BARAT ADIDAS BCS ST MORITZ : engadaan Back Pack Adidas utk Terking 6 Pcs</t>
  </si>
  <si>
    <t>Retail USA Wilmington FACEBK *NUDMLDR9K2 : USD 3,15 x 17.259</t>
  </si>
  <si>
    <t>Retails IDN PEKANBARU THE PREMIERE HO : Room and Bfast 2 kamar tgl 25-26 Jan 2026 an I Putu Eka Udayana R &amp; Surya Firdaus</t>
  </si>
  <si>
    <t>Retail IDN JAKARTA SELATAN APOTEK AJI WA : Pembelian Obat AH</t>
  </si>
  <si>
    <t xml:space="preserve">Medical Allowance </t>
  </si>
  <si>
    <t>Retail IDN JAKARTA SLT GROOVY CLINIC : WA Tika 5-Aug-26 : untuk yg 1.377.000 dan 3.725.000 infonya  ini milik pribadi bu Anne Pak</t>
  </si>
  <si>
    <t>Retail IDN JAKARTA TIMUR SPBU 34.13809, Cipayung Jkt,Fuel F 1138 ABU, 8Jan 2026</t>
  </si>
  <si>
    <t>Retail IDN JAKARTA SELATAN IKKUDO ICHI Kokas Jkt, Makan siang Ibu AH dan FA, 12 Jan 2026</t>
  </si>
  <si>
    <t>Retail IDN Gianyar (Kab BALI SUPERHOST B : Doku.com, Pembayaran tambahan waktu Balinese Spa menjadii 2 jam</t>
  </si>
  <si>
    <t>Retail IDN JAKARTA PUSAT SPBU 31.10303, Cikini Jkt, Fuel F 1138 ABU, 12 Jan 2026</t>
  </si>
  <si>
    <t>Retail IDN JAKARTA TIMUR SPBU 34.13809, Jagorawi Jakarta, Fuel F 1138 ABU, 15Jan 2026</t>
  </si>
  <si>
    <t>Retail IDN BOGOR KOT. SPBU 3416102  Pajajaran Bogor, Fuel F 1138 ABU, 20 Jan 2026 (ditulis di orbit 417.900)</t>
  </si>
  <si>
    <t>Retail IDN JAKARTA SELAT ONICKOE KAFE R : Lunch meeting with Dubai Tourism</t>
  </si>
  <si>
    <t>Retail IDN JAKARTA PUSAT TABUR RASA : Meals meeting dg klien</t>
  </si>
  <si>
    <t>Retail USA SAN JOSE ZOOM.COM 888-799-966</t>
  </si>
  <si>
    <t>Retail IDN Jakarta Sela SPBU 34-12805 -Casablanca Jkt, Fuel F 1138 ABU, 22Jan 2026</t>
  </si>
  <si>
    <t>Retail IDN BOGOR KOT. SPBU 3416102 PADJA</t>
  </si>
  <si>
    <t>Retail IDN JAKARTA PUSAT MIDI SC46 MINAN : Alat Kebersihan Mobil F 1138ABU dan B 2313BRN</t>
  </si>
  <si>
    <t>Retail IDN BOGOR KOT. SPBU 3416102 Pajajaran Bogor, Fuel F 1138 ABU, 26Jan 2026 (di tulis di orbit 394.500)</t>
  </si>
  <si>
    <t>Retail IDN BOGOR PT SEJAHTERARAYA ANUGR : RS Mayapada Bogor, Medical FA dengan Dr Satrio S, Sp.D 29Jan 2026</t>
  </si>
  <si>
    <t>Retail IDN BOGOR IZIMEDIKA-HO : Klinik Izi Medika Bogor,Medical FA, konsultasi dengan Dr Benny PP, 30 Jan 2026</t>
  </si>
  <si>
    <t>Retail IDN BOGOR PRODIA,BOGOR : Prodia Bogor, Lab Test Medical FA, 30 Jan 2026</t>
  </si>
  <si>
    <t>CHARGE BILLING E-STATEMENT FEE</t>
  </si>
  <si>
    <t>STAMP DUTY</t>
  </si>
  <si>
    <t xml:space="preserve"> SS KOTA KASABLANKA-SSCA : Sport station Kokas Pengadaan Voucher MAP Total 40.000.000,-</t>
  </si>
  <si>
    <t>Telkomsel Undian Jelajah Nusantara</t>
  </si>
  <si>
    <t>Sisa Budget</t>
  </si>
  <si>
    <t xml:space="preserve"> SS KOTA KASABLANKA-SSCA  : Sport station Kokas Pengadaan Voucher MAP Total 40.000.000,-</t>
  </si>
  <si>
    <t xml:space="preserve">PAPER.ID : Menimize Plaza Indonesia, Level 4, at Talenta Art Studio Pembayaran DP 70% Plakat 3D Modeling Character Event Mandiri JuraganXtra Solo 2026	</t>
  </si>
  <si>
    <t>MASON PINE HOTE*000009205BANDUNG BARATI : Mason Pine Hotel Pelunasan Paket Meeting dan Kamar BRI</t>
  </si>
  <si>
    <t>PELITA AIR-IPG :  inv 000320852 tiket an Paino</t>
  </si>
  <si>
    <t>ADIDAS BCS ST MORITZ : Adidas SMS Serpong dan Lipo Puri Back Pack Adidas untuk Treking 10 Pcs</t>
  </si>
  <si>
    <t>ADIDASHOSSUMMARECONMALL : Adidas SMS Serpong dan Lipo Puri Back Pack Adidas untuk Treking 10 Pcs</t>
  </si>
  <si>
    <t>Traveloka3DS-inv 1323463462 tiket KAI an Teuku, Ahmad, Prafitria</t>
  </si>
  <si>
    <t>StubHub Event Tickets : FOREIGN CURRENCY USD 3,842.19,  1USD=IDR17202,Formula 1 (OCBC Yogi, Full Payment)</t>
  </si>
  <si>
    <t>Tokopedia : Pembelian Lampu LED Jagung ( twinkle light) total 20 pcs</t>
  </si>
  <si>
    <t>Traveloka-1325606425 : tiket kereta an Ajeng</t>
  </si>
  <si>
    <t>TIKET.COM : Reddoorz Syariah near situ gunung , penginapan untuk driver Telkomsel 05-06 Feb 2025 an Ahmad Riyanto</t>
  </si>
  <si>
    <t>ESPAY*CITILINK : pembelian extra bagasi 30kg x 2 pax</t>
  </si>
  <si>
    <t>Tokopedia : Pembelian Jas Hujan 1 x pakai total 20 Pcs</t>
  </si>
  <si>
    <t>PAPER.ID : Kreatif Kabin dotcom</t>
  </si>
  <si>
    <t>TIKET.COM : Zest hotel solo Pembayaran 1 kamar untuk 4 malan 6-10 feb,Plakat Beruang Heritage JuraganXtra (OCBC Yogi, Pelunasan)</t>
  </si>
  <si>
    <t>PELITA AIR-IPG : inv 3232509000049755 tiket an Alfon</t>
  </si>
  <si>
    <t>TIKET.COM : Zest Hotel Solo Pembayaran 1 kamar tgl 8-10 Feb utk Odhey</t>
  </si>
  <si>
    <t>TIKET.COM : Hotel Whiz Prime Pekanbaru 09 - 12 Feb 2026 an Muhammad Ilham &amp; Robi Martinez Marpaung</t>
  </si>
  <si>
    <t>TIKET.COM : Tiket Yogi dan Lita CGK BTH 10 Feb 2026</t>
  </si>
  <si>
    <t>ESPAY*CITILINK : Citilink block seat untuk Pak Wawan Kuswandono</t>
  </si>
  <si>
    <t>MERCURE JAKARTA*000019526JAKARTA SLT : Gatsu Jakarta Room and Bfast 09-10 Feb an Fachrul Rizzal</t>
  </si>
  <si>
    <t>TIKET.COM : Hotel Fox Pekanbaru 09-11 Feb 2026 an Fernando Hasudungan Sianturi Twn bed</t>
  </si>
  <si>
    <t>TIKET.COM : Hotel Whize Prime Pekanbaru , 09-11 Feb 2026 an Agra Andhyka Chandra</t>
  </si>
  <si>
    <t>TIKET.COM : Biaya reschedule Hotel Fox Pekanbaru 9-11 Feb 2026 an Fernando Hasudungan Sianturi</t>
  </si>
  <si>
    <t>ESPAY*CITILINK : block seat untuk pak Nurdianto</t>
  </si>
  <si>
    <t>TIKET.COM : Hotel Whiz Prime Pekanbaru an Ronald Muhammad 10-12 Feb 2026</t>
  </si>
  <si>
    <t>RESTORAN GARUDA BATAM : Lunch Box Telkomsel Resto Garuda Batam 10,Feb total 80 Box (OCBC Yogi, Full Payment)</t>
  </si>
  <si>
    <t>PELITA AIR-IPG : inv 000326317 tiket an Agra</t>
  </si>
  <si>
    <t xml:space="preserve">TIKET.COM : Hotel Max One Dumai 11-12 Feb 2026 an Josia Prananta Tarigan	</t>
  </si>
  <si>
    <t>LION AIR-IPG : issued tiket by website lion air an Ahmad Y, Aria, Dewi</t>
  </si>
  <si>
    <t>LION AIR-IPG :issued tiket by website lion air an Ahmad Y, Aria, Dewi</t>
  </si>
  <si>
    <t>PELITA AIR-IPG : inv 000326692 tiket an Jackson</t>
  </si>
  <si>
    <t>HOTEL SANTIKA BATAM-HO : Deviasi Extend an Hendri Morelta Tarigan 12-13 Feb 2026</t>
  </si>
  <si>
    <t>RAMEN FOR THE SOUL : Lunch AH</t>
  </si>
  <si>
    <t>EDC MHJS23 : 'Mayapada Hospital Radiology</t>
  </si>
  <si>
    <t>MT E ORCHARD, FOREIGN CURRENCY SGD 1,429.14 : Parkway Radiology Singapore CTA AH</t>
  </si>
  <si>
    <t>HAAGENDAZS CAFE KOKAS : Refreshment AH &amp; team event</t>
  </si>
  <si>
    <t>IKKUDO ICHI KOKAS : Lunch meeting with team event PCMI</t>
  </si>
  <si>
    <t>RM PUTRI : Lunch AH</t>
  </si>
  <si>
    <t>PRODIA KP.MELAYU : Prodia Lab test AH</t>
  </si>
  <si>
    <t>SUSHI TEI PIM 2 : Lunch AH</t>
  </si>
  <si>
    <t>ESTATEMENT</t>
  </si>
  <si>
    <t>SPBU 34-10206 : Jl. Hang Lekir ! No 4, Kel. Gelora BBM B2313BRN, 23 Jan'26</t>
  </si>
  <si>
    <t>MASON PINE HOTEL BANDUNG : Kamar Panitia BRI 1 Room 1 Night at Mason Pine, Bandung (DH UOB, Full Payment)</t>
  </si>
  <si>
    <t>BY NOTIFIKASI</t>
  </si>
  <si>
    <t>GRAND SAE BOUTIQUE : Hotel Surakarta Solo Hotel Penginapan Crew PCMI 2 Kamar 3 Malam @340.000 per room per night (DH UOB, Full Payment)</t>
  </si>
  <si>
    <t xml:space="preserve">RUMAH ATSIRI RESERVASI KARANGANYAR ; Surakarta Solo DP Workshop Activity at Rumah Atsiri (DH UOB, Full Payment)	</t>
  </si>
  <si>
    <t>ZIGNA KAMPUNG BATIK : Solo Test Food Opsi Resto Welcome Dinner at Zigna Kampung Batik (DH UOB, Full Payment)</t>
  </si>
  <si>
    <t>GRAND SAE BOUTIQUE :Solo Hotel Penginapan Team Show Management 1 Room 1 Night @340.000 + Extra Bed @200.000 (DH UOB, Full Payment)</t>
  </si>
  <si>
    <t>KAMPUNG KECIL SOLO : Hotel Grand Sae Solo Hotel Grand Sae Solo - Grp (ada lebih catat 55.000)</t>
  </si>
  <si>
    <t>ONO SOLO COFFEE : Hotel Grand Sae Solo Hotel Grand Sae Solo - Grp (ada lebih catat 55.000)</t>
  </si>
  <si>
    <t>GRAND SAE BOUTIQUE : Hotel Grand Sae Solo Hotel Grand Sae Solo - Grp (ada lebih catat 55.000)</t>
  </si>
  <si>
    <t>BATIK SOGA : Superindo Laporan penggunaan CC UOB 5-feb</t>
  </si>
  <si>
    <t>INDOMARET : Superindo Laporan penggunaan CC UOB 5-feb</t>
  </si>
  <si>
    <t>RUMAH ATSIRI RESERVASI KARANGANYAR : Pelunasan &amp; Additional</t>
  </si>
  <si>
    <t>SUPERINDO : Laporan penggunaan CC UOB 5-feb</t>
  </si>
  <si>
    <t>ALILA HOTEL : Solo Surakarta Genset 80 KVA (DH UOB, Full Payment)</t>
  </si>
  <si>
    <t>GRAND SAE BOUTIQUE : Pembelian 1 Room Superior untuuk crew (5-6 Feb)</t>
  </si>
  <si>
    <t>GREYHOUND CAFÉ : Jl.Sunda Jakarta Pusat, Additional Open Bill at Greyhound Cafe (DH UOB, Full Payment)</t>
  </si>
  <si>
    <t>GREYHOUND CAFÉ :  Jl.Sunda Jakarta Pusat Paket makan siang (DH UOB)</t>
  </si>
  <si>
    <t>METRO SENAYAN : Hadiah Gimmick (DH UOB, Full Payment)</t>
  </si>
  <si>
    <t>GREYHOUND CAFÉ : Jl.Sunda Jakarta Pusat</t>
  </si>
  <si>
    <t>YONGKEE SEAFOOD : Restaurant Nagoya Makan malam group (10-Feb),Additional Open Bill at Greyhound Cafe (DH UOB Full Payment)</t>
  </si>
  <si>
    <t>HOTEL SANTIKA BATAM : Deviasi kamar an Boedi Firmansyah 12-13 Feb 2026 (DH UOB, Full Payment)</t>
  </si>
  <si>
    <t>HOTEL SANTIKA BATAM : embayaran Room Group 10-12 Februari 2026</t>
  </si>
  <si>
    <t>HOTEL SANTIKA BATAM : Pembayaran Room Group 10-12 Februari 2026</t>
  </si>
  <si>
    <t>WEY WEY SEAFOOD : Dinner Group (11-Feb)</t>
  </si>
  <si>
    <t>WEY WEY SEAFOOD : Dinner Group (11-Feb) (lebh input 500.000 menjadi 17.552.700)</t>
  </si>
  <si>
    <t>IBIS STYLES : Pelunasan Kamar grp Telkomsel Periode 11-13 Feb 2026</t>
  </si>
  <si>
    <t>TOBYS ESTATE : Airport Entertainment dinner client (Bang Bagus, Kak Alya, Bang Wayan, Kak Novli)</t>
  </si>
  <si>
    <t>BAKAERZIN TERMINAL TANGERANG : Airport services Customer</t>
  </si>
  <si>
    <t>BAKERZIN TERMINAL ULTI TANGERANG KOT : Daily Parking Terminal 3 Bayar Makan Pagi Peserta Shell Visit KUL 2026 | Dep : 21 Jan 2026</t>
  </si>
  <si>
    <t>SNAPY TEBET 1 : Print Laminating Doff Name Card Gold Sales an Reviana Pesik</t>
  </si>
  <si>
    <t>SPBU 34.13101 A.YANI M JAKARTA TIMU : BBM B2313BRN, 02 Feb'26</t>
  </si>
  <si>
    <t>BUNGA RAMPAI Jakarta Pusat</t>
  </si>
  <si>
    <t>SUPERINDO PCA PANCORAN JAKARTA : Pembelian snack , antangin , salonpas, hotcream, aqua 2 dus dll untuk kebutuhan Tsel Trip Sukabumi</t>
  </si>
  <si>
    <t>APOTEK ALPRO TEBET BRT JAKARTA SLT : Pembelian obat obatan P3K untuk Tsel trip Sukabumi</t>
  </si>
  <si>
    <t>2271 ST EG TEBET Jakarta Selat : Eiger Pembelian sandal Treking untuk Bli Ketut</t>
  </si>
  <si>
    <t>ROJO DURIAN TEBET JAKARTA SELAT : Pembelian Durian Bawor 2 pcs dan Lokal Banjar Negara 3 Pcs untuk Sukabumi</t>
  </si>
  <si>
    <t>RUMAH SEAFOOD-HO : Sukabumi Diner Tsel 5 Feb 2026</t>
  </si>
  <si>
    <t>ALFAMRT 2JS5 NUSAPUTRA SUKABUMI : Pembelian kopi sachet untuk di Villa Tsel</t>
  </si>
  <si>
    <t>BUMI AKI SIGNATURE SEN BOGOR KAB : Makan Siang Grp Telkomsel tgl 05 Feb 2026</t>
  </si>
  <si>
    <t>SPBU 344 3124 : Jl. Surya Kencana KM3 Kel Gunung Jaya Sukabumi BBM B2313BRN 06 Feb'26</t>
  </si>
  <si>
    <t>SPBU 34-12805 - Casablanca Menteng Dalam BBM F1138ABU 09 Feb'26</t>
  </si>
  <si>
    <t>EXCELSO PLAZA INDONESI JAKARTA PUSAT : Meeting Compro PCMI dg Deloitte dan Leverate diwakili oleh Ibu Frita dan Ibu Ratna, 10 Feb 2026</t>
  </si>
  <si>
    <t>SNAPY TEBET 1 : Print Proporsal Mudik Bersama Mandiri</t>
  </si>
  <si>
    <t xml:space="preserve">Mandiri Visa JT-13Mar  MCM InhouseTrf  KE DAVID HARSAMTO </t>
  </si>
  <si>
    <t>E-BILLING STATEMENT CHRGE</t>
  </si>
  <si>
    <t>TIONG LIENG CHUO : WA Tika 7-Aug : Meals AH</t>
  </si>
  <si>
    <t>KOPI NAKO SPARK JAKARTA PUSATID : Meeting dengan Atuy BRI</t>
  </si>
  <si>
    <t xml:space="preserve">Entertainment </t>
  </si>
  <si>
    <t>STAMP DUTY/BIAYA MATERAI </t>
  </si>
  <si>
    <t>SPBU 31.41101,CPLRG A PURWAKARTA ID : Cipularang A (Arah Jkt-BDG), PWK BBM B2313BRN, 20 Jan'26</t>
  </si>
  <si>
    <t>KAMPUNG SEAFOOD BANDUNG BARATID : Bale Pare Resto Makan siang survey ke Mason Pine dengan Atuy BRI , heri , pat , pak yad</t>
  </si>
  <si>
    <t>MASON PINE HOTEL-HO BANDUNG ID : Byr 50% DP utk paket meeting</t>
  </si>
  <si>
    <t>Sop Ayam Pak Miin Klaten : WA Tika 7-Aug = Meals AH</t>
  </si>
  <si>
    <t>PRIMA RASA KBP BANDUNG BARATID : Pelunasan oleh oleh</t>
  </si>
  <si>
    <t>HILTON BANDUNG Bandung (KotaID : Pembayaran DP utk paket meeting tgl 30 Jan</t>
  </si>
  <si>
    <t>SUMMERBIRD Bandung (KotaID : Pembayaran 3 kamar utk 2 malam crew</t>
  </si>
  <si>
    <t>MASON PINE HOTEL-HO BANDUNG ID :Pembayaran denda merokok anggota di mtg room</t>
  </si>
  <si>
    <t>KARTIKA SARI KEBON Bandung (KotaID : pembelian oleh2 30 paket BRI</t>
  </si>
  <si>
    <t>SPBU 34.40227 -HO BANDUNG ID :  jl. Terusan Kota Babakan Ciparay Bandung BBM B2313BRN, 29 Jan'26</t>
  </si>
  <si>
    <t>HILTON BANDUNG Bandung (KotaID : Pembayaran 3 kamar untuk BRI</t>
  </si>
  <si>
    <t>ALILA HOTEL SOLO SURAKARTA (SOID : Pembayaran paket HD meeting tanggal 9 Feb</t>
  </si>
  <si>
    <t>THE HARVEST SOLO SURAKARTA ID : Beli kue ultah utk Ibu Direktur BPJS</t>
  </si>
  <si>
    <t>LATE PAYMENT FEE</t>
  </si>
  <si>
    <t>AUTODEBIT DR -OWGCC414931300213588818022026 </t>
  </si>
  <si>
    <t>INTEREST</t>
  </si>
  <si>
    <t>E-STATEMENT FEE</t>
  </si>
  <si>
    <t>SNAPY TEBET 1 : Cetak Proposal BRI Group Iftar 2026</t>
  </si>
  <si>
    <t>SNAPY TEBET 1 : Cetak proposal BRI Berbagi Makna</t>
  </si>
  <si>
    <t>SKECHERS GGPSKCB BEKASI KOT : Pembelian 1pcs Sepatu Anak</t>
  </si>
  <si>
    <t>SKECHERS PEJATEN-SKD2 JAKARTA SELAT : Inv No : 100031076, Pembelian Sepatu SKE0303855L, ZSPSKECHE - Shopping Bag Skechers Size S</t>
  </si>
  <si>
    <t>SNAPY TEBET 1 : Laporan Kegiatan Pembahasan Strategis Progress Pembiayaan Pemerintah dan Arah Kredit Perumahan</t>
  </si>
  <si>
    <t>SNAPY TEBET 1 :  Laporan Mandiri FGD Banten</t>
  </si>
  <si>
    <t>FAIRMONT JAKARTA FRON : Pembayaran paket Half Day Meeting 12 Maret untuk 150 pax</t>
  </si>
  <si>
    <t>BAKMI GM PSN : Pembelian makan malam dan buka puasa Crew (PCMI, Runner, Usher 4)</t>
  </si>
  <si>
    <t>BAKMI GM PSN : 'Pembelian makan malam dan buka puasa Crew (PCMI, Runner, Usher 4)</t>
  </si>
  <si>
    <t>INDOGROSIR CIPINANG MB JAKARTA : Pembelian snack untuk Mudik Mandiri</t>
  </si>
  <si>
    <t>SPBU 34.134.13 CIPINAN JAKARTA TIMUR : WA Tika 11-Aug - B 2313 BRN</t>
  </si>
  <si>
    <t>HHB 421 GREEN TERRACE : Pembayaran paket Hokben utk Mudik Mandiri</t>
  </si>
  <si>
    <t>J CO DONUTS COFFEE G JAKARTA TIMUR : Beli snack bukber untuk team Logistik Packing di PCMI</t>
  </si>
  <si>
    <t>HHB C89 BANGKA KEMANG JAKARTA SLT : Pembayaran paket Hokben utk Mudik Mandiri</t>
  </si>
  <si>
    <t>HHB 104 SABANG JAKARTA PUSAT : Pembayaran paket Hokben utk Mudik Mandiri</t>
  </si>
  <si>
    <t>HHB 218 PALMERAH JAKARTA SLT : Pembayaran paket Hokben utk Mudik Mandiri</t>
  </si>
  <si>
    <t>HHB 312 LOKASARI JAKARTA BARAT : Pembayaran penambahan Hokben 100 paket utk Pushidrosal</t>
  </si>
  <si>
    <t>HHB 542 MAMPANG PRAPAT JAKARTA SLT : Menu Hokben untuk tgl 18 Maret Keberangkatan Ringroad</t>
  </si>
  <si>
    <t>IDM F4O3CIKAJANG JAKARTA SELAT : Indomaret, pembelian snack untuk Mandiri Mudik</t>
  </si>
  <si>
    <t>KFC GUNAWARMAN 0364 JAKARTA SLT : pembelian makan malam 20 pcs</t>
  </si>
  <si>
    <t>LOUNGE DOM DEPARTURE DPS BADUNG KAB. ID</t>
  </si>
  <si>
    <t>SPBU  34.12806,SUPOMO-HO   JAKARTA  SLT   ID : Fuel F1138ABU, 16 Maret 2026</t>
  </si>
  <si>
    <t>PELITA  AIR-IPG                   JAKARTA          ID : Tiket KNO-CGK Tim an Maria, Analita</t>
  </si>
  <si>
    <t>STUBHUB  INC 8667882482 US FOREIGN  CURRENCY  USD  597.57  1USD=IDR17241 : Formula 1 (OCBC Yogi, Full Payment)</t>
  </si>
  <si>
    <t xml:space="preserve">HOTEL  THE  EXCEL*000034135PALEMBANG       ID : Room and Bfast Tsel Grp 4 Kamar 1-4 Mar 2026 </t>
  </si>
  <si>
    <t>Tiket.Com          *133967138JAKARTA  SLT   ID : Orchardz Aryani PNK (Hotel) (OCBC Yogi, Full Payment)</t>
  </si>
  <si>
    <t xml:space="preserve">TIKET.COM  Jakarta  PusatID : Hotel Parlezo LBJ 03-04 Mar 2026 ( 5 Kamar) </t>
  </si>
  <si>
    <t xml:space="preserve">TIKET.COM  Jakarta  PusatID :Hotel Neo Tendean 03- 06 Mar 2026 an Alan Pangayoman  ( Refund) </t>
  </si>
  <si>
    <t xml:space="preserve">Telkomsel Sumatera On Ground Recovery Review Q1 2026 </t>
  </si>
  <si>
    <t xml:space="preserve">TIKET.COM Jakarta  PusatID : Hotel Harris FX Sudirman Jakarta  04-06 Mar 2026 ( 4 kamar ) </t>
  </si>
  <si>
    <t>Traveloka3DS-1334730494   Jakarta  Inv 133473049 tiket KAI an Ivan</t>
  </si>
  <si>
    <t xml:space="preserve">ESCAPE  BAJO  HOTEL  MBL       MANGGARAI  BARID : Meeting Koordinasi 03 Mar 2026 dengan Mas Halim BRI  </t>
  </si>
  <si>
    <t>TAMAN  LAUT  BAJO  2  MBL       MANGGARAI  BARID : Meals Dinner penerima CSR and Mother 4 Paxs BRI 2 paxs tgl 03 Mar 2026</t>
  </si>
  <si>
    <t>PELITA  AIR-IPG                   JAKARTA          ID : Inv 000333266 tiket an Faisal</t>
  </si>
  <si>
    <t xml:space="preserve">MERCURE  JAKARTA*000035557JAKARTA  SLT   ID : Hotel Harris FX Sudirman 07-10 Mar 2026 4 kamar  dan reschedule </t>
  </si>
  <si>
    <t>PONDOK  MAI  CENGIGO-HO       MANGGARAI  BRTID : Meals Siang Penerima CSR and Mother  4 paxs tgl 03 Mar 2026</t>
  </si>
  <si>
    <t xml:space="preserve">TIKET.COM  Hotel Santika Batam 4-6 Maret 2026 an Umar Munandar G Nasution </t>
  </si>
  <si>
    <t xml:space="preserve">TIKET.COM Hotel Harris FX Sudirman 07-10 Mar 2026 4 kamar  dan reschedule </t>
  </si>
  <si>
    <t xml:space="preserve">TIKET.COM Hotel Royal Malioboro 04-06 Mar 2026 an Ivan Angga Utama </t>
  </si>
  <si>
    <t xml:space="preserve">TIKET.COM Hotel Royal Malioboro 05-06 Mar 2026 2 rooms pak Saki &amp; Fachrul Rizzal </t>
  </si>
  <si>
    <t xml:space="preserve">TIKET.COM Hotel The 101 Yogyakarta Tugu 04-05 Mar 2026  an Ivan Angga Utama </t>
  </si>
  <si>
    <t xml:space="preserve">TIKET.COM Hotel Mercure Bengkulu 09-11 Mar 2026 2 kamar Saki &amp; Ivan </t>
  </si>
  <si>
    <t xml:space="preserve">TIKET.COM Hotel Harper Malioboro 5-6 Maret 2026 2 kamar </t>
  </si>
  <si>
    <t xml:space="preserve">BEARD PAPA T2D BOARDING Tangerang : Pembelian Gift untuk orang Lion Group Labuan Bajo Pak Vinsensius </t>
  </si>
  <si>
    <t>SENDOK GARPU MANGGARAI : Meals Siang Penerima CSR and Mother  4 paxs tgl 04 Mar 2026</t>
  </si>
  <si>
    <t>TIKET.COM Refund dari Tiket.com Tiket.com - Hotel Neo Tendean 03 Mar - 06 Mar 2026 an Alan Pangayoman (OCBC Yogi, Full Payment)</t>
  </si>
  <si>
    <t>TIKET.COM Refund Tiket .com Hotel Mercure Bengkulu 9-11 Mar 2026 an Saki Hamsat Bramono dan Ivan Angga Utama (OCBC Yogi, Full Payment)</t>
  </si>
  <si>
    <t xml:space="preserve">TIKET.COM : Hotel Mercure Bengkulu 09-11 Mar 2026 an Purnama Adhiputra </t>
  </si>
  <si>
    <t>RAILINK.CO.ID *H26030613JAKARTA PUSAT : Inv 4483806990361 tiket kereta Bandara an Fachrul, Saki, Ivan</t>
  </si>
  <si>
    <t xml:space="preserve">HHB 126 FX SUDIRMAN Jakarta Pusat ; Meals  Peserta CSR dan BRI tgl 07 Maret 2026 (menjelang Iftar) </t>
  </si>
  <si>
    <t xml:space="preserve">TIKET.COM Harmoni One Apartment Batam 14-17 Mar 2026 an Wahyu Gunawan </t>
  </si>
  <si>
    <t xml:space="preserve">TIKET.COM Hotel Mercure Bengkulu 08-11 Mar 2026 4 rooms Budi Febri Ramizon, Ronny Lubis, Samsurizal, Dheni Haryanto </t>
  </si>
  <si>
    <t xml:space="preserve">TIKET.COM Hotel Mercure Bengkulu 09-11 Mar 2026 an Purnama Adhiputra </t>
  </si>
  <si>
    <t>TIKET.COM : Tiket Masuk TMII tanggal 08 Mar 2026 total 7 Paxs</t>
  </si>
  <si>
    <t>TAMAN MINI INDONESIA IND JAKARTA TIMUR : Tiket Kereta Gantung TMII 6 paxs tgl 08 Maret 2026</t>
  </si>
  <si>
    <t>JAGAT SATWA JAKARTA TIMUR : Entrance fee Taman Burung , Museum Komodo , Dunia Air Tawar &amp; Farm House total 7 paxs tgl 08 Mar 2026</t>
  </si>
  <si>
    <t xml:space="preserve">SEDERHANA FX SUDIRMAN JAKARTA PUSAT : Meals  Peserta CSR dan BRI tgl 08 Maret 2026 (menjelang Iftar) </t>
  </si>
  <si>
    <t>GOJEK RECURRING NON3DS JAKARTA SELAT : Meals Siang Penerima CSR 2 anak dan ibunya tgl 08 Maret 2026</t>
  </si>
  <si>
    <t>GoPayID DKI Jakarta : Meals Siang Penerima CSR 2 anak dan ibunya tgl 08 Maret 2026</t>
  </si>
  <si>
    <t xml:space="preserve">MERCURE JAKARTA*000040028JAKARTA SLT : Room and Bfast 04-06 Mar 2026 an Fachrul Rizzal </t>
  </si>
  <si>
    <t xml:space="preserve">TIKET.COM : Hotel Swisbell Airport Jakarta 10-11 Mar 2026 (2 kamar) - an Aulia Ayu Asyura &amp; Akhdiat Suryana </t>
  </si>
  <si>
    <t xml:space="preserve">MERCURE JAKARTA*000041082JAKARTA SLT : Room and Bfast Hotel Mercure Gatsu Jakarta , 'tanggal 11-12 Mar 2026 an Fachrul Rizzal </t>
  </si>
  <si>
    <t xml:space="preserve">HOTEL GRAND MER*000040881BATAM : Room and Bfast Hotel Grand Mercure Batam 3 Kamar  , 'tanggal 16-17 Mar 2026 an Fachrul Rizzal , Saki Hamsat Bramono, Ivan Angga Utama </t>
  </si>
  <si>
    <t>Traveloka3DS-1337333966 Jakarta : inv 1337333966, 1337418484, 1337478930 tiket pesawat an Yogi, Dedi, Choky, Saifuzzuhri</t>
  </si>
  <si>
    <t>Traveloka-1337418484 Jakarta :  inv 1337333966, 1337418484, 1337478930 tiket pesawat an Yogi, Dedi, Choky, Saifuzzuhri</t>
  </si>
  <si>
    <t>Traveloka-1337478930 Jakarta : inv 1337333966, 1337418484, 1337478930 tiket pesawat an Yogi, Dedi, Choky, Saifuzzuhri</t>
  </si>
  <si>
    <t>EXPO APOTIK, TEBET JAKARTA SLT : Pembelian Antimo Tablet</t>
  </si>
  <si>
    <t>APOTEK ALPRO TEBET BRT JAKARTA SLT : Pembelian Freshcare, tolak angin</t>
  </si>
  <si>
    <t>KF.0345 RACHMAT JAKARTA SELAT : Pembelian Freshcare, dan Antimo</t>
  </si>
  <si>
    <t>TIP TOP SWALAYAN JAKARTA TIMURID : Pembelian Obat-Obatan Tolak angin, Fresh care</t>
  </si>
  <si>
    <t>TIP TOP SWALAYAN JAKARTA TIMURID : Pembelian Kurma dan Ultra Mini 125ml</t>
  </si>
  <si>
    <t xml:space="preserve">Traveloka-1337961085 Jakarta : Tiket kepulangan dari DPS Albeno, Ahson, Joferson, Ali Wardana , T Surya Hasri  </t>
  </si>
  <si>
    <t xml:space="preserve">Traveloka-1337987238 Jakarta : Tiket kepulangan dari DPS Albeno, Ahson, Joferson, Ali Wardana , T Surya Hasri  </t>
  </si>
  <si>
    <t xml:space="preserve">Traveloka-1337987778 Jakarta : Tiket kepulangan dari DPS Albeno, Ahson, Joferson, Ali Wardana , T Surya Hasri  </t>
  </si>
  <si>
    <t xml:space="preserve">Traveloka-1337943308 Jakarta : Tiket kepulangan dari DPS Albeno, Ahson, Joferson, Ali Wardana , T Surya Hasri  </t>
  </si>
  <si>
    <t xml:space="preserve">Traveloka-1337938794 Jakarta : Tiket kepulangan dari DPS Albeno, Ahson, Joferson, Ali Wardana , T Surya Hasri  </t>
  </si>
  <si>
    <t xml:space="preserve">Traveloka-1337962114 Jakarta : Tiket kepulangan dari DPS Albeno, Ahson, Joferson, Ali Wardana , T Surya Hasri  </t>
  </si>
  <si>
    <t xml:space="preserve">Traveloka-1337909381 Jakarta : Tiket Citilink DPS PKU 2 Apr 2026 an Erliendra Ramadhan , Tiket Garuda DPS YIA 2 Apr 2026 an Albeno Saleh Ahmad, Tiket Citilink DPS KNO 2 Apr 2023 an Darmawan Damanik </t>
  </si>
  <si>
    <t xml:space="preserve">Traveloka-1337901182 Jakarta : Tiket Citilink DPS PKU 2 Apr 2026 an Erliendra Ramadhan , Tiket Garuda DPS YIA 2 Apr 2026 an Albeno Saleh Ahmad, Tiket Citilink DPS KNO 2 Apr 2023 an Darmawan Damanik </t>
  </si>
  <si>
    <t xml:space="preserve">Traveloka-1337905051 : Tiket Citilink DPS PKU 2 Apr 2026 an Erliendra Ramadhan , Tiket Garuda DPS YIA 2 Apr 2026 an Albeno Saleh Ahmad, Tiket Citilink DPS KNO 2 Apr 2023 an Darmawan Damanik </t>
  </si>
  <si>
    <t>Traveloka3DS-1337854450 inv 1337854450 tiket pesawat an Rizki (OCBC Yogi, Full Payment)</t>
  </si>
  <si>
    <t xml:space="preserve">Traveloka3DS-1337889499  Tiket Pelita Air DPS PDG 03 Apr 2026 an Randy Noary </t>
  </si>
  <si>
    <t>ALOFT  BALI  KUTA*000045696BADUNG : DP Aloft Hotel Room and Meeting 30 Mar - 02 Apr 2026 (DH UOB, DP)</t>
  </si>
  <si>
    <t>SYKAVA  : Pembelian 4 pcs mukena dan 4 buah sarung</t>
  </si>
  <si>
    <t>Traveloka-1337987778 Refund dari Traveloka Traveloka- inv 1337987778 tiket an Ahson Masud (OCBC Yogi, Full Payment)</t>
  </si>
  <si>
    <t xml:space="preserve">TIKET.COM : Hotel Panconvince team Yello Hotel Kuta 2 kamar 29 Mar - 02 Apr 2026, 'an Room1 : Yogi &amp; Odhey , Room 2 : Patricia </t>
  </si>
  <si>
    <t xml:space="preserve">TIKET.COM : Hotel Panitia Mandiri di Grandhika Iskandarsyah Jakarta,  17 - 18 Maret 2026  an Lovindah Catra  , Abraham Widyansah , Yusi Lupitadewi </t>
  </si>
  <si>
    <t xml:space="preserve">Tokopedia : Pembelian Terompet Gas Horn / Terompet Pesta utk 18 Mar 2026 20 pcs </t>
  </si>
  <si>
    <t>PELITA  AIR-IPG : inv 3007792569, 3007792561 tiket an Anwirman</t>
  </si>
  <si>
    <t>Tokopedia : Pembalian Modem orbit 1 unit dan tiang bendera 1 set (OCBC Yogi, Full Payment)</t>
  </si>
  <si>
    <t>Tokopedia : pembelian alat face painting 1 sett (OCBC Yogi, Full Payment)</t>
  </si>
  <si>
    <t>PAUL  BAKERY,PI JAKARTA  PUSATID - Lunch AH</t>
  </si>
  <si>
    <t>SNAPY TEBET 1 JAKARTA SLT : Pembuatan ID Card atas nama Tika dan Ivma</t>
  </si>
  <si>
    <t>SNAPY TEBET 1 JAKARTA SLT : Laporan Event BRI : Penyaluran Kredit UMKM dalam Menyambut Bulan 'Suci Ramadhan dan Hari Raya Idul Fitri</t>
  </si>
  <si>
    <t>Biaya Notifikasi Jan 2026</t>
  </si>
  <si>
    <t>SPBU 34-12805 - POT Jakarta Selat : Fuel F1138ABU, 05 Maret 2026</t>
  </si>
  <si>
    <t>ALFAMRT 1M2D GLBKNO GE  JAKARTA PUSAT :  GBK (Gelora Bung Karno) Survey GBK beli Air Minum buka Puasa Rizky, Heri, Dimas, Ableh, Ardhi, &amp; Iswandi (DH DBS, Full Payment)</t>
  </si>
  <si>
    <t>CROCO FX MALL.  JAKARTA PUSAT : Survey GBK beli makanan buka puasa Rizky, Heri dan Dimas (DH DBS, Full Payment)</t>
  </si>
  <si>
    <t>APOTEK ALPRO TEBET BRT  JAKARTA SLT : Pembelian obat-obatan, Tolak Angin, dan Freshcare</t>
  </si>
  <si>
    <t>SPBU 34-12805 - POT Jakarta Selat : Fuel F1138ABU, 09 Maret 2026</t>
  </si>
  <si>
    <t>KIMIA FARMA APOTEK   JAKARTA SLT : Pembelian obat-obatan, Antimo</t>
  </si>
  <si>
    <t>ANNUAL MEMBERESHIP FEE</t>
  </si>
  <si>
    <t>ADIMULIA HOTEL Medan (Kota) ID : Byr HD , sound system, stall, room rental</t>
  </si>
  <si>
    <t>SI BOLANG DURIAN MBL MEDAN ID : Si Bolang Durian Durian si Bolang 22 Feb (DH Mandiri, Full Payment)</t>
  </si>
  <si>
    <t>GARUDA RESTORAN Medan (Kota) ID : Beli makan utk Bukber di Adimulia</t>
  </si>
  <si>
    <t>GARUDA RESTORAN Medan (Kota) ID : Beli makan utk Bukber di Adimulia</t>
  </si>
  <si>
    <t>MACEHAT COFFEE -HO MEDAN ID : Beli coffee utk bukber peserta di Adimulia</t>
  </si>
  <si>
    <t xml:space="preserve">RUMAH MAKAN BINTANG MEDAN KOT. ID : Bayar makan siang anggota 8 pax </t>
  </si>
  <si>
    <t>ADIMULIA HOTEL Medan (Kota) ID : Byr HD , sound system, stall, room rental</t>
  </si>
  <si>
    <t>SI BOLANG DURIAN MBL MEDAN ID : Bayar Durian Black Thorne utk dibawa pulang BTN 6 paket</t>
  </si>
  <si>
    <t>SI BOLANG DURIAN Medan (Kota) ID : Si Bolang Bayar si Bolang 23 Feb (DH Mandiri, Full Payment)</t>
  </si>
  <si>
    <t>MEMBERSHIP FEE </t>
  </si>
  <si>
    <t xml:space="preserve">LOTTE GROSIR PASAR REBO Jakarta TimurID : Beli sebagian isi Goodybag untuk peserta mudik </t>
  </si>
  <si>
    <t>SPBU 34-10401 Jakarta PusatID : Fuel B2313BRN, 08 Maret 2026</t>
  </si>
  <si>
    <t>SKS FX Jakarta PusatID : makan malam ber 6 dengan team BRI 4 org Flores</t>
  </si>
  <si>
    <t>SNACKZONE PACIFIC PLACE JAKARTA SLT ID : Beli oleh2 dan jajanan untuk anak2 dibawa pulang ke daerah nya</t>
  </si>
  <si>
    <t>ZOOMOOV JAKARTA SLT ID : Main binatang jalan2 di mall pacific place 2 anak flores</t>
  </si>
  <si>
    <t>KEMCHIKS JAKARTA SLT ID : Beli buah anggur . Apel dan skittles 2 packed untuk 2 anak flores</t>
  </si>
  <si>
    <t>AUNTIE ANNE'S PP JAKARTA SLT ID : Beli minuman dan 1 kue untuk anak2 Flores</t>
  </si>
  <si>
    <t>KIDZANIA AIRPORT 7 JAKARTA SELATID : Bayar anak2 main</t>
  </si>
  <si>
    <t>HHB 532 PSR FESTIVAL JAKARTA SLT ID : Hokben Bayar Hokben utk peserta (DH Mandiri, Full Payment)</t>
  </si>
  <si>
    <t>HHB 621 GRAND WISATA : Hoka Hoka Bento (HHB) 621 Grand Wisata Tambun Bekasi Beli Meal Hokben Peserta Mudik Region 4 Bekasi 50 box</t>
  </si>
  <si>
    <t>SHERATON BALI K*000052 BADUNG : Hotel Aloft Telkomsel Room ( Total 55 kamar ) 30 Mar - 02 Apr 2026 inc fee</t>
  </si>
  <si>
    <t>ALOFT BALI KUTA*000052 BADUNG : Hotel Aloft Telkomsel Room ( Total 55 kamar ) 30 Mar - 02 Apr 2026 inc fee</t>
  </si>
  <si>
    <t>SPBU 34.13809,CIPAYUNG JAKARTA TIMUR : Cipayung BBM B2313BRN 27 Maret 2026</t>
  </si>
  <si>
    <t xml:space="preserve">BAKERZIN TERMINAL 3 TANGERANG : Bakerzin Bakerzin Restaurant Terminal 3 </t>
  </si>
  <si>
    <t>OVERLIMIT FEE</t>
  </si>
  <si>
    <t>SPBU 34-12805 - POT Jakarta Selat ID : BBM B2313BRN 01 April 2026</t>
  </si>
  <si>
    <t>CASHBACK VERIF AIRPORT LOUNGE</t>
  </si>
  <si>
    <t>KFC BOGOR PAJAJARAN : KFC Pajajaran Bogor Pembelian makan pagi Team PCMI &amp; Crew, Setneg, 17 Mar 2026</t>
  </si>
  <si>
    <t xml:space="preserve"> BURGER KING BENDUNGAN HILJakarta PusatID : Burger King Benhil Jakarta Pembelian tambahan makan pagi crew, Setneg, 17 Mar 2026</t>
  </si>
  <si>
    <t xml:space="preserve">IDM TG8X-REST AREA KM 21 BOGOR : Pembelian Tisu Kering &amp; Basah, Pewangi Ruangan, Kamper Wangi &amp; Handsanitiser </t>
  </si>
  <si>
    <t xml:space="preserve"> SPBU 34.13809,CIPAYUNG-HOJAKARTA TIMURID :  Jagorawi JKT Fuel F 1138 ABU, 30 Mar 2026</t>
  </si>
  <si>
    <t xml:space="preserve"> SPBU 34-12805 - POT :  kota Kasablanca Jaksel Fuel F 1138 ABU, 6Apr 2026</t>
  </si>
  <si>
    <t xml:space="preserve"> SPBU 34-12805 - POT :  Kota Kasablanka Jaksel Fuel F 1138 ABU, 09 Apr 2026</t>
  </si>
  <si>
    <t>SSS TEBET  : Satay Senayan Supomo Tebet Jaksel Makan siang AH &amp; FA, 9Apr 2026</t>
  </si>
  <si>
    <t>Anne Hidayat and Frieda</t>
  </si>
  <si>
    <t>SPBU 34-12805 - POT : Kota Kasablanka Jaksel Fuel F 1138 ABU, 13 Apr 2026</t>
  </si>
  <si>
    <t xml:space="preserve"> SNAPY TEBET 1 :  Cetak Laporan Kegiatan Mandiri Mudik Bersama 2026</t>
  </si>
  <si>
    <t xml:space="preserve"> SPBU 34-12805 - POT :  Kota Kasablanka Jaksel Fuel F 1138 ABU, 16 Apr 2026</t>
  </si>
  <si>
    <t>Tokopedia Jakarta ID : Refund Tokopedia Pembelian Tiang Pataka Bendera Ruangan Lobang 1 ( refund) (OCBC Yogi, Full Payment) - Refund di tanggal 17 Mar 2026 Rp.231.700,-</t>
  </si>
  <si>
    <t>A&amp;W REST AREA JKT-CKMPK BEKASI ID : Meals Sahur Cibitung crew tgl 18 Mar 2026</t>
  </si>
  <si>
    <t>Traveloka-1337987238 : Refund Traveloka Traveloka - Citilink DPS - KNO 2 Apr 2026 an Joni Ferson Sinaga</t>
  </si>
  <si>
    <t>MIDTRANS-PADELOOM JAKARTA ID : Padeloom Sewa 2 Lapangan Padel total 3 jam (6-9am) tgl 9 Apr di Padeloom dan Raket 4 pcs</t>
  </si>
  <si>
    <t xml:space="preserve">MIDTRANS-PADELOOM JAKARTA ID : Padeloom Sewa 2 Lapangan Padel total 3 jam (6-9am) tgl 9 Apr di Padeloom dan Raket 4 pcs </t>
  </si>
  <si>
    <t xml:space="preserve">PELITA AIR-IPG JAKARTA ID : inv 000344924 tiket pesawat an Hendri </t>
  </si>
  <si>
    <t xml:space="preserve">PELITA AIR-IPG JAKARTA ID : inv 000345902 tiket pesawat an Faisal </t>
  </si>
  <si>
    <t>ALPRO BONA INDAH JAKARTA SLT I : Pembelian obat AH</t>
  </si>
  <si>
    <t>IKKUDO ICHI KOKAS JAKARTA SLT ID :  Lunch AH</t>
  </si>
  <si>
    <t>SUSHI TEI KOTA KASABLANK JAKARTA SELATID : Lunch AH &amp; FA sushi tei - 6 April 2026</t>
  </si>
  <si>
    <t>MIDTRANS-NOTULA JAKARTA ID : Registrasi Notula AI untuk kebutuhan workshop Magic Framework</t>
  </si>
  <si>
    <t>SUBWAY WANG PLAZA-WY53 JAKARTA BARATID : Lunch AH</t>
  </si>
  <si>
    <t>RS PRIKASIH Jakarta SelatID : Doc consultation &amp; Meds Sukanda</t>
  </si>
  <si>
    <t>TOBYS ESTATE JAKARTA SLT ID : AH Lunch</t>
  </si>
  <si>
    <t>VISI COFFEE &amp; KITCHEN JAKARTA : Internal Meeting after fire</t>
  </si>
  <si>
    <t>WIMARION HOTEL SEMARANG : Hotel Wimarion Semarang Byr hotel 3 malam, survey Trimegah</t>
  </si>
  <si>
    <t>STH AVENUE SEMARANG : 'Ming Yuan Test Food</t>
  </si>
  <si>
    <t>BEBEK TEPI SAWAH UBUD GIANYAR : Lunch Peserta bebek Tepi Sawah tgl 1 Apr 2026 100 Paxs</t>
  </si>
  <si>
    <t>BINTANG PUSAT BELANJA - BADUNG : Hadiah games ( Pax Besar 2 pemenenang @200K. Pax kecil 3 pemenang @100K</t>
  </si>
  <si>
    <t>FRONT OFFICE BADUNG : Hotel Aloft Sheraton Kuta Bali add on Kamar Galuh Ranggakusuma 30 Mar - 02 Apr dan upgrade room to Sheraton Kamar Pak Saki</t>
  </si>
  <si>
    <t>GREEN BALI ADVENTURE H GIANYAR : Survey ATV dengan Client tanggl 30 Mar dengan bang WG mas Bach dan Mas Sultan (DH UOB, Full Payment)</t>
  </si>
  <si>
    <t>BEBEK TEPI SAWAH UBUD GIANYAR : Pelunasan Lunch Grp Tsel di Bebek Tepi Sawah Ubud Bali tanggal 1 April 2026</t>
  </si>
  <si>
    <t>SPBU 34-12805 : Fuel B2313BRN</t>
  </si>
  <si>
    <t>BAKU SAYANG JAKARTA SELATAN : Senopati Halbil Lunch di Baku Sayang tgl 13 Apr 2026</t>
  </si>
  <si>
    <t>SHABU KOJO PREMIUM JAKARTA SELATAN : Halbil Lunch di Baku Sayang tgl 13 Apr 2026</t>
  </si>
  <si>
    <t>SNAPY TEBET : Laporan Kegiatan Mandiri Mudik Bersama 2026</t>
  </si>
  <si>
    <t>Mandiri Visa JT-11Ma 00633 00633 MCM InhouseTrf CS-CS KE DAVID HARSAMTO : Salah Bayar</t>
  </si>
  <si>
    <t>HILTON BANDUNG Bandung (KotaID</t>
  </si>
  <si>
    <t xml:space="preserve">E-BILLING STATEMENT CHRGE </t>
  </si>
  <si>
    <t xml:space="preserve">STAMP DUTY/BIAYA MATERAI </t>
  </si>
  <si>
    <t>TOBYS ESTATE JAKARTA SLT ID : Lunch AH</t>
  </si>
  <si>
    <t>Adjustment</t>
  </si>
  <si>
    <t>Lebih Bayar pada Mandiri Visa - 11-Jun-26</t>
  </si>
  <si>
    <t>Retail IDN JAKARTA SLT GROOVY CLINIC :  : WA Tika 5-Aug-26 : untuk yg 1.377.000 dan 3.725.000 infonya  ini milik pribadi bu Anne Pak</t>
  </si>
  <si>
    <t>Retail USA Wilmington FACEBK *FVW6TDR9K</t>
  </si>
  <si>
    <t>Retail IDN JAKARTA SLT MERCURE JAKARTA : Gatot Subroto Jakarta Room &amp; Bfast 19-20 Feb 2026 an Fachrul Rizzal</t>
  </si>
  <si>
    <t>Retail IDN Jakarta Sela SPBU 34-12805 : Casablanca Jakarta Fuel F 1138ABU, 3 Feb 2026</t>
  </si>
  <si>
    <t>Retail IDN BOGOR KOT. SPBU 3416102 PADJ Fuel F 1138ABU, 5 Feb 2026</t>
  </si>
  <si>
    <t xml:space="preserve">Retail IDN Jakarta Sela FORE COFFEE Kuningan City Jakarta Meeting Compro dengan Axa Life Bapak Abi, 5Feb 2026	</t>
  </si>
  <si>
    <t>Retail IDN JAKARTA SLT SNAPY TEBET 1 : Cetak Laporan Kegiatan Realisasi Penyaluran KUR PT. Bank Rakyat Indonesia (Persero) dan PT Bank Tabungan Negara (Persero) Tbk di Kepulauan Riau</t>
  </si>
  <si>
    <t>Retail IDN SURAKARTA KOPI CALF MANAHAN S : Ngopi bareng klien</t>
  </si>
  <si>
    <t>Retail IDN SRKARTA/SOLO WE EATERY DRINKE : Alila Hotel Solo Pembayaran dinner peserta</t>
  </si>
  <si>
    <t>Retail IDN SRKARTA/SOLO DIAMOND SOLO RES : Pembayaran dinner peserta day 2</t>
  </si>
  <si>
    <t>Retail IDN Jakarta Sela SPBU 34-12707 : Pembelian bensin mobil pak yadi</t>
  </si>
  <si>
    <t>Retail IDN BOGOR IZIMEDIKA-HO : Klinik Izi Medika Bogor kontrol dan berobat a.n Frida Achmadi, 11Feb 2026</t>
  </si>
  <si>
    <t>Retail IDN JAKARTA TIMUR SPBU 34.13809,C : Fuel F 1138 ABU, 12 Feb 2026</t>
  </si>
  <si>
    <t>Retail IDN JAKARTA SELATAN BAKERMAN : Meeting with BIGO Live</t>
  </si>
  <si>
    <t>Retail IDN Bogor (Kota) MANDAPA FARMA Bogor Pembelian Obat a.n Frida Achmadi sesuai copy resep Dr Benny Prasetya utk 1bulan, 17Feb 2026</t>
  </si>
  <si>
    <t>Retail IDN Jakarta Sela SPBU 34-12805 -Fuel B2313BRN, 20 Feb 2026</t>
  </si>
  <si>
    <t>Retail IDN JAKARTA PUSAT J CO DONUTS : Meeting dengan PIC Mahaka re kerjasama EO</t>
  </si>
  <si>
    <t xml:space="preserve">Retail USA SAN JOSE ZOOM.COM 888-799-966 : zoom.us Monthly payment panconvince.streaming@gmail.com	</t>
  </si>
  <si>
    <t>Retail IDN JAKARTA SLT THE PEOPLE'S CAFÉ : Meeting dengan PIC Bank Permata re kerjasama EO</t>
  </si>
  <si>
    <t>Retail IDN Jakarta Sela SPBU 34-12805 - Fuel B2313BRN, 26 Feb 2026</t>
  </si>
  <si>
    <t>Retail IDN JAKARTA SELAT SHOPEE AIRPAY : Pembelian 5pcs Ransel &amp; 5pcs Tumbler</t>
  </si>
  <si>
    <t>LATE CHARGES</t>
  </si>
  <si>
    <t>Interest &amp; Service Charge </t>
  </si>
  <si>
    <t>Jakarta  Tokopedia</t>
  </si>
  <si>
    <t>JAKARTA  SLT  SNAPY  TEBET  1</t>
  </si>
  <si>
    <t>Wilmington  FACEBK  *EE6ASEMAK2</t>
  </si>
  <si>
    <t>JAKARTA  SELATAN  APOTEK  BERKAT</t>
  </si>
  <si>
    <t>Wilmington  FACEBK  *NUDMLDR9K2</t>
  </si>
  <si>
    <t>Wilmington  FACEBK  *FVW6TDR9K2</t>
  </si>
  <si>
    <t>JAKARTA  PUSAT  HHB  104  SABANG : Pembayaran paket Hokben utk Mudik Mandiri</t>
  </si>
  <si>
    <t>JAKARTA  SELAT  BURSA  SAJADAH</t>
  </si>
  <si>
    <t>JAKARTA  SELAT  IDM  TSKMDR  SAHA</t>
  </si>
  <si>
    <t>JAKARTA  PUSAT  K24  APOTEK  DELI</t>
  </si>
  <si>
    <t>Retail  IDN  JAKARTA  Traveloka3DS-13419944 Tiket Citilink DPS KNO 2 Apr 2026 an Alexsander (BRI YOGI, Full Payment)</t>
  </si>
  <si>
    <t>Retail  IDN  JAKARTA  PUSAT  TIKET.COM Man Power dari PCMI 3 Paxs 29 Mar -02 Apr 2026</t>
  </si>
  <si>
    <t>Retail  IDN  BADUNG  ALOFT  BALI  KUTA*000053 Room and Bfast Hotel Aloft tgl 29 mar - 2 Apr 2026 an M Ibnu Sultan &amp; Aditya Jaya - Foto dan videographer (BRI YOGI, Full Payment)</t>
  </si>
  <si>
    <t>Retail  IDN  JAKARTA  Traveloka3DS-13442825 Biaya Refund Tiket Pelita Air CGK PDG tgl 2 Apr 2026 an Ali Wardana</t>
  </si>
  <si>
    <t>Retail  IDN  JAKARTA  Traveloka3DS-13445054 Perubahan schedule tiket an Ali Wardana 2 Apr CGK PDG</t>
  </si>
  <si>
    <t xml:space="preserve">Retail  IDN  JAKARTA  Traveloka3DS-13445580 Traveloka Perubahan tiket an Erliendra Ramadhan jam penerbangan tgl 2 Apr 2026 </t>
  </si>
  <si>
    <t xml:space="preserve">Retail  IDN  TANGERANG  KOT  ESPAY*CITILINK Inv ESP1775003718QTGJ extra bagasi 10 Kg Citilink </t>
  </si>
  <si>
    <t>Retail  IDN  JAKARTA  PELITA  AIR-IPG Inv 3007853122 tiket an Choky</t>
  </si>
  <si>
    <t>Retail  IDN  KOTA  JAKARTA  LION  AIR-IPG Pembelian extrabagasi SRGDPS 10 KG Lion Air</t>
  </si>
  <si>
    <t>Retail  IDN  JAKARTA  SELAT  TELKOMSEL  ORBIT Paket Data 90 GB Modem Orbit Kantor tselhome- C0A7</t>
  </si>
  <si>
    <t xml:space="preserve">Retail  IDN  Jakarta  Tokopedia Pengadaan Monitor LG 27 inch </t>
  </si>
  <si>
    <t>Telkomsel FB Reward and Merch Digiads</t>
  </si>
  <si>
    <t>Jakarta  Sela  SPBU  34-12805  - Fuel F1138ABU, 02 Maret 2026</t>
  </si>
  <si>
    <t>PONTIANAK  AKAMREKO  COFFEE : Ngopi bareng klien</t>
  </si>
  <si>
    <t>JAKSEL  SHOPEE : Lusin Tas Goodie Bag Spunbond</t>
  </si>
  <si>
    <t>Jakarta  Sela  HOLLAND   BAKERY Pembelian roti - Meeting w/ Bank Permata 9 pax</t>
  </si>
  <si>
    <t>JAKSEL  SHOPEE Pembelian air mineral</t>
  </si>
  <si>
    <t>JAKSEL  SHOPEE</t>
  </si>
  <si>
    <t>JAKARTA  TIMUR  SPBU  34.13809,C Fuel F1138ABU, 11 Maret 2026</t>
  </si>
  <si>
    <t>JAKSEL  SHOPEE Fuel F1138ABU, 11 Maret 2026</t>
  </si>
  <si>
    <t>Retail  USA  SAN  JOSE  ZOOM.COM  888-799-966 Monthly payment - Maret 2026</t>
  </si>
  <si>
    <t>Retail  USA  SAN  JOSE  ZOOM.COM  888-799-966 Monthly payment panconvince.streaming@gmail.com - April 2026</t>
  </si>
  <si>
    <t>DBS Visa White JT-4J DBSBIDJA/DAVID HARSAMTO</t>
  </si>
  <si>
    <t>SPBU 34.12806,SUPOMO-H JAKARTA SLT   ID SPBU Sopomo Tebet Fuel B 2313BRN</t>
  </si>
  <si>
    <t>SNAPY TEBET 1  Print Proporsal BRI Consumer Expo 2026</t>
  </si>
  <si>
    <t>Biaya Notifikasi Mar 2026</t>
  </si>
  <si>
    <t>SOLARIX CCTV  Ganti mainboard dan mic Hollyland 2 unit Master dan remote no2</t>
  </si>
  <si>
    <t xml:space="preserve">Computer Supplies </t>
  </si>
  <si>
    <t>SPBU 34.12806,SUPOMO-H JAKARTA SLT   ID : Fuel B2313BRN 30/04/26</t>
  </si>
  <si>
    <t>Kenzo Komp  Pembelian ruter TPlink diruang meeting</t>
  </si>
  <si>
    <t>PRIMA UTAMA LAPTOP     JAKARTA PUSAT ID : Penggantian Mainboard (Rp. 2.734.530) dan Mic (Rp. 1.115.447)</t>
  </si>
  <si>
    <t>ALFAMRT CG02 GGY2 GRA  BEKASI  'Alfamart Pembelian Sampoerna Mild (request PIC)</t>
  </si>
  <si>
    <t>SNAPY TEBET 1 Cetak Kartu Nama dan Laporan Kegiatan BTN Fairmont</t>
  </si>
  <si>
    <t>SNAPY TEBET 1  Cetak Kartu Nama dan Laporan Kegiatan BTN Fairmont</t>
  </si>
  <si>
    <t>IQOS BOOTH GRAND GALAX BEKASI KOT. Pembelian IQOS (request PIC)</t>
  </si>
  <si>
    <t>GALERI UMKM            BALIKPAPAN KO Kaltim Pembelian souvenir oleh2 Mandir</t>
  </si>
  <si>
    <t>PLATINUM HOTEL BALIKPA BALIKPAPAN Pembayaran Venue Ruang Meeting</t>
  </si>
  <si>
    <t>Platinum Balikpapan    Balikpapan (K Pembayaran Kamar Crew</t>
  </si>
  <si>
    <t>SPBU 34-10506          Jakarta Pusat ID Letjen Soeprapto Fuel B2313BRN 14/05/26</t>
  </si>
  <si>
    <t>FINANCE CHARGES</t>
  </si>
  <si>
    <t>OCBC Visa JT-3Jun NISPIDJA/DAVID HARSAMTO</t>
  </si>
  <si>
    <t xml:space="preserve"> BIAYA NOTIFIKASI</t>
  </si>
  <si>
    <t xml:space="preserve"> STAMP DUTY</t>
  </si>
  <si>
    <t>SPBU 34-12805 - POT      Jakarta SelatID Kota Kasablanka Jaksel, Fuel F 1138 ABU, 20 Apr 2026</t>
  </si>
  <si>
    <t xml:space="preserve"> SPBU 34.12806,SUPOMO-HO  JAKARTA SLT  ID Fuel F 1847 NZ, 23 Apr 2026</t>
  </si>
  <si>
    <t>F 1847 NZ</t>
  </si>
  <si>
    <t xml:space="preserve"> MANDAPA FARMA            Bogor (Kota) ID Medical Frida Achmadi, 24 Apr 2026</t>
  </si>
  <si>
    <t>SPBU 34.13809,CIPAYUNG-HOJAKARTA TIMURID Jagorawi Jakarta, Fuel F 1138 ABU, 27Apr 2026</t>
  </si>
  <si>
    <t xml:space="preserve"> APOTEK TEBET MAS INDAH   JAKARTA SLT  ID Pembelian Salonpas</t>
  </si>
  <si>
    <t xml:space="preserve"> GRAND LUCKY SUPERSTORE   Jakarta SelatID Pengharum Ruangan dan Anti Bau</t>
  </si>
  <si>
    <t xml:space="preserve"> KIMIA FARMA APOTEK       JAKARTA SLT  ID Apotik Kimia Farma Pembelian Obat-Obatan (Hansaplast, Panadol, Freshcare, Tolak Nagin, Bdetadine)</t>
  </si>
  <si>
    <t xml:space="preserve"> SPBU 34.16102,PAJAJARAN  BOGOR Fuel F 1138 ABU, 4Mei 2026</t>
  </si>
  <si>
    <t xml:space="preserve"> SPBU 31.15105,BANDARA    TANGERANG    ID Bandara Soetta CGK, Fuel F 1138 ABU, 6Mei 2026</t>
  </si>
  <si>
    <t xml:space="preserve"> TUNGGAL JAYA             Balikpapan (KID Pembelian 35 bloknote dan ballpoint gel, 7Mei 2026</t>
  </si>
  <si>
    <t xml:space="preserve"> ALFAMIDI SG61 MT HARYONO BALIKPAPAN KOID Pembelian 14 Pasang Sendal Jepit, 7Mei 2026</t>
  </si>
  <si>
    <t xml:space="preserve"> SPBU 34.13809,CIPAYUNG-HOJAKARTA TIMURID Jagorawi JKT Fuel F 1138 ABU, 11 May 2026</t>
  </si>
  <si>
    <t xml:space="preserve"> HARYONO TOURS &amp; TRAVEL   JAKARTA PUSATID Hotel Santika Medan an Agus Sugiarto 20-22 Apr 2026 &amp; 20 - 23 Apr 2026 </t>
  </si>
  <si>
    <t>Telkomsel Operational Review Meeting Sumatera 2026</t>
  </si>
  <si>
    <t xml:space="preserve"> HARYONO TOURS &amp; TRAVEL   JAKARTA PUSATID Hotel Santika Medan 3 rooms 23-24 Apr 2026 an Perdana C D &amp; Dede, Setiawan &amp; Pradono</t>
  </si>
  <si>
    <t xml:space="preserve"> HARYONO TOURS &amp; TRAVEL   JAKARTA PUSATID Hotel Sofitel Mumbai India 26-29 Apr 2026 an Ahmad Faisal &amp; Fridondy Prawira Dilaga</t>
  </si>
  <si>
    <t xml:space="preserve"> FOUR POINTS BY Sheraton Seminyak Pembayaran DP Hotel Periode (1-3 May 2026) &amp; Half Day Meeting</t>
  </si>
  <si>
    <t>SHOPEE  JAKSEL ID : Lampu gantung LED lebar 7 cm total 1 unit</t>
  </si>
  <si>
    <t>SHOPEE JAKSEL ID : Beli Lampu Gantung LED panjang 24 W total 2 unit</t>
  </si>
  <si>
    <t xml:space="preserve"> BALI HAI CRUISE*W462NDBQ8BADUNG Pelunasan Bali Hai Cruise Bali (02 Mei 2026)</t>
  </si>
  <si>
    <t xml:space="preserve"> malacca toast            TANGERANG    ID Malacca Toast Meals at Malacca Toast T3 </t>
  </si>
  <si>
    <t xml:space="preserve"> malacca toast            TANGERANG    ID Malacca Toast Meals at Malacca Toast T3</t>
  </si>
  <si>
    <t xml:space="preserve"> PELITA AIR-IPG           JAKARTA      ID inv 202605041459 tiket pesawat an David</t>
  </si>
  <si>
    <t xml:space="preserve"> SNAPY TEBET 1            JAKARTA SLT  ID Snappy Tebet Cetak Compro 2 buku , untuk Acara Padi Business Forum 06 May 2026</t>
  </si>
  <si>
    <t xml:space="preserve"> Tokopedia Jakarta ID : Air Purifier untuk Ruangan bu AH</t>
  </si>
  <si>
    <t>Air Purifier</t>
  </si>
  <si>
    <t xml:space="preserve"> SPBU 34-12805 - POT      Jakarta SelatID Casablanca JKT Fuel B2313BRN, 05 May 2026</t>
  </si>
  <si>
    <t xml:space="preserve"> Tiket.Com      *134586825JAKARTA SLT  ID Hotel Santika Lampung 11-13 Mei 2026 an Hendri Morelta Tarigan</t>
  </si>
  <si>
    <t xml:space="preserve"> Tiket.Com      *134564960JAKARTA SLT  ID Tiket.com Hotel Arista Palembang 11-12 Mei 2026 an Nizar Fuadi</t>
  </si>
  <si>
    <t xml:space="preserve"> Tiket.Com      *134620014JAKARTA SLT  ID Hotel Arista Palembang 11-12 Mei 2026 an M Saleh Usman</t>
  </si>
  <si>
    <t xml:space="preserve"> Tiket.Com      *134571975JAKARTA SLT  ID Hotel Arista Palembang 12-13 Mei 2026 2 kamar an Nizar Fuadi &amp; M Saleh Usman</t>
  </si>
  <si>
    <t xml:space="preserve"> Tiket.Com      *134504908JAKARTA SLT  ID Hotel Arista Palembang 12-13 Mei 2026 2 kamar an Nizar Fuadi &amp; M Saleh Usman</t>
  </si>
  <si>
    <t xml:space="preserve"> Tiket.Com      *134689124JAKARTA SLT  ID Hotel Batiqa Palembang 12-13 mei 2026 an Slamet Pranoto</t>
  </si>
  <si>
    <t xml:space="preserve"> NOVOTEL PONTIAN*000091542PONTIANAK    ID Bayar Hotel 1 malam atas nama Atuy</t>
  </si>
  <si>
    <t xml:space="preserve"> Tokopedia Jakarta ID : PABX Panasonic KX Tes 824 8 line 24 ext</t>
  </si>
  <si>
    <t xml:space="preserve">PABX Panasonic </t>
  </si>
  <si>
    <t xml:space="preserve"> BEBEK TEPI SAWAH, CITYW  JAKARTA PUSATID Lunch AH Bebek tepi sawah Citywalk - 20 April 2026</t>
  </si>
  <si>
    <t xml:space="preserve"> AYAM GORENG SUHARTI-KBN  Jakarta BaratID Ayam Suharti lunch meeting with content creator</t>
  </si>
  <si>
    <t xml:space="preserve"> IKKUDO KOKAS             JAKARTA SLT  ID 'Lunch AH Ikuddo Kokas 30 April 2026</t>
  </si>
  <si>
    <t xml:space="preserve"> BLIBLI-3DS JAKARTA PUSATID: HP World Laptop HP Reza : Rp. 12.546.035 Incl PPn Disc Rp. 452.965</t>
  </si>
  <si>
    <t>Laptop HP Reza</t>
  </si>
  <si>
    <t xml:space="preserve"> BLIBLI-3DS JAKARTA PUSATID : HP World Laptop HP Reza : Rp. 12.546.035</t>
  </si>
  <si>
    <t>PANCIOUS-PIM2            JAKARTA      ID AH while waiting for setting up Reza laptop</t>
  </si>
  <si>
    <t xml:space="preserve"> PRODIA,BONA INDAH II     JAKARTA SLT  ID : Prodia Lab, Lab Test</t>
  </si>
  <si>
    <t>KKB - YOSHINOYA KASABLANKJakarta SelatID Lunch AH Yoshinoya Kokas - 12 May 2026</t>
  </si>
  <si>
    <t>UOB Master JT-5Jun BBIJIDJA/DAVID HARSAMTO</t>
  </si>
  <si>
    <t>MENEGA JIBARAN BADUNG BALI Pembayaran Deposit dan Pelunasan Resto Menega</t>
  </si>
  <si>
    <t>CIRCLE BAL - 0190 DENPASAR Circle K Beli rokok Abram , Nuel , dan Pak Arie</t>
  </si>
  <si>
    <t>FOUR POINTS SEMINYAK BADUNG Fourpoints Seminyak Bayar minuman Mandiri dan Setkom</t>
  </si>
  <si>
    <t xml:space="preserve">NASI AYAM KEDAWETAN HO BADUNG Nasi Ayam Kedewatan Bayar makan peserta setkom dan mandiri	</t>
  </si>
  <si>
    <t>THE IRON FAIRIES BADUNG BALI Reservasi dan open table</t>
  </si>
  <si>
    <t>HAI RIZEN MBL KLUNGKUNG-B Hai Tide Nusa Lembongan Bayar tambahan minum Delly , Pak Arie dan Nuel</t>
  </si>
  <si>
    <t>A FUNG BASO SAPI ASLI TANGERANG Baso Afung Bayar makan dengan Pak Arie</t>
  </si>
  <si>
    <t>BERLIN GASTRO&amp;KITCHEN BADUNG  Bayar pelunasan paket dan tambahan kopi peserta</t>
  </si>
  <si>
    <t>WHSMITH BADUNG Beli oleh2 tambahan utk Mandiri as per rqst Bu Delly</t>
  </si>
  <si>
    <t>FOUR POINTS SEMINYAK BADUNG  By Sheraton Seminyak, Pelunasan Hotel dan Half Day Meeting (01 - 03 Mei 2026)</t>
  </si>
  <si>
    <t>LA GRAMMA PONTIANAK Beli kue lapis utk oleh2 peserta - 45 buah</t>
  </si>
  <si>
    <t>TOKO LARISS PONTIANAK Bayar oleh2 utk peserta - 45 buah</t>
  </si>
  <si>
    <t xml:space="preserve">NOVOTEL PONTIANAK PONTIANAK : Deposit Paket Mtg &amp; Ruangan </t>
  </si>
  <si>
    <t>KFC TERMINAL 3 ULTIMA TANGERANG Bayar makan Atuy dan Nadya</t>
  </si>
  <si>
    <t>NOVOTEL PONTIANAK PONTIANAK Pelunasan Hotel Novotel</t>
  </si>
  <si>
    <t>PUYO SILKY, RS BRAWIJA JAKARTA SELATAN Beli Puyo utk Helda di RS Brawijaya, nengokin di RSPI</t>
  </si>
  <si>
    <t>SECOND FLOOR COFFEE DW JAKART SLT Lunch meeting dengan Pak Arie Mandiri</t>
  </si>
  <si>
    <t xml:space="preserve">OMBE KOFIE SENOPATI JAKARTA SLT Breakfast meeting dengan Pak Felik dan Inu BRI	</t>
  </si>
  <si>
    <t>REWARD HANDLING FEE</t>
  </si>
  <si>
    <t>SPBU 34.13809,CIPAYUNG-HOJAKARTA TIMURID Jagorawi JKT Fuel F 1138ABU, 18May 2026</t>
  </si>
  <si>
    <t>SBUX SUPOMOSC1G JAKARTA SELATID Refreshment Ice Chocolate Utk Ibu AH, Dimas dan Akbar, 19May 2026</t>
  </si>
  <si>
    <t>SPBU 34-12805 - POT Jakarta SelatID Casablanca JKT, Fuel F 1138 ABU, 21May 2026</t>
  </si>
  <si>
    <t xml:space="preserve">malacca toast TANGERANG ID Pelunasan meals breakfast peserta	</t>
  </si>
  <si>
    <t>PRIME WRAP GATE A TANGERANG ID  Wrapping raket padel Pak Antony Dirga dan Wrapping kerdus raket Padel Peserta</t>
  </si>
  <si>
    <t>PRIME WRAP GATE A TANGERANG ID Wrapping raket padel Pak Antony Dirga dan Wrapping kerdus raket Padel Peserta</t>
  </si>
  <si>
    <t>Traveloka3DS*1359184061 Jakarta ID inv 1865947025637398077 tiket KAI an Darmayudha</t>
  </si>
  <si>
    <t>SPBU 34.12806,SUPOMO-HO JAKARTA SLT ID Fuel F 1138 ABU, 25May 2026</t>
  </si>
  <si>
    <t>SPBU 3416102 PADJAJARAN BOGOR KOT. ID Fuel F 1138 ABU, 3Jun 2026</t>
  </si>
  <si>
    <t>JITTLADA JAKARTA SELATID PIM2 Jakarta Lunch Meeting dg PIC FIF Mas Dendy dan Mbak Nixie, 5 Jun 2026</t>
  </si>
  <si>
    <t>SPBU 34-12805 - POT Jakarta SelatID Casablanca JKT Fuel F 1138 ABU, 8Jun 2026</t>
  </si>
  <si>
    <t>SPBU 34-12805 - POT Jakarta SelatID Casablanca JKT Fuel F 1138 ABU, 11Jun 2026</t>
  </si>
  <si>
    <t>SPBU 34-12805 - POT Jakarta SelatID Casablanca JKT Fuel F 1138 ABU, 17Jun 2026</t>
  </si>
  <si>
    <t>THE PREMIERE HO*000096017PEKANBARU ID 18 - 20 May 2026 an Hendri Morelta Tarigan</t>
  </si>
  <si>
    <t>CLAUDE.AI SUBSCRIPTION ANTHROPIC.COMUS, FOREIGN CURRENCY USD 200.00 1USD=IDR18151 : Claude.AI Subscribtion Claude. AI Tsel Digiads 25 May 2026 - 25 May 2027</t>
  </si>
  <si>
    <t>SPBU 34-12805 - POT Jakarta SelatID Casablanka Fuel B2313BRN 28/05/2026</t>
  </si>
  <si>
    <t>CARNE RISTORANTE JAKARTA PUSATID Dinner Tsel tgl 29 May 2026</t>
  </si>
  <si>
    <t>SNAPY TEBET 1 JAKARTA SLT ID Proposal Sponsorship, dan Laporan Kegiatan fairmont</t>
  </si>
  <si>
    <t>HOTEL THE EXCEL*000009365PALEMBANG ID Room and Bfast an Hendri Morelta Tarigan 02-04 Juni 2026</t>
  </si>
  <si>
    <t xml:space="preserve">SNAPY TEBET 1 JAKARTA SLT ID Proposal Sponsorship Mandiri Banten	</t>
  </si>
  <si>
    <t>SNAPY TEBET 1 JAKARTA SLT ID Print Hard Copy, Laporan Kegiatan dan Proposal Partisipasi Kegiatan Himbara FGD Mandiri Fairmon</t>
  </si>
  <si>
    <t>Tokopedia Jakarta ID : Pembelian Jangka Sorong Digital Stainles 1 unit</t>
  </si>
  <si>
    <t>PELITA AIR-IPG JAKARTA ID tiket pesawat Band an. ACE, ANDHIKA, ANDREAS, FABRIANTO, FAJARUDIN, FAZARY, JAJANG, ROMY, SUPRAYOGI</t>
  </si>
  <si>
    <t>Tiket.Com *135098132JAKARTA SLT ID Hotel Azana Boutique bandar Lampung an Muhammad Saleh Usman 08-09 Jun 2026</t>
  </si>
  <si>
    <t>SNAPY TEBET 1 JAKARTA SLT ID Print Hard Copy, Satu Laporan Kegiatan dan Satu Proposal Partisipasi Kegiatan Mandiri Outing Bali</t>
  </si>
  <si>
    <t>SPBU 34-12805 - POT Jakarta SelatID Casablanka Fuel B2313BRN 08/06/2026</t>
  </si>
  <si>
    <t>HOTEL THE EXCEL*000016144PALEMBANG ID Room and Bfast an Muhammad Saleh Usman 09-11 Jun 2026 ( Deluxe room)</t>
  </si>
  <si>
    <t xml:space="preserve">SNAPY TEBET 1 JAKARTA SLT ID Cetak Compro 5 Buku untuk Sales Call	</t>
  </si>
  <si>
    <t>ESPAY*CITILINK TANGERANG KOTID  inv 838058 tiket an M Saleh</t>
  </si>
  <si>
    <t>THE PREMIERE HO*000022508PEKANBARU ID Room and Bfast an Nizar Fuadi 17-18 Juni 2026 ( Executive Deluxe)</t>
  </si>
  <si>
    <t>LION AIR-IPG KOTA JAKARTA ID Superjet Pembelian extra bagasi 10 KG</t>
  </si>
  <si>
    <t>Tiket.Com *135147088JAKARTA SLT ID Superjet Pembelian extra bagasi 10 KG</t>
  </si>
  <si>
    <t>Tiket.Com *135195209JAKARTA SLT ID</t>
  </si>
  <si>
    <t>CASHLEZ*APMF JAKARTA SELATID APMF 2026 APMF 2026 Delegate Pass × 3</t>
  </si>
  <si>
    <t>Traveloka-1366328946 Jakarta ID Traveloka Hotel Grand Citihub Kartini Lampung 17-19 Jun 2026 an Bachtiar Rifai ( Superior Twn)</t>
  </si>
  <si>
    <t>KAFE BETAWI JAKARTA SELATID Lunch AH, heri, dimas Cafe Betawi Kokas - 18 May 2026</t>
  </si>
  <si>
    <t>NISHI IZAKAYA-HO JAKARTA SLT ID Lunch AH Nishi Resto tebet - May 19 2026</t>
  </si>
  <si>
    <t>RSCM KENCANA Jakarta PusatID Doc consultation, Echodiagram &amp; Holter</t>
  </si>
  <si>
    <t>PRODIA,BONA INDAH JAKARTA SLT ID Prodia Lab Lab check AH</t>
  </si>
  <si>
    <t>IBC ALAM SUTERA TANGERANG SLTID Lunch meeting content creator IBC Rest - 20 May 2026</t>
  </si>
  <si>
    <t>IKEA ALAM SUTERA Tangerang SelID : Pembelian kebutuhan signum cable Trunk PCMI</t>
  </si>
  <si>
    <t>MEDISTRA 5 JAKARTA SLT ID CT Scan cardiac 25 May 2026</t>
  </si>
  <si>
    <t>MEDISTRA 5 JAKARTA SLT ID CT Scan cardiac print 25 May 2026</t>
  </si>
  <si>
    <t>OLATTE Jakarta SelatID Lunch AH Cafe Medistra -  25 May 2026</t>
  </si>
  <si>
    <t>RSCM KENCANA EDC PAYMENT JAKARTA ID Cardiology consultation</t>
  </si>
  <si>
    <t>U BY PRODIA *LTNW00952JAKARTA PUSATID : Prodia Lab, Lab Test AH</t>
  </si>
  <si>
    <t>KKB - YOSHINOYA KASABLANKJakarta SelatID  Lunch AH</t>
  </si>
  <si>
    <t>APOTEK KF 345 SOEPOMO Jakarta SelatID AH medications</t>
  </si>
  <si>
    <t>SUSHI TEI KOTA KASABLANK JAKARTA SELATID : Lunch AH</t>
  </si>
  <si>
    <t xml:space="preserve">DBS Visa White 07 Juli'26 DBSBIDJA/DAVID HARSAMTO </t>
  </si>
  <si>
    <t>SNAPY TEBET 1 JAKARTA SLT ID Print Compro untuk keperluan Sales Call</t>
  </si>
  <si>
    <t>SNAPY TEBET 1 JAKARTA SLT ID Proposal BRI Corporate University Event SME Award 2026</t>
  </si>
  <si>
    <t>SPBU 34-12805 - POT Jakarta Selat ID Casablanka Fuel B2313BRN 21/05/2026</t>
  </si>
  <si>
    <t>Biaya Notifikasi Apr 2026</t>
  </si>
  <si>
    <t>SNAPY TEBET 1 JAKARTA SLT ID Print Hard Copy, Satu Laporan Kegiatan dan Satu Proposal Partisipasi Kegiatan Askrindo Balikpapan</t>
  </si>
  <si>
    <t>SNAPY TEBET 1 JAKARTA SLT ID Print Hard Copy, Satu Laporan benefit sponsorship dan Satu Proposal Partisipasi BRI Pontianak</t>
  </si>
  <si>
    <t>UOB Master JT-07 Juli'26   BBIJIDJA/DAVID HARSAMTO</t>
  </si>
  <si>
    <t>ISTANA BUAH CV-HO SEMARANG Beli buah contoh utk di ruangan makan</t>
  </si>
  <si>
    <t>VIRGIN CAKE &amp; BAKERY SEMARANG Bayar snack besek utk peserta dan anak skolah</t>
  </si>
  <si>
    <t>NITE &amp; DAY HOTEL SEMARANG Bayar hotel team dan TL</t>
  </si>
  <si>
    <t>BENGKEL LAPTOP TEGAL KAB : Monitor AH lenovo legion 24 inch</t>
  </si>
  <si>
    <t>Monitor Lenovo Legion 24"</t>
  </si>
  <si>
    <t>BAKMI GM MAL KOTA KAS Jakarta Selatan Bayar hotel team dan TL</t>
  </si>
  <si>
    <t>CV UNGGUL JAYA HO MAKASSAR Toko Kerajinan Unggul Beli oleh2 30 paket</t>
  </si>
  <si>
    <t>GELAEL MAKASAR Makassar (Ko Beli snack utk mobil VIP dan Equil utk di ruang meeting</t>
  </si>
  <si>
    <t>TOARCO TORAJA COFFEE Makassar (Ko Pembelian oleh2 30 pack kopi</t>
  </si>
  <si>
    <t>UJUNG TOKO - HO MAKASSAR Beli oleh2 kopi 30 pack</t>
  </si>
  <si>
    <t>RUMAH APONG 2 MAKASSAR KOT. Makan malam dengan Atuy dan RO BRI dan driver BRI</t>
  </si>
  <si>
    <t>CAFÉ MUDA MUDI MAKASSAR Makan es pisang ijo dengan Atuy BRI, Adnan BRI, Rayi OJK</t>
  </si>
  <si>
    <t>JAYA KARYA OLEH-OLEH MAKASSAR Sombaopu Ole ole Beliin Atuy oleh2 utk orang kantor</t>
  </si>
  <si>
    <t>HOTEL CLARO Makassar (Ko Sombaopu Ole ole Beliin Atuy oleh2 utk orang kantor</t>
  </si>
  <si>
    <t>PANTRAVEL SAHARJO JAKARTA SLT  inv 0126003154 tiket an Nizar</t>
  </si>
  <si>
    <t>PANTRAVEL SAHARJO JAKARTA SLT inv 0126003114 tiket perubahaan an Lulita</t>
  </si>
  <si>
    <t>FIT Air tickets and others</t>
  </si>
  <si>
    <t>Lulita</t>
  </si>
  <si>
    <t>PANTRAVEL SAHARJO JAKARTA SLT Inv 0126003223 tiket an Maria, alexadeus, teuku, m supriyadi</t>
  </si>
  <si>
    <t>PANTRAVEL SAHARJO JAKARTA SLT inv 0126003224 tiket an Hendri</t>
  </si>
  <si>
    <t>DIALOG HOTEL Banyuwangi Pembayaran Paket Mtg, Kamar , entertainment musik</t>
  </si>
  <si>
    <t>RATU OSING SOUVENIR BANYUWANGI Beli oleh2 utk anggota 16 paket makanan</t>
  </si>
  <si>
    <t>KETAPANG INDAH Banyuwangi Pembayaran penginapan team PCMI</t>
  </si>
  <si>
    <t>KOPI PINARAK BANYUWANGI Snack time dengan Atuy, Seno dan 2 supir BRI BTN</t>
  </si>
  <si>
    <t>RATU OSING BANYUWANGI Bayar makan malam dengan Atuy dan Seno BTN dan 2 supir mereka</t>
  </si>
  <si>
    <t>RATU OSING SOUVENIR BANYUWANGI Bayar oleh2 untuk Atuy dan Seno</t>
  </si>
  <si>
    <t>Retail IDN JAKARTA SELATAN APOTEK AJI WARAS IDR  medication AH</t>
  </si>
  <si>
    <t xml:space="preserve">Retail USA San Jose ZOOM.COM 888-799-966 USD,18.166 Monthly payment panconvince.streaming@gmail.com	</t>
  </si>
  <si>
    <t>Total Interest &amp; Service Charg</t>
  </si>
  <si>
    <t>TRX NOTIFICATION CHARGE </t>
  </si>
  <si>
    <t>Lebih Bayar pada Mandiri Visa JT 11-Jul-26</t>
  </si>
  <si>
    <t>Retail IDN JAKARTA SLT AJI WARAS APOTIK AH medications</t>
  </si>
  <si>
    <t>Retail IDN JAKARTA SELATAN APOTEK AJI WA : AH medications</t>
  </si>
  <si>
    <t>Total Interest dan Service Charge</t>
  </si>
  <si>
    <t>Retail IDN JAKARTA TIMUR ABADI KLENDER C IDR : pelapis permukaan furnitur dan dinding</t>
  </si>
  <si>
    <t>Retail IDN Jakarta Pusa PIONEER MAS - Rp. 40.375.485 :  Legran Lantai</t>
  </si>
  <si>
    <t>Legran Lantai</t>
  </si>
  <si>
    <t>Retail IDN Jakarta Pusa PIONEER MAS - Rp. 40.375.485 :  Office Hanmac Lamp</t>
  </si>
  <si>
    <t>Office Hanmac Lamp</t>
  </si>
  <si>
    <t>Retail IDN Jakarta Pusa PIONEER MAS - Rp. 40.375.485 :  Panasonic Neo 9 watt</t>
  </si>
  <si>
    <t>Retail IDN Jakarta Pusa PIONEER MAS - Rp. 40.375.485 :  3% CC Charge</t>
  </si>
  <si>
    <t>Retail IDN JAKSEL SHOPEE Pembelian tas goodiebag</t>
  </si>
  <si>
    <t>Retail USA SAN JOSE ZOOM.COM 888-799-966 USD Monthly payment panconvince.streaming@gmail.com</t>
  </si>
  <si>
    <t>SPBU 34.13809,CIPAYUNG-HOJAKARTA TIMURID : Jagorawi JKT Fuel F 1138ABU, 20 Jun 2026</t>
  </si>
  <si>
    <t>UNION GI JAKARTA ID : Birthday Cake Ibu Anne Ke 60 dan Donat</t>
  </si>
  <si>
    <t>SPBU 34-16102 Bogor (Kota) ID : Pajajaran Bogor Fuel F 1138 ABU, 23Jun 2026</t>
  </si>
  <si>
    <t>SPBU 34.13809,CIPAYUNG-HOJAKARTA TIMURID : Jagorawi JKT Fuel F 1138 ABU, 25Jun 2026</t>
  </si>
  <si>
    <t>IDM TSKM JAKARTA SELATID : Indomaret Sahardjo JKT Pembelian Air Minum Aqua 2 Dus, 26Jun 2026</t>
  </si>
  <si>
    <t>KFC ZAMRUD BEKASI - KIOS Bekasi (Kota)ID : Pembelian Makan Siang Team PCMI 26Jun 2026</t>
  </si>
  <si>
    <t>HOLLAND BAKERY SAHARDJO Jakarta SelatID : Pembelian Snack utk Team PCMI di Pemakaman Age, 26Jun 2026</t>
  </si>
  <si>
    <t>SPBU 3416102 PADJAJARAN BOGOR KOT. ID : SPBU 3416102 Pajajaran BGR Fuel F 1138 ABU, 30Jun 2026</t>
  </si>
  <si>
    <t>SPBU 34-12805 - POT Jakarta SelatID : Casablanca JKT Fuel F 1138 ABU, 2Jul 2026</t>
  </si>
  <si>
    <t>ALAT TULIS SENANG BEKASI ID : Alat Tulis Senang Pembelian bulpen Joyco &amp; Ball Liner</t>
  </si>
  <si>
    <t>SUPER INDO METROPOLITAN MBekasi (Kota)ID : Pembelian permen fisherman dan wet tissue dettol</t>
  </si>
  <si>
    <t>SUPER INDO KINCAN Bekasi (Kota)ID : Pembelian wet tissued Dettol</t>
  </si>
  <si>
    <t>MR.SUSU-HO JAKARTA UTARAID : Pembelian kotak tissue</t>
  </si>
  <si>
    <t>TRANSMART KOTA KASABLANKAJAKARTA ID : Pembelian tissue kering</t>
  </si>
  <si>
    <t>Grab* A-9I6OWVMWWGB8AV South JakartaID : Transportasi untuk pengambilan tempat tissue</t>
  </si>
  <si>
    <t>Grab* A-9I6TB97WWCNTAV South JakartaID : Transportasi untuk pengambilan tempat tissue</t>
  </si>
  <si>
    <t>THE ZURI DUMAI DUMAI ID : The Zuri Dumai 4 rooms Tsel Grp Bernito , Era , Agus Sugiarto , Nizar Fuadi 18-19 Juni 2026</t>
  </si>
  <si>
    <t>THE GRILL JAKARTA PUSATID : Meeting Tsel @The Grill Resto Menteng</t>
  </si>
  <si>
    <t>SHOPEE JAKSEL ID : Employee Wedding Gift- Analita (Washing Machine TCL 1 tabung top Loading 7Kg)</t>
  </si>
  <si>
    <t xml:space="preserve">HR Development </t>
  </si>
  <si>
    <t>BLIBLI-3DS JAKARTA PUSATID : Employee Wedding Gift- Analita (Refrigerator Sharp 2 doors SJ 236 MN HS 187 Liter)</t>
  </si>
  <si>
    <t>Tokopedia Jakarta ID : Pembelian tenis meja untuk kantor</t>
  </si>
  <si>
    <t>Meja Pingpong</t>
  </si>
  <si>
    <t>SHOPEE JAKSEL ID : Pembelian Plusa untuk Internet MIFI Modem Bu Anne no 08131318849 - 31GB (28 hari)</t>
  </si>
  <si>
    <t>SPBU 34-12805 - POT Jakarta SelatID : Casablanka Fuel B2313BRN 25 Juni 2026</t>
  </si>
  <si>
    <t>ASTON HOTEL BAT*000035472 : Aston Batam Residence Room and bfast 29 jun- 1 jul 2026 an Muhammad Salh Usma</t>
  </si>
  <si>
    <t>BLIBLI-3DS JAKARTA PUSATID</t>
  </si>
  <si>
    <t>Tokopedia Jakarta ID : Employee Wedding Gift- Analita (Refrigerator Sharp 2 doors SJ 236 MN HS 187 Liter) - Re Order</t>
  </si>
  <si>
    <t>ASTON HOTEL BAT*000037523BATAM : Deviasi Kamar an Muhammad Saleh Usman 01-02 Juli 2026</t>
  </si>
  <si>
    <t>SPBU 34-12805 - POT Jakarta SelatID : Casablanka Fuel B2313BRN 14 Juli 2026</t>
  </si>
  <si>
    <t>Tokopedia Jakarta ID</t>
  </si>
  <si>
    <t>PHO24,PONDOK INDAH PLZ JAKARTA SLT ID : Lunch meeting with content creator</t>
  </si>
  <si>
    <t>RS BRAWIJAYA SAHARJO JAKARTA SELATID : Medical AH</t>
  </si>
  <si>
    <t>Roemah Kraton JAKARTA SLT ID : Meals AH</t>
  </si>
  <si>
    <t>DIALOOG BANYUWANGI-HO BANYUWANGI : Entertain Dinner, CB dan corcage</t>
  </si>
  <si>
    <t>DIALOOG HOTEL Banyuwangi : Casabanyu Resto Pembayaran tambahan minuman anggota</t>
  </si>
  <si>
    <t>OMA ELLY SENAYAN CITY Jakarta Pusat : Dinner meeting dengan Atuy, bahas Konsinyering tgl 7 Jul</t>
  </si>
  <si>
    <t>FQ01 FOOT LOCKER SENCI JAKARTA PUSAT : Beli sepatu utk Atuy BRI</t>
  </si>
  <si>
    <t>DION SENAYAN PARK JAKARTA PUSAT : Meeting Private Room dengan Adnan BRI , min rev 4,7</t>
  </si>
  <si>
    <t>PRIMA RASA KBP BANDUNG BARAT : Beli 30 paket brownies utk oleh2 peserta</t>
  </si>
  <si>
    <t xml:space="preserve">MASON PINE HOTEL-HO BANDUNG : Bayar DP 2 </t>
  </si>
  <si>
    <t>IDM T41Y PITA NIAGA 10 BANDUNG KAB : Indomaret KBP Beli coklat untuk semua peserta</t>
  </si>
  <si>
    <t>MASON PINE HOTEL-HO BANDUNG : Pelunasan</t>
  </si>
  <si>
    <t>SPBU 34-41128 Purwakarta : Pertamina Beli bensin B 2313 BRN, BDO JKT 18Jul 2026</t>
  </si>
  <si>
    <t>DBS Visa White JT 4-Aug-26 : Dibayar lebih dahulu oleh DH karena belum muncul di RPL</t>
  </si>
  <si>
    <t>DBS Visa White 07 Juli'26 DBSBIDJA/DAVID HARSAMTO : Belum dibayarkan oleh DH ke DBS</t>
  </si>
  <si>
    <t>SNAPY TEBET 1 JAKARTA SLT : Print Hard Copy, Laporan Kegiatan dan Proposal Partisipasi Kegiatan BTN Pontianak</t>
  </si>
  <si>
    <t>SNAPY TEBET 1 JAKARTA SLT : Print Hard Copy, Proposal Partisipasi Askrindo</t>
  </si>
  <si>
    <t>Biaya Notifikasi May 2026</t>
  </si>
  <si>
    <t>SNAPY TEBET 1 JAKARTA SLT : Hard Copy Proposal Sponsorship BNI fairmont</t>
  </si>
  <si>
    <t>SNAPY TEBET 1 JAKARTA SLT : Hard Copy, Proposal Sponsorship BNI Fairmont</t>
  </si>
  <si>
    <t>Lebih Bayar pada Mandiri Visa 11-Jul-26</t>
  </si>
  <si>
    <t>SUSHI TEI KOTA KASABLANK JAKARTA SELATID : Meals AH</t>
  </si>
  <si>
    <t>ROMA PIM Jakarta SelatID : Lunch meeting with Xpert consultant</t>
  </si>
  <si>
    <t>WARUNG LEKO Jakarta PusatID : Lunch AH</t>
  </si>
  <si>
    <t>Lebih Bayar pada Mandiri Visa JT 10-Aug-26</t>
  </si>
  <si>
    <t>Retail IDN JAKARTA SELATAN APOTEK AJI WA Obat AH</t>
  </si>
  <si>
    <t>Retail IDN Jakarta Pusa PIONEER MAS - Rp. 2.801.600 :  20 Daylight Panasonic Neo 15 watt</t>
  </si>
  <si>
    <t>Retail IDN Jakarta Tokopedia sarung cover Hollyland &amp; busa mic</t>
  </si>
  <si>
    <t>Retail IDN JAKARTA SELAT IDM TT1USUPOMO tambahan fisherman</t>
  </si>
  <si>
    <t>Retail IDN Jakarta Timu SPBU 34-13103 Jl. Matraman Raya Fuel B2313</t>
  </si>
  <si>
    <t>Retail IDN JAKARTA PUSAT ELEKTRINDO JAYA kabel ducting</t>
  </si>
  <si>
    <t>Retail IDN JAKSEL SHOPEE</t>
  </si>
  <si>
    <t>Credit IDN JAKSEL SHOPEE</t>
  </si>
  <si>
    <t>Retail IDN JAKARTA SLT SAJA GROUP Shu Gelato 80 porsi</t>
  </si>
  <si>
    <t>Retail IDN JAKARTA Traveloka3DS-13752301 inv 1375230106 tiket KAI Bian, Quratul, Tiya, Widianti</t>
  </si>
  <si>
    <t>Retail IDN BANDUNG BARAT MASON PINE HOTEL Paket Meeting dan Kamar</t>
  </si>
  <si>
    <t>Retail IDN Jakarta Sela CBTL - TELKOM Meeting engagement next To Brandcom with Pak Wira</t>
  </si>
  <si>
    <t>Retail IDN JAKARTA Traveloka3DS-13757704 Hotel 101 Dago Bandung 1 kamar Duplex CI 16-17 Jul Adnan</t>
  </si>
  <si>
    <t>Retail IDN JAKARTA PUSAT MERCURE JAKARTA Hotel Sabang Room and Bfast tgl 19-20 Jul Rakasiwi</t>
  </si>
  <si>
    <t>Retail IDN Jakarta Timu SUVARNA JAKARTA Golf, tgl 25 Jul 4paxs Telkomsel</t>
  </si>
  <si>
    <t>Retail IDN JAKARTA PUSAT Garuda Indonesia Senayan City tiket barter dengan kode group Vera, Felicia, Fakhrul, Maria</t>
  </si>
  <si>
    <t>Retail IDN BANDUNG BARAT MASON PINE HOTE Pelunasan Addcost</t>
  </si>
  <si>
    <t>Retail IDN JAKARTA PUSAT LADERACH SENAYA kopi entertainment Iie Garuda</t>
  </si>
  <si>
    <t>Retail GBR LONDON AIRBNB * HMMMTYRDMC Sewa Vila di Seminyak Bali 04 - 08 Agustus 2026</t>
  </si>
  <si>
    <t>Retail IDN Jakarta Pusa TOUS LES JOURS Roti entertainment Iie Garuda</t>
  </si>
  <si>
    <t>Retail IDN JAKARTA SLT SAIGON CAFÉ Kokas lunch Ibu AH dan FA, 2 Jul 2026</t>
  </si>
  <si>
    <t>Retail IDN JAKSEL SHOPEE Pulpen Joyko GP-265 (50pcs) dan Buku Spiral Hitam A5 (50pcs)</t>
  </si>
  <si>
    <t>Retail IDN JAKARTA UNION GI Entertainment Utk Axa Financial Indonesia</t>
  </si>
  <si>
    <t>Retail IDN JAKSEL SHOPEE Buku Spiral Hitam A5 (30pcs)</t>
  </si>
  <si>
    <t>Retail IDN Jakarta Tokopedia Akrilik Table uk 7 x 30 cm tebal 2mm (25pcs)</t>
  </si>
  <si>
    <t>Retail IDN JAKARTA SELAT IDM TSKMDR SAHA Indomaret alat Kebersihan Mobil: Sabun colek, sampo mobil</t>
  </si>
  <si>
    <t>Retail IDN JAKARTA SELAT TOMORO COFFFEE Menara Brilian Snacks untuk MC , 7Jul 2026</t>
  </si>
  <si>
    <t>Retail IDN JAKSEL SHOPEE Wet Tissue Dettol 20pcs</t>
  </si>
  <si>
    <t>Retail IDN Jakarta Sela SPBU 34-12805 Casablanca Fuel F 1138 ABU</t>
  </si>
  <si>
    <t>Retail IDN JAKARTA SLT SUPERINDO PCA(P*0 kekurangan permen Fishermans dan wet tissue dettol</t>
  </si>
  <si>
    <t>Retail IDN JAKSEL SHOPEE Battre Laser Pointer (2pcs)</t>
  </si>
  <si>
    <t>Retail IDN BOGOR IZIMEDIKA-HO FA-Biaya Dokter</t>
  </si>
  <si>
    <t>Retail IDN JAKARTA TIMUR SPBU 34.13809, Jagorawi-JKT Fuel F 1138 ABU</t>
  </si>
  <si>
    <t>Retail IDN BOGOR IZIMEDIKA-HO FA - Biaya Cek Gula, Asrat, Koles dan obat</t>
  </si>
  <si>
    <t>Retail IDN JAKSEL SHOPEE Goodie Bag</t>
  </si>
  <si>
    <t>Retail IDN JAKARTA TIMUR SPBU 34.13809, Tol Jagorawi-JKT Fuel F 1138 ABU</t>
  </si>
  <si>
    <t>Retail IDN Bogor (Kota) MAYAPADA HOSPITAL Biaya Pengobatan Dokter &amp; Obat FA</t>
  </si>
  <si>
    <t>Retail USA SAN JOSE ZOOM.COM 888-799-966 Monthly payment panconvince.streaming@gmail.com</t>
  </si>
  <si>
    <t>Retail IDN JAKARTA TIMUR SPBU 34.13809,C Jagorawi-JKT Fuel F 1138 ABU</t>
  </si>
  <si>
    <t>Retail IDN JAKARTA FINPAY*KCIC tiket whoosh an, Antonius, Bhisma, Fatmawati, Ilham, Kris, M Luthfan, Rimadaning, Silvia</t>
  </si>
  <si>
    <t>Retail IDN JAKARTA FINPAY*KCIC tiket whoosh an, M Luthfan, Rimadaning, Silvia</t>
  </si>
  <si>
    <t>Top Up Payment by DH</t>
  </si>
  <si>
    <t>Grab* ab845b25ddf31e0e South JakartaID</t>
  </si>
  <si>
    <t>Grab</t>
  </si>
  <si>
    <t>Google One 650-2530000 US</t>
  </si>
  <si>
    <t>Grab* ba2bb2f2a2df941e South JakartaID</t>
  </si>
  <si>
    <t>SPBU 34.13809 Fuel F 1138 ABU</t>
  </si>
  <si>
    <t>BURSA SAJADAH, SAHARJO JAKARTA SLT ID Contoh Sejadah Tebal merk Kashmir</t>
  </si>
  <si>
    <t>AR Deposit to Vendor</t>
  </si>
  <si>
    <t>CITITEX TEBET JAKARTA SLT I Tshirt Polo Putih utk Team PCMI, 6pcs</t>
  </si>
  <si>
    <t>SHOPEE JAKSEL ID : Pembelian Rompi : Rp. 590.500 : Di Refund 16-Aug dengan potongan Rp. 17.000</t>
  </si>
  <si>
    <t>SHOPEE JAKSEL ID : Pembelian Rompi</t>
  </si>
  <si>
    <t>BURSA SAJADAH, SAHARJO JAKARTA SLT ID 30 pcs Sejadah Direksi</t>
  </si>
  <si>
    <t>CITITEX TEBET JAKARTA SLT ID 3 Tshirt Polo, Utk Team PCMI</t>
  </si>
  <si>
    <t>SHOPEE JAKSEL I 5 ps box tissue kayu transparan kecil Acrylic 2 of 2 ( total 10 box)</t>
  </si>
  <si>
    <t>MANDAPA FARMA Bogor (Kota) ID Obat Bulanan FA</t>
  </si>
  <si>
    <t>ALFAMRT OA79 AMSANGAJI YOGYAKARTA ID Permen kamar VIP, 5 bks</t>
  </si>
  <si>
    <t>EBONI HTY YOGYAKARTA ID : minum utk mbk Yuli - PIC VIP BRI, 12 Aug 2026</t>
  </si>
  <si>
    <t>SUPERINDO MONJALI Sleman (Kab) ID Permen Mentos, 15 Bks Kamar VIP</t>
  </si>
  <si>
    <t>FO HTY YOGYAKARTA ID 1Pax Butler Utk Dirut BRI, 13-15Aug 2026</t>
  </si>
  <si>
    <t>INDOMARET F8A5 MONJALI 63Sleman (Kab) ID tambahan 6 tisu basah Paseo 3 tisu basah Dettol, utk di Resto Roso</t>
  </si>
  <si>
    <t>SUPERINDO MONJALI Sleman (Kab) ID Tamb 12 tisu basah Dettol 4 tisu basah Paseo 1 kispray</t>
  </si>
  <si>
    <t>SM GALLERY HTY YOGYAKARTA ID Pewangi Tentrem utk mushola dan sejadah pd saat shalat jumat Direksi</t>
  </si>
  <si>
    <t>PRIMA UTAMA LAPTOP JAKARTA PUSATID 2 unit Router Wifi Deco, 1 unit Switch hub Lan Smart TP link di kantor</t>
  </si>
  <si>
    <t>Router and Switch Hub</t>
  </si>
  <si>
    <t>MERCURE JAKARTA*000057350JAKARTA PUSATID Room and Bfast 19-20 Jul 2026</t>
  </si>
  <si>
    <t>URBAN REPUBLIC KOTA KASA JAKARTA SELATID HP Iphone 17 Pro Deep Blue 256GB</t>
  </si>
  <si>
    <t>i-Phone Ibu Anne</t>
  </si>
  <si>
    <t>PIONEER MAS Jakarta PusatID - Rp. 1.705.680 : 6 Panasonic Neo 12W dan perlengkapannya</t>
  </si>
  <si>
    <t>PIONEER MAS Jakarta PusatID - Rp. 1.705.680 : 3% CC Charge</t>
  </si>
  <si>
    <t>SNAPY TEBET 1 JAKARTA SLT ID laporan kegiatan BRI Retreat</t>
  </si>
  <si>
    <t>SPBU 34-12805 - POT Jakarta SelatID Fuel B2313BRN</t>
  </si>
  <si>
    <t>MIDTRANS-POTATO HEAD JAKARTA ID Booking arrangement Sunset dinner Tsel Grp</t>
  </si>
  <si>
    <t>GRAND HOTEL DE *000078528YOGYAKARTA ID Hotel 8 R 2 N (Crew artis KLA Project)</t>
  </si>
  <si>
    <t>Traveloka-1382074826 Jakarta ID inv 1382074826 tiket team KLA Project</t>
  </si>
  <si>
    <t>Traveloka3DS-138206502 Jakarta ID Tiket KAI tim Kla project an Yudiarina</t>
  </si>
  <si>
    <t>Traveloka-1382157968 Jakarta ID inv 1382157968 tiket KAI Team PCMI</t>
  </si>
  <si>
    <t>Traveloka-1382156463 Jakarta ID Inv 1382105842 tiket KAI Team KLA Project</t>
  </si>
  <si>
    <t>Traveloka-1382100418 Jakarta ID Inv 1382100418 tiket Team KLA Project</t>
  </si>
  <si>
    <t>Traveloka-1382105842 Jakarta ID Inv 1382156463 tiket KAI Tim PCMI &amp; Freelance PCMI</t>
  </si>
  <si>
    <t>ROYAL AMBARRUKMO YOGYAKARSleman (Kab) ID Hotel 4 R 2 N (Artis KLA Project)</t>
  </si>
  <si>
    <t>ESPAY*CITILINK TANGERANG KOTID : Tiket KLA Project an Ignatius JOG-HLP</t>
  </si>
  <si>
    <t>SHOPEE JAKSEL ID Rompi Puffer Versi Parasut Unisex 3 pcs</t>
  </si>
  <si>
    <t>Traveloka-1382722166 Jakarta ID inv 1382722166 tiket an Junaidi, Team KLA Project</t>
  </si>
  <si>
    <t>PELITA AIR-IPG JAKARTA ID : Block seat an Mira</t>
  </si>
  <si>
    <t>PELITA AIR-IPG JAKARTA ID : Block seat an Thea</t>
  </si>
  <si>
    <t>PELITA AIR-IPG JAKARTA ID : Block seat an Hendro</t>
  </si>
  <si>
    <t>SHOPEE JAKSEL ID pembelian rompi</t>
  </si>
  <si>
    <t>SHOPEE JAKSEL ID  pembelian rompi</t>
  </si>
  <si>
    <t>GRAND HOTEL DE *000082102YOGYAKARTA I hotel AH dan FA</t>
  </si>
  <si>
    <t>SPBU 34.144.13 KEMAYORAN Jakarta UtaraID SPBU 34-12805 Fuel B2313BRN</t>
  </si>
  <si>
    <t>Tokopedia Jakarta ID Pengadaan Facial Tissue merk Paseo 540 lembar total 12 pcs</t>
  </si>
  <si>
    <t>Tokopedia Jakarta ID Pengadaan Dettol Hand Sanitizer Spray 50 Ml total 66 pcs</t>
  </si>
  <si>
    <t>Tokopedia Jakarta ID Pengadaan Tisue Basah edisi Travel merk Dettol 45 Pcs</t>
  </si>
  <si>
    <t>Tokopedia Jakarta ID Clicker Laser Pointer Baseus 1 unit</t>
  </si>
  <si>
    <t>Tokopedia Jakarta ID Pengadaan Tissue Meja Pop Up Gajah Halus 1 Dus isi 48 pack</t>
  </si>
  <si>
    <t>SHOPEE JAKSEL ID 5 ps box tissue kayu transparan kecil Acrylic</t>
  </si>
  <si>
    <t>SHOPEE JAKSEL ID Pengadaan Box Tissue besar kayu Transparan Modern total 5 box total 11 pcs</t>
  </si>
  <si>
    <t>SHOPEE JAKSEL ID Pengadaan Box Tissue kayu Transparan Modern total 6 box ( 1 of 2 )</t>
  </si>
  <si>
    <t>SHOPEE JAKSEL ID Pengadaan Stella Pengharum Ruangan Stella Lavender 350 ml ( 3 botol)</t>
  </si>
  <si>
    <t>Traveloka-1383694710 Jakarta ID Hotel 2 malam utk Atuy BRI di Novus Giru Puncak</t>
  </si>
  <si>
    <t>Tokopedia Jakarta I Handy Talkie 6 Unit</t>
  </si>
  <si>
    <t>Tiket.Com *135757418JAKARTA SLT ID Tiket Citilink YIA - CGK 15 Aug</t>
  </si>
  <si>
    <t>AIRASIA_QZ INDONESIA ID 72 pax Airasia--additional book meal</t>
  </si>
  <si>
    <t>DEI*TRANSNUSA KUPANG KOT. ID</t>
  </si>
  <si>
    <t>Traveloka3DS-138410304 Jakarta ID Inv 1384103045 tiket Team PCMI</t>
  </si>
  <si>
    <t>Tiket.Com *135773739JAKARTA SLT IDTiket Kereta Gajayana YK - BKS tgl 15 Aug 2026</t>
  </si>
  <si>
    <t>Tiket.Com *135787566JAKARTA SLT ID Tiket Kereta Gajayana YK - GMR 15 Aug 2026 2 paxs</t>
  </si>
  <si>
    <t>Tiket.Com *135718616JAKARTA SLT IDTiket Kereta Argo Wilis YK - BD 15 Aug</t>
  </si>
  <si>
    <t>Tiket.Com *135742674JAKARTA SLT ID tiket kereta refund 350.000 cgk kac</t>
  </si>
  <si>
    <t>Traveloka-1384340467 Jakarta ID</t>
  </si>
  <si>
    <t>XDT*HWG Tangerang SelID Reservation at Akasta SCBD</t>
  </si>
  <si>
    <t>SHOPEE JAKSEL ID refund pembelian rompi</t>
  </si>
  <si>
    <t>MT E ORCHARD SINGAPORE SG 20,667,582 FOREIGN CURRENCY SGD 1,429.14 1SGD=IDR14462</t>
  </si>
  <si>
    <t>PSYCHIATRIC CARE CLINIC Singapore SG 10,744,058 FOREIGN CURRENCY SGD 744.00 1SGD=IDR14441
SUBTOTAL (IDR)</t>
  </si>
  <si>
    <t>BROTHERHOOD BUNKER BDG BANDUNG meals dan minuman Corsec Adnan dkk</t>
  </si>
  <si>
    <t xml:space="preserve"> E-STATEMENT FEE</t>
  </si>
  <si>
    <t>ACTIVITY 5 GIANYAR-BAL Alas Harum Bayar Karcis Masuk utk survey</t>
  </si>
  <si>
    <t>LAOTA MBL BALIKUTAA dinner Elsa, Rivi, Pat, Alex</t>
  </si>
  <si>
    <t>SAYCHIZU KUTA BADUNG coklat utk Lulita, Elsa dan Rivi</t>
  </si>
  <si>
    <t>RE JUVE BRILLIAN TOWER JAKARTA SELAT Rejuve utk Pak Yanuar Askrindo sekalian antar coklat nya</t>
  </si>
  <si>
    <t xml:space="preserve">BIAYA NOTIFIKASI </t>
  </si>
  <si>
    <t>CITITEX TEBET JAKARTA SLT polo shirt utk TL dan team PCMI</t>
  </si>
  <si>
    <t>DE SANGER TANGERANG BAN melas utk peserta Citilink</t>
  </si>
  <si>
    <t>IMPERIAL T2E SOEHAT TANGERANG breakfast peserta Air Asia</t>
  </si>
  <si>
    <t>MALACCA TOAST Tangerang (K pemesanan makanan utk peserta GA dan IP</t>
  </si>
  <si>
    <t>SECOND FLOOR COFFEE DW JAKARTA SLT : lunch meeting bersama mandiri</t>
  </si>
  <si>
    <t>SNAPY TEBET 1 JAKARTA SLT ID</t>
  </si>
  <si>
    <t>SPBU 34-12805 - POT Jakarta Selat ID : Fuel B2313BRN</t>
  </si>
  <si>
    <t>Porseni Mandiri</t>
  </si>
  <si>
    <t>SNAPY TEBET 1 Jakarta Selat ID</t>
  </si>
  <si>
    <t>GARUDA SOKAS JAKARTA ID : Garuda Indonesia Kokas Issued tiket tim an Analita</t>
  </si>
  <si>
    <t>PIONEER MAS Jakarta Pusat ID : Hanmac Lamp</t>
  </si>
  <si>
    <t>SPBU 34-12805 - POT Jakarta Selat ID Fuel F1198ABU</t>
  </si>
  <si>
    <t xml:space="preserve">PIONEER MAS Jakarta Pusat ID - Rp. 3.306.300 : Legran 2 arde 2 CAT 6 Panasonic neo donwlight 12watt Saklar 4 gang COB LED 8m Jack Soket </t>
  </si>
  <si>
    <t>Legran Down Light</t>
  </si>
  <si>
    <t>PIONEER MAS Jakarta Pusat ID - Rp. 3.306.300 : 3% CC Charge</t>
  </si>
  <si>
    <t>TRX NOTIFICATION CHARGE</t>
  </si>
  <si>
    <t>YOSHINOYA KASABLANKA JAKARTA ID</t>
  </si>
  <si>
    <t>BURGER KING,KASABLANKA JAKARTA SLT ID</t>
  </si>
  <si>
    <t>YEU SAIGON NGON GANDARIA JAKARTA SLT ID</t>
  </si>
  <si>
    <t>TOBYS ESTATE JAKARTA SLT ID</t>
  </si>
  <si>
    <t>SUSHI TENGOKU -HO JAKARTA SLT ID</t>
  </si>
  <si>
    <t>GOLDEN BIRD YOGYAKARTA BANTUL ID</t>
  </si>
  <si>
    <t>IKKUDO KOKAS JAKARTA SLT ID</t>
  </si>
  <si>
    <t>JITTLADA AEON Tangerang (KaID</t>
  </si>
  <si>
    <t>Lebih Bayar pada Mandiri Visa JT 10-Sep-26</t>
  </si>
  <si>
    <t xml:space="preserve">CA-109/25 Odhey DEDI PURWANTO SE   </t>
  </si>
  <si>
    <t>CA-109/25 Odhey</t>
  </si>
  <si>
    <t>Loading deposit hotel pullman</t>
  </si>
  <si>
    <t>Refundable Deposit</t>
  </si>
  <si>
    <t>Cetak signage dan based que card</t>
  </si>
  <si>
    <t>PYC Talks</t>
  </si>
  <si>
    <t>Lalamove dari percetakan ke kantor</t>
  </si>
  <si>
    <t>Lalamove dari kantor ke venue</t>
  </si>
  <si>
    <t>Makan malam Rizky, Ableh, Iyan, Agung</t>
  </si>
  <si>
    <t xml:space="preserve">Beli amplop </t>
  </si>
  <si>
    <t>Beli lakban hitam 3 pcs</t>
  </si>
  <si>
    <t>Beli trashbag &amp; tissue</t>
  </si>
  <si>
    <t>Beli lakban hitam 1 pcs</t>
  </si>
  <si>
    <t>Mineral cleo 4 dus</t>
  </si>
  <si>
    <t>Tipping security venue</t>
  </si>
  <si>
    <t>Makan Malam Loading Ableh &amp; Lonte</t>
  </si>
  <si>
    <t>Beli Snack Box Team</t>
  </si>
  <si>
    <t>Gosend Snack Box Team</t>
  </si>
  <si>
    <t>Makan Sarapan Ableh &amp; Lonte</t>
  </si>
  <si>
    <t>Parkir Motor Lonte</t>
  </si>
  <si>
    <t>Pengembalian Deposit Hotel</t>
  </si>
  <si>
    <t>Pengembalian kelebihan CA-109 BCA Harmoni 07/05/26</t>
  </si>
  <si>
    <t xml:space="preserve">CA/122/25 Rizky M RIZKY AULIA  </t>
  </si>
  <si>
    <t>CA-122/25 Rizky</t>
  </si>
  <si>
    <t>Belanja Lakban &amp; Kertas HVS</t>
  </si>
  <si>
    <t>Belanja Air Mineral 330ml</t>
  </si>
  <si>
    <t>Belanja Label &amp; Tambahan Lakban</t>
  </si>
  <si>
    <t>Top Up Flazz (Tol Rizky)</t>
  </si>
  <si>
    <t>Print Cetakan Signage at Mahkota Print</t>
  </si>
  <si>
    <t xml:space="preserve">Gosend Cetakan </t>
  </si>
  <si>
    <t>Gosend Revisi Cetakan</t>
  </si>
  <si>
    <t>Makan Malam Loading : Rizky, Ableh, Praja, Komeng, Raka, Bokir &amp; Pak Yadi</t>
  </si>
  <si>
    <t>Beli Paket Internet Orbit</t>
  </si>
  <si>
    <t>Beli Kopi Kenangan untuk 4 Team Show Management &amp; 3 Team PCMI</t>
  </si>
  <si>
    <t>Reimburse Bensin Mobil Ableh</t>
  </si>
  <si>
    <t>Reimburse Tol Ableh (Pintu Tol Bambu Apus)</t>
  </si>
  <si>
    <t>Reimburse Tol Ableh (Pintu Tol Cikampek - Karawang Timur 2)</t>
  </si>
  <si>
    <t>Reimburse Tol Ableh (Tol Cikampek - Jakarta : Kertas Habis)</t>
  </si>
  <si>
    <t>Pimpinan Rapat (1 orang)</t>
  </si>
  <si>
    <t>Wakil Pimpinan Rapat (4 orang)</t>
  </si>
  <si>
    <t>Anggota (11 orang)</t>
  </si>
  <si>
    <t>Setkom, Kasubag (1 orang)</t>
  </si>
  <si>
    <t>Souvenir - Kingsley</t>
  </si>
  <si>
    <t>Souvenir - Prima Rasa</t>
  </si>
  <si>
    <t>Kebutuhan Tipping Stasiun Whoosh Parkir VIP  (PIC: Mas Rizky)</t>
  </si>
  <si>
    <t>Makan malam dengan Mas Atuy dan Team</t>
  </si>
  <si>
    <t>Cash ke Adnan dikirim titink ke supir adnan</t>
  </si>
  <si>
    <t>Pengembalian kelebihan CA-03 BRI Saharjo 09/02/26</t>
  </si>
  <si>
    <t>CA-02/26 Rizky</t>
  </si>
  <si>
    <t>Pembuatan Sample 3D Modeling untuk Plakat</t>
  </si>
  <si>
    <t>Gosend Sample 3D Modeling untuk Plakat</t>
  </si>
  <si>
    <t>Whoosh Bandung - Jakarta Event BRI Kunker DPR RI Bandung</t>
  </si>
  <si>
    <t>Beli Sample untuk Approval Essential Oil</t>
  </si>
  <si>
    <t>Gocar ke Kantor untuk Kumpul ke Airport</t>
  </si>
  <si>
    <t>Wraping Airport Soeta</t>
  </si>
  <si>
    <t xml:space="preserve">Beli Kopi dengan Client untuk Survey Lokasi Makan Siang Day 3 at Zigna Kampung Batik </t>
  </si>
  <si>
    <t xml:space="preserve">Beli Nasi Goreng untuk 2 Driver </t>
  </si>
  <si>
    <t>Beli Pelitur 2 Kaleng &amp; Kuas 3</t>
  </si>
  <si>
    <t>Gocar Rizky dari Hotel ke Venue Acara (Hotel Alila)</t>
  </si>
  <si>
    <t>Beli Minum dengan Client untuk Survey Lokasi Welcome Dinner at Ono Solo Coffee</t>
  </si>
  <si>
    <t>Sewa Pengantaran Plakat dari Jakarta - Solo</t>
  </si>
  <si>
    <t>Beli Lakban Kertas &amp; Power Glue</t>
  </si>
  <si>
    <t>Reimburse Transport Ajeng ke Hotel Alila Solo</t>
  </si>
  <si>
    <t>Reimburse Meals Ajeng at Indomaret</t>
  </si>
  <si>
    <t>Tip Bunquest &amp; Security Ballroom @ Rp.100.000</t>
  </si>
  <si>
    <t>Reimburse Transport Ajeng ke Stasiun Solo Balapan</t>
  </si>
  <si>
    <t>Reimburse Meals Ajeng &amp; Tata at CFC Stasiun Purwokerto</t>
  </si>
  <si>
    <t>Reimburse Kopi Ajeng &amp; Tata at Stasiun Karang Welas</t>
  </si>
  <si>
    <t>Wraping Airport Adi Sumarmo Solo</t>
  </si>
  <si>
    <t>Transport Damri Rizky dari Airport Soeta - Bekasi</t>
  </si>
  <si>
    <t>Gocar Rizky dari Halte Bus Damri</t>
  </si>
  <si>
    <t>Top Up Flazz untuk Parkir &amp; Tol Loading Event BRI Farewell</t>
  </si>
  <si>
    <t>Cetak Based Cue Card MC untuk Event BRI Farewell</t>
  </si>
  <si>
    <t>Gosend Based Cue Card MC untuk Event BRI Farewell</t>
  </si>
  <si>
    <t>Beli Lakban &amp; Lebel Tom &amp; Jerry Event BRI Farewell</t>
  </si>
  <si>
    <t>Beli Holland Bakery untuk Sarapan Team BRI Farewell</t>
  </si>
  <si>
    <t>Beli Mineral 2 Dos untuk Event BRI Farewell</t>
  </si>
  <si>
    <t>Gosend Kabel Jack dari Kantor ke Venue Event BRI Farewell</t>
  </si>
  <si>
    <t>Beli Makan Siang Team Bakmi GM untuk Event BRI Farewell</t>
  </si>
  <si>
    <t>Gosend Card Ke Analita untuk Telkomsel Batam</t>
  </si>
  <si>
    <t>Pengembalian kelebihan CA-03 BRI Saharjo 18/02/26</t>
  </si>
  <si>
    <t>Wakil Pimpinan Rapat (1 orang)</t>
  </si>
  <si>
    <t>Anggota (19 orang)</t>
  </si>
  <si>
    <t>Kabag (1 orang)</t>
  </si>
  <si>
    <t>Setkom (4 orang)</t>
  </si>
  <si>
    <t>MC Fee as Per Adnan Rqst</t>
  </si>
  <si>
    <t>Bayar sewa Delegate Mic</t>
  </si>
  <si>
    <t>Rqst Cash oleh Adnan, krm titink ketemu supir nya</t>
  </si>
  <si>
    <t>Pulsa Pat</t>
  </si>
  <si>
    <t>CA-04/26 Tika</t>
  </si>
  <si>
    <t>Penukaran uang 1000 Real, 20 lembar pecahan 50</t>
  </si>
  <si>
    <t>Bucket Uang Real</t>
  </si>
  <si>
    <t>Pengembalian kelebihan CA-04 BCA Harmoni 09/02/26</t>
  </si>
  <si>
    <t>CA-05/26 Yogi</t>
  </si>
  <si>
    <t xml:space="preserve">DP Dokumentasi Sukabumi </t>
  </si>
  <si>
    <t>Biaya transfer DP Photographer</t>
  </si>
  <si>
    <t xml:space="preserve">Snackbox Holand Bakery 5 Feb </t>
  </si>
  <si>
    <t xml:space="preserve">DP Bumi Aki Resto </t>
  </si>
  <si>
    <t xml:space="preserve">Biaya tol hiace 2 unit + parkir  PP dan Aqua 4 dus </t>
  </si>
  <si>
    <t xml:space="preserve">DP Rumah Seafood Sukabumi untuk  5 feb </t>
  </si>
  <si>
    <t>Beli Durian Lokal  ( Toko Durian Lima Saudara )</t>
  </si>
  <si>
    <t xml:space="preserve">Tambahan Pemandu Perempuan  req Client </t>
  </si>
  <si>
    <t>Jembatan dan keranjang Sultan  16 Paxs  @ Rp.100.000,-</t>
  </si>
  <si>
    <t xml:space="preserve">Meals Raka 4 x Makan </t>
  </si>
  <si>
    <t xml:space="preserve">Meals Pak Yadi &amp; Yogi 5 &amp; 6 feb  ( 4x Makan) </t>
  </si>
  <si>
    <t xml:space="preserve">Tubing  16 Paxs @ Rp.50.000,- </t>
  </si>
  <si>
    <t xml:space="preserve">Penginapan EO 5-6 Feb 2026 </t>
  </si>
  <si>
    <t xml:space="preserve">Biaya transfer Penginapan EO 5-6 Feb 2026 </t>
  </si>
  <si>
    <t xml:space="preserve">Tipping Hiace 2 unit  2 hari dan kekurangan Parkir </t>
  </si>
  <si>
    <t xml:space="preserve">Ayam Bunut </t>
  </si>
  <si>
    <t>Ojek  total 4 - Air Terjun to Villa</t>
  </si>
  <si>
    <t>Quota Data  Kirim Foto &amp; video ke user  ( Updated )</t>
  </si>
  <si>
    <t xml:space="preserve">Kedai Panineungan ( Warmindo Air Terjun ) </t>
  </si>
  <si>
    <t xml:space="preserve">Kedai Septya ( Warmindo Air Terjun ) </t>
  </si>
  <si>
    <t>Warung The AI ( Warmindo Air Terjun )</t>
  </si>
  <si>
    <t xml:space="preserve">Gorengan ( Warmindo Air Terjun ) </t>
  </si>
  <si>
    <t xml:space="preserve">Cuanki Milo (Warmindo Air Terjun ) </t>
  </si>
  <si>
    <t xml:space="preserve">Pelunasan Dokumentasi Sukabumi  + Fee Guide </t>
  </si>
  <si>
    <t xml:space="preserve">Uang Makan Hiace 2 paxs 6 Feb </t>
  </si>
  <si>
    <t xml:space="preserve">Reimburse Mbak Umi </t>
  </si>
  <si>
    <t xml:space="preserve">Biaya Bank transfer Mbak Umi </t>
  </si>
  <si>
    <t>Pengembalian kelebihan CA-05 BCA Harmoni 15/02/26</t>
  </si>
  <si>
    <t>CA-06/26 Lita</t>
  </si>
  <si>
    <t>Deposit Ono Solo Coffee</t>
  </si>
  <si>
    <t>Snack Box (4 &amp; 5 Feb)</t>
  </si>
  <si>
    <t>DP Nasi Besek</t>
  </si>
  <si>
    <t>Pelunasan Nasi Besek</t>
  </si>
  <si>
    <t>Tipping Porter Hotel Alila</t>
  </si>
  <si>
    <t>Pembelian Wipe Tissue (Welcoming di Hotel)</t>
  </si>
  <si>
    <t>Pembayaran Gamelan &amp; Dancer Ono Solo</t>
  </si>
  <si>
    <t>Kekurangan bayar Rumah Atsiri Indonesia</t>
  </si>
  <si>
    <t>Pembelian Hand Sanitizer Rumah Atsiri (kekurangan)</t>
  </si>
  <si>
    <t>CA-07/26 Lita</t>
  </si>
  <si>
    <t>Lunch Box Garuda untuk tgl 10-Feb</t>
  </si>
  <si>
    <t>Snack Box untuk tgl 10 &amp; 11 Feb</t>
  </si>
  <si>
    <t>DP Wei Wei</t>
  </si>
  <si>
    <t>Wrapping Jakarta</t>
  </si>
  <si>
    <t>Extra Bagasi Jakarta</t>
  </si>
  <si>
    <t>Beli spidol emas + tom &amp; jerry</t>
  </si>
  <si>
    <t>Beli Kopi &amp; Le Mineral 4 dus</t>
  </si>
  <si>
    <t>Lunch Yong Kee (11-Feb)</t>
  </si>
  <si>
    <t>Bayar Photographer (Req Mba Linda)</t>
  </si>
  <si>
    <t>Bayar uang tiket Mr Faisal (JT)</t>
  </si>
  <si>
    <t>Tipping Wey Wey Resto (11-Feb)</t>
  </si>
  <si>
    <t>Pembelian tiket tambahan Pak Nizar (Req Mas Bagus)</t>
  </si>
  <si>
    <t>Bayar Cetakan backdrop tso (Req Mba Linda)</t>
  </si>
  <si>
    <t>Tipping Driver</t>
  </si>
  <si>
    <t>Wrapping Batam</t>
  </si>
  <si>
    <t>Over Baggage</t>
  </si>
  <si>
    <t>Pengembalian kelebihan CA-07 Mandiri Mid Plaza 20/02/26</t>
  </si>
  <si>
    <t>CA-08/26 Yogi</t>
  </si>
  <si>
    <t xml:space="preserve">Gocar Rumah - Airport </t>
  </si>
  <si>
    <t xml:space="preserve">wraping bagasi </t>
  </si>
  <si>
    <t>Bayar Uang makan driver 4 hiace @Rp.30.000</t>
  </si>
  <si>
    <t xml:space="preserve">Tiket Bapak Muhammad Saleh 13 Feb BTH CGK ( Backdoor) </t>
  </si>
  <si>
    <t xml:space="preserve">Tiket Bapak Agus Sugiarto </t>
  </si>
  <si>
    <t xml:space="preserve">Reimburse Meals Ibis Style Batam  12 Feb 2026 </t>
  </si>
  <si>
    <t xml:space="preserve">Biaya Transfer Meals Ibis Style Batam 12 Feb 2026 </t>
  </si>
  <si>
    <t>Tipping Hiace 4 unit tanggal 11 Feb &amp; 13 Feb 2026</t>
  </si>
  <si>
    <t>CA09/26 Patrice IFT_TO_MARIA PATRICIA SUGAM</t>
  </si>
  <si>
    <t>Beli Teri Sambal untuk oleh2 peserta</t>
  </si>
  <si>
    <t>Beli Bolu Meranti untuk oleh2 peserta</t>
  </si>
  <si>
    <t>Beli Bika Ambon Ahun untuk oleh2 peserta</t>
  </si>
  <si>
    <t>Beli Risol Gogo 100 pcs utk  bukber tgl 23 di Adimulia</t>
  </si>
  <si>
    <t>Bayar pesanan Lontong Kak Lin utk bukber tgl 23 di Adimulia</t>
  </si>
  <si>
    <t>Ngopi dengan Atuy , Pak Felik dan Inu</t>
  </si>
  <si>
    <t>Cash BTN (Helda)</t>
  </si>
  <si>
    <t>Cash BRI (Adnan)</t>
  </si>
  <si>
    <t>Ketua Rp 20jt (1 orang x 2 Bank)</t>
  </si>
  <si>
    <t>Anggota Rp 10jt (15 orang x 2 Bank)</t>
  </si>
  <si>
    <t>Staff Rp 2jt (4 orang)</t>
  </si>
  <si>
    <t>Cetakan Materi</t>
  </si>
  <si>
    <t>Snack Box Home Band</t>
  </si>
  <si>
    <t>Meals Box Home Band and Crew</t>
  </si>
  <si>
    <t>beli tambahan Bukber Pondok Gurih</t>
  </si>
  <si>
    <t>Oleh-Oleh BRI - Atuy, Pak Dani VP</t>
  </si>
  <si>
    <t>Beli Goodybag</t>
  </si>
  <si>
    <t>Beli Gulai Kepala Ikan utk Bukber peserta</t>
  </si>
  <si>
    <t>Oleh2 BTN - Helda utk Kadiv dibawa ke JKT</t>
  </si>
  <si>
    <t>Wrapping di airport oleh2 BTN</t>
  </si>
  <si>
    <t>SPJ Afni tgl 23 Feb</t>
  </si>
  <si>
    <t>Bayar Akustik Band tgl 23 Feb utk Bukber</t>
  </si>
  <si>
    <t>Tipping driver , 21-24 Feb</t>
  </si>
  <si>
    <t>Tipping Banquet Hotel Adimulya</t>
  </si>
  <si>
    <t>Pengembalian kelebihan CA-09 BCA Harmoni 02/03/26</t>
  </si>
  <si>
    <t>CA-10/26 Odhey</t>
  </si>
  <si>
    <t>Makan bareng klien by QRIS</t>
  </si>
  <si>
    <t>Bayar minum klien by QRIS</t>
  </si>
  <si>
    <t>Pemberian uang cash as info klien untuk dibagikan ke peserta, diserahkan ke panitia BRI (mas ikhwan)</t>
  </si>
  <si>
    <t>Tipping cash - PIC &amp; tim teknisi (LED secreen) venue as info klien (mas randi)</t>
  </si>
  <si>
    <t>Makan bakso bareng klien</t>
  </si>
  <si>
    <t>Tipping cash - PIC pengelola venue as info klien (mas randi)</t>
  </si>
  <si>
    <t>Wrapping bagasi</t>
  </si>
  <si>
    <t>CA-11/26 Yogi</t>
  </si>
  <si>
    <t xml:space="preserve">Taxi Rumah ke Airport </t>
  </si>
  <si>
    <t xml:space="preserve">Parkir Airport Bajo </t>
  </si>
  <si>
    <t xml:space="preserve">Tipping Pak Vinsen Rubah Tiket </t>
  </si>
  <si>
    <t xml:space="preserve">Tipping driver Hiace  2 hari </t>
  </si>
  <si>
    <t xml:space="preserve">Uang Saku  2 anak </t>
  </si>
  <si>
    <t xml:space="preserve">Bayar seats Agusman bgn depan Batik </t>
  </si>
  <si>
    <t xml:space="preserve">Bayar Seats depan Bu Dinne BRI </t>
  </si>
  <si>
    <t xml:space="preserve">Bayar Sats depan Agusman Pulang 06 Mar  2026 </t>
  </si>
  <si>
    <t xml:space="preserve">Parkir bus masuk TMII </t>
  </si>
  <si>
    <t>Beli Aqua TMII</t>
  </si>
  <si>
    <t>Tol Bandara</t>
  </si>
  <si>
    <t xml:space="preserve">Parkir Bandara </t>
  </si>
  <si>
    <t xml:space="preserve">Tipping driver Hiace  4 hari </t>
  </si>
  <si>
    <t>Bensin Airport</t>
  </si>
  <si>
    <t>Snack Anak anak Penerima CSR Changkee</t>
  </si>
  <si>
    <t xml:space="preserve">Laporan CA 011 Yog i 2026  YOGI PURWO WIDODO </t>
  </si>
  <si>
    <t>CA-11B/26 Yogi</t>
  </si>
  <si>
    <t xml:space="preserve">Meals Driver , ayam betutu </t>
  </si>
  <si>
    <t>Meals Crew LO 30 mar  ( Gofood)</t>
  </si>
  <si>
    <t xml:space="preserve">Cetak Cuting Stiker </t>
  </si>
  <si>
    <t xml:space="preserve">Meals Driver , wr wardhani </t>
  </si>
  <si>
    <t xml:space="preserve">Reimburse Meals Laota </t>
  </si>
  <si>
    <t xml:space="preserve">beli Spidol dan kertas </t>
  </si>
  <si>
    <t xml:space="preserve">Beli Kelapa Muda area ATV grp </t>
  </si>
  <si>
    <t xml:space="preserve">Tipping 1 unit Avanza 29Mar - 02 Apr 2026  (EO) </t>
  </si>
  <si>
    <t xml:space="preserve">Tipping 2 unit Avanza 29Mar - 01 Apr 2026  ( Panitia) </t>
  </si>
  <si>
    <t xml:space="preserve">Tipping Hiace 8 unit 30 Mar ,01 Apr &amp; 02 Apr </t>
  </si>
  <si>
    <t xml:space="preserve">Tipping Mobil spouse Pak Saki driver pak Delon 30 Mar - 02 Apr </t>
  </si>
  <si>
    <t xml:space="preserve">Tipping Zenix mobil GM 30 Mar -02 Apr </t>
  </si>
  <si>
    <t xml:space="preserve">fee Transport Kordinator 30 Mar , 01 - 02 Apr  (Dilla) </t>
  </si>
  <si>
    <t xml:space="preserve">Coffee Break ATV 100 paxs * 35 rb </t>
  </si>
  <si>
    <t xml:space="preserve">Biaya pengiriman Plakat </t>
  </si>
  <si>
    <t xml:space="preserve">Beli Aquviva 10 Box  utk Padel </t>
  </si>
  <si>
    <t xml:space="preserve">Taxi Bandara to Rumah </t>
  </si>
  <si>
    <t>CA-11B/26 Yogi YOGI PURWO WIDODO - Kurang Bayar</t>
  </si>
  <si>
    <t>CA-12/26 ESB:INDS:0002A00W:531f54</t>
  </si>
  <si>
    <t>CA-12/26 Patricia</t>
  </si>
  <si>
    <t>Ketua Rp 20jt (1 orang x 5 Bank)</t>
  </si>
  <si>
    <t>Wakil Ketua 15 jt ( 3 org x 5 bank)</t>
  </si>
  <si>
    <t>Anggota Rp 10jt (30 orang x 5 Bank)</t>
  </si>
  <si>
    <t>Kasubag 2 org @3jt</t>
  </si>
  <si>
    <t>Staff Rp 2jt (13 orang)</t>
  </si>
  <si>
    <t>MC</t>
  </si>
  <si>
    <t>Cash ke Mandiri (Noel )</t>
  </si>
  <si>
    <t>Beli Bendera Pataka</t>
  </si>
  <si>
    <t>Reimburse Helda Beli Baju MC</t>
  </si>
  <si>
    <t xml:space="preserve">Tipping Banquet Hotel </t>
  </si>
  <si>
    <t>Pengembalian kelebihan CA-14 BCA Harmoni 16/03/26</t>
  </si>
  <si>
    <t>CA-13/26 Rizky</t>
  </si>
  <si>
    <t>Lalamove ke Mabes TNI Cilangkap</t>
  </si>
  <si>
    <t>Lalamove ke Seskoal</t>
  </si>
  <si>
    <t>Lalamove ke Masjid Istiqlal</t>
  </si>
  <si>
    <t>Lalamove ke Kolinlamil</t>
  </si>
  <si>
    <t>Lalamove ke TNI AU Cilangkap</t>
  </si>
  <si>
    <t>Lalamove ke Mabes AL</t>
  </si>
  <si>
    <t>Lalamove ke TNI Pushidrosal</t>
  </si>
  <si>
    <t>Lalamove ke Istora Senayan GBK</t>
  </si>
  <si>
    <t>Gosend dari Kantor ke GBK</t>
  </si>
  <si>
    <t>Mahkota Printing - Cetak Signage</t>
  </si>
  <si>
    <t>Beli Stik Balon untuk Gagang Signage Pagging</t>
  </si>
  <si>
    <t>Pembayaran PLN GBK</t>
  </si>
  <si>
    <t>Operasional Armada RI - Kordinasi Keamanan TNI</t>
  </si>
  <si>
    <t>Operasional Armada RI - Reimburse Meals Team</t>
  </si>
  <si>
    <t>Operasional PBNU - Reimburse Lalamove Loading tgl 15 Mar 2026</t>
  </si>
  <si>
    <t>Operasional PBNU - Reimburse Lalamove Unloading tgl 15 Mar 2026</t>
  </si>
  <si>
    <t>Operasional PBNU - Reimburse Meals Team</t>
  </si>
  <si>
    <t>Pembayaran Instalasi Listrik GBK</t>
  </si>
  <si>
    <t>Sewa Palang Parkir untuk Prosesi Flag Off</t>
  </si>
  <si>
    <t>CA-13/26 Rizky Kurang Bayar</t>
  </si>
  <si>
    <t>CA-19/26 Rizky</t>
  </si>
  <si>
    <t>CA-14/26 Lita</t>
  </si>
  <si>
    <t>Cash Allowance Peserta JPY 16,000 x 20pax, dengan kurs 108.90</t>
  </si>
  <si>
    <t>CA-15/26 Adun</t>
  </si>
  <si>
    <t xml:space="preserve">Notes : Sudah dipertanggungjawaban manual (Hardcopy), namun dokumen ikut terbakar </t>
  </si>
  <si>
    <t>CA-16/26 Frieda</t>
  </si>
  <si>
    <t>Pengisian 15 E-money @Rp. 100.000/ kartu</t>
  </si>
  <si>
    <t>Pembayaran 10 orang Cangcimen @Rp. 300.000/ pax</t>
  </si>
  <si>
    <t>Pengembalian kelebihan CA-12 BCA Harmoni 20/04/2026</t>
  </si>
  <si>
    <t>CA-17/26 Yogi</t>
  </si>
  <si>
    <t xml:space="preserve">Tunai to Client </t>
  </si>
  <si>
    <t>CA-20/26 Patrice</t>
  </si>
  <si>
    <t xml:space="preserve">Beli Goodybag Batik 2 Lusin </t>
  </si>
  <si>
    <t>Wrapping bagasi di CGK - Delegate MIC</t>
  </si>
  <si>
    <t>Maksi dan test food Bakmi Kepiting dan Es Ce hun tiaw</t>
  </si>
  <si>
    <t>Makan malam dan test food Choi Pan</t>
  </si>
  <si>
    <t>Ngopi dengan Atuy, Seno, BRI Area</t>
  </si>
  <si>
    <t>Bayar biaya reparasi piano as per adnan</t>
  </si>
  <si>
    <t xml:space="preserve">     - Ketua Rp 20jt (1 orang x 2 Bank)</t>
  </si>
  <si>
    <t xml:space="preserve">     - Wakil Rp 15jt (1 orang x 2 Bank)</t>
  </si>
  <si>
    <t xml:space="preserve">     - Anggota Rp 10jt (14 orang x 2 Bank)</t>
  </si>
  <si>
    <t xml:space="preserve">     - Frank PA Pak Hekal</t>
  </si>
  <si>
    <t xml:space="preserve">     - Staff Rp 2jt (5 orang)</t>
  </si>
  <si>
    <t xml:space="preserve">Beli oleh2 Atuy dan Seno </t>
  </si>
  <si>
    <t>Deposit Bakmi Kepiting</t>
  </si>
  <si>
    <t>Bayar makan Bubur Ikan Ahian</t>
  </si>
  <si>
    <t>Beli kopi di airport dengan team BRI</t>
  </si>
  <si>
    <t xml:space="preserve">Wrapping bagasi di Ponti </t>
  </si>
  <si>
    <t xml:space="preserve">Extra Bagasi </t>
  </si>
  <si>
    <t xml:space="preserve">Tipping banquet  </t>
  </si>
  <si>
    <t xml:space="preserve">Tipping Driver 5-8 Mei </t>
  </si>
  <si>
    <t xml:space="preserve">Bayar MC - CASH </t>
  </si>
  <si>
    <t>Selisih Laporan</t>
  </si>
  <si>
    <t>CA-021/26 Lita</t>
  </si>
  <si>
    <t>Beli Goodie Bag (Shopee) 25pcs</t>
  </si>
  <si>
    <t>Permintaan cash panitia Mandiri</t>
  </si>
  <si>
    <t>Lunch Crew</t>
  </si>
  <si>
    <t>Wakil Ketua (15jt x 2 corp)
Anggota (10jt x 7org x 2 corp)
Kasubag (3jt x 1org)
Staff (2jt x 4org)</t>
  </si>
  <si>
    <t>Beli kekurangan Souvenir</t>
  </si>
  <si>
    <t>Pembelian Souvenir Oleh2 (Mantau &amp; Kepiting)</t>
  </si>
  <si>
    <t>Pembelian Permen, Buku, Sandal</t>
  </si>
  <si>
    <t>Tipping Banquet Hotel</t>
  </si>
  <si>
    <t>Cash BTN (Mba Helda)</t>
  </si>
  <si>
    <t>Cash Mandiri (Pak Arie)</t>
  </si>
  <si>
    <t>Reimburse cash (Ibu Delly)</t>
  </si>
  <si>
    <t>Pengembalian kelebihan CA-21 Mandiri Mid Plaza 15/05/26</t>
  </si>
  <si>
    <t>CA-24/26 Patrice</t>
  </si>
  <si>
    <t>Bayar Tas Souvenir 10 Buah</t>
  </si>
  <si>
    <t>Bayar tas souvenir 22 Buah</t>
  </si>
  <si>
    <t>Cash bri (Adnan)</t>
  </si>
  <si>
    <t>BayarPlakat OJK</t>
  </si>
  <si>
    <t xml:space="preserve">Coklat Ketua Rp 20jt  </t>
  </si>
  <si>
    <t>Coklat Wakil Rp 15jt x 2 pax</t>
  </si>
  <si>
    <t>Coklat Anggota Rp 10jt x 7 pax</t>
  </si>
  <si>
    <t xml:space="preserve">Coklat  Setkom Kabag </t>
  </si>
  <si>
    <t>Bayar Printingan OJK</t>
  </si>
  <si>
    <t xml:space="preserve">Tipping driver 8-11 Jun </t>
  </si>
  <si>
    <t xml:space="preserve">Wrapping bagasi </t>
  </si>
  <si>
    <t>Pengembalian kelebihan CA-24 Mandiri Mid Plaza 15/06/26</t>
  </si>
  <si>
    <t>CA-25/26 Patrice</t>
  </si>
  <si>
    <t>Wrapping di CGK utk akrilik table name</t>
  </si>
  <si>
    <t>Anggota Rp 10jt x 6 pax x 2 bank</t>
  </si>
  <si>
    <t xml:space="preserve">Setkom Kabag </t>
  </si>
  <si>
    <t xml:space="preserve">Setkom Staff 5 pax x 2 jt </t>
  </si>
  <si>
    <t>Tipping Banquet Hotel (2 sesi)</t>
  </si>
  <si>
    <t>Bayar MC - Cash</t>
  </si>
  <si>
    <t xml:space="preserve">Tipping driver 17-20 Jun </t>
  </si>
  <si>
    <t>Pengembalian kelebihan CA-25 Mandiri Mid Plaza 23/06/26</t>
  </si>
  <si>
    <t>Cash BTN (helda)</t>
  </si>
  <si>
    <t xml:space="preserve">Uang Operasional team BTN </t>
  </si>
  <si>
    <t>Cash BI ( Wasis )</t>
  </si>
  <si>
    <t>Makan malam dengan team BTN (Seno, Rama, Sugeng, Nadya dan 2 Supir BTN)</t>
  </si>
  <si>
    <t>Pengembalian kelebihan CA-26 Mandiri Mid Plaza 23/06/26</t>
  </si>
  <si>
    <t>CA-27/26 Patrice</t>
  </si>
  <si>
    <t>Coklat Pimpinan Rapat (1 orang) @30,000,000</t>
  </si>
  <si>
    <t>Coklat Wakil Ketua (4 orang) @20,000,000</t>
  </si>
  <si>
    <t>Coklat Anggota (35 orang) @10,000,000</t>
  </si>
  <si>
    <t>Coklat Anggota Nasim @20,000,000</t>
  </si>
  <si>
    <t>Coklat Setkom @12,500,000</t>
  </si>
  <si>
    <t>Tipping Catering</t>
  </si>
  <si>
    <t>Tipping Kebersihan</t>
  </si>
  <si>
    <t>Cash Adnan</t>
  </si>
  <si>
    <t>The Gade</t>
  </si>
  <si>
    <t>Sekayu Ctaering tambahan Snack</t>
  </si>
  <si>
    <t>Makan siang Lonte, Komeng dan Pak Yadi 6Jul</t>
  </si>
  <si>
    <t xml:space="preserve">Beli air mineral utl Loading dan D-day </t>
  </si>
  <si>
    <t xml:space="preserve">Beli Lakban </t>
  </si>
  <si>
    <t>Bayar MC</t>
  </si>
  <si>
    <t xml:space="preserve">Bayar Lala move Loading in dan out </t>
  </si>
  <si>
    <t>Bayar Delegate Mic</t>
  </si>
  <si>
    <t>Bayar Kebersihan dan Security</t>
  </si>
  <si>
    <t>Pengembalian kelebihan CA-27 Mandiri Mid Plaza 14/07/26</t>
  </si>
  <si>
    <t>CA-29/26 Patrice</t>
  </si>
  <si>
    <t>Cash Ke PA Adnan</t>
  </si>
  <si>
    <t>Beli Kunci Lipat</t>
  </si>
  <si>
    <t>Beli Cleo Mineral</t>
  </si>
  <si>
    <t>Indomaret - Cling Pemberaih Kaca</t>
  </si>
  <si>
    <t>Lakban &amp; Trash Bag</t>
  </si>
  <si>
    <t>Kain Pel, Canebo, Lap Microfiber</t>
  </si>
  <si>
    <t>USB</t>
  </si>
  <si>
    <t>Makan Loading Day 1 (Rizky &amp; Ableh)</t>
  </si>
  <si>
    <t>Operational Loading Ableh (2 Hari)</t>
  </si>
  <si>
    <t>Beli Kopi (Rizky, Ableh &amp; Client)</t>
  </si>
  <si>
    <t>Top Up Flazz (Parkir &amp; Toll)</t>
  </si>
  <si>
    <t>Beli Sarapan Holland Bakery</t>
  </si>
  <si>
    <t>Makan Siang Rizky, Odhey, Iyan &amp; Patrice</t>
  </si>
  <si>
    <t>Super Pel Sacet</t>
  </si>
  <si>
    <t>Beli Minum Loading Out</t>
  </si>
  <si>
    <t xml:space="preserve">Uang Saku - Tunai to Client </t>
  </si>
  <si>
    <t>Makan Loading Day 1 (Praja)</t>
  </si>
  <si>
    <t>Cetak Fliers as Request Client (Mba Mery)</t>
  </si>
  <si>
    <t>Gosend Cetak Fliers Client</t>
  </si>
  <si>
    <t>Makan Loading Day 2 (Rizky)</t>
  </si>
  <si>
    <t>Makan Loading Day 2 (Ajeng)</t>
  </si>
  <si>
    <t>Beli Minum Es Teh Manis</t>
  </si>
  <si>
    <t>Makan Loading Day 2 (Praja)</t>
  </si>
  <si>
    <t>Beli Minum di Kantin JCC (Numpang Meeting BRI)</t>
  </si>
  <si>
    <t>Beli Minum Loading Day 2 (Rizky &amp; Praja)</t>
  </si>
  <si>
    <t>Beli Sarapan Event Day 1 (Team PCMI &amp; Usher)</t>
  </si>
  <si>
    <t>Beli Makan Siang Event Day 1 (Usher 2 Pax)</t>
  </si>
  <si>
    <t>Beli Makan Siang Event Day 1 (Yogi &amp; Lonte)</t>
  </si>
  <si>
    <t>Beli Makan Siang Event Day 1 (Rizky &amp; Praja)</t>
  </si>
  <si>
    <t>Beli Makan Siang Event Day 1 (Ajeng)</t>
  </si>
  <si>
    <t>Beli Apron untuk Barista Coffee Corner</t>
  </si>
  <si>
    <t>Ongkir Beli Apron</t>
  </si>
  <si>
    <t>Cetak Signage Tripod</t>
  </si>
  <si>
    <t>Gosend Signage Tripod</t>
  </si>
  <si>
    <t>Beli Sarapan Event Day 2 (Team PCMI)</t>
  </si>
  <si>
    <t>Beli Sarapan Event Day 2 (Usher)</t>
  </si>
  <si>
    <t>Beli Makan Siang Event Day 2 (Team PCMI &amp; Usher)</t>
  </si>
  <si>
    <t xml:space="preserve">Beli Es Teh Manis &amp; Kopi Team </t>
  </si>
  <si>
    <t xml:space="preserve">CA-33/26 XL Sma rt DTI CX M RIZKY AULIA  </t>
  </si>
  <si>
    <t>Pembayaran Additional Penjemputan Bus (jam 2 stenby)</t>
  </si>
  <si>
    <t xml:space="preserve">Pembayaran DP 50% Pawang utk BUTC </t>
  </si>
  <si>
    <t>Wrapping Bagasi Bandara</t>
  </si>
  <si>
    <t>Pembelian Aqua 330 ml | Bus SCBD - AIRPORT 6 dus</t>
  </si>
  <si>
    <t>Transfer ke Pak Gany Binawan | Masuk Drop Of T1</t>
  </si>
  <si>
    <t>Beli Meals Lunch Team Trimegah - BUTC (Lulita Rqst)</t>
  </si>
  <si>
    <t>Pembelian Meals Dinner Tour Leader (4 pax)</t>
  </si>
  <si>
    <t>Bayar jajanan pasar utk soulband as per Rivi</t>
  </si>
  <si>
    <t>Pelunasan Pawang Hujan BUTC</t>
  </si>
  <si>
    <t>Grab Car Mulia - Airport (alex)</t>
  </si>
  <si>
    <t>Tipping Pak Ardiama 14-17 Aug</t>
  </si>
  <si>
    <t>Beli Etol utk LO Bus di SCBD</t>
  </si>
  <si>
    <t>Bayar Porter ke Oka utk kedatangan</t>
  </si>
  <si>
    <t xml:space="preserve">Laporan Operasional Komeng </t>
  </si>
  <si>
    <t xml:space="preserve">Laporan Operasional Iyan  </t>
  </si>
  <si>
    <t>Gocar Kantor - Rumah ( pending Berangkat 13 Aug 2026)</t>
  </si>
  <si>
    <t xml:space="preserve">Wrapping Bagasi </t>
  </si>
  <si>
    <t xml:space="preserve">Lunch with team airport </t>
  </si>
  <si>
    <t>Laporan Operasional Bu Frida</t>
  </si>
  <si>
    <t xml:space="preserve">Refreshment FG dan VG ( Kopi Kenangan ) </t>
  </si>
  <si>
    <t xml:space="preserve">Pembelian Polo Shirt Hitam untuk ke Prambanan </t>
  </si>
  <si>
    <t>tips Security Venue Prambanan Akses Masuk Parkir Terdekat 2 orang</t>
  </si>
  <si>
    <t xml:space="preserve">Gocar Prambanan  to Hotel Fave Malioboro </t>
  </si>
  <si>
    <t xml:space="preserve">Reimburse Paket Data </t>
  </si>
  <si>
    <t xml:space="preserve">Meals Dinner Dokumentasi Prambanan  ( Mcdonalds) </t>
  </si>
  <si>
    <t xml:space="preserve">Gocar Hotel - Padel </t>
  </si>
  <si>
    <t xml:space="preserve">Gocar Padel - Stasiun Tugu </t>
  </si>
  <si>
    <t xml:space="preserve">Reimburse Bensin (13Aug Rumah - Airport), (15 Aug Airport - Kantor - retur barang Indopaket - Rumah ) </t>
  </si>
  <si>
    <t xml:space="preserve">Parkir Airport Soetta </t>
  </si>
  <si>
    <t xml:space="preserve">Tol Dalam Kota Airport to Kantor </t>
  </si>
  <si>
    <t xml:space="preserve">Parkir Indomaret 3 lokasi </t>
  </si>
  <si>
    <t xml:space="preserve">Print Label retur Rompi ( Shopee) </t>
  </si>
  <si>
    <t>Biaya Operasional Panitia BRI - Di req oleh Mas Harry W (Ketua Panitia)</t>
  </si>
  <si>
    <t>Tambahan Biaya Operasional Panitia BRI - Di req oleh Mas Harry W (Ketua Panitia)</t>
  </si>
  <si>
    <t>Cokelat BRI - Wakil Ketua (1 orang) - Anggota (15 orang) - Setkom, Kasubag (1 orang) - Setkom, Staff (4 orang)</t>
  </si>
  <si>
    <t>Cokelat BI - Wakil Ketua (1 orang) - Anggota (15 orang) - Setkom (5 orang)</t>
  </si>
  <si>
    <t xml:space="preserve">Cash ke Atuy utk uang operasional kas </t>
  </si>
  <si>
    <t>Beli goodie bag</t>
  </si>
  <si>
    <t xml:space="preserve">Bayar Mkn Atuy dan Pak Felik tanggal 27 Aug </t>
  </si>
  <si>
    <t>Tipping Driver (100,000 x 4 hari)</t>
  </si>
  <si>
    <t>Transfer ke Wasis BI - Reimburse Souvenir</t>
  </si>
  <si>
    <t>BCA Juanda : RETUR NURLAILA HUTABARAT</t>
  </si>
  <si>
    <t>AP Others</t>
  </si>
  <si>
    <t>Devidend</t>
  </si>
  <si>
    <t>PPH-23 Th 2026 - Income Tax</t>
  </si>
  <si>
    <t>PPn Keluaran 2025 - Non WAPU</t>
  </si>
  <si>
    <t>PPH-23 Th 2025 - Income Tax</t>
  </si>
  <si>
    <t>PPn Keluaran 2024 - WAPU</t>
  </si>
  <si>
    <t>PPH-23 Th 2024 - Income Tax</t>
  </si>
  <si>
    <t>PPn Keluaran 2026 - WAPU</t>
  </si>
  <si>
    <t>061/PCMI/AR/II/2026</t>
  </si>
  <si>
    <t>PT TELEKOMUNIKASI SELULAR - 031 : AP PPn WAPU</t>
  </si>
  <si>
    <t>Invoice Bis Mudik Mandiri CA Cash Deposit Invoice Bis Mudik Mandiri : PPn WAPU tidak dipotong</t>
  </si>
  <si>
    <t>PPn Keluaran 2026 - WAPU - Sales 2025</t>
  </si>
  <si>
    <t>044/227/PCMI/AR/II/2026</t>
  </si>
  <si>
    <t>185/226/PCMI/AR/XII/2025 : PPn WAPU Tapi tidak dipotong pembayaran : 226/PCMI/AR/XII/2025</t>
  </si>
  <si>
    <t>185/226/PCMI/AR/XII/2025</t>
  </si>
  <si>
    <t>081/238/PCMI/AR/IV/2026</t>
  </si>
  <si>
    <t>PBY SPON NAVIGASI PANCONV FKA0  025A???28/2607210637-1/ID0010001 PT PAN CONVINCE MITRA INTERNATIONAL</t>
  </si>
  <si>
    <t>Pelaporan SPT PCMI 2025 dan Pembayaran PPh Badan, sesuai CoreTax</t>
  </si>
  <si>
    <t>Bukti Potong PPh-23 Tahun 2025</t>
  </si>
  <si>
    <t>PPh Badan</t>
  </si>
  <si>
    <t>BCA Juanda : 207/013/PCMI/AR/I/2026 : 2025 : AP PPn Keluaran Non WAPU 2025 Tidak dicatatkan</t>
  </si>
  <si>
    <t>207/013/PCMI/AR/I/2026 : 2025</t>
  </si>
  <si>
    <t>BCA Juanda : 206/012/PCMI/AR/I/2026 : 2025 : AP PPn Keluaran Non WAPU 2025 Tidak dicatatkan</t>
  </si>
  <si>
    <t>PPn Keluaran 2026 - Non WAPU</t>
  </si>
  <si>
    <t>048/285/PCMI/AR/V/2026</t>
  </si>
  <si>
    <t>PPn Keluaran 2026</t>
  </si>
  <si>
    <t>059/281/PCMI/AR/V/2026</t>
  </si>
  <si>
    <t>066/322/PCMI/AR/VIII/2026</t>
  </si>
  <si>
    <t>074/PCMI/AR/VIII/2026</t>
  </si>
  <si>
    <t xml:space="preserve">076/PCMI/AR/IV/2026 </t>
  </si>
  <si>
    <t xml:space="preserve">093/277/PCMI/AR/V/2026	</t>
  </si>
  <si>
    <t>135/309/PCMI/AR/VII/2026</t>
  </si>
  <si>
    <t>140/239/PCMI/AR/IV/2026</t>
  </si>
  <si>
    <t>142/241/PCMI/AR/IV/2026</t>
  </si>
  <si>
    <t>152/246/PCMI/AR/IV/2026</t>
  </si>
  <si>
    <t>173/319/PCMI/AR/VIII/2026</t>
  </si>
  <si>
    <t xml:space="preserve">185/291/PCMI/AR/VI/2026	</t>
  </si>
  <si>
    <t xml:space="preserve">187/PCMI/AR/VI/2026	</t>
  </si>
  <si>
    <t>190/325/PCMI/AR/VIII/2026</t>
  </si>
  <si>
    <t>197/323/PCMI/AR/VIII/2026</t>
  </si>
  <si>
    <t>202/318/PCMI/AR/VIII/2026</t>
  </si>
  <si>
    <t>208/316/PCMI/AR/VIII/2026</t>
  </si>
  <si>
    <t>210/320/PCMI/AR/VIII/2026</t>
  </si>
  <si>
    <t>218/324/PCMI/AR/IX/2026</t>
  </si>
  <si>
    <t>219/326/PCMI/AR/IX/2026</t>
  </si>
  <si>
    <t>220/327/PCMI/AR/IX/2026</t>
  </si>
  <si>
    <t>223/331/PCMI/AR/IX/2026</t>
  </si>
  <si>
    <t>224/332/PCMI/AR/IX/2026</t>
  </si>
  <si>
    <t>Posting Total PPN yang diterbitkan di Tahun 2026</t>
  </si>
  <si>
    <t>206/012/PCMI/AR/I/2026 : 2025</t>
  </si>
  <si>
    <t>PT OSC Office Machinery</t>
  </si>
  <si>
    <t>Jimmy Tanal, SH</t>
  </si>
  <si>
    <t>Biro Perjalanan Wisata Sahadewa Basundari Bali</t>
  </si>
  <si>
    <t>PT Pantravel</t>
  </si>
  <si>
    <t>PT Autorent Lancar Sejahtera</t>
  </si>
  <si>
    <t>PT Mora Telematika Indonesia Tbk</t>
  </si>
  <si>
    <t>Lebih Bayar Jan-26</t>
  </si>
  <si>
    <t>Lebih Bayar - Jan</t>
  </si>
  <si>
    <t>MDP Persada Nusantara</t>
  </si>
  <si>
    <t>Twin Digital Printing</t>
  </si>
  <si>
    <t>Lebih Bayar Feb-26</t>
  </si>
  <si>
    <t>Lebih Bayar - Feb</t>
  </si>
  <si>
    <t>Development Serviced Office Indonesia One</t>
  </si>
  <si>
    <t>Pusat Pengelolaan Komplek Gelanggang Olahraga Bunhg Karnjo (BLU) Sekretariat Negara Kementrian Sekretariat Negara</t>
  </si>
  <si>
    <t>Lebih Bayar Mar-26</t>
  </si>
  <si>
    <t>Lebih Bayar - Mar</t>
  </si>
  <si>
    <t>Lebih Bayar Apr-26</t>
  </si>
  <si>
    <t>Lebih Bayar</t>
  </si>
  <si>
    <t>Sumber Mulia Hasil Guna</t>
  </si>
  <si>
    <t>Home Center Indonesia Retail : Informa</t>
  </si>
  <si>
    <t>CC AH Informa</t>
  </si>
  <si>
    <t>Ekamas mora Republik</t>
  </si>
  <si>
    <t>Lebih Bayar May-26</t>
  </si>
  <si>
    <t>Lebih Bayar - May</t>
  </si>
  <si>
    <t>Belum dibayar</t>
  </si>
  <si>
    <t>Pemindahan ke masa Juni'26 - pembetulan SPT II : Rp. 907.500</t>
  </si>
  <si>
    <t>Lebih Bayar Jun-26</t>
  </si>
  <si>
    <t>Lebih Bayar - Jun</t>
  </si>
  <si>
    <t>TELKOM INDONESIA (PERSERO) TBK</t>
  </si>
  <si>
    <t xml:space="preserve">PADI Payment system </t>
  </si>
  <si>
    <t>PT PANTRAVEL</t>
  </si>
  <si>
    <t>EKAMAS MORA REPUBLIK</t>
  </si>
  <si>
    <t>PT BIRO PERJALANAN WISATA SAHADEWA BASUNDARI BALI</t>
  </si>
  <si>
    <t>AUTORENT LANCAR SEJAHTERA</t>
  </si>
  <si>
    <t>PT OSC OFFICE MACHINERY</t>
  </si>
  <si>
    <t>Lebih Bayar Jul-26</t>
  </si>
  <si>
    <t>Lebih Bayar - Jul</t>
  </si>
  <si>
    <t>PT KINARYA LEGENDA ABADI</t>
  </si>
  <si>
    <t>ASIA UTAMA KONSULTAN</t>
  </si>
  <si>
    <t>Lebih Bayar Aug-26</t>
  </si>
  <si>
    <t>PPn Masa Aug-26 Lebih Bayar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</si>
</sst>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_(* #,##0.00_);_(* \(#,##0.00\);_(* &quot;-&quot;_);_(@_)"/>
    <numFmt numFmtId="166" formatCode="_(* #,##0.00_);_(* \(#,##0.00\);_(* &quot;-&quot;??_);_(@_)"/>
    <numFmt numFmtId="167" formatCode="_(* #,##0_);_(* \(#,##0\);_(* &quot;-&quot;_);_(@_)"/>
  </numFmts>
  <fonts count="6">
    <font>
      <sz val="12.0"/>
      <color theme="1"/>
      <name val="Times New Roman"/>
      <scheme val="minor"/>
    </font>
    <font>
      <b/>
      <sz val="12.0"/>
      <color theme="1"/>
      <name val="Times New Roman"/>
    </font>
    <font>
      <color theme="1"/>
      <name val="Times New Roman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FF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left"/>
    </xf>
    <xf borderId="0" fillId="0" fontId="1" numFmtId="0" xfId="0" applyFont="1"/>
    <xf borderId="0" fillId="0" fontId="2" numFmtId="0" xfId="0" applyFont="1"/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3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5" xfId="0" applyFont="1" applyNumberFormat="1"/>
    <xf borderId="0" fillId="0" fontId="3" numFmtId="165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quotePrefix="1" borderId="0" fillId="0" fontId="3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wrapText="1"/>
    </xf>
    <xf quotePrefix="1" borderId="0" fillId="0" fontId="3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164" xfId="0" applyAlignment="1" applyFont="1" applyNumberFormat="1">
      <alignment horizontal="left"/>
    </xf>
    <xf borderId="0" fillId="0" fontId="3" numFmtId="15" xfId="0" applyAlignment="1" applyFont="1" applyNumberFormat="1">
      <alignment horizontal="center"/>
    </xf>
    <xf borderId="0" fillId="0" fontId="3" numFmtId="15" xfId="0" applyAlignment="1" applyFont="1" applyNumberFormat="1">
      <alignment horizontal="center" vertical="top"/>
    </xf>
    <xf borderId="0" fillId="0" fontId="3" numFmtId="0" xfId="0" applyAlignment="1" applyFont="1">
      <alignment vertical="top"/>
    </xf>
    <xf borderId="0" fillId="0" fontId="3" numFmtId="166" xfId="0" applyAlignment="1" applyFont="1" applyNumberFormat="1">
      <alignment vertical="top"/>
    </xf>
    <xf borderId="0" fillId="0" fontId="3" numFmtId="0" xfId="0" applyAlignment="1" applyFont="1">
      <alignment horizontal="left" vertical="top"/>
    </xf>
    <xf borderId="1" fillId="2" fontId="3" numFmtId="164" xfId="0" applyAlignment="1" applyBorder="1" applyFill="1" applyFont="1" applyNumberFormat="1">
      <alignment horizontal="center"/>
    </xf>
    <xf borderId="1" fillId="2" fontId="3" numFmtId="0" xfId="0" applyBorder="1" applyFill="1" applyFont="1"/>
    <xf borderId="1" fillId="2" fontId="3" numFmtId="165" xfId="0" applyBorder="1" applyFill="1" applyFont="1" applyNumberFormat="1"/>
    <xf borderId="1" fillId="2" fontId="3" numFmtId="0" xfId="0" applyAlignment="1" applyBorder="1" applyFill="1" applyFont="1">
      <alignment horizontal="left"/>
    </xf>
    <xf borderId="1" fillId="3" fontId="5" numFmtId="164" xfId="0" applyAlignment="1" applyBorder="1" applyFill="1" applyFont="1" applyNumberFormat="1">
      <alignment horizontal="center"/>
    </xf>
    <xf borderId="1" fillId="3" fontId="5" numFmtId="0" xfId="0" applyBorder="1" applyFill="1" applyFont="1"/>
    <xf borderId="1" fillId="3" fontId="5" numFmtId="165" xfId="0" applyBorder="1" applyFill="1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33"/>
    <col customWidth="1" min="2" max="2" width="76.67"/>
    <col customWidth="1" min="3" max="4" width="19.67"/>
    <col customWidth="1" min="5" max="5" width="20.67"/>
    <col customWidth="1" min="6" max="6" width="23.0"/>
    <col customWidth="1" min="7" max="7" width="43.11"/>
    <col customWidth="1" min="8" max="8" width="59.67"/>
    <col customWidth="1" min="9" max="9" width="56.78"/>
    <col customWidth="1" min="10" max="26" width="10.56"/>
  </cols>
  <sheetData>
    <row r="1" ht="15.75" customHeight="1">
      <c r="A1" s="2" t="s">
        <v>1</v>
      </c>
      <c r="B1" s="4" t="s">
        <v>5</v>
      </c>
      <c r="C1" s="5" t="s">
        <v>6</v>
      </c>
      <c r="D1" s="5" t="s">
        <v>6</v>
      </c>
      <c r="E1" s="5" t="s">
        <v>6</v>
      </c>
      <c r="F1" s="4" t="s">
        <v>6</v>
      </c>
      <c r="G1" s="6" t="s">
        <v>6</v>
      </c>
    </row>
    <row r="2" ht="15.75" customHeight="1">
      <c r="A2" s="2" t="s">
        <v>9</v>
      </c>
      <c r="C2" s="5"/>
      <c r="D2" s="5" t="s">
        <v>6</v>
      </c>
      <c r="E2" s="5" t="s">
        <v>6</v>
      </c>
      <c r="F2" s="6" t="s">
        <v>6</v>
      </c>
    </row>
    <row r="3" ht="15.75" customHeight="1">
      <c r="A3" s="8"/>
      <c r="C3" s="5"/>
      <c r="D3" s="5"/>
      <c r="E3" s="5"/>
    </row>
    <row r="4" ht="15.75" customHeight="1">
      <c r="A4" s="1" t="s">
        <v>10</v>
      </c>
      <c r="B4" s="9" t="s">
        <v>12</v>
      </c>
      <c r="C4" s="11"/>
      <c r="D4" s="11"/>
      <c r="E4" s="5">
        <v>2.081440763E7</v>
      </c>
    </row>
    <row r="5" ht="15.75" customHeight="1">
      <c r="A5" s="12">
        <v>46027.0</v>
      </c>
      <c r="B5" s="13" t="s">
        <v>16</v>
      </c>
      <c r="C5" s="5">
        <v>1.6E7</v>
      </c>
      <c r="D5" s="5">
        <v>0.0</v>
      </c>
      <c r="E5" s="5">
        <f t="shared" ref="E5:E323" si="1">E4-C5+D5</f>
        <v>4814407.63</v>
      </c>
      <c r="F5" s="4" t="s">
        <v>18</v>
      </c>
      <c r="G5" s="14" t="s">
        <v>19</v>
      </c>
      <c r="H5" s="4" t="s">
        <v>20</v>
      </c>
    </row>
    <row r="6" ht="15.75" customHeight="1">
      <c r="A6" s="12">
        <v>46028.0</v>
      </c>
      <c r="B6" s="13" t="s">
        <v>22</v>
      </c>
      <c r="C6" s="5">
        <v>0.0</v>
      </c>
      <c r="D6" s="5">
        <v>3.85E8</v>
      </c>
      <c r="E6" s="5">
        <f t="shared" si="1"/>
        <v>389814407.6</v>
      </c>
      <c r="F6" s="4" t="s">
        <v>24</v>
      </c>
      <c r="G6" s="14" t="s">
        <v>30</v>
      </c>
      <c r="H6" s="4" t="s">
        <v>31</v>
      </c>
    </row>
    <row r="7" ht="15.75" customHeight="1">
      <c r="A7" s="12">
        <v>46029.0</v>
      </c>
      <c r="B7" s="13" t="s">
        <v>33</v>
      </c>
      <c r="C7" s="5">
        <v>0.0</v>
      </c>
      <c r="D7" s="5">
        <v>2.5E8</v>
      </c>
      <c r="E7" s="5">
        <f t="shared" si="1"/>
        <v>639814407.6</v>
      </c>
      <c r="F7" s="4" t="s">
        <v>24</v>
      </c>
      <c r="G7" s="14" t="s">
        <v>30</v>
      </c>
      <c r="H7" s="4" t="s">
        <v>31</v>
      </c>
    </row>
    <row r="8" ht="15.75" customHeight="1">
      <c r="A8" s="12">
        <v>46029.0</v>
      </c>
      <c r="B8" s="13" t="s">
        <v>33</v>
      </c>
      <c r="C8" s="5">
        <v>0.0</v>
      </c>
      <c r="D8" s="5">
        <v>2.5E8</v>
      </c>
      <c r="E8" s="5">
        <f t="shared" si="1"/>
        <v>889814407.6</v>
      </c>
      <c r="F8" s="4" t="s">
        <v>24</v>
      </c>
      <c r="G8" s="14" t="s">
        <v>30</v>
      </c>
      <c r="H8" s="4" t="s">
        <v>31</v>
      </c>
    </row>
    <row r="9" ht="15.75" customHeight="1">
      <c r="A9" s="12">
        <v>46029.0</v>
      </c>
      <c r="B9" s="13" t="s">
        <v>46</v>
      </c>
      <c r="C9" s="5">
        <v>0.0</v>
      </c>
      <c r="D9" s="5">
        <v>5.0E8</v>
      </c>
      <c r="E9" s="5">
        <f t="shared" si="1"/>
        <v>1389814408</v>
      </c>
      <c r="F9" s="4" t="s">
        <v>24</v>
      </c>
      <c r="G9" s="14" t="s">
        <v>30</v>
      </c>
      <c r="H9" s="4" t="s">
        <v>31</v>
      </c>
    </row>
    <row r="10" ht="15.75" customHeight="1">
      <c r="A10" s="12">
        <v>46029.0</v>
      </c>
      <c r="B10" s="13" t="s">
        <v>54</v>
      </c>
      <c r="C10" s="5">
        <v>0.0</v>
      </c>
      <c r="D10" s="5">
        <v>850000.0</v>
      </c>
      <c r="E10" s="5">
        <f t="shared" si="1"/>
        <v>1390664408</v>
      </c>
      <c r="F10" s="4" t="s">
        <v>58</v>
      </c>
      <c r="G10" s="14" t="s">
        <v>59</v>
      </c>
      <c r="H10" s="4" t="s">
        <v>61</v>
      </c>
    </row>
    <row r="11" ht="15.75" customHeight="1">
      <c r="A11" s="12">
        <v>46030.0</v>
      </c>
      <c r="B11" s="13" t="s">
        <v>62</v>
      </c>
      <c r="C11" s="5">
        <v>1.0E8</v>
      </c>
      <c r="D11" s="5">
        <v>0.0</v>
      </c>
      <c r="E11" s="5">
        <f t="shared" si="1"/>
        <v>1290664408</v>
      </c>
      <c r="F11" s="4" t="s">
        <v>58</v>
      </c>
      <c r="G11" s="14" t="s">
        <v>59</v>
      </c>
      <c r="H11" s="4" t="s">
        <v>68</v>
      </c>
    </row>
    <row r="12" ht="15.75" customHeight="1">
      <c r="A12" s="12">
        <v>46030.0</v>
      </c>
      <c r="B12" s="13" t="s">
        <v>69</v>
      </c>
      <c r="C12" s="5">
        <v>1.24935E9</v>
      </c>
      <c r="D12" s="5">
        <v>0.0</v>
      </c>
      <c r="E12" s="5">
        <f t="shared" si="1"/>
        <v>41314407.63</v>
      </c>
      <c r="F12" s="4" t="s">
        <v>18</v>
      </c>
      <c r="G12" s="14" t="s">
        <v>19</v>
      </c>
      <c r="H12" s="4" t="s">
        <v>72</v>
      </c>
    </row>
    <row r="13" ht="15.75" customHeight="1">
      <c r="A13" s="12">
        <v>46030.0</v>
      </c>
      <c r="B13" s="13" t="s">
        <v>77</v>
      </c>
      <c r="C13" s="5">
        <v>1.42796E7</v>
      </c>
      <c r="D13" s="5">
        <v>0.0</v>
      </c>
      <c r="E13" s="5">
        <f t="shared" si="1"/>
        <v>27034807.63</v>
      </c>
      <c r="F13" s="4" t="s">
        <v>18</v>
      </c>
      <c r="G13" s="14" t="s">
        <v>80</v>
      </c>
      <c r="H13" s="4" t="s">
        <v>81</v>
      </c>
    </row>
    <row r="14" ht="15.75" customHeight="1">
      <c r="A14" s="12">
        <v>46030.0</v>
      </c>
      <c r="B14" s="13" t="s">
        <v>84</v>
      </c>
      <c r="C14" s="5">
        <v>7280000.0</v>
      </c>
      <c r="D14" s="5">
        <v>0.0</v>
      </c>
      <c r="E14" s="5">
        <f t="shared" si="1"/>
        <v>19754807.63</v>
      </c>
      <c r="F14" s="4" t="s">
        <v>18</v>
      </c>
      <c r="G14" s="14" t="s">
        <v>80</v>
      </c>
      <c r="H14" s="4" t="s">
        <v>90</v>
      </c>
    </row>
    <row r="15" ht="15.75" customHeight="1">
      <c r="A15" s="12">
        <v>46030.0</v>
      </c>
      <c r="B15" s="13" t="s">
        <v>92</v>
      </c>
      <c r="C15" s="5">
        <v>1477475.0</v>
      </c>
      <c r="D15" s="5">
        <v>0.0</v>
      </c>
      <c r="E15" s="5">
        <f t="shared" si="1"/>
        <v>18277332.63</v>
      </c>
      <c r="F15" s="4" t="s">
        <v>18</v>
      </c>
      <c r="G15" s="14" t="s">
        <v>80</v>
      </c>
      <c r="H15" s="4" t="s">
        <v>94</v>
      </c>
    </row>
    <row r="16" ht="15.75" customHeight="1">
      <c r="A16" s="12">
        <v>46030.0</v>
      </c>
      <c r="B16" s="13" t="s">
        <v>96</v>
      </c>
      <c r="C16" s="5">
        <v>0.0</v>
      </c>
      <c r="D16" s="5">
        <v>1224000.0</v>
      </c>
      <c r="E16" s="5">
        <f t="shared" si="1"/>
        <v>19501332.63</v>
      </c>
      <c r="F16" s="4" t="s">
        <v>75</v>
      </c>
      <c r="G16" s="14" t="s">
        <v>76</v>
      </c>
      <c r="H16" s="4" t="s">
        <v>99</v>
      </c>
      <c r="I16" s="16" t="s">
        <v>101</v>
      </c>
    </row>
    <row r="17" ht="15.75" customHeight="1">
      <c r="A17" s="12">
        <v>46030.0</v>
      </c>
      <c r="B17" s="13" t="s">
        <v>104</v>
      </c>
      <c r="C17" s="5">
        <v>210000.0</v>
      </c>
      <c r="D17" s="5">
        <v>0.0</v>
      </c>
      <c r="E17" s="5">
        <f t="shared" si="1"/>
        <v>19291332.63</v>
      </c>
      <c r="F17" s="4" t="s">
        <v>105</v>
      </c>
      <c r="G17" s="14" t="s">
        <v>106</v>
      </c>
    </row>
    <row r="18" ht="15.75" customHeight="1">
      <c r="A18" s="12">
        <v>46030.0</v>
      </c>
      <c r="B18" s="13" t="s">
        <v>108</v>
      </c>
      <c r="C18" s="5">
        <v>1500000.0</v>
      </c>
      <c r="D18" s="5">
        <v>0.0</v>
      </c>
      <c r="E18" s="5">
        <f t="shared" si="1"/>
        <v>17791332.63</v>
      </c>
      <c r="F18" s="4" t="s">
        <v>18</v>
      </c>
      <c r="G18" s="14" t="s">
        <v>80</v>
      </c>
      <c r="H18" s="4" t="s">
        <v>112</v>
      </c>
    </row>
    <row r="19" ht="15.75" customHeight="1">
      <c r="A19" s="12">
        <v>46030.0</v>
      </c>
      <c r="B19" s="13" t="s">
        <v>115</v>
      </c>
      <c r="C19" s="5">
        <v>3500000.0</v>
      </c>
      <c r="D19" s="5">
        <v>0.0</v>
      </c>
      <c r="E19" s="5">
        <f t="shared" si="1"/>
        <v>14291332.63</v>
      </c>
      <c r="F19" s="4" t="s">
        <v>18</v>
      </c>
      <c r="G19" s="14" t="s">
        <v>80</v>
      </c>
      <c r="H19" s="4" t="s">
        <v>117</v>
      </c>
    </row>
    <row r="20" ht="15.75" customHeight="1">
      <c r="A20" s="12">
        <v>46030.0</v>
      </c>
      <c r="B20" s="13" t="s">
        <v>121</v>
      </c>
      <c r="C20" s="5">
        <v>2500000.0</v>
      </c>
      <c r="D20" s="5">
        <v>0.0</v>
      </c>
      <c r="E20" s="5">
        <f t="shared" si="1"/>
        <v>11791332.63</v>
      </c>
      <c r="F20" s="4" t="s">
        <v>18</v>
      </c>
      <c r="G20" s="14" t="s">
        <v>80</v>
      </c>
      <c r="H20" s="4" t="s">
        <v>127</v>
      </c>
    </row>
    <row r="21" ht="15.75" customHeight="1">
      <c r="A21" s="12">
        <v>46030.0</v>
      </c>
      <c r="B21" s="13" t="s">
        <v>130</v>
      </c>
      <c r="C21" s="5">
        <v>1500000.0</v>
      </c>
      <c r="D21" s="5">
        <v>0.0</v>
      </c>
      <c r="E21" s="5">
        <f t="shared" si="1"/>
        <v>10291332.63</v>
      </c>
      <c r="F21" s="4" t="s">
        <v>18</v>
      </c>
      <c r="G21" s="14" t="s">
        <v>80</v>
      </c>
      <c r="H21" s="4" t="s">
        <v>133</v>
      </c>
    </row>
    <row r="22" ht="15.75" customHeight="1">
      <c r="A22" s="12">
        <v>46030.0</v>
      </c>
      <c r="B22" s="13" t="s">
        <v>135</v>
      </c>
      <c r="C22" s="5">
        <v>3500000.0</v>
      </c>
      <c r="D22" s="5">
        <v>0.0</v>
      </c>
      <c r="E22" s="5">
        <f t="shared" si="1"/>
        <v>6791332.63</v>
      </c>
      <c r="F22" s="4" t="s">
        <v>18</v>
      </c>
      <c r="G22" s="14" t="s">
        <v>80</v>
      </c>
      <c r="H22" s="4" t="s">
        <v>139</v>
      </c>
    </row>
    <row r="23" ht="15.75" customHeight="1">
      <c r="A23" s="12">
        <v>46030.0</v>
      </c>
      <c r="B23" s="13" t="s">
        <v>141</v>
      </c>
      <c r="C23" s="5">
        <v>3500000.0</v>
      </c>
      <c r="D23" s="5">
        <v>0.0</v>
      </c>
      <c r="E23" s="5">
        <f t="shared" si="1"/>
        <v>3291332.63</v>
      </c>
      <c r="F23" s="4" t="s">
        <v>18</v>
      </c>
      <c r="G23" s="14" t="s">
        <v>80</v>
      </c>
      <c r="H23" s="4" t="s">
        <v>144</v>
      </c>
    </row>
    <row r="24" ht="15.75" customHeight="1">
      <c r="A24" s="12">
        <v>46036.0</v>
      </c>
      <c r="B24" s="13" t="s">
        <v>145</v>
      </c>
      <c r="C24" s="5">
        <v>660000.0</v>
      </c>
      <c r="D24" s="5">
        <v>0.0</v>
      </c>
      <c r="E24" s="5">
        <f t="shared" si="1"/>
        <v>2631332.63</v>
      </c>
      <c r="F24" s="4" t="s">
        <v>18</v>
      </c>
      <c r="G24" s="14" t="s">
        <v>147</v>
      </c>
      <c r="H24" s="4" t="s">
        <v>148</v>
      </c>
    </row>
    <row r="25" ht="15.75" customHeight="1">
      <c r="A25" s="12">
        <v>46036.0</v>
      </c>
      <c r="B25" s="13" t="s">
        <v>151</v>
      </c>
      <c r="C25" s="5">
        <v>1485000.0</v>
      </c>
      <c r="D25" s="5">
        <v>0.0</v>
      </c>
      <c r="E25" s="5">
        <f t="shared" si="1"/>
        <v>1146332.63</v>
      </c>
      <c r="F25" s="4" t="s">
        <v>18</v>
      </c>
      <c r="G25" s="14" t="s">
        <v>147</v>
      </c>
      <c r="H25" s="4" t="s">
        <v>148</v>
      </c>
    </row>
    <row r="26" ht="15.75" customHeight="1">
      <c r="A26" s="12">
        <v>46036.0</v>
      </c>
      <c r="B26" s="13" t="s">
        <v>153</v>
      </c>
      <c r="C26" s="5">
        <v>990000.0</v>
      </c>
      <c r="D26" s="5">
        <v>0.0</v>
      </c>
      <c r="E26" s="5">
        <f t="shared" si="1"/>
        <v>156332.63</v>
      </c>
      <c r="F26" s="4" t="s">
        <v>18</v>
      </c>
      <c r="G26" s="14" t="s">
        <v>147</v>
      </c>
      <c r="H26" s="4" t="s">
        <v>148</v>
      </c>
    </row>
    <row r="27" ht="15.75" customHeight="1">
      <c r="A27" s="12">
        <v>46036.0</v>
      </c>
      <c r="B27" s="13" t="s">
        <v>157</v>
      </c>
      <c r="C27" s="5">
        <v>0.0</v>
      </c>
      <c r="D27" s="5">
        <v>460000.0</v>
      </c>
      <c r="E27" s="5">
        <f t="shared" si="1"/>
        <v>616332.63</v>
      </c>
      <c r="F27" s="4" t="s">
        <v>93</v>
      </c>
      <c r="G27" s="4" t="s">
        <v>93</v>
      </c>
      <c r="H27" s="4" t="s">
        <v>21</v>
      </c>
    </row>
    <row r="28" ht="15.75" customHeight="1">
      <c r="A28" s="12">
        <v>46036.0</v>
      </c>
      <c r="B28" s="13" t="s">
        <v>159</v>
      </c>
      <c r="C28" s="5">
        <v>460000.0</v>
      </c>
      <c r="D28" s="5">
        <v>0.0</v>
      </c>
      <c r="E28" s="5">
        <f t="shared" si="1"/>
        <v>156332.63</v>
      </c>
      <c r="F28" s="4" t="s">
        <v>18</v>
      </c>
      <c r="G28" s="14" t="s">
        <v>147</v>
      </c>
      <c r="H28" s="4" t="s">
        <v>148</v>
      </c>
    </row>
    <row r="29" ht="15.75" customHeight="1">
      <c r="A29" s="12">
        <v>46037.0</v>
      </c>
      <c r="B29" s="13" t="s">
        <v>160</v>
      </c>
      <c r="C29" s="5">
        <v>0.0</v>
      </c>
      <c r="D29" s="5">
        <v>985954.0</v>
      </c>
      <c r="E29" s="5">
        <f t="shared" si="1"/>
        <v>1142286.63</v>
      </c>
      <c r="F29" s="14" t="s">
        <v>75</v>
      </c>
      <c r="G29" s="14" t="s">
        <v>76</v>
      </c>
      <c r="H29" s="14" t="s">
        <v>165</v>
      </c>
      <c r="I29" s="16" t="s">
        <v>167</v>
      </c>
    </row>
    <row r="30" ht="15.75" customHeight="1">
      <c r="A30" s="12">
        <v>46038.0</v>
      </c>
      <c r="B30" s="13" t="s">
        <v>168</v>
      </c>
      <c r="C30" s="5">
        <v>20000.0</v>
      </c>
      <c r="D30" s="5">
        <v>0.0</v>
      </c>
      <c r="E30" s="5">
        <f t="shared" si="1"/>
        <v>1122286.63</v>
      </c>
      <c r="F30" s="4" t="s">
        <v>43</v>
      </c>
      <c r="G30" s="14" t="s">
        <v>45</v>
      </c>
    </row>
    <row r="31" ht="15.75" customHeight="1">
      <c r="A31" s="8">
        <v>46044.0</v>
      </c>
      <c r="B31" s="13" t="s">
        <v>173</v>
      </c>
      <c r="C31" s="5">
        <v>0.0</v>
      </c>
      <c r="D31" s="5">
        <v>354304.0</v>
      </c>
      <c r="E31" s="5">
        <f t="shared" si="1"/>
        <v>1476590.63</v>
      </c>
      <c r="F31" s="14" t="s">
        <v>24</v>
      </c>
      <c r="G31" s="14" t="s">
        <v>125</v>
      </c>
      <c r="H31" s="14" t="s">
        <v>126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2">
        <v>46051.0</v>
      </c>
      <c r="B32" s="13" t="s">
        <v>157</v>
      </c>
      <c r="C32" s="5">
        <v>0.0</v>
      </c>
      <c r="D32" s="5">
        <v>1.035E8</v>
      </c>
      <c r="E32" s="5">
        <f t="shared" si="1"/>
        <v>104976590.6</v>
      </c>
      <c r="F32" s="4" t="s">
        <v>93</v>
      </c>
      <c r="G32" s="4" t="s">
        <v>93</v>
      </c>
      <c r="H32" s="4" t="s">
        <v>21</v>
      </c>
    </row>
    <row r="33" ht="15.75" customHeight="1">
      <c r="A33" s="12">
        <v>46051.0</v>
      </c>
      <c r="B33" s="13" t="s">
        <v>186</v>
      </c>
      <c r="C33" s="5">
        <v>400000.0</v>
      </c>
      <c r="D33" s="5">
        <v>0.0</v>
      </c>
      <c r="E33" s="5">
        <f t="shared" si="1"/>
        <v>104576590.6</v>
      </c>
      <c r="F33" s="4" t="s">
        <v>58</v>
      </c>
      <c r="G33" s="14" t="s">
        <v>59</v>
      </c>
      <c r="H33" s="4" t="s">
        <v>188</v>
      </c>
    </row>
    <row r="34" ht="15.75" customHeight="1">
      <c r="A34" s="12">
        <v>46051.0</v>
      </c>
      <c r="B34" s="13" t="s">
        <v>189</v>
      </c>
      <c r="C34" s="5">
        <v>1.035E8</v>
      </c>
      <c r="D34" s="5">
        <v>0.0</v>
      </c>
      <c r="E34" s="5">
        <f t="shared" si="1"/>
        <v>1076590.63</v>
      </c>
      <c r="F34" s="4" t="s">
        <v>105</v>
      </c>
      <c r="G34" s="14" t="s">
        <v>193</v>
      </c>
      <c r="H34" s="4" t="s">
        <v>180</v>
      </c>
    </row>
    <row r="35" ht="15.75" customHeight="1">
      <c r="A35" s="12">
        <v>46051.0</v>
      </c>
      <c r="B35" s="13" t="s">
        <v>197</v>
      </c>
      <c r="C35" s="5">
        <v>0.0</v>
      </c>
      <c r="D35" s="5">
        <v>2000000.0</v>
      </c>
      <c r="E35" s="5">
        <f t="shared" si="1"/>
        <v>3076590.63</v>
      </c>
      <c r="F35" s="4" t="s">
        <v>24</v>
      </c>
      <c r="G35" s="14" t="s">
        <v>198</v>
      </c>
      <c r="H35" s="4" t="s">
        <v>199</v>
      </c>
    </row>
    <row r="36" ht="15.75" customHeight="1">
      <c r="A36" s="12">
        <v>46051.0</v>
      </c>
      <c r="B36" s="13" t="s">
        <v>201</v>
      </c>
      <c r="C36" s="5">
        <v>0.0</v>
      </c>
      <c r="D36" s="5">
        <v>2000000.0</v>
      </c>
      <c r="E36" s="5">
        <f t="shared" si="1"/>
        <v>5076590.63</v>
      </c>
      <c r="F36" s="4" t="s">
        <v>24</v>
      </c>
      <c r="G36" s="14" t="s">
        <v>198</v>
      </c>
      <c r="H36" s="4" t="s">
        <v>203</v>
      </c>
    </row>
    <row r="37" ht="15.75" customHeight="1">
      <c r="A37" s="12">
        <v>46051.0</v>
      </c>
      <c r="B37" s="13" t="s">
        <v>205</v>
      </c>
      <c r="C37" s="5">
        <v>0.0</v>
      </c>
      <c r="D37" s="5">
        <v>1.0E7</v>
      </c>
      <c r="E37" s="5">
        <f t="shared" si="1"/>
        <v>15076590.63</v>
      </c>
      <c r="F37" s="4" t="s">
        <v>24</v>
      </c>
      <c r="G37" s="14" t="s">
        <v>198</v>
      </c>
      <c r="H37" s="4" t="s">
        <v>72</v>
      </c>
    </row>
    <row r="38" ht="15.75" customHeight="1">
      <c r="A38" s="12">
        <v>46053.0</v>
      </c>
      <c r="B38" s="13" t="s">
        <v>208</v>
      </c>
      <c r="C38" s="5">
        <v>0.0</v>
      </c>
      <c r="D38" s="5">
        <v>531.42</v>
      </c>
      <c r="E38" s="5">
        <f t="shared" si="1"/>
        <v>15077122.05</v>
      </c>
      <c r="F38" s="4" t="s">
        <v>63</v>
      </c>
      <c r="G38" s="14" t="s">
        <v>65</v>
      </c>
    </row>
    <row r="39" ht="15.75" customHeight="1">
      <c r="A39" s="12">
        <v>46053.0</v>
      </c>
      <c r="B39" s="13" t="s">
        <v>210</v>
      </c>
      <c r="C39" s="5">
        <v>106.28</v>
      </c>
      <c r="D39" s="5">
        <v>0.0</v>
      </c>
      <c r="E39" s="5">
        <f t="shared" si="1"/>
        <v>15077015.77</v>
      </c>
      <c r="F39" s="4" t="s">
        <v>63</v>
      </c>
      <c r="G39" s="14" t="s">
        <v>65</v>
      </c>
    </row>
    <row r="40" ht="15.75" customHeight="1">
      <c r="A40" s="12">
        <v>46056.0</v>
      </c>
      <c r="B40" s="13" t="s">
        <v>213</v>
      </c>
      <c r="C40" s="5">
        <v>0.0</v>
      </c>
      <c r="D40" s="5">
        <v>1.96E8</v>
      </c>
      <c r="E40" s="5">
        <f t="shared" si="1"/>
        <v>211077015.8</v>
      </c>
      <c r="F40" s="4" t="s">
        <v>24</v>
      </c>
      <c r="G40" s="14" t="s">
        <v>198</v>
      </c>
      <c r="H40" s="4" t="s">
        <v>215</v>
      </c>
    </row>
    <row r="41" ht="15.75" customHeight="1">
      <c r="A41" s="12">
        <v>46063.0</v>
      </c>
      <c r="B41" s="13" t="s">
        <v>216</v>
      </c>
      <c r="C41" s="5">
        <v>0.0</v>
      </c>
      <c r="D41" s="5">
        <v>9.2790562E7</v>
      </c>
      <c r="E41" s="5">
        <f t="shared" si="1"/>
        <v>303867577.8</v>
      </c>
      <c r="F41" s="4" t="s">
        <v>24</v>
      </c>
      <c r="G41" s="14" t="s">
        <v>26</v>
      </c>
      <c r="H41" s="16" t="s">
        <v>220</v>
      </c>
      <c r="I41" s="16" t="s">
        <v>221</v>
      </c>
    </row>
    <row r="42" ht="15.75" customHeight="1">
      <c r="A42" s="12">
        <v>46064.0</v>
      </c>
      <c r="B42" s="13" t="s">
        <v>223</v>
      </c>
      <c r="C42" s="5">
        <v>800000.0</v>
      </c>
      <c r="D42" s="5">
        <v>0.0</v>
      </c>
      <c r="E42" s="5">
        <f t="shared" si="1"/>
        <v>303067577.8</v>
      </c>
      <c r="F42" s="4" t="s">
        <v>58</v>
      </c>
      <c r="G42" s="14" t="s">
        <v>59</v>
      </c>
      <c r="H42" s="4" t="s">
        <v>226</v>
      </c>
    </row>
    <row r="43" ht="15.75" customHeight="1">
      <c r="A43" s="12">
        <v>46064.0</v>
      </c>
      <c r="B43" s="13" t="s">
        <v>228</v>
      </c>
      <c r="C43" s="5">
        <v>300000.0</v>
      </c>
      <c r="D43" s="5">
        <v>0.0</v>
      </c>
      <c r="E43" s="5">
        <f t="shared" si="1"/>
        <v>302767577.8</v>
      </c>
      <c r="F43" s="4" t="s">
        <v>58</v>
      </c>
      <c r="G43" s="14" t="s">
        <v>59</v>
      </c>
      <c r="H43" s="4" t="s">
        <v>226</v>
      </c>
    </row>
    <row r="44" ht="15.75" customHeight="1">
      <c r="A44" s="12">
        <v>46064.0</v>
      </c>
      <c r="B44" s="13" t="s">
        <v>231</v>
      </c>
      <c r="C44" s="5">
        <v>300000.0</v>
      </c>
      <c r="D44" s="5">
        <v>0.0</v>
      </c>
      <c r="E44" s="5">
        <f t="shared" si="1"/>
        <v>302467577.8</v>
      </c>
      <c r="F44" s="4" t="s">
        <v>58</v>
      </c>
      <c r="G44" s="14" t="s">
        <v>59</v>
      </c>
      <c r="H44" s="4" t="s">
        <v>234</v>
      </c>
    </row>
    <row r="45" ht="15.75" customHeight="1">
      <c r="A45" s="12">
        <v>46064.0</v>
      </c>
      <c r="B45" s="13" t="s">
        <v>235</v>
      </c>
      <c r="C45" s="5">
        <v>300000.0</v>
      </c>
      <c r="D45" s="5">
        <v>0.0</v>
      </c>
      <c r="E45" s="5">
        <f t="shared" si="1"/>
        <v>302167577.8</v>
      </c>
      <c r="F45" s="4" t="s">
        <v>58</v>
      </c>
      <c r="G45" s="14" t="s">
        <v>59</v>
      </c>
      <c r="H45" s="4" t="s">
        <v>238</v>
      </c>
    </row>
    <row r="46" ht="15.75" customHeight="1">
      <c r="A46" s="12">
        <v>46064.0</v>
      </c>
      <c r="B46" s="13" t="s">
        <v>239</v>
      </c>
      <c r="C46" s="5">
        <v>495000.0</v>
      </c>
      <c r="D46" s="5">
        <v>0.0</v>
      </c>
      <c r="E46" s="5">
        <f t="shared" si="1"/>
        <v>301672577.8</v>
      </c>
      <c r="F46" s="4" t="s">
        <v>105</v>
      </c>
      <c r="G46" s="14" t="s">
        <v>148</v>
      </c>
    </row>
    <row r="47" ht="15.75" customHeight="1">
      <c r="A47" s="12">
        <v>46064.0</v>
      </c>
      <c r="B47" s="13" t="s">
        <v>241</v>
      </c>
      <c r="C47" s="5">
        <v>400000.0</v>
      </c>
      <c r="D47" s="5">
        <v>0.0</v>
      </c>
      <c r="E47" s="5">
        <f t="shared" si="1"/>
        <v>301272577.8</v>
      </c>
      <c r="F47" s="4" t="s">
        <v>58</v>
      </c>
      <c r="G47" s="14" t="s">
        <v>59</v>
      </c>
      <c r="H47" s="4" t="s">
        <v>226</v>
      </c>
    </row>
    <row r="48" ht="15.75" customHeight="1">
      <c r="A48" s="12">
        <v>46064.0</v>
      </c>
      <c r="B48" s="13" t="s">
        <v>244</v>
      </c>
      <c r="C48" s="5">
        <v>3000000.0</v>
      </c>
      <c r="D48" s="5">
        <v>0.0</v>
      </c>
      <c r="E48" s="5">
        <f t="shared" si="1"/>
        <v>298272577.8</v>
      </c>
      <c r="F48" s="4" t="s">
        <v>24</v>
      </c>
      <c r="G48" s="14" t="s">
        <v>198</v>
      </c>
      <c r="H48" s="4" t="s">
        <v>247</v>
      </c>
    </row>
    <row r="49" ht="15.75" customHeight="1">
      <c r="A49" s="12">
        <v>46064.0</v>
      </c>
      <c r="B49" s="13" t="s">
        <v>250</v>
      </c>
      <c r="C49" s="5">
        <v>600000.0</v>
      </c>
      <c r="D49" s="5">
        <v>0.0</v>
      </c>
      <c r="E49" s="5">
        <f t="shared" si="1"/>
        <v>297672577.8</v>
      </c>
      <c r="F49" s="4" t="s">
        <v>105</v>
      </c>
      <c r="G49" s="14" t="s">
        <v>148</v>
      </c>
    </row>
    <row r="50" ht="15.75" customHeight="1">
      <c r="A50" s="12">
        <v>46064.0</v>
      </c>
      <c r="B50" s="13" t="s">
        <v>251</v>
      </c>
      <c r="C50" s="5">
        <v>1645000.0</v>
      </c>
      <c r="D50" s="5">
        <v>0.0</v>
      </c>
      <c r="E50" s="5">
        <f t="shared" si="1"/>
        <v>296027577.8</v>
      </c>
      <c r="F50" s="4" t="s">
        <v>105</v>
      </c>
      <c r="G50" s="14" t="s">
        <v>148</v>
      </c>
    </row>
    <row r="51" ht="15.75" customHeight="1">
      <c r="A51" s="12">
        <v>46064.0</v>
      </c>
      <c r="B51" s="13" t="s">
        <v>255</v>
      </c>
      <c r="C51" s="5">
        <v>975000.0</v>
      </c>
      <c r="D51" s="5">
        <v>0.0</v>
      </c>
      <c r="E51" s="5">
        <f t="shared" si="1"/>
        <v>295052577.8</v>
      </c>
      <c r="F51" s="4" t="s">
        <v>105</v>
      </c>
      <c r="G51" s="14" t="s">
        <v>148</v>
      </c>
    </row>
    <row r="52" ht="15.75" customHeight="1">
      <c r="A52" s="12">
        <v>46064.0</v>
      </c>
      <c r="B52" s="13" t="s">
        <v>260</v>
      </c>
      <c r="C52" s="5">
        <v>0.0</v>
      </c>
      <c r="D52" s="5">
        <v>6725000.0</v>
      </c>
      <c r="E52" s="5">
        <f t="shared" si="1"/>
        <v>301777577.8</v>
      </c>
      <c r="F52" s="4" t="s">
        <v>75</v>
      </c>
      <c r="G52" s="14" t="s">
        <v>76</v>
      </c>
      <c r="H52" s="14" t="s">
        <v>266</v>
      </c>
      <c r="I52" s="16" t="s">
        <v>267</v>
      </c>
    </row>
    <row r="53" ht="15.75" customHeight="1">
      <c r="A53" s="8">
        <v>46065.0</v>
      </c>
      <c r="B53" s="13" t="s">
        <v>269</v>
      </c>
      <c r="C53" s="5">
        <v>0.0</v>
      </c>
      <c r="D53" s="5">
        <v>5880000.0</v>
      </c>
      <c r="E53" s="5">
        <f t="shared" si="1"/>
        <v>307657577.8</v>
      </c>
      <c r="F53" s="14" t="s">
        <v>75</v>
      </c>
      <c r="G53" s="14" t="s">
        <v>76</v>
      </c>
      <c r="H53" s="14" t="s">
        <v>266</v>
      </c>
      <c r="I53" s="14" t="s">
        <v>274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2">
        <v>46069.0</v>
      </c>
      <c r="B54" s="13" t="s">
        <v>279</v>
      </c>
      <c r="C54" s="5">
        <v>4000000.0</v>
      </c>
      <c r="D54" s="5">
        <v>0.0</v>
      </c>
      <c r="E54" s="5">
        <f t="shared" si="1"/>
        <v>303657577.8</v>
      </c>
      <c r="F54" s="4" t="s">
        <v>18</v>
      </c>
      <c r="G54" s="14" t="s">
        <v>283</v>
      </c>
      <c r="H54" s="4" t="s">
        <v>284</v>
      </c>
      <c r="I54" s="4" t="s">
        <v>285</v>
      </c>
    </row>
    <row r="55" ht="15.75" customHeight="1">
      <c r="A55" s="12">
        <v>46069.0</v>
      </c>
      <c r="B55" s="13" t="s">
        <v>287</v>
      </c>
      <c r="C55" s="5">
        <v>2500.0</v>
      </c>
      <c r="D55" s="5">
        <v>0.0</v>
      </c>
      <c r="E55" s="5">
        <f t="shared" si="1"/>
        <v>303655077.8</v>
      </c>
      <c r="F55" s="4" t="s">
        <v>43</v>
      </c>
      <c r="G55" s="14" t="s">
        <v>45</v>
      </c>
    </row>
    <row r="56" ht="15.75" customHeight="1">
      <c r="A56" s="12">
        <v>46073.0</v>
      </c>
      <c r="B56" s="13" t="s">
        <v>292</v>
      </c>
      <c r="C56" s="5">
        <v>400000.0</v>
      </c>
      <c r="D56" s="5">
        <v>0.0</v>
      </c>
      <c r="E56" s="5">
        <f t="shared" si="1"/>
        <v>303255077.8</v>
      </c>
      <c r="F56" s="4" t="s">
        <v>58</v>
      </c>
      <c r="G56" s="14" t="s">
        <v>59</v>
      </c>
      <c r="H56" s="4" t="s">
        <v>294</v>
      </c>
    </row>
    <row r="57" ht="15.75" customHeight="1">
      <c r="A57" s="12">
        <v>46073.0</v>
      </c>
      <c r="B57" s="13" t="s">
        <v>296</v>
      </c>
      <c r="C57" s="5">
        <v>1000000.0</v>
      </c>
      <c r="D57" s="5">
        <v>0.0</v>
      </c>
      <c r="E57" s="5">
        <f t="shared" si="1"/>
        <v>302255077.8</v>
      </c>
      <c r="F57" s="4" t="s">
        <v>58</v>
      </c>
      <c r="G57" s="14" t="s">
        <v>59</v>
      </c>
      <c r="H57" s="4" t="s">
        <v>234</v>
      </c>
    </row>
    <row r="58" ht="15.75" customHeight="1">
      <c r="A58" s="12">
        <v>46073.0</v>
      </c>
      <c r="B58" s="13" t="s">
        <v>299</v>
      </c>
      <c r="C58" s="5">
        <v>20000.0</v>
      </c>
      <c r="D58" s="5">
        <v>0.0</v>
      </c>
      <c r="E58" s="5">
        <f t="shared" si="1"/>
        <v>302235077.8</v>
      </c>
      <c r="F58" s="4" t="s">
        <v>43</v>
      </c>
      <c r="G58" s="14" t="s">
        <v>45</v>
      </c>
    </row>
    <row r="59" ht="15.75" customHeight="1">
      <c r="A59" s="8">
        <v>46076.0</v>
      </c>
      <c r="B59" s="13" t="s">
        <v>302</v>
      </c>
      <c r="C59" s="5">
        <v>0.0</v>
      </c>
      <c r="D59" s="5">
        <v>2025000.0</v>
      </c>
      <c r="E59" s="5">
        <f t="shared" si="1"/>
        <v>304260077.8</v>
      </c>
      <c r="F59" s="14" t="s">
        <v>75</v>
      </c>
      <c r="G59" s="14" t="s">
        <v>76</v>
      </c>
      <c r="H59" s="14" t="s">
        <v>266</v>
      </c>
      <c r="I59" s="16" t="s">
        <v>305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2">
        <v>46077.0</v>
      </c>
      <c r="B60" s="13" t="s">
        <v>311</v>
      </c>
      <c r="C60" s="5">
        <v>200000.0</v>
      </c>
      <c r="D60" s="5">
        <v>0.0</v>
      </c>
      <c r="E60" s="5">
        <f t="shared" si="1"/>
        <v>304060077.8</v>
      </c>
      <c r="F60" s="4" t="s">
        <v>58</v>
      </c>
      <c r="G60" s="14" t="s">
        <v>59</v>
      </c>
      <c r="H60" s="14" t="s">
        <v>314</v>
      </c>
    </row>
    <row r="61" ht="15.75" customHeight="1">
      <c r="A61" s="12">
        <v>46077.0</v>
      </c>
      <c r="B61" s="13" t="s">
        <v>315</v>
      </c>
      <c r="C61" s="5">
        <v>400000.0</v>
      </c>
      <c r="D61" s="5">
        <v>0.0</v>
      </c>
      <c r="E61" s="5">
        <f t="shared" si="1"/>
        <v>303660077.8</v>
      </c>
      <c r="F61" s="4" t="s">
        <v>58</v>
      </c>
      <c r="G61" s="14" t="s">
        <v>59</v>
      </c>
      <c r="H61" s="4" t="s">
        <v>319</v>
      </c>
    </row>
    <row r="62" ht="15.75" customHeight="1">
      <c r="A62" s="12">
        <v>46077.0</v>
      </c>
      <c r="B62" s="13" t="s">
        <v>320</v>
      </c>
      <c r="C62" s="5">
        <v>150000.0</v>
      </c>
      <c r="D62" s="5">
        <v>0.0</v>
      </c>
      <c r="E62" s="5">
        <f t="shared" si="1"/>
        <v>303510077.8</v>
      </c>
      <c r="F62" s="4" t="s">
        <v>58</v>
      </c>
      <c r="G62" s="14" t="s">
        <v>59</v>
      </c>
      <c r="H62" s="4" t="s">
        <v>319</v>
      </c>
    </row>
    <row r="63" ht="15.75" customHeight="1">
      <c r="A63" s="12">
        <v>46078.0</v>
      </c>
      <c r="B63" s="13" t="s">
        <v>323</v>
      </c>
      <c r="C63" s="5">
        <v>1700000.0</v>
      </c>
      <c r="D63" s="5">
        <v>0.0</v>
      </c>
      <c r="E63" s="5">
        <f t="shared" si="1"/>
        <v>301810077.8</v>
      </c>
      <c r="F63" s="4" t="s">
        <v>58</v>
      </c>
      <c r="G63" s="14" t="s">
        <v>59</v>
      </c>
      <c r="H63" s="4" t="s">
        <v>326</v>
      </c>
    </row>
    <row r="64" ht="15.75" customHeight="1">
      <c r="A64" s="12">
        <v>46078.0</v>
      </c>
      <c r="B64" s="13" t="s">
        <v>329</v>
      </c>
      <c r="C64" s="5">
        <v>1550000.0</v>
      </c>
      <c r="D64" s="5">
        <v>0.0</v>
      </c>
      <c r="E64" s="5">
        <f t="shared" si="1"/>
        <v>300260077.8</v>
      </c>
      <c r="F64" s="4" t="s">
        <v>58</v>
      </c>
      <c r="G64" s="14" t="s">
        <v>59</v>
      </c>
      <c r="H64" s="4" t="s">
        <v>332</v>
      </c>
    </row>
    <row r="65" ht="15.75" customHeight="1">
      <c r="A65" s="12">
        <v>46078.0</v>
      </c>
      <c r="B65" s="13" t="s">
        <v>335</v>
      </c>
      <c r="C65" s="5">
        <v>1850000.0</v>
      </c>
      <c r="D65" s="5">
        <v>0.0</v>
      </c>
      <c r="E65" s="5">
        <f t="shared" si="1"/>
        <v>298410077.8</v>
      </c>
      <c r="F65" s="4" t="s">
        <v>58</v>
      </c>
      <c r="G65" s="14" t="s">
        <v>59</v>
      </c>
      <c r="H65" s="4" t="s">
        <v>319</v>
      </c>
    </row>
    <row r="66" ht="15.75" customHeight="1">
      <c r="A66" s="12">
        <v>46078.0</v>
      </c>
      <c r="B66" s="13" t="s">
        <v>338</v>
      </c>
      <c r="C66" s="5">
        <v>1450000.0</v>
      </c>
      <c r="D66" s="5">
        <v>0.0</v>
      </c>
      <c r="E66" s="5">
        <f t="shared" si="1"/>
        <v>296960077.8</v>
      </c>
      <c r="F66" s="4" t="s">
        <v>58</v>
      </c>
      <c r="G66" s="14" t="s">
        <v>59</v>
      </c>
      <c r="H66" s="4" t="s">
        <v>234</v>
      </c>
    </row>
    <row r="67" ht="15.75" customHeight="1">
      <c r="A67" s="12">
        <v>46078.0</v>
      </c>
      <c r="B67" s="13" t="s">
        <v>344</v>
      </c>
      <c r="C67" s="5">
        <v>1450000.0</v>
      </c>
      <c r="D67" s="5">
        <v>0.0</v>
      </c>
      <c r="E67" s="5">
        <f t="shared" si="1"/>
        <v>295510077.8</v>
      </c>
      <c r="F67" s="4" t="s">
        <v>58</v>
      </c>
      <c r="G67" s="14" t="s">
        <v>59</v>
      </c>
      <c r="H67" s="4" t="s">
        <v>238</v>
      </c>
    </row>
    <row r="68" ht="15.75" customHeight="1">
      <c r="A68" s="12">
        <v>46078.0</v>
      </c>
      <c r="B68" s="13" t="s">
        <v>345</v>
      </c>
      <c r="C68" s="5">
        <v>1750000.0</v>
      </c>
      <c r="D68" s="5">
        <v>0.0</v>
      </c>
      <c r="E68" s="5">
        <f t="shared" si="1"/>
        <v>293760077.8</v>
      </c>
      <c r="F68" s="4" t="s">
        <v>58</v>
      </c>
      <c r="G68" s="14" t="s">
        <v>59</v>
      </c>
      <c r="H68" s="4" t="s">
        <v>326</v>
      </c>
    </row>
    <row r="69" ht="15.75" customHeight="1">
      <c r="A69" s="12">
        <v>46078.0</v>
      </c>
      <c r="B69" s="13" t="s">
        <v>347</v>
      </c>
      <c r="C69" s="5">
        <v>1850000.0</v>
      </c>
      <c r="D69" s="5">
        <v>0.0</v>
      </c>
      <c r="E69" s="5">
        <f t="shared" si="1"/>
        <v>291910077.8</v>
      </c>
      <c r="F69" s="4" t="s">
        <v>58</v>
      </c>
      <c r="G69" s="14" t="s">
        <v>59</v>
      </c>
      <c r="H69" s="4" t="s">
        <v>319</v>
      </c>
    </row>
    <row r="70" ht="15.75" customHeight="1">
      <c r="A70" s="12">
        <v>46078.0</v>
      </c>
      <c r="B70" s="13" t="s">
        <v>355</v>
      </c>
      <c r="C70" s="5">
        <v>1000000.0</v>
      </c>
      <c r="D70" s="5">
        <v>0.0</v>
      </c>
      <c r="E70" s="5">
        <f t="shared" si="1"/>
        <v>290910077.8</v>
      </c>
      <c r="F70" s="4" t="s">
        <v>58</v>
      </c>
      <c r="G70" s="14" t="s">
        <v>59</v>
      </c>
      <c r="H70" s="4" t="s">
        <v>238</v>
      </c>
    </row>
    <row r="71" ht="15.75" customHeight="1">
      <c r="A71" s="12">
        <v>46078.0</v>
      </c>
      <c r="B71" s="13" t="s">
        <v>357</v>
      </c>
      <c r="C71" s="5">
        <v>1950000.0</v>
      </c>
      <c r="D71" s="5">
        <v>0.0</v>
      </c>
      <c r="E71" s="5">
        <f t="shared" si="1"/>
        <v>288960077.8</v>
      </c>
      <c r="F71" s="4" t="s">
        <v>58</v>
      </c>
      <c r="G71" s="14" t="s">
        <v>59</v>
      </c>
      <c r="H71" s="4" t="s">
        <v>326</v>
      </c>
    </row>
    <row r="72" ht="15.75" customHeight="1">
      <c r="A72" s="12">
        <v>46080.0</v>
      </c>
      <c r="B72" s="13" t="s">
        <v>361</v>
      </c>
      <c r="C72" s="5">
        <v>1.145E8</v>
      </c>
      <c r="D72" s="5">
        <v>0.0</v>
      </c>
      <c r="E72" s="5">
        <f t="shared" si="1"/>
        <v>174460077.8</v>
      </c>
      <c r="F72" s="4" t="s">
        <v>105</v>
      </c>
      <c r="G72" s="14" t="s">
        <v>193</v>
      </c>
      <c r="H72" s="4" t="s">
        <v>363</v>
      </c>
    </row>
    <row r="73" ht="15.75" customHeight="1">
      <c r="A73" s="12">
        <v>46080.0</v>
      </c>
      <c r="B73" s="13" t="s">
        <v>365</v>
      </c>
      <c r="C73" s="5">
        <v>0.0</v>
      </c>
      <c r="D73" s="5">
        <v>2000000.0</v>
      </c>
      <c r="E73" s="5">
        <f t="shared" si="1"/>
        <v>176460077.8</v>
      </c>
      <c r="F73" s="4" t="s">
        <v>24</v>
      </c>
      <c r="G73" s="14" t="s">
        <v>198</v>
      </c>
      <c r="H73" s="4" t="s">
        <v>199</v>
      </c>
    </row>
    <row r="74" ht="15.75" customHeight="1">
      <c r="A74" s="12">
        <v>46080.0</v>
      </c>
      <c r="B74" s="13" t="s">
        <v>368</v>
      </c>
      <c r="C74" s="5">
        <v>0.0</v>
      </c>
      <c r="D74" s="5">
        <v>2000000.0</v>
      </c>
      <c r="E74" s="5">
        <f t="shared" si="1"/>
        <v>178460077.8</v>
      </c>
      <c r="F74" s="4" t="s">
        <v>24</v>
      </c>
      <c r="G74" s="14" t="s">
        <v>198</v>
      </c>
      <c r="H74" s="4" t="s">
        <v>203</v>
      </c>
    </row>
    <row r="75" ht="15.75" customHeight="1">
      <c r="A75" s="12">
        <v>46080.0</v>
      </c>
      <c r="B75" s="13" t="s">
        <v>372</v>
      </c>
      <c r="C75" s="5">
        <v>0.0</v>
      </c>
      <c r="D75" s="5">
        <v>500000.0</v>
      </c>
      <c r="E75" s="5">
        <f t="shared" si="1"/>
        <v>178960077.8</v>
      </c>
      <c r="F75" s="4" t="s">
        <v>24</v>
      </c>
      <c r="G75" s="14" t="s">
        <v>198</v>
      </c>
      <c r="H75" s="4" t="s">
        <v>247</v>
      </c>
    </row>
    <row r="76" ht="15.75" customHeight="1">
      <c r="A76" s="12">
        <v>46081.0</v>
      </c>
      <c r="B76" s="13" t="s">
        <v>375</v>
      </c>
      <c r="C76" s="5">
        <v>0.0</v>
      </c>
      <c r="D76" s="5">
        <v>1918.03</v>
      </c>
      <c r="E76" s="5">
        <f t="shared" si="1"/>
        <v>178961995.8</v>
      </c>
      <c r="F76" s="4" t="s">
        <v>63</v>
      </c>
      <c r="G76" s="14" t="s">
        <v>65</v>
      </c>
    </row>
    <row r="77" ht="15.75" customHeight="1">
      <c r="A77" s="12">
        <v>46081.0</v>
      </c>
      <c r="B77" s="13" t="s">
        <v>377</v>
      </c>
      <c r="C77" s="5">
        <v>383.61</v>
      </c>
      <c r="D77" s="5">
        <v>0.0</v>
      </c>
      <c r="E77" s="5">
        <f t="shared" si="1"/>
        <v>178961612.2</v>
      </c>
      <c r="F77" s="4" t="s">
        <v>63</v>
      </c>
      <c r="G77" s="14" t="s">
        <v>65</v>
      </c>
    </row>
    <row r="78" ht="15.75" customHeight="1">
      <c r="A78" s="12">
        <v>46086.0</v>
      </c>
      <c r="B78" s="13" t="s">
        <v>381</v>
      </c>
      <c r="C78" s="5">
        <v>0.0</v>
      </c>
      <c r="D78" s="5">
        <v>5351000.0</v>
      </c>
      <c r="E78" s="5">
        <f t="shared" si="1"/>
        <v>184312612.2</v>
      </c>
      <c r="F78" s="4" t="s">
        <v>24</v>
      </c>
      <c r="G78" s="14" t="s">
        <v>26</v>
      </c>
      <c r="H78" s="4" t="s">
        <v>324</v>
      </c>
      <c r="I78" s="16" t="s">
        <v>382</v>
      </c>
    </row>
    <row r="79" ht="15.75" customHeight="1">
      <c r="A79" s="12">
        <v>46092.0</v>
      </c>
      <c r="B79" s="13" t="s">
        <v>384</v>
      </c>
      <c r="C79" s="5">
        <v>630000.0</v>
      </c>
      <c r="D79" s="5">
        <v>0.0</v>
      </c>
      <c r="E79" s="5">
        <f t="shared" si="1"/>
        <v>183682612.2</v>
      </c>
      <c r="F79" s="4" t="s">
        <v>105</v>
      </c>
      <c r="G79" s="14" t="s">
        <v>148</v>
      </c>
    </row>
    <row r="80" ht="15.75" customHeight="1">
      <c r="A80" s="12">
        <v>46093.0</v>
      </c>
      <c r="B80" s="13" t="s">
        <v>389</v>
      </c>
      <c r="C80" s="5">
        <v>1465000.0</v>
      </c>
      <c r="D80" s="5">
        <v>0.0</v>
      </c>
      <c r="E80" s="5">
        <f t="shared" si="1"/>
        <v>182217612.2</v>
      </c>
      <c r="F80" s="4" t="s">
        <v>105</v>
      </c>
      <c r="G80" s="14" t="s">
        <v>148</v>
      </c>
    </row>
    <row r="81" ht="15.75" customHeight="1">
      <c r="A81" s="12">
        <v>46093.0</v>
      </c>
      <c r="B81" s="13" t="s">
        <v>393</v>
      </c>
      <c r="C81" s="5">
        <v>665000.0</v>
      </c>
      <c r="D81" s="5">
        <v>0.0</v>
      </c>
      <c r="E81" s="5">
        <f t="shared" si="1"/>
        <v>181552612.2</v>
      </c>
      <c r="F81" s="4" t="s">
        <v>105</v>
      </c>
      <c r="G81" s="14" t="s">
        <v>148</v>
      </c>
    </row>
    <row r="82" ht="15.75" customHeight="1">
      <c r="A82" s="12">
        <v>46093.0</v>
      </c>
      <c r="B82" s="13" t="s">
        <v>396</v>
      </c>
      <c r="C82" s="5">
        <v>600000.0</v>
      </c>
      <c r="D82" s="5">
        <v>0.0</v>
      </c>
      <c r="E82" s="5">
        <f t="shared" si="1"/>
        <v>180952612.2</v>
      </c>
      <c r="F82" s="4" t="s">
        <v>105</v>
      </c>
      <c r="G82" s="14" t="s">
        <v>148</v>
      </c>
    </row>
    <row r="83" ht="15.75" customHeight="1">
      <c r="A83" s="12">
        <v>46093.0</v>
      </c>
      <c r="B83" s="13" t="s">
        <v>398</v>
      </c>
      <c r="C83" s="5">
        <v>8.4458333E7</v>
      </c>
      <c r="D83" s="5">
        <v>0.0</v>
      </c>
      <c r="E83" s="5">
        <f t="shared" si="1"/>
        <v>96494279.19</v>
      </c>
      <c r="F83" s="4" t="s">
        <v>105</v>
      </c>
      <c r="G83" s="14" t="s">
        <v>193</v>
      </c>
      <c r="H83" s="4" t="s">
        <v>400</v>
      </c>
    </row>
    <row r="84" ht="15.75" customHeight="1">
      <c r="A84" s="12">
        <v>46098.0</v>
      </c>
      <c r="B84" s="13" t="s">
        <v>402</v>
      </c>
      <c r="C84" s="5">
        <v>1800000.0</v>
      </c>
      <c r="D84" s="5">
        <v>0.0</v>
      </c>
      <c r="E84" s="5">
        <f t="shared" si="1"/>
        <v>94694279.19</v>
      </c>
      <c r="F84" s="4" t="s">
        <v>58</v>
      </c>
      <c r="G84" s="14" t="s">
        <v>59</v>
      </c>
      <c r="H84" s="14" t="s">
        <v>404</v>
      </c>
    </row>
    <row r="85" ht="15.75" customHeight="1">
      <c r="A85" s="12">
        <v>46098.0</v>
      </c>
      <c r="B85" s="13" t="s">
        <v>406</v>
      </c>
      <c r="C85" s="5">
        <v>2000000.0</v>
      </c>
      <c r="D85" s="5">
        <v>0.0</v>
      </c>
      <c r="E85" s="5">
        <f t="shared" si="1"/>
        <v>92694279.19</v>
      </c>
      <c r="F85" s="4" t="s">
        <v>58</v>
      </c>
      <c r="G85" s="14" t="s">
        <v>59</v>
      </c>
      <c r="H85" s="4" t="s">
        <v>408</v>
      </c>
    </row>
    <row r="86" ht="15.75" customHeight="1">
      <c r="A86" s="12">
        <v>46098.0</v>
      </c>
      <c r="B86" s="13" t="s">
        <v>409</v>
      </c>
      <c r="C86" s="5">
        <v>5300000.0</v>
      </c>
      <c r="D86" s="5">
        <v>0.0</v>
      </c>
      <c r="E86" s="5">
        <f t="shared" si="1"/>
        <v>87394279.19</v>
      </c>
      <c r="F86" s="4" t="s">
        <v>50</v>
      </c>
      <c r="G86" s="14" t="s">
        <v>245</v>
      </c>
      <c r="H86" s="4" t="s">
        <v>413</v>
      </c>
    </row>
    <row r="87" ht="15.75" customHeight="1">
      <c r="A87" s="12">
        <v>46101.0</v>
      </c>
      <c r="B87" s="13" t="s">
        <v>168</v>
      </c>
      <c r="C87" s="5">
        <v>20000.0</v>
      </c>
      <c r="D87" s="5">
        <v>0.0</v>
      </c>
      <c r="E87" s="5">
        <f t="shared" si="1"/>
        <v>87374279.19</v>
      </c>
      <c r="F87" s="4" t="s">
        <v>43</v>
      </c>
      <c r="G87" s="14" t="s">
        <v>45</v>
      </c>
    </row>
    <row r="88" ht="15.75" customHeight="1">
      <c r="A88" s="12">
        <v>46108.0</v>
      </c>
      <c r="B88" s="13" t="s">
        <v>419</v>
      </c>
      <c r="C88" s="5">
        <v>900000.0</v>
      </c>
      <c r="D88" s="5">
        <v>0.0</v>
      </c>
      <c r="E88" s="5">
        <f t="shared" si="1"/>
        <v>86474279.19</v>
      </c>
      <c r="F88" s="4" t="s">
        <v>58</v>
      </c>
      <c r="G88" s="14" t="s">
        <v>59</v>
      </c>
      <c r="H88" s="4" t="s">
        <v>319</v>
      </c>
    </row>
    <row r="89" ht="15.75" customHeight="1">
      <c r="A89" s="12">
        <v>46108.0</v>
      </c>
      <c r="B89" s="13" t="s">
        <v>421</v>
      </c>
      <c r="C89" s="5">
        <v>0.0</v>
      </c>
      <c r="D89" s="5">
        <v>3.5E7</v>
      </c>
      <c r="E89" s="5">
        <f t="shared" si="1"/>
        <v>121474279.2</v>
      </c>
      <c r="F89" s="4" t="s">
        <v>93</v>
      </c>
      <c r="G89" s="4" t="s">
        <v>93</v>
      </c>
      <c r="H89" s="4" t="s">
        <v>21</v>
      </c>
    </row>
    <row r="90" ht="15.75" customHeight="1">
      <c r="A90" s="12">
        <v>46108.0</v>
      </c>
      <c r="B90" s="13" t="s">
        <v>423</v>
      </c>
      <c r="C90" s="5">
        <v>1.145E8</v>
      </c>
      <c r="D90" s="5">
        <v>0.0</v>
      </c>
      <c r="E90" s="5">
        <f t="shared" si="1"/>
        <v>6974279.19</v>
      </c>
      <c r="F90" s="4" t="s">
        <v>105</v>
      </c>
      <c r="G90" s="14" t="s">
        <v>193</v>
      </c>
      <c r="H90" s="4" t="s">
        <v>425</v>
      </c>
    </row>
    <row r="91" ht="15.75" customHeight="1">
      <c r="A91" s="12">
        <v>46108.0</v>
      </c>
      <c r="B91" s="13" t="s">
        <v>427</v>
      </c>
      <c r="C91" s="5">
        <v>0.0</v>
      </c>
      <c r="D91" s="5">
        <v>2000000.0</v>
      </c>
      <c r="E91" s="5">
        <f t="shared" si="1"/>
        <v>8974279.19</v>
      </c>
      <c r="F91" s="4" t="s">
        <v>24</v>
      </c>
      <c r="G91" s="14" t="s">
        <v>198</v>
      </c>
      <c r="H91" s="4" t="s">
        <v>199</v>
      </c>
    </row>
    <row r="92" ht="15.75" customHeight="1">
      <c r="A92" s="12">
        <v>46108.0</v>
      </c>
      <c r="B92" s="13" t="s">
        <v>368</v>
      </c>
      <c r="C92" s="5">
        <v>0.0</v>
      </c>
      <c r="D92" s="5">
        <v>2000000.0</v>
      </c>
      <c r="E92" s="5">
        <f t="shared" si="1"/>
        <v>10974279.19</v>
      </c>
      <c r="F92" s="4" t="s">
        <v>24</v>
      </c>
      <c r="G92" s="14" t="s">
        <v>198</v>
      </c>
      <c r="H92" s="4" t="s">
        <v>203</v>
      </c>
    </row>
    <row r="93" ht="15.75" customHeight="1">
      <c r="A93" s="12">
        <v>46108.0</v>
      </c>
      <c r="B93" s="13" t="s">
        <v>372</v>
      </c>
      <c r="C93" s="5">
        <v>0.0</v>
      </c>
      <c r="D93" s="5">
        <v>500000.0</v>
      </c>
      <c r="E93" s="5">
        <f t="shared" si="1"/>
        <v>11474279.19</v>
      </c>
      <c r="F93" s="4" t="s">
        <v>24</v>
      </c>
      <c r="G93" s="14" t="s">
        <v>198</v>
      </c>
      <c r="H93" s="4" t="s">
        <v>247</v>
      </c>
    </row>
    <row r="94" ht="15.75" customHeight="1">
      <c r="A94" s="12">
        <v>46110.0</v>
      </c>
      <c r="B94" s="13" t="s">
        <v>432</v>
      </c>
      <c r="C94" s="5">
        <v>0.0</v>
      </c>
      <c r="D94" s="5">
        <v>1.0E7</v>
      </c>
      <c r="E94" s="5">
        <f t="shared" si="1"/>
        <v>21474279.19</v>
      </c>
      <c r="F94" s="4" t="s">
        <v>24</v>
      </c>
      <c r="G94" s="14" t="s">
        <v>198</v>
      </c>
      <c r="H94" s="4" t="s">
        <v>72</v>
      </c>
    </row>
    <row r="95" ht="15.75" customHeight="1">
      <c r="A95" s="12">
        <v>46112.0</v>
      </c>
      <c r="B95" s="13" t="s">
        <v>435</v>
      </c>
      <c r="C95" s="5">
        <v>2.0E7</v>
      </c>
      <c r="D95" s="5">
        <v>0.0</v>
      </c>
      <c r="E95" s="5">
        <f t="shared" si="1"/>
        <v>1474279.19</v>
      </c>
      <c r="F95" s="4" t="s">
        <v>93</v>
      </c>
      <c r="G95" s="4" t="s">
        <v>93</v>
      </c>
      <c r="H95" s="4" t="s">
        <v>21</v>
      </c>
    </row>
    <row r="96" ht="15.75" customHeight="1">
      <c r="A96" s="12">
        <v>46112.0</v>
      </c>
      <c r="B96" s="13" t="s">
        <v>437</v>
      </c>
      <c r="C96" s="5">
        <v>1200000.0</v>
      </c>
      <c r="D96" s="5">
        <v>0.0</v>
      </c>
      <c r="E96" s="5">
        <f t="shared" si="1"/>
        <v>274279.19</v>
      </c>
      <c r="F96" s="4" t="s">
        <v>58</v>
      </c>
      <c r="G96" s="14" t="s">
        <v>59</v>
      </c>
      <c r="H96" s="4" t="s">
        <v>332</v>
      </c>
    </row>
    <row r="97" ht="15.75" customHeight="1">
      <c r="A97" s="12">
        <v>46112.0</v>
      </c>
      <c r="B97" s="13" t="s">
        <v>375</v>
      </c>
      <c r="C97" s="5">
        <v>0.0</v>
      </c>
      <c r="D97" s="5">
        <v>915.35</v>
      </c>
      <c r="E97" s="5">
        <f t="shared" si="1"/>
        <v>275194.54</v>
      </c>
      <c r="F97" s="4" t="s">
        <v>63</v>
      </c>
      <c r="G97" s="14" t="s">
        <v>65</v>
      </c>
    </row>
    <row r="98" ht="15.75" customHeight="1">
      <c r="A98" s="12">
        <v>46112.0</v>
      </c>
      <c r="B98" s="13" t="s">
        <v>377</v>
      </c>
      <c r="C98" s="5">
        <v>183.07</v>
      </c>
      <c r="D98" s="5">
        <v>0.0</v>
      </c>
      <c r="E98" s="5">
        <f t="shared" si="1"/>
        <v>275011.47</v>
      </c>
      <c r="F98" s="4" t="s">
        <v>63</v>
      </c>
      <c r="G98" s="14" t="s">
        <v>65</v>
      </c>
    </row>
    <row r="99" ht="15.75" customHeight="1">
      <c r="A99" s="12">
        <v>46119.0</v>
      </c>
      <c r="B99" s="13" t="s">
        <v>450</v>
      </c>
      <c r="C99" s="5">
        <v>0.0</v>
      </c>
      <c r="D99" s="5">
        <v>174989.0</v>
      </c>
      <c r="E99" s="5">
        <f t="shared" si="1"/>
        <v>450000.47</v>
      </c>
      <c r="F99" s="4" t="s">
        <v>93</v>
      </c>
      <c r="G99" s="4" t="s">
        <v>93</v>
      </c>
      <c r="H99" s="4" t="s">
        <v>20</v>
      </c>
    </row>
    <row r="100" ht="15.75" customHeight="1">
      <c r="A100" s="12">
        <v>46119.0</v>
      </c>
      <c r="B100" s="13" t="s">
        <v>454</v>
      </c>
      <c r="C100" s="5">
        <v>400000.0</v>
      </c>
      <c r="D100" s="5">
        <v>0.0</v>
      </c>
      <c r="E100" s="5">
        <f t="shared" si="1"/>
        <v>50000.47</v>
      </c>
      <c r="F100" s="4" t="s">
        <v>58</v>
      </c>
      <c r="G100" s="14" t="s">
        <v>59</v>
      </c>
      <c r="H100" s="4" t="s">
        <v>458</v>
      </c>
    </row>
    <row r="101" ht="15.75" customHeight="1">
      <c r="A101" s="12">
        <v>46128.0</v>
      </c>
      <c r="B101" s="13" t="s">
        <v>459</v>
      </c>
      <c r="C101" s="5">
        <v>0.0</v>
      </c>
      <c r="D101" s="5">
        <v>3.655E7</v>
      </c>
      <c r="E101" s="5">
        <f t="shared" si="1"/>
        <v>36600000.47</v>
      </c>
      <c r="F101" s="4" t="s">
        <v>93</v>
      </c>
      <c r="G101" s="4" t="s">
        <v>93</v>
      </c>
      <c r="H101" s="4" t="s">
        <v>21</v>
      </c>
    </row>
    <row r="102" ht="15.75" customHeight="1">
      <c r="A102" s="12">
        <v>46128.0</v>
      </c>
      <c r="B102" s="13" t="s">
        <v>463</v>
      </c>
      <c r="C102" s="5">
        <v>5500000.0</v>
      </c>
      <c r="D102" s="5">
        <v>0.0</v>
      </c>
      <c r="E102" s="5">
        <f t="shared" si="1"/>
        <v>31100000.47</v>
      </c>
      <c r="F102" s="4" t="s">
        <v>58</v>
      </c>
      <c r="G102" s="14" t="s">
        <v>59</v>
      </c>
      <c r="H102" s="4" t="s">
        <v>408</v>
      </c>
    </row>
    <row r="103" ht="15.75" customHeight="1">
      <c r="A103" s="12">
        <v>46128.0</v>
      </c>
      <c r="B103" s="13" t="s">
        <v>466</v>
      </c>
      <c r="C103" s="5">
        <v>8500000.0</v>
      </c>
      <c r="D103" s="5">
        <v>0.0</v>
      </c>
      <c r="E103" s="5">
        <f t="shared" si="1"/>
        <v>22600000.47</v>
      </c>
      <c r="F103" s="4" t="s">
        <v>58</v>
      </c>
      <c r="G103" s="14" t="s">
        <v>59</v>
      </c>
      <c r="H103" s="4" t="s">
        <v>408</v>
      </c>
    </row>
    <row r="104" ht="15.75" customHeight="1">
      <c r="A104" s="12">
        <v>46128.0</v>
      </c>
      <c r="B104" s="13" t="s">
        <v>468</v>
      </c>
      <c r="C104" s="5">
        <v>1200000.0</v>
      </c>
      <c r="D104" s="5">
        <v>0.0</v>
      </c>
      <c r="E104" s="5">
        <f t="shared" si="1"/>
        <v>21400000.47</v>
      </c>
      <c r="F104" s="4" t="s">
        <v>58</v>
      </c>
      <c r="G104" s="14" t="s">
        <v>59</v>
      </c>
      <c r="H104" s="4" t="s">
        <v>408</v>
      </c>
    </row>
    <row r="105" ht="15.75" customHeight="1">
      <c r="A105" s="12">
        <v>46128.0</v>
      </c>
      <c r="B105" s="13" t="s">
        <v>471</v>
      </c>
      <c r="C105" s="5">
        <v>2000000.0</v>
      </c>
      <c r="D105" s="5">
        <v>0.0</v>
      </c>
      <c r="E105" s="5">
        <f t="shared" si="1"/>
        <v>19400000.47</v>
      </c>
      <c r="F105" s="4" t="s">
        <v>58</v>
      </c>
      <c r="G105" s="14" t="s">
        <v>59</v>
      </c>
      <c r="H105" s="4" t="s">
        <v>408</v>
      </c>
    </row>
    <row r="106" ht="15.75" customHeight="1">
      <c r="A106" s="12">
        <v>46128.0</v>
      </c>
      <c r="B106" s="13" t="s">
        <v>478</v>
      </c>
      <c r="C106" s="5">
        <v>800000.0</v>
      </c>
      <c r="D106" s="5">
        <v>0.0</v>
      </c>
      <c r="E106" s="5">
        <f t="shared" si="1"/>
        <v>18600000.47</v>
      </c>
      <c r="F106" s="4" t="s">
        <v>58</v>
      </c>
      <c r="G106" s="14" t="s">
        <v>59</v>
      </c>
      <c r="H106" s="4" t="s">
        <v>408</v>
      </c>
    </row>
    <row r="107" ht="15.75" customHeight="1">
      <c r="A107" s="12">
        <v>46128.0</v>
      </c>
      <c r="B107" s="13" t="s">
        <v>481</v>
      </c>
      <c r="C107" s="5">
        <v>1600000.0</v>
      </c>
      <c r="D107" s="5">
        <v>0.0</v>
      </c>
      <c r="E107" s="5">
        <f t="shared" si="1"/>
        <v>17000000.47</v>
      </c>
      <c r="F107" s="4" t="s">
        <v>58</v>
      </c>
      <c r="G107" s="14" t="s">
        <v>59</v>
      </c>
      <c r="H107" s="4" t="s">
        <v>408</v>
      </c>
    </row>
    <row r="108" ht="15.75" customHeight="1">
      <c r="A108" s="12">
        <v>46128.0</v>
      </c>
      <c r="B108" s="13" t="s">
        <v>484</v>
      </c>
      <c r="C108" s="5">
        <v>2000000.0</v>
      </c>
      <c r="D108" s="5">
        <v>0.0</v>
      </c>
      <c r="E108" s="5">
        <f t="shared" si="1"/>
        <v>15000000.47</v>
      </c>
      <c r="F108" s="4" t="s">
        <v>58</v>
      </c>
      <c r="G108" s="14" t="s">
        <v>59</v>
      </c>
      <c r="H108" s="4" t="s">
        <v>408</v>
      </c>
    </row>
    <row r="109" ht="15.75" customHeight="1">
      <c r="A109" s="12">
        <v>46128.0</v>
      </c>
      <c r="B109" s="13" t="s">
        <v>488</v>
      </c>
      <c r="C109" s="5">
        <v>800000.0</v>
      </c>
      <c r="D109" s="5">
        <v>0.0</v>
      </c>
      <c r="E109" s="5">
        <f t="shared" si="1"/>
        <v>14200000.47</v>
      </c>
      <c r="F109" s="4" t="s">
        <v>58</v>
      </c>
      <c r="G109" s="14" t="s">
        <v>59</v>
      </c>
      <c r="H109" s="4" t="s">
        <v>408</v>
      </c>
    </row>
    <row r="110" ht="15.75" customHeight="1">
      <c r="A110" s="12">
        <v>46128.0</v>
      </c>
      <c r="B110" s="13" t="s">
        <v>492</v>
      </c>
      <c r="C110" s="5">
        <v>600000.0</v>
      </c>
      <c r="D110" s="5">
        <v>0.0</v>
      </c>
      <c r="E110" s="5">
        <f t="shared" si="1"/>
        <v>13600000.47</v>
      </c>
      <c r="F110" s="4" t="s">
        <v>58</v>
      </c>
      <c r="G110" s="14" t="s">
        <v>59</v>
      </c>
      <c r="H110" s="4" t="s">
        <v>408</v>
      </c>
    </row>
    <row r="111" ht="15.75" customHeight="1">
      <c r="A111" s="12">
        <v>46128.0</v>
      </c>
      <c r="B111" s="13" t="s">
        <v>497</v>
      </c>
      <c r="C111" s="5">
        <v>450000.0</v>
      </c>
      <c r="D111" s="5">
        <v>0.0</v>
      </c>
      <c r="E111" s="5">
        <f t="shared" si="1"/>
        <v>13150000.47</v>
      </c>
      <c r="F111" s="4" t="s">
        <v>58</v>
      </c>
      <c r="G111" s="14" t="s">
        <v>59</v>
      </c>
      <c r="H111" s="4" t="s">
        <v>408</v>
      </c>
    </row>
    <row r="112" ht="15.75" customHeight="1">
      <c r="A112" s="12">
        <v>46128.0</v>
      </c>
      <c r="B112" s="13" t="s">
        <v>498</v>
      </c>
      <c r="C112" s="5">
        <v>1500000.0</v>
      </c>
      <c r="D112" s="5">
        <v>0.0</v>
      </c>
      <c r="E112" s="5">
        <f t="shared" si="1"/>
        <v>11650000.47</v>
      </c>
      <c r="F112" s="4" t="s">
        <v>58</v>
      </c>
      <c r="G112" s="14" t="s">
        <v>59</v>
      </c>
      <c r="H112" s="4" t="s">
        <v>408</v>
      </c>
    </row>
    <row r="113" ht="15.75" customHeight="1">
      <c r="A113" s="12">
        <v>46128.0</v>
      </c>
      <c r="B113" s="13" t="s">
        <v>502</v>
      </c>
      <c r="C113" s="5">
        <v>800000.0</v>
      </c>
      <c r="D113" s="5">
        <v>0.0</v>
      </c>
      <c r="E113" s="5">
        <f t="shared" si="1"/>
        <v>10850000.47</v>
      </c>
      <c r="F113" s="4" t="s">
        <v>58</v>
      </c>
      <c r="G113" s="14" t="s">
        <v>59</v>
      </c>
      <c r="H113" s="4" t="s">
        <v>408</v>
      </c>
    </row>
    <row r="114" ht="15.75" customHeight="1">
      <c r="A114" s="12">
        <v>46128.0</v>
      </c>
      <c r="B114" s="13" t="s">
        <v>505</v>
      </c>
      <c r="C114" s="5">
        <v>1200000.0</v>
      </c>
      <c r="D114" s="5">
        <v>0.0</v>
      </c>
      <c r="E114" s="5">
        <f t="shared" si="1"/>
        <v>9650000.47</v>
      </c>
      <c r="F114" s="4" t="s">
        <v>58</v>
      </c>
      <c r="G114" s="14" t="s">
        <v>59</v>
      </c>
      <c r="H114" s="4" t="s">
        <v>408</v>
      </c>
    </row>
    <row r="115" ht="15.75" customHeight="1">
      <c r="A115" s="12">
        <v>46128.0</v>
      </c>
      <c r="B115" s="13" t="s">
        <v>509</v>
      </c>
      <c r="C115" s="5">
        <v>1200000.0</v>
      </c>
      <c r="D115" s="5">
        <v>0.0</v>
      </c>
      <c r="E115" s="5">
        <f t="shared" si="1"/>
        <v>8450000.47</v>
      </c>
      <c r="F115" s="4" t="s">
        <v>58</v>
      </c>
      <c r="G115" s="14" t="s">
        <v>59</v>
      </c>
      <c r="H115" s="4" t="s">
        <v>408</v>
      </c>
    </row>
    <row r="116" ht="15.75" customHeight="1">
      <c r="A116" s="12">
        <v>46128.0</v>
      </c>
      <c r="B116" s="13" t="s">
        <v>513</v>
      </c>
      <c r="C116" s="5">
        <v>1200000.0</v>
      </c>
      <c r="D116" s="5">
        <v>0.0</v>
      </c>
      <c r="E116" s="5">
        <f t="shared" si="1"/>
        <v>7250000.47</v>
      </c>
      <c r="F116" s="4" t="s">
        <v>58</v>
      </c>
      <c r="G116" s="14" t="s">
        <v>59</v>
      </c>
      <c r="H116" s="4" t="s">
        <v>408</v>
      </c>
    </row>
    <row r="117" ht="15.75" customHeight="1">
      <c r="A117" s="12">
        <v>46128.0</v>
      </c>
      <c r="B117" s="13" t="s">
        <v>516</v>
      </c>
      <c r="C117" s="5">
        <v>2000000.0</v>
      </c>
      <c r="D117" s="5">
        <v>0.0</v>
      </c>
      <c r="E117" s="5">
        <f t="shared" si="1"/>
        <v>5250000.47</v>
      </c>
      <c r="F117" s="4" t="s">
        <v>58</v>
      </c>
      <c r="G117" s="14" t="s">
        <v>59</v>
      </c>
      <c r="H117" s="4" t="s">
        <v>408</v>
      </c>
    </row>
    <row r="118" ht="15.75" customHeight="1">
      <c r="A118" s="12">
        <v>46128.0</v>
      </c>
      <c r="B118" s="13" t="s">
        <v>520</v>
      </c>
      <c r="C118" s="5">
        <v>2000000.0</v>
      </c>
      <c r="D118" s="5">
        <v>0.0</v>
      </c>
      <c r="E118" s="5">
        <f t="shared" si="1"/>
        <v>3250000.47</v>
      </c>
      <c r="F118" s="4" t="s">
        <v>58</v>
      </c>
      <c r="G118" s="14" t="s">
        <v>59</v>
      </c>
      <c r="H118" s="4" t="s">
        <v>408</v>
      </c>
    </row>
    <row r="119" ht="15.75" customHeight="1">
      <c r="A119" s="12">
        <v>46128.0</v>
      </c>
      <c r="B119" s="13" t="s">
        <v>522</v>
      </c>
      <c r="C119" s="5">
        <v>870000.0</v>
      </c>
      <c r="D119" s="5">
        <v>0.0</v>
      </c>
      <c r="E119" s="5">
        <f t="shared" si="1"/>
        <v>2380000.47</v>
      </c>
      <c r="F119" s="4" t="s">
        <v>105</v>
      </c>
      <c r="G119" s="14" t="s">
        <v>148</v>
      </c>
    </row>
    <row r="120" ht="15.75" customHeight="1">
      <c r="A120" s="12">
        <v>46128.0</v>
      </c>
      <c r="B120" s="13" t="s">
        <v>527</v>
      </c>
      <c r="C120" s="5">
        <v>1330000.0</v>
      </c>
      <c r="D120" s="5">
        <v>0.0</v>
      </c>
      <c r="E120" s="5">
        <f t="shared" si="1"/>
        <v>1050000.47</v>
      </c>
      <c r="F120" s="4" t="s">
        <v>105</v>
      </c>
      <c r="G120" s="14" t="s">
        <v>148</v>
      </c>
    </row>
    <row r="121" ht="15.75" customHeight="1">
      <c r="A121" s="12">
        <v>46128.0</v>
      </c>
      <c r="B121" s="13" t="s">
        <v>532</v>
      </c>
      <c r="C121" s="5">
        <v>600000.0</v>
      </c>
      <c r="D121" s="5">
        <v>0.0</v>
      </c>
      <c r="E121" s="5">
        <f t="shared" si="1"/>
        <v>450000.47</v>
      </c>
      <c r="F121" s="4" t="s">
        <v>105</v>
      </c>
      <c r="G121" s="14" t="s">
        <v>148</v>
      </c>
    </row>
    <row r="122" ht="15.75" customHeight="1">
      <c r="A122" s="12">
        <v>46128.0</v>
      </c>
      <c r="B122" s="13" t="s">
        <v>538</v>
      </c>
      <c r="C122" s="5">
        <v>400000.0</v>
      </c>
      <c r="D122" s="5">
        <v>0.0</v>
      </c>
      <c r="E122" s="5">
        <f t="shared" si="1"/>
        <v>50000.47</v>
      </c>
      <c r="F122" s="4" t="s">
        <v>105</v>
      </c>
      <c r="G122" s="14" t="s">
        <v>148</v>
      </c>
    </row>
    <row r="123" ht="15.75" customHeight="1">
      <c r="A123" s="12">
        <v>46129.0</v>
      </c>
      <c r="B123" s="13" t="s">
        <v>168</v>
      </c>
      <c r="C123" s="5">
        <v>20000.0</v>
      </c>
      <c r="D123" s="5">
        <v>0.0</v>
      </c>
      <c r="E123" s="5">
        <f t="shared" si="1"/>
        <v>30000.47</v>
      </c>
      <c r="F123" s="4" t="s">
        <v>43</v>
      </c>
      <c r="G123" s="14" t="s">
        <v>45</v>
      </c>
    </row>
    <row r="124" ht="15.75" customHeight="1">
      <c r="A124" s="12">
        <v>46138.0</v>
      </c>
      <c r="B124" s="13" t="s">
        <v>544</v>
      </c>
      <c r="C124" s="5">
        <v>0.0</v>
      </c>
      <c r="D124" s="5">
        <v>2731750.0</v>
      </c>
      <c r="E124" s="5">
        <f t="shared" si="1"/>
        <v>2761750.47</v>
      </c>
      <c r="F124" s="4" t="s">
        <v>58</v>
      </c>
      <c r="G124" s="14" t="s">
        <v>59</v>
      </c>
      <c r="H124" s="4" t="s">
        <v>111</v>
      </c>
    </row>
    <row r="125" ht="15.75" customHeight="1">
      <c r="A125" s="12">
        <v>46141.0</v>
      </c>
      <c r="B125" s="13" t="s">
        <v>197</v>
      </c>
      <c r="C125" s="5">
        <v>0.0</v>
      </c>
      <c r="D125" s="5">
        <v>2000000.0</v>
      </c>
      <c r="E125" s="5">
        <f t="shared" si="1"/>
        <v>4761750.47</v>
      </c>
      <c r="F125" s="4" t="s">
        <v>24</v>
      </c>
      <c r="G125" s="14" t="s">
        <v>198</v>
      </c>
      <c r="H125" s="4" t="s">
        <v>199</v>
      </c>
    </row>
    <row r="126" ht="15.75" customHeight="1">
      <c r="A126" s="12">
        <v>46141.0</v>
      </c>
      <c r="B126" s="13" t="s">
        <v>201</v>
      </c>
      <c r="C126" s="5">
        <v>0.0</v>
      </c>
      <c r="D126" s="5">
        <v>2000000.0</v>
      </c>
      <c r="E126" s="5">
        <f t="shared" si="1"/>
        <v>6761750.47</v>
      </c>
      <c r="F126" s="4" t="s">
        <v>24</v>
      </c>
      <c r="G126" s="14" t="s">
        <v>198</v>
      </c>
      <c r="H126" s="4" t="s">
        <v>203</v>
      </c>
    </row>
    <row r="127" ht="15.75" customHeight="1">
      <c r="A127" s="12">
        <v>46141.0</v>
      </c>
      <c r="B127" s="13" t="s">
        <v>551</v>
      </c>
      <c r="C127" s="5">
        <v>0.0</v>
      </c>
      <c r="D127" s="5">
        <v>500000.0</v>
      </c>
      <c r="E127" s="5">
        <f t="shared" si="1"/>
        <v>7261750.47</v>
      </c>
      <c r="F127" s="4" t="s">
        <v>24</v>
      </c>
      <c r="G127" s="14" t="s">
        <v>198</v>
      </c>
      <c r="H127" s="4" t="s">
        <v>247</v>
      </c>
    </row>
    <row r="128" ht="15.75" customHeight="1">
      <c r="A128" s="12">
        <v>46141.0</v>
      </c>
      <c r="B128" s="13" t="s">
        <v>554</v>
      </c>
      <c r="C128" s="5">
        <v>5300000.0</v>
      </c>
      <c r="D128" s="5">
        <v>0.0</v>
      </c>
      <c r="E128" s="5">
        <f t="shared" si="1"/>
        <v>1961750.47</v>
      </c>
      <c r="F128" s="4" t="s">
        <v>50</v>
      </c>
      <c r="G128" s="14" t="s">
        <v>245</v>
      </c>
      <c r="H128" s="4" t="s">
        <v>413</v>
      </c>
    </row>
    <row r="129" ht="15.75" customHeight="1">
      <c r="A129" s="12">
        <v>46141.0</v>
      </c>
      <c r="B129" s="13" t="s">
        <v>559</v>
      </c>
      <c r="C129" s="5">
        <v>1800000.0</v>
      </c>
      <c r="D129" s="5">
        <v>0.0</v>
      </c>
      <c r="E129" s="5">
        <f t="shared" si="1"/>
        <v>161750.47</v>
      </c>
      <c r="F129" s="4" t="s">
        <v>58</v>
      </c>
      <c r="G129" s="14" t="s">
        <v>59</v>
      </c>
      <c r="H129" s="4" t="s">
        <v>61</v>
      </c>
    </row>
    <row r="130" ht="15.75" customHeight="1">
      <c r="A130" s="12">
        <v>46149.0</v>
      </c>
      <c r="B130" s="13" t="s">
        <v>564</v>
      </c>
      <c r="C130" s="5">
        <v>0.0</v>
      </c>
      <c r="D130" s="5">
        <v>1.125E7</v>
      </c>
      <c r="E130" s="5">
        <f t="shared" si="1"/>
        <v>11411750.47</v>
      </c>
      <c r="F130" s="4" t="s">
        <v>75</v>
      </c>
      <c r="G130" s="14" t="s">
        <v>76</v>
      </c>
      <c r="H130" s="14" t="s">
        <v>266</v>
      </c>
      <c r="I130" s="4" t="s">
        <v>608</v>
      </c>
    </row>
    <row r="131" ht="15.75" customHeight="1">
      <c r="A131" s="12">
        <v>46149.0</v>
      </c>
      <c r="B131" s="13" t="s">
        <v>564</v>
      </c>
      <c r="C131" s="5">
        <v>0.0</v>
      </c>
      <c r="D131" s="5">
        <v>1.675E7</v>
      </c>
      <c r="E131" s="5">
        <f t="shared" si="1"/>
        <v>28161750.47</v>
      </c>
      <c r="F131" s="4" t="s">
        <v>75</v>
      </c>
      <c r="G131" s="14" t="s">
        <v>76</v>
      </c>
      <c r="H131" s="14" t="s">
        <v>266</v>
      </c>
      <c r="I131" s="4" t="s">
        <v>610</v>
      </c>
    </row>
    <row r="132" ht="15.75" customHeight="1">
      <c r="A132" s="12">
        <v>46149.0</v>
      </c>
      <c r="B132" s="13" t="s">
        <v>564</v>
      </c>
      <c r="C132" s="5">
        <v>0.0</v>
      </c>
      <c r="D132" s="5">
        <f>43000000-D130-D131</f>
        <v>15000000</v>
      </c>
      <c r="E132" s="5">
        <f t="shared" si="1"/>
        <v>43161750.47</v>
      </c>
      <c r="F132" s="4" t="s">
        <v>75</v>
      </c>
      <c r="G132" s="14" t="s">
        <v>76</v>
      </c>
      <c r="H132" s="14" t="s">
        <v>266</v>
      </c>
      <c r="I132" s="4" t="s">
        <v>614</v>
      </c>
    </row>
    <row r="133" ht="15.75" customHeight="1">
      <c r="A133" s="12">
        <v>46150.0</v>
      </c>
      <c r="B133" s="13" t="s">
        <v>615</v>
      </c>
      <c r="C133" s="5">
        <v>2.65E7</v>
      </c>
      <c r="D133" s="5">
        <v>0.0</v>
      </c>
      <c r="E133" s="5">
        <f t="shared" si="1"/>
        <v>16661750.47</v>
      </c>
      <c r="F133" s="4" t="s">
        <v>93</v>
      </c>
      <c r="G133" s="4" t="s">
        <v>93</v>
      </c>
      <c r="H133" s="4" t="s">
        <v>21</v>
      </c>
    </row>
    <row r="134" ht="15.75" customHeight="1">
      <c r="A134" s="12">
        <v>46150.0</v>
      </c>
      <c r="B134" s="13" t="s">
        <v>617</v>
      </c>
      <c r="C134" s="5">
        <v>2500.0</v>
      </c>
      <c r="D134" s="5">
        <v>0.0</v>
      </c>
      <c r="E134" s="5">
        <f t="shared" si="1"/>
        <v>16659250.47</v>
      </c>
      <c r="F134" s="4" t="s">
        <v>43</v>
      </c>
      <c r="G134" s="14" t="s">
        <v>45</v>
      </c>
    </row>
    <row r="135" ht="15.75" customHeight="1">
      <c r="A135" s="12">
        <v>46153.0</v>
      </c>
      <c r="B135" s="13" t="s">
        <v>615</v>
      </c>
      <c r="C135" s="5">
        <v>8000000.0</v>
      </c>
      <c r="D135" s="5">
        <v>0.0</v>
      </c>
      <c r="E135" s="5">
        <f t="shared" si="1"/>
        <v>8659250.47</v>
      </c>
      <c r="F135" s="4" t="s">
        <v>93</v>
      </c>
      <c r="G135" s="4" t="s">
        <v>93</v>
      </c>
      <c r="H135" s="4" t="s">
        <v>21</v>
      </c>
    </row>
    <row r="136" ht="15.75" customHeight="1">
      <c r="A136" s="12">
        <v>46153.0</v>
      </c>
      <c r="B136" s="13" t="s">
        <v>617</v>
      </c>
      <c r="C136" s="5">
        <v>2500.0</v>
      </c>
      <c r="D136" s="5">
        <v>0.0</v>
      </c>
      <c r="E136" s="5">
        <f t="shared" si="1"/>
        <v>8656750.47</v>
      </c>
      <c r="F136" s="4" t="s">
        <v>43</v>
      </c>
      <c r="G136" s="14" t="s">
        <v>45</v>
      </c>
    </row>
    <row r="137" ht="15.75" customHeight="1">
      <c r="A137" s="12">
        <v>46153.0</v>
      </c>
      <c r="B137" s="13" t="s">
        <v>435</v>
      </c>
      <c r="C137" s="5">
        <v>8606750.0</v>
      </c>
      <c r="D137" s="5">
        <v>0.0</v>
      </c>
      <c r="E137" s="5">
        <f t="shared" si="1"/>
        <v>50000.47</v>
      </c>
      <c r="F137" s="4" t="s">
        <v>93</v>
      </c>
      <c r="G137" s="4" t="s">
        <v>93</v>
      </c>
      <c r="H137" s="4" t="s">
        <v>21</v>
      </c>
    </row>
    <row r="138" ht="15.75" customHeight="1">
      <c r="A138" s="12">
        <v>46157.0</v>
      </c>
      <c r="B138" s="13" t="s">
        <v>299</v>
      </c>
      <c r="C138" s="5">
        <v>20000.0</v>
      </c>
      <c r="D138" s="5">
        <v>0.0</v>
      </c>
      <c r="E138" s="5">
        <f t="shared" si="1"/>
        <v>30000.47</v>
      </c>
      <c r="F138" s="4" t="s">
        <v>43</v>
      </c>
      <c r="G138" s="14" t="s">
        <v>45</v>
      </c>
    </row>
    <row r="139" ht="15.75" customHeight="1">
      <c r="A139" s="12">
        <v>46157.0</v>
      </c>
      <c r="B139" s="13" t="s">
        <v>299</v>
      </c>
      <c r="C139" s="5">
        <v>25000.0</v>
      </c>
      <c r="D139" s="5">
        <v>0.0</v>
      </c>
      <c r="E139" s="5">
        <f t="shared" si="1"/>
        <v>5000.47</v>
      </c>
      <c r="F139" s="4" t="s">
        <v>43</v>
      </c>
      <c r="G139" s="14" t="s">
        <v>45</v>
      </c>
    </row>
    <row r="140" ht="15.75" customHeight="1">
      <c r="A140" s="12">
        <v>46158.0</v>
      </c>
      <c r="B140" s="13" t="s">
        <v>623</v>
      </c>
      <c r="C140" s="5">
        <v>0.0</v>
      </c>
      <c r="D140" s="5">
        <v>8000000.0</v>
      </c>
      <c r="E140" s="5">
        <f t="shared" si="1"/>
        <v>8005000.47</v>
      </c>
      <c r="F140" s="4" t="s">
        <v>93</v>
      </c>
      <c r="G140" s="4" t="s">
        <v>93</v>
      </c>
      <c r="H140" s="4" t="s">
        <v>21</v>
      </c>
    </row>
    <row r="141" ht="15.75" customHeight="1">
      <c r="A141" s="12">
        <v>46158.0</v>
      </c>
      <c r="B141" s="13" t="s">
        <v>623</v>
      </c>
      <c r="C141" s="5">
        <v>0.0</v>
      </c>
      <c r="D141" s="5">
        <v>2.65E7</v>
      </c>
      <c r="E141" s="5">
        <f t="shared" si="1"/>
        <v>34505000.47</v>
      </c>
      <c r="F141" s="4" t="s">
        <v>93</v>
      </c>
      <c r="G141" s="4" t="s">
        <v>93</v>
      </c>
      <c r="H141" s="4" t="s">
        <v>21</v>
      </c>
    </row>
    <row r="142" ht="15.75" customHeight="1">
      <c r="A142" s="12">
        <v>46158.0</v>
      </c>
      <c r="B142" s="13" t="s">
        <v>625</v>
      </c>
      <c r="C142" s="5">
        <v>1050000.0</v>
      </c>
      <c r="D142" s="5">
        <v>0.0</v>
      </c>
      <c r="E142" s="5">
        <f t="shared" si="1"/>
        <v>33455000.47</v>
      </c>
      <c r="F142" s="4" t="s">
        <v>105</v>
      </c>
      <c r="G142" s="14" t="s">
        <v>148</v>
      </c>
    </row>
    <row r="143" ht="15.75" customHeight="1">
      <c r="A143" s="12">
        <v>46158.0</v>
      </c>
      <c r="B143" s="13" t="s">
        <v>627</v>
      </c>
      <c r="C143" s="5">
        <v>1410000.0</v>
      </c>
      <c r="D143" s="5">
        <v>0.0</v>
      </c>
      <c r="E143" s="5">
        <f t="shared" si="1"/>
        <v>32045000.47</v>
      </c>
      <c r="F143" s="4" t="s">
        <v>105</v>
      </c>
      <c r="G143" s="14" t="s">
        <v>148</v>
      </c>
    </row>
    <row r="144" ht="15.75" customHeight="1">
      <c r="A144" s="12">
        <v>46158.0</v>
      </c>
      <c r="B144" s="13" t="s">
        <v>628</v>
      </c>
      <c r="C144" s="5">
        <v>565000.0</v>
      </c>
      <c r="D144" s="5">
        <v>0.0</v>
      </c>
      <c r="E144" s="5">
        <f t="shared" si="1"/>
        <v>31480000.47</v>
      </c>
      <c r="F144" s="4" t="s">
        <v>105</v>
      </c>
      <c r="G144" s="14" t="s">
        <v>148</v>
      </c>
    </row>
    <row r="145" ht="15.75" customHeight="1">
      <c r="A145" s="12">
        <v>46158.0</v>
      </c>
      <c r="B145" s="13" t="s">
        <v>634</v>
      </c>
      <c r="C145" s="5">
        <v>630000.0</v>
      </c>
      <c r="D145" s="5">
        <v>0.0</v>
      </c>
      <c r="E145" s="5">
        <f t="shared" si="1"/>
        <v>30850000.47</v>
      </c>
      <c r="F145" s="4" t="s">
        <v>105</v>
      </c>
      <c r="G145" s="14" t="s">
        <v>148</v>
      </c>
    </row>
    <row r="146" ht="15.75" customHeight="1">
      <c r="A146" s="12">
        <v>46158.0</v>
      </c>
      <c r="B146" s="13" t="s">
        <v>637</v>
      </c>
      <c r="C146" s="5">
        <v>1200000.0</v>
      </c>
      <c r="D146" s="5">
        <v>0.0</v>
      </c>
      <c r="E146" s="5">
        <f t="shared" si="1"/>
        <v>29650000.47</v>
      </c>
      <c r="F146" s="4" t="s">
        <v>58</v>
      </c>
      <c r="G146" s="14" t="s">
        <v>59</v>
      </c>
      <c r="H146" s="4" t="s">
        <v>638</v>
      </c>
    </row>
    <row r="147" ht="15.75" customHeight="1">
      <c r="A147" s="12">
        <v>46158.0</v>
      </c>
      <c r="B147" s="13" t="s">
        <v>639</v>
      </c>
      <c r="C147" s="5">
        <v>150000.0</v>
      </c>
      <c r="D147" s="5">
        <v>0.0</v>
      </c>
      <c r="E147" s="5">
        <f t="shared" si="1"/>
        <v>29500000.47</v>
      </c>
      <c r="F147" s="4" t="s">
        <v>58</v>
      </c>
      <c r="G147" s="14" t="s">
        <v>59</v>
      </c>
      <c r="H147" s="4" t="s">
        <v>642</v>
      </c>
    </row>
    <row r="148" ht="15.75" customHeight="1">
      <c r="A148" s="12">
        <v>46158.0</v>
      </c>
      <c r="B148" s="13" t="s">
        <v>643</v>
      </c>
      <c r="C148" s="5">
        <v>2200000.0</v>
      </c>
      <c r="D148" s="5">
        <v>0.0</v>
      </c>
      <c r="E148" s="5">
        <f t="shared" si="1"/>
        <v>27300000.47</v>
      </c>
      <c r="F148" s="4" t="s">
        <v>58</v>
      </c>
      <c r="G148" s="14" t="s">
        <v>59</v>
      </c>
      <c r="H148" s="4" t="s">
        <v>61</v>
      </c>
    </row>
    <row r="149" ht="15.75" customHeight="1">
      <c r="A149" s="12">
        <v>46158.0</v>
      </c>
      <c r="B149" s="13" t="s">
        <v>644</v>
      </c>
      <c r="C149" s="5">
        <v>1400000.0</v>
      </c>
      <c r="D149" s="5">
        <v>0.0</v>
      </c>
      <c r="E149" s="5">
        <f t="shared" si="1"/>
        <v>25900000.47</v>
      </c>
      <c r="F149" s="4" t="s">
        <v>58</v>
      </c>
      <c r="G149" s="14" t="s">
        <v>59</v>
      </c>
      <c r="H149" s="4" t="s">
        <v>476</v>
      </c>
    </row>
    <row r="150" ht="15.75" customHeight="1">
      <c r="A150" s="12">
        <v>46158.0</v>
      </c>
      <c r="B150" s="13" t="s">
        <v>646</v>
      </c>
      <c r="C150" s="5">
        <v>1250000.0</v>
      </c>
      <c r="D150" s="5">
        <v>0.0</v>
      </c>
      <c r="E150" s="5">
        <f t="shared" si="1"/>
        <v>24650000.47</v>
      </c>
      <c r="F150" s="4" t="s">
        <v>58</v>
      </c>
      <c r="G150" s="14" t="s">
        <v>59</v>
      </c>
      <c r="H150" s="4" t="s">
        <v>326</v>
      </c>
    </row>
    <row r="151" ht="15.75" customHeight="1">
      <c r="A151" s="12">
        <v>46158.0</v>
      </c>
      <c r="B151" s="13" t="s">
        <v>648</v>
      </c>
      <c r="C151" s="5">
        <v>1550000.0</v>
      </c>
      <c r="D151" s="5">
        <v>0.0</v>
      </c>
      <c r="E151" s="5">
        <f t="shared" si="1"/>
        <v>23100000.47</v>
      </c>
      <c r="F151" s="4" t="s">
        <v>58</v>
      </c>
      <c r="G151" s="14" t="s">
        <v>59</v>
      </c>
      <c r="H151" s="4" t="s">
        <v>332</v>
      </c>
    </row>
    <row r="152" ht="15.75" customHeight="1">
      <c r="A152" s="12">
        <v>46158.0</v>
      </c>
      <c r="B152" s="13" t="s">
        <v>651</v>
      </c>
      <c r="C152" s="5">
        <v>1850000.0</v>
      </c>
      <c r="D152" s="5">
        <v>0.0</v>
      </c>
      <c r="E152" s="5">
        <f t="shared" si="1"/>
        <v>21250000.47</v>
      </c>
      <c r="F152" s="4" t="s">
        <v>58</v>
      </c>
      <c r="G152" s="14" t="s">
        <v>59</v>
      </c>
      <c r="H152" s="4" t="s">
        <v>319</v>
      </c>
    </row>
    <row r="153" ht="15.75" customHeight="1">
      <c r="A153" s="12">
        <v>46158.0</v>
      </c>
      <c r="B153" s="13" t="s">
        <v>653</v>
      </c>
      <c r="C153" s="5">
        <v>800000.0</v>
      </c>
      <c r="D153" s="5">
        <v>0.0</v>
      </c>
      <c r="E153" s="5">
        <f t="shared" si="1"/>
        <v>20450000.47</v>
      </c>
      <c r="F153" s="4" t="s">
        <v>58</v>
      </c>
      <c r="G153" s="14" t="s">
        <v>59</v>
      </c>
      <c r="H153" s="4" t="s">
        <v>234</v>
      </c>
    </row>
    <row r="154" ht="15.75" customHeight="1">
      <c r="A154" s="12">
        <v>46158.0</v>
      </c>
      <c r="B154" s="13" t="s">
        <v>656</v>
      </c>
      <c r="C154" s="5">
        <v>800000.0</v>
      </c>
      <c r="D154" s="5">
        <v>0.0</v>
      </c>
      <c r="E154" s="5">
        <f t="shared" si="1"/>
        <v>19650000.47</v>
      </c>
      <c r="F154" s="4" t="s">
        <v>58</v>
      </c>
      <c r="G154" s="14" t="s">
        <v>59</v>
      </c>
      <c r="H154" s="4" t="s">
        <v>238</v>
      </c>
    </row>
    <row r="155" ht="15.75" customHeight="1">
      <c r="A155" s="12">
        <v>46158.0</v>
      </c>
      <c r="B155" s="13" t="s">
        <v>661</v>
      </c>
      <c r="C155" s="5">
        <v>1400000.0</v>
      </c>
      <c r="D155" s="5">
        <v>0.0</v>
      </c>
      <c r="E155" s="5">
        <f t="shared" si="1"/>
        <v>18250000.47</v>
      </c>
      <c r="F155" s="4" t="s">
        <v>58</v>
      </c>
      <c r="G155" s="14" t="s">
        <v>59</v>
      </c>
      <c r="H155" s="4" t="s">
        <v>476</v>
      </c>
    </row>
    <row r="156" ht="15.75" customHeight="1">
      <c r="A156" s="12">
        <v>46158.0</v>
      </c>
      <c r="B156" s="13" t="s">
        <v>664</v>
      </c>
      <c r="C156" s="5">
        <v>2250000.0</v>
      </c>
      <c r="D156" s="5">
        <v>0.0</v>
      </c>
      <c r="E156" s="5">
        <f t="shared" si="1"/>
        <v>16000000.47</v>
      </c>
      <c r="F156" s="4" t="s">
        <v>58</v>
      </c>
      <c r="G156" s="14" t="s">
        <v>59</v>
      </c>
      <c r="H156" s="4" t="s">
        <v>61</v>
      </c>
    </row>
    <row r="157" ht="15.75" customHeight="1">
      <c r="A157" s="12">
        <v>46158.0</v>
      </c>
      <c r="B157" s="13" t="s">
        <v>665</v>
      </c>
      <c r="C157" s="5">
        <v>1200000.0</v>
      </c>
      <c r="D157" s="5">
        <v>0.0</v>
      </c>
      <c r="E157" s="5">
        <f t="shared" si="1"/>
        <v>14800000.47</v>
      </c>
      <c r="F157" s="4" t="s">
        <v>58</v>
      </c>
      <c r="G157" s="14" t="s">
        <v>59</v>
      </c>
      <c r="H157" s="4" t="s">
        <v>638</v>
      </c>
    </row>
    <row r="158" ht="15.75" customHeight="1">
      <c r="A158" s="12">
        <v>46162.0</v>
      </c>
      <c r="B158" s="13" t="s">
        <v>667</v>
      </c>
      <c r="C158" s="5">
        <v>2000000.0</v>
      </c>
      <c r="D158" s="5">
        <v>0.0</v>
      </c>
      <c r="E158" s="5">
        <f t="shared" si="1"/>
        <v>12800000.47</v>
      </c>
      <c r="F158" s="4" t="s">
        <v>24</v>
      </c>
      <c r="G158" s="14" t="s">
        <v>669</v>
      </c>
      <c r="H158" s="4" t="s">
        <v>670</v>
      </c>
    </row>
    <row r="159" ht="15.75" customHeight="1">
      <c r="A159" s="12">
        <v>46163.0</v>
      </c>
      <c r="B159" s="13" t="s">
        <v>672</v>
      </c>
      <c r="C159" s="5">
        <v>5300000.0</v>
      </c>
      <c r="D159" s="5">
        <v>0.0</v>
      </c>
      <c r="E159" s="5">
        <f t="shared" si="1"/>
        <v>7500000.47</v>
      </c>
      <c r="F159" s="4" t="s">
        <v>50</v>
      </c>
      <c r="G159" s="14" t="s">
        <v>245</v>
      </c>
      <c r="H159" s="4" t="s">
        <v>413</v>
      </c>
    </row>
    <row r="160" ht="15.75" customHeight="1">
      <c r="A160" s="12">
        <v>46163.0</v>
      </c>
      <c r="B160" s="13" t="s">
        <v>676</v>
      </c>
      <c r="C160" s="5">
        <v>250000.0</v>
      </c>
      <c r="D160" s="5">
        <v>0.0</v>
      </c>
      <c r="E160" s="5">
        <f t="shared" si="1"/>
        <v>7250000.47</v>
      </c>
      <c r="F160" s="4" t="s">
        <v>58</v>
      </c>
      <c r="G160" s="14" t="s">
        <v>59</v>
      </c>
      <c r="H160" s="4" t="s">
        <v>677</v>
      </c>
    </row>
    <row r="161" ht="15.75" customHeight="1">
      <c r="A161" s="12">
        <v>46163.0</v>
      </c>
      <c r="B161" s="13" t="s">
        <v>678</v>
      </c>
      <c r="C161" s="5">
        <v>250000.0</v>
      </c>
      <c r="D161" s="5">
        <v>0.0</v>
      </c>
      <c r="E161" s="5">
        <f t="shared" si="1"/>
        <v>7000000.47</v>
      </c>
      <c r="F161" s="4" t="s">
        <v>58</v>
      </c>
      <c r="G161" s="14" t="s">
        <v>59</v>
      </c>
      <c r="H161" s="4" t="s">
        <v>677</v>
      </c>
    </row>
    <row r="162" ht="15.75" customHeight="1">
      <c r="A162" s="12">
        <v>46163.0</v>
      </c>
      <c r="B162" s="13" t="s">
        <v>680</v>
      </c>
      <c r="C162" s="5">
        <v>1250000.0</v>
      </c>
      <c r="D162" s="5">
        <v>0.0</v>
      </c>
      <c r="E162" s="5">
        <f t="shared" si="1"/>
        <v>5750000.47</v>
      </c>
      <c r="F162" s="4" t="s">
        <v>58</v>
      </c>
      <c r="G162" s="14" t="s">
        <v>59</v>
      </c>
      <c r="H162" s="4" t="s">
        <v>683</v>
      </c>
    </row>
    <row r="163" ht="15.75" customHeight="1">
      <c r="A163" s="12">
        <v>46163.0</v>
      </c>
      <c r="B163" s="13" t="s">
        <v>685</v>
      </c>
      <c r="C163" s="5">
        <v>1500000.0</v>
      </c>
      <c r="D163" s="5">
        <v>0.0</v>
      </c>
      <c r="E163" s="5">
        <f t="shared" si="1"/>
        <v>4250000.47</v>
      </c>
      <c r="F163" s="4" t="s">
        <v>58</v>
      </c>
      <c r="G163" s="14" t="s">
        <v>59</v>
      </c>
      <c r="H163" s="4" t="s">
        <v>683</v>
      </c>
    </row>
    <row r="164" ht="15.75" customHeight="1">
      <c r="A164" s="12">
        <v>46163.0</v>
      </c>
      <c r="B164" s="13" t="s">
        <v>686</v>
      </c>
      <c r="C164" s="5">
        <v>1250000.0</v>
      </c>
      <c r="D164" s="5">
        <v>0.0</v>
      </c>
      <c r="E164" s="5">
        <f t="shared" si="1"/>
        <v>3000000.47</v>
      </c>
      <c r="F164" s="4" t="s">
        <v>58</v>
      </c>
      <c r="G164" s="14" t="s">
        <v>59</v>
      </c>
      <c r="H164" s="4" t="s">
        <v>683</v>
      </c>
    </row>
    <row r="165" ht="15.75" customHeight="1">
      <c r="A165" s="12">
        <v>46163.0</v>
      </c>
      <c r="B165" s="13" t="s">
        <v>688</v>
      </c>
      <c r="C165" s="5">
        <v>2000000.0</v>
      </c>
      <c r="D165" s="5">
        <v>0.0</v>
      </c>
      <c r="E165" s="5">
        <f t="shared" si="1"/>
        <v>1000000.47</v>
      </c>
      <c r="F165" s="4" t="s">
        <v>58</v>
      </c>
      <c r="G165" s="14" t="s">
        <v>59</v>
      </c>
      <c r="H165" s="4" t="s">
        <v>683</v>
      </c>
    </row>
    <row r="166" ht="15.75" customHeight="1">
      <c r="A166" s="12">
        <v>46163.0</v>
      </c>
      <c r="B166" s="13" t="s">
        <v>689</v>
      </c>
      <c r="C166" s="5">
        <v>0.0</v>
      </c>
      <c r="D166" s="5">
        <v>8000000.0</v>
      </c>
      <c r="E166" s="5">
        <f t="shared" si="1"/>
        <v>9000000.47</v>
      </c>
      <c r="F166" s="4" t="s">
        <v>93</v>
      </c>
      <c r="G166" s="4" t="s">
        <v>93</v>
      </c>
      <c r="H166" s="4" t="s">
        <v>21</v>
      </c>
    </row>
    <row r="167" ht="15.75" customHeight="1">
      <c r="A167" s="12">
        <v>46163.0</v>
      </c>
      <c r="B167" s="13" t="s">
        <v>689</v>
      </c>
      <c r="C167" s="5">
        <v>0.0</v>
      </c>
      <c r="D167" s="5">
        <v>2.65E7</v>
      </c>
      <c r="E167" s="5">
        <f t="shared" si="1"/>
        <v>35500000.47</v>
      </c>
      <c r="F167" s="4" t="s">
        <v>93</v>
      </c>
      <c r="G167" s="14" t="s">
        <v>93</v>
      </c>
      <c r="H167" s="4" t="s">
        <v>21</v>
      </c>
    </row>
    <row r="168" ht="15.75" customHeight="1">
      <c r="A168" s="12">
        <v>46163.0</v>
      </c>
      <c r="B168" s="13" t="s">
        <v>692</v>
      </c>
      <c r="C168" s="5">
        <v>1750000.0</v>
      </c>
      <c r="D168" s="5">
        <v>0.0</v>
      </c>
      <c r="E168" s="5">
        <f t="shared" si="1"/>
        <v>33750000.47</v>
      </c>
      <c r="F168" s="4" t="s">
        <v>58</v>
      </c>
      <c r="G168" s="14" t="s">
        <v>59</v>
      </c>
      <c r="H168" s="4" t="s">
        <v>677</v>
      </c>
    </row>
    <row r="169" ht="15.75" customHeight="1">
      <c r="A169" s="12">
        <v>46163.0</v>
      </c>
      <c r="B169" s="13" t="s">
        <v>693</v>
      </c>
      <c r="C169" s="5">
        <v>1500000.0</v>
      </c>
      <c r="D169" s="5">
        <v>0.0</v>
      </c>
      <c r="E169" s="5">
        <f t="shared" si="1"/>
        <v>32250000.47</v>
      </c>
      <c r="F169" s="4" t="s">
        <v>58</v>
      </c>
      <c r="G169" s="14" t="s">
        <v>59</v>
      </c>
      <c r="H169" s="4" t="s">
        <v>694</v>
      </c>
    </row>
    <row r="170" ht="15.75" customHeight="1">
      <c r="A170" s="12">
        <v>46163.0</v>
      </c>
      <c r="B170" s="13" t="s">
        <v>695</v>
      </c>
      <c r="C170" s="5">
        <v>1750000.0</v>
      </c>
      <c r="D170" s="5">
        <v>0.0</v>
      </c>
      <c r="E170" s="5">
        <f t="shared" si="1"/>
        <v>30500000.47</v>
      </c>
      <c r="F170" s="4" t="s">
        <v>58</v>
      </c>
      <c r="G170" s="14" t="s">
        <v>59</v>
      </c>
      <c r="H170" s="4" t="s">
        <v>677</v>
      </c>
    </row>
    <row r="171" ht="15.75" customHeight="1">
      <c r="A171" s="12">
        <v>46163.0</v>
      </c>
      <c r="B171" s="13" t="s">
        <v>696</v>
      </c>
      <c r="C171" s="5">
        <v>174989.0</v>
      </c>
      <c r="D171" s="5">
        <v>0.0</v>
      </c>
      <c r="E171" s="5">
        <f t="shared" si="1"/>
        <v>30325011.47</v>
      </c>
      <c r="F171" s="4" t="s">
        <v>93</v>
      </c>
      <c r="G171" s="4" t="s">
        <v>93</v>
      </c>
      <c r="H171" s="4" t="s">
        <v>20</v>
      </c>
    </row>
    <row r="172" ht="15.75" customHeight="1">
      <c r="A172" s="12">
        <v>46163.0</v>
      </c>
      <c r="B172" s="13" t="s">
        <v>698</v>
      </c>
      <c r="C172" s="5">
        <v>2.65E7</v>
      </c>
      <c r="D172" s="5">
        <v>0.0</v>
      </c>
      <c r="E172" s="5">
        <f t="shared" si="1"/>
        <v>3825011.47</v>
      </c>
      <c r="F172" s="4" t="s">
        <v>93</v>
      </c>
      <c r="G172" s="14" t="s">
        <v>93</v>
      </c>
      <c r="H172" s="4" t="s">
        <v>21</v>
      </c>
    </row>
    <row r="173" ht="15.75" customHeight="1">
      <c r="A173" s="12">
        <v>46163.0</v>
      </c>
      <c r="B173" s="13" t="s">
        <v>617</v>
      </c>
      <c r="C173" s="5">
        <v>2500.0</v>
      </c>
      <c r="D173" s="5">
        <v>0.0</v>
      </c>
      <c r="E173" s="5">
        <f t="shared" si="1"/>
        <v>3822511.47</v>
      </c>
      <c r="F173" s="4" t="s">
        <v>43</v>
      </c>
      <c r="G173" s="14" t="s">
        <v>45</v>
      </c>
    </row>
    <row r="174" ht="15.75" customHeight="1">
      <c r="A174" s="12">
        <v>46168.0</v>
      </c>
      <c r="B174" s="13" t="s">
        <v>701</v>
      </c>
      <c r="C174" s="5">
        <v>3772511.0</v>
      </c>
      <c r="D174" s="5">
        <v>0.0</v>
      </c>
      <c r="E174" s="5">
        <f t="shared" si="1"/>
        <v>50000.47</v>
      </c>
      <c r="F174" s="4" t="s">
        <v>93</v>
      </c>
      <c r="G174" s="4" t="s">
        <v>93</v>
      </c>
      <c r="H174" s="4" t="s">
        <v>21</v>
      </c>
    </row>
    <row r="175" ht="15.75" customHeight="1">
      <c r="A175" s="12">
        <v>46171.0</v>
      </c>
      <c r="B175" s="13" t="s">
        <v>704</v>
      </c>
      <c r="C175" s="5">
        <v>0.0</v>
      </c>
      <c r="D175" s="5">
        <v>8.45E7</v>
      </c>
      <c r="E175" s="5">
        <f t="shared" si="1"/>
        <v>84550000.47</v>
      </c>
      <c r="F175" s="4" t="s">
        <v>93</v>
      </c>
      <c r="G175" s="4" t="s">
        <v>93</v>
      </c>
      <c r="H175" s="4" t="s">
        <v>20</v>
      </c>
    </row>
    <row r="176" ht="15.75" customHeight="1">
      <c r="A176" s="12">
        <v>46171.0</v>
      </c>
      <c r="B176" s="13" t="s">
        <v>706</v>
      </c>
      <c r="C176" s="5">
        <v>8.45E7</v>
      </c>
      <c r="D176" s="5">
        <v>0.0</v>
      </c>
      <c r="E176" s="5">
        <f t="shared" si="1"/>
        <v>50000.47</v>
      </c>
      <c r="F176" s="4" t="s">
        <v>105</v>
      </c>
      <c r="G176" s="14" t="s">
        <v>193</v>
      </c>
      <c r="H176" s="4" t="s">
        <v>707</v>
      </c>
    </row>
    <row r="177" ht="15.75" customHeight="1">
      <c r="A177" s="12">
        <v>46172.0</v>
      </c>
      <c r="B177" s="13" t="s">
        <v>197</v>
      </c>
      <c r="C177" s="5">
        <v>0.0</v>
      </c>
      <c r="D177" s="5">
        <v>2000000.0</v>
      </c>
      <c r="E177" s="5">
        <f t="shared" si="1"/>
        <v>2050000.47</v>
      </c>
      <c r="F177" s="4" t="s">
        <v>24</v>
      </c>
      <c r="G177" s="14" t="s">
        <v>198</v>
      </c>
      <c r="H177" s="4" t="s">
        <v>199</v>
      </c>
    </row>
    <row r="178" ht="15.75" customHeight="1">
      <c r="A178" s="12">
        <v>46172.0</v>
      </c>
      <c r="B178" s="13" t="s">
        <v>710</v>
      </c>
      <c r="C178" s="5">
        <v>0.0</v>
      </c>
      <c r="D178" s="5">
        <v>2000000.0</v>
      </c>
      <c r="E178" s="5">
        <f t="shared" si="1"/>
        <v>4050000.47</v>
      </c>
      <c r="F178" s="4" t="s">
        <v>24</v>
      </c>
      <c r="G178" s="14" t="s">
        <v>198</v>
      </c>
      <c r="H178" s="4" t="s">
        <v>203</v>
      </c>
    </row>
    <row r="179" ht="15.75" customHeight="1">
      <c r="A179" s="12">
        <v>46172.0</v>
      </c>
      <c r="B179" s="13" t="s">
        <v>551</v>
      </c>
      <c r="C179" s="5">
        <v>0.0</v>
      </c>
      <c r="D179" s="5">
        <v>500000.0</v>
      </c>
      <c r="E179" s="5">
        <f t="shared" si="1"/>
        <v>4550000.47</v>
      </c>
      <c r="F179" s="4" t="s">
        <v>24</v>
      </c>
      <c r="G179" s="14" t="s">
        <v>198</v>
      </c>
      <c r="H179" s="4" t="s">
        <v>247</v>
      </c>
    </row>
    <row r="180" ht="15.75" customHeight="1">
      <c r="A180" s="12">
        <v>46174.0</v>
      </c>
      <c r="B180" s="13" t="s">
        <v>168</v>
      </c>
      <c r="C180" s="5">
        <v>20000.0</v>
      </c>
      <c r="D180" s="5">
        <v>0.0</v>
      </c>
      <c r="E180" s="5">
        <f t="shared" si="1"/>
        <v>4530000.47</v>
      </c>
      <c r="F180" s="4" t="s">
        <v>43</v>
      </c>
      <c r="G180" s="14" t="s">
        <v>45</v>
      </c>
    </row>
    <row r="181" ht="15.75" customHeight="1">
      <c r="A181" s="12">
        <v>46176.0</v>
      </c>
      <c r="B181" s="13" t="s">
        <v>716</v>
      </c>
      <c r="C181" s="5">
        <v>4480000.0</v>
      </c>
      <c r="D181" s="5">
        <v>0.0</v>
      </c>
      <c r="E181" s="5">
        <f t="shared" si="1"/>
        <v>50000.47</v>
      </c>
      <c r="F181" s="4" t="s">
        <v>93</v>
      </c>
      <c r="G181" s="4" t="s">
        <v>93</v>
      </c>
      <c r="H181" s="4" t="s">
        <v>21</v>
      </c>
    </row>
    <row r="182" ht="15.75" customHeight="1">
      <c r="A182" s="12">
        <v>46188.0</v>
      </c>
      <c r="B182" s="13" t="s">
        <v>689</v>
      </c>
      <c r="C182" s="5">
        <v>0.0</v>
      </c>
      <c r="D182" s="5">
        <v>7550000.0</v>
      </c>
      <c r="E182" s="5">
        <f t="shared" si="1"/>
        <v>7600000.47</v>
      </c>
      <c r="F182" s="4" t="s">
        <v>93</v>
      </c>
      <c r="G182" s="4" t="s">
        <v>93</v>
      </c>
      <c r="H182" s="4" t="s">
        <v>21</v>
      </c>
    </row>
    <row r="183" ht="15.75" customHeight="1">
      <c r="A183" s="12">
        <v>46188.0</v>
      </c>
      <c r="B183" s="13" t="s">
        <v>718</v>
      </c>
      <c r="C183" s="5">
        <v>900000.0</v>
      </c>
      <c r="D183" s="5">
        <v>0.0</v>
      </c>
      <c r="E183" s="5">
        <f t="shared" si="1"/>
        <v>6700000.47</v>
      </c>
      <c r="F183" s="4" t="s">
        <v>50</v>
      </c>
      <c r="G183" s="14" t="s">
        <v>51</v>
      </c>
      <c r="H183" s="4" t="s">
        <v>203</v>
      </c>
    </row>
    <row r="184" ht="15.75" customHeight="1">
      <c r="A184" s="12">
        <v>46188.0</v>
      </c>
      <c r="B184" s="13" t="s">
        <v>720</v>
      </c>
      <c r="C184" s="5">
        <v>400000.0</v>
      </c>
      <c r="D184" s="5">
        <v>0.0</v>
      </c>
      <c r="E184" s="5">
        <f t="shared" si="1"/>
        <v>6300000.47</v>
      </c>
      <c r="F184" s="4" t="s">
        <v>58</v>
      </c>
      <c r="G184" s="14" t="s">
        <v>59</v>
      </c>
      <c r="H184" s="13" t="s">
        <v>722</v>
      </c>
    </row>
    <row r="185" ht="15.75" customHeight="1">
      <c r="A185" s="12">
        <v>46188.0</v>
      </c>
      <c r="B185" s="13" t="s">
        <v>723</v>
      </c>
      <c r="C185" s="5">
        <v>2000000.0</v>
      </c>
      <c r="D185" s="5">
        <v>0.0</v>
      </c>
      <c r="E185" s="5">
        <f t="shared" si="1"/>
        <v>4300000.47</v>
      </c>
      <c r="F185" s="4" t="s">
        <v>58</v>
      </c>
      <c r="G185" s="14" t="s">
        <v>59</v>
      </c>
      <c r="H185" s="4" t="s">
        <v>111</v>
      </c>
    </row>
    <row r="186" ht="15.75" customHeight="1">
      <c r="A186" s="12">
        <v>46188.0</v>
      </c>
      <c r="B186" s="13" t="s">
        <v>725</v>
      </c>
      <c r="C186" s="5">
        <v>1750000.0</v>
      </c>
      <c r="D186" s="5">
        <v>0.0</v>
      </c>
      <c r="E186" s="5">
        <f t="shared" si="1"/>
        <v>2550000.47</v>
      </c>
      <c r="F186" s="4" t="s">
        <v>58</v>
      </c>
      <c r="G186" s="14" t="s">
        <v>59</v>
      </c>
      <c r="H186" s="4" t="s">
        <v>111</v>
      </c>
    </row>
    <row r="187" ht="15.75" customHeight="1">
      <c r="A187" s="12">
        <v>46188.0</v>
      </c>
      <c r="B187" s="13" t="s">
        <v>727</v>
      </c>
      <c r="C187" s="5">
        <v>2000000.0</v>
      </c>
      <c r="D187" s="5">
        <v>0.0</v>
      </c>
      <c r="E187" s="5">
        <f t="shared" si="1"/>
        <v>550000.47</v>
      </c>
      <c r="F187" s="4" t="s">
        <v>58</v>
      </c>
      <c r="G187" s="14" t="s">
        <v>59</v>
      </c>
      <c r="H187" s="4" t="s">
        <v>111</v>
      </c>
    </row>
    <row r="188" ht="15.75" customHeight="1">
      <c r="A188" s="12">
        <v>46188.0</v>
      </c>
      <c r="B188" s="13" t="s">
        <v>728</v>
      </c>
      <c r="C188" s="5">
        <v>250000.0</v>
      </c>
      <c r="D188" s="5">
        <v>0.0</v>
      </c>
      <c r="E188" s="5">
        <f t="shared" si="1"/>
        <v>300000.47</v>
      </c>
      <c r="F188" s="4" t="s">
        <v>58</v>
      </c>
      <c r="G188" s="14" t="s">
        <v>59</v>
      </c>
      <c r="H188" s="4" t="s">
        <v>111</v>
      </c>
    </row>
    <row r="189" ht="15.75" customHeight="1">
      <c r="A189" s="12">
        <v>46188.0</v>
      </c>
      <c r="B189" s="13" t="s">
        <v>729</v>
      </c>
      <c r="C189" s="5">
        <v>250000.0</v>
      </c>
      <c r="D189" s="5">
        <v>0.0</v>
      </c>
      <c r="E189" s="5">
        <f t="shared" si="1"/>
        <v>50000.47</v>
      </c>
      <c r="F189" s="4" t="s">
        <v>58</v>
      </c>
      <c r="G189" s="14" t="s">
        <v>59</v>
      </c>
      <c r="H189" s="4" t="s">
        <v>111</v>
      </c>
    </row>
    <row r="190" ht="15.75" customHeight="1">
      <c r="A190" s="12">
        <v>46191.0</v>
      </c>
      <c r="B190" s="13" t="s">
        <v>421</v>
      </c>
      <c r="C190" s="5">
        <v>0.0</v>
      </c>
      <c r="D190" s="5">
        <v>5300000.0</v>
      </c>
      <c r="E190" s="5">
        <f t="shared" si="1"/>
        <v>5350000.47</v>
      </c>
      <c r="F190" s="4" t="s">
        <v>93</v>
      </c>
      <c r="G190" s="4" t="s">
        <v>93</v>
      </c>
      <c r="H190" s="4" t="s">
        <v>21</v>
      </c>
    </row>
    <row r="191" ht="15.75" customHeight="1">
      <c r="A191" s="12">
        <v>46191.0</v>
      </c>
      <c r="B191" s="13" t="s">
        <v>731</v>
      </c>
      <c r="C191" s="5">
        <v>5300000.0</v>
      </c>
      <c r="D191" s="5">
        <v>0.0</v>
      </c>
      <c r="E191" s="5">
        <f t="shared" si="1"/>
        <v>50000.47</v>
      </c>
      <c r="F191" s="4" t="s">
        <v>50</v>
      </c>
      <c r="G191" s="14" t="s">
        <v>245</v>
      </c>
      <c r="H191" s="4" t="s">
        <v>413</v>
      </c>
    </row>
    <row r="192" ht="15.75" customHeight="1">
      <c r="A192" s="12">
        <v>46192.0</v>
      </c>
      <c r="B192" s="13" t="s">
        <v>689</v>
      </c>
      <c r="C192" s="5">
        <v>0.0</v>
      </c>
      <c r="D192" s="5">
        <v>5705000.0</v>
      </c>
      <c r="E192" s="5">
        <f t="shared" si="1"/>
        <v>5755000.47</v>
      </c>
      <c r="F192" s="4" t="s">
        <v>93</v>
      </c>
      <c r="G192" s="4" t="s">
        <v>93</v>
      </c>
      <c r="H192" s="4" t="s">
        <v>21</v>
      </c>
    </row>
    <row r="193" ht="15.75" customHeight="1">
      <c r="A193" s="12">
        <v>46192.0</v>
      </c>
      <c r="B193" s="13" t="s">
        <v>734</v>
      </c>
      <c r="C193" s="5">
        <v>500000.0</v>
      </c>
      <c r="D193" s="5">
        <v>0.0</v>
      </c>
      <c r="E193" s="5">
        <f t="shared" si="1"/>
        <v>5255000.47</v>
      </c>
      <c r="F193" s="4" t="s">
        <v>58</v>
      </c>
      <c r="G193" s="14" t="s">
        <v>59</v>
      </c>
      <c r="H193" s="4" t="s">
        <v>735</v>
      </c>
    </row>
    <row r="194" ht="15.75" customHeight="1">
      <c r="A194" s="12">
        <v>46192.0</v>
      </c>
      <c r="B194" s="13" t="s">
        <v>736</v>
      </c>
      <c r="C194" s="5">
        <v>500000.0</v>
      </c>
      <c r="D194" s="5">
        <v>0.0</v>
      </c>
      <c r="E194" s="5">
        <f t="shared" si="1"/>
        <v>4755000.47</v>
      </c>
      <c r="F194" s="4" t="s">
        <v>58</v>
      </c>
      <c r="G194" s="14" t="s">
        <v>59</v>
      </c>
      <c r="H194" s="4" t="s">
        <v>735</v>
      </c>
    </row>
    <row r="195" ht="15.75" customHeight="1">
      <c r="A195" s="12">
        <v>46192.0</v>
      </c>
      <c r="B195" s="13" t="s">
        <v>738</v>
      </c>
      <c r="C195" s="5">
        <v>1500000.0</v>
      </c>
      <c r="D195" s="5">
        <v>0.0</v>
      </c>
      <c r="E195" s="5">
        <f t="shared" si="1"/>
        <v>3255000.47</v>
      </c>
      <c r="F195" s="4" t="s">
        <v>58</v>
      </c>
      <c r="G195" s="14" t="s">
        <v>59</v>
      </c>
      <c r="H195" s="4" t="s">
        <v>739</v>
      </c>
    </row>
    <row r="196" ht="15.75" customHeight="1">
      <c r="A196" s="12">
        <v>46192.0</v>
      </c>
      <c r="B196" s="13" t="s">
        <v>740</v>
      </c>
      <c r="C196" s="5">
        <v>630000.0</v>
      </c>
      <c r="D196" s="5">
        <v>0.0</v>
      </c>
      <c r="E196" s="5">
        <f t="shared" si="1"/>
        <v>2625000.47</v>
      </c>
      <c r="F196" s="4" t="s">
        <v>105</v>
      </c>
      <c r="G196" s="14" t="s">
        <v>148</v>
      </c>
    </row>
    <row r="197" ht="15.75" customHeight="1">
      <c r="A197" s="12">
        <v>46192.0</v>
      </c>
      <c r="B197" s="13" t="s">
        <v>743</v>
      </c>
      <c r="C197" s="5">
        <v>650000.0</v>
      </c>
      <c r="D197" s="5">
        <v>0.0</v>
      </c>
      <c r="E197" s="5">
        <f t="shared" si="1"/>
        <v>1975000.47</v>
      </c>
      <c r="F197" s="4" t="s">
        <v>105</v>
      </c>
      <c r="G197" s="14" t="s">
        <v>148</v>
      </c>
    </row>
    <row r="198" ht="15.75" customHeight="1">
      <c r="A198" s="12">
        <v>46192.0</v>
      </c>
      <c r="B198" s="13" t="s">
        <v>747</v>
      </c>
      <c r="C198" s="5">
        <v>540000.0</v>
      </c>
      <c r="D198" s="5">
        <v>0.0</v>
      </c>
      <c r="E198" s="5">
        <f t="shared" si="1"/>
        <v>1435000.47</v>
      </c>
      <c r="F198" s="4" t="s">
        <v>105</v>
      </c>
      <c r="G198" s="14" t="s">
        <v>148</v>
      </c>
    </row>
    <row r="199" ht="15.75" customHeight="1">
      <c r="A199" s="12">
        <v>46192.0</v>
      </c>
      <c r="B199" s="13" t="s">
        <v>748</v>
      </c>
      <c r="C199" s="5">
        <v>1385000.0</v>
      </c>
      <c r="D199" s="5">
        <v>0.0</v>
      </c>
      <c r="E199" s="5">
        <f t="shared" si="1"/>
        <v>50000.47</v>
      </c>
      <c r="F199" s="4" t="s">
        <v>105</v>
      </c>
      <c r="G199" s="14" t="s">
        <v>148</v>
      </c>
    </row>
    <row r="200" ht="15.75" customHeight="1">
      <c r="A200" s="12">
        <v>46192.0</v>
      </c>
      <c r="B200" s="13" t="s">
        <v>299</v>
      </c>
      <c r="C200" s="5">
        <v>25000.0</v>
      </c>
      <c r="D200" s="5">
        <v>0.0</v>
      </c>
      <c r="E200" s="5">
        <f t="shared" si="1"/>
        <v>25000.47</v>
      </c>
      <c r="F200" s="4" t="s">
        <v>43</v>
      </c>
      <c r="G200" s="14" t="s">
        <v>45</v>
      </c>
    </row>
    <row r="201" ht="15.75" customHeight="1">
      <c r="A201" s="12">
        <v>46195.0</v>
      </c>
      <c r="B201" s="13" t="s">
        <v>752</v>
      </c>
      <c r="C201" s="5">
        <v>0.0</v>
      </c>
      <c r="D201" s="5">
        <v>2.0E7</v>
      </c>
      <c r="E201" s="5">
        <f t="shared" si="1"/>
        <v>20025000.47</v>
      </c>
      <c r="F201" s="4" t="s">
        <v>93</v>
      </c>
      <c r="G201" s="4" t="s">
        <v>93</v>
      </c>
      <c r="H201" s="4" t="s">
        <v>21</v>
      </c>
    </row>
    <row r="202" ht="15.75" customHeight="1">
      <c r="A202" s="12">
        <v>46195.0</v>
      </c>
      <c r="B202" s="13" t="s">
        <v>754</v>
      </c>
      <c r="C202" s="5">
        <v>0.0</v>
      </c>
      <c r="D202" s="5">
        <v>8606750.0</v>
      </c>
      <c r="E202" s="5">
        <f t="shared" si="1"/>
        <v>28631750.47</v>
      </c>
      <c r="F202" s="4" t="s">
        <v>93</v>
      </c>
      <c r="G202" s="4" t="s">
        <v>93</v>
      </c>
      <c r="H202" s="4" t="s">
        <v>21</v>
      </c>
    </row>
    <row r="203" ht="15.75" customHeight="1">
      <c r="A203" s="12">
        <v>46195.0</v>
      </c>
      <c r="B203" s="13" t="s">
        <v>756</v>
      </c>
      <c r="C203" s="5">
        <v>0.0</v>
      </c>
      <c r="D203" s="5">
        <v>3772511.0</v>
      </c>
      <c r="E203" s="5">
        <f t="shared" si="1"/>
        <v>32404261.47</v>
      </c>
      <c r="F203" s="4" t="s">
        <v>93</v>
      </c>
      <c r="G203" s="4" t="s">
        <v>93</v>
      </c>
      <c r="H203" s="4" t="s">
        <v>21</v>
      </c>
    </row>
    <row r="204" ht="15.75" customHeight="1">
      <c r="A204" s="12">
        <v>46195.0</v>
      </c>
      <c r="B204" s="13" t="s">
        <v>759</v>
      </c>
      <c r="C204" s="5">
        <v>0.0</v>
      </c>
      <c r="D204" s="5">
        <v>4480000.0</v>
      </c>
      <c r="E204" s="5">
        <f t="shared" si="1"/>
        <v>36884261.47</v>
      </c>
      <c r="F204" s="4" t="s">
        <v>93</v>
      </c>
      <c r="G204" s="4" t="s">
        <v>93</v>
      </c>
      <c r="H204" s="4" t="s">
        <v>21</v>
      </c>
    </row>
    <row r="205" ht="15.75" customHeight="1">
      <c r="A205" s="12">
        <v>46195.0</v>
      </c>
      <c r="B205" s="13" t="s">
        <v>762</v>
      </c>
      <c r="C205" s="5">
        <v>1500000.0</v>
      </c>
      <c r="D205" s="5">
        <v>0.0</v>
      </c>
      <c r="E205" s="5">
        <f t="shared" si="1"/>
        <v>35384261.47</v>
      </c>
      <c r="F205" s="4" t="s">
        <v>58</v>
      </c>
      <c r="G205" s="14" t="s">
        <v>59</v>
      </c>
      <c r="H205" s="4" t="s">
        <v>739</v>
      </c>
    </row>
    <row r="206" ht="15.75" customHeight="1">
      <c r="A206" s="12">
        <v>46200.0</v>
      </c>
      <c r="B206" s="13" t="s">
        <v>766</v>
      </c>
      <c r="C206" s="5">
        <v>0.0</v>
      </c>
      <c r="D206" s="5">
        <v>4.9165739E7</v>
      </c>
      <c r="E206" s="5">
        <f t="shared" si="1"/>
        <v>84550000.47</v>
      </c>
      <c r="F206" s="4" t="s">
        <v>93</v>
      </c>
      <c r="G206" s="4" t="s">
        <v>93</v>
      </c>
      <c r="H206" s="4" t="s">
        <v>20</v>
      </c>
    </row>
    <row r="207" ht="15.75" customHeight="1">
      <c r="A207" s="12">
        <v>46200.0</v>
      </c>
      <c r="B207" s="13" t="s">
        <v>768</v>
      </c>
      <c r="C207" s="5">
        <v>8.45E7</v>
      </c>
      <c r="D207" s="5">
        <v>0.0</v>
      </c>
      <c r="E207" s="5">
        <f t="shared" si="1"/>
        <v>50000.47</v>
      </c>
      <c r="F207" s="4" t="s">
        <v>105</v>
      </c>
      <c r="G207" s="14" t="s">
        <v>193</v>
      </c>
      <c r="H207" s="4" t="s">
        <v>769</v>
      </c>
    </row>
    <row r="208" ht="15.75" customHeight="1">
      <c r="A208" s="12">
        <v>46200.0</v>
      </c>
      <c r="B208" s="13" t="s">
        <v>365</v>
      </c>
      <c r="C208" s="5">
        <v>0.0</v>
      </c>
      <c r="D208" s="5">
        <v>2000000.0</v>
      </c>
      <c r="E208" s="5">
        <f t="shared" si="1"/>
        <v>2050000.47</v>
      </c>
      <c r="F208" s="4" t="s">
        <v>24</v>
      </c>
      <c r="G208" s="14" t="s">
        <v>198</v>
      </c>
      <c r="H208" s="4" t="s">
        <v>199</v>
      </c>
    </row>
    <row r="209" ht="15.75" customHeight="1">
      <c r="A209" s="12">
        <v>46200.0</v>
      </c>
      <c r="B209" s="13" t="s">
        <v>770</v>
      </c>
      <c r="C209" s="5">
        <v>0.0</v>
      </c>
      <c r="D209" s="5">
        <v>2000000.0</v>
      </c>
      <c r="E209" s="5">
        <f t="shared" si="1"/>
        <v>4050000.47</v>
      </c>
      <c r="F209" s="4" t="s">
        <v>24</v>
      </c>
      <c r="G209" s="14" t="s">
        <v>198</v>
      </c>
      <c r="H209" s="4" t="s">
        <v>203</v>
      </c>
    </row>
    <row r="210" ht="15.75" customHeight="1">
      <c r="A210" s="12">
        <v>46200.0</v>
      </c>
      <c r="B210" s="13" t="s">
        <v>771</v>
      </c>
      <c r="C210" s="5">
        <v>0.0</v>
      </c>
      <c r="D210" s="5">
        <v>500000.0</v>
      </c>
      <c r="E210" s="5">
        <f t="shared" si="1"/>
        <v>4550000.47</v>
      </c>
      <c r="F210" s="4" t="s">
        <v>24</v>
      </c>
      <c r="G210" s="14" t="s">
        <v>198</v>
      </c>
      <c r="H210" s="4" t="s">
        <v>247</v>
      </c>
    </row>
    <row r="211" ht="15.75" customHeight="1">
      <c r="A211" s="12">
        <v>46203.0</v>
      </c>
      <c r="B211" s="13" t="s">
        <v>773</v>
      </c>
      <c r="C211" s="5">
        <v>1500000.0</v>
      </c>
      <c r="D211" s="5">
        <v>0.0</v>
      </c>
      <c r="E211" s="5">
        <f t="shared" si="1"/>
        <v>3050000.47</v>
      </c>
      <c r="F211" s="4" t="s">
        <v>58</v>
      </c>
      <c r="G211" s="14" t="s">
        <v>59</v>
      </c>
      <c r="H211" s="4" t="s">
        <v>592</v>
      </c>
    </row>
    <row r="212" ht="15.75" customHeight="1">
      <c r="A212" s="12">
        <v>46203.0</v>
      </c>
      <c r="B212" s="13" t="s">
        <v>776</v>
      </c>
      <c r="C212" s="5">
        <v>1500000.0</v>
      </c>
      <c r="D212" s="5">
        <v>0.0</v>
      </c>
      <c r="E212" s="5">
        <f t="shared" si="1"/>
        <v>1550000.47</v>
      </c>
      <c r="F212" s="4" t="s">
        <v>58</v>
      </c>
      <c r="G212" s="14" t="s">
        <v>59</v>
      </c>
      <c r="H212" s="4" t="s">
        <v>592</v>
      </c>
    </row>
    <row r="213" ht="15.75" customHeight="1">
      <c r="A213" s="12">
        <v>46204.0</v>
      </c>
      <c r="B213" s="13" t="s">
        <v>716</v>
      </c>
      <c r="C213" s="5">
        <v>1500000.0</v>
      </c>
      <c r="D213" s="5">
        <v>0.0</v>
      </c>
      <c r="E213" s="5">
        <f t="shared" si="1"/>
        <v>50000.47</v>
      </c>
      <c r="F213" s="4" t="s">
        <v>93</v>
      </c>
      <c r="G213" s="4" t="s">
        <v>93</v>
      </c>
      <c r="H213" s="4" t="s">
        <v>21</v>
      </c>
    </row>
    <row r="214" ht="15.75" customHeight="1">
      <c r="A214" s="12">
        <v>46205.0</v>
      </c>
      <c r="B214" s="13" t="s">
        <v>780</v>
      </c>
      <c r="C214" s="5">
        <v>0.0</v>
      </c>
      <c r="D214" s="5">
        <v>1500000.0</v>
      </c>
      <c r="E214" s="5">
        <f t="shared" si="1"/>
        <v>1550000.47</v>
      </c>
      <c r="F214" s="4" t="s">
        <v>93</v>
      </c>
      <c r="G214" s="4" t="s">
        <v>93</v>
      </c>
      <c r="H214" s="4" t="s">
        <v>21</v>
      </c>
    </row>
    <row r="215" ht="15.75" customHeight="1">
      <c r="A215" s="12">
        <v>46205.0</v>
      </c>
      <c r="B215" s="13" t="s">
        <v>781</v>
      </c>
      <c r="C215" s="5">
        <v>400000.0</v>
      </c>
      <c r="D215" s="5">
        <v>0.0</v>
      </c>
      <c r="E215" s="5">
        <f t="shared" si="1"/>
        <v>1150000.47</v>
      </c>
      <c r="F215" s="4" t="s">
        <v>58</v>
      </c>
      <c r="G215" s="14" t="s">
        <v>59</v>
      </c>
      <c r="H215" s="13" t="s">
        <v>722</v>
      </c>
    </row>
    <row r="216" ht="15.75" customHeight="1">
      <c r="A216" s="12">
        <v>46205.0</v>
      </c>
      <c r="B216" s="13" t="s">
        <v>783</v>
      </c>
      <c r="C216" s="5">
        <v>20000.0</v>
      </c>
      <c r="D216" s="5">
        <v>0.0</v>
      </c>
      <c r="E216" s="5">
        <f t="shared" si="1"/>
        <v>1130000.47</v>
      </c>
      <c r="F216" s="4" t="s">
        <v>43</v>
      </c>
      <c r="G216" s="14" t="s">
        <v>45</v>
      </c>
    </row>
    <row r="217" ht="15.75" customHeight="1">
      <c r="A217" s="12">
        <v>46206.0</v>
      </c>
      <c r="B217" s="13" t="s">
        <v>786</v>
      </c>
      <c r="C217" s="5">
        <v>0.0</v>
      </c>
      <c r="D217" s="5">
        <v>1.33665739E8</v>
      </c>
      <c r="E217" s="5">
        <f t="shared" si="1"/>
        <v>134795739.5</v>
      </c>
      <c r="F217" s="4" t="s">
        <v>21</v>
      </c>
      <c r="G217" s="14" t="s">
        <v>788</v>
      </c>
    </row>
    <row r="218" ht="15.75" customHeight="1">
      <c r="A218" s="12">
        <v>46207.0</v>
      </c>
      <c r="B218" s="13" t="s">
        <v>790</v>
      </c>
      <c r="C218" s="5">
        <v>8.45E7</v>
      </c>
      <c r="D218" s="5">
        <v>0.0</v>
      </c>
      <c r="E218" s="5">
        <f t="shared" si="1"/>
        <v>50295739.47</v>
      </c>
      <c r="F218" s="4" t="s">
        <v>93</v>
      </c>
      <c r="G218" s="4" t="s">
        <v>93</v>
      </c>
      <c r="H218" s="4" t="s">
        <v>20</v>
      </c>
    </row>
    <row r="219" ht="15.75" customHeight="1">
      <c r="A219" s="12">
        <v>46207.0</v>
      </c>
      <c r="B219" s="13" t="s">
        <v>793</v>
      </c>
      <c r="C219" s="5">
        <v>4.9165739E7</v>
      </c>
      <c r="D219" s="5">
        <v>0.0</v>
      </c>
      <c r="E219" s="5">
        <f t="shared" si="1"/>
        <v>1130000.47</v>
      </c>
      <c r="F219" s="4" t="s">
        <v>93</v>
      </c>
      <c r="G219" s="4" t="s">
        <v>93</v>
      </c>
      <c r="H219" s="4" t="s">
        <v>20</v>
      </c>
    </row>
    <row r="220" ht="15.75" customHeight="1">
      <c r="A220" s="12">
        <v>46209.0</v>
      </c>
      <c r="B220" s="13" t="s">
        <v>794</v>
      </c>
      <c r="C220" s="5">
        <v>0.0</v>
      </c>
      <c r="D220" s="5">
        <v>1.04E7</v>
      </c>
      <c r="E220" s="5">
        <f t="shared" si="1"/>
        <v>11530000.47</v>
      </c>
      <c r="F220" s="4" t="s">
        <v>75</v>
      </c>
      <c r="G220" s="14" t="s">
        <v>76</v>
      </c>
      <c r="H220" s="14" t="s">
        <v>61</v>
      </c>
      <c r="I220" s="16" t="s">
        <v>796</v>
      </c>
    </row>
    <row r="221" ht="15.75" customHeight="1">
      <c r="A221" s="12">
        <v>46210.0</v>
      </c>
      <c r="B221" s="13" t="s">
        <v>798</v>
      </c>
      <c r="C221" s="5">
        <v>0.0</v>
      </c>
      <c r="D221" s="5">
        <v>1.0E9</v>
      </c>
      <c r="E221" s="5">
        <f t="shared" si="1"/>
        <v>1011530000</v>
      </c>
      <c r="F221" s="4" t="s">
        <v>21</v>
      </c>
      <c r="G221" s="4" t="s">
        <v>568</v>
      </c>
    </row>
    <row r="222" ht="15.75" customHeight="1">
      <c r="A222" s="12">
        <v>46210.0</v>
      </c>
      <c r="B222" s="13" t="s">
        <v>801</v>
      </c>
      <c r="C222" s="5">
        <v>0.0</v>
      </c>
      <c r="D222" s="5">
        <v>8800000.0</v>
      </c>
      <c r="E222" s="5">
        <f t="shared" si="1"/>
        <v>1020330000</v>
      </c>
      <c r="F222" s="4" t="s">
        <v>21</v>
      </c>
      <c r="G222" s="4" t="s">
        <v>568</v>
      </c>
    </row>
    <row r="223" ht="15.75" customHeight="1">
      <c r="A223" s="12">
        <v>46210.0</v>
      </c>
      <c r="B223" s="13" t="s">
        <v>804</v>
      </c>
      <c r="C223" s="5">
        <v>5.0E8</v>
      </c>
      <c r="D223" s="5">
        <v>0.0</v>
      </c>
      <c r="E223" s="5">
        <f t="shared" si="1"/>
        <v>520330000.5</v>
      </c>
      <c r="F223" s="4" t="s">
        <v>18</v>
      </c>
      <c r="G223" s="4" t="s">
        <v>19</v>
      </c>
      <c r="H223" s="4" t="s">
        <v>20</v>
      </c>
    </row>
    <row r="224" ht="15.75" customHeight="1">
      <c r="A224" s="12">
        <v>46211.0</v>
      </c>
      <c r="B224" s="13" t="s">
        <v>808</v>
      </c>
      <c r="C224" s="5">
        <v>4.0E8</v>
      </c>
      <c r="D224" s="5">
        <v>0.0</v>
      </c>
      <c r="E224" s="5">
        <f t="shared" si="1"/>
        <v>120330000.5</v>
      </c>
      <c r="F224" s="4" t="s">
        <v>18</v>
      </c>
      <c r="G224" s="4" t="s">
        <v>19</v>
      </c>
      <c r="H224" s="4" t="s">
        <v>20</v>
      </c>
    </row>
    <row r="225" ht="15.75" customHeight="1">
      <c r="A225" s="12">
        <v>46211.0</v>
      </c>
      <c r="B225" s="13" t="s">
        <v>812</v>
      </c>
      <c r="C225" s="5">
        <v>9.948E7</v>
      </c>
      <c r="D225" s="5">
        <v>0.0</v>
      </c>
      <c r="E225" s="5">
        <f t="shared" si="1"/>
        <v>20850000.47</v>
      </c>
      <c r="F225" s="4" t="s">
        <v>18</v>
      </c>
      <c r="G225" s="4" t="s">
        <v>19</v>
      </c>
      <c r="H225" s="4" t="s">
        <v>20</v>
      </c>
    </row>
    <row r="226" ht="15.75" customHeight="1">
      <c r="A226" s="12">
        <v>46211.0</v>
      </c>
      <c r="B226" s="13" t="s">
        <v>815</v>
      </c>
      <c r="C226" s="5">
        <v>475000.0</v>
      </c>
      <c r="D226" s="5">
        <v>0.0</v>
      </c>
      <c r="E226" s="5">
        <f t="shared" si="1"/>
        <v>20375000.47</v>
      </c>
      <c r="F226" s="4" t="s">
        <v>105</v>
      </c>
      <c r="G226" s="4" t="s">
        <v>148</v>
      </c>
    </row>
    <row r="227" ht="15.75" customHeight="1">
      <c r="A227" s="12">
        <v>46212.0</v>
      </c>
      <c r="B227" s="13" t="s">
        <v>816</v>
      </c>
      <c r="C227" s="5">
        <v>1500000.0</v>
      </c>
      <c r="D227" s="5">
        <v>0.0</v>
      </c>
      <c r="E227" s="5">
        <f t="shared" si="1"/>
        <v>18875000.47</v>
      </c>
      <c r="F227" s="4" t="s">
        <v>105</v>
      </c>
      <c r="G227" s="4" t="s">
        <v>148</v>
      </c>
    </row>
    <row r="228" ht="15.75" customHeight="1">
      <c r="A228" s="12">
        <v>46212.0</v>
      </c>
      <c r="B228" s="13" t="s">
        <v>819</v>
      </c>
      <c r="C228" s="5">
        <v>905000.0</v>
      </c>
      <c r="D228" s="5">
        <v>0.0</v>
      </c>
      <c r="E228" s="5">
        <f t="shared" si="1"/>
        <v>17970000.47</v>
      </c>
      <c r="F228" s="4" t="s">
        <v>105</v>
      </c>
      <c r="G228" s="4" t="s">
        <v>148</v>
      </c>
    </row>
    <row r="229" ht="15.75" customHeight="1">
      <c r="A229" s="12">
        <v>46212.0</v>
      </c>
      <c r="B229" s="13" t="s">
        <v>821</v>
      </c>
      <c r="C229" s="5">
        <v>600000.0</v>
      </c>
      <c r="D229" s="5">
        <v>0.0</v>
      </c>
      <c r="E229" s="5">
        <f t="shared" si="1"/>
        <v>17370000.47</v>
      </c>
      <c r="F229" s="4" t="s">
        <v>105</v>
      </c>
      <c r="G229" s="4" t="s">
        <v>148</v>
      </c>
    </row>
    <row r="230" ht="15.75" customHeight="1">
      <c r="A230" s="12">
        <v>46218.0</v>
      </c>
      <c r="B230" s="13" t="s">
        <v>822</v>
      </c>
      <c r="C230" s="5">
        <v>400000.0</v>
      </c>
      <c r="D230" s="5">
        <v>0.0</v>
      </c>
      <c r="E230" s="5">
        <f t="shared" si="1"/>
        <v>16970000.47</v>
      </c>
      <c r="F230" s="4" t="s">
        <v>58</v>
      </c>
      <c r="G230" s="4" t="s">
        <v>59</v>
      </c>
      <c r="H230" s="4" t="s">
        <v>824</v>
      </c>
    </row>
    <row r="231" ht="15.75" customHeight="1">
      <c r="A231" s="12">
        <v>46218.0</v>
      </c>
      <c r="B231" s="13" t="s">
        <v>825</v>
      </c>
      <c r="C231" s="5">
        <v>800000.0</v>
      </c>
      <c r="D231" s="5">
        <v>0.0</v>
      </c>
      <c r="E231" s="5">
        <f t="shared" si="1"/>
        <v>16170000.47</v>
      </c>
      <c r="F231" s="4" t="s">
        <v>58</v>
      </c>
      <c r="G231" s="4" t="s">
        <v>59</v>
      </c>
      <c r="H231" s="4" t="s">
        <v>824</v>
      </c>
    </row>
    <row r="232" ht="15.75" customHeight="1">
      <c r="A232" s="12">
        <v>46218.0</v>
      </c>
      <c r="B232" s="13" t="s">
        <v>829</v>
      </c>
      <c r="C232" s="5">
        <v>400000.0</v>
      </c>
      <c r="D232" s="5">
        <v>0.0</v>
      </c>
      <c r="E232" s="5">
        <f t="shared" si="1"/>
        <v>15770000.47</v>
      </c>
      <c r="F232" s="4" t="s">
        <v>58</v>
      </c>
      <c r="G232" s="4" t="s">
        <v>59</v>
      </c>
      <c r="H232" s="4" t="s">
        <v>824</v>
      </c>
    </row>
    <row r="233" ht="15.75" customHeight="1">
      <c r="A233" s="12">
        <v>46218.0</v>
      </c>
      <c r="B233" s="13" t="s">
        <v>830</v>
      </c>
      <c r="C233" s="5">
        <v>850000.0</v>
      </c>
      <c r="D233" s="5">
        <v>0.0</v>
      </c>
      <c r="E233" s="5">
        <f t="shared" si="1"/>
        <v>14920000.47</v>
      </c>
      <c r="F233" s="4" t="s">
        <v>58</v>
      </c>
      <c r="G233" s="4" t="s">
        <v>59</v>
      </c>
      <c r="H233" s="4" t="s">
        <v>824</v>
      </c>
    </row>
    <row r="234" ht="15.75" customHeight="1">
      <c r="A234" s="12">
        <v>46218.0</v>
      </c>
      <c r="B234" s="13" t="s">
        <v>831</v>
      </c>
      <c r="C234" s="5">
        <v>800000.0</v>
      </c>
      <c r="D234" s="5">
        <v>0.0</v>
      </c>
      <c r="E234" s="5">
        <f t="shared" si="1"/>
        <v>14120000.47</v>
      </c>
      <c r="F234" s="4" t="s">
        <v>58</v>
      </c>
      <c r="G234" s="4" t="s">
        <v>59</v>
      </c>
      <c r="H234" s="4" t="s">
        <v>824</v>
      </c>
    </row>
    <row r="235" ht="15.75" customHeight="1">
      <c r="A235" s="12">
        <v>46218.0</v>
      </c>
      <c r="B235" s="13" t="s">
        <v>833</v>
      </c>
      <c r="C235" s="5">
        <v>850000.0</v>
      </c>
      <c r="D235" s="5">
        <v>0.0</v>
      </c>
      <c r="E235" s="5">
        <f t="shared" si="1"/>
        <v>13270000.47</v>
      </c>
      <c r="F235" s="4" t="s">
        <v>58</v>
      </c>
      <c r="G235" s="4" t="s">
        <v>59</v>
      </c>
      <c r="H235" s="4" t="s">
        <v>824</v>
      </c>
    </row>
    <row r="236" ht="15.75" customHeight="1">
      <c r="A236" s="12">
        <v>46218.0</v>
      </c>
      <c r="B236" s="13" t="s">
        <v>835</v>
      </c>
      <c r="C236" s="5">
        <v>762250.0</v>
      </c>
      <c r="D236" s="5">
        <v>0.0</v>
      </c>
      <c r="E236" s="5">
        <f t="shared" si="1"/>
        <v>12507750.47</v>
      </c>
      <c r="F236" s="4" t="s">
        <v>105</v>
      </c>
      <c r="G236" s="4" t="s">
        <v>380</v>
      </c>
    </row>
    <row r="237" ht="15.75" customHeight="1">
      <c r="A237" s="12">
        <v>46223.0</v>
      </c>
      <c r="B237" s="13" t="s">
        <v>836</v>
      </c>
      <c r="C237" s="5">
        <v>500000.0</v>
      </c>
      <c r="D237" s="5">
        <v>0.0</v>
      </c>
      <c r="E237" s="5">
        <f t="shared" si="1"/>
        <v>12007750.47</v>
      </c>
      <c r="F237" s="4" t="s">
        <v>58</v>
      </c>
      <c r="G237" s="4" t="s">
        <v>59</v>
      </c>
      <c r="H237" s="4" t="s">
        <v>838</v>
      </c>
    </row>
    <row r="238" ht="15.75" customHeight="1">
      <c r="A238" s="12">
        <v>46223.0</v>
      </c>
      <c r="B238" s="13" t="s">
        <v>839</v>
      </c>
      <c r="C238" s="5">
        <v>850000.0</v>
      </c>
      <c r="D238" s="5">
        <v>0.0</v>
      </c>
      <c r="E238" s="5">
        <f t="shared" si="1"/>
        <v>11157750.47</v>
      </c>
      <c r="F238" s="4" t="s">
        <v>58</v>
      </c>
      <c r="G238" s="4" t="s">
        <v>59</v>
      </c>
      <c r="H238" s="4" t="s">
        <v>824</v>
      </c>
    </row>
    <row r="239" ht="15.75" customHeight="1">
      <c r="A239" s="12">
        <v>46223.0</v>
      </c>
      <c r="B239" s="13" t="s">
        <v>841</v>
      </c>
      <c r="C239" s="5">
        <v>200000.0</v>
      </c>
      <c r="D239" s="5">
        <v>0.0</v>
      </c>
      <c r="E239" s="5">
        <f t="shared" si="1"/>
        <v>10957750.47</v>
      </c>
      <c r="F239" s="4" t="s">
        <v>58</v>
      </c>
      <c r="G239" s="4" t="s">
        <v>59</v>
      </c>
      <c r="H239" s="4" t="s">
        <v>838</v>
      </c>
    </row>
    <row r="240" ht="15.75" customHeight="1">
      <c r="A240" s="12">
        <v>46223.0</v>
      </c>
      <c r="B240" s="13" t="s">
        <v>843</v>
      </c>
      <c r="C240" s="5">
        <v>250000.0</v>
      </c>
      <c r="D240" s="5">
        <v>0.0</v>
      </c>
      <c r="E240" s="5">
        <f t="shared" si="1"/>
        <v>10707750.47</v>
      </c>
      <c r="F240" s="4" t="s">
        <v>58</v>
      </c>
      <c r="G240" s="4" t="s">
        <v>59</v>
      </c>
      <c r="H240" s="4" t="s">
        <v>838</v>
      </c>
    </row>
    <row r="241" ht="15.75" customHeight="1">
      <c r="A241" s="12">
        <v>46223.0</v>
      </c>
      <c r="B241" s="13" t="s">
        <v>845</v>
      </c>
      <c r="C241" s="5">
        <v>5300000.0</v>
      </c>
      <c r="D241" s="5">
        <v>0.0</v>
      </c>
      <c r="E241" s="5">
        <f t="shared" si="1"/>
        <v>5407750.47</v>
      </c>
      <c r="F241" s="4" t="s">
        <v>50</v>
      </c>
      <c r="G241" s="4" t="s">
        <v>245</v>
      </c>
      <c r="H241" s="4" t="s">
        <v>413</v>
      </c>
    </row>
    <row r="242" ht="15.75" customHeight="1">
      <c r="A242" s="12">
        <v>46224.0</v>
      </c>
      <c r="B242" s="13" t="s">
        <v>848</v>
      </c>
      <c r="C242" s="5">
        <v>500000.0</v>
      </c>
      <c r="D242" s="5">
        <v>0.0</v>
      </c>
      <c r="E242" s="5">
        <f t="shared" si="1"/>
        <v>4907750.47</v>
      </c>
      <c r="F242" s="4" t="s">
        <v>24</v>
      </c>
      <c r="G242" s="4" t="s">
        <v>125</v>
      </c>
      <c r="H242" s="4" t="s">
        <v>851</v>
      </c>
    </row>
    <row r="243" ht="15.75" customHeight="1">
      <c r="A243" s="12">
        <v>46227.0</v>
      </c>
      <c r="B243" s="13" t="s">
        <v>853</v>
      </c>
      <c r="C243" s="5">
        <v>1750000.0</v>
      </c>
      <c r="D243" s="5">
        <v>0.0</v>
      </c>
      <c r="E243" s="5">
        <f t="shared" si="1"/>
        <v>3157750.47</v>
      </c>
      <c r="F243" s="4" t="s">
        <v>58</v>
      </c>
      <c r="G243" s="4" t="s">
        <v>59</v>
      </c>
      <c r="H243" s="4" t="s">
        <v>854</v>
      </c>
    </row>
    <row r="244" ht="15.75" customHeight="1">
      <c r="A244" s="12">
        <v>46230.0</v>
      </c>
      <c r="B244" s="13" t="s">
        <v>689</v>
      </c>
      <c r="C244" s="5">
        <v>0.0</v>
      </c>
      <c r="D244" s="5">
        <v>8.14E7</v>
      </c>
      <c r="E244" s="5">
        <f t="shared" si="1"/>
        <v>84557750.47</v>
      </c>
      <c r="F244" s="4" t="s">
        <v>93</v>
      </c>
      <c r="G244" s="4" t="s">
        <v>93</v>
      </c>
      <c r="H244" s="4" t="s">
        <v>21</v>
      </c>
    </row>
    <row r="245" ht="15.75" customHeight="1">
      <c r="A245" s="12">
        <v>46230.0</v>
      </c>
      <c r="B245" s="13" t="s">
        <v>857</v>
      </c>
      <c r="C245" s="5">
        <v>8.45E7</v>
      </c>
      <c r="D245" s="5">
        <v>0.0</v>
      </c>
      <c r="E245" s="5">
        <f t="shared" si="1"/>
        <v>57750.47</v>
      </c>
      <c r="F245" s="4" t="s">
        <v>105</v>
      </c>
      <c r="G245" s="4" t="s">
        <v>193</v>
      </c>
      <c r="H245" s="4" t="s">
        <v>858</v>
      </c>
    </row>
    <row r="246" ht="15.75" customHeight="1">
      <c r="A246" s="12">
        <v>46230.0</v>
      </c>
      <c r="B246" s="13" t="s">
        <v>365</v>
      </c>
      <c r="C246" s="5">
        <v>0.0</v>
      </c>
      <c r="D246" s="5">
        <v>2000000.0</v>
      </c>
      <c r="E246" s="5">
        <f t="shared" si="1"/>
        <v>2057750.47</v>
      </c>
      <c r="F246" s="4" t="s">
        <v>24</v>
      </c>
      <c r="G246" s="4" t="s">
        <v>198</v>
      </c>
      <c r="H246" s="4" t="s">
        <v>199</v>
      </c>
    </row>
    <row r="247" ht="15.75" customHeight="1">
      <c r="A247" s="12">
        <v>46230.0</v>
      </c>
      <c r="B247" s="13" t="s">
        <v>372</v>
      </c>
      <c r="C247" s="5">
        <v>0.0</v>
      </c>
      <c r="D247" s="5">
        <v>500000.0</v>
      </c>
      <c r="E247" s="5">
        <f t="shared" si="1"/>
        <v>2557750.47</v>
      </c>
      <c r="F247" s="4" t="s">
        <v>24</v>
      </c>
      <c r="G247" s="4" t="s">
        <v>198</v>
      </c>
      <c r="H247" s="4" t="s">
        <v>247</v>
      </c>
    </row>
    <row r="248" ht="15.75" customHeight="1">
      <c r="A248" s="12">
        <v>46230.0</v>
      </c>
      <c r="B248" s="13" t="s">
        <v>865</v>
      </c>
      <c r="C248" s="5">
        <v>0.0</v>
      </c>
      <c r="D248" s="5">
        <v>2000000.0</v>
      </c>
      <c r="E248" s="5">
        <f t="shared" si="1"/>
        <v>4557750.47</v>
      </c>
      <c r="F248" s="4" t="s">
        <v>24</v>
      </c>
      <c r="G248" s="4" t="s">
        <v>669</v>
      </c>
      <c r="H248" s="4" t="s">
        <v>868</v>
      </c>
    </row>
    <row r="249" ht="15.75" customHeight="1">
      <c r="A249" s="12">
        <v>46230.0</v>
      </c>
      <c r="B249" s="13" t="s">
        <v>870</v>
      </c>
      <c r="C249" s="5">
        <v>0.0</v>
      </c>
      <c r="D249" s="5">
        <v>2000000.0</v>
      </c>
      <c r="E249" s="5">
        <f t="shared" si="1"/>
        <v>6557750.47</v>
      </c>
      <c r="F249" s="4" t="s">
        <v>24</v>
      </c>
      <c r="G249" s="4" t="s">
        <v>198</v>
      </c>
      <c r="H249" s="4" t="s">
        <v>203</v>
      </c>
    </row>
    <row r="250" ht="15.75" customHeight="1">
      <c r="A250" s="12">
        <v>46233.0</v>
      </c>
      <c r="B250" s="13" t="s">
        <v>874</v>
      </c>
      <c r="C250" s="5">
        <v>400000.0</v>
      </c>
      <c r="D250" s="5">
        <v>0.0</v>
      </c>
      <c r="E250" s="5">
        <f t="shared" si="1"/>
        <v>6157750.47</v>
      </c>
      <c r="F250" s="4" t="s">
        <v>58</v>
      </c>
      <c r="G250" s="4" t="s">
        <v>59</v>
      </c>
      <c r="H250" s="4" t="s">
        <v>722</v>
      </c>
    </row>
    <row r="251" ht="15.75" customHeight="1">
      <c r="A251" s="12">
        <v>46233.0</v>
      </c>
      <c r="B251" s="13" t="s">
        <v>878</v>
      </c>
      <c r="C251" s="5">
        <v>762250.0</v>
      </c>
      <c r="D251" s="5">
        <v>0.0</v>
      </c>
      <c r="E251" s="5">
        <f t="shared" si="1"/>
        <v>5395500.47</v>
      </c>
      <c r="F251" s="4" t="s">
        <v>105</v>
      </c>
      <c r="G251" s="4" t="s">
        <v>380</v>
      </c>
    </row>
    <row r="252" ht="15.75" customHeight="1">
      <c r="A252" s="12">
        <v>46233.0</v>
      </c>
      <c r="B252" s="13" t="s">
        <v>880</v>
      </c>
      <c r="C252" s="5">
        <v>1750000.0</v>
      </c>
      <c r="D252" s="5">
        <v>0.0</v>
      </c>
      <c r="E252" s="5">
        <f t="shared" si="1"/>
        <v>3645500.47</v>
      </c>
      <c r="F252" s="4" t="s">
        <v>58</v>
      </c>
      <c r="G252" s="4" t="s">
        <v>59</v>
      </c>
      <c r="H252" s="4" t="s">
        <v>854</v>
      </c>
    </row>
    <row r="253" ht="15.75" customHeight="1">
      <c r="A253" s="12">
        <v>46233.0</v>
      </c>
      <c r="B253" s="13" t="s">
        <v>882</v>
      </c>
      <c r="C253" s="5">
        <v>1750000.0</v>
      </c>
      <c r="D253" s="5">
        <v>0.0</v>
      </c>
      <c r="E253" s="5">
        <f t="shared" si="1"/>
        <v>1895500.47</v>
      </c>
      <c r="F253" s="4" t="s">
        <v>58</v>
      </c>
      <c r="G253" s="4" t="s">
        <v>59</v>
      </c>
      <c r="H253" s="4" t="s">
        <v>854</v>
      </c>
    </row>
    <row r="254" ht="15.75" customHeight="1">
      <c r="A254" s="12">
        <v>46234.0</v>
      </c>
      <c r="B254" s="13" t="s">
        <v>883</v>
      </c>
      <c r="C254" s="5">
        <v>300000.0</v>
      </c>
      <c r="D254" s="5">
        <v>0.0</v>
      </c>
      <c r="E254" s="5">
        <f t="shared" si="1"/>
        <v>1595500.47</v>
      </c>
      <c r="F254" s="4" t="s">
        <v>58</v>
      </c>
      <c r="G254" s="4" t="s">
        <v>59</v>
      </c>
      <c r="H254" s="4" t="s">
        <v>824</v>
      </c>
    </row>
    <row r="255" ht="15.75" customHeight="1">
      <c r="A255" s="12">
        <v>46234.0</v>
      </c>
      <c r="B255" s="13" t="s">
        <v>375</v>
      </c>
      <c r="C255" s="5">
        <v>0.0</v>
      </c>
      <c r="D255" s="5">
        <v>249.33</v>
      </c>
      <c r="E255" s="5">
        <f t="shared" si="1"/>
        <v>1595749.8</v>
      </c>
      <c r="F255" s="4" t="s">
        <v>63</v>
      </c>
      <c r="G255" s="4" t="s">
        <v>65</v>
      </c>
    </row>
    <row r="256" ht="15.75" customHeight="1">
      <c r="A256" s="12">
        <v>46234.0</v>
      </c>
      <c r="B256" s="13" t="s">
        <v>377</v>
      </c>
      <c r="C256" s="5">
        <v>49.87</v>
      </c>
      <c r="D256" s="5">
        <v>0.0</v>
      </c>
      <c r="E256" s="5">
        <f t="shared" si="1"/>
        <v>1595699.93</v>
      </c>
      <c r="F256" s="4" t="s">
        <v>63</v>
      </c>
      <c r="G256" s="4" t="s">
        <v>65</v>
      </c>
    </row>
    <row r="257" ht="15.75" customHeight="1">
      <c r="A257" s="12">
        <v>46235.0</v>
      </c>
      <c r="B257" s="13" t="s">
        <v>887</v>
      </c>
      <c r="C257" s="5">
        <v>20000.0</v>
      </c>
      <c r="D257" s="5">
        <v>0.0</v>
      </c>
      <c r="E257" s="5">
        <f t="shared" si="1"/>
        <v>1575699.93</v>
      </c>
      <c r="F257" s="4" t="s">
        <v>43</v>
      </c>
      <c r="G257" s="4" t="s">
        <v>45</v>
      </c>
    </row>
    <row r="258" ht="15.75" customHeight="1">
      <c r="A258" s="12">
        <v>46237.0</v>
      </c>
      <c r="B258" s="13" t="s">
        <v>888</v>
      </c>
      <c r="C258" s="5">
        <v>0.0</v>
      </c>
      <c r="D258" s="5">
        <v>5.90540541E8</v>
      </c>
      <c r="E258" s="5">
        <f t="shared" si="1"/>
        <v>592116240.9</v>
      </c>
      <c r="F258" s="4" t="s">
        <v>21</v>
      </c>
      <c r="G258" s="4" t="s">
        <v>568</v>
      </c>
    </row>
    <row r="259" ht="15.75" customHeight="1">
      <c r="A259" s="12">
        <v>46237.0</v>
      </c>
      <c r="B259" s="13" t="s">
        <v>890</v>
      </c>
      <c r="C259" s="5">
        <v>2500000.0</v>
      </c>
      <c r="D259" s="5">
        <v>0.0</v>
      </c>
      <c r="E259" s="5">
        <f t="shared" si="1"/>
        <v>589616240.9</v>
      </c>
      <c r="F259" s="4" t="s">
        <v>58</v>
      </c>
      <c r="G259" s="4" t="s">
        <v>59</v>
      </c>
      <c r="H259" s="4" t="s">
        <v>319</v>
      </c>
    </row>
    <row r="260" ht="15.75" customHeight="1">
      <c r="A260" s="12">
        <v>46237.0</v>
      </c>
      <c r="B260" s="13" t="s">
        <v>892</v>
      </c>
      <c r="C260" s="5">
        <v>3000000.0</v>
      </c>
      <c r="D260" s="5">
        <v>0.0</v>
      </c>
      <c r="E260" s="5">
        <f t="shared" si="1"/>
        <v>586616240.9</v>
      </c>
      <c r="F260" s="4" t="s">
        <v>24</v>
      </c>
      <c r="G260" s="4" t="s">
        <v>198</v>
      </c>
      <c r="H260" s="4" t="s">
        <v>247</v>
      </c>
    </row>
    <row r="261" ht="15.75" customHeight="1">
      <c r="A261" s="12">
        <v>46237.0</v>
      </c>
      <c r="B261" s="13" t="s">
        <v>894</v>
      </c>
      <c r="C261" s="5">
        <v>762250.0</v>
      </c>
      <c r="D261" s="5">
        <v>0.0</v>
      </c>
      <c r="E261" s="5">
        <f t="shared" si="1"/>
        <v>585853990.9</v>
      </c>
      <c r="F261" s="4" t="s">
        <v>105</v>
      </c>
      <c r="G261" s="4" t="s">
        <v>380</v>
      </c>
    </row>
    <row r="262" ht="15.75" customHeight="1">
      <c r="A262" s="12">
        <v>46239.0</v>
      </c>
      <c r="B262" s="13" t="s">
        <v>896</v>
      </c>
      <c r="C262" s="5">
        <v>0.0</v>
      </c>
      <c r="D262" s="5">
        <v>570833.0</v>
      </c>
      <c r="E262" s="5">
        <f t="shared" si="1"/>
        <v>586424823.9</v>
      </c>
      <c r="F262" s="4" t="s">
        <v>21</v>
      </c>
      <c r="G262" s="4" t="s">
        <v>899</v>
      </c>
    </row>
    <row r="263" ht="15.75" customHeight="1">
      <c r="A263" s="12">
        <v>46241.0</v>
      </c>
      <c r="B263" s="13" t="s">
        <v>900</v>
      </c>
      <c r="C263" s="5">
        <v>1.9065E8</v>
      </c>
      <c r="D263" s="5">
        <v>0.0</v>
      </c>
      <c r="E263" s="5">
        <f t="shared" si="1"/>
        <v>395774823.9</v>
      </c>
      <c r="F263" s="4" t="s">
        <v>18</v>
      </c>
      <c r="G263" s="4" t="s">
        <v>147</v>
      </c>
      <c r="H263" s="4" t="s">
        <v>903</v>
      </c>
    </row>
    <row r="264" ht="15.75" customHeight="1">
      <c r="A264" s="12">
        <v>46243.0</v>
      </c>
      <c r="B264" s="13" t="s">
        <v>904</v>
      </c>
      <c r="C264" s="5">
        <v>800000.0</v>
      </c>
      <c r="D264" s="5">
        <v>0.0</v>
      </c>
      <c r="E264" s="5">
        <f t="shared" si="1"/>
        <v>394974823.9</v>
      </c>
      <c r="F264" s="4" t="s">
        <v>105</v>
      </c>
      <c r="G264" s="4" t="s">
        <v>907</v>
      </c>
    </row>
    <row r="265" ht="15.75" customHeight="1">
      <c r="A265" s="12">
        <v>46245.0</v>
      </c>
      <c r="B265" s="13" t="s">
        <v>909</v>
      </c>
      <c r="C265" s="5">
        <v>690000.0</v>
      </c>
      <c r="D265" s="5">
        <v>0.0</v>
      </c>
      <c r="E265" s="5">
        <f t="shared" si="1"/>
        <v>394284823.9</v>
      </c>
      <c r="F265" s="4" t="s">
        <v>105</v>
      </c>
      <c r="G265" s="4" t="s">
        <v>148</v>
      </c>
    </row>
    <row r="266" ht="15.75" customHeight="1">
      <c r="A266" s="12">
        <v>46245.0</v>
      </c>
      <c r="B266" s="13" t="s">
        <v>912</v>
      </c>
      <c r="C266" s="5">
        <v>555555.0</v>
      </c>
      <c r="D266" s="5">
        <v>0.0</v>
      </c>
      <c r="E266" s="5">
        <f t="shared" si="1"/>
        <v>393729268.9</v>
      </c>
      <c r="F266" s="4" t="s">
        <v>105</v>
      </c>
      <c r="G266" s="4" t="s">
        <v>148</v>
      </c>
    </row>
    <row r="267" ht="15.75" customHeight="1">
      <c r="A267" s="12">
        <v>46245.0</v>
      </c>
      <c r="B267" s="13" t="s">
        <v>914</v>
      </c>
      <c r="C267" s="5">
        <v>1755000.0</v>
      </c>
      <c r="D267" s="5">
        <v>0.0</v>
      </c>
      <c r="E267" s="5">
        <f t="shared" si="1"/>
        <v>391974268.9</v>
      </c>
      <c r="F267" s="4" t="s">
        <v>105</v>
      </c>
      <c r="G267" s="4" t="s">
        <v>148</v>
      </c>
    </row>
    <row r="268" ht="15.75" customHeight="1">
      <c r="A268" s="12">
        <v>46245.0</v>
      </c>
      <c r="B268" s="13" t="s">
        <v>916</v>
      </c>
      <c r="C268" s="5">
        <v>995000.0</v>
      </c>
      <c r="D268" s="5">
        <v>0.0</v>
      </c>
      <c r="E268" s="5">
        <f t="shared" si="1"/>
        <v>390979268.9</v>
      </c>
      <c r="F268" s="4" t="s">
        <v>105</v>
      </c>
      <c r="G268" s="4" t="s">
        <v>148</v>
      </c>
    </row>
    <row r="269" ht="15.75" customHeight="1">
      <c r="A269" s="12">
        <v>46245.0</v>
      </c>
      <c r="B269" s="13" t="s">
        <v>919</v>
      </c>
      <c r="C269" s="5">
        <v>400000.0</v>
      </c>
      <c r="D269" s="5">
        <v>0.0</v>
      </c>
      <c r="E269" s="5">
        <f t="shared" si="1"/>
        <v>390579268.9</v>
      </c>
      <c r="F269" s="4" t="s">
        <v>24</v>
      </c>
      <c r="G269" s="4" t="s">
        <v>125</v>
      </c>
      <c r="H269" s="15" t="s">
        <v>922</v>
      </c>
    </row>
    <row r="270" ht="15.75" customHeight="1">
      <c r="A270" s="12">
        <v>46245.0</v>
      </c>
      <c r="B270" s="13" t="s">
        <v>923</v>
      </c>
      <c r="C270" s="5">
        <v>1200000.0</v>
      </c>
      <c r="D270" s="5">
        <v>0.0</v>
      </c>
      <c r="E270" s="5">
        <f t="shared" si="1"/>
        <v>389379268.9</v>
      </c>
      <c r="F270" s="4" t="s">
        <v>24</v>
      </c>
      <c r="G270" s="4" t="s">
        <v>125</v>
      </c>
      <c r="H270" s="15" t="s">
        <v>922</v>
      </c>
    </row>
    <row r="271" ht="15.75" customHeight="1">
      <c r="A271" s="12">
        <v>46245.0</v>
      </c>
      <c r="B271" s="13" t="s">
        <v>927</v>
      </c>
      <c r="C271" s="5">
        <v>460000.0</v>
      </c>
      <c r="D271" s="5">
        <v>0.0</v>
      </c>
      <c r="E271" s="5">
        <f t="shared" si="1"/>
        <v>388919268.9</v>
      </c>
      <c r="F271" s="4" t="s">
        <v>93</v>
      </c>
      <c r="G271" s="4" t="s">
        <v>93</v>
      </c>
      <c r="H271" s="4" t="s">
        <v>21</v>
      </c>
    </row>
    <row r="272" ht="15.75" customHeight="1">
      <c r="A272" s="12">
        <v>46245.0</v>
      </c>
      <c r="B272" s="13" t="s">
        <v>930</v>
      </c>
      <c r="C272" s="5">
        <v>1.035E8</v>
      </c>
      <c r="D272" s="5">
        <v>0.0</v>
      </c>
      <c r="E272" s="5">
        <f t="shared" si="1"/>
        <v>285419268.9</v>
      </c>
      <c r="F272" s="4" t="s">
        <v>93</v>
      </c>
      <c r="G272" s="4" t="s">
        <v>93</v>
      </c>
      <c r="H272" s="4" t="s">
        <v>21</v>
      </c>
    </row>
    <row r="273" ht="15.75" customHeight="1">
      <c r="A273" s="12">
        <v>46245.0</v>
      </c>
      <c r="B273" s="13" t="s">
        <v>934</v>
      </c>
      <c r="C273" s="5">
        <v>3.5E7</v>
      </c>
      <c r="D273" s="5">
        <v>0.0</v>
      </c>
      <c r="E273" s="5">
        <f t="shared" si="1"/>
        <v>250419268.9</v>
      </c>
      <c r="F273" s="4" t="s">
        <v>93</v>
      </c>
      <c r="G273" s="4" t="s">
        <v>93</v>
      </c>
      <c r="H273" s="4" t="s">
        <v>21</v>
      </c>
    </row>
    <row r="274" ht="15.75" customHeight="1">
      <c r="A274" s="12">
        <v>46245.0</v>
      </c>
      <c r="B274" s="13" t="s">
        <v>937</v>
      </c>
      <c r="C274" s="5">
        <v>3.655E7</v>
      </c>
      <c r="D274" s="5">
        <v>0.0</v>
      </c>
      <c r="E274" s="5">
        <f t="shared" si="1"/>
        <v>213869268.9</v>
      </c>
      <c r="F274" s="4" t="s">
        <v>93</v>
      </c>
      <c r="G274" s="4" t="s">
        <v>93</v>
      </c>
      <c r="H274" s="4" t="s">
        <v>21</v>
      </c>
    </row>
    <row r="275" ht="15.75" customHeight="1">
      <c r="A275" s="12">
        <v>46245.0</v>
      </c>
      <c r="B275" s="13" t="s">
        <v>940</v>
      </c>
      <c r="C275" s="5">
        <v>5300000.0</v>
      </c>
      <c r="D275" s="5">
        <v>0.0</v>
      </c>
      <c r="E275" s="5">
        <f t="shared" si="1"/>
        <v>208569268.9</v>
      </c>
      <c r="F275" s="4" t="s">
        <v>93</v>
      </c>
      <c r="G275" s="4" t="s">
        <v>93</v>
      </c>
      <c r="H275" s="4" t="s">
        <v>21</v>
      </c>
    </row>
    <row r="276" ht="15.75" customHeight="1">
      <c r="A276" s="12">
        <v>46252.0</v>
      </c>
      <c r="B276" s="13" t="s">
        <v>941</v>
      </c>
      <c r="C276" s="5">
        <v>0.0</v>
      </c>
      <c r="D276" s="5">
        <v>1.65E8</v>
      </c>
      <c r="E276" s="5">
        <f t="shared" si="1"/>
        <v>373569268.9</v>
      </c>
      <c r="F276" s="4" t="s">
        <v>21</v>
      </c>
      <c r="G276" s="4" t="s">
        <v>943</v>
      </c>
    </row>
    <row r="277" ht="15.75" customHeight="1">
      <c r="A277" s="12">
        <v>46253.0</v>
      </c>
      <c r="B277" s="13" t="s">
        <v>944</v>
      </c>
      <c r="C277" s="5">
        <v>2000000.0</v>
      </c>
      <c r="D277" s="5">
        <v>0.0</v>
      </c>
      <c r="E277" s="5">
        <f t="shared" si="1"/>
        <v>371569268.9</v>
      </c>
      <c r="F277" s="4" t="s">
        <v>24</v>
      </c>
      <c r="G277" s="4" t="s">
        <v>125</v>
      </c>
      <c r="H277" s="4" t="s">
        <v>946</v>
      </c>
    </row>
    <row r="278" ht="15.75" customHeight="1">
      <c r="A278" s="12">
        <v>46253.0</v>
      </c>
      <c r="B278" s="13" t="s">
        <v>947</v>
      </c>
      <c r="C278" s="5">
        <v>1200000.0</v>
      </c>
      <c r="D278" s="5">
        <v>0.0</v>
      </c>
      <c r="E278" s="5">
        <f t="shared" si="1"/>
        <v>370369268.9</v>
      </c>
      <c r="F278" s="4" t="s">
        <v>24</v>
      </c>
      <c r="G278" s="4" t="s">
        <v>125</v>
      </c>
      <c r="H278" s="4" t="s">
        <v>922</v>
      </c>
    </row>
    <row r="279" ht="15.75" customHeight="1">
      <c r="A279" s="12">
        <v>46253.0</v>
      </c>
      <c r="B279" s="13" t="s">
        <v>949</v>
      </c>
      <c r="C279" s="5">
        <v>2000000.0</v>
      </c>
      <c r="D279" s="5">
        <v>0.0</v>
      </c>
      <c r="E279" s="5">
        <f t="shared" si="1"/>
        <v>368369268.9</v>
      </c>
      <c r="F279" s="4" t="s">
        <v>24</v>
      </c>
      <c r="G279" s="4" t="s">
        <v>125</v>
      </c>
      <c r="H279" s="4" t="s">
        <v>946</v>
      </c>
    </row>
    <row r="280" ht="15.75" customHeight="1">
      <c r="A280" s="12">
        <v>46253.0</v>
      </c>
      <c r="B280" s="13" t="s">
        <v>950</v>
      </c>
      <c r="C280" s="5">
        <v>2000000.0</v>
      </c>
      <c r="D280" s="5">
        <v>0.0</v>
      </c>
      <c r="E280" s="5">
        <f t="shared" si="1"/>
        <v>366369268.9</v>
      </c>
      <c r="F280" s="4" t="s">
        <v>24</v>
      </c>
      <c r="G280" s="4" t="s">
        <v>125</v>
      </c>
      <c r="H280" s="4" t="s">
        <v>946</v>
      </c>
    </row>
    <row r="281" ht="15.75" customHeight="1">
      <c r="A281" s="12">
        <v>46253.0</v>
      </c>
      <c r="B281" s="13" t="s">
        <v>952</v>
      </c>
      <c r="C281" s="5">
        <v>2000000.0</v>
      </c>
      <c r="D281" s="5">
        <v>0.0</v>
      </c>
      <c r="E281" s="5">
        <f t="shared" si="1"/>
        <v>364369268.9</v>
      </c>
      <c r="F281" s="4" t="s">
        <v>24</v>
      </c>
      <c r="G281" s="4" t="s">
        <v>125</v>
      </c>
      <c r="H281" s="4" t="s">
        <v>946</v>
      </c>
    </row>
    <row r="282" ht="15.75" customHeight="1">
      <c r="A282" s="12">
        <v>46253.0</v>
      </c>
      <c r="B282" s="13" t="s">
        <v>954</v>
      </c>
      <c r="C282" s="5">
        <v>1750000.0</v>
      </c>
      <c r="D282" s="5">
        <v>0.0</v>
      </c>
      <c r="E282" s="5">
        <f t="shared" si="1"/>
        <v>362619268.9</v>
      </c>
      <c r="F282" s="4" t="s">
        <v>24</v>
      </c>
      <c r="G282" s="4" t="s">
        <v>125</v>
      </c>
      <c r="H282" s="4" t="s">
        <v>946</v>
      </c>
    </row>
    <row r="283" ht="15.75" customHeight="1">
      <c r="A283" s="12">
        <v>46253.0</v>
      </c>
      <c r="B283" s="13" t="s">
        <v>957</v>
      </c>
      <c r="C283" s="5">
        <v>5300000.0</v>
      </c>
      <c r="D283" s="5">
        <v>0.0</v>
      </c>
      <c r="E283" s="5">
        <f t="shared" si="1"/>
        <v>357319268.9</v>
      </c>
      <c r="F283" s="4" t="s">
        <v>50</v>
      </c>
      <c r="G283" s="4" t="s">
        <v>245</v>
      </c>
      <c r="H283" s="4" t="s">
        <v>413</v>
      </c>
    </row>
    <row r="284" ht="15.75" customHeight="1">
      <c r="A284" s="12">
        <v>46257.0</v>
      </c>
      <c r="B284" s="13" t="s">
        <v>960</v>
      </c>
      <c r="C284" s="5">
        <v>1500000.0</v>
      </c>
      <c r="D284" s="5">
        <v>0.0</v>
      </c>
      <c r="E284" s="5">
        <f t="shared" si="1"/>
        <v>355819268.9</v>
      </c>
      <c r="F284" s="4" t="s">
        <v>58</v>
      </c>
      <c r="G284" s="4" t="s">
        <v>59</v>
      </c>
      <c r="H284" s="4" t="s">
        <v>964</v>
      </c>
    </row>
    <row r="285" ht="15.75" customHeight="1">
      <c r="A285" s="12">
        <v>46257.0</v>
      </c>
      <c r="B285" s="13" t="s">
        <v>966</v>
      </c>
      <c r="C285" s="5">
        <v>1750000.0</v>
      </c>
      <c r="D285" s="5">
        <v>0.0</v>
      </c>
      <c r="E285" s="5">
        <f t="shared" si="1"/>
        <v>354069268.9</v>
      </c>
      <c r="F285" s="4" t="s">
        <v>58</v>
      </c>
      <c r="G285" s="4" t="s">
        <v>59</v>
      </c>
      <c r="H285" s="4" t="s">
        <v>964</v>
      </c>
    </row>
    <row r="286" ht="15.75" customHeight="1">
      <c r="A286" s="12">
        <v>46257.0</v>
      </c>
      <c r="B286" s="13" t="s">
        <v>968</v>
      </c>
      <c r="C286" s="5">
        <v>1750000.0</v>
      </c>
      <c r="D286" s="5">
        <v>0.0</v>
      </c>
      <c r="E286" s="5">
        <f t="shared" si="1"/>
        <v>352319268.9</v>
      </c>
      <c r="F286" s="4" t="s">
        <v>58</v>
      </c>
      <c r="G286" s="4" t="s">
        <v>59</v>
      </c>
      <c r="H286" s="4" t="s">
        <v>964</v>
      </c>
    </row>
    <row r="287" ht="15.75" customHeight="1">
      <c r="A287" s="12">
        <v>46258.0</v>
      </c>
      <c r="B287" s="13" t="s">
        <v>971</v>
      </c>
      <c r="C287" s="5">
        <v>762250.0</v>
      </c>
      <c r="D287" s="5">
        <v>0.0</v>
      </c>
      <c r="E287" s="5">
        <f t="shared" si="1"/>
        <v>351557018.9</v>
      </c>
      <c r="F287" s="4" t="s">
        <v>105</v>
      </c>
      <c r="G287" s="4" t="s">
        <v>380</v>
      </c>
    </row>
    <row r="288" ht="15.75" customHeight="1">
      <c r="A288" s="12">
        <v>46258.0</v>
      </c>
      <c r="B288" s="13" t="s">
        <v>973</v>
      </c>
      <c r="C288" s="5">
        <v>1750000.0</v>
      </c>
      <c r="D288" s="5">
        <v>0.0</v>
      </c>
      <c r="E288" s="5">
        <f t="shared" si="1"/>
        <v>349807018.9</v>
      </c>
      <c r="F288" s="4" t="s">
        <v>58</v>
      </c>
      <c r="G288" s="4" t="s">
        <v>59</v>
      </c>
      <c r="H288" s="4" t="s">
        <v>964</v>
      </c>
    </row>
    <row r="289" ht="15.75" customHeight="1">
      <c r="A289" s="12">
        <v>46258.0</v>
      </c>
      <c r="B289" s="13" t="s">
        <v>976</v>
      </c>
      <c r="C289" s="5">
        <v>200000.0</v>
      </c>
      <c r="D289" s="5">
        <v>0.0</v>
      </c>
      <c r="E289" s="5">
        <f t="shared" si="1"/>
        <v>349607018.9</v>
      </c>
      <c r="F289" s="4" t="s">
        <v>58</v>
      </c>
      <c r="G289" s="4" t="s">
        <v>59</v>
      </c>
      <c r="H289" s="4" t="s">
        <v>964</v>
      </c>
    </row>
    <row r="290" ht="15.75" customHeight="1">
      <c r="A290" s="12">
        <v>46258.0</v>
      </c>
      <c r="B290" s="13" t="s">
        <v>978</v>
      </c>
      <c r="C290" s="5">
        <v>250000.0</v>
      </c>
      <c r="D290" s="5">
        <v>0.0</v>
      </c>
      <c r="E290" s="5">
        <f t="shared" si="1"/>
        <v>349357018.9</v>
      </c>
      <c r="F290" s="4" t="s">
        <v>58</v>
      </c>
      <c r="G290" s="4" t="s">
        <v>59</v>
      </c>
      <c r="H290" s="4" t="s">
        <v>964</v>
      </c>
    </row>
    <row r="291" ht="15.75" customHeight="1">
      <c r="A291" s="12">
        <v>46261.0</v>
      </c>
      <c r="B291" s="13" t="s">
        <v>980</v>
      </c>
      <c r="C291" s="5">
        <v>9.0822581E7</v>
      </c>
      <c r="D291" s="5">
        <v>0.0</v>
      </c>
      <c r="E291" s="5">
        <f t="shared" si="1"/>
        <v>258534437.9</v>
      </c>
      <c r="F291" s="4" t="s">
        <v>105</v>
      </c>
      <c r="G291" s="4" t="s">
        <v>193</v>
      </c>
      <c r="H291" s="4" t="s">
        <v>981</v>
      </c>
    </row>
    <row r="292" ht="15.75" customHeight="1">
      <c r="A292" s="12">
        <v>46261.0</v>
      </c>
      <c r="B292" s="13" t="s">
        <v>365</v>
      </c>
      <c r="C292" s="5">
        <v>0.0</v>
      </c>
      <c r="D292" s="5">
        <v>2000000.0</v>
      </c>
      <c r="E292" s="5">
        <f t="shared" si="1"/>
        <v>260534437.9</v>
      </c>
      <c r="F292" s="4" t="s">
        <v>24</v>
      </c>
      <c r="G292" s="4" t="s">
        <v>198</v>
      </c>
      <c r="H292" s="4" t="s">
        <v>199</v>
      </c>
    </row>
    <row r="293" ht="15.75" customHeight="1">
      <c r="A293" s="12">
        <v>46261.0</v>
      </c>
      <c r="B293" s="13" t="s">
        <v>770</v>
      </c>
      <c r="C293" s="5">
        <v>0.0</v>
      </c>
      <c r="D293" s="5">
        <v>2000000.0</v>
      </c>
      <c r="E293" s="5">
        <f t="shared" si="1"/>
        <v>262534437.9</v>
      </c>
      <c r="F293" s="4" t="s">
        <v>24</v>
      </c>
      <c r="G293" s="4" t="s">
        <v>198</v>
      </c>
      <c r="H293" s="4" t="s">
        <v>203</v>
      </c>
    </row>
    <row r="294" ht="15.75" customHeight="1">
      <c r="A294" s="12">
        <v>46261.0</v>
      </c>
      <c r="B294" s="13" t="s">
        <v>372</v>
      </c>
      <c r="C294" s="5">
        <v>0.0</v>
      </c>
      <c r="D294" s="5">
        <v>500000.0</v>
      </c>
      <c r="E294" s="5">
        <f t="shared" si="1"/>
        <v>263034437.9</v>
      </c>
      <c r="F294" s="4" t="s">
        <v>24</v>
      </c>
      <c r="G294" s="4" t="s">
        <v>198</v>
      </c>
      <c r="H294" s="4" t="s">
        <v>247</v>
      </c>
    </row>
    <row r="295" ht="15.75" customHeight="1">
      <c r="A295" s="12">
        <v>46261.0</v>
      </c>
      <c r="B295" s="13" t="s">
        <v>985</v>
      </c>
      <c r="C295" s="5">
        <v>300000.0</v>
      </c>
      <c r="D295" s="5">
        <v>0.0</v>
      </c>
      <c r="E295" s="5">
        <f t="shared" si="1"/>
        <v>262734437.9</v>
      </c>
      <c r="F295" s="4" t="s">
        <v>24</v>
      </c>
      <c r="G295" s="4" t="s">
        <v>125</v>
      </c>
      <c r="H295" s="4" t="s">
        <v>922</v>
      </c>
    </row>
    <row r="296" ht="15.75" customHeight="1">
      <c r="A296" s="12">
        <v>46261.0</v>
      </c>
      <c r="B296" s="13" t="s">
        <v>988</v>
      </c>
      <c r="C296" s="5">
        <v>150000.0</v>
      </c>
      <c r="D296" s="5">
        <v>0.0</v>
      </c>
      <c r="E296" s="5">
        <f t="shared" si="1"/>
        <v>262584437.9</v>
      </c>
      <c r="F296" s="4" t="s">
        <v>24</v>
      </c>
      <c r="G296" s="4" t="s">
        <v>125</v>
      </c>
      <c r="H296" s="4" t="s">
        <v>946</v>
      </c>
    </row>
    <row r="297" ht="15.75" customHeight="1">
      <c r="A297" s="12">
        <v>46265.0</v>
      </c>
      <c r="B297" s="13" t="s">
        <v>989</v>
      </c>
      <c r="C297" s="5">
        <v>7000000.0</v>
      </c>
      <c r="D297" s="5">
        <v>0.0</v>
      </c>
      <c r="E297" s="5">
        <f t="shared" si="1"/>
        <v>255584437.9</v>
      </c>
      <c r="F297" s="4" t="s">
        <v>105</v>
      </c>
      <c r="G297" s="4" t="s">
        <v>193</v>
      </c>
      <c r="H297" s="4" t="s">
        <v>981</v>
      </c>
    </row>
    <row r="298" ht="15.75" customHeight="1">
      <c r="A298" s="12">
        <v>46265.0</v>
      </c>
      <c r="B298" s="13" t="s">
        <v>992</v>
      </c>
      <c r="C298" s="5">
        <v>4000000.0</v>
      </c>
      <c r="D298" s="5">
        <v>0.0</v>
      </c>
      <c r="E298" s="5">
        <f t="shared" si="1"/>
        <v>251584437.9</v>
      </c>
      <c r="F298" s="4" t="s">
        <v>105</v>
      </c>
      <c r="G298" s="4" t="s">
        <v>193</v>
      </c>
      <c r="H298" s="4" t="s">
        <v>993</v>
      </c>
    </row>
    <row r="299" ht="15.75" customHeight="1">
      <c r="A299" s="12">
        <v>46265.0</v>
      </c>
      <c r="B299" s="13" t="s">
        <v>375</v>
      </c>
      <c r="C299" s="5">
        <v>0.0</v>
      </c>
      <c r="D299" s="5">
        <v>2705.02</v>
      </c>
      <c r="E299" s="5">
        <f t="shared" si="1"/>
        <v>251587143</v>
      </c>
      <c r="F299" s="4" t="s">
        <v>63</v>
      </c>
      <c r="G299" s="4" t="s">
        <v>65</v>
      </c>
    </row>
    <row r="300" ht="15.75" customHeight="1">
      <c r="A300" s="12">
        <v>46265.0</v>
      </c>
      <c r="B300" s="13" t="s">
        <v>377</v>
      </c>
      <c r="C300" s="5">
        <v>541.0</v>
      </c>
      <c r="D300" s="5">
        <v>0.0</v>
      </c>
      <c r="E300" s="5">
        <f t="shared" si="1"/>
        <v>251586602</v>
      </c>
      <c r="F300" s="4" t="s">
        <v>63</v>
      </c>
      <c r="G300" s="4" t="s">
        <v>65</v>
      </c>
    </row>
    <row r="301" ht="15.75" customHeight="1">
      <c r="A301" s="12">
        <v>46266.0</v>
      </c>
      <c r="B301" s="13" t="s">
        <v>996</v>
      </c>
      <c r="C301" s="5">
        <v>8000000.0</v>
      </c>
      <c r="D301" s="5">
        <v>0.0</v>
      </c>
      <c r="E301" s="5">
        <f t="shared" si="1"/>
        <v>243586602</v>
      </c>
      <c r="F301" s="4" t="s">
        <v>93</v>
      </c>
      <c r="G301" s="4" t="s">
        <v>93</v>
      </c>
      <c r="H301" s="4" t="s">
        <v>21</v>
      </c>
    </row>
    <row r="302" ht="15.75" customHeight="1">
      <c r="A302" s="12">
        <v>46266.0</v>
      </c>
      <c r="B302" s="13" t="s">
        <v>998</v>
      </c>
      <c r="C302" s="5">
        <v>2500.0</v>
      </c>
      <c r="D302" s="5">
        <v>0.0</v>
      </c>
      <c r="E302" s="5">
        <f t="shared" si="1"/>
        <v>243584102</v>
      </c>
      <c r="F302" s="4" t="s">
        <v>43</v>
      </c>
      <c r="G302" s="4" t="s">
        <v>45</v>
      </c>
    </row>
    <row r="303" ht="15.75" customHeight="1">
      <c r="A303" s="12">
        <v>46266.0</v>
      </c>
      <c r="B303" s="13" t="s">
        <v>996</v>
      </c>
      <c r="C303" s="5">
        <v>7550000.0</v>
      </c>
      <c r="D303" s="5">
        <v>0.0</v>
      </c>
      <c r="E303" s="5">
        <f t="shared" si="1"/>
        <v>236034102</v>
      </c>
      <c r="F303" s="4" t="s">
        <v>93</v>
      </c>
      <c r="G303" s="4" t="s">
        <v>93</v>
      </c>
      <c r="H303" s="4" t="s">
        <v>21</v>
      </c>
    </row>
    <row r="304" ht="15.75" customHeight="1">
      <c r="A304" s="12">
        <v>46266.0</v>
      </c>
      <c r="B304" s="13" t="s">
        <v>998</v>
      </c>
      <c r="C304" s="5">
        <v>2500.0</v>
      </c>
      <c r="D304" s="5">
        <v>0.0</v>
      </c>
      <c r="E304" s="5">
        <f t="shared" si="1"/>
        <v>236031602</v>
      </c>
      <c r="F304" s="4" t="s">
        <v>43</v>
      </c>
      <c r="G304" s="4" t="s">
        <v>45</v>
      </c>
    </row>
    <row r="305" ht="15.75" customHeight="1">
      <c r="A305" s="12">
        <v>46266.0</v>
      </c>
      <c r="B305" s="13" t="s">
        <v>996</v>
      </c>
      <c r="C305" s="5">
        <v>5705000.0</v>
      </c>
      <c r="D305" s="5">
        <v>0.0</v>
      </c>
      <c r="E305" s="5">
        <f t="shared" si="1"/>
        <v>230326602</v>
      </c>
      <c r="F305" s="4" t="s">
        <v>93</v>
      </c>
      <c r="G305" s="4" t="s">
        <v>93</v>
      </c>
      <c r="H305" s="4" t="s">
        <v>21</v>
      </c>
    </row>
    <row r="306" ht="15.75" customHeight="1">
      <c r="A306" s="12">
        <v>46266.0</v>
      </c>
      <c r="B306" s="13" t="s">
        <v>998</v>
      </c>
      <c r="C306" s="5">
        <v>2500.0</v>
      </c>
      <c r="D306" s="5">
        <v>0.0</v>
      </c>
      <c r="E306" s="5">
        <f t="shared" si="1"/>
        <v>230324102</v>
      </c>
      <c r="F306" s="4" t="s">
        <v>43</v>
      </c>
      <c r="G306" s="4" t="s">
        <v>45</v>
      </c>
    </row>
    <row r="307" ht="15.75" customHeight="1">
      <c r="A307" s="12">
        <v>46266.0</v>
      </c>
      <c r="B307" s="13" t="s">
        <v>996</v>
      </c>
      <c r="C307" s="5">
        <v>8.14E7</v>
      </c>
      <c r="D307" s="5">
        <v>0.0</v>
      </c>
      <c r="E307" s="5">
        <f t="shared" si="1"/>
        <v>148924102</v>
      </c>
      <c r="F307" s="4" t="s">
        <v>93</v>
      </c>
      <c r="G307" s="4" t="s">
        <v>93</v>
      </c>
      <c r="H307" s="4" t="s">
        <v>21</v>
      </c>
    </row>
    <row r="308" ht="15.75" customHeight="1">
      <c r="A308" s="12">
        <v>46266.0</v>
      </c>
      <c r="B308" s="13" t="s">
        <v>998</v>
      </c>
      <c r="C308" s="5">
        <v>2500.0</v>
      </c>
      <c r="D308" s="5">
        <v>0.0</v>
      </c>
      <c r="E308" s="5">
        <f t="shared" si="1"/>
        <v>148921602</v>
      </c>
      <c r="F308" s="4" t="s">
        <v>43</v>
      </c>
      <c r="G308" s="4" t="s">
        <v>45</v>
      </c>
    </row>
    <row r="309" ht="15.75" customHeight="1">
      <c r="A309" s="12">
        <v>46266.0</v>
      </c>
      <c r="B309" s="13" t="s">
        <v>1011</v>
      </c>
      <c r="C309" s="5">
        <v>1250000.0</v>
      </c>
      <c r="D309" s="5">
        <v>0.0</v>
      </c>
      <c r="E309" s="5">
        <f t="shared" si="1"/>
        <v>147671602</v>
      </c>
      <c r="F309" s="4" t="s">
        <v>24</v>
      </c>
      <c r="G309" s="4" t="s">
        <v>125</v>
      </c>
      <c r="H309" s="4" t="s">
        <v>1012</v>
      </c>
    </row>
    <row r="310" ht="15.75" customHeight="1">
      <c r="A310" s="12">
        <v>46266.0</v>
      </c>
      <c r="B310" s="13" t="s">
        <v>1014</v>
      </c>
      <c r="C310" s="5">
        <v>1500000.0</v>
      </c>
      <c r="D310" s="5">
        <v>0.0</v>
      </c>
      <c r="E310" s="5">
        <f t="shared" si="1"/>
        <v>146171602</v>
      </c>
      <c r="F310" s="4" t="s">
        <v>24</v>
      </c>
      <c r="G310" s="4" t="s">
        <v>125</v>
      </c>
      <c r="H310" s="4" t="s">
        <v>1012</v>
      </c>
    </row>
    <row r="311" ht="15.75" customHeight="1">
      <c r="A311" s="12">
        <v>46268.0</v>
      </c>
      <c r="B311" s="13" t="s">
        <v>1016</v>
      </c>
      <c r="C311" s="5">
        <v>0.0</v>
      </c>
      <c r="D311" s="5">
        <v>4000000.0</v>
      </c>
      <c r="E311" s="5">
        <f t="shared" si="1"/>
        <v>150171602</v>
      </c>
      <c r="F311" s="4" t="s">
        <v>24</v>
      </c>
      <c r="G311" s="4" t="s">
        <v>198</v>
      </c>
      <c r="H311" s="4" t="s">
        <v>203</v>
      </c>
    </row>
    <row r="312" ht="15.75" customHeight="1">
      <c r="A312" s="12">
        <v>46268.0</v>
      </c>
      <c r="B312" s="13" t="s">
        <v>299</v>
      </c>
      <c r="C312" s="5">
        <v>20000.0</v>
      </c>
      <c r="D312" s="5">
        <v>0.0</v>
      </c>
      <c r="E312" s="5">
        <f t="shared" si="1"/>
        <v>150151602</v>
      </c>
      <c r="F312" s="4" t="s">
        <v>43</v>
      </c>
      <c r="G312" s="4" t="s">
        <v>45</v>
      </c>
    </row>
    <row r="313" ht="15.75" customHeight="1">
      <c r="A313" s="12">
        <v>46268.0</v>
      </c>
      <c r="B313" s="13" t="s">
        <v>1020</v>
      </c>
      <c r="C313" s="5">
        <v>5.0E7</v>
      </c>
      <c r="D313" s="5">
        <v>0.0</v>
      </c>
      <c r="E313" s="5">
        <f t="shared" si="1"/>
        <v>100151602</v>
      </c>
      <c r="F313" s="4" t="s">
        <v>24</v>
      </c>
      <c r="G313" s="4" t="s">
        <v>198</v>
      </c>
      <c r="H313" s="4" t="s">
        <v>203</v>
      </c>
    </row>
    <row r="314" ht="15.75" customHeight="1">
      <c r="A314" s="12">
        <v>46269.0</v>
      </c>
      <c r="B314" s="13" t="s">
        <v>435</v>
      </c>
      <c r="C314" s="5">
        <v>50000.0</v>
      </c>
      <c r="D314" s="5">
        <v>0.0</v>
      </c>
      <c r="E314" s="5">
        <f t="shared" si="1"/>
        <v>100101602</v>
      </c>
      <c r="F314" s="4" t="s">
        <v>21</v>
      </c>
      <c r="G314" s="4" t="s">
        <v>1023</v>
      </c>
    </row>
    <row r="315" ht="15.75" customHeight="1">
      <c r="A315" s="12">
        <v>46269.0</v>
      </c>
      <c r="B315" s="13" t="s">
        <v>1024</v>
      </c>
      <c r="C315" s="5">
        <v>762250.0</v>
      </c>
      <c r="D315" s="5">
        <v>0.0</v>
      </c>
      <c r="E315" s="5">
        <f t="shared" si="1"/>
        <v>99339351.95</v>
      </c>
      <c r="F315" s="4" t="s">
        <v>105</v>
      </c>
      <c r="G315" s="4" t="s">
        <v>380</v>
      </c>
    </row>
    <row r="316" ht="15.75" customHeight="1">
      <c r="A316" s="12">
        <v>46269.0</v>
      </c>
      <c r="B316" s="13" t="s">
        <v>1026</v>
      </c>
      <c r="C316" s="5">
        <v>1500000.0</v>
      </c>
      <c r="D316" s="5">
        <v>0.0</v>
      </c>
      <c r="E316" s="5">
        <f t="shared" si="1"/>
        <v>97839351.95</v>
      </c>
      <c r="F316" s="4" t="s">
        <v>24</v>
      </c>
      <c r="G316" s="4" t="s">
        <v>125</v>
      </c>
      <c r="H316" s="4" t="s">
        <v>1012</v>
      </c>
    </row>
    <row r="317" ht="15.75" customHeight="1">
      <c r="A317" s="12">
        <v>46269.0</v>
      </c>
      <c r="B317" s="13" t="s">
        <v>1027</v>
      </c>
      <c r="C317" s="5">
        <v>800000.0</v>
      </c>
      <c r="D317" s="5">
        <v>0.0</v>
      </c>
      <c r="E317" s="5">
        <f t="shared" si="1"/>
        <v>97039351.95</v>
      </c>
      <c r="F317" s="4" t="s">
        <v>105</v>
      </c>
      <c r="G317" s="4" t="s">
        <v>907</v>
      </c>
    </row>
    <row r="318" ht="15.75" customHeight="1">
      <c r="A318" s="12">
        <v>46271.0</v>
      </c>
      <c r="B318" s="13" t="s">
        <v>996</v>
      </c>
      <c r="C318" s="5">
        <v>1.0E7</v>
      </c>
      <c r="D318" s="5">
        <v>0.0</v>
      </c>
      <c r="E318" s="5">
        <f t="shared" si="1"/>
        <v>87039351.95</v>
      </c>
      <c r="F318" s="4" t="s">
        <v>21</v>
      </c>
      <c r="G318" s="4" t="s">
        <v>842</v>
      </c>
    </row>
    <row r="319" ht="15.75" customHeight="1">
      <c r="A319" s="12">
        <v>46271.0</v>
      </c>
      <c r="B319" s="13" t="s">
        <v>1029</v>
      </c>
      <c r="C319" s="5">
        <v>2500.0</v>
      </c>
      <c r="D319" s="5">
        <v>0.0</v>
      </c>
      <c r="E319" s="5">
        <f t="shared" si="1"/>
        <v>87036851.95</v>
      </c>
      <c r="F319" s="4" t="s">
        <v>43</v>
      </c>
      <c r="G319" s="4" t="s">
        <v>45</v>
      </c>
    </row>
    <row r="320" ht="15.75" customHeight="1">
      <c r="A320" s="12">
        <v>46275.0</v>
      </c>
      <c r="B320" s="13" t="s">
        <v>1033</v>
      </c>
      <c r="C320" s="5">
        <v>1190000.0</v>
      </c>
      <c r="D320" s="5">
        <v>0.0</v>
      </c>
      <c r="E320" s="5">
        <f t="shared" si="1"/>
        <v>85846851.95</v>
      </c>
      <c r="F320" s="4" t="s">
        <v>105</v>
      </c>
      <c r="G320" s="4" t="s">
        <v>148</v>
      </c>
    </row>
    <row r="321" ht="15.75" customHeight="1">
      <c r="A321" s="12">
        <v>46275.0</v>
      </c>
      <c r="B321" s="13" t="s">
        <v>1035</v>
      </c>
      <c r="C321" s="5">
        <v>485000.0</v>
      </c>
      <c r="D321" s="5">
        <v>0.0</v>
      </c>
      <c r="E321" s="5">
        <f t="shared" si="1"/>
        <v>85361851.95</v>
      </c>
      <c r="F321" s="4" t="s">
        <v>105</v>
      </c>
      <c r="G321" s="4" t="s">
        <v>148</v>
      </c>
    </row>
    <row r="322" ht="15.75" customHeight="1">
      <c r="A322" s="12">
        <v>46275.0</v>
      </c>
      <c r="B322" s="13" t="s">
        <v>1039</v>
      </c>
      <c r="C322" s="5">
        <v>755000.0</v>
      </c>
      <c r="D322" s="5">
        <v>0.0</v>
      </c>
      <c r="E322" s="5">
        <f t="shared" si="1"/>
        <v>84606851.95</v>
      </c>
      <c r="F322" s="4" t="s">
        <v>105</v>
      </c>
      <c r="G322" s="4" t="s">
        <v>148</v>
      </c>
    </row>
    <row r="323" ht="15.75" customHeight="1">
      <c r="A323" s="12">
        <v>46275.0</v>
      </c>
      <c r="B323" s="13" t="s">
        <v>1041</v>
      </c>
      <c r="C323" s="5">
        <v>570000.0</v>
      </c>
      <c r="D323" s="5">
        <v>0.0</v>
      </c>
      <c r="E323" s="5">
        <f t="shared" si="1"/>
        <v>84036851.95</v>
      </c>
      <c r="F323" s="4" t="s">
        <v>105</v>
      </c>
      <c r="G323" s="4" t="s">
        <v>148</v>
      </c>
    </row>
    <row r="324" ht="15.75" customHeight="1">
      <c r="A324" s="8"/>
      <c r="C324" s="5"/>
      <c r="D324" s="5"/>
      <c r="E324" s="5"/>
    </row>
    <row r="325" ht="15.75" customHeight="1">
      <c r="A325" s="8"/>
      <c r="C325" s="5">
        <f t="shared" ref="C325:D325" si="2">SUBTOTAL(9,C5:C324)</f>
        <v>4166843547</v>
      </c>
      <c r="D325" s="5">
        <f t="shared" si="2"/>
        <v>4230065991</v>
      </c>
      <c r="E325" s="5"/>
    </row>
    <row r="326" ht="15.75" customHeight="1">
      <c r="A326" s="8"/>
      <c r="C326" s="5"/>
      <c r="D326" s="5">
        <f>D325-C325</f>
        <v>63222444.32</v>
      </c>
      <c r="E326" s="5"/>
    </row>
    <row r="327" ht="15.75" customHeight="1">
      <c r="A327" s="8"/>
      <c r="C327" s="5"/>
      <c r="D327" s="5"/>
      <c r="E327" s="5"/>
    </row>
    <row r="328" ht="15.75" customHeight="1">
      <c r="A328" s="8"/>
      <c r="C328" s="5"/>
      <c r="D328" s="5"/>
      <c r="E328" s="5"/>
    </row>
    <row r="329" ht="15.75" customHeight="1">
      <c r="A329" s="8"/>
      <c r="C329" s="5"/>
      <c r="D329" s="5"/>
      <c r="E329" s="5"/>
    </row>
    <row r="330" ht="15.75" customHeight="1">
      <c r="A330" s="8"/>
      <c r="C330" s="5"/>
      <c r="D330" s="5"/>
      <c r="E330" s="5"/>
    </row>
    <row r="331" ht="15.75" customHeight="1">
      <c r="A331" s="8"/>
      <c r="C331" s="5"/>
      <c r="D331" s="5"/>
      <c r="E331" s="5"/>
    </row>
    <row r="332" ht="15.75" customHeight="1">
      <c r="A332" s="8"/>
      <c r="C332" s="5"/>
      <c r="D332" s="5"/>
      <c r="E332" s="5"/>
    </row>
    <row r="333" ht="15.75" customHeight="1">
      <c r="A333" s="8"/>
      <c r="C333" s="5"/>
      <c r="D333" s="5"/>
      <c r="E333" s="5"/>
    </row>
    <row r="334" ht="15.75" customHeight="1">
      <c r="A334" s="8"/>
      <c r="C334" s="5"/>
      <c r="D334" s="5"/>
      <c r="E334" s="5"/>
    </row>
    <row r="335" ht="15.75" customHeight="1">
      <c r="A335" s="8"/>
      <c r="C335" s="5"/>
      <c r="D335" s="5"/>
      <c r="E335" s="5"/>
    </row>
    <row r="336" ht="15.75" customHeight="1">
      <c r="A336" s="8"/>
      <c r="C336" s="5"/>
      <c r="D336" s="5"/>
      <c r="E336" s="5"/>
    </row>
    <row r="337" ht="15.75" customHeight="1">
      <c r="A337" s="8"/>
      <c r="C337" s="5"/>
      <c r="D337" s="5"/>
      <c r="E337" s="5"/>
    </row>
    <row r="338" ht="15.75" customHeight="1">
      <c r="A338" s="8"/>
      <c r="C338" s="5"/>
      <c r="D338" s="5"/>
      <c r="E338" s="5"/>
    </row>
    <row r="339" ht="15.75" customHeight="1">
      <c r="A339" s="8"/>
      <c r="C339" s="5"/>
      <c r="D339" s="5"/>
      <c r="E339" s="5"/>
    </row>
    <row r="340" ht="15.75" customHeight="1">
      <c r="A340" s="8"/>
      <c r="C340" s="5"/>
      <c r="D340" s="5"/>
      <c r="E340" s="5"/>
    </row>
    <row r="341" ht="15.75" customHeight="1">
      <c r="A341" s="8"/>
      <c r="C341" s="5"/>
      <c r="D341" s="5"/>
      <c r="E341" s="5"/>
    </row>
    <row r="342" ht="15.75" customHeight="1">
      <c r="A342" s="8"/>
      <c r="C342" s="5"/>
      <c r="D342" s="5"/>
      <c r="E342" s="5"/>
    </row>
    <row r="343" ht="15.75" customHeight="1">
      <c r="A343" s="8"/>
      <c r="C343" s="5"/>
      <c r="D343" s="5"/>
      <c r="E343" s="5"/>
    </row>
    <row r="344" ht="15.75" customHeight="1">
      <c r="A344" s="8"/>
      <c r="C344" s="5"/>
      <c r="D344" s="5"/>
      <c r="E344" s="5"/>
    </row>
    <row r="345" ht="15.75" customHeight="1">
      <c r="A345" s="8"/>
      <c r="C345" s="5"/>
      <c r="D345" s="5"/>
      <c r="E345" s="5"/>
    </row>
    <row r="346" ht="15.75" customHeight="1">
      <c r="A346" s="8"/>
      <c r="C346" s="5"/>
      <c r="D346" s="5"/>
      <c r="E346" s="5"/>
    </row>
    <row r="347" ht="15.75" customHeight="1">
      <c r="A347" s="8"/>
      <c r="C347" s="5"/>
      <c r="D347" s="5"/>
      <c r="E347" s="5"/>
    </row>
    <row r="348" ht="15.75" customHeight="1">
      <c r="A348" s="8"/>
      <c r="C348" s="5"/>
      <c r="D348" s="5"/>
      <c r="E348" s="5"/>
    </row>
    <row r="349" ht="15.75" customHeight="1">
      <c r="A349" s="8"/>
      <c r="C349" s="5"/>
      <c r="D349" s="5"/>
      <c r="E349" s="5"/>
    </row>
    <row r="350" ht="15.75" customHeight="1">
      <c r="A350" s="8"/>
      <c r="C350" s="5"/>
      <c r="D350" s="5"/>
      <c r="E350" s="5"/>
    </row>
    <row r="351" ht="15.75" customHeight="1">
      <c r="A351" s="8"/>
      <c r="C351" s="5"/>
      <c r="D351" s="5"/>
      <c r="E351" s="5"/>
    </row>
    <row r="352" ht="15.75" customHeight="1">
      <c r="A352" s="8"/>
      <c r="C352" s="5"/>
      <c r="D352" s="5"/>
      <c r="E352" s="5"/>
    </row>
    <row r="353" ht="15.75" customHeight="1">
      <c r="A353" s="8"/>
      <c r="C353" s="5"/>
      <c r="D353" s="5"/>
      <c r="E353" s="5"/>
    </row>
    <row r="354" ht="15.75" customHeight="1">
      <c r="A354" s="8"/>
      <c r="C354" s="5"/>
      <c r="D354" s="5"/>
      <c r="E354" s="5"/>
    </row>
    <row r="355" ht="15.75" customHeight="1">
      <c r="A355" s="8"/>
      <c r="C355" s="5"/>
      <c r="D355" s="5"/>
      <c r="E355" s="5"/>
    </row>
    <row r="356" ht="15.75" customHeight="1">
      <c r="A356" s="8"/>
      <c r="C356" s="5"/>
      <c r="D356" s="5"/>
      <c r="E356" s="5"/>
    </row>
    <row r="357" ht="15.75" customHeight="1">
      <c r="A357" s="8"/>
      <c r="C357" s="5"/>
      <c r="D357" s="5"/>
      <c r="E357" s="5"/>
    </row>
    <row r="358" ht="15.75" customHeight="1">
      <c r="A358" s="8"/>
      <c r="C358" s="5"/>
      <c r="D358" s="5"/>
      <c r="E358" s="5"/>
    </row>
    <row r="359" ht="15.75" customHeight="1">
      <c r="A359" s="8"/>
      <c r="C359" s="5"/>
      <c r="D359" s="5"/>
      <c r="E359" s="5"/>
    </row>
    <row r="360" ht="15.75" customHeight="1">
      <c r="A360" s="8"/>
      <c r="C360" s="5"/>
      <c r="D360" s="5"/>
      <c r="E360" s="5"/>
    </row>
    <row r="361" ht="15.75" customHeight="1">
      <c r="A361" s="8"/>
      <c r="C361" s="5"/>
      <c r="D361" s="5"/>
      <c r="E361" s="5"/>
    </row>
    <row r="362" ht="15.75" customHeight="1">
      <c r="A362" s="8"/>
      <c r="C362" s="5"/>
      <c r="D362" s="5"/>
      <c r="E362" s="5"/>
    </row>
    <row r="363" ht="15.75" customHeight="1">
      <c r="A363" s="8"/>
      <c r="C363" s="5"/>
      <c r="D363" s="5"/>
      <c r="E363" s="5"/>
    </row>
    <row r="364" ht="15.75" customHeight="1">
      <c r="A364" s="8"/>
      <c r="C364" s="5"/>
      <c r="D364" s="5"/>
      <c r="E364" s="5"/>
    </row>
    <row r="365" ht="15.75" customHeight="1">
      <c r="A365" s="8"/>
      <c r="C365" s="5"/>
      <c r="D365" s="5"/>
      <c r="E365" s="5"/>
    </row>
    <row r="366" ht="15.75" customHeight="1">
      <c r="A366" s="8"/>
      <c r="C366" s="5"/>
      <c r="D366" s="5"/>
      <c r="E366" s="5"/>
    </row>
    <row r="367" ht="15.75" customHeight="1">
      <c r="A367" s="8"/>
      <c r="C367" s="5"/>
      <c r="D367" s="5"/>
      <c r="E367" s="5"/>
    </row>
    <row r="368" ht="15.75" customHeight="1">
      <c r="A368" s="8"/>
      <c r="C368" s="5"/>
      <c r="D368" s="5"/>
      <c r="E368" s="5"/>
    </row>
    <row r="369" ht="15.75" customHeight="1">
      <c r="A369" s="8"/>
      <c r="C369" s="5"/>
      <c r="D369" s="5"/>
      <c r="E369" s="5"/>
    </row>
    <row r="370" ht="15.75" customHeight="1">
      <c r="A370" s="8"/>
      <c r="C370" s="5"/>
      <c r="D370" s="5"/>
      <c r="E370" s="5"/>
    </row>
    <row r="371" ht="15.75" customHeight="1">
      <c r="A371" s="8"/>
      <c r="C371" s="5"/>
      <c r="D371" s="5"/>
      <c r="E371" s="5"/>
    </row>
    <row r="372" ht="15.75" customHeight="1">
      <c r="A372" s="8"/>
      <c r="C372" s="5"/>
      <c r="D372" s="5"/>
      <c r="E372" s="5"/>
    </row>
    <row r="373" ht="15.75" customHeight="1">
      <c r="A373" s="8"/>
      <c r="C373" s="5"/>
      <c r="D373" s="5"/>
      <c r="E373" s="5"/>
    </row>
    <row r="374" ht="15.75" customHeight="1">
      <c r="A374" s="8"/>
      <c r="C374" s="5"/>
      <c r="D374" s="5"/>
      <c r="E374" s="5"/>
    </row>
    <row r="375" ht="15.75" customHeight="1">
      <c r="A375" s="8"/>
      <c r="C375" s="5"/>
      <c r="D375" s="5"/>
      <c r="E375" s="5"/>
    </row>
    <row r="376" ht="15.75" customHeight="1">
      <c r="A376" s="8"/>
      <c r="C376" s="5"/>
      <c r="D376" s="5"/>
      <c r="E376" s="5"/>
    </row>
    <row r="377" ht="15.75" customHeight="1">
      <c r="A377" s="8"/>
      <c r="C377" s="5"/>
      <c r="D377" s="5"/>
      <c r="E377" s="5"/>
    </row>
    <row r="378" ht="15.75" customHeight="1">
      <c r="A378" s="8"/>
      <c r="C378" s="5"/>
      <c r="D378" s="5"/>
      <c r="E378" s="5"/>
    </row>
    <row r="379" ht="15.75" customHeight="1">
      <c r="A379" s="8"/>
      <c r="C379" s="5"/>
      <c r="D379" s="5"/>
      <c r="E379" s="5"/>
    </row>
    <row r="380" ht="15.75" customHeight="1">
      <c r="A380" s="8"/>
      <c r="C380" s="5"/>
      <c r="D380" s="5"/>
      <c r="E380" s="5"/>
    </row>
    <row r="381" ht="15.75" customHeight="1">
      <c r="A381" s="8"/>
      <c r="C381" s="5"/>
      <c r="D381" s="5"/>
      <c r="E381" s="5"/>
    </row>
    <row r="382" ht="15.75" customHeight="1">
      <c r="A382" s="8"/>
      <c r="C382" s="5"/>
      <c r="D382" s="5"/>
      <c r="E382" s="5"/>
    </row>
    <row r="383" ht="15.75" customHeight="1">
      <c r="A383" s="8"/>
      <c r="C383" s="5"/>
      <c r="D383" s="5"/>
      <c r="E383" s="5"/>
    </row>
    <row r="384" ht="15.75" customHeight="1">
      <c r="A384" s="8"/>
      <c r="C384" s="5"/>
      <c r="D384" s="5"/>
      <c r="E384" s="5"/>
    </row>
    <row r="385" ht="15.75" customHeight="1">
      <c r="A385" s="8"/>
      <c r="C385" s="5"/>
      <c r="D385" s="5"/>
      <c r="E385" s="5"/>
    </row>
    <row r="386" ht="15.75" customHeight="1">
      <c r="A386" s="8"/>
      <c r="C386" s="5"/>
      <c r="D386" s="5"/>
      <c r="E386" s="5"/>
    </row>
    <row r="387" ht="15.75" customHeight="1">
      <c r="A387" s="8"/>
      <c r="C387" s="5"/>
      <c r="D387" s="5"/>
      <c r="E387" s="5"/>
    </row>
    <row r="388" ht="15.75" customHeight="1">
      <c r="A388" s="8"/>
      <c r="C388" s="5"/>
      <c r="D388" s="5"/>
      <c r="E388" s="5"/>
    </row>
    <row r="389" ht="15.75" customHeight="1">
      <c r="A389" s="8"/>
      <c r="C389" s="5"/>
      <c r="D389" s="5"/>
      <c r="E389" s="5"/>
    </row>
    <row r="390" ht="15.75" customHeight="1">
      <c r="A390" s="8"/>
      <c r="C390" s="5"/>
      <c r="D390" s="5"/>
      <c r="E390" s="5"/>
    </row>
    <row r="391" ht="15.75" customHeight="1">
      <c r="A391" s="8"/>
      <c r="C391" s="5"/>
      <c r="D391" s="5"/>
      <c r="E391" s="5"/>
    </row>
    <row r="392" ht="15.75" customHeight="1">
      <c r="A392" s="8"/>
      <c r="C392" s="5"/>
      <c r="D392" s="5"/>
      <c r="E392" s="5"/>
    </row>
    <row r="393" ht="15.75" customHeight="1">
      <c r="A393" s="8"/>
      <c r="C393" s="5"/>
      <c r="D393" s="5"/>
      <c r="E393" s="5"/>
    </row>
    <row r="394" ht="15.75" customHeight="1">
      <c r="A394" s="8"/>
      <c r="C394" s="5"/>
      <c r="D394" s="5"/>
      <c r="E394" s="5"/>
    </row>
    <row r="395" ht="15.75" customHeight="1">
      <c r="A395" s="8"/>
      <c r="C395" s="5"/>
      <c r="D395" s="5"/>
      <c r="E395" s="5"/>
    </row>
    <row r="396" ht="15.75" customHeight="1">
      <c r="A396" s="8"/>
      <c r="C396" s="5"/>
      <c r="D396" s="5"/>
      <c r="E396" s="5"/>
    </row>
    <row r="397" ht="15.75" customHeight="1">
      <c r="A397" s="8"/>
      <c r="C397" s="5"/>
      <c r="D397" s="5"/>
      <c r="E397" s="5"/>
    </row>
    <row r="398" ht="15.75" customHeight="1">
      <c r="A398" s="8"/>
      <c r="C398" s="5"/>
      <c r="D398" s="5"/>
      <c r="E398" s="5"/>
    </row>
    <row r="399" ht="15.75" customHeight="1">
      <c r="A399" s="8"/>
      <c r="C399" s="5"/>
      <c r="D399" s="5"/>
      <c r="E399" s="5"/>
    </row>
    <row r="400" ht="15.75" customHeight="1">
      <c r="A400" s="8"/>
      <c r="C400" s="5"/>
      <c r="D400" s="5"/>
      <c r="E400" s="5"/>
    </row>
    <row r="401" ht="15.75" customHeight="1">
      <c r="A401" s="8"/>
      <c r="C401" s="5"/>
      <c r="D401" s="5"/>
      <c r="E401" s="5"/>
    </row>
    <row r="402" ht="15.75" customHeight="1">
      <c r="A402" s="8"/>
      <c r="C402" s="5"/>
      <c r="D402" s="5"/>
      <c r="E402" s="5"/>
    </row>
    <row r="403" ht="15.75" customHeight="1">
      <c r="A403" s="8"/>
      <c r="C403" s="5"/>
      <c r="D403" s="5"/>
      <c r="E403" s="5"/>
    </row>
    <row r="404" ht="15.75" customHeight="1">
      <c r="A404" s="8"/>
      <c r="C404" s="5"/>
      <c r="D404" s="5"/>
      <c r="E404" s="5"/>
    </row>
    <row r="405" ht="15.75" customHeight="1">
      <c r="A405" s="8"/>
      <c r="C405" s="5"/>
      <c r="D405" s="5"/>
      <c r="E405" s="5"/>
    </row>
    <row r="406" ht="15.75" customHeight="1">
      <c r="A406" s="8"/>
      <c r="C406" s="5"/>
      <c r="D406" s="5"/>
      <c r="E406" s="5"/>
    </row>
    <row r="407" ht="15.75" customHeight="1">
      <c r="A407" s="8"/>
      <c r="C407" s="5"/>
      <c r="D407" s="5"/>
      <c r="E407" s="5"/>
    </row>
    <row r="408" ht="15.75" customHeight="1">
      <c r="A408" s="8"/>
      <c r="C408" s="5"/>
      <c r="D408" s="5"/>
      <c r="E408" s="5"/>
    </row>
    <row r="409" ht="15.75" customHeight="1">
      <c r="A409" s="8"/>
      <c r="C409" s="5"/>
      <c r="D409" s="5"/>
      <c r="E409" s="5"/>
    </row>
    <row r="410" ht="15.75" customHeight="1">
      <c r="A410" s="8"/>
      <c r="C410" s="5"/>
      <c r="D410" s="5"/>
      <c r="E410" s="5"/>
    </row>
    <row r="411" ht="15.75" customHeight="1">
      <c r="A411" s="8"/>
      <c r="C411" s="5"/>
      <c r="D411" s="5"/>
      <c r="E411" s="5"/>
    </row>
    <row r="412" ht="15.75" customHeight="1">
      <c r="A412" s="8"/>
      <c r="C412" s="5"/>
      <c r="D412" s="5"/>
      <c r="E412" s="5"/>
    </row>
    <row r="413" ht="15.75" customHeight="1">
      <c r="A413" s="8"/>
      <c r="C413" s="5"/>
      <c r="D413" s="5"/>
      <c r="E413" s="5"/>
    </row>
    <row r="414" ht="15.75" customHeight="1">
      <c r="A414" s="8"/>
      <c r="C414" s="5"/>
      <c r="D414" s="5"/>
      <c r="E414" s="5"/>
    </row>
    <row r="415" ht="15.75" customHeight="1">
      <c r="A415" s="8"/>
      <c r="C415" s="5"/>
      <c r="D415" s="5"/>
      <c r="E415" s="5"/>
    </row>
    <row r="416" ht="15.75" customHeight="1">
      <c r="A416" s="8"/>
      <c r="C416" s="5"/>
      <c r="D416" s="5"/>
      <c r="E416" s="5"/>
    </row>
    <row r="417" ht="15.75" customHeight="1">
      <c r="A417" s="8"/>
      <c r="C417" s="5"/>
      <c r="D417" s="5"/>
      <c r="E417" s="5"/>
    </row>
    <row r="418" ht="15.75" customHeight="1">
      <c r="A418" s="8"/>
      <c r="C418" s="5"/>
      <c r="D418" s="5"/>
      <c r="E418" s="5"/>
    </row>
    <row r="419" ht="15.75" customHeight="1">
      <c r="A419" s="8"/>
      <c r="C419" s="5"/>
      <c r="D419" s="5"/>
      <c r="E419" s="5"/>
    </row>
    <row r="420" ht="15.75" customHeight="1">
      <c r="A420" s="8"/>
      <c r="C420" s="5"/>
      <c r="D420" s="5"/>
      <c r="E420" s="5"/>
    </row>
    <row r="421" ht="15.75" customHeight="1">
      <c r="A421" s="8"/>
      <c r="C421" s="5"/>
      <c r="D421" s="5"/>
      <c r="E421" s="5"/>
    </row>
    <row r="422" ht="15.75" customHeight="1">
      <c r="A422" s="8"/>
      <c r="C422" s="5"/>
      <c r="D422" s="5"/>
      <c r="E422" s="5"/>
    </row>
    <row r="423" ht="15.75" customHeight="1">
      <c r="A423" s="8"/>
      <c r="C423" s="5"/>
      <c r="D423" s="5"/>
      <c r="E423" s="5"/>
    </row>
    <row r="424" ht="15.75" customHeight="1">
      <c r="A424" s="8"/>
      <c r="C424" s="5"/>
      <c r="D424" s="5"/>
      <c r="E424" s="5"/>
    </row>
    <row r="425" ht="15.75" customHeight="1">
      <c r="A425" s="8"/>
      <c r="C425" s="5"/>
      <c r="D425" s="5"/>
      <c r="E425" s="5"/>
    </row>
    <row r="426" ht="15.75" customHeight="1">
      <c r="A426" s="8"/>
      <c r="C426" s="5"/>
      <c r="D426" s="5"/>
      <c r="E426" s="5"/>
    </row>
    <row r="427" ht="15.75" customHeight="1">
      <c r="A427" s="8"/>
      <c r="C427" s="5"/>
      <c r="D427" s="5"/>
      <c r="E427" s="5"/>
    </row>
    <row r="428" ht="15.75" customHeight="1">
      <c r="A428" s="8"/>
      <c r="C428" s="5"/>
      <c r="D428" s="5"/>
      <c r="E428" s="5"/>
    </row>
    <row r="429" ht="15.75" customHeight="1">
      <c r="A429" s="8"/>
      <c r="C429" s="5"/>
      <c r="D429" s="5"/>
      <c r="E429" s="5"/>
    </row>
    <row r="430" ht="15.75" customHeight="1">
      <c r="A430" s="8"/>
      <c r="C430" s="5"/>
      <c r="D430" s="5"/>
      <c r="E430" s="5"/>
    </row>
    <row r="431" ht="15.75" customHeight="1">
      <c r="A431" s="8"/>
      <c r="C431" s="5"/>
      <c r="D431" s="5"/>
      <c r="E431" s="5"/>
    </row>
    <row r="432" ht="15.75" customHeight="1">
      <c r="A432" s="8"/>
      <c r="C432" s="5"/>
      <c r="D432" s="5"/>
      <c r="E432" s="5"/>
    </row>
    <row r="433" ht="15.75" customHeight="1">
      <c r="A433" s="8"/>
      <c r="C433" s="5"/>
      <c r="D433" s="5"/>
      <c r="E433" s="5"/>
    </row>
    <row r="434" ht="15.75" customHeight="1">
      <c r="A434" s="8"/>
      <c r="C434" s="5"/>
      <c r="D434" s="5"/>
      <c r="E434" s="5"/>
    </row>
    <row r="435" ht="15.75" customHeight="1">
      <c r="A435" s="8"/>
      <c r="C435" s="5"/>
      <c r="D435" s="5"/>
      <c r="E435" s="5"/>
    </row>
    <row r="436" ht="15.75" customHeight="1">
      <c r="A436" s="8"/>
      <c r="C436" s="5"/>
      <c r="D436" s="5"/>
      <c r="E436" s="5"/>
    </row>
    <row r="437" ht="15.75" customHeight="1">
      <c r="A437" s="8"/>
      <c r="C437" s="5"/>
      <c r="D437" s="5"/>
      <c r="E437" s="5"/>
    </row>
    <row r="438" ht="15.75" customHeight="1">
      <c r="A438" s="8"/>
      <c r="C438" s="5"/>
      <c r="D438" s="5"/>
      <c r="E438" s="5"/>
    </row>
    <row r="439" ht="15.75" customHeight="1">
      <c r="A439" s="8"/>
      <c r="C439" s="5"/>
      <c r="D439" s="5"/>
      <c r="E439" s="5"/>
    </row>
    <row r="440" ht="15.75" customHeight="1">
      <c r="A440" s="8"/>
      <c r="C440" s="5"/>
      <c r="D440" s="5"/>
      <c r="E440" s="5"/>
    </row>
    <row r="441" ht="15.75" customHeight="1">
      <c r="A441" s="8"/>
      <c r="C441" s="5"/>
      <c r="D441" s="5"/>
      <c r="E441" s="5"/>
    </row>
    <row r="442" ht="15.75" customHeight="1">
      <c r="A442" s="8"/>
      <c r="C442" s="5"/>
      <c r="D442" s="5"/>
      <c r="E442" s="5"/>
    </row>
    <row r="443" ht="15.75" customHeight="1">
      <c r="A443" s="8"/>
      <c r="C443" s="5"/>
      <c r="D443" s="5"/>
      <c r="E443" s="5"/>
    </row>
    <row r="444" ht="15.75" customHeight="1">
      <c r="A444" s="8"/>
      <c r="C444" s="5"/>
      <c r="D444" s="5"/>
      <c r="E444" s="5"/>
    </row>
    <row r="445" ht="15.75" customHeight="1">
      <c r="A445" s="8"/>
      <c r="C445" s="5"/>
      <c r="D445" s="5"/>
      <c r="E445" s="5"/>
    </row>
    <row r="446" ht="15.75" customHeight="1">
      <c r="A446" s="8"/>
      <c r="C446" s="5"/>
      <c r="D446" s="5"/>
      <c r="E446" s="5"/>
    </row>
    <row r="447" ht="15.75" customHeight="1">
      <c r="A447" s="8"/>
      <c r="C447" s="5"/>
      <c r="D447" s="5"/>
      <c r="E447" s="5"/>
    </row>
    <row r="448" ht="15.75" customHeight="1">
      <c r="A448" s="8"/>
      <c r="C448" s="5"/>
      <c r="D448" s="5"/>
      <c r="E448" s="5"/>
    </row>
    <row r="449" ht="15.75" customHeight="1">
      <c r="A449" s="8"/>
      <c r="C449" s="5"/>
      <c r="D449" s="5"/>
      <c r="E449" s="5"/>
    </row>
    <row r="450" ht="15.75" customHeight="1">
      <c r="A450" s="8"/>
      <c r="C450" s="5"/>
      <c r="D450" s="5"/>
      <c r="E450" s="5"/>
    </row>
    <row r="451" ht="15.75" customHeight="1">
      <c r="A451" s="8"/>
      <c r="C451" s="5"/>
      <c r="D451" s="5"/>
      <c r="E451" s="5"/>
    </row>
    <row r="452" ht="15.75" customHeight="1">
      <c r="A452" s="8"/>
      <c r="C452" s="5"/>
      <c r="D452" s="5"/>
      <c r="E452" s="5"/>
    </row>
    <row r="453" ht="15.75" customHeight="1">
      <c r="A453" s="8"/>
      <c r="C453" s="5"/>
      <c r="D453" s="5"/>
      <c r="E453" s="5"/>
    </row>
    <row r="454" ht="15.75" customHeight="1">
      <c r="A454" s="8"/>
      <c r="C454" s="5"/>
      <c r="D454" s="5"/>
      <c r="E454" s="5"/>
    </row>
    <row r="455" ht="15.75" customHeight="1">
      <c r="A455" s="8"/>
      <c r="C455" s="5"/>
      <c r="D455" s="5"/>
      <c r="E455" s="5"/>
    </row>
    <row r="456" ht="15.75" customHeight="1">
      <c r="A456" s="8"/>
      <c r="C456" s="5"/>
      <c r="D456" s="5"/>
      <c r="E456" s="5"/>
    </row>
    <row r="457" ht="15.75" customHeight="1">
      <c r="A457" s="8"/>
      <c r="C457" s="5"/>
      <c r="D457" s="5"/>
      <c r="E457" s="5"/>
    </row>
    <row r="458" ht="15.75" customHeight="1">
      <c r="A458" s="8"/>
      <c r="C458" s="5"/>
      <c r="D458" s="5"/>
      <c r="E458" s="5"/>
    </row>
    <row r="459" ht="15.75" customHeight="1">
      <c r="A459" s="8"/>
      <c r="C459" s="5"/>
      <c r="D459" s="5"/>
      <c r="E459" s="5"/>
    </row>
    <row r="460" ht="15.75" customHeight="1">
      <c r="A460" s="8"/>
      <c r="C460" s="5"/>
      <c r="D460" s="5"/>
      <c r="E460" s="5"/>
    </row>
    <row r="461" ht="15.75" customHeight="1">
      <c r="A461" s="8"/>
      <c r="C461" s="5"/>
      <c r="D461" s="5"/>
      <c r="E461" s="5"/>
    </row>
    <row r="462" ht="15.75" customHeight="1">
      <c r="A462" s="8"/>
      <c r="C462" s="5"/>
      <c r="D462" s="5"/>
      <c r="E462" s="5"/>
    </row>
    <row r="463" ht="15.75" customHeight="1">
      <c r="A463" s="8"/>
      <c r="C463" s="5"/>
      <c r="D463" s="5"/>
      <c r="E463" s="5"/>
    </row>
    <row r="464" ht="15.75" customHeight="1">
      <c r="A464" s="8"/>
      <c r="C464" s="5"/>
      <c r="D464" s="5"/>
      <c r="E464" s="5"/>
    </row>
    <row r="465" ht="15.75" customHeight="1">
      <c r="A465" s="8"/>
      <c r="C465" s="5"/>
      <c r="D465" s="5"/>
      <c r="E465" s="5"/>
    </row>
    <row r="466" ht="15.75" customHeight="1">
      <c r="A466" s="8"/>
      <c r="C466" s="5"/>
      <c r="D466" s="5"/>
      <c r="E466" s="5"/>
    </row>
    <row r="467" ht="15.75" customHeight="1">
      <c r="A467" s="8"/>
      <c r="C467" s="5"/>
      <c r="D467" s="5"/>
      <c r="E467" s="5"/>
    </row>
    <row r="468" ht="15.75" customHeight="1">
      <c r="A468" s="8"/>
      <c r="C468" s="5"/>
      <c r="D468" s="5"/>
      <c r="E468" s="5"/>
    </row>
    <row r="469" ht="15.75" customHeight="1">
      <c r="A469" s="8"/>
      <c r="C469" s="5"/>
      <c r="D469" s="5"/>
      <c r="E469" s="5"/>
    </row>
    <row r="470" ht="15.75" customHeight="1">
      <c r="A470" s="8"/>
      <c r="C470" s="5"/>
      <c r="D470" s="5"/>
      <c r="E470" s="5"/>
    </row>
    <row r="471" ht="15.75" customHeight="1">
      <c r="A471" s="8"/>
      <c r="C471" s="5"/>
      <c r="D471" s="5"/>
      <c r="E471" s="5"/>
    </row>
    <row r="472" ht="15.75" customHeight="1">
      <c r="A472" s="8"/>
      <c r="C472" s="5"/>
      <c r="D472" s="5"/>
      <c r="E472" s="5"/>
    </row>
    <row r="473" ht="15.75" customHeight="1">
      <c r="A473" s="8"/>
      <c r="C473" s="5"/>
      <c r="D473" s="5"/>
      <c r="E473" s="5"/>
    </row>
    <row r="474" ht="15.75" customHeight="1">
      <c r="A474" s="8"/>
      <c r="C474" s="5"/>
      <c r="D474" s="5"/>
      <c r="E474" s="5"/>
    </row>
    <row r="475" ht="15.75" customHeight="1">
      <c r="A475" s="8"/>
      <c r="C475" s="5"/>
      <c r="D475" s="5"/>
      <c r="E475" s="5"/>
    </row>
    <row r="476" ht="15.75" customHeight="1">
      <c r="A476" s="8"/>
      <c r="C476" s="5"/>
      <c r="D476" s="5"/>
      <c r="E476" s="5"/>
    </row>
    <row r="477" ht="15.75" customHeight="1">
      <c r="A477" s="8"/>
      <c r="C477" s="5"/>
      <c r="D477" s="5"/>
      <c r="E477" s="5"/>
    </row>
    <row r="478" ht="15.75" customHeight="1">
      <c r="A478" s="8"/>
      <c r="C478" s="5"/>
      <c r="D478" s="5"/>
      <c r="E478" s="5"/>
    </row>
    <row r="479" ht="15.75" customHeight="1">
      <c r="A479" s="8"/>
      <c r="C479" s="5"/>
      <c r="D479" s="5"/>
      <c r="E479" s="5"/>
    </row>
    <row r="480" ht="15.75" customHeight="1">
      <c r="A480" s="8"/>
      <c r="C480" s="5"/>
      <c r="D480" s="5"/>
      <c r="E480" s="5"/>
    </row>
    <row r="481" ht="15.75" customHeight="1">
      <c r="A481" s="8"/>
      <c r="C481" s="5"/>
      <c r="D481" s="5"/>
      <c r="E481" s="5"/>
    </row>
    <row r="482" ht="15.75" customHeight="1">
      <c r="A482" s="8"/>
      <c r="C482" s="5"/>
      <c r="D482" s="5"/>
      <c r="E482" s="5"/>
    </row>
    <row r="483" ht="15.75" customHeight="1">
      <c r="A483" s="8"/>
      <c r="C483" s="5"/>
      <c r="D483" s="5"/>
      <c r="E483" s="5"/>
    </row>
    <row r="484" ht="15.75" customHeight="1">
      <c r="A484" s="8"/>
      <c r="C484" s="5"/>
      <c r="D484" s="5"/>
      <c r="E484" s="5"/>
    </row>
    <row r="485" ht="15.75" customHeight="1">
      <c r="A485" s="8"/>
      <c r="C485" s="5"/>
      <c r="D485" s="5"/>
      <c r="E485" s="5"/>
    </row>
    <row r="486" ht="15.75" customHeight="1">
      <c r="A486" s="8"/>
      <c r="C486" s="5"/>
      <c r="D486" s="5"/>
      <c r="E486" s="5"/>
    </row>
    <row r="487" ht="15.75" customHeight="1">
      <c r="A487" s="8"/>
      <c r="C487" s="5"/>
      <c r="D487" s="5"/>
      <c r="E487" s="5"/>
    </row>
    <row r="488" ht="15.75" customHeight="1">
      <c r="A488" s="8"/>
      <c r="C488" s="5"/>
      <c r="D488" s="5"/>
      <c r="E488" s="5"/>
    </row>
    <row r="489" ht="15.75" customHeight="1">
      <c r="A489" s="8"/>
      <c r="C489" s="5"/>
      <c r="D489" s="5"/>
      <c r="E489" s="5"/>
    </row>
    <row r="490" ht="15.75" customHeight="1">
      <c r="A490" s="8"/>
      <c r="C490" s="5"/>
      <c r="D490" s="5"/>
      <c r="E490" s="5"/>
    </row>
    <row r="491" ht="15.75" customHeight="1">
      <c r="A491" s="8"/>
      <c r="C491" s="5"/>
      <c r="D491" s="5"/>
      <c r="E491" s="5"/>
    </row>
    <row r="492" ht="15.75" customHeight="1">
      <c r="A492" s="8"/>
      <c r="C492" s="5"/>
      <c r="D492" s="5"/>
      <c r="E492" s="5"/>
    </row>
    <row r="493" ht="15.75" customHeight="1">
      <c r="A493" s="8"/>
      <c r="C493" s="5"/>
      <c r="D493" s="5"/>
      <c r="E493" s="5"/>
    </row>
    <row r="494" ht="15.75" customHeight="1">
      <c r="A494" s="8"/>
      <c r="C494" s="5"/>
      <c r="D494" s="5"/>
      <c r="E494" s="5"/>
    </row>
    <row r="495" ht="15.75" customHeight="1">
      <c r="A495" s="8"/>
      <c r="C495" s="5"/>
      <c r="D495" s="5"/>
      <c r="E495" s="5"/>
    </row>
    <row r="496" ht="15.75" customHeight="1">
      <c r="A496" s="8"/>
      <c r="C496" s="5"/>
      <c r="D496" s="5"/>
      <c r="E496" s="5"/>
    </row>
    <row r="497" ht="15.75" customHeight="1">
      <c r="A497" s="8"/>
      <c r="C497" s="5"/>
      <c r="D497" s="5"/>
      <c r="E497" s="5"/>
    </row>
    <row r="498" ht="15.75" customHeight="1">
      <c r="A498" s="8"/>
      <c r="C498" s="5"/>
      <c r="D498" s="5"/>
      <c r="E498" s="5"/>
    </row>
    <row r="499" ht="15.75" customHeight="1">
      <c r="A499" s="8"/>
      <c r="C499" s="5"/>
      <c r="D499" s="5"/>
      <c r="E499" s="5"/>
    </row>
    <row r="500" ht="15.75" customHeight="1">
      <c r="A500" s="8"/>
      <c r="C500" s="5"/>
      <c r="D500" s="5"/>
      <c r="E500" s="5"/>
    </row>
    <row r="501" ht="15.75" customHeight="1">
      <c r="A501" s="8"/>
      <c r="C501" s="5"/>
      <c r="D501" s="5"/>
      <c r="E501" s="5"/>
    </row>
    <row r="502" ht="15.75" customHeight="1">
      <c r="A502" s="8"/>
      <c r="C502" s="5"/>
      <c r="D502" s="5"/>
      <c r="E502" s="5"/>
    </row>
    <row r="503" ht="15.75" customHeight="1">
      <c r="A503" s="8"/>
      <c r="C503" s="5"/>
      <c r="D503" s="5"/>
      <c r="E503" s="5"/>
    </row>
    <row r="504" ht="15.75" customHeight="1">
      <c r="A504" s="8"/>
      <c r="C504" s="5"/>
      <c r="D504" s="5"/>
      <c r="E504" s="5"/>
    </row>
    <row r="505" ht="15.75" customHeight="1">
      <c r="A505" s="8"/>
      <c r="C505" s="5"/>
      <c r="D505" s="5"/>
      <c r="E505" s="5"/>
    </row>
    <row r="506" ht="15.75" customHeight="1">
      <c r="A506" s="8"/>
      <c r="C506" s="5"/>
      <c r="D506" s="5"/>
      <c r="E506" s="5"/>
    </row>
    <row r="507" ht="15.75" customHeight="1">
      <c r="A507" s="8"/>
      <c r="C507" s="5"/>
      <c r="D507" s="5"/>
      <c r="E507" s="5"/>
    </row>
    <row r="508" ht="15.75" customHeight="1">
      <c r="A508" s="8"/>
      <c r="C508" s="5"/>
      <c r="D508" s="5"/>
      <c r="E508" s="5"/>
    </row>
    <row r="509" ht="15.75" customHeight="1">
      <c r="A509" s="8"/>
      <c r="C509" s="5"/>
      <c r="D509" s="5"/>
      <c r="E509" s="5"/>
    </row>
    <row r="510" ht="15.75" customHeight="1">
      <c r="A510" s="8"/>
      <c r="C510" s="5"/>
      <c r="D510" s="5"/>
      <c r="E510" s="5"/>
    </row>
    <row r="511" ht="15.75" customHeight="1">
      <c r="A511" s="8"/>
      <c r="C511" s="5"/>
      <c r="D511" s="5"/>
      <c r="E511" s="5"/>
    </row>
    <row r="512" ht="15.75" customHeight="1">
      <c r="A512" s="8"/>
      <c r="C512" s="5"/>
      <c r="D512" s="5"/>
      <c r="E512" s="5"/>
    </row>
    <row r="513" ht="15.75" customHeight="1">
      <c r="A513" s="8"/>
      <c r="C513" s="5"/>
      <c r="D513" s="5"/>
      <c r="E513" s="5"/>
    </row>
    <row r="514" ht="15.75" customHeight="1">
      <c r="A514" s="8"/>
      <c r="C514" s="5"/>
      <c r="D514" s="5"/>
      <c r="E514" s="5"/>
    </row>
    <row r="515" ht="15.75" customHeight="1">
      <c r="A515" s="8"/>
      <c r="C515" s="5"/>
      <c r="D515" s="5"/>
      <c r="E515" s="5"/>
    </row>
    <row r="516" ht="15.75" customHeight="1">
      <c r="A516" s="8"/>
      <c r="C516" s="5"/>
      <c r="D516" s="5"/>
      <c r="E516" s="5"/>
    </row>
    <row r="517" ht="15.75" customHeight="1">
      <c r="A517" s="8"/>
      <c r="C517" s="5"/>
      <c r="D517" s="5"/>
      <c r="E517" s="5"/>
    </row>
    <row r="518" ht="15.75" customHeight="1">
      <c r="A518" s="8"/>
      <c r="C518" s="5"/>
      <c r="D518" s="5"/>
      <c r="E518" s="5"/>
    </row>
    <row r="519" ht="15.75" customHeight="1">
      <c r="A519" s="8"/>
      <c r="C519" s="5"/>
      <c r="D519" s="5"/>
      <c r="E519" s="5"/>
    </row>
    <row r="520" ht="15.75" customHeight="1">
      <c r="A520" s="8"/>
      <c r="C520" s="5"/>
      <c r="D520" s="5"/>
      <c r="E520" s="5"/>
    </row>
    <row r="521" ht="15.75" customHeight="1">
      <c r="A521" s="8"/>
      <c r="C521" s="5"/>
      <c r="D521" s="5"/>
      <c r="E521" s="5"/>
    </row>
    <row r="522" ht="15.75" customHeight="1">
      <c r="A522" s="8"/>
      <c r="C522" s="5"/>
      <c r="D522" s="5"/>
      <c r="E522" s="5"/>
    </row>
    <row r="523" ht="15.75" customHeight="1">
      <c r="A523" s="8"/>
      <c r="C523" s="5"/>
      <c r="D523" s="5"/>
      <c r="E523" s="5"/>
    </row>
    <row r="524" ht="15.75" customHeight="1">
      <c r="A524" s="8"/>
      <c r="C524" s="5"/>
      <c r="D524" s="5"/>
      <c r="E524" s="5"/>
    </row>
    <row r="525" ht="15.75" customHeight="1">
      <c r="A525" s="8"/>
      <c r="C525" s="5"/>
      <c r="D525" s="5"/>
      <c r="E525" s="5"/>
    </row>
    <row r="526" ht="15.75" customHeight="1">
      <c r="A526" s="8"/>
      <c r="C526" s="5"/>
      <c r="D526" s="5"/>
      <c r="E526" s="5"/>
    </row>
    <row r="527" ht="15.75" customHeight="1">
      <c r="A527" s="8"/>
      <c r="C527" s="5"/>
      <c r="D527" s="5"/>
      <c r="E527" s="5"/>
    </row>
    <row r="528" ht="15.75" customHeight="1">
      <c r="A528" s="8"/>
      <c r="C528" s="5"/>
      <c r="D528" s="5"/>
      <c r="E528" s="5"/>
    </row>
    <row r="529" ht="15.75" customHeight="1">
      <c r="A529" s="8"/>
      <c r="C529" s="5"/>
      <c r="D529" s="5"/>
      <c r="E529" s="5"/>
    </row>
    <row r="530" ht="15.75" customHeight="1">
      <c r="A530" s="8"/>
      <c r="C530" s="5"/>
      <c r="D530" s="5"/>
      <c r="E530" s="5"/>
    </row>
    <row r="531" ht="15.75" customHeight="1">
      <c r="A531" s="8"/>
      <c r="C531" s="5"/>
      <c r="D531" s="5"/>
      <c r="E531" s="5"/>
    </row>
    <row r="532" ht="15.75" customHeight="1">
      <c r="A532" s="8"/>
      <c r="C532" s="5"/>
      <c r="D532" s="5"/>
      <c r="E532" s="5"/>
    </row>
    <row r="533" ht="15.75" customHeight="1">
      <c r="A533" s="8"/>
      <c r="C533" s="5"/>
      <c r="D533" s="5"/>
      <c r="E533" s="5"/>
    </row>
    <row r="534" ht="15.75" customHeight="1">
      <c r="A534" s="8"/>
      <c r="C534" s="5"/>
      <c r="D534" s="5"/>
      <c r="E534" s="5"/>
    </row>
    <row r="535" ht="15.75" customHeight="1">
      <c r="A535" s="8"/>
      <c r="C535" s="5"/>
      <c r="D535" s="5"/>
      <c r="E535" s="5"/>
    </row>
    <row r="536" ht="15.75" customHeight="1">
      <c r="A536" s="8"/>
      <c r="C536" s="5"/>
      <c r="D536" s="5"/>
      <c r="E536" s="5"/>
    </row>
    <row r="537" ht="15.75" customHeight="1">
      <c r="A537" s="8"/>
      <c r="C537" s="5"/>
      <c r="D537" s="5"/>
      <c r="E537" s="5"/>
    </row>
    <row r="538" ht="15.75" customHeight="1">
      <c r="A538" s="8"/>
      <c r="C538" s="5"/>
      <c r="D538" s="5"/>
      <c r="E538" s="5"/>
    </row>
    <row r="539" ht="15.75" customHeight="1">
      <c r="A539" s="8"/>
      <c r="C539" s="5"/>
      <c r="D539" s="5"/>
      <c r="E539" s="5"/>
    </row>
    <row r="540" ht="15.75" customHeight="1">
      <c r="A540" s="8"/>
      <c r="C540" s="5"/>
      <c r="D540" s="5"/>
      <c r="E540" s="5"/>
    </row>
    <row r="541" ht="15.75" customHeight="1">
      <c r="A541" s="8"/>
      <c r="C541" s="5"/>
      <c r="D541" s="5"/>
      <c r="E541" s="5"/>
    </row>
    <row r="542" ht="15.75" customHeight="1">
      <c r="A542" s="8"/>
      <c r="C542" s="5"/>
      <c r="D542" s="5"/>
      <c r="E542" s="5"/>
    </row>
    <row r="543" ht="15.75" customHeight="1">
      <c r="A543" s="8"/>
      <c r="C543" s="5"/>
      <c r="D543" s="5"/>
      <c r="E543" s="5"/>
    </row>
    <row r="544" ht="15.75" customHeight="1">
      <c r="A544" s="8"/>
      <c r="C544" s="5"/>
      <c r="D544" s="5"/>
      <c r="E544" s="5"/>
    </row>
    <row r="545" ht="15.75" customHeight="1">
      <c r="A545" s="8"/>
      <c r="C545" s="5"/>
      <c r="D545" s="5"/>
      <c r="E545" s="5"/>
    </row>
    <row r="546" ht="15.75" customHeight="1">
      <c r="A546" s="8"/>
      <c r="C546" s="5"/>
      <c r="D546" s="5"/>
      <c r="E546" s="5"/>
    </row>
    <row r="547" ht="15.75" customHeight="1">
      <c r="A547" s="8"/>
      <c r="C547" s="5"/>
      <c r="D547" s="5"/>
      <c r="E547" s="5"/>
    </row>
    <row r="548" ht="15.75" customHeight="1">
      <c r="A548" s="8"/>
      <c r="C548" s="5"/>
      <c r="D548" s="5"/>
      <c r="E548" s="5"/>
    </row>
    <row r="549" ht="15.75" customHeight="1">
      <c r="A549" s="8"/>
      <c r="C549" s="5"/>
      <c r="D549" s="5"/>
      <c r="E549" s="5"/>
    </row>
    <row r="550" ht="15.75" customHeight="1">
      <c r="A550" s="8"/>
      <c r="C550" s="5"/>
      <c r="D550" s="5"/>
      <c r="E550" s="5"/>
    </row>
    <row r="551" ht="15.75" customHeight="1">
      <c r="A551" s="8"/>
      <c r="C551" s="5"/>
      <c r="D551" s="5"/>
      <c r="E551" s="5"/>
    </row>
    <row r="552" ht="15.75" customHeight="1">
      <c r="A552" s="8"/>
      <c r="C552" s="5"/>
      <c r="D552" s="5"/>
      <c r="E552" s="5"/>
    </row>
    <row r="553" ht="15.75" customHeight="1">
      <c r="A553" s="8"/>
      <c r="C553" s="5"/>
      <c r="D553" s="5"/>
      <c r="E553" s="5"/>
    </row>
    <row r="554" ht="15.75" customHeight="1">
      <c r="A554" s="8"/>
      <c r="C554" s="5"/>
      <c r="D554" s="5"/>
      <c r="E554" s="5"/>
    </row>
    <row r="555" ht="15.75" customHeight="1">
      <c r="A555" s="8"/>
      <c r="C555" s="5"/>
      <c r="D555" s="5"/>
      <c r="E555" s="5"/>
    </row>
    <row r="556" ht="15.75" customHeight="1">
      <c r="A556" s="8"/>
      <c r="C556" s="5"/>
      <c r="D556" s="5"/>
      <c r="E556" s="5"/>
    </row>
    <row r="557" ht="15.75" customHeight="1">
      <c r="A557" s="8"/>
      <c r="C557" s="5"/>
      <c r="D557" s="5"/>
      <c r="E557" s="5"/>
    </row>
    <row r="558" ht="15.75" customHeight="1">
      <c r="A558" s="8"/>
      <c r="C558" s="5"/>
      <c r="D558" s="5"/>
      <c r="E558" s="5"/>
    </row>
    <row r="559" ht="15.75" customHeight="1">
      <c r="A559" s="8"/>
      <c r="C559" s="5"/>
      <c r="D559" s="5"/>
      <c r="E559" s="5"/>
    </row>
    <row r="560" ht="15.75" customHeight="1">
      <c r="A560" s="8"/>
      <c r="C560" s="5"/>
      <c r="D560" s="5"/>
      <c r="E560" s="5"/>
    </row>
    <row r="561" ht="15.75" customHeight="1">
      <c r="A561" s="8"/>
      <c r="C561" s="5"/>
      <c r="D561" s="5"/>
      <c r="E561" s="5"/>
    </row>
    <row r="562" ht="15.75" customHeight="1">
      <c r="A562" s="8"/>
      <c r="C562" s="5"/>
      <c r="D562" s="5"/>
      <c r="E562" s="5"/>
    </row>
    <row r="563" ht="15.75" customHeight="1">
      <c r="A563" s="8"/>
      <c r="C563" s="5"/>
      <c r="D563" s="5"/>
      <c r="E563" s="5"/>
    </row>
    <row r="564" ht="15.75" customHeight="1">
      <c r="A564" s="8"/>
      <c r="C564" s="5"/>
      <c r="D564" s="5"/>
      <c r="E564" s="5"/>
    </row>
    <row r="565" ht="15.75" customHeight="1">
      <c r="A565" s="8"/>
      <c r="C565" s="5"/>
      <c r="D565" s="5"/>
      <c r="E565" s="5"/>
    </row>
    <row r="566" ht="15.75" customHeight="1">
      <c r="A566" s="8"/>
      <c r="C566" s="5"/>
      <c r="D566" s="5"/>
      <c r="E566" s="5"/>
    </row>
    <row r="567" ht="15.75" customHeight="1">
      <c r="A567" s="8"/>
      <c r="C567" s="5"/>
      <c r="D567" s="5"/>
      <c r="E567" s="5"/>
    </row>
    <row r="568" ht="15.75" customHeight="1">
      <c r="A568" s="8"/>
      <c r="C568" s="5"/>
      <c r="D568" s="5"/>
      <c r="E568" s="5"/>
    </row>
    <row r="569" ht="15.75" customHeight="1">
      <c r="A569" s="8"/>
      <c r="C569" s="5"/>
      <c r="D569" s="5"/>
      <c r="E569" s="5"/>
    </row>
    <row r="570" ht="15.75" customHeight="1">
      <c r="A570" s="8"/>
      <c r="C570" s="5"/>
      <c r="D570" s="5"/>
      <c r="E570" s="5"/>
    </row>
    <row r="571" ht="15.75" customHeight="1">
      <c r="A571" s="8"/>
      <c r="C571" s="5"/>
      <c r="D571" s="5"/>
      <c r="E571" s="5"/>
    </row>
    <row r="572" ht="15.75" customHeight="1">
      <c r="A572" s="8"/>
      <c r="C572" s="5"/>
      <c r="D572" s="5"/>
      <c r="E572" s="5"/>
    </row>
    <row r="573" ht="15.75" customHeight="1">
      <c r="A573" s="8"/>
      <c r="C573" s="5"/>
      <c r="D573" s="5"/>
      <c r="E573" s="5"/>
    </row>
    <row r="574" ht="15.75" customHeight="1">
      <c r="A574" s="8"/>
      <c r="C574" s="5"/>
      <c r="D574" s="5"/>
      <c r="E574" s="5"/>
    </row>
    <row r="575" ht="15.75" customHeight="1">
      <c r="A575" s="8"/>
      <c r="C575" s="5"/>
      <c r="D575" s="5"/>
      <c r="E575" s="5"/>
    </row>
    <row r="576" ht="15.75" customHeight="1">
      <c r="A576" s="8"/>
      <c r="C576" s="5"/>
      <c r="D576" s="5"/>
      <c r="E576" s="5"/>
    </row>
    <row r="577" ht="15.75" customHeight="1">
      <c r="A577" s="8"/>
      <c r="C577" s="5"/>
      <c r="D577" s="5"/>
      <c r="E577" s="5"/>
    </row>
    <row r="578" ht="15.75" customHeight="1">
      <c r="A578" s="8"/>
      <c r="C578" s="5"/>
      <c r="D578" s="5"/>
      <c r="E578" s="5"/>
    </row>
    <row r="579" ht="15.75" customHeight="1">
      <c r="A579" s="8"/>
      <c r="C579" s="5"/>
      <c r="D579" s="5"/>
      <c r="E579" s="5"/>
    </row>
    <row r="580" ht="15.75" customHeight="1">
      <c r="A580" s="8"/>
      <c r="C580" s="5"/>
      <c r="D580" s="5"/>
      <c r="E580" s="5"/>
    </row>
    <row r="581" ht="15.75" customHeight="1">
      <c r="A581" s="8"/>
      <c r="C581" s="5"/>
      <c r="D581" s="5"/>
      <c r="E581" s="5"/>
    </row>
    <row r="582" ht="15.75" customHeight="1">
      <c r="A582" s="8"/>
      <c r="C582" s="5"/>
      <c r="D582" s="5"/>
      <c r="E582" s="5"/>
    </row>
    <row r="583" ht="15.75" customHeight="1">
      <c r="A583" s="8"/>
      <c r="C583" s="5"/>
      <c r="D583" s="5"/>
      <c r="E583" s="5"/>
    </row>
    <row r="584" ht="15.75" customHeight="1">
      <c r="A584" s="8"/>
      <c r="C584" s="5"/>
      <c r="D584" s="5"/>
      <c r="E584" s="5"/>
    </row>
    <row r="585" ht="15.75" customHeight="1">
      <c r="A585" s="8"/>
      <c r="C585" s="5"/>
      <c r="D585" s="5"/>
      <c r="E585" s="5"/>
    </row>
    <row r="586" ht="15.75" customHeight="1">
      <c r="A586" s="8"/>
      <c r="C586" s="5"/>
      <c r="D586" s="5"/>
      <c r="E586" s="5"/>
    </row>
    <row r="587" ht="15.75" customHeight="1">
      <c r="A587" s="8"/>
      <c r="C587" s="5"/>
      <c r="D587" s="5"/>
      <c r="E587" s="5"/>
    </row>
    <row r="588" ht="15.75" customHeight="1">
      <c r="A588" s="8"/>
      <c r="C588" s="5"/>
      <c r="D588" s="5"/>
      <c r="E588" s="5"/>
    </row>
    <row r="589" ht="15.75" customHeight="1">
      <c r="A589" s="8"/>
      <c r="C589" s="5"/>
      <c r="D589" s="5"/>
      <c r="E589" s="5"/>
    </row>
    <row r="590" ht="15.75" customHeight="1">
      <c r="A590" s="8"/>
      <c r="C590" s="5"/>
      <c r="D590" s="5"/>
      <c r="E590" s="5"/>
    </row>
    <row r="591" ht="15.75" customHeight="1">
      <c r="A591" s="8"/>
      <c r="C591" s="5"/>
      <c r="D591" s="5"/>
      <c r="E591" s="5"/>
    </row>
    <row r="592" ht="15.75" customHeight="1">
      <c r="A592" s="8"/>
      <c r="C592" s="5"/>
      <c r="D592" s="5"/>
      <c r="E592" s="5"/>
    </row>
    <row r="593" ht="15.75" customHeight="1">
      <c r="A593" s="8"/>
      <c r="C593" s="5"/>
      <c r="D593" s="5"/>
      <c r="E593" s="5"/>
    </row>
    <row r="594" ht="15.75" customHeight="1">
      <c r="A594" s="8"/>
      <c r="C594" s="5"/>
      <c r="D594" s="5"/>
      <c r="E594" s="5"/>
    </row>
    <row r="595" ht="15.75" customHeight="1">
      <c r="A595" s="8"/>
      <c r="C595" s="5"/>
      <c r="D595" s="5"/>
      <c r="E595" s="5"/>
    </row>
    <row r="596" ht="15.75" customHeight="1">
      <c r="A596" s="8"/>
      <c r="C596" s="5"/>
      <c r="D596" s="5"/>
      <c r="E596" s="5"/>
    </row>
    <row r="597" ht="15.75" customHeight="1">
      <c r="A597" s="8"/>
      <c r="C597" s="5"/>
      <c r="D597" s="5"/>
      <c r="E597" s="5"/>
    </row>
    <row r="598" ht="15.75" customHeight="1">
      <c r="A598" s="8"/>
      <c r="C598" s="5"/>
      <c r="D598" s="5"/>
      <c r="E598" s="5"/>
    </row>
    <row r="599" ht="15.75" customHeight="1">
      <c r="A599" s="8"/>
      <c r="C599" s="5"/>
      <c r="D599" s="5"/>
      <c r="E599" s="5"/>
    </row>
    <row r="600" ht="15.75" customHeight="1">
      <c r="A600" s="8"/>
      <c r="C600" s="5"/>
      <c r="D600" s="5"/>
      <c r="E600" s="5"/>
    </row>
    <row r="601" ht="15.75" customHeight="1">
      <c r="A601" s="8"/>
      <c r="C601" s="5"/>
      <c r="D601" s="5"/>
      <c r="E601" s="5"/>
    </row>
    <row r="602" ht="15.75" customHeight="1">
      <c r="A602" s="8"/>
      <c r="C602" s="5"/>
      <c r="D602" s="5"/>
      <c r="E602" s="5"/>
    </row>
    <row r="603" ht="15.75" customHeight="1">
      <c r="A603" s="8"/>
      <c r="C603" s="5"/>
      <c r="D603" s="5"/>
      <c r="E603" s="5"/>
    </row>
    <row r="604" ht="15.75" customHeight="1">
      <c r="A604" s="8"/>
      <c r="C604" s="5"/>
      <c r="D604" s="5"/>
      <c r="E604" s="5"/>
    </row>
    <row r="605" ht="15.75" customHeight="1">
      <c r="A605" s="8"/>
      <c r="C605" s="5"/>
      <c r="D605" s="5"/>
      <c r="E605" s="5"/>
    </row>
    <row r="606" ht="15.75" customHeight="1">
      <c r="A606" s="8"/>
      <c r="C606" s="5"/>
      <c r="D606" s="5"/>
      <c r="E606" s="5"/>
    </row>
    <row r="607" ht="15.75" customHeight="1">
      <c r="A607" s="8"/>
      <c r="C607" s="5"/>
      <c r="D607" s="5"/>
      <c r="E607" s="5"/>
    </row>
    <row r="608" ht="15.75" customHeight="1">
      <c r="A608" s="8"/>
      <c r="C608" s="5"/>
      <c r="D608" s="5"/>
      <c r="E608" s="5"/>
    </row>
    <row r="609" ht="15.75" customHeight="1">
      <c r="A609" s="8"/>
      <c r="C609" s="5"/>
      <c r="D609" s="5"/>
      <c r="E609" s="5"/>
    </row>
    <row r="610" ht="15.75" customHeight="1">
      <c r="A610" s="8"/>
      <c r="C610" s="5"/>
      <c r="D610" s="5"/>
      <c r="E610" s="5"/>
    </row>
    <row r="611" ht="15.75" customHeight="1">
      <c r="A611" s="8"/>
      <c r="C611" s="5"/>
      <c r="D611" s="5"/>
      <c r="E611" s="5"/>
    </row>
    <row r="612" ht="15.75" customHeight="1">
      <c r="A612" s="8"/>
      <c r="C612" s="5"/>
      <c r="D612" s="5"/>
      <c r="E612" s="5"/>
    </row>
    <row r="613" ht="15.75" customHeight="1">
      <c r="A613" s="8"/>
      <c r="C613" s="5"/>
      <c r="D613" s="5"/>
      <c r="E613" s="5"/>
    </row>
    <row r="614" ht="15.75" customHeight="1">
      <c r="A614" s="8"/>
      <c r="C614" s="5"/>
      <c r="D614" s="5"/>
      <c r="E614" s="5"/>
    </row>
    <row r="615" ht="15.75" customHeight="1">
      <c r="A615" s="8"/>
      <c r="C615" s="5"/>
      <c r="D615" s="5"/>
      <c r="E615" s="5"/>
    </row>
    <row r="616" ht="15.75" customHeight="1">
      <c r="A616" s="8"/>
      <c r="C616" s="5"/>
      <c r="D616" s="5"/>
      <c r="E616" s="5"/>
    </row>
    <row r="617" ht="15.75" customHeight="1">
      <c r="A617" s="8"/>
      <c r="C617" s="5"/>
      <c r="D617" s="5"/>
      <c r="E617" s="5"/>
    </row>
    <row r="618" ht="15.75" customHeight="1">
      <c r="A618" s="8"/>
      <c r="C618" s="5"/>
      <c r="D618" s="5"/>
      <c r="E618" s="5"/>
    </row>
    <row r="619" ht="15.75" customHeight="1">
      <c r="A619" s="8"/>
      <c r="C619" s="5"/>
      <c r="D619" s="5"/>
      <c r="E619" s="5"/>
    </row>
    <row r="620" ht="15.75" customHeight="1">
      <c r="A620" s="8"/>
      <c r="C620" s="5"/>
      <c r="D620" s="5"/>
      <c r="E620" s="5"/>
    </row>
    <row r="621" ht="15.75" customHeight="1">
      <c r="A621" s="8"/>
      <c r="C621" s="5"/>
      <c r="D621" s="5"/>
      <c r="E621" s="5"/>
    </row>
    <row r="622" ht="15.75" customHeight="1">
      <c r="A622" s="8"/>
      <c r="C622" s="5"/>
      <c r="D622" s="5"/>
      <c r="E622" s="5"/>
    </row>
    <row r="623" ht="15.75" customHeight="1">
      <c r="A623" s="8"/>
      <c r="C623" s="5"/>
      <c r="D623" s="5"/>
      <c r="E623" s="5"/>
    </row>
    <row r="624" ht="15.75" customHeight="1">
      <c r="A624" s="8"/>
      <c r="C624" s="5"/>
      <c r="D624" s="5"/>
      <c r="E624" s="5"/>
    </row>
    <row r="625" ht="15.75" customHeight="1">
      <c r="A625" s="8"/>
      <c r="C625" s="5"/>
      <c r="D625" s="5"/>
      <c r="E625" s="5"/>
    </row>
    <row r="626" ht="15.75" customHeight="1">
      <c r="A626" s="8"/>
      <c r="C626" s="5"/>
      <c r="D626" s="5"/>
      <c r="E626" s="5"/>
    </row>
    <row r="627" ht="15.75" customHeight="1">
      <c r="A627" s="8"/>
      <c r="C627" s="5"/>
      <c r="D627" s="5"/>
      <c r="E627" s="5"/>
    </row>
    <row r="628" ht="15.75" customHeight="1">
      <c r="A628" s="8"/>
      <c r="C628" s="5"/>
      <c r="D628" s="5"/>
      <c r="E628" s="5"/>
    </row>
    <row r="629" ht="15.75" customHeight="1">
      <c r="A629" s="8"/>
      <c r="C629" s="5"/>
      <c r="D629" s="5"/>
      <c r="E629" s="5"/>
    </row>
    <row r="630" ht="15.75" customHeight="1">
      <c r="A630" s="8"/>
      <c r="C630" s="5"/>
      <c r="D630" s="5"/>
      <c r="E630" s="5"/>
    </row>
    <row r="631" ht="15.75" customHeight="1">
      <c r="A631" s="8"/>
      <c r="C631" s="5"/>
      <c r="D631" s="5"/>
      <c r="E631" s="5"/>
    </row>
    <row r="632" ht="15.75" customHeight="1">
      <c r="A632" s="8"/>
      <c r="C632" s="5"/>
      <c r="D632" s="5"/>
      <c r="E632" s="5"/>
    </row>
    <row r="633" ht="15.75" customHeight="1">
      <c r="A633" s="8"/>
      <c r="C633" s="5"/>
      <c r="D633" s="5"/>
      <c r="E633" s="5"/>
    </row>
    <row r="634" ht="15.75" customHeight="1">
      <c r="A634" s="8"/>
      <c r="C634" s="5"/>
      <c r="D634" s="5"/>
      <c r="E634" s="5"/>
    </row>
    <row r="635" ht="15.75" customHeight="1">
      <c r="A635" s="8"/>
      <c r="C635" s="5"/>
      <c r="D635" s="5"/>
      <c r="E635" s="5"/>
    </row>
    <row r="636" ht="15.75" customHeight="1">
      <c r="A636" s="8"/>
      <c r="C636" s="5"/>
      <c r="D636" s="5"/>
      <c r="E636" s="5"/>
    </row>
    <row r="637" ht="15.75" customHeight="1">
      <c r="A637" s="8"/>
      <c r="C637" s="5"/>
      <c r="D637" s="5"/>
      <c r="E637" s="5"/>
    </row>
    <row r="638" ht="15.75" customHeight="1">
      <c r="A638" s="8"/>
      <c r="C638" s="5"/>
      <c r="D638" s="5"/>
      <c r="E638" s="5"/>
    </row>
    <row r="639" ht="15.75" customHeight="1">
      <c r="A639" s="8"/>
      <c r="C639" s="5"/>
      <c r="D639" s="5"/>
      <c r="E639" s="5"/>
    </row>
    <row r="640" ht="15.75" customHeight="1">
      <c r="A640" s="8"/>
      <c r="C640" s="5"/>
      <c r="D640" s="5"/>
      <c r="E640" s="5"/>
    </row>
    <row r="641" ht="15.75" customHeight="1">
      <c r="A641" s="8"/>
      <c r="C641" s="5"/>
      <c r="D641" s="5"/>
      <c r="E641" s="5"/>
    </row>
    <row r="642" ht="15.75" customHeight="1">
      <c r="A642" s="8"/>
      <c r="C642" s="5"/>
      <c r="D642" s="5"/>
      <c r="E642" s="5"/>
    </row>
    <row r="643" ht="15.75" customHeight="1">
      <c r="A643" s="8"/>
      <c r="C643" s="5"/>
      <c r="D643" s="5"/>
      <c r="E643" s="5"/>
    </row>
    <row r="644" ht="15.75" customHeight="1">
      <c r="A644" s="8"/>
      <c r="C644" s="5"/>
      <c r="D644" s="5"/>
      <c r="E644" s="5"/>
    </row>
    <row r="645" ht="15.75" customHeight="1">
      <c r="A645" s="8"/>
      <c r="C645" s="5"/>
      <c r="D645" s="5"/>
      <c r="E645" s="5"/>
    </row>
    <row r="646" ht="15.75" customHeight="1">
      <c r="A646" s="8"/>
      <c r="C646" s="5"/>
      <c r="D646" s="5"/>
      <c r="E646" s="5"/>
    </row>
    <row r="647" ht="15.75" customHeight="1">
      <c r="A647" s="8"/>
      <c r="C647" s="5"/>
      <c r="D647" s="5"/>
      <c r="E647" s="5"/>
    </row>
    <row r="648" ht="15.75" customHeight="1">
      <c r="A648" s="8"/>
      <c r="C648" s="5"/>
      <c r="D648" s="5"/>
      <c r="E648" s="5"/>
    </row>
    <row r="649" ht="15.75" customHeight="1">
      <c r="A649" s="8"/>
      <c r="C649" s="5"/>
      <c r="D649" s="5"/>
      <c r="E649" s="5"/>
    </row>
    <row r="650" ht="15.75" customHeight="1">
      <c r="A650" s="8"/>
      <c r="C650" s="5"/>
      <c r="D650" s="5"/>
      <c r="E650" s="5"/>
    </row>
    <row r="651" ht="15.75" customHeight="1">
      <c r="A651" s="8"/>
      <c r="C651" s="5"/>
      <c r="D651" s="5"/>
      <c r="E651" s="5"/>
    </row>
    <row r="652" ht="15.75" customHeight="1">
      <c r="A652" s="8"/>
      <c r="C652" s="5"/>
      <c r="D652" s="5"/>
      <c r="E652" s="5"/>
    </row>
    <row r="653" ht="15.75" customHeight="1">
      <c r="A653" s="8"/>
      <c r="C653" s="5"/>
      <c r="D653" s="5"/>
      <c r="E653" s="5"/>
    </row>
    <row r="654" ht="15.75" customHeight="1">
      <c r="A654" s="8"/>
      <c r="C654" s="5"/>
      <c r="D654" s="5"/>
      <c r="E654" s="5"/>
    </row>
    <row r="655" ht="15.75" customHeight="1">
      <c r="A655" s="8"/>
      <c r="C655" s="5"/>
      <c r="D655" s="5"/>
      <c r="E655" s="5"/>
    </row>
    <row r="656" ht="15.75" customHeight="1">
      <c r="A656" s="8"/>
      <c r="C656" s="5"/>
      <c r="D656" s="5"/>
      <c r="E656" s="5"/>
    </row>
    <row r="657" ht="15.75" customHeight="1">
      <c r="A657" s="8"/>
      <c r="C657" s="5"/>
      <c r="D657" s="5"/>
      <c r="E657" s="5"/>
    </row>
    <row r="658" ht="15.75" customHeight="1">
      <c r="A658" s="8"/>
      <c r="C658" s="5"/>
      <c r="D658" s="5"/>
      <c r="E658" s="5"/>
    </row>
    <row r="659" ht="15.75" customHeight="1">
      <c r="A659" s="8"/>
      <c r="C659" s="5"/>
      <c r="D659" s="5"/>
      <c r="E659" s="5"/>
    </row>
    <row r="660" ht="15.75" customHeight="1">
      <c r="A660" s="8"/>
      <c r="C660" s="5"/>
      <c r="D660" s="5"/>
      <c r="E660" s="5"/>
    </row>
    <row r="661" ht="15.75" customHeight="1">
      <c r="A661" s="8"/>
      <c r="C661" s="5"/>
      <c r="D661" s="5"/>
      <c r="E661" s="5"/>
    </row>
    <row r="662" ht="15.75" customHeight="1">
      <c r="A662" s="8"/>
      <c r="C662" s="5"/>
      <c r="D662" s="5"/>
      <c r="E662" s="5"/>
    </row>
    <row r="663" ht="15.75" customHeight="1">
      <c r="A663" s="8"/>
      <c r="C663" s="5"/>
      <c r="D663" s="5"/>
      <c r="E663" s="5"/>
    </row>
    <row r="664" ht="15.75" customHeight="1">
      <c r="A664" s="8"/>
      <c r="C664" s="5"/>
      <c r="D664" s="5"/>
      <c r="E664" s="5"/>
    </row>
    <row r="665" ht="15.75" customHeight="1">
      <c r="A665" s="8"/>
      <c r="C665" s="5"/>
      <c r="D665" s="5"/>
      <c r="E665" s="5"/>
    </row>
    <row r="666" ht="15.75" customHeight="1">
      <c r="A666" s="8"/>
      <c r="C666" s="5"/>
      <c r="D666" s="5"/>
      <c r="E666" s="5"/>
    </row>
    <row r="667" ht="15.75" customHeight="1">
      <c r="A667" s="8"/>
      <c r="C667" s="5"/>
      <c r="D667" s="5"/>
      <c r="E667" s="5"/>
    </row>
    <row r="668" ht="15.75" customHeight="1">
      <c r="A668" s="8"/>
      <c r="C668" s="5"/>
      <c r="D668" s="5"/>
      <c r="E668" s="5"/>
    </row>
    <row r="669" ht="15.75" customHeight="1">
      <c r="A669" s="8"/>
      <c r="C669" s="5"/>
      <c r="D669" s="5"/>
      <c r="E669" s="5"/>
    </row>
    <row r="670" ht="15.75" customHeight="1">
      <c r="A670" s="8"/>
      <c r="C670" s="5"/>
      <c r="D670" s="5"/>
      <c r="E670" s="5"/>
    </row>
    <row r="671" ht="15.75" customHeight="1">
      <c r="A671" s="8"/>
      <c r="C671" s="5"/>
      <c r="D671" s="5"/>
      <c r="E671" s="5"/>
    </row>
    <row r="672" ht="15.75" customHeight="1">
      <c r="A672" s="8"/>
      <c r="C672" s="5"/>
      <c r="D672" s="5"/>
      <c r="E672" s="5"/>
    </row>
    <row r="673" ht="15.75" customHeight="1">
      <c r="A673" s="8"/>
      <c r="C673" s="5"/>
      <c r="D673" s="5"/>
      <c r="E673" s="5"/>
    </row>
    <row r="674" ht="15.75" customHeight="1">
      <c r="A674" s="8"/>
      <c r="C674" s="5"/>
      <c r="D674" s="5"/>
      <c r="E674" s="5"/>
    </row>
    <row r="675" ht="15.75" customHeight="1">
      <c r="A675" s="8"/>
      <c r="C675" s="5"/>
      <c r="D675" s="5"/>
      <c r="E675" s="5"/>
    </row>
    <row r="676" ht="15.75" customHeight="1">
      <c r="A676" s="8"/>
      <c r="C676" s="5"/>
      <c r="D676" s="5"/>
      <c r="E676" s="5"/>
    </row>
    <row r="677" ht="15.75" customHeight="1">
      <c r="A677" s="8"/>
      <c r="C677" s="5"/>
      <c r="D677" s="5"/>
      <c r="E677" s="5"/>
    </row>
    <row r="678" ht="15.75" customHeight="1">
      <c r="A678" s="8"/>
      <c r="C678" s="5"/>
      <c r="D678" s="5"/>
      <c r="E678" s="5"/>
    </row>
    <row r="679" ht="15.75" customHeight="1">
      <c r="A679" s="8"/>
      <c r="C679" s="5"/>
      <c r="D679" s="5"/>
      <c r="E679" s="5"/>
    </row>
    <row r="680" ht="15.75" customHeight="1">
      <c r="A680" s="8"/>
      <c r="C680" s="5"/>
      <c r="D680" s="5"/>
      <c r="E680" s="5"/>
    </row>
    <row r="681" ht="15.75" customHeight="1">
      <c r="A681" s="8"/>
      <c r="C681" s="5"/>
      <c r="D681" s="5"/>
      <c r="E681" s="5"/>
    </row>
    <row r="682" ht="15.75" customHeight="1">
      <c r="A682" s="8"/>
      <c r="C682" s="5"/>
      <c r="D682" s="5"/>
      <c r="E682" s="5"/>
    </row>
    <row r="683" ht="15.75" customHeight="1">
      <c r="A683" s="8"/>
      <c r="C683" s="5"/>
      <c r="D683" s="5"/>
      <c r="E683" s="5"/>
    </row>
    <row r="684" ht="15.75" customHeight="1">
      <c r="A684" s="8"/>
      <c r="C684" s="5"/>
      <c r="D684" s="5"/>
      <c r="E684" s="5"/>
    </row>
    <row r="685" ht="15.75" customHeight="1">
      <c r="A685" s="8"/>
      <c r="C685" s="5"/>
      <c r="D685" s="5"/>
      <c r="E685" s="5"/>
    </row>
    <row r="686" ht="15.75" customHeight="1">
      <c r="A686" s="8"/>
      <c r="C686" s="5"/>
      <c r="D686" s="5"/>
      <c r="E686" s="5"/>
    </row>
    <row r="687" ht="15.75" customHeight="1">
      <c r="A687" s="8"/>
      <c r="C687" s="5"/>
      <c r="D687" s="5"/>
      <c r="E687" s="5"/>
    </row>
    <row r="688" ht="15.75" customHeight="1">
      <c r="A688" s="8"/>
      <c r="C688" s="5"/>
      <c r="D688" s="5"/>
      <c r="E688" s="5"/>
    </row>
    <row r="689" ht="15.75" customHeight="1">
      <c r="A689" s="8"/>
      <c r="C689" s="5"/>
      <c r="D689" s="5"/>
      <c r="E689" s="5"/>
    </row>
    <row r="690" ht="15.75" customHeight="1">
      <c r="A690" s="8"/>
      <c r="C690" s="5"/>
      <c r="D690" s="5"/>
      <c r="E690" s="5"/>
    </row>
    <row r="691" ht="15.75" customHeight="1">
      <c r="A691" s="8"/>
      <c r="C691" s="5"/>
      <c r="D691" s="5"/>
      <c r="E691" s="5"/>
    </row>
    <row r="692" ht="15.75" customHeight="1">
      <c r="A692" s="8"/>
      <c r="C692" s="5"/>
      <c r="D692" s="5"/>
      <c r="E692" s="5"/>
    </row>
    <row r="693" ht="15.75" customHeight="1">
      <c r="A693" s="8"/>
      <c r="C693" s="5"/>
      <c r="D693" s="5"/>
      <c r="E693" s="5"/>
    </row>
    <row r="694" ht="15.75" customHeight="1">
      <c r="A694" s="8"/>
      <c r="C694" s="5"/>
      <c r="D694" s="5"/>
      <c r="E694" s="5"/>
    </row>
    <row r="695" ht="15.75" customHeight="1">
      <c r="A695" s="8"/>
      <c r="C695" s="5"/>
      <c r="D695" s="5"/>
      <c r="E695" s="5"/>
    </row>
    <row r="696" ht="15.75" customHeight="1">
      <c r="A696" s="8"/>
      <c r="C696" s="5"/>
      <c r="D696" s="5"/>
      <c r="E696" s="5"/>
    </row>
    <row r="697" ht="15.75" customHeight="1">
      <c r="A697" s="8"/>
      <c r="C697" s="5"/>
      <c r="D697" s="5"/>
      <c r="E697" s="5"/>
    </row>
    <row r="698" ht="15.75" customHeight="1">
      <c r="A698" s="8"/>
      <c r="C698" s="5"/>
      <c r="D698" s="5"/>
      <c r="E698" s="5"/>
    </row>
    <row r="699" ht="15.75" customHeight="1">
      <c r="A699" s="8"/>
      <c r="C699" s="5"/>
      <c r="D699" s="5"/>
      <c r="E699" s="5"/>
    </row>
    <row r="700" ht="15.75" customHeight="1">
      <c r="A700" s="8"/>
      <c r="C700" s="5"/>
      <c r="D700" s="5"/>
      <c r="E700" s="5"/>
    </row>
    <row r="701" ht="15.75" customHeight="1">
      <c r="A701" s="8"/>
      <c r="C701" s="5"/>
      <c r="D701" s="5"/>
      <c r="E701" s="5"/>
    </row>
    <row r="702" ht="15.75" customHeight="1">
      <c r="A702" s="8"/>
      <c r="C702" s="5"/>
      <c r="D702" s="5"/>
      <c r="E702" s="5"/>
    </row>
    <row r="703" ht="15.75" customHeight="1">
      <c r="A703" s="8"/>
      <c r="C703" s="5"/>
      <c r="D703" s="5"/>
      <c r="E703" s="5"/>
    </row>
    <row r="704" ht="15.75" customHeight="1">
      <c r="A704" s="8"/>
      <c r="C704" s="5"/>
      <c r="D704" s="5"/>
      <c r="E704" s="5"/>
    </row>
    <row r="705" ht="15.75" customHeight="1">
      <c r="A705" s="8"/>
      <c r="C705" s="5"/>
      <c r="D705" s="5"/>
      <c r="E705" s="5"/>
    </row>
    <row r="706" ht="15.75" customHeight="1">
      <c r="A706" s="8"/>
      <c r="C706" s="5"/>
      <c r="D706" s="5"/>
      <c r="E706" s="5"/>
    </row>
    <row r="707" ht="15.75" customHeight="1">
      <c r="A707" s="8"/>
      <c r="C707" s="5"/>
      <c r="D707" s="5"/>
      <c r="E707" s="5"/>
    </row>
    <row r="708" ht="15.75" customHeight="1">
      <c r="A708" s="8"/>
      <c r="C708" s="5"/>
      <c r="D708" s="5"/>
      <c r="E708" s="5"/>
    </row>
    <row r="709" ht="15.75" customHeight="1">
      <c r="A709" s="8"/>
      <c r="C709" s="5"/>
      <c r="D709" s="5"/>
      <c r="E709" s="5"/>
    </row>
    <row r="710" ht="15.75" customHeight="1">
      <c r="A710" s="8"/>
      <c r="C710" s="5"/>
      <c r="D710" s="5"/>
      <c r="E710" s="5"/>
    </row>
    <row r="711" ht="15.75" customHeight="1">
      <c r="A711" s="8"/>
      <c r="C711" s="5"/>
      <c r="D711" s="5"/>
      <c r="E711" s="5"/>
    </row>
    <row r="712" ht="15.75" customHeight="1">
      <c r="A712" s="8"/>
      <c r="C712" s="5"/>
      <c r="D712" s="5"/>
      <c r="E712" s="5"/>
    </row>
    <row r="713" ht="15.75" customHeight="1">
      <c r="A713" s="8"/>
      <c r="C713" s="5"/>
      <c r="D713" s="5"/>
      <c r="E713" s="5"/>
    </row>
    <row r="714" ht="15.75" customHeight="1">
      <c r="A714" s="8"/>
      <c r="C714" s="5"/>
      <c r="D714" s="5"/>
      <c r="E714" s="5"/>
    </row>
    <row r="715" ht="15.75" customHeight="1">
      <c r="A715" s="8"/>
      <c r="C715" s="5"/>
      <c r="D715" s="5"/>
      <c r="E715" s="5"/>
    </row>
    <row r="716" ht="15.75" customHeight="1">
      <c r="A716" s="8"/>
      <c r="C716" s="5"/>
      <c r="D716" s="5"/>
      <c r="E716" s="5"/>
    </row>
    <row r="717" ht="15.75" customHeight="1">
      <c r="A717" s="8"/>
      <c r="C717" s="5"/>
      <c r="D717" s="5"/>
      <c r="E717" s="5"/>
    </row>
    <row r="718" ht="15.75" customHeight="1">
      <c r="A718" s="8"/>
      <c r="C718" s="5"/>
      <c r="D718" s="5"/>
      <c r="E718" s="5"/>
    </row>
    <row r="719" ht="15.75" customHeight="1">
      <c r="A719" s="8"/>
      <c r="C719" s="5"/>
      <c r="D719" s="5"/>
      <c r="E719" s="5"/>
    </row>
    <row r="720" ht="15.75" customHeight="1">
      <c r="A720" s="8"/>
      <c r="C720" s="5"/>
      <c r="D720" s="5"/>
      <c r="E720" s="5"/>
    </row>
    <row r="721" ht="15.75" customHeight="1">
      <c r="A721" s="8"/>
      <c r="C721" s="5"/>
      <c r="D721" s="5"/>
      <c r="E721" s="5"/>
    </row>
    <row r="722" ht="15.75" customHeight="1">
      <c r="A722" s="8"/>
      <c r="C722" s="5"/>
      <c r="D722" s="5"/>
      <c r="E722" s="5"/>
    </row>
    <row r="723" ht="15.75" customHeight="1">
      <c r="A723" s="8"/>
      <c r="C723" s="5"/>
      <c r="D723" s="5"/>
      <c r="E723" s="5"/>
    </row>
    <row r="724" ht="15.75" customHeight="1">
      <c r="A724" s="8"/>
      <c r="C724" s="5"/>
      <c r="D724" s="5"/>
      <c r="E724" s="5"/>
    </row>
    <row r="725" ht="15.75" customHeight="1">
      <c r="A725" s="8"/>
      <c r="C725" s="5"/>
      <c r="D725" s="5"/>
      <c r="E725" s="5"/>
    </row>
    <row r="726" ht="15.75" customHeight="1">
      <c r="A726" s="8"/>
      <c r="C726" s="5"/>
      <c r="D726" s="5"/>
      <c r="E726" s="5"/>
    </row>
    <row r="727" ht="15.75" customHeight="1">
      <c r="A727" s="8"/>
      <c r="C727" s="5"/>
      <c r="D727" s="5"/>
      <c r="E727" s="5"/>
    </row>
    <row r="728" ht="15.75" customHeight="1">
      <c r="A728" s="8"/>
      <c r="C728" s="5"/>
      <c r="D728" s="5"/>
      <c r="E728" s="5"/>
    </row>
    <row r="729" ht="15.75" customHeight="1">
      <c r="A729" s="8"/>
      <c r="C729" s="5"/>
      <c r="D729" s="5"/>
      <c r="E729" s="5"/>
    </row>
    <row r="730" ht="15.75" customHeight="1">
      <c r="A730" s="8"/>
      <c r="C730" s="5"/>
      <c r="D730" s="5"/>
      <c r="E730" s="5"/>
    </row>
    <row r="731" ht="15.75" customHeight="1">
      <c r="A731" s="8"/>
      <c r="C731" s="5"/>
      <c r="D731" s="5"/>
      <c r="E731" s="5"/>
    </row>
    <row r="732" ht="15.75" customHeight="1">
      <c r="A732" s="8"/>
      <c r="C732" s="5"/>
      <c r="D732" s="5"/>
      <c r="E732" s="5"/>
    </row>
    <row r="733" ht="15.75" customHeight="1">
      <c r="A733" s="8"/>
      <c r="C733" s="5"/>
      <c r="D733" s="5"/>
      <c r="E733" s="5"/>
    </row>
    <row r="734" ht="15.75" customHeight="1">
      <c r="A734" s="8"/>
      <c r="C734" s="5"/>
      <c r="D734" s="5"/>
      <c r="E734" s="5"/>
    </row>
    <row r="735" ht="15.75" customHeight="1">
      <c r="A735" s="8"/>
      <c r="C735" s="5"/>
      <c r="D735" s="5"/>
      <c r="E735" s="5"/>
    </row>
    <row r="736" ht="15.75" customHeight="1">
      <c r="A736" s="8"/>
      <c r="C736" s="5"/>
      <c r="D736" s="5"/>
      <c r="E736" s="5"/>
    </row>
    <row r="737" ht="15.75" customHeight="1">
      <c r="A737" s="8"/>
      <c r="C737" s="5"/>
      <c r="D737" s="5"/>
      <c r="E737" s="5"/>
    </row>
    <row r="738" ht="15.75" customHeight="1">
      <c r="A738" s="8"/>
      <c r="C738" s="5"/>
      <c r="D738" s="5"/>
      <c r="E738" s="5"/>
    </row>
    <row r="739" ht="15.75" customHeight="1">
      <c r="A739" s="8"/>
      <c r="C739" s="5"/>
      <c r="D739" s="5"/>
      <c r="E739" s="5"/>
    </row>
    <row r="740" ht="15.75" customHeight="1">
      <c r="A740" s="8"/>
      <c r="C740" s="5"/>
      <c r="D740" s="5"/>
      <c r="E740" s="5"/>
    </row>
    <row r="741" ht="15.75" customHeight="1">
      <c r="A741" s="8"/>
      <c r="C741" s="5"/>
      <c r="D741" s="5"/>
      <c r="E741" s="5"/>
    </row>
    <row r="742" ht="15.75" customHeight="1">
      <c r="A742" s="8"/>
      <c r="C742" s="5"/>
      <c r="D742" s="5"/>
      <c r="E742" s="5"/>
    </row>
    <row r="743" ht="15.75" customHeight="1">
      <c r="A743" s="8"/>
      <c r="C743" s="5"/>
      <c r="D743" s="5"/>
      <c r="E743" s="5"/>
    </row>
    <row r="744" ht="15.75" customHeight="1">
      <c r="A744" s="8"/>
      <c r="C744" s="5"/>
      <c r="D744" s="5"/>
      <c r="E744" s="5"/>
    </row>
    <row r="745" ht="15.75" customHeight="1">
      <c r="A745" s="8"/>
      <c r="C745" s="5"/>
      <c r="D745" s="5"/>
      <c r="E745" s="5"/>
    </row>
    <row r="746" ht="15.75" customHeight="1">
      <c r="A746" s="8"/>
      <c r="C746" s="5"/>
      <c r="D746" s="5"/>
      <c r="E746" s="5"/>
    </row>
    <row r="747" ht="15.75" customHeight="1">
      <c r="A747" s="8"/>
      <c r="C747" s="5"/>
      <c r="D747" s="5"/>
      <c r="E747" s="5"/>
    </row>
    <row r="748" ht="15.75" customHeight="1">
      <c r="A748" s="8"/>
      <c r="C748" s="5"/>
      <c r="D748" s="5"/>
      <c r="E748" s="5"/>
    </row>
    <row r="749" ht="15.75" customHeight="1">
      <c r="A749" s="8"/>
      <c r="C749" s="5"/>
      <c r="D749" s="5"/>
      <c r="E749" s="5"/>
    </row>
    <row r="750" ht="15.75" customHeight="1">
      <c r="A750" s="8"/>
      <c r="C750" s="5"/>
      <c r="D750" s="5"/>
      <c r="E750" s="5"/>
    </row>
    <row r="751" ht="15.75" customHeight="1">
      <c r="A751" s="8"/>
      <c r="C751" s="5"/>
      <c r="D751" s="5"/>
      <c r="E751" s="5"/>
    </row>
    <row r="752" ht="15.75" customHeight="1">
      <c r="A752" s="8"/>
      <c r="C752" s="5"/>
      <c r="D752" s="5"/>
      <c r="E752" s="5"/>
    </row>
    <row r="753" ht="15.75" customHeight="1">
      <c r="A753" s="8"/>
      <c r="C753" s="5"/>
      <c r="D753" s="5"/>
      <c r="E753" s="5"/>
    </row>
    <row r="754" ht="15.75" customHeight="1">
      <c r="A754" s="8"/>
      <c r="C754" s="5"/>
      <c r="D754" s="5"/>
      <c r="E754" s="5"/>
    </row>
    <row r="755" ht="15.75" customHeight="1">
      <c r="A755" s="8"/>
      <c r="C755" s="5"/>
      <c r="D755" s="5"/>
      <c r="E755" s="5"/>
    </row>
    <row r="756" ht="15.75" customHeight="1">
      <c r="A756" s="8"/>
      <c r="C756" s="5"/>
      <c r="D756" s="5"/>
      <c r="E756" s="5"/>
    </row>
    <row r="757" ht="15.75" customHeight="1">
      <c r="A757" s="8"/>
      <c r="C757" s="5"/>
      <c r="D757" s="5"/>
      <c r="E757" s="5"/>
    </row>
    <row r="758" ht="15.75" customHeight="1">
      <c r="A758" s="8"/>
      <c r="C758" s="5"/>
      <c r="D758" s="5"/>
      <c r="E758" s="5"/>
    </row>
    <row r="759" ht="15.75" customHeight="1">
      <c r="A759" s="8"/>
      <c r="C759" s="5"/>
      <c r="D759" s="5"/>
      <c r="E759" s="5"/>
    </row>
    <row r="760" ht="15.75" customHeight="1">
      <c r="A760" s="8"/>
      <c r="C760" s="5"/>
      <c r="D760" s="5"/>
      <c r="E760" s="5"/>
    </row>
    <row r="761" ht="15.75" customHeight="1">
      <c r="A761" s="8"/>
      <c r="C761" s="5"/>
      <c r="D761" s="5"/>
      <c r="E761" s="5"/>
    </row>
    <row r="762" ht="15.75" customHeight="1">
      <c r="A762" s="8"/>
      <c r="C762" s="5"/>
      <c r="D762" s="5"/>
      <c r="E762" s="5"/>
    </row>
    <row r="763" ht="15.75" customHeight="1">
      <c r="A763" s="8"/>
      <c r="C763" s="5"/>
      <c r="D763" s="5"/>
      <c r="E763" s="5"/>
    </row>
    <row r="764" ht="15.75" customHeight="1">
      <c r="A764" s="8"/>
      <c r="C764" s="5"/>
      <c r="D764" s="5"/>
      <c r="E764" s="5"/>
    </row>
    <row r="765" ht="15.75" customHeight="1">
      <c r="A765" s="8"/>
      <c r="C765" s="5"/>
      <c r="D765" s="5"/>
      <c r="E765" s="5"/>
    </row>
    <row r="766" ht="15.75" customHeight="1">
      <c r="A766" s="8"/>
      <c r="C766" s="5"/>
      <c r="D766" s="5"/>
      <c r="E766" s="5"/>
    </row>
    <row r="767" ht="15.75" customHeight="1">
      <c r="A767" s="8"/>
      <c r="C767" s="5"/>
      <c r="D767" s="5"/>
      <c r="E767" s="5"/>
    </row>
    <row r="768" ht="15.75" customHeight="1">
      <c r="A768" s="8"/>
      <c r="C768" s="5"/>
      <c r="D768" s="5"/>
      <c r="E768" s="5"/>
    </row>
    <row r="769" ht="15.75" customHeight="1">
      <c r="A769" s="8"/>
      <c r="C769" s="5"/>
      <c r="D769" s="5"/>
      <c r="E769" s="5"/>
    </row>
    <row r="770" ht="15.75" customHeight="1">
      <c r="A770" s="8"/>
      <c r="C770" s="5"/>
      <c r="D770" s="5"/>
      <c r="E770" s="5"/>
    </row>
    <row r="771" ht="15.75" customHeight="1">
      <c r="A771" s="8"/>
      <c r="C771" s="5"/>
      <c r="D771" s="5"/>
      <c r="E771" s="5"/>
    </row>
    <row r="772" ht="15.75" customHeight="1">
      <c r="A772" s="8"/>
      <c r="C772" s="5"/>
      <c r="D772" s="5"/>
      <c r="E772" s="5"/>
    </row>
    <row r="773" ht="15.75" customHeight="1">
      <c r="A773" s="8"/>
      <c r="C773" s="5"/>
      <c r="D773" s="5"/>
      <c r="E773" s="5"/>
    </row>
    <row r="774" ht="15.75" customHeight="1">
      <c r="A774" s="8"/>
      <c r="C774" s="5"/>
      <c r="D774" s="5"/>
      <c r="E774" s="5"/>
    </row>
    <row r="775" ht="15.75" customHeight="1">
      <c r="A775" s="8"/>
      <c r="C775" s="5"/>
      <c r="D775" s="5"/>
      <c r="E775" s="5"/>
    </row>
    <row r="776" ht="15.75" customHeight="1">
      <c r="A776" s="8"/>
      <c r="C776" s="5"/>
      <c r="D776" s="5"/>
      <c r="E776" s="5"/>
    </row>
    <row r="777" ht="15.75" customHeight="1">
      <c r="A777" s="8"/>
      <c r="C777" s="5"/>
      <c r="D777" s="5"/>
      <c r="E777" s="5"/>
    </row>
    <row r="778" ht="15.75" customHeight="1">
      <c r="A778" s="8"/>
      <c r="C778" s="5"/>
      <c r="D778" s="5"/>
      <c r="E778" s="5"/>
    </row>
    <row r="779" ht="15.75" customHeight="1">
      <c r="A779" s="8"/>
      <c r="C779" s="5"/>
      <c r="D779" s="5"/>
      <c r="E779" s="5"/>
    </row>
    <row r="780" ht="15.75" customHeight="1">
      <c r="A780" s="8"/>
      <c r="C780" s="5"/>
      <c r="D780" s="5"/>
      <c r="E780" s="5"/>
    </row>
    <row r="781" ht="15.75" customHeight="1">
      <c r="A781" s="8"/>
      <c r="C781" s="5"/>
      <c r="D781" s="5"/>
      <c r="E781" s="5"/>
    </row>
    <row r="782" ht="15.75" customHeight="1">
      <c r="A782" s="8"/>
      <c r="C782" s="5"/>
      <c r="D782" s="5"/>
      <c r="E782" s="5"/>
    </row>
    <row r="783" ht="15.75" customHeight="1">
      <c r="A783" s="8"/>
      <c r="C783" s="5"/>
      <c r="D783" s="5"/>
      <c r="E783" s="5"/>
    </row>
    <row r="784" ht="15.75" customHeight="1">
      <c r="A784" s="8"/>
      <c r="C784" s="5"/>
      <c r="D784" s="5"/>
      <c r="E784" s="5"/>
    </row>
    <row r="785" ht="15.75" customHeight="1">
      <c r="A785" s="8"/>
      <c r="C785" s="5"/>
      <c r="D785" s="5"/>
      <c r="E785" s="5"/>
    </row>
    <row r="786" ht="15.75" customHeight="1">
      <c r="A786" s="8"/>
      <c r="C786" s="5"/>
      <c r="D786" s="5"/>
      <c r="E786" s="5"/>
    </row>
    <row r="787" ht="15.75" customHeight="1">
      <c r="A787" s="8"/>
      <c r="C787" s="5"/>
      <c r="D787" s="5"/>
      <c r="E787" s="5"/>
    </row>
    <row r="788" ht="15.75" customHeight="1">
      <c r="A788" s="8"/>
      <c r="C788" s="5"/>
      <c r="D788" s="5"/>
      <c r="E788" s="5"/>
    </row>
    <row r="789" ht="15.75" customHeight="1">
      <c r="A789" s="8"/>
      <c r="C789" s="5"/>
      <c r="D789" s="5"/>
      <c r="E789" s="5"/>
    </row>
    <row r="790" ht="15.75" customHeight="1">
      <c r="A790" s="8"/>
      <c r="C790" s="5"/>
      <c r="D790" s="5"/>
      <c r="E790" s="5"/>
    </row>
    <row r="791" ht="15.75" customHeight="1">
      <c r="A791" s="8"/>
      <c r="C791" s="5"/>
      <c r="D791" s="5"/>
      <c r="E791" s="5"/>
    </row>
    <row r="792" ht="15.75" customHeight="1">
      <c r="A792" s="8"/>
      <c r="C792" s="5"/>
      <c r="D792" s="5"/>
      <c r="E792" s="5"/>
    </row>
    <row r="793" ht="15.75" customHeight="1">
      <c r="A793" s="8"/>
      <c r="C793" s="5"/>
      <c r="D793" s="5"/>
      <c r="E793" s="5"/>
    </row>
    <row r="794" ht="15.75" customHeight="1">
      <c r="A794" s="8"/>
      <c r="C794" s="5"/>
      <c r="D794" s="5"/>
      <c r="E794" s="5"/>
    </row>
    <row r="795" ht="15.75" customHeight="1">
      <c r="A795" s="8"/>
      <c r="C795" s="5"/>
      <c r="D795" s="5"/>
      <c r="E795" s="5"/>
    </row>
    <row r="796" ht="15.75" customHeight="1">
      <c r="A796" s="8"/>
      <c r="C796" s="5"/>
      <c r="D796" s="5"/>
      <c r="E796" s="5"/>
    </row>
    <row r="797" ht="15.75" customHeight="1">
      <c r="A797" s="8"/>
      <c r="C797" s="5"/>
      <c r="D797" s="5"/>
      <c r="E797" s="5"/>
    </row>
    <row r="798" ht="15.75" customHeight="1">
      <c r="A798" s="8"/>
      <c r="C798" s="5"/>
      <c r="D798" s="5"/>
      <c r="E798" s="5"/>
    </row>
    <row r="799" ht="15.75" customHeight="1">
      <c r="A799" s="8"/>
      <c r="C799" s="5"/>
      <c r="D799" s="5"/>
      <c r="E799" s="5"/>
    </row>
    <row r="800" ht="15.75" customHeight="1">
      <c r="A800" s="8"/>
      <c r="C800" s="5"/>
      <c r="D800" s="5"/>
      <c r="E800" s="5"/>
    </row>
    <row r="801" ht="15.75" customHeight="1">
      <c r="A801" s="8"/>
      <c r="C801" s="5"/>
      <c r="D801" s="5"/>
      <c r="E801" s="5"/>
    </row>
    <row r="802" ht="15.75" customHeight="1">
      <c r="A802" s="8"/>
      <c r="C802" s="5"/>
      <c r="D802" s="5"/>
      <c r="E802" s="5"/>
    </row>
    <row r="803" ht="15.75" customHeight="1">
      <c r="A803" s="8"/>
      <c r="C803" s="5"/>
      <c r="D803" s="5"/>
      <c r="E803" s="5"/>
    </row>
    <row r="804" ht="15.75" customHeight="1">
      <c r="A804" s="8"/>
      <c r="C804" s="5"/>
      <c r="D804" s="5"/>
      <c r="E804" s="5"/>
    </row>
    <row r="805" ht="15.75" customHeight="1">
      <c r="A805" s="8"/>
      <c r="C805" s="5"/>
      <c r="D805" s="5"/>
      <c r="E805" s="5"/>
    </row>
    <row r="806" ht="15.75" customHeight="1">
      <c r="A806" s="8"/>
      <c r="C806" s="5"/>
      <c r="D806" s="5"/>
      <c r="E806" s="5"/>
    </row>
    <row r="807" ht="15.75" customHeight="1">
      <c r="A807" s="8"/>
      <c r="C807" s="5"/>
      <c r="D807" s="5"/>
      <c r="E807" s="5"/>
    </row>
    <row r="808" ht="15.75" customHeight="1">
      <c r="A808" s="8"/>
      <c r="C808" s="5"/>
      <c r="D808" s="5"/>
      <c r="E808" s="5"/>
    </row>
    <row r="809" ht="15.75" customHeight="1">
      <c r="A809" s="8"/>
      <c r="C809" s="5"/>
      <c r="D809" s="5"/>
      <c r="E809" s="5"/>
    </row>
    <row r="810" ht="15.75" customHeight="1">
      <c r="A810" s="8"/>
      <c r="C810" s="5"/>
      <c r="D810" s="5"/>
      <c r="E810" s="5"/>
    </row>
    <row r="811" ht="15.75" customHeight="1">
      <c r="A811" s="8"/>
      <c r="C811" s="5"/>
      <c r="D811" s="5"/>
      <c r="E811" s="5"/>
    </row>
    <row r="812" ht="15.75" customHeight="1">
      <c r="A812" s="8"/>
      <c r="C812" s="5"/>
      <c r="D812" s="5"/>
      <c r="E812" s="5"/>
    </row>
    <row r="813" ht="15.75" customHeight="1">
      <c r="A813" s="8"/>
      <c r="C813" s="5"/>
      <c r="D813" s="5"/>
      <c r="E813" s="5"/>
    </row>
    <row r="814" ht="15.75" customHeight="1">
      <c r="A814" s="8"/>
      <c r="C814" s="5"/>
      <c r="D814" s="5"/>
      <c r="E814" s="5"/>
    </row>
    <row r="815" ht="15.75" customHeight="1">
      <c r="A815" s="8"/>
      <c r="C815" s="5"/>
      <c r="D815" s="5"/>
      <c r="E815" s="5"/>
    </row>
    <row r="816" ht="15.75" customHeight="1">
      <c r="A816" s="8"/>
      <c r="C816" s="5"/>
      <c r="D816" s="5"/>
      <c r="E816" s="5"/>
    </row>
    <row r="817" ht="15.75" customHeight="1">
      <c r="A817" s="8"/>
      <c r="C817" s="5"/>
      <c r="D817" s="5"/>
      <c r="E817" s="5"/>
    </row>
    <row r="818" ht="15.75" customHeight="1">
      <c r="A818" s="8"/>
      <c r="C818" s="5"/>
      <c r="D818" s="5"/>
      <c r="E818" s="5"/>
    </row>
    <row r="819" ht="15.75" customHeight="1">
      <c r="A819" s="8"/>
      <c r="C819" s="5"/>
      <c r="D819" s="5"/>
      <c r="E819" s="5"/>
    </row>
    <row r="820" ht="15.75" customHeight="1">
      <c r="A820" s="8"/>
      <c r="C820" s="5"/>
      <c r="D820" s="5"/>
      <c r="E820" s="5"/>
    </row>
    <row r="821" ht="15.75" customHeight="1">
      <c r="A821" s="8"/>
      <c r="C821" s="5"/>
      <c r="D821" s="5"/>
      <c r="E821" s="5"/>
    </row>
    <row r="822" ht="15.75" customHeight="1">
      <c r="A822" s="8"/>
      <c r="C822" s="5"/>
      <c r="D822" s="5"/>
      <c r="E822" s="5"/>
    </row>
    <row r="823" ht="15.75" customHeight="1">
      <c r="A823" s="8"/>
      <c r="C823" s="5"/>
      <c r="D823" s="5"/>
      <c r="E823" s="5"/>
    </row>
    <row r="824" ht="15.75" customHeight="1">
      <c r="A824" s="8"/>
      <c r="C824" s="5"/>
      <c r="D824" s="5"/>
      <c r="E824" s="5"/>
    </row>
    <row r="825" ht="15.75" customHeight="1">
      <c r="A825" s="8"/>
      <c r="C825" s="5"/>
      <c r="D825" s="5"/>
      <c r="E825" s="5"/>
    </row>
    <row r="826" ht="15.75" customHeight="1">
      <c r="A826" s="8"/>
      <c r="C826" s="5"/>
      <c r="D826" s="5"/>
      <c r="E826" s="5"/>
    </row>
    <row r="827" ht="15.75" customHeight="1">
      <c r="A827" s="8"/>
      <c r="C827" s="5"/>
      <c r="D827" s="5"/>
      <c r="E827" s="5"/>
    </row>
    <row r="828" ht="15.75" customHeight="1">
      <c r="A828" s="8"/>
      <c r="C828" s="5"/>
      <c r="D828" s="5"/>
      <c r="E828" s="5"/>
    </row>
    <row r="829" ht="15.75" customHeight="1">
      <c r="A829" s="8"/>
      <c r="C829" s="5"/>
      <c r="D829" s="5"/>
      <c r="E829" s="5"/>
    </row>
    <row r="830" ht="15.75" customHeight="1">
      <c r="A830" s="8"/>
      <c r="C830" s="5"/>
      <c r="D830" s="5"/>
      <c r="E830" s="5"/>
    </row>
    <row r="831" ht="15.75" customHeight="1">
      <c r="A831" s="8"/>
      <c r="C831" s="5"/>
      <c r="D831" s="5"/>
      <c r="E831" s="5"/>
    </row>
    <row r="832" ht="15.75" customHeight="1">
      <c r="A832" s="8"/>
      <c r="C832" s="5"/>
      <c r="D832" s="5"/>
      <c r="E832" s="5"/>
    </row>
    <row r="833" ht="15.75" customHeight="1">
      <c r="A833" s="8"/>
      <c r="C833" s="5"/>
      <c r="D833" s="5"/>
      <c r="E833" s="5"/>
    </row>
    <row r="834" ht="15.75" customHeight="1">
      <c r="A834" s="8"/>
      <c r="C834" s="5"/>
      <c r="D834" s="5"/>
      <c r="E834" s="5"/>
    </row>
    <row r="835" ht="15.75" customHeight="1">
      <c r="A835" s="8"/>
      <c r="C835" s="5"/>
      <c r="D835" s="5"/>
      <c r="E835" s="5"/>
    </row>
    <row r="836" ht="15.75" customHeight="1">
      <c r="A836" s="8"/>
      <c r="C836" s="5"/>
      <c r="D836" s="5"/>
      <c r="E836" s="5"/>
    </row>
    <row r="837" ht="15.75" customHeight="1">
      <c r="A837" s="8"/>
      <c r="C837" s="5"/>
      <c r="D837" s="5"/>
      <c r="E837" s="5"/>
    </row>
    <row r="838" ht="15.75" customHeight="1">
      <c r="A838" s="8"/>
      <c r="C838" s="5"/>
      <c r="D838" s="5"/>
      <c r="E838" s="5"/>
    </row>
    <row r="839" ht="15.75" customHeight="1">
      <c r="A839" s="8"/>
      <c r="C839" s="5"/>
      <c r="D839" s="5"/>
      <c r="E839" s="5"/>
    </row>
    <row r="840" ht="15.75" customHeight="1">
      <c r="A840" s="8"/>
      <c r="C840" s="5"/>
      <c r="D840" s="5"/>
      <c r="E840" s="5"/>
    </row>
    <row r="841" ht="15.75" customHeight="1">
      <c r="A841" s="8"/>
      <c r="C841" s="5"/>
      <c r="D841" s="5"/>
      <c r="E841" s="5"/>
    </row>
    <row r="842" ht="15.75" customHeight="1">
      <c r="A842" s="8"/>
      <c r="C842" s="5"/>
      <c r="D842" s="5"/>
      <c r="E842" s="5"/>
    </row>
    <row r="843" ht="15.75" customHeight="1">
      <c r="A843" s="8"/>
      <c r="C843" s="5"/>
      <c r="D843" s="5"/>
      <c r="E843" s="5"/>
    </row>
    <row r="844" ht="15.75" customHeight="1">
      <c r="A844" s="8"/>
      <c r="C844" s="5"/>
      <c r="D844" s="5"/>
      <c r="E844" s="5"/>
    </row>
    <row r="845" ht="15.75" customHeight="1">
      <c r="A845" s="8"/>
      <c r="C845" s="5"/>
      <c r="D845" s="5"/>
      <c r="E845" s="5"/>
    </row>
    <row r="846" ht="15.75" customHeight="1">
      <c r="A846" s="8"/>
      <c r="C846" s="5"/>
      <c r="D846" s="5"/>
      <c r="E846" s="5"/>
    </row>
    <row r="847" ht="15.75" customHeight="1">
      <c r="A847" s="8"/>
      <c r="C847" s="5"/>
      <c r="D847" s="5"/>
      <c r="E847" s="5"/>
    </row>
    <row r="848" ht="15.75" customHeight="1">
      <c r="A848" s="8"/>
      <c r="C848" s="5"/>
      <c r="D848" s="5"/>
      <c r="E848" s="5"/>
    </row>
    <row r="849" ht="15.75" customHeight="1">
      <c r="A849" s="8"/>
      <c r="C849" s="5"/>
      <c r="D849" s="5"/>
      <c r="E849" s="5"/>
    </row>
    <row r="850" ht="15.75" customHeight="1">
      <c r="A850" s="8"/>
      <c r="C850" s="5"/>
      <c r="D850" s="5"/>
      <c r="E850" s="5"/>
    </row>
    <row r="851" ht="15.75" customHeight="1">
      <c r="A851" s="8"/>
      <c r="C851" s="5"/>
      <c r="D851" s="5"/>
      <c r="E851" s="5"/>
    </row>
    <row r="852" ht="15.75" customHeight="1">
      <c r="A852" s="8"/>
      <c r="C852" s="5"/>
      <c r="D852" s="5"/>
      <c r="E852" s="5"/>
    </row>
    <row r="853" ht="15.75" customHeight="1">
      <c r="A853" s="8"/>
      <c r="C853" s="5"/>
      <c r="D853" s="5"/>
      <c r="E853" s="5"/>
    </row>
    <row r="854" ht="15.75" customHeight="1">
      <c r="A854" s="8"/>
      <c r="C854" s="5"/>
      <c r="D854" s="5"/>
      <c r="E854" s="5"/>
    </row>
    <row r="855" ht="15.75" customHeight="1">
      <c r="A855" s="8"/>
      <c r="C855" s="5"/>
      <c r="D855" s="5"/>
      <c r="E855" s="5"/>
    </row>
    <row r="856" ht="15.75" customHeight="1">
      <c r="A856" s="8"/>
      <c r="C856" s="5"/>
      <c r="D856" s="5"/>
      <c r="E856" s="5"/>
    </row>
    <row r="857" ht="15.75" customHeight="1">
      <c r="A857" s="8"/>
      <c r="C857" s="5"/>
      <c r="D857" s="5"/>
      <c r="E857" s="5"/>
    </row>
    <row r="858" ht="15.75" customHeight="1">
      <c r="A858" s="8"/>
      <c r="C858" s="5"/>
      <c r="D858" s="5"/>
      <c r="E858" s="5"/>
    </row>
    <row r="859" ht="15.75" customHeight="1">
      <c r="A859" s="8"/>
      <c r="C859" s="5"/>
      <c r="D859" s="5"/>
      <c r="E859" s="5"/>
    </row>
    <row r="860" ht="15.75" customHeight="1">
      <c r="A860" s="8"/>
      <c r="C860" s="5"/>
      <c r="D860" s="5"/>
      <c r="E860" s="5"/>
    </row>
    <row r="861" ht="15.75" customHeight="1">
      <c r="A861" s="8"/>
      <c r="C861" s="5"/>
      <c r="D861" s="5"/>
      <c r="E861" s="5"/>
    </row>
    <row r="862" ht="15.75" customHeight="1">
      <c r="A862" s="8"/>
      <c r="C862" s="5"/>
      <c r="D862" s="5"/>
      <c r="E862" s="5"/>
    </row>
    <row r="863" ht="15.75" customHeight="1">
      <c r="A863" s="8"/>
      <c r="C863" s="5"/>
      <c r="D863" s="5"/>
      <c r="E863" s="5"/>
    </row>
    <row r="864" ht="15.75" customHeight="1">
      <c r="A864" s="8"/>
      <c r="C864" s="5"/>
      <c r="D864" s="5"/>
      <c r="E864" s="5"/>
    </row>
    <row r="865" ht="15.75" customHeight="1">
      <c r="A865" s="8"/>
      <c r="C865" s="5"/>
      <c r="D865" s="5"/>
      <c r="E865" s="5"/>
    </row>
    <row r="866" ht="15.75" customHeight="1">
      <c r="A866" s="8"/>
      <c r="C866" s="5"/>
      <c r="D866" s="5"/>
      <c r="E866" s="5"/>
    </row>
    <row r="867" ht="15.75" customHeight="1">
      <c r="A867" s="8"/>
      <c r="C867" s="5"/>
      <c r="D867" s="5"/>
      <c r="E867" s="5"/>
    </row>
    <row r="868" ht="15.75" customHeight="1">
      <c r="A868" s="8"/>
      <c r="C868" s="5"/>
      <c r="D868" s="5"/>
      <c r="E868" s="5"/>
    </row>
    <row r="869" ht="15.75" customHeight="1">
      <c r="A869" s="8"/>
      <c r="C869" s="5"/>
      <c r="D869" s="5"/>
      <c r="E869" s="5"/>
    </row>
    <row r="870" ht="15.75" customHeight="1">
      <c r="A870" s="8"/>
      <c r="C870" s="5"/>
      <c r="D870" s="5"/>
      <c r="E870" s="5"/>
    </row>
    <row r="871" ht="15.75" customHeight="1">
      <c r="A871" s="8"/>
      <c r="C871" s="5"/>
      <c r="D871" s="5"/>
      <c r="E871" s="5"/>
    </row>
    <row r="872" ht="15.75" customHeight="1">
      <c r="A872" s="8"/>
      <c r="C872" s="5"/>
      <c r="D872" s="5"/>
      <c r="E872" s="5"/>
    </row>
    <row r="873" ht="15.75" customHeight="1">
      <c r="A873" s="8"/>
      <c r="C873" s="5"/>
      <c r="D873" s="5"/>
      <c r="E873" s="5"/>
    </row>
    <row r="874" ht="15.75" customHeight="1">
      <c r="A874" s="8"/>
      <c r="C874" s="5"/>
      <c r="D874" s="5"/>
      <c r="E874" s="5"/>
    </row>
    <row r="875" ht="15.75" customHeight="1">
      <c r="A875" s="8"/>
      <c r="C875" s="5"/>
      <c r="D875" s="5"/>
      <c r="E875" s="5"/>
    </row>
    <row r="876" ht="15.75" customHeight="1">
      <c r="A876" s="8"/>
      <c r="C876" s="5"/>
      <c r="D876" s="5"/>
      <c r="E876" s="5"/>
    </row>
    <row r="877" ht="15.75" customHeight="1">
      <c r="A877" s="8"/>
      <c r="C877" s="5"/>
      <c r="D877" s="5"/>
      <c r="E877" s="5"/>
    </row>
    <row r="878" ht="15.75" customHeight="1">
      <c r="A878" s="8"/>
      <c r="C878" s="5"/>
      <c r="D878" s="5"/>
      <c r="E878" s="5"/>
    </row>
    <row r="879" ht="15.75" customHeight="1">
      <c r="A879" s="8"/>
      <c r="C879" s="5"/>
      <c r="D879" s="5"/>
      <c r="E879" s="5"/>
    </row>
    <row r="880" ht="15.75" customHeight="1">
      <c r="A880" s="8"/>
      <c r="C880" s="5"/>
      <c r="D880" s="5"/>
      <c r="E880" s="5"/>
    </row>
    <row r="881" ht="15.75" customHeight="1">
      <c r="A881" s="8"/>
      <c r="C881" s="5"/>
      <c r="D881" s="5"/>
      <c r="E881" s="5"/>
    </row>
    <row r="882" ht="15.75" customHeight="1">
      <c r="A882" s="8"/>
      <c r="C882" s="5"/>
      <c r="D882" s="5"/>
      <c r="E882" s="5"/>
    </row>
    <row r="883" ht="15.75" customHeight="1">
      <c r="A883" s="8"/>
      <c r="C883" s="5"/>
      <c r="D883" s="5"/>
      <c r="E883" s="5"/>
    </row>
    <row r="884" ht="15.75" customHeight="1">
      <c r="A884" s="8"/>
      <c r="C884" s="5"/>
      <c r="D884" s="5"/>
      <c r="E884" s="5"/>
    </row>
    <row r="885" ht="15.75" customHeight="1">
      <c r="A885" s="8"/>
      <c r="C885" s="5"/>
      <c r="D885" s="5"/>
      <c r="E885" s="5"/>
    </row>
    <row r="886" ht="15.75" customHeight="1">
      <c r="A886" s="8"/>
      <c r="C886" s="5"/>
      <c r="D886" s="5"/>
      <c r="E886" s="5"/>
    </row>
    <row r="887" ht="15.75" customHeight="1">
      <c r="A887" s="8"/>
      <c r="C887" s="5"/>
      <c r="D887" s="5"/>
      <c r="E887" s="5"/>
    </row>
    <row r="888" ht="15.75" customHeight="1">
      <c r="A888" s="8"/>
      <c r="C888" s="5"/>
      <c r="D888" s="5"/>
      <c r="E888" s="5"/>
    </row>
    <row r="889" ht="15.75" customHeight="1">
      <c r="A889" s="8"/>
      <c r="C889" s="5"/>
      <c r="D889" s="5"/>
      <c r="E889" s="5"/>
    </row>
    <row r="890" ht="15.75" customHeight="1">
      <c r="A890" s="8"/>
      <c r="C890" s="5"/>
      <c r="D890" s="5"/>
      <c r="E890" s="5"/>
    </row>
    <row r="891" ht="15.75" customHeight="1">
      <c r="A891" s="8"/>
      <c r="C891" s="5"/>
      <c r="D891" s="5"/>
      <c r="E891" s="5"/>
    </row>
    <row r="892" ht="15.75" customHeight="1">
      <c r="A892" s="8"/>
      <c r="C892" s="5"/>
      <c r="D892" s="5"/>
      <c r="E892" s="5"/>
    </row>
    <row r="893" ht="15.75" customHeight="1">
      <c r="A893" s="8"/>
      <c r="C893" s="5"/>
      <c r="D893" s="5"/>
      <c r="E893" s="5"/>
    </row>
    <row r="894" ht="15.75" customHeight="1">
      <c r="A894" s="8"/>
      <c r="C894" s="5"/>
      <c r="D894" s="5"/>
      <c r="E894" s="5"/>
    </row>
    <row r="895" ht="15.75" customHeight="1">
      <c r="A895" s="8"/>
      <c r="C895" s="5"/>
      <c r="D895" s="5"/>
      <c r="E895" s="5"/>
    </row>
    <row r="896" ht="15.75" customHeight="1">
      <c r="A896" s="8"/>
      <c r="C896" s="5"/>
      <c r="D896" s="5"/>
      <c r="E896" s="5"/>
    </row>
    <row r="897" ht="15.75" customHeight="1">
      <c r="A897" s="8"/>
      <c r="C897" s="5"/>
      <c r="D897" s="5"/>
      <c r="E897" s="5"/>
    </row>
    <row r="898" ht="15.75" customHeight="1">
      <c r="A898" s="8"/>
      <c r="C898" s="5"/>
      <c r="D898" s="5"/>
      <c r="E898" s="5"/>
    </row>
    <row r="899" ht="15.75" customHeight="1">
      <c r="A899" s="8"/>
      <c r="C899" s="5"/>
      <c r="D899" s="5"/>
      <c r="E899" s="5"/>
    </row>
    <row r="900" ht="15.75" customHeight="1">
      <c r="A900" s="8"/>
      <c r="C900" s="5"/>
      <c r="D900" s="5"/>
      <c r="E900" s="5"/>
    </row>
    <row r="901" ht="15.75" customHeight="1">
      <c r="A901" s="8"/>
      <c r="C901" s="5"/>
      <c r="D901" s="5"/>
      <c r="E901" s="5"/>
    </row>
    <row r="902" ht="15.75" customHeight="1">
      <c r="A902" s="8"/>
      <c r="C902" s="5"/>
      <c r="D902" s="5"/>
      <c r="E902" s="5"/>
    </row>
    <row r="903" ht="15.75" customHeight="1">
      <c r="A903" s="8"/>
      <c r="C903" s="5"/>
      <c r="D903" s="5"/>
      <c r="E903" s="5"/>
    </row>
    <row r="904" ht="15.75" customHeight="1">
      <c r="A904" s="8"/>
      <c r="C904" s="5"/>
      <c r="D904" s="5"/>
      <c r="E904" s="5"/>
    </row>
    <row r="905" ht="15.75" customHeight="1">
      <c r="A905" s="8"/>
      <c r="C905" s="5"/>
      <c r="D905" s="5"/>
      <c r="E905" s="5"/>
    </row>
    <row r="906" ht="15.75" customHeight="1">
      <c r="A906" s="8"/>
      <c r="C906" s="5"/>
      <c r="D906" s="5"/>
      <c r="E906" s="5"/>
    </row>
    <row r="907" ht="15.75" customHeight="1">
      <c r="A907" s="8"/>
      <c r="C907" s="5"/>
      <c r="D907" s="5"/>
      <c r="E907" s="5"/>
    </row>
    <row r="908" ht="15.75" customHeight="1">
      <c r="A908" s="8"/>
      <c r="C908" s="5"/>
      <c r="D908" s="5"/>
      <c r="E908" s="5"/>
    </row>
    <row r="909" ht="15.75" customHeight="1">
      <c r="A909" s="8"/>
      <c r="C909" s="5"/>
      <c r="D909" s="5"/>
      <c r="E909" s="5"/>
    </row>
    <row r="910" ht="15.75" customHeight="1">
      <c r="A910" s="8"/>
      <c r="C910" s="5"/>
      <c r="D910" s="5"/>
      <c r="E910" s="5"/>
    </row>
    <row r="911" ht="15.75" customHeight="1">
      <c r="A911" s="8"/>
      <c r="C911" s="5"/>
      <c r="D911" s="5"/>
      <c r="E911" s="5"/>
    </row>
    <row r="912" ht="15.75" customHeight="1">
      <c r="A912" s="8"/>
      <c r="C912" s="5"/>
      <c r="D912" s="5"/>
      <c r="E912" s="5"/>
    </row>
    <row r="913" ht="15.75" customHeight="1">
      <c r="A913" s="8"/>
      <c r="C913" s="5"/>
      <c r="D913" s="5"/>
      <c r="E913" s="5"/>
    </row>
    <row r="914" ht="15.75" customHeight="1">
      <c r="A914" s="8"/>
      <c r="C914" s="5"/>
      <c r="D914" s="5"/>
      <c r="E914" s="5"/>
    </row>
    <row r="915" ht="15.75" customHeight="1">
      <c r="A915" s="8"/>
      <c r="C915" s="5"/>
      <c r="D915" s="5"/>
      <c r="E915" s="5"/>
    </row>
    <row r="916" ht="15.75" customHeight="1">
      <c r="A916" s="8"/>
      <c r="C916" s="5"/>
      <c r="D916" s="5"/>
      <c r="E916" s="5"/>
    </row>
    <row r="917" ht="15.75" customHeight="1">
      <c r="A917" s="8"/>
      <c r="C917" s="5"/>
      <c r="D917" s="5"/>
      <c r="E917" s="5"/>
    </row>
    <row r="918" ht="15.75" customHeight="1">
      <c r="A918" s="8"/>
      <c r="C918" s="5"/>
      <c r="D918" s="5"/>
      <c r="E918" s="5"/>
    </row>
    <row r="919" ht="15.75" customHeight="1">
      <c r="A919" s="8"/>
      <c r="C919" s="5"/>
      <c r="D919" s="5"/>
      <c r="E919" s="5"/>
    </row>
    <row r="920" ht="15.75" customHeight="1">
      <c r="A920" s="8"/>
      <c r="C920" s="5"/>
      <c r="D920" s="5"/>
      <c r="E920" s="5"/>
    </row>
    <row r="921" ht="15.75" customHeight="1">
      <c r="A921" s="8"/>
      <c r="C921" s="5"/>
      <c r="D921" s="5"/>
      <c r="E921" s="5"/>
    </row>
    <row r="922" ht="15.75" customHeight="1">
      <c r="A922" s="8"/>
      <c r="C922" s="5"/>
      <c r="D922" s="5"/>
      <c r="E922" s="5"/>
    </row>
    <row r="923" ht="15.75" customHeight="1">
      <c r="A923" s="8"/>
      <c r="C923" s="5"/>
      <c r="D923" s="5"/>
      <c r="E923" s="5"/>
    </row>
    <row r="924" ht="15.75" customHeight="1">
      <c r="A924" s="8"/>
      <c r="C924" s="5"/>
      <c r="D924" s="5"/>
      <c r="E924" s="5"/>
    </row>
    <row r="925" ht="15.75" customHeight="1">
      <c r="A925" s="8"/>
      <c r="C925" s="5"/>
      <c r="D925" s="5"/>
      <c r="E925" s="5"/>
    </row>
    <row r="926" ht="15.75" customHeight="1">
      <c r="A926" s="8"/>
      <c r="C926" s="5"/>
      <c r="D926" s="5"/>
      <c r="E926" s="5"/>
    </row>
    <row r="927" ht="15.75" customHeight="1">
      <c r="A927" s="8"/>
      <c r="C927" s="5"/>
      <c r="D927" s="5"/>
      <c r="E927" s="5"/>
    </row>
    <row r="928" ht="15.75" customHeight="1">
      <c r="A928" s="8"/>
      <c r="C928" s="5"/>
      <c r="D928" s="5"/>
      <c r="E928" s="5"/>
    </row>
    <row r="929" ht="15.75" customHeight="1">
      <c r="A929" s="8"/>
      <c r="C929" s="5"/>
      <c r="D929" s="5"/>
      <c r="E929" s="5"/>
    </row>
    <row r="930" ht="15.75" customHeight="1">
      <c r="A930" s="8"/>
      <c r="C930" s="5"/>
      <c r="D930" s="5"/>
      <c r="E930" s="5"/>
    </row>
    <row r="931" ht="15.75" customHeight="1">
      <c r="A931" s="8"/>
      <c r="C931" s="5"/>
      <c r="D931" s="5"/>
      <c r="E931" s="5"/>
    </row>
    <row r="932" ht="15.75" customHeight="1">
      <c r="A932" s="8"/>
      <c r="C932" s="5"/>
      <c r="D932" s="5"/>
      <c r="E932" s="5"/>
    </row>
    <row r="933" ht="15.75" customHeight="1">
      <c r="A933" s="8"/>
      <c r="C933" s="5"/>
      <c r="D933" s="5"/>
      <c r="E933" s="5"/>
    </row>
    <row r="934" ht="15.75" customHeight="1">
      <c r="A934" s="8"/>
      <c r="C934" s="5"/>
      <c r="D934" s="5"/>
      <c r="E934" s="5"/>
    </row>
    <row r="935" ht="15.75" customHeight="1">
      <c r="A935" s="8"/>
      <c r="C935" s="5"/>
      <c r="D935" s="5"/>
      <c r="E935" s="5"/>
    </row>
    <row r="936" ht="15.75" customHeight="1">
      <c r="A936" s="8"/>
      <c r="C936" s="5"/>
      <c r="D936" s="5"/>
      <c r="E936" s="5"/>
    </row>
    <row r="937" ht="15.75" customHeight="1">
      <c r="A937" s="8"/>
      <c r="C937" s="5"/>
      <c r="D937" s="5"/>
      <c r="E937" s="5"/>
    </row>
    <row r="938" ht="15.75" customHeight="1">
      <c r="A938" s="8"/>
      <c r="C938" s="5"/>
      <c r="D938" s="5"/>
      <c r="E938" s="5"/>
    </row>
    <row r="939" ht="15.75" customHeight="1">
      <c r="A939" s="8"/>
      <c r="C939" s="5"/>
      <c r="D939" s="5"/>
      <c r="E939" s="5"/>
    </row>
    <row r="940" ht="15.75" customHeight="1">
      <c r="A940" s="8"/>
      <c r="C940" s="5"/>
      <c r="D940" s="5"/>
      <c r="E940" s="5"/>
    </row>
    <row r="941" ht="15.75" customHeight="1">
      <c r="A941" s="8"/>
      <c r="C941" s="5"/>
      <c r="D941" s="5"/>
      <c r="E941" s="5"/>
    </row>
    <row r="942" ht="15.75" customHeight="1">
      <c r="A942" s="8"/>
      <c r="C942" s="5"/>
      <c r="D942" s="5"/>
      <c r="E942" s="5"/>
    </row>
    <row r="943" ht="15.75" customHeight="1">
      <c r="A943" s="8"/>
      <c r="C943" s="5"/>
      <c r="D943" s="5"/>
      <c r="E943" s="5"/>
    </row>
    <row r="944" ht="15.75" customHeight="1">
      <c r="A944" s="8"/>
      <c r="C944" s="5"/>
      <c r="D944" s="5"/>
      <c r="E944" s="5"/>
    </row>
    <row r="945" ht="15.75" customHeight="1">
      <c r="A945" s="8"/>
      <c r="C945" s="5"/>
      <c r="D945" s="5"/>
      <c r="E945" s="5"/>
    </row>
    <row r="946" ht="15.75" customHeight="1">
      <c r="A946" s="8"/>
      <c r="C946" s="5"/>
      <c r="D946" s="5"/>
      <c r="E946" s="5"/>
    </row>
    <row r="947" ht="15.75" customHeight="1">
      <c r="A947" s="8"/>
      <c r="C947" s="5"/>
      <c r="D947" s="5"/>
      <c r="E947" s="5"/>
    </row>
    <row r="948" ht="15.75" customHeight="1">
      <c r="A948" s="8"/>
      <c r="C948" s="5"/>
      <c r="D948" s="5"/>
      <c r="E948" s="5"/>
    </row>
    <row r="949" ht="15.75" customHeight="1">
      <c r="A949" s="8"/>
      <c r="C949" s="5"/>
      <c r="D949" s="5"/>
      <c r="E949" s="5"/>
    </row>
    <row r="950" ht="15.75" customHeight="1">
      <c r="A950" s="8"/>
      <c r="C950" s="5"/>
      <c r="D950" s="5"/>
      <c r="E950" s="5"/>
    </row>
    <row r="951" ht="15.75" customHeight="1">
      <c r="A951" s="8"/>
      <c r="C951" s="5"/>
      <c r="D951" s="5"/>
      <c r="E951" s="5"/>
    </row>
    <row r="952" ht="15.75" customHeight="1">
      <c r="A952" s="8"/>
      <c r="C952" s="5"/>
      <c r="D952" s="5"/>
      <c r="E952" s="5"/>
    </row>
    <row r="953" ht="15.75" customHeight="1">
      <c r="A953" s="8"/>
      <c r="C953" s="5"/>
      <c r="D953" s="5"/>
      <c r="E953" s="5"/>
    </row>
    <row r="954" ht="15.75" customHeight="1">
      <c r="A954" s="8"/>
      <c r="C954" s="5"/>
      <c r="D954" s="5"/>
      <c r="E954" s="5"/>
    </row>
    <row r="955" ht="15.75" customHeight="1">
      <c r="A955" s="8"/>
      <c r="C955" s="5"/>
      <c r="D955" s="5"/>
      <c r="E955" s="5"/>
    </row>
    <row r="956" ht="15.75" customHeight="1">
      <c r="A956" s="8"/>
      <c r="C956" s="5"/>
      <c r="D956" s="5"/>
      <c r="E956" s="5"/>
    </row>
    <row r="957" ht="15.75" customHeight="1">
      <c r="A957" s="8"/>
      <c r="C957" s="5"/>
      <c r="D957" s="5"/>
      <c r="E957" s="5"/>
    </row>
    <row r="958" ht="15.75" customHeight="1">
      <c r="A958" s="8"/>
      <c r="C958" s="5"/>
      <c r="D958" s="5"/>
      <c r="E958" s="5"/>
    </row>
    <row r="959" ht="15.75" customHeight="1">
      <c r="A959" s="8"/>
      <c r="C959" s="5"/>
      <c r="D959" s="5"/>
      <c r="E959" s="5"/>
    </row>
    <row r="960" ht="15.75" customHeight="1">
      <c r="A960" s="8"/>
      <c r="C960" s="5"/>
      <c r="D960" s="5"/>
      <c r="E960" s="5"/>
    </row>
    <row r="961" ht="15.75" customHeight="1">
      <c r="A961" s="8"/>
      <c r="C961" s="5"/>
      <c r="D961" s="5"/>
      <c r="E961" s="5"/>
    </row>
    <row r="962" ht="15.75" customHeight="1">
      <c r="A962" s="8"/>
      <c r="C962" s="5"/>
      <c r="D962" s="5"/>
      <c r="E962" s="5"/>
    </row>
    <row r="963" ht="15.75" customHeight="1">
      <c r="A963" s="8"/>
      <c r="C963" s="5"/>
      <c r="D963" s="5"/>
      <c r="E963" s="5"/>
    </row>
    <row r="964" ht="15.75" customHeight="1">
      <c r="A964" s="8"/>
      <c r="C964" s="5"/>
      <c r="D964" s="5"/>
      <c r="E964" s="5"/>
    </row>
    <row r="965" ht="15.75" customHeight="1">
      <c r="A965" s="8"/>
      <c r="C965" s="5"/>
      <c r="D965" s="5"/>
      <c r="E965" s="5"/>
    </row>
    <row r="966" ht="15.75" customHeight="1">
      <c r="A966" s="8"/>
      <c r="C966" s="5"/>
      <c r="D966" s="5"/>
      <c r="E966" s="5"/>
    </row>
    <row r="967" ht="15.75" customHeight="1">
      <c r="A967" s="8"/>
      <c r="C967" s="5"/>
      <c r="D967" s="5"/>
      <c r="E967" s="5"/>
    </row>
    <row r="968" ht="15.75" customHeight="1">
      <c r="A968" s="8"/>
      <c r="C968" s="5"/>
      <c r="D968" s="5"/>
      <c r="E968" s="5"/>
    </row>
    <row r="969" ht="15.75" customHeight="1">
      <c r="A969" s="8"/>
      <c r="C969" s="5"/>
      <c r="D969" s="5"/>
      <c r="E969" s="5"/>
    </row>
    <row r="970" ht="15.75" customHeight="1">
      <c r="A970" s="8"/>
      <c r="C970" s="5"/>
      <c r="D970" s="5"/>
      <c r="E970" s="5"/>
    </row>
    <row r="971" ht="15.75" customHeight="1">
      <c r="A971" s="8"/>
      <c r="C971" s="5"/>
      <c r="D971" s="5"/>
      <c r="E971" s="5"/>
    </row>
    <row r="972" ht="15.75" customHeight="1">
      <c r="A972" s="8"/>
      <c r="C972" s="5"/>
      <c r="D972" s="5"/>
      <c r="E972" s="5"/>
    </row>
    <row r="973" ht="15.75" customHeight="1">
      <c r="A973" s="8"/>
      <c r="C973" s="5"/>
      <c r="D973" s="5"/>
      <c r="E973" s="5"/>
    </row>
    <row r="974" ht="15.75" customHeight="1">
      <c r="A974" s="8"/>
      <c r="C974" s="5"/>
      <c r="D974" s="5"/>
      <c r="E974" s="5"/>
    </row>
    <row r="975" ht="15.75" customHeight="1">
      <c r="A975" s="8"/>
      <c r="C975" s="5"/>
      <c r="D975" s="5"/>
      <c r="E975" s="5"/>
    </row>
    <row r="976" ht="15.75" customHeight="1">
      <c r="A976" s="8"/>
      <c r="C976" s="5"/>
      <c r="D976" s="5"/>
      <c r="E976" s="5"/>
    </row>
    <row r="977" ht="15.75" customHeight="1">
      <c r="A977" s="8"/>
      <c r="C977" s="5"/>
      <c r="D977" s="5"/>
      <c r="E977" s="5"/>
    </row>
    <row r="978" ht="15.75" customHeight="1">
      <c r="A978" s="8"/>
      <c r="C978" s="5"/>
      <c r="D978" s="5"/>
      <c r="E978" s="5"/>
    </row>
    <row r="979" ht="15.75" customHeight="1">
      <c r="A979" s="8"/>
      <c r="C979" s="5"/>
      <c r="D979" s="5"/>
      <c r="E979" s="5"/>
    </row>
    <row r="980" ht="15.75" customHeight="1">
      <c r="A980" s="8"/>
      <c r="C980" s="5"/>
      <c r="D980" s="5"/>
      <c r="E980" s="5"/>
    </row>
    <row r="981" ht="15.75" customHeight="1">
      <c r="A981" s="8"/>
      <c r="C981" s="5"/>
      <c r="D981" s="5"/>
      <c r="E981" s="5"/>
    </row>
    <row r="982" ht="15.75" customHeight="1">
      <c r="A982" s="8"/>
      <c r="C982" s="5"/>
      <c r="D982" s="5"/>
      <c r="E982" s="5"/>
    </row>
    <row r="983" ht="15.75" customHeight="1">
      <c r="A983" s="8"/>
      <c r="C983" s="5"/>
      <c r="D983" s="5"/>
      <c r="E983" s="5"/>
    </row>
    <row r="984" ht="15.75" customHeight="1">
      <c r="A984" s="8"/>
      <c r="C984" s="5"/>
      <c r="D984" s="5"/>
      <c r="E984" s="5"/>
    </row>
    <row r="985" ht="15.75" customHeight="1">
      <c r="A985" s="8"/>
      <c r="C985" s="5"/>
      <c r="D985" s="5"/>
      <c r="E985" s="5"/>
    </row>
    <row r="986" ht="15.75" customHeight="1">
      <c r="A986" s="8"/>
      <c r="C986" s="5"/>
      <c r="D986" s="5"/>
      <c r="E986" s="5"/>
    </row>
    <row r="987" ht="15.75" customHeight="1">
      <c r="A987" s="8"/>
      <c r="C987" s="5"/>
      <c r="D987" s="5"/>
      <c r="E987" s="5"/>
    </row>
    <row r="988" ht="15.75" customHeight="1">
      <c r="A988" s="8"/>
      <c r="C988" s="5"/>
      <c r="D988" s="5"/>
      <c r="E988" s="5"/>
    </row>
    <row r="989" ht="15.75" customHeight="1">
      <c r="A989" s="8"/>
      <c r="C989" s="5"/>
      <c r="D989" s="5"/>
      <c r="E989" s="5"/>
    </row>
    <row r="990" ht="15.75" customHeight="1">
      <c r="A990" s="8"/>
      <c r="C990" s="5"/>
      <c r="D990" s="5"/>
      <c r="E990" s="5"/>
    </row>
    <row r="991" ht="15.75" customHeight="1">
      <c r="A991" s="8"/>
      <c r="C991" s="5"/>
      <c r="D991" s="5"/>
      <c r="E991" s="5"/>
    </row>
    <row r="992" ht="15.75" customHeight="1">
      <c r="A992" s="8"/>
      <c r="C992" s="5"/>
      <c r="D992" s="5"/>
      <c r="E992" s="5"/>
    </row>
    <row r="993" ht="15.75" customHeight="1">
      <c r="A993" s="8"/>
      <c r="C993" s="5"/>
      <c r="D993" s="5"/>
      <c r="E993" s="5"/>
    </row>
    <row r="994" ht="15.75" customHeight="1">
      <c r="A994" s="8"/>
      <c r="C994" s="5"/>
      <c r="D994" s="5"/>
      <c r="E994" s="5"/>
    </row>
    <row r="995" ht="15.75" customHeight="1">
      <c r="A995" s="8"/>
      <c r="C995" s="5"/>
      <c r="D995" s="5"/>
      <c r="E995" s="5"/>
    </row>
    <row r="996" ht="15.75" customHeight="1">
      <c r="A996" s="8"/>
      <c r="C996" s="5"/>
      <c r="D996" s="5"/>
      <c r="E996" s="5"/>
    </row>
    <row r="997" ht="15.75" customHeight="1">
      <c r="A997" s="8"/>
      <c r="C997" s="5"/>
      <c r="D997" s="5"/>
      <c r="E997" s="5"/>
    </row>
    <row r="998" ht="15.75" customHeight="1">
      <c r="A998" s="8"/>
      <c r="C998" s="5"/>
      <c r="D998" s="5"/>
      <c r="E998" s="5"/>
    </row>
    <row r="999" ht="15.75" customHeight="1">
      <c r="A999" s="8"/>
      <c r="C999" s="5"/>
      <c r="D999" s="5"/>
      <c r="E999" s="5"/>
    </row>
    <row r="1000" ht="15.75" customHeight="1">
      <c r="A1000" s="8"/>
      <c r="C1000" s="5"/>
      <c r="D1000" s="5"/>
      <c r="E1000" s="5"/>
    </row>
  </sheetData>
  <autoFilter ref="$A$4:$I$323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73.11"/>
    <col customWidth="1" min="3" max="4" width="19.67"/>
    <col customWidth="1" min="5" max="5" width="20.67"/>
    <col customWidth="1" min="6" max="6" width="23.0"/>
    <col customWidth="1" min="7" max="7" width="39.78"/>
    <col customWidth="1" min="8" max="8" width="60.78"/>
    <col customWidth="1" min="9" max="9" width="31.67"/>
    <col customWidth="1" min="10" max="26" width="10.56"/>
  </cols>
  <sheetData>
    <row r="1" ht="15.75" customHeight="1">
      <c r="A1" s="2" t="s">
        <v>1</v>
      </c>
      <c r="B1" s="4" t="s">
        <v>7</v>
      </c>
      <c r="C1" s="7" t="s">
        <v>6</v>
      </c>
      <c r="D1" s="5" t="s">
        <v>6</v>
      </c>
      <c r="E1" s="7" t="s">
        <v>6</v>
      </c>
      <c r="F1" s="6" t="s">
        <v>6</v>
      </c>
      <c r="G1" s="6" t="s">
        <v>6</v>
      </c>
    </row>
    <row r="2" ht="15.75" customHeight="1">
      <c r="A2" s="2" t="s">
        <v>13</v>
      </c>
      <c r="C2" s="5" t="s">
        <v>6</v>
      </c>
      <c r="D2" s="5" t="s">
        <v>6</v>
      </c>
      <c r="E2" s="5" t="s">
        <v>6</v>
      </c>
      <c r="F2" s="5" t="s">
        <v>6</v>
      </c>
    </row>
    <row r="3" ht="15.75" customHeight="1">
      <c r="A3" s="8"/>
      <c r="C3" s="5"/>
      <c r="D3" s="5"/>
      <c r="E3" s="5"/>
    </row>
    <row r="4" ht="15.75" customHeight="1">
      <c r="A4" s="1" t="s">
        <v>10</v>
      </c>
      <c r="B4" s="9" t="s">
        <v>12</v>
      </c>
      <c r="C4" s="11"/>
      <c r="D4" s="11"/>
      <c r="E4" s="10">
        <v>6.7138113448E8</v>
      </c>
    </row>
    <row r="5" ht="15.75" customHeight="1">
      <c r="A5" s="8">
        <v>46025.0</v>
      </c>
      <c r="B5" s="14" t="s">
        <v>17</v>
      </c>
      <c r="C5" s="5">
        <v>0.0</v>
      </c>
      <c r="D5" s="5">
        <v>754980.0</v>
      </c>
      <c r="E5" s="5">
        <f t="shared" ref="E5:E873" si="1">E4-C5+D5</f>
        <v>672136114.5</v>
      </c>
      <c r="F5" s="14" t="s">
        <v>21</v>
      </c>
      <c r="G5" s="14" t="s">
        <v>23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8">
        <v>46027.0</v>
      </c>
      <c r="B6" s="14" t="s">
        <v>35</v>
      </c>
      <c r="C6" s="5">
        <v>0.0</v>
      </c>
      <c r="D6" s="5">
        <v>3146000.0</v>
      </c>
      <c r="E6" s="5">
        <f t="shared" si="1"/>
        <v>675282114.5</v>
      </c>
      <c r="F6" s="15" t="s">
        <v>21</v>
      </c>
      <c r="G6" s="15" t="s">
        <v>41</v>
      </c>
      <c r="H6" s="4" t="s">
        <v>42</v>
      </c>
      <c r="I6" s="4" t="s">
        <v>44</v>
      </c>
    </row>
    <row r="7" ht="15.75" customHeight="1">
      <c r="A7" s="8">
        <v>46030.0</v>
      </c>
      <c r="B7" s="14" t="s">
        <v>48</v>
      </c>
      <c r="C7" s="5">
        <v>140872.0</v>
      </c>
      <c r="D7" s="5">
        <v>0.0</v>
      </c>
      <c r="E7" s="5">
        <f t="shared" si="1"/>
        <v>675141242.5</v>
      </c>
      <c r="F7" s="15" t="s">
        <v>50</v>
      </c>
      <c r="G7" s="15" t="s">
        <v>51</v>
      </c>
      <c r="H7" s="4" t="s">
        <v>53</v>
      </c>
    </row>
    <row r="8" ht="15.75" customHeight="1">
      <c r="A8" s="8">
        <v>46030.0</v>
      </c>
      <c r="B8" s="14" t="s">
        <v>56</v>
      </c>
      <c r="C8" s="5">
        <v>183984.0</v>
      </c>
      <c r="D8" s="5">
        <v>0.0</v>
      </c>
      <c r="E8" s="5">
        <f t="shared" si="1"/>
        <v>674957258.5</v>
      </c>
      <c r="F8" s="15" t="s">
        <v>50</v>
      </c>
      <c r="G8" s="15" t="s">
        <v>51</v>
      </c>
      <c r="H8" s="4" t="s">
        <v>53</v>
      </c>
    </row>
    <row r="9" ht="15.75" customHeight="1">
      <c r="A9" s="8">
        <v>46030.0</v>
      </c>
      <c r="B9" s="14" t="s">
        <v>64</v>
      </c>
      <c r="C9" s="5">
        <v>140872.0</v>
      </c>
      <c r="D9" s="5">
        <v>0.0</v>
      </c>
      <c r="E9" s="5">
        <f t="shared" si="1"/>
        <v>674816386.5</v>
      </c>
      <c r="F9" s="15" t="s">
        <v>50</v>
      </c>
      <c r="G9" s="15" t="s">
        <v>51</v>
      </c>
      <c r="H9" s="4" t="s">
        <v>53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8">
        <v>46030.0</v>
      </c>
      <c r="B10" s="14" t="s">
        <v>74</v>
      </c>
      <c r="C10" s="5">
        <v>140872.0</v>
      </c>
      <c r="D10" s="5">
        <v>0.0</v>
      </c>
      <c r="E10" s="5">
        <f t="shared" si="1"/>
        <v>674675514.5</v>
      </c>
      <c r="F10" s="15" t="s">
        <v>50</v>
      </c>
      <c r="G10" s="15" t="s">
        <v>51</v>
      </c>
      <c r="H10" s="4" t="s">
        <v>53</v>
      </c>
    </row>
    <row r="11" ht="15.75" customHeight="1">
      <c r="A11" s="8">
        <v>46030.0</v>
      </c>
      <c r="B11" s="14" t="s">
        <v>82</v>
      </c>
      <c r="C11" s="5">
        <v>140872.0</v>
      </c>
      <c r="D11" s="5">
        <v>0.0</v>
      </c>
      <c r="E11" s="5">
        <f t="shared" si="1"/>
        <v>674534642.5</v>
      </c>
      <c r="F11" s="15" t="s">
        <v>50</v>
      </c>
      <c r="G11" s="15" t="s">
        <v>51</v>
      </c>
      <c r="H11" s="4" t="s">
        <v>53</v>
      </c>
    </row>
    <row r="12" ht="15.75" customHeight="1">
      <c r="A12" s="8">
        <v>46030.0</v>
      </c>
      <c r="B12" s="14" t="s">
        <v>91</v>
      </c>
      <c r="C12" s="5">
        <v>140872.0</v>
      </c>
      <c r="D12" s="5">
        <v>0.0</v>
      </c>
      <c r="E12" s="5">
        <f t="shared" si="1"/>
        <v>674393770.5</v>
      </c>
      <c r="F12" s="15" t="s">
        <v>50</v>
      </c>
      <c r="G12" s="15" t="s">
        <v>51</v>
      </c>
      <c r="H12" s="4" t="s">
        <v>53</v>
      </c>
    </row>
    <row r="13" ht="15.75" customHeight="1">
      <c r="A13" s="8">
        <v>46030.0</v>
      </c>
      <c r="B13" s="14" t="s">
        <v>97</v>
      </c>
      <c r="C13" s="5">
        <v>190145.0</v>
      </c>
      <c r="D13" s="5">
        <v>0.0</v>
      </c>
      <c r="E13" s="5">
        <f t="shared" si="1"/>
        <v>674203625.5</v>
      </c>
      <c r="F13" s="15" t="s">
        <v>50</v>
      </c>
      <c r="G13" s="15" t="s">
        <v>51</v>
      </c>
      <c r="H13" s="4" t="s">
        <v>53</v>
      </c>
    </row>
    <row r="14" ht="15.75" customHeight="1">
      <c r="A14" s="8">
        <v>46030.0</v>
      </c>
      <c r="B14" s="14" t="s">
        <v>103</v>
      </c>
      <c r="C14" s="5">
        <v>800000.0</v>
      </c>
      <c r="D14" s="5">
        <v>0.0</v>
      </c>
      <c r="E14" s="5">
        <f t="shared" si="1"/>
        <v>673403625.5</v>
      </c>
      <c r="F14" s="15" t="s">
        <v>58</v>
      </c>
      <c r="G14" s="15" t="s">
        <v>59</v>
      </c>
      <c r="H14" s="4" t="s">
        <v>100</v>
      </c>
    </row>
    <row r="15" ht="15.75" customHeight="1">
      <c r="A15" s="8">
        <v>46030.0</v>
      </c>
      <c r="B15" s="14" t="s">
        <v>110</v>
      </c>
      <c r="C15" s="5">
        <v>9245020.0</v>
      </c>
      <c r="D15" s="5">
        <v>0.0</v>
      </c>
      <c r="E15" s="5">
        <f t="shared" si="1"/>
        <v>664158605.5</v>
      </c>
      <c r="F15" s="15" t="s">
        <v>21</v>
      </c>
      <c r="G15" s="15" t="s">
        <v>116</v>
      </c>
    </row>
    <row r="16" ht="15.75" customHeight="1">
      <c r="A16" s="8">
        <v>46030.0</v>
      </c>
      <c r="B16" s="14" t="s">
        <v>118</v>
      </c>
      <c r="C16" s="5">
        <v>2500000.0</v>
      </c>
      <c r="D16" s="5">
        <v>0.0</v>
      </c>
      <c r="E16" s="5">
        <f t="shared" si="1"/>
        <v>661658605.5</v>
      </c>
      <c r="F16" s="15" t="s">
        <v>63</v>
      </c>
      <c r="G16" s="15" t="s">
        <v>124</v>
      </c>
      <c r="H16" s="4" t="s">
        <v>6</v>
      </c>
    </row>
    <row r="17" ht="15.75" customHeight="1">
      <c r="A17" s="8">
        <v>46031.0</v>
      </c>
      <c r="B17" s="14" t="s">
        <v>129</v>
      </c>
      <c r="C17" s="5">
        <v>6.7E7</v>
      </c>
      <c r="D17" s="5">
        <v>0.0</v>
      </c>
      <c r="E17" s="5">
        <f t="shared" si="1"/>
        <v>594658605.5</v>
      </c>
      <c r="F17" s="15" t="s">
        <v>18</v>
      </c>
      <c r="G17" s="15" t="s">
        <v>19</v>
      </c>
      <c r="H17" s="4" t="s">
        <v>134</v>
      </c>
    </row>
    <row r="18" ht="15.75" customHeight="1">
      <c r="A18" s="8">
        <v>46031.0</v>
      </c>
      <c r="B18" s="14" t="s">
        <v>137</v>
      </c>
      <c r="C18" s="5">
        <v>2500.0</v>
      </c>
      <c r="D18" s="5">
        <v>0.0</v>
      </c>
      <c r="E18" s="5">
        <f t="shared" si="1"/>
        <v>594656105.5</v>
      </c>
      <c r="F18" s="15" t="s">
        <v>43</v>
      </c>
      <c r="G18" s="15" t="s">
        <v>45</v>
      </c>
    </row>
    <row r="19" ht="15.75" customHeight="1">
      <c r="A19" s="8">
        <v>46031.0</v>
      </c>
      <c r="B19" s="14" t="s">
        <v>129</v>
      </c>
      <c r="C19" s="5">
        <v>1.75E8</v>
      </c>
      <c r="D19" s="5">
        <v>0.0</v>
      </c>
      <c r="E19" s="5">
        <f t="shared" si="1"/>
        <v>419656105.5</v>
      </c>
      <c r="F19" s="15" t="s">
        <v>18</v>
      </c>
      <c r="G19" s="15" t="s">
        <v>19</v>
      </c>
      <c r="H19" s="4" t="s">
        <v>134</v>
      </c>
    </row>
    <row r="20" ht="15.75" customHeight="1">
      <c r="A20" s="8">
        <v>46031.0</v>
      </c>
      <c r="B20" s="14" t="s">
        <v>137</v>
      </c>
      <c r="C20" s="5">
        <v>2500.0</v>
      </c>
      <c r="D20" s="5">
        <v>0.0</v>
      </c>
      <c r="E20" s="5">
        <f t="shared" si="1"/>
        <v>419653605.5</v>
      </c>
      <c r="F20" s="15" t="s">
        <v>43</v>
      </c>
      <c r="G20" s="15" t="s">
        <v>45</v>
      </c>
    </row>
    <row r="21" ht="15.75" customHeight="1">
      <c r="A21" s="8">
        <v>46031.0</v>
      </c>
      <c r="B21" s="14" t="s">
        <v>129</v>
      </c>
      <c r="C21" s="5">
        <v>1.0E8</v>
      </c>
      <c r="D21" s="5">
        <v>0.0</v>
      </c>
      <c r="E21" s="5">
        <f t="shared" si="1"/>
        <v>319653605.5</v>
      </c>
      <c r="F21" s="15" t="s">
        <v>18</v>
      </c>
      <c r="G21" s="15" t="s">
        <v>19</v>
      </c>
      <c r="H21" s="4" t="s">
        <v>134</v>
      </c>
    </row>
    <row r="22" ht="15.75" customHeight="1">
      <c r="A22" s="8">
        <v>46031.0</v>
      </c>
      <c r="B22" s="14" t="s">
        <v>137</v>
      </c>
      <c r="C22" s="5">
        <v>2500.0</v>
      </c>
      <c r="D22" s="5">
        <v>0.0</v>
      </c>
      <c r="E22" s="5">
        <f t="shared" si="1"/>
        <v>319651105.5</v>
      </c>
      <c r="F22" s="15" t="s">
        <v>43</v>
      </c>
      <c r="G22" s="15" t="s">
        <v>45</v>
      </c>
    </row>
    <row r="23" ht="15.75" customHeight="1">
      <c r="A23" s="8">
        <v>46036.0</v>
      </c>
      <c r="B23" s="14" t="s">
        <v>164</v>
      </c>
      <c r="C23" s="5">
        <f>3815000-C24+D25</f>
        <v>3500000</v>
      </c>
      <c r="D23" s="5">
        <v>0.0</v>
      </c>
      <c r="E23" s="5">
        <f t="shared" si="1"/>
        <v>316151105.5</v>
      </c>
      <c r="F23" s="15" t="s">
        <v>50</v>
      </c>
      <c r="G23" s="15" t="s">
        <v>178</v>
      </c>
      <c r="H23" s="4" t="s">
        <v>180</v>
      </c>
    </row>
    <row r="24" ht="15.75" customHeight="1">
      <c r="A24" s="8">
        <v>46036.0</v>
      </c>
      <c r="B24" s="14" t="s">
        <v>164</v>
      </c>
      <c r="C24" s="5">
        <v>385000.0</v>
      </c>
      <c r="D24" s="5">
        <v>0.0</v>
      </c>
      <c r="E24" s="5">
        <f t="shared" si="1"/>
        <v>315766105.5</v>
      </c>
      <c r="F24" s="4" t="s">
        <v>21</v>
      </c>
      <c r="G24" s="4" t="s">
        <v>184</v>
      </c>
      <c r="H24" s="4" t="s">
        <v>185</v>
      </c>
      <c r="I24" s="4" t="s">
        <v>6</v>
      </c>
    </row>
    <row r="25" ht="15.75" customHeight="1">
      <c r="A25" s="8">
        <v>46036.0</v>
      </c>
      <c r="B25" s="14" t="s">
        <v>164</v>
      </c>
      <c r="C25" s="5">
        <v>0.0</v>
      </c>
      <c r="D25" s="5">
        <v>70000.0</v>
      </c>
      <c r="E25" s="5">
        <f t="shared" si="1"/>
        <v>315836105.5</v>
      </c>
      <c r="F25" s="15" t="s">
        <v>21</v>
      </c>
      <c r="G25" s="15" t="s">
        <v>190</v>
      </c>
      <c r="H25" s="4" t="s">
        <v>191</v>
      </c>
      <c r="I25" s="4" t="s">
        <v>192</v>
      </c>
    </row>
    <row r="26" ht="15.75" customHeight="1">
      <c r="A26" s="8">
        <v>46036.0</v>
      </c>
      <c r="B26" s="14" t="s">
        <v>196</v>
      </c>
      <c r="C26" s="5">
        <v>3500000.0</v>
      </c>
      <c r="D26" s="5">
        <v>0.0</v>
      </c>
      <c r="E26" s="5">
        <f t="shared" si="1"/>
        <v>312336105.5</v>
      </c>
      <c r="F26" s="15" t="s">
        <v>18</v>
      </c>
      <c r="G26" s="15" t="s">
        <v>147</v>
      </c>
      <c r="H26" s="4" t="s">
        <v>178</v>
      </c>
    </row>
    <row r="27" ht="15.75" customHeight="1">
      <c r="A27" s="8">
        <v>46036.0</v>
      </c>
      <c r="B27" s="14" t="s">
        <v>196</v>
      </c>
      <c r="C27" s="5">
        <v>385000.0</v>
      </c>
      <c r="D27" s="5">
        <v>0.0</v>
      </c>
      <c r="E27" s="5">
        <f t="shared" si="1"/>
        <v>311951105.5</v>
      </c>
      <c r="F27" s="14" t="s">
        <v>18</v>
      </c>
      <c r="G27" s="14" t="s">
        <v>194</v>
      </c>
      <c r="H27" s="14" t="s">
        <v>195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8">
        <v>46036.0</v>
      </c>
      <c r="B28" s="14" t="s">
        <v>196</v>
      </c>
      <c r="C28" s="5">
        <v>0.0</v>
      </c>
      <c r="D28" s="5">
        <f>C26+C27-3815000</f>
        <v>70000</v>
      </c>
      <c r="E28" s="5">
        <f t="shared" si="1"/>
        <v>312021105.5</v>
      </c>
      <c r="F28" s="15" t="s">
        <v>21</v>
      </c>
      <c r="G28" s="15" t="s">
        <v>190</v>
      </c>
      <c r="H28" s="4" t="s">
        <v>191</v>
      </c>
      <c r="I28" s="4" t="s">
        <v>192</v>
      </c>
    </row>
    <row r="29" ht="15.75" customHeight="1">
      <c r="A29" s="8">
        <v>46036.0</v>
      </c>
      <c r="B29" s="14" t="s">
        <v>217</v>
      </c>
      <c r="C29" s="5">
        <v>3500000.0</v>
      </c>
      <c r="D29" s="5">
        <v>0.0</v>
      </c>
      <c r="E29" s="5">
        <f t="shared" si="1"/>
        <v>308521105.5</v>
      </c>
      <c r="F29" s="15" t="s">
        <v>18</v>
      </c>
      <c r="G29" s="15" t="s">
        <v>147</v>
      </c>
      <c r="H29" s="4" t="s">
        <v>178</v>
      </c>
    </row>
    <row r="30" ht="15.75" customHeight="1">
      <c r="A30" s="8">
        <v>46036.0</v>
      </c>
      <c r="B30" s="14" t="s">
        <v>222</v>
      </c>
      <c r="C30" s="5">
        <v>385000.0</v>
      </c>
      <c r="D30" s="5">
        <v>0.0</v>
      </c>
      <c r="E30" s="5">
        <f t="shared" si="1"/>
        <v>308136105.5</v>
      </c>
      <c r="F30" s="14" t="s">
        <v>18</v>
      </c>
      <c r="G30" s="14" t="s">
        <v>194</v>
      </c>
      <c r="H30" s="14" t="s">
        <v>195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8">
        <v>46036.0</v>
      </c>
      <c r="B31" s="14" t="s">
        <v>217</v>
      </c>
      <c r="C31" s="5">
        <v>0.0</v>
      </c>
      <c r="D31" s="5">
        <f>C29+C30-3815000</f>
        <v>70000</v>
      </c>
      <c r="E31" s="5">
        <f t="shared" si="1"/>
        <v>308206105.5</v>
      </c>
      <c r="F31" s="15" t="s">
        <v>21</v>
      </c>
      <c r="G31" s="15" t="s">
        <v>190</v>
      </c>
      <c r="H31" s="4" t="s">
        <v>191</v>
      </c>
      <c r="I31" s="4" t="s">
        <v>192</v>
      </c>
    </row>
    <row r="32" ht="15.75" customHeight="1">
      <c r="A32" s="8">
        <v>46036.0</v>
      </c>
      <c r="B32" s="14" t="s">
        <v>237</v>
      </c>
      <c r="C32" s="5">
        <f>5014000-C33+D34</f>
        <v>4600000</v>
      </c>
      <c r="D32" s="5">
        <v>0.0</v>
      </c>
      <c r="E32" s="5">
        <f t="shared" si="1"/>
        <v>303606105.5</v>
      </c>
      <c r="F32" s="15" t="s">
        <v>50</v>
      </c>
      <c r="G32" s="15" t="s">
        <v>245</v>
      </c>
      <c r="H32" s="4" t="s">
        <v>246</v>
      </c>
    </row>
    <row r="33" ht="15.75" customHeight="1">
      <c r="A33" s="8">
        <v>46036.0</v>
      </c>
      <c r="B33" s="14" t="s">
        <v>237</v>
      </c>
      <c r="C33" s="5">
        <v>506000.0</v>
      </c>
      <c r="D33" s="5"/>
      <c r="E33" s="5">
        <f t="shared" si="1"/>
        <v>303100105.5</v>
      </c>
      <c r="F33" s="4" t="s">
        <v>21</v>
      </c>
      <c r="G33" s="4" t="s">
        <v>184</v>
      </c>
      <c r="H33" s="4" t="s">
        <v>185</v>
      </c>
      <c r="I33" s="4" t="s">
        <v>6</v>
      </c>
    </row>
    <row r="34" ht="15.75" customHeight="1">
      <c r="A34" s="8">
        <v>46036.0</v>
      </c>
      <c r="B34" s="14" t="s">
        <v>237</v>
      </c>
      <c r="C34" s="5"/>
      <c r="D34" s="5">
        <v>92000.0</v>
      </c>
      <c r="E34" s="5">
        <f t="shared" si="1"/>
        <v>303192105.5</v>
      </c>
      <c r="F34" s="15" t="s">
        <v>21</v>
      </c>
      <c r="G34" s="15" t="s">
        <v>190</v>
      </c>
      <c r="H34" s="4" t="s">
        <v>191</v>
      </c>
      <c r="I34" s="4" t="s">
        <v>254</v>
      </c>
    </row>
    <row r="35" ht="15.75" customHeight="1">
      <c r="A35" s="8">
        <v>46036.0</v>
      </c>
      <c r="B35" s="14" t="s">
        <v>257</v>
      </c>
      <c r="C35" s="5">
        <v>1.0E7</v>
      </c>
      <c r="D35" s="5">
        <v>0.0</v>
      </c>
      <c r="E35" s="5">
        <f t="shared" si="1"/>
        <v>293192105.5</v>
      </c>
      <c r="F35" s="14" t="s">
        <v>58</v>
      </c>
      <c r="G35" s="14" t="s">
        <v>59</v>
      </c>
      <c r="H35" s="4" t="s">
        <v>188</v>
      </c>
    </row>
    <row r="36" ht="15.75" customHeight="1">
      <c r="A36" s="8">
        <v>46036.0</v>
      </c>
      <c r="B36" s="14" t="s">
        <v>265</v>
      </c>
      <c r="C36" s="5">
        <v>1686000.0</v>
      </c>
      <c r="D36" s="5">
        <v>0.0</v>
      </c>
      <c r="E36" s="5">
        <f t="shared" si="1"/>
        <v>291506105.5</v>
      </c>
      <c r="F36" s="14" t="s">
        <v>105</v>
      </c>
      <c r="G36" s="14" t="s">
        <v>270</v>
      </c>
      <c r="H36" s="4" t="s">
        <v>271</v>
      </c>
    </row>
    <row r="37" ht="15.75" customHeight="1">
      <c r="A37" s="8">
        <v>46036.0</v>
      </c>
      <c r="B37" s="14" t="s">
        <v>273</v>
      </c>
      <c r="C37" s="5">
        <v>460000.0</v>
      </c>
      <c r="D37" s="5">
        <v>0.0</v>
      </c>
      <c r="E37" s="5">
        <f t="shared" si="1"/>
        <v>291046105.5</v>
      </c>
      <c r="F37" s="15" t="s">
        <v>93</v>
      </c>
      <c r="G37" s="15" t="s">
        <v>93</v>
      </c>
      <c r="H37" s="4" t="s">
        <v>21</v>
      </c>
    </row>
    <row r="38" ht="15.75" customHeight="1">
      <c r="A38" s="8">
        <v>46042.0</v>
      </c>
      <c r="B38" s="14" t="s">
        <v>277</v>
      </c>
      <c r="C38" s="5">
        <v>1.0E7</v>
      </c>
      <c r="D38" s="5">
        <v>0.0</v>
      </c>
      <c r="E38" s="5">
        <f t="shared" si="1"/>
        <v>281046105.5</v>
      </c>
      <c r="F38" s="14" t="s">
        <v>58</v>
      </c>
      <c r="G38" s="14" t="s">
        <v>59</v>
      </c>
      <c r="H38" s="4" t="s">
        <v>188</v>
      </c>
    </row>
    <row r="39" ht="15.75" customHeight="1">
      <c r="A39" s="8">
        <v>46042.0</v>
      </c>
      <c r="B39" s="14" t="s">
        <v>286</v>
      </c>
      <c r="C39" s="5">
        <v>3000000.0</v>
      </c>
      <c r="D39" s="5">
        <v>0.0</v>
      </c>
      <c r="E39" s="5">
        <f t="shared" si="1"/>
        <v>278046105.5</v>
      </c>
      <c r="F39" s="14" t="s">
        <v>58</v>
      </c>
      <c r="G39" s="14" t="s">
        <v>59</v>
      </c>
      <c r="H39" s="4" t="s">
        <v>100</v>
      </c>
    </row>
    <row r="40" ht="15.75" customHeight="1">
      <c r="A40" s="8">
        <v>46042.0</v>
      </c>
      <c r="B40" s="14" t="s">
        <v>291</v>
      </c>
      <c r="C40" s="5">
        <v>4.299036E7</v>
      </c>
      <c r="D40" s="5">
        <v>0.0</v>
      </c>
      <c r="E40" s="5">
        <f t="shared" si="1"/>
        <v>235055745.5</v>
      </c>
      <c r="F40" s="14" t="s">
        <v>58</v>
      </c>
      <c r="G40" s="14" t="s">
        <v>59</v>
      </c>
      <c r="H40" s="4" t="s">
        <v>188</v>
      </c>
    </row>
    <row r="41" ht="15.75" customHeight="1">
      <c r="A41" s="8">
        <v>46042.0</v>
      </c>
      <c r="B41" s="14" t="s">
        <v>295</v>
      </c>
      <c r="C41" s="5">
        <f>3646661-C42</f>
        <v>3606984</v>
      </c>
      <c r="D41" s="5">
        <v>0.0</v>
      </c>
      <c r="E41" s="5">
        <f t="shared" si="1"/>
        <v>231448761.5</v>
      </c>
      <c r="F41" s="14" t="s">
        <v>58</v>
      </c>
      <c r="G41" s="14" t="s">
        <v>59</v>
      </c>
      <c r="H41" s="4" t="s">
        <v>100</v>
      </c>
    </row>
    <row r="42" ht="15.75" customHeight="1">
      <c r="A42" s="8">
        <v>46042.0</v>
      </c>
      <c r="B42" s="14" t="s">
        <v>295</v>
      </c>
      <c r="C42" s="5">
        <v>39677.0</v>
      </c>
      <c r="D42" s="5">
        <v>0.0</v>
      </c>
      <c r="E42" s="5">
        <f t="shared" si="1"/>
        <v>231409084.5</v>
      </c>
      <c r="F42" s="4" t="s">
        <v>21</v>
      </c>
      <c r="G42" s="4" t="s">
        <v>184</v>
      </c>
      <c r="H42" s="4" t="s">
        <v>185</v>
      </c>
      <c r="I42" s="4" t="s">
        <v>6</v>
      </c>
    </row>
    <row r="43" ht="15.75" customHeight="1">
      <c r="A43" s="8">
        <v>46044.0</v>
      </c>
      <c r="B43" s="14" t="s">
        <v>309</v>
      </c>
      <c r="C43" s="5">
        <v>6.5685E7</v>
      </c>
      <c r="D43" s="5">
        <v>0.0</v>
      </c>
      <c r="E43" s="5">
        <f t="shared" si="1"/>
        <v>165724084.5</v>
      </c>
      <c r="F43" s="14" t="s">
        <v>58</v>
      </c>
      <c r="G43" s="14" t="s">
        <v>59</v>
      </c>
      <c r="H43" s="4" t="s">
        <v>68</v>
      </c>
    </row>
    <row r="44" ht="15.75" customHeight="1">
      <c r="A44" s="8">
        <v>46044.0</v>
      </c>
      <c r="B44" s="14" t="s">
        <v>312</v>
      </c>
      <c r="C44" s="5">
        <v>1.2488E7</v>
      </c>
      <c r="D44" s="5">
        <v>0.0</v>
      </c>
      <c r="E44" s="5">
        <f t="shared" si="1"/>
        <v>153236084.5</v>
      </c>
      <c r="F44" s="14" t="s">
        <v>58</v>
      </c>
      <c r="G44" s="14" t="s">
        <v>59</v>
      </c>
      <c r="H44" s="4" t="s">
        <v>317</v>
      </c>
    </row>
    <row r="45" ht="15.75" customHeight="1">
      <c r="A45" s="8">
        <v>46044.0</v>
      </c>
      <c r="B45" s="14" t="s">
        <v>318</v>
      </c>
      <c r="C45" s="5">
        <v>1.63125E7</v>
      </c>
      <c r="D45" s="5">
        <v>0.0</v>
      </c>
      <c r="E45" s="5">
        <f t="shared" si="1"/>
        <v>136923584.5</v>
      </c>
      <c r="F45" s="14" t="s">
        <v>58</v>
      </c>
      <c r="G45" s="14" t="s">
        <v>59</v>
      </c>
      <c r="H45" s="4" t="s">
        <v>238</v>
      </c>
    </row>
    <row r="46" ht="15.75" customHeight="1">
      <c r="A46" s="8">
        <v>46044.0</v>
      </c>
      <c r="B46" s="14" t="s">
        <v>322</v>
      </c>
      <c r="C46" s="5">
        <v>2700000.0</v>
      </c>
      <c r="D46" s="5">
        <v>0.0</v>
      </c>
      <c r="E46" s="5">
        <f t="shared" si="1"/>
        <v>134223584.5</v>
      </c>
      <c r="F46" s="15" t="s">
        <v>18</v>
      </c>
      <c r="G46" s="15" t="s">
        <v>80</v>
      </c>
      <c r="H46" s="14" t="s">
        <v>324</v>
      </c>
    </row>
    <row r="47" ht="15.75" customHeight="1">
      <c r="A47" s="8">
        <v>46044.0</v>
      </c>
      <c r="B47" s="14" t="s">
        <v>327</v>
      </c>
      <c r="C47" s="5">
        <v>7928550.0</v>
      </c>
      <c r="D47" s="5">
        <v>0.0</v>
      </c>
      <c r="E47" s="5">
        <f t="shared" si="1"/>
        <v>126295034.5</v>
      </c>
      <c r="F47" s="14" t="s">
        <v>58</v>
      </c>
      <c r="G47" s="14" t="s">
        <v>59</v>
      </c>
      <c r="H47" s="4" t="s">
        <v>188</v>
      </c>
    </row>
    <row r="48" ht="15.75" customHeight="1">
      <c r="A48" s="8">
        <v>46044.0</v>
      </c>
      <c r="B48" s="14" t="s">
        <v>333</v>
      </c>
      <c r="C48" s="5">
        <f>5777000-C49</f>
        <v>5300000</v>
      </c>
      <c r="D48" s="5">
        <v>0.0</v>
      </c>
      <c r="E48" s="5">
        <f t="shared" si="1"/>
        <v>120995034.5</v>
      </c>
      <c r="F48" s="15" t="s">
        <v>50</v>
      </c>
      <c r="G48" s="15" t="s">
        <v>245</v>
      </c>
      <c r="H48" s="4" t="s">
        <v>340</v>
      </c>
    </row>
    <row r="49" ht="15.75" customHeight="1">
      <c r="A49" s="8">
        <v>46044.0</v>
      </c>
      <c r="B49" s="14" t="s">
        <v>333</v>
      </c>
      <c r="C49" s="5">
        <f>583000-106000</f>
        <v>477000</v>
      </c>
      <c r="D49" s="5">
        <v>0.0</v>
      </c>
      <c r="E49" s="5">
        <f t="shared" si="1"/>
        <v>120518034.5</v>
      </c>
      <c r="F49" s="14" t="s">
        <v>93</v>
      </c>
      <c r="G49" s="14" t="s">
        <v>93</v>
      </c>
      <c r="H49" s="14" t="s">
        <v>346</v>
      </c>
      <c r="I49" s="14" t="s">
        <v>6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8">
        <v>46050.0</v>
      </c>
      <c r="B50" s="14" t="s">
        <v>351</v>
      </c>
      <c r="C50" s="5">
        <v>7400000.0</v>
      </c>
      <c r="D50" s="5">
        <v>0.0</v>
      </c>
      <c r="E50" s="5">
        <f t="shared" si="1"/>
        <v>113118034.5</v>
      </c>
      <c r="F50" s="14" t="s">
        <v>58</v>
      </c>
      <c r="G50" s="14" t="s">
        <v>59</v>
      </c>
      <c r="H50" s="4" t="s">
        <v>238</v>
      </c>
    </row>
    <row r="51" ht="15.75" customHeight="1">
      <c r="A51" s="8">
        <v>46050.0</v>
      </c>
      <c r="B51" s="14" t="s">
        <v>356</v>
      </c>
      <c r="C51" s="5">
        <v>3200000.0</v>
      </c>
      <c r="D51" s="5">
        <v>0.0</v>
      </c>
      <c r="E51" s="5">
        <f t="shared" si="1"/>
        <v>109918034.5</v>
      </c>
      <c r="F51" s="14" t="s">
        <v>24</v>
      </c>
      <c r="G51" s="14" t="s">
        <v>125</v>
      </c>
      <c r="H51" s="4" t="s">
        <v>359</v>
      </c>
    </row>
    <row r="52" ht="15.75" customHeight="1">
      <c r="A52" s="8">
        <v>46050.0</v>
      </c>
      <c r="B52" s="14" t="s">
        <v>362</v>
      </c>
      <c r="C52" s="5">
        <v>8980000.0</v>
      </c>
      <c r="D52" s="5">
        <v>0.0</v>
      </c>
      <c r="E52" s="5">
        <f t="shared" si="1"/>
        <v>100938034.5</v>
      </c>
      <c r="F52" s="15" t="s">
        <v>18</v>
      </c>
      <c r="G52" s="15" t="s">
        <v>80</v>
      </c>
      <c r="H52" s="14" t="s">
        <v>324</v>
      </c>
    </row>
    <row r="53" ht="15.75" customHeight="1">
      <c r="A53" s="8">
        <v>46050.0</v>
      </c>
      <c r="B53" s="14" t="s">
        <v>367</v>
      </c>
      <c r="C53" s="5">
        <v>3100000.0</v>
      </c>
      <c r="D53" s="5">
        <v>0.0</v>
      </c>
      <c r="E53" s="5">
        <f t="shared" si="1"/>
        <v>97838034.48</v>
      </c>
      <c r="F53" s="15" t="s">
        <v>18</v>
      </c>
      <c r="G53" s="15" t="s">
        <v>80</v>
      </c>
      <c r="H53" s="14" t="s">
        <v>324</v>
      </c>
    </row>
    <row r="54" ht="15.75" customHeight="1">
      <c r="A54" s="8">
        <v>46050.0</v>
      </c>
      <c r="B54" s="14" t="s">
        <v>370</v>
      </c>
      <c r="C54" s="5">
        <v>6500000.0</v>
      </c>
      <c r="D54" s="5">
        <v>0.0</v>
      </c>
      <c r="E54" s="5">
        <f t="shared" si="1"/>
        <v>91338034.48</v>
      </c>
      <c r="F54" s="14" t="s">
        <v>58</v>
      </c>
      <c r="G54" s="14" t="s">
        <v>59</v>
      </c>
      <c r="H54" s="4" t="s">
        <v>238</v>
      </c>
    </row>
    <row r="55" ht="15.75" customHeight="1">
      <c r="A55" s="8">
        <v>46050.0</v>
      </c>
      <c r="B55" s="14" t="s">
        <v>374</v>
      </c>
      <c r="C55" s="5">
        <v>1.53E7</v>
      </c>
      <c r="D55" s="5">
        <v>0.0</v>
      </c>
      <c r="E55" s="5">
        <f t="shared" si="1"/>
        <v>76038034.48</v>
      </c>
      <c r="F55" s="14" t="s">
        <v>58</v>
      </c>
      <c r="G55" s="14" t="s">
        <v>59</v>
      </c>
      <c r="H55" s="4" t="s">
        <v>238</v>
      </c>
    </row>
    <row r="56" ht="15.75" customHeight="1">
      <c r="A56" s="8">
        <v>46050.0</v>
      </c>
      <c r="B56" s="14" t="s">
        <v>376</v>
      </c>
      <c r="C56" s="5">
        <f>940125-C57+D58</f>
        <v>862500</v>
      </c>
      <c r="D56" s="5">
        <v>0.0</v>
      </c>
      <c r="E56" s="5">
        <f t="shared" si="1"/>
        <v>75175534.48</v>
      </c>
      <c r="F56" s="15" t="s">
        <v>105</v>
      </c>
      <c r="G56" s="15" t="s">
        <v>380</v>
      </c>
    </row>
    <row r="57" ht="15.75" customHeight="1">
      <c r="A57" s="8">
        <v>46050.0</v>
      </c>
      <c r="B57" s="14" t="s">
        <v>376</v>
      </c>
      <c r="C57" s="5">
        <v>94875.0</v>
      </c>
      <c r="D57" s="5">
        <v>0.0</v>
      </c>
      <c r="E57" s="5">
        <f t="shared" si="1"/>
        <v>75080659.48</v>
      </c>
      <c r="F57" s="4" t="s">
        <v>21</v>
      </c>
      <c r="G57" s="4" t="s">
        <v>184</v>
      </c>
      <c r="H57" s="4" t="s">
        <v>185</v>
      </c>
      <c r="I57" s="4" t="s">
        <v>6</v>
      </c>
    </row>
    <row r="58" ht="15.75" customHeight="1">
      <c r="A58" s="8">
        <v>46050.0</v>
      </c>
      <c r="B58" s="14" t="s">
        <v>376</v>
      </c>
      <c r="C58" s="5">
        <v>0.0</v>
      </c>
      <c r="D58" s="5">
        <v>17250.0</v>
      </c>
      <c r="E58" s="5">
        <f t="shared" si="1"/>
        <v>75097909.48</v>
      </c>
      <c r="F58" s="15" t="s">
        <v>21</v>
      </c>
      <c r="G58" s="15" t="s">
        <v>190</v>
      </c>
      <c r="H58" s="4" t="s">
        <v>191</v>
      </c>
      <c r="I58" s="4" t="s">
        <v>385</v>
      </c>
    </row>
    <row r="59" ht="15.75" customHeight="1">
      <c r="A59" s="8">
        <v>46050.0</v>
      </c>
      <c r="B59" s="14" t="s">
        <v>387</v>
      </c>
      <c r="C59" s="5">
        <f>736486-C60+D61</f>
        <v>675676</v>
      </c>
      <c r="D59" s="5">
        <v>0.0</v>
      </c>
      <c r="E59" s="5">
        <f t="shared" si="1"/>
        <v>74422233.48</v>
      </c>
      <c r="F59" s="15" t="s">
        <v>50</v>
      </c>
      <c r="G59" s="15" t="s">
        <v>395</v>
      </c>
      <c r="H59" s="4" t="s">
        <v>180</v>
      </c>
    </row>
    <row r="60" ht="15.75" customHeight="1">
      <c r="A60" s="8">
        <v>46050.0</v>
      </c>
      <c r="B60" s="14" t="s">
        <v>387</v>
      </c>
      <c r="C60" s="5">
        <v>74324.0</v>
      </c>
      <c r="D60" s="5">
        <v>0.0</v>
      </c>
      <c r="E60" s="5">
        <f t="shared" si="1"/>
        <v>74347909.48</v>
      </c>
      <c r="F60" s="4" t="s">
        <v>21</v>
      </c>
      <c r="G60" s="4" t="s">
        <v>184</v>
      </c>
      <c r="H60" s="4" t="s">
        <v>185</v>
      </c>
      <c r="I60" s="4" t="s">
        <v>6</v>
      </c>
    </row>
    <row r="61" ht="15.75" customHeight="1">
      <c r="A61" s="8">
        <v>46050.0</v>
      </c>
      <c r="B61" s="14" t="s">
        <v>387</v>
      </c>
      <c r="C61" s="5">
        <v>0.0</v>
      </c>
      <c r="D61" s="5">
        <v>13514.0</v>
      </c>
      <c r="E61" s="5">
        <f t="shared" si="1"/>
        <v>74361423.48</v>
      </c>
      <c r="F61" s="15" t="s">
        <v>21</v>
      </c>
      <c r="G61" s="15" t="s">
        <v>190</v>
      </c>
      <c r="H61" s="4" t="s">
        <v>191</v>
      </c>
      <c r="I61" s="4" t="s">
        <v>401</v>
      </c>
    </row>
    <row r="62" ht="15.75" customHeight="1">
      <c r="A62" s="8">
        <v>46050.0</v>
      </c>
      <c r="B62" s="14" t="s">
        <v>403</v>
      </c>
      <c r="C62" s="5">
        <v>1.2942E7</v>
      </c>
      <c r="D62" s="5">
        <v>0.0</v>
      </c>
      <c r="E62" s="5">
        <f t="shared" si="1"/>
        <v>61419423.48</v>
      </c>
      <c r="F62" s="15" t="s">
        <v>18</v>
      </c>
      <c r="G62" s="15" t="s">
        <v>80</v>
      </c>
      <c r="H62" s="14" t="s">
        <v>324</v>
      </c>
    </row>
    <row r="63" ht="15.75" customHeight="1">
      <c r="A63" s="8">
        <v>46051.0</v>
      </c>
      <c r="B63" s="14" t="s">
        <v>407</v>
      </c>
      <c r="C63" s="5">
        <v>5500000.0</v>
      </c>
      <c r="D63" s="5">
        <v>0.0</v>
      </c>
      <c r="E63" s="5">
        <f t="shared" si="1"/>
        <v>55919423.48</v>
      </c>
      <c r="F63" s="15" t="s">
        <v>21</v>
      </c>
      <c r="G63" s="15" t="s">
        <v>184</v>
      </c>
      <c r="H63" s="4" t="s">
        <v>411</v>
      </c>
      <c r="I63" s="4" t="s">
        <v>412</v>
      </c>
    </row>
    <row r="64" ht="15.75" customHeight="1">
      <c r="A64" s="8">
        <v>46051.0</v>
      </c>
      <c r="B64" s="14" t="s">
        <v>414</v>
      </c>
      <c r="C64" s="5">
        <v>7000000.0</v>
      </c>
      <c r="D64" s="5">
        <v>0.0</v>
      </c>
      <c r="E64" s="5">
        <f t="shared" si="1"/>
        <v>48919423.48</v>
      </c>
      <c r="F64" s="15" t="s">
        <v>21</v>
      </c>
      <c r="G64" s="15" t="s">
        <v>184</v>
      </c>
      <c r="H64" s="4" t="s">
        <v>417</v>
      </c>
      <c r="I64" s="4" t="s">
        <v>44</v>
      </c>
    </row>
    <row r="65" ht="15.75" customHeight="1">
      <c r="A65" s="8">
        <v>46051.0</v>
      </c>
      <c r="B65" s="14" t="s">
        <v>418</v>
      </c>
      <c r="C65" s="5">
        <v>0.0</v>
      </c>
      <c r="D65" s="5">
        <v>2.5E8</v>
      </c>
      <c r="E65" s="5">
        <f t="shared" si="1"/>
        <v>298919423.5</v>
      </c>
      <c r="F65" s="15" t="s">
        <v>21</v>
      </c>
      <c r="G65" s="15" t="s">
        <v>190</v>
      </c>
    </row>
    <row r="66" ht="15.75" customHeight="1">
      <c r="A66" s="8">
        <v>46051.0</v>
      </c>
      <c r="B66" s="14" t="s">
        <v>418</v>
      </c>
      <c r="C66" s="5">
        <v>0.0</v>
      </c>
      <c r="D66" s="5">
        <v>2.5E8</v>
      </c>
      <c r="E66" s="5">
        <f t="shared" si="1"/>
        <v>548919423.5</v>
      </c>
      <c r="F66" s="15" t="s">
        <v>21</v>
      </c>
      <c r="G66" s="15" t="s">
        <v>190</v>
      </c>
    </row>
    <row r="67" ht="15.75" customHeight="1">
      <c r="A67" s="8">
        <v>46051.0</v>
      </c>
      <c r="B67" s="14" t="s">
        <v>424</v>
      </c>
      <c r="C67" s="5">
        <v>1.035E8</v>
      </c>
      <c r="D67" s="5">
        <v>0.0</v>
      </c>
      <c r="E67" s="5">
        <f t="shared" si="1"/>
        <v>445419423.5</v>
      </c>
      <c r="F67" s="15" t="s">
        <v>93</v>
      </c>
      <c r="G67" s="15" t="s">
        <v>93</v>
      </c>
      <c r="H67" s="4" t="s">
        <v>21</v>
      </c>
    </row>
    <row r="68" ht="15.75" customHeight="1">
      <c r="A68" s="8">
        <v>46051.0</v>
      </c>
      <c r="B68" s="14" t="s">
        <v>428</v>
      </c>
      <c r="C68" s="5">
        <v>2.1215E8</v>
      </c>
      <c r="D68" s="5">
        <v>0.0</v>
      </c>
      <c r="E68" s="5">
        <f t="shared" si="1"/>
        <v>233269423.5</v>
      </c>
      <c r="F68" s="15" t="s">
        <v>105</v>
      </c>
      <c r="G68" s="15" t="s">
        <v>193</v>
      </c>
    </row>
    <row r="69" ht="15.75" customHeight="1">
      <c r="A69" s="8">
        <v>46053.0</v>
      </c>
      <c r="B69" s="14" t="s">
        <v>429</v>
      </c>
      <c r="C69" s="5">
        <v>30000.0</v>
      </c>
      <c r="D69" s="5">
        <v>0.0</v>
      </c>
      <c r="E69" s="5">
        <f t="shared" si="1"/>
        <v>233239423.5</v>
      </c>
      <c r="F69" s="15" t="s">
        <v>43</v>
      </c>
      <c r="G69" s="15" t="s">
        <v>45</v>
      </c>
    </row>
    <row r="70" ht="15.75" customHeight="1">
      <c r="A70" s="8">
        <v>46056.0</v>
      </c>
      <c r="B70" s="14" t="s">
        <v>431</v>
      </c>
      <c r="C70" s="5">
        <v>66936.0</v>
      </c>
      <c r="D70" s="5">
        <v>0.0</v>
      </c>
      <c r="E70" s="5">
        <f t="shared" si="1"/>
        <v>233172487.5</v>
      </c>
      <c r="F70" s="15" t="s">
        <v>50</v>
      </c>
      <c r="G70" s="15" t="s">
        <v>51</v>
      </c>
      <c r="H70" s="4" t="s">
        <v>53</v>
      </c>
    </row>
    <row r="71" ht="15.75" customHeight="1">
      <c r="A71" s="8">
        <v>46056.0</v>
      </c>
      <c r="B71" s="14" t="s">
        <v>433</v>
      </c>
      <c r="C71" s="5">
        <v>66936.0</v>
      </c>
      <c r="D71" s="5">
        <v>0.0</v>
      </c>
      <c r="E71" s="5">
        <f t="shared" si="1"/>
        <v>233105551.5</v>
      </c>
      <c r="F71" s="15" t="s">
        <v>50</v>
      </c>
      <c r="G71" s="15" t="s">
        <v>51</v>
      </c>
      <c r="H71" s="4" t="s">
        <v>53</v>
      </c>
    </row>
    <row r="72" ht="15.75" customHeight="1">
      <c r="A72" s="8">
        <v>46056.0</v>
      </c>
      <c r="B72" s="14" t="s">
        <v>436</v>
      </c>
      <c r="C72" s="5">
        <v>66936.0</v>
      </c>
      <c r="D72" s="5">
        <v>0.0</v>
      </c>
      <c r="E72" s="5">
        <f t="shared" si="1"/>
        <v>233038615.5</v>
      </c>
      <c r="F72" s="15" t="s">
        <v>50</v>
      </c>
      <c r="G72" s="15" t="s">
        <v>51</v>
      </c>
      <c r="H72" s="4" t="s">
        <v>53</v>
      </c>
    </row>
    <row r="73" ht="15.75" customHeight="1">
      <c r="A73" s="8">
        <v>46056.0</v>
      </c>
      <c r="B73" s="14" t="s">
        <v>438</v>
      </c>
      <c r="C73" s="5">
        <v>70047.0</v>
      </c>
      <c r="D73" s="5">
        <v>0.0</v>
      </c>
      <c r="E73" s="5">
        <f t="shared" si="1"/>
        <v>232968568.5</v>
      </c>
      <c r="F73" s="15" t="s">
        <v>50</v>
      </c>
      <c r="G73" s="15" t="s">
        <v>51</v>
      </c>
      <c r="H73" s="4" t="s">
        <v>53</v>
      </c>
    </row>
    <row r="74" ht="15.75" customHeight="1">
      <c r="A74" s="8">
        <v>46056.0</v>
      </c>
      <c r="B74" s="14" t="s">
        <v>441</v>
      </c>
      <c r="C74" s="5">
        <v>66936.0</v>
      </c>
      <c r="D74" s="5">
        <v>0.0</v>
      </c>
      <c r="E74" s="5">
        <f t="shared" si="1"/>
        <v>232901632.5</v>
      </c>
      <c r="F74" s="15" t="s">
        <v>50</v>
      </c>
      <c r="G74" s="15" t="s">
        <v>51</v>
      </c>
      <c r="H74" s="4" t="s">
        <v>53</v>
      </c>
    </row>
    <row r="75" ht="15.75" customHeight="1">
      <c r="A75" s="8">
        <v>46056.0</v>
      </c>
      <c r="B75" s="14" t="s">
        <v>447</v>
      </c>
      <c r="C75" s="5">
        <v>66936.0</v>
      </c>
      <c r="D75" s="5">
        <v>0.0</v>
      </c>
      <c r="E75" s="5">
        <f t="shared" si="1"/>
        <v>232834696.5</v>
      </c>
      <c r="F75" s="15" t="s">
        <v>50</v>
      </c>
      <c r="G75" s="15" t="s">
        <v>51</v>
      </c>
      <c r="H75" s="4" t="s">
        <v>53</v>
      </c>
    </row>
    <row r="76" ht="15.75" customHeight="1">
      <c r="A76" s="8">
        <v>46056.0</v>
      </c>
      <c r="B76" s="14" t="s">
        <v>453</v>
      </c>
      <c r="C76" s="5">
        <v>80800.0</v>
      </c>
      <c r="D76" s="5">
        <v>0.0</v>
      </c>
      <c r="E76" s="5">
        <f t="shared" si="1"/>
        <v>232753896.5</v>
      </c>
      <c r="F76" s="15" t="s">
        <v>50</v>
      </c>
      <c r="G76" s="15" t="s">
        <v>51</v>
      </c>
      <c r="H76" s="4" t="s">
        <v>363</v>
      </c>
    </row>
    <row r="77" ht="15.75" customHeight="1">
      <c r="A77" s="8">
        <v>46057.0</v>
      </c>
      <c r="B77" s="14" t="s">
        <v>457</v>
      </c>
      <c r="C77" s="5">
        <v>0.0</v>
      </c>
      <c r="D77" s="5">
        <v>2.5E8</v>
      </c>
      <c r="E77" s="5">
        <f t="shared" si="1"/>
        <v>482753896.5</v>
      </c>
      <c r="F77" s="15" t="s">
        <v>21</v>
      </c>
      <c r="G77" s="15" t="s">
        <v>190</v>
      </c>
    </row>
    <row r="78" ht="15.75" customHeight="1">
      <c r="A78" s="8">
        <v>46057.0</v>
      </c>
      <c r="B78" s="14" t="s">
        <v>457</v>
      </c>
      <c r="C78" s="5">
        <v>0.0</v>
      </c>
      <c r="D78" s="5">
        <v>2.5E8</v>
      </c>
      <c r="E78" s="5">
        <f t="shared" si="1"/>
        <v>732753896.5</v>
      </c>
      <c r="F78" s="15" t="s">
        <v>21</v>
      </c>
      <c r="G78" s="15" t="s">
        <v>190</v>
      </c>
    </row>
    <row r="79" ht="15.75" customHeight="1">
      <c r="A79" s="8">
        <v>46057.0</v>
      </c>
      <c r="B79" s="14" t="s">
        <v>464</v>
      </c>
      <c r="C79" s="5">
        <v>1.0E7</v>
      </c>
      <c r="D79" s="5">
        <v>0.0</v>
      </c>
      <c r="E79" s="5">
        <f t="shared" si="1"/>
        <v>722753896.5</v>
      </c>
      <c r="F79" s="15" t="s">
        <v>58</v>
      </c>
      <c r="G79" s="15" t="s">
        <v>59</v>
      </c>
      <c r="H79" s="4" t="s">
        <v>332</v>
      </c>
    </row>
    <row r="80" ht="15.75" customHeight="1">
      <c r="A80" s="8">
        <v>46057.0</v>
      </c>
      <c r="B80" s="14" t="s">
        <v>469</v>
      </c>
      <c r="C80" s="5">
        <v>5000000.0</v>
      </c>
      <c r="D80" s="5">
        <v>0.0</v>
      </c>
      <c r="E80" s="5">
        <f t="shared" si="1"/>
        <v>717753896.5</v>
      </c>
      <c r="F80" s="15" t="s">
        <v>58</v>
      </c>
      <c r="G80" s="15" t="s">
        <v>59</v>
      </c>
      <c r="H80" s="4" t="s">
        <v>234</v>
      </c>
    </row>
    <row r="81" ht="15.75" customHeight="1">
      <c r="A81" s="8">
        <v>46057.0</v>
      </c>
      <c r="B81" s="14" t="s">
        <v>474</v>
      </c>
      <c r="C81" s="5">
        <v>5000000.0</v>
      </c>
      <c r="D81" s="5">
        <v>0.0</v>
      </c>
      <c r="E81" s="5">
        <f t="shared" si="1"/>
        <v>712753896.5</v>
      </c>
      <c r="F81" s="14" t="s">
        <v>58</v>
      </c>
      <c r="G81" s="14" t="s">
        <v>59</v>
      </c>
      <c r="H81" s="4" t="s">
        <v>238</v>
      </c>
    </row>
    <row r="82" ht="15.75" customHeight="1">
      <c r="A82" s="8">
        <v>46057.0</v>
      </c>
      <c r="B82" s="14" t="s">
        <v>480</v>
      </c>
      <c r="C82" s="5">
        <v>1.3871E7</v>
      </c>
      <c r="D82" s="5">
        <v>0.0</v>
      </c>
      <c r="E82" s="5">
        <f t="shared" si="1"/>
        <v>698882896.5</v>
      </c>
      <c r="F82" s="15" t="s">
        <v>58</v>
      </c>
      <c r="G82" s="15" t="s">
        <v>59</v>
      </c>
      <c r="H82" s="4" t="s">
        <v>319</v>
      </c>
    </row>
    <row r="83" ht="15.75" customHeight="1">
      <c r="A83" s="8">
        <v>46057.0</v>
      </c>
      <c r="B83" s="14" t="s">
        <v>483</v>
      </c>
      <c r="C83" s="5">
        <v>1280000.0</v>
      </c>
      <c r="D83" s="5">
        <v>0.0</v>
      </c>
      <c r="E83" s="5">
        <f t="shared" si="1"/>
        <v>697602896.5</v>
      </c>
      <c r="F83" s="15" t="s">
        <v>58</v>
      </c>
      <c r="G83" s="15" t="s">
        <v>59</v>
      </c>
      <c r="H83" s="4" t="s">
        <v>319</v>
      </c>
    </row>
    <row r="84" ht="15.75" customHeight="1">
      <c r="A84" s="8">
        <v>46057.0</v>
      </c>
      <c r="B84" s="14" t="s">
        <v>487</v>
      </c>
      <c r="C84" s="5">
        <v>6.67434E7</v>
      </c>
      <c r="D84" s="5">
        <v>0.0</v>
      </c>
      <c r="E84" s="5">
        <f t="shared" si="1"/>
        <v>630859496.5</v>
      </c>
      <c r="F84" s="15" t="s">
        <v>58</v>
      </c>
      <c r="G84" s="15" t="s">
        <v>59</v>
      </c>
      <c r="H84" s="4" t="s">
        <v>490</v>
      </c>
    </row>
    <row r="85" ht="15.75" customHeight="1">
      <c r="A85" s="8">
        <v>46057.0</v>
      </c>
      <c r="B85" s="14" t="s">
        <v>491</v>
      </c>
      <c r="C85" s="5">
        <v>1.54E7</v>
      </c>
      <c r="D85" s="5">
        <v>0.0</v>
      </c>
      <c r="E85" s="5">
        <f t="shared" si="1"/>
        <v>615459496.5</v>
      </c>
      <c r="F85" s="15" t="s">
        <v>58</v>
      </c>
      <c r="G85" s="15" t="s">
        <v>59</v>
      </c>
      <c r="H85" s="4" t="s">
        <v>319</v>
      </c>
    </row>
    <row r="86" ht="15.75" customHeight="1">
      <c r="A86" s="8">
        <v>46057.0</v>
      </c>
      <c r="B86" s="14" t="s">
        <v>496</v>
      </c>
      <c r="C86" s="5">
        <v>8100000.0</v>
      </c>
      <c r="D86" s="5">
        <v>0.0</v>
      </c>
      <c r="E86" s="5">
        <f t="shared" si="1"/>
        <v>607359496.5</v>
      </c>
      <c r="F86" s="15" t="s">
        <v>58</v>
      </c>
      <c r="G86" s="15" t="s">
        <v>59</v>
      </c>
      <c r="H86" s="4" t="s">
        <v>319</v>
      </c>
    </row>
    <row r="87" ht="15.75" customHeight="1">
      <c r="A87" s="8">
        <v>46057.0</v>
      </c>
      <c r="B87" s="14" t="s">
        <v>499</v>
      </c>
      <c r="C87" s="5">
        <v>2.33975E7</v>
      </c>
      <c r="D87" s="5">
        <v>0.0</v>
      </c>
      <c r="E87" s="5">
        <f t="shared" si="1"/>
        <v>583961996.5</v>
      </c>
      <c r="F87" s="15" t="s">
        <v>58</v>
      </c>
      <c r="G87" s="15" t="s">
        <v>59</v>
      </c>
      <c r="H87" s="4" t="s">
        <v>234</v>
      </c>
    </row>
    <row r="88" ht="15.75" customHeight="1">
      <c r="A88" s="8">
        <v>46057.0</v>
      </c>
      <c r="B88" s="14" t="s">
        <v>503</v>
      </c>
      <c r="C88" s="5">
        <v>6200000.0</v>
      </c>
      <c r="D88" s="5">
        <v>0.0</v>
      </c>
      <c r="E88" s="5">
        <f t="shared" si="1"/>
        <v>577761996.5</v>
      </c>
      <c r="F88" s="15" t="s">
        <v>58</v>
      </c>
      <c r="G88" s="15" t="s">
        <v>59</v>
      </c>
      <c r="H88" s="4" t="s">
        <v>490</v>
      </c>
    </row>
    <row r="89" ht="15.75" customHeight="1">
      <c r="A89" s="8">
        <v>46057.0</v>
      </c>
      <c r="B89" s="14" t="s">
        <v>507</v>
      </c>
      <c r="C89" s="5">
        <v>1.15E7</v>
      </c>
      <c r="D89" s="5">
        <v>0.0</v>
      </c>
      <c r="E89" s="5">
        <f t="shared" si="1"/>
        <v>566261996.5</v>
      </c>
      <c r="F89" s="15" t="s">
        <v>58</v>
      </c>
      <c r="G89" s="15" t="s">
        <v>59</v>
      </c>
      <c r="H89" s="4" t="s">
        <v>234</v>
      </c>
    </row>
    <row r="90" ht="15.75" customHeight="1">
      <c r="A90" s="8">
        <v>46057.0</v>
      </c>
      <c r="B90" s="14" t="s">
        <v>511</v>
      </c>
      <c r="C90" s="5">
        <v>4400000.0</v>
      </c>
      <c r="D90" s="5">
        <v>0.0</v>
      </c>
      <c r="E90" s="5">
        <f t="shared" si="1"/>
        <v>561861996.5</v>
      </c>
      <c r="F90" s="15" t="s">
        <v>58</v>
      </c>
      <c r="G90" s="15" t="s">
        <v>59</v>
      </c>
      <c r="H90" s="4" t="s">
        <v>234</v>
      </c>
    </row>
    <row r="91" ht="15.75" customHeight="1">
      <c r="A91" s="8">
        <v>46057.0</v>
      </c>
      <c r="B91" s="14" t="s">
        <v>515</v>
      </c>
      <c r="C91" s="5">
        <v>250000.0</v>
      </c>
      <c r="D91" s="5">
        <v>0.0</v>
      </c>
      <c r="E91" s="5">
        <f t="shared" si="1"/>
        <v>561611996.5</v>
      </c>
      <c r="F91" s="15" t="s">
        <v>50</v>
      </c>
      <c r="G91" s="15" t="s">
        <v>51</v>
      </c>
      <c r="H91" s="4" t="s">
        <v>518</v>
      </c>
    </row>
    <row r="92" ht="15.75" customHeight="1">
      <c r="A92" s="8">
        <v>46057.0</v>
      </c>
      <c r="B92" s="14" t="s">
        <v>519</v>
      </c>
      <c r="C92" s="5">
        <v>1.5E8</v>
      </c>
      <c r="D92" s="5">
        <v>0.0</v>
      </c>
      <c r="E92" s="5">
        <f t="shared" si="1"/>
        <v>411611996.5</v>
      </c>
      <c r="F92" s="15" t="s">
        <v>58</v>
      </c>
      <c r="G92" s="15" t="s">
        <v>59</v>
      </c>
      <c r="H92" s="4" t="s">
        <v>319</v>
      </c>
    </row>
    <row r="93" ht="15.75" customHeight="1">
      <c r="A93" s="8">
        <v>46057.0</v>
      </c>
      <c r="B93" s="14" t="s">
        <v>523</v>
      </c>
      <c r="C93" s="5">
        <v>3200000.0</v>
      </c>
      <c r="D93" s="5">
        <v>0.0</v>
      </c>
      <c r="E93" s="5">
        <f t="shared" si="1"/>
        <v>408411996.5</v>
      </c>
      <c r="F93" s="14" t="s">
        <v>24</v>
      </c>
      <c r="G93" s="14" t="s">
        <v>125</v>
      </c>
      <c r="H93" s="4" t="s">
        <v>359</v>
      </c>
    </row>
    <row r="94" ht="15.75" customHeight="1">
      <c r="A94" s="8">
        <v>46057.0</v>
      </c>
      <c r="B94" s="14" t="s">
        <v>529</v>
      </c>
      <c r="C94" s="5">
        <v>1.36725E7</v>
      </c>
      <c r="D94" s="5">
        <v>0.0</v>
      </c>
      <c r="E94" s="5">
        <f t="shared" si="1"/>
        <v>394739496.5</v>
      </c>
      <c r="F94" s="14" t="s">
        <v>58</v>
      </c>
      <c r="G94" s="14" t="s">
        <v>59</v>
      </c>
      <c r="H94" s="4" t="s">
        <v>238</v>
      </c>
    </row>
    <row r="95" ht="15.75" customHeight="1">
      <c r="A95" s="8">
        <v>46057.0</v>
      </c>
      <c r="B95" s="14" t="s">
        <v>534</v>
      </c>
      <c r="C95" s="5">
        <v>1.9E7</v>
      </c>
      <c r="D95" s="5">
        <v>0.0</v>
      </c>
      <c r="E95" s="5">
        <f t="shared" si="1"/>
        <v>375739496.5</v>
      </c>
      <c r="F95" s="15" t="s">
        <v>21</v>
      </c>
      <c r="G95" s="15" t="s">
        <v>184</v>
      </c>
      <c r="H95" s="4" t="s">
        <v>537</v>
      </c>
      <c r="I95" s="4" t="s">
        <v>539</v>
      </c>
    </row>
    <row r="96" ht="15.75" customHeight="1">
      <c r="A96" s="8">
        <v>46059.0</v>
      </c>
      <c r="B96" s="14" t="s">
        <v>540</v>
      </c>
      <c r="C96" s="5">
        <v>8250000.0</v>
      </c>
      <c r="D96" s="5">
        <v>0.0</v>
      </c>
      <c r="E96" s="5">
        <f t="shared" si="1"/>
        <v>367489496.5</v>
      </c>
      <c r="F96" s="15" t="s">
        <v>306</v>
      </c>
      <c r="G96" s="15" t="s">
        <v>307</v>
      </c>
      <c r="H96" s="4" t="s">
        <v>308</v>
      </c>
    </row>
    <row r="97" ht="15.75" customHeight="1">
      <c r="A97" s="8">
        <v>46059.0</v>
      </c>
      <c r="B97" s="14" t="s">
        <v>543</v>
      </c>
      <c r="C97" s="5">
        <v>9529674.0</v>
      </c>
      <c r="D97" s="5">
        <v>0.0</v>
      </c>
      <c r="E97" s="5">
        <f t="shared" si="1"/>
        <v>357959822.5</v>
      </c>
      <c r="F97" s="15" t="s">
        <v>21</v>
      </c>
      <c r="G97" s="15" t="s">
        <v>116</v>
      </c>
      <c r="H97" s="14"/>
    </row>
    <row r="98" ht="15.75" customHeight="1">
      <c r="A98" s="8">
        <v>46059.0</v>
      </c>
      <c r="B98" s="14" t="s">
        <v>547</v>
      </c>
      <c r="C98" s="5">
        <v>1.65E7</v>
      </c>
      <c r="D98" s="5">
        <v>0.0</v>
      </c>
      <c r="E98" s="5">
        <f t="shared" si="1"/>
        <v>341459822.5</v>
      </c>
      <c r="F98" s="15" t="s">
        <v>58</v>
      </c>
      <c r="G98" s="15" t="s">
        <v>59</v>
      </c>
      <c r="H98" s="4" t="s">
        <v>319</v>
      </c>
    </row>
    <row r="99" ht="15.75" customHeight="1">
      <c r="A99" s="8">
        <v>46059.0</v>
      </c>
      <c r="B99" s="14" t="s">
        <v>549</v>
      </c>
      <c r="C99" s="5">
        <v>6400000.0</v>
      </c>
      <c r="D99" s="5">
        <v>0.0</v>
      </c>
      <c r="E99" s="5">
        <f t="shared" si="1"/>
        <v>335059822.5</v>
      </c>
      <c r="F99" s="14" t="s">
        <v>24</v>
      </c>
      <c r="G99" s="14" t="s">
        <v>125</v>
      </c>
      <c r="H99" s="4" t="s">
        <v>359</v>
      </c>
      <c r="I99" s="14"/>
    </row>
    <row r="100" ht="15.75" customHeight="1">
      <c r="A100" s="8">
        <v>46062.0</v>
      </c>
      <c r="B100" s="14" t="s">
        <v>552</v>
      </c>
      <c r="C100" s="5">
        <v>0.0</v>
      </c>
      <c r="D100" s="5">
        <v>613000.0</v>
      </c>
      <c r="E100" s="5">
        <f t="shared" si="1"/>
        <v>335672822.5</v>
      </c>
      <c r="F100" s="15" t="s">
        <v>21</v>
      </c>
      <c r="G100" s="15" t="s">
        <v>41</v>
      </c>
      <c r="H100" s="4" t="s">
        <v>411</v>
      </c>
      <c r="I100" s="4" t="s">
        <v>412</v>
      </c>
    </row>
    <row r="101" ht="15.75" customHeight="1">
      <c r="A101" s="8">
        <v>46064.0</v>
      </c>
      <c r="B101" s="14" t="s">
        <v>557</v>
      </c>
      <c r="C101" s="5">
        <v>5000000.0</v>
      </c>
      <c r="D101" s="5">
        <v>0.0</v>
      </c>
      <c r="E101" s="5">
        <f t="shared" si="1"/>
        <v>330672822.5</v>
      </c>
      <c r="F101" s="15" t="s">
        <v>58</v>
      </c>
      <c r="G101" s="15" t="s">
        <v>59</v>
      </c>
      <c r="H101" s="4" t="s">
        <v>319</v>
      </c>
    </row>
    <row r="102" ht="15.75" customHeight="1">
      <c r="A102" s="8">
        <v>46064.0</v>
      </c>
      <c r="B102" s="14" t="s">
        <v>563</v>
      </c>
      <c r="C102" s="5">
        <v>1000000.0</v>
      </c>
      <c r="D102" s="5">
        <v>0.0</v>
      </c>
      <c r="E102" s="5">
        <f t="shared" si="1"/>
        <v>329672822.5</v>
      </c>
      <c r="F102" s="15" t="s">
        <v>58</v>
      </c>
      <c r="G102" s="15" t="s">
        <v>59</v>
      </c>
      <c r="H102" s="4" t="s">
        <v>226</v>
      </c>
    </row>
    <row r="103" ht="15.75" customHeight="1">
      <c r="A103" s="8">
        <v>46064.0</v>
      </c>
      <c r="B103" s="14" t="s">
        <v>566</v>
      </c>
      <c r="C103" s="5">
        <v>7942500.0</v>
      </c>
      <c r="D103" s="5">
        <v>0.0</v>
      </c>
      <c r="E103" s="5">
        <f t="shared" si="1"/>
        <v>321730322.5</v>
      </c>
      <c r="F103" s="15" t="s">
        <v>58</v>
      </c>
      <c r="G103" s="15" t="s">
        <v>59</v>
      </c>
      <c r="H103" s="4" t="s">
        <v>319</v>
      </c>
    </row>
    <row r="104" ht="15.75" customHeight="1">
      <c r="A104" s="8">
        <v>46064.0</v>
      </c>
      <c r="B104" s="14" t="s">
        <v>569</v>
      </c>
      <c r="C104" s="5">
        <v>5000000.0</v>
      </c>
      <c r="D104" s="5">
        <v>0.0</v>
      </c>
      <c r="E104" s="5">
        <f t="shared" si="1"/>
        <v>316730322.5</v>
      </c>
      <c r="F104" s="15" t="s">
        <v>21</v>
      </c>
      <c r="G104" s="15" t="s">
        <v>184</v>
      </c>
      <c r="H104" s="15" t="s">
        <v>571</v>
      </c>
      <c r="I104" s="4" t="s">
        <v>539</v>
      </c>
    </row>
    <row r="105" ht="15.75" customHeight="1">
      <c r="A105" s="8">
        <v>46064.0</v>
      </c>
      <c r="B105" s="14" t="s">
        <v>418</v>
      </c>
      <c r="C105" s="5">
        <v>0.0</v>
      </c>
      <c r="D105" s="5">
        <v>2.5E8</v>
      </c>
      <c r="E105" s="5">
        <f t="shared" si="1"/>
        <v>566730322.5</v>
      </c>
      <c r="F105" s="15" t="s">
        <v>21</v>
      </c>
      <c r="G105" s="14" t="s">
        <v>190</v>
      </c>
    </row>
    <row r="106" ht="15.75" customHeight="1">
      <c r="A106" s="8">
        <v>46064.0</v>
      </c>
      <c r="B106" s="14" t="s">
        <v>573</v>
      </c>
      <c r="C106" s="5">
        <v>4.93823232E8</v>
      </c>
      <c r="D106" s="5">
        <v>0.0</v>
      </c>
      <c r="E106" s="5">
        <f t="shared" si="1"/>
        <v>72907090.48</v>
      </c>
      <c r="F106" s="14" t="s">
        <v>58</v>
      </c>
      <c r="G106" s="14" t="s">
        <v>59</v>
      </c>
      <c r="H106" s="4" t="s">
        <v>458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8">
        <v>46064.0</v>
      </c>
      <c r="B107" s="14" t="s">
        <v>576</v>
      </c>
      <c r="C107" s="5">
        <v>35000.0</v>
      </c>
      <c r="D107" s="5">
        <v>0.0</v>
      </c>
      <c r="E107" s="5">
        <f t="shared" si="1"/>
        <v>72872090.48</v>
      </c>
      <c r="F107" s="15" t="s">
        <v>43</v>
      </c>
      <c r="G107" s="15" t="s">
        <v>45</v>
      </c>
    </row>
    <row r="108" ht="15.75" customHeight="1">
      <c r="A108" s="8">
        <v>46064.0</v>
      </c>
      <c r="B108" s="14" t="s">
        <v>578</v>
      </c>
      <c r="C108" s="5">
        <v>356592.0</v>
      </c>
      <c r="D108" s="5">
        <v>0.0</v>
      </c>
      <c r="E108" s="5">
        <f t="shared" si="1"/>
        <v>72515498.48</v>
      </c>
      <c r="F108" s="15" t="s">
        <v>43</v>
      </c>
      <c r="G108" s="15" t="s">
        <v>45</v>
      </c>
    </row>
    <row r="109" ht="15.75" customHeight="1">
      <c r="A109" s="8">
        <v>46064.0</v>
      </c>
      <c r="B109" s="14" t="s">
        <v>580</v>
      </c>
      <c r="C109" s="5">
        <v>0.0</v>
      </c>
      <c r="D109" s="5">
        <v>6.213E7</v>
      </c>
      <c r="E109" s="5">
        <f t="shared" si="1"/>
        <v>134645498.5</v>
      </c>
      <c r="F109" s="14" t="s">
        <v>75</v>
      </c>
      <c r="G109" s="14" t="s">
        <v>76</v>
      </c>
      <c r="H109" s="14" t="s">
        <v>266</v>
      </c>
      <c r="I109" s="16" t="s">
        <v>582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8">
        <v>46065.0</v>
      </c>
      <c r="B110" s="14" t="s">
        <v>584</v>
      </c>
      <c r="C110" s="5">
        <v>4.1708E7</v>
      </c>
      <c r="D110" s="5">
        <v>0.0</v>
      </c>
      <c r="E110" s="5">
        <f t="shared" si="1"/>
        <v>92937498.48</v>
      </c>
      <c r="F110" s="15" t="s">
        <v>58</v>
      </c>
      <c r="G110" s="15" t="s">
        <v>59</v>
      </c>
      <c r="H110" s="4" t="s">
        <v>317</v>
      </c>
    </row>
    <row r="111" ht="15.75" customHeight="1">
      <c r="A111" s="8">
        <v>46065.0</v>
      </c>
      <c r="B111" s="14" t="s">
        <v>585</v>
      </c>
      <c r="C111" s="5">
        <v>1.5585E7</v>
      </c>
      <c r="D111" s="5">
        <v>0.0</v>
      </c>
      <c r="E111" s="5">
        <f t="shared" si="1"/>
        <v>77352498.48</v>
      </c>
      <c r="F111" s="14" t="s">
        <v>58</v>
      </c>
      <c r="G111" s="14" t="s">
        <v>59</v>
      </c>
      <c r="H111" s="4" t="s">
        <v>238</v>
      </c>
    </row>
    <row r="112" ht="15.75" customHeight="1">
      <c r="A112" s="8">
        <v>46065.0</v>
      </c>
      <c r="B112" s="14" t="s">
        <v>586</v>
      </c>
      <c r="C112" s="5">
        <v>1.63125E7</v>
      </c>
      <c r="D112" s="5">
        <v>0.0</v>
      </c>
      <c r="E112" s="5">
        <f t="shared" si="1"/>
        <v>61039998.48</v>
      </c>
      <c r="F112" s="14" t="s">
        <v>58</v>
      </c>
      <c r="G112" s="14" t="s">
        <v>59</v>
      </c>
      <c r="H112" s="4" t="s">
        <v>238</v>
      </c>
    </row>
    <row r="113" ht="15.75" customHeight="1">
      <c r="A113" s="8">
        <v>46065.0</v>
      </c>
      <c r="B113" s="14" t="s">
        <v>587</v>
      </c>
      <c r="C113" s="5">
        <v>1500000.0</v>
      </c>
      <c r="D113" s="5">
        <v>0.0</v>
      </c>
      <c r="E113" s="5">
        <f t="shared" si="1"/>
        <v>59539998.48</v>
      </c>
      <c r="F113" s="15" t="s">
        <v>58</v>
      </c>
      <c r="G113" s="15" t="s">
        <v>59</v>
      </c>
      <c r="H113" s="4" t="s">
        <v>319</v>
      </c>
    </row>
    <row r="114" ht="15.75" customHeight="1">
      <c r="A114" s="8">
        <v>46065.0</v>
      </c>
      <c r="B114" s="14" t="s">
        <v>589</v>
      </c>
      <c r="C114" s="5">
        <v>2000000.0</v>
      </c>
      <c r="D114" s="5">
        <v>0.0</v>
      </c>
      <c r="E114" s="5">
        <f t="shared" si="1"/>
        <v>57539998.48</v>
      </c>
      <c r="F114" s="15" t="s">
        <v>58</v>
      </c>
      <c r="G114" s="15" t="s">
        <v>59</v>
      </c>
      <c r="H114" s="4" t="s">
        <v>319</v>
      </c>
    </row>
    <row r="115" ht="15.75" customHeight="1">
      <c r="A115" s="8">
        <v>46065.0</v>
      </c>
      <c r="B115" s="14" t="s">
        <v>591</v>
      </c>
      <c r="C115" s="5">
        <v>1.4E7</v>
      </c>
      <c r="D115" s="5">
        <v>0.0</v>
      </c>
      <c r="E115" s="5">
        <f t="shared" si="1"/>
        <v>43539998.48</v>
      </c>
      <c r="F115" s="15" t="s">
        <v>58</v>
      </c>
      <c r="G115" s="15" t="s">
        <v>59</v>
      </c>
      <c r="H115" s="4" t="s">
        <v>319</v>
      </c>
    </row>
    <row r="116" ht="15.75" customHeight="1">
      <c r="A116" s="8">
        <v>46065.0</v>
      </c>
      <c r="B116" s="14" t="s">
        <v>596</v>
      </c>
      <c r="C116" s="5">
        <v>1.9843658E7</v>
      </c>
      <c r="D116" s="5">
        <v>0.0</v>
      </c>
      <c r="E116" s="5">
        <f t="shared" si="1"/>
        <v>23696340.48</v>
      </c>
      <c r="F116" s="15" t="s">
        <v>105</v>
      </c>
      <c r="G116" s="15" t="s">
        <v>106</v>
      </c>
      <c r="H116" s="4" t="s">
        <v>72</v>
      </c>
    </row>
    <row r="117" ht="15.75" customHeight="1">
      <c r="A117" s="8">
        <v>46065.0</v>
      </c>
      <c r="B117" s="14" t="s">
        <v>418</v>
      </c>
      <c r="C117" s="5">
        <v>0.0</v>
      </c>
      <c r="D117" s="5">
        <v>2.5E8</v>
      </c>
      <c r="E117" s="5">
        <f t="shared" si="1"/>
        <v>273696340.5</v>
      </c>
      <c r="F117" s="15" t="s">
        <v>21</v>
      </c>
      <c r="G117" s="14" t="s">
        <v>190</v>
      </c>
    </row>
    <row r="118" ht="15.75" customHeight="1">
      <c r="A118" s="8">
        <v>46065.0</v>
      </c>
      <c r="B118" s="14" t="s">
        <v>418</v>
      </c>
      <c r="C118" s="5">
        <v>0.0</v>
      </c>
      <c r="D118" s="5">
        <v>2.5E8</v>
      </c>
      <c r="E118" s="5">
        <f t="shared" si="1"/>
        <v>523696340.5</v>
      </c>
      <c r="F118" s="15" t="s">
        <v>21</v>
      </c>
      <c r="G118" s="14" t="s">
        <v>190</v>
      </c>
    </row>
    <row r="119" ht="15.75" customHeight="1">
      <c r="A119" s="8">
        <v>46065.0</v>
      </c>
      <c r="B119" s="14" t="s">
        <v>599</v>
      </c>
      <c r="C119" s="5">
        <v>1.17205E8</v>
      </c>
      <c r="D119" s="5">
        <v>0.0</v>
      </c>
      <c r="E119" s="5">
        <f t="shared" si="1"/>
        <v>406491340.5</v>
      </c>
      <c r="F119" s="15" t="s">
        <v>58</v>
      </c>
      <c r="G119" s="15" t="s">
        <v>59</v>
      </c>
      <c r="H119" s="4" t="s">
        <v>234</v>
      </c>
    </row>
    <row r="120" ht="15.75" customHeight="1">
      <c r="A120" s="8">
        <v>46068.0</v>
      </c>
      <c r="B120" s="14" t="s">
        <v>601</v>
      </c>
      <c r="C120" s="5">
        <v>0.0</v>
      </c>
      <c r="D120" s="5">
        <v>5639300.0</v>
      </c>
      <c r="E120" s="5">
        <f t="shared" si="1"/>
        <v>412130640.5</v>
      </c>
      <c r="F120" s="15" t="s">
        <v>21</v>
      </c>
      <c r="G120" s="15" t="s">
        <v>41</v>
      </c>
      <c r="H120" s="15" t="s">
        <v>537</v>
      </c>
      <c r="I120" s="4" t="s">
        <v>539</v>
      </c>
    </row>
    <row r="121" ht="15.75" customHeight="1">
      <c r="A121" s="8">
        <v>46071.0</v>
      </c>
      <c r="B121" s="14" t="s">
        <v>604</v>
      </c>
      <c r="C121" s="5">
        <v>0.0</v>
      </c>
      <c r="D121" s="5">
        <v>367900.0</v>
      </c>
      <c r="E121" s="5">
        <f t="shared" si="1"/>
        <v>412498540.5</v>
      </c>
      <c r="F121" s="15" t="s">
        <v>21</v>
      </c>
      <c r="G121" s="15" t="s">
        <v>41</v>
      </c>
      <c r="H121" s="15" t="s">
        <v>605</v>
      </c>
      <c r="I121" s="4" t="s">
        <v>44</v>
      </c>
    </row>
    <row r="122" ht="15.75" customHeight="1">
      <c r="A122" s="8">
        <v>46073.0</v>
      </c>
      <c r="B122" s="14" t="s">
        <v>606</v>
      </c>
      <c r="C122" s="5">
        <f>3815000-C123+D124</f>
        <v>3500000</v>
      </c>
      <c r="D122" s="5">
        <v>0.0</v>
      </c>
      <c r="E122" s="5">
        <f t="shared" si="1"/>
        <v>408998540.5</v>
      </c>
      <c r="F122" s="15" t="s">
        <v>50</v>
      </c>
      <c r="G122" s="15" t="s">
        <v>178</v>
      </c>
      <c r="H122" s="4" t="s">
        <v>363</v>
      </c>
    </row>
    <row r="123" ht="15.75" customHeight="1">
      <c r="A123" s="8">
        <v>46073.0</v>
      </c>
      <c r="B123" s="14" t="s">
        <v>606</v>
      </c>
      <c r="C123" s="5">
        <v>385000.0</v>
      </c>
      <c r="D123" s="5">
        <v>0.0</v>
      </c>
      <c r="E123" s="5">
        <f t="shared" si="1"/>
        <v>408613540.5</v>
      </c>
      <c r="F123" s="4" t="s">
        <v>21</v>
      </c>
      <c r="G123" s="4" t="s">
        <v>184</v>
      </c>
      <c r="H123" s="4" t="s">
        <v>613</v>
      </c>
    </row>
    <row r="124" ht="15.75" customHeight="1">
      <c r="A124" s="8">
        <v>46073.0</v>
      </c>
      <c r="B124" s="14" t="s">
        <v>606</v>
      </c>
      <c r="C124" s="5">
        <v>0.0</v>
      </c>
      <c r="D124" s="5">
        <v>70000.0</v>
      </c>
      <c r="E124" s="5">
        <f t="shared" si="1"/>
        <v>408683540.5</v>
      </c>
      <c r="F124" s="15" t="s">
        <v>21</v>
      </c>
      <c r="G124" s="15" t="s">
        <v>190</v>
      </c>
      <c r="H124" s="4" t="s">
        <v>191</v>
      </c>
      <c r="I124" s="4" t="s">
        <v>192</v>
      </c>
    </row>
    <row r="125" ht="15.75" customHeight="1">
      <c r="A125" s="8">
        <v>46073.0</v>
      </c>
      <c r="B125" s="14" t="s">
        <v>616</v>
      </c>
      <c r="C125" s="5">
        <v>6000000.0</v>
      </c>
      <c r="D125" s="5">
        <v>0.0</v>
      </c>
      <c r="E125" s="5">
        <f t="shared" si="1"/>
        <v>402683540.5</v>
      </c>
      <c r="F125" s="15" t="s">
        <v>58</v>
      </c>
      <c r="G125" s="15" t="s">
        <v>59</v>
      </c>
      <c r="H125" s="4" t="s">
        <v>234</v>
      </c>
    </row>
    <row r="126" ht="15.75" customHeight="1">
      <c r="A126" s="8">
        <v>46073.0</v>
      </c>
      <c r="B126" s="14" t="s">
        <v>619</v>
      </c>
      <c r="C126" s="5">
        <v>6500000.0</v>
      </c>
      <c r="D126" s="5">
        <v>0.0</v>
      </c>
      <c r="E126" s="5">
        <f t="shared" si="1"/>
        <v>396183540.5</v>
      </c>
      <c r="F126" s="14" t="s">
        <v>58</v>
      </c>
      <c r="G126" s="14" t="s">
        <v>59</v>
      </c>
      <c r="H126" s="4" t="s">
        <v>238</v>
      </c>
    </row>
    <row r="127" ht="15.75" customHeight="1">
      <c r="A127" s="8">
        <v>46073.0</v>
      </c>
      <c r="B127" s="14" t="s">
        <v>620</v>
      </c>
      <c r="C127" s="5">
        <v>3000000.0</v>
      </c>
      <c r="D127" s="5">
        <v>0.0</v>
      </c>
      <c r="E127" s="5">
        <f t="shared" si="1"/>
        <v>393183540.5</v>
      </c>
      <c r="F127" s="15" t="s">
        <v>58</v>
      </c>
      <c r="G127" s="15" t="s">
        <v>59</v>
      </c>
      <c r="H127" s="4" t="s">
        <v>314</v>
      </c>
    </row>
    <row r="128" ht="15.75" customHeight="1">
      <c r="A128" s="8">
        <v>46073.0</v>
      </c>
      <c r="B128" s="14" t="s">
        <v>621</v>
      </c>
      <c r="C128" s="5">
        <v>1000000.0</v>
      </c>
      <c r="D128" s="5">
        <v>0.0</v>
      </c>
      <c r="E128" s="5">
        <f t="shared" si="1"/>
        <v>392183540.5</v>
      </c>
      <c r="F128" s="15" t="s">
        <v>58</v>
      </c>
      <c r="G128" s="15" t="s">
        <v>59</v>
      </c>
      <c r="H128" s="4" t="s">
        <v>314</v>
      </c>
    </row>
    <row r="129" ht="15.75" customHeight="1">
      <c r="A129" s="8">
        <v>46073.0</v>
      </c>
      <c r="B129" s="14" t="s">
        <v>622</v>
      </c>
      <c r="C129" s="5">
        <v>1962000.0</v>
      </c>
      <c r="D129" s="5">
        <v>0.0</v>
      </c>
      <c r="E129" s="5">
        <f t="shared" si="1"/>
        <v>390221540.5</v>
      </c>
      <c r="F129" s="15" t="s">
        <v>58</v>
      </c>
      <c r="G129" s="15" t="s">
        <v>59</v>
      </c>
      <c r="H129" s="4" t="s">
        <v>476</v>
      </c>
    </row>
    <row r="130" ht="15.75" customHeight="1">
      <c r="A130" s="8">
        <v>46073.0</v>
      </c>
      <c r="B130" s="14" t="s">
        <v>624</v>
      </c>
      <c r="C130" s="5">
        <f>736486-C131+D132</f>
        <v>675676</v>
      </c>
      <c r="D130" s="5">
        <v>0.0</v>
      </c>
      <c r="E130" s="5">
        <f t="shared" si="1"/>
        <v>389545864.5</v>
      </c>
      <c r="F130" s="15" t="s">
        <v>50</v>
      </c>
      <c r="G130" s="15" t="s">
        <v>395</v>
      </c>
      <c r="H130" s="4" t="s">
        <v>363</v>
      </c>
    </row>
    <row r="131" ht="15.75" customHeight="1">
      <c r="A131" s="8">
        <v>46073.0</v>
      </c>
      <c r="B131" s="14" t="s">
        <v>624</v>
      </c>
      <c r="C131" s="5">
        <v>74324.0</v>
      </c>
      <c r="D131" s="5">
        <v>0.0</v>
      </c>
      <c r="E131" s="5">
        <f t="shared" si="1"/>
        <v>389471540.5</v>
      </c>
      <c r="F131" s="4" t="s">
        <v>21</v>
      </c>
      <c r="G131" s="4" t="s">
        <v>184</v>
      </c>
      <c r="H131" s="4" t="s">
        <v>613</v>
      </c>
    </row>
    <row r="132" ht="15.75" customHeight="1">
      <c r="A132" s="8">
        <v>46073.0</v>
      </c>
      <c r="B132" s="14" t="s">
        <v>624</v>
      </c>
      <c r="C132" s="5">
        <v>0.0</v>
      </c>
      <c r="D132" s="5">
        <v>13514.0</v>
      </c>
      <c r="E132" s="5">
        <f t="shared" si="1"/>
        <v>389485054.5</v>
      </c>
      <c r="F132" s="15" t="s">
        <v>21</v>
      </c>
      <c r="G132" s="15" t="s">
        <v>190</v>
      </c>
      <c r="H132" s="4" t="s">
        <v>191</v>
      </c>
      <c r="I132" s="4" t="s">
        <v>401</v>
      </c>
    </row>
    <row r="133" ht="15.75" customHeight="1">
      <c r="A133" s="8">
        <v>46073.0</v>
      </c>
      <c r="B133" s="14" t="s">
        <v>629</v>
      </c>
      <c r="C133" s="5">
        <v>1725000.0</v>
      </c>
      <c r="D133" s="5">
        <v>0.0</v>
      </c>
      <c r="E133" s="5">
        <f t="shared" si="1"/>
        <v>387760054.5</v>
      </c>
      <c r="F133" s="15" t="s">
        <v>58</v>
      </c>
      <c r="G133" s="15" t="s">
        <v>59</v>
      </c>
      <c r="H133" s="4" t="s">
        <v>332</v>
      </c>
    </row>
    <row r="134" ht="15.75" customHeight="1">
      <c r="A134" s="8">
        <v>46073.0</v>
      </c>
      <c r="B134" s="14" t="s">
        <v>631</v>
      </c>
      <c r="C134" s="5">
        <v>1941000.0</v>
      </c>
      <c r="D134" s="5">
        <v>0.0</v>
      </c>
      <c r="E134" s="5">
        <f t="shared" si="1"/>
        <v>385819054.5</v>
      </c>
      <c r="F134" s="15" t="s">
        <v>58</v>
      </c>
      <c r="G134" s="15" t="s">
        <v>59</v>
      </c>
      <c r="H134" s="4" t="s">
        <v>332</v>
      </c>
    </row>
    <row r="135" ht="15.75" customHeight="1">
      <c r="A135" s="8">
        <v>46073.0</v>
      </c>
      <c r="B135" s="14" t="s">
        <v>633</v>
      </c>
      <c r="C135" s="5">
        <v>6.0E7</v>
      </c>
      <c r="D135" s="5">
        <v>0.0</v>
      </c>
      <c r="E135" s="5">
        <f t="shared" si="1"/>
        <v>325819054.5</v>
      </c>
      <c r="F135" s="15" t="s">
        <v>58</v>
      </c>
      <c r="G135" s="15" t="s">
        <v>59</v>
      </c>
      <c r="H135" s="4" t="s">
        <v>635</v>
      </c>
    </row>
    <row r="136" ht="15.75" customHeight="1">
      <c r="A136" s="8">
        <v>46073.0</v>
      </c>
      <c r="B136" s="14" t="s">
        <v>636</v>
      </c>
      <c r="C136" s="5">
        <v>1000000.0</v>
      </c>
      <c r="D136" s="5">
        <v>0.0</v>
      </c>
      <c r="E136" s="5">
        <f t="shared" si="1"/>
        <v>324819054.5</v>
      </c>
      <c r="F136" s="15" t="s">
        <v>58</v>
      </c>
      <c r="G136" s="15" t="s">
        <v>59</v>
      </c>
      <c r="H136" s="4" t="s">
        <v>326</v>
      </c>
    </row>
    <row r="137" ht="15.75" customHeight="1">
      <c r="A137" s="8">
        <v>46073.0</v>
      </c>
      <c r="B137" s="14" t="s">
        <v>640</v>
      </c>
      <c r="C137" s="5">
        <f>5014000-C138+D139</f>
        <v>4600000</v>
      </c>
      <c r="D137" s="5">
        <v>0.0</v>
      </c>
      <c r="E137" s="5">
        <f t="shared" si="1"/>
        <v>320219054.5</v>
      </c>
      <c r="F137" s="15" t="s">
        <v>50</v>
      </c>
      <c r="G137" s="15" t="s">
        <v>245</v>
      </c>
      <c r="H137" s="4" t="s">
        <v>246</v>
      </c>
    </row>
    <row r="138" ht="15.75" customHeight="1">
      <c r="A138" s="8">
        <v>46073.0</v>
      </c>
      <c r="B138" s="14" t="s">
        <v>640</v>
      </c>
      <c r="C138" s="5">
        <v>506000.0</v>
      </c>
      <c r="D138" s="5"/>
      <c r="E138" s="5">
        <f t="shared" si="1"/>
        <v>319713054.5</v>
      </c>
      <c r="F138" s="4" t="s">
        <v>21</v>
      </c>
      <c r="G138" s="4" t="s">
        <v>184</v>
      </c>
      <c r="H138" s="4" t="s">
        <v>613</v>
      </c>
    </row>
    <row r="139" ht="15.75" customHeight="1">
      <c r="A139" s="8">
        <v>46073.0</v>
      </c>
      <c r="B139" s="14" t="s">
        <v>640</v>
      </c>
      <c r="C139" s="5"/>
      <c r="D139" s="5">
        <v>92000.0</v>
      </c>
      <c r="E139" s="5">
        <f t="shared" si="1"/>
        <v>319805054.5</v>
      </c>
      <c r="F139" s="15" t="s">
        <v>21</v>
      </c>
      <c r="G139" s="15" t="s">
        <v>190</v>
      </c>
      <c r="H139" s="4" t="s">
        <v>191</v>
      </c>
      <c r="I139" s="4" t="s">
        <v>254</v>
      </c>
    </row>
    <row r="140" ht="15.75" customHeight="1">
      <c r="A140" s="8">
        <v>46073.0</v>
      </c>
      <c r="B140" s="14" t="s">
        <v>650</v>
      </c>
      <c r="C140" s="5">
        <v>1.63125E7</v>
      </c>
      <c r="D140" s="5">
        <v>0.0</v>
      </c>
      <c r="E140" s="5">
        <f t="shared" si="1"/>
        <v>303492554.5</v>
      </c>
      <c r="F140" s="15" t="s">
        <v>93</v>
      </c>
      <c r="G140" s="15" t="s">
        <v>93</v>
      </c>
      <c r="H140" s="4" t="s">
        <v>346</v>
      </c>
    </row>
    <row r="141" ht="15.75" customHeight="1">
      <c r="A141" s="8">
        <v>46073.0</v>
      </c>
      <c r="B141" s="14" t="s">
        <v>654</v>
      </c>
      <c r="C141" s="5">
        <v>6000000.0</v>
      </c>
      <c r="D141" s="5">
        <v>0.0</v>
      </c>
      <c r="E141" s="5">
        <f t="shared" si="1"/>
        <v>297492554.5</v>
      </c>
      <c r="F141" s="15" t="s">
        <v>58</v>
      </c>
      <c r="G141" s="15" t="s">
        <v>59</v>
      </c>
      <c r="H141" s="4" t="s">
        <v>326</v>
      </c>
    </row>
    <row r="142" ht="15.75" customHeight="1">
      <c r="A142" s="8">
        <v>46073.0</v>
      </c>
      <c r="B142" s="14" t="s">
        <v>659</v>
      </c>
      <c r="C142" s="5">
        <v>1.0E7</v>
      </c>
      <c r="D142" s="5">
        <v>0.0</v>
      </c>
      <c r="E142" s="5">
        <f t="shared" si="1"/>
        <v>287492554.5</v>
      </c>
      <c r="F142" s="15" t="s">
        <v>58</v>
      </c>
      <c r="G142" s="15" t="s">
        <v>59</v>
      </c>
      <c r="H142" s="4" t="s">
        <v>635</v>
      </c>
    </row>
    <row r="143" ht="15.75" customHeight="1">
      <c r="A143" s="8">
        <v>46077.0</v>
      </c>
      <c r="B143" s="14" t="s">
        <v>662</v>
      </c>
      <c r="C143" s="5">
        <v>1.15164886E8</v>
      </c>
      <c r="D143" s="5">
        <v>0.0</v>
      </c>
      <c r="E143" s="5">
        <f t="shared" si="1"/>
        <v>172327668.5</v>
      </c>
      <c r="F143" s="15" t="s">
        <v>58</v>
      </c>
      <c r="G143" s="15" t="s">
        <v>59</v>
      </c>
      <c r="H143" s="4" t="s">
        <v>319</v>
      </c>
    </row>
    <row r="144" ht="15.75" customHeight="1">
      <c r="A144" s="8">
        <v>46077.0</v>
      </c>
      <c r="B144" s="14" t="s">
        <v>668</v>
      </c>
      <c r="C144" s="5">
        <v>500000.0</v>
      </c>
      <c r="D144" s="5">
        <v>0.0</v>
      </c>
      <c r="E144" s="5">
        <f t="shared" si="1"/>
        <v>171827668.5</v>
      </c>
      <c r="F144" s="15" t="s">
        <v>58</v>
      </c>
      <c r="G144" s="15" t="s">
        <v>59</v>
      </c>
      <c r="H144" s="4" t="s">
        <v>314</v>
      </c>
    </row>
    <row r="145" ht="15.75" customHeight="1">
      <c r="A145" s="8">
        <v>46077.0</v>
      </c>
      <c r="B145" s="14" t="s">
        <v>673</v>
      </c>
      <c r="C145" s="5">
        <v>1000000.0</v>
      </c>
      <c r="D145" s="5">
        <v>0.0</v>
      </c>
      <c r="E145" s="5">
        <f t="shared" si="1"/>
        <v>170827668.5</v>
      </c>
      <c r="F145" s="15" t="s">
        <v>58</v>
      </c>
      <c r="G145" s="15" t="s">
        <v>59</v>
      </c>
      <c r="H145" s="4" t="s">
        <v>314</v>
      </c>
    </row>
    <row r="146" ht="15.75" customHeight="1">
      <c r="A146" s="8">
        <v>46077.0</v>
      </c>
      <c r="B146" s="14" t="s">
        <v>679</v>
      </c>
      <c r="C146" s="5">
        <v>1.7E7</v>
      </c>
      <c r="D146" s="5">
        <v>0.0</v>
      </c>
      <c r="E146" s="5">
        <f t="shared" si="1"/>
        <v>153827668.5</v>
      </c>
      <c r="F146" s="15" t="s">
        <v>58</v>
      </c>
      <c r="G146" s="15" t="s">
        <v>59</v>
      </c>
      <c r="H146" s="4" t="s">
        <v>319</v>
      </c>
    </row>
    <row r="147" ht="15.75" customHeight="1">
      <c r="A147" s="8">
        <v>46077.0</v>
      </c>
      <c r="B147" s="14" t="s">
        <v>684</v>
      </c>
      <c r="C147" s="5">
        <v>1464402.0</v>
      </c>
      <c r="D147" s="5">
        <v>0.0</v>
      </c>
      <c r="E147" s="5">
        <f t="shared" si="1"/>
        <v>152363266.5</v>
      </c>
      <c r="F147" s="14" t="s">
        <v>58</v>
      </c>
      <c r="G147" s="14" t="s">
        <v>59</v>
      </c>
      <c r="H147" s="4" t="s">
        <v>238</v>
      </c>
    </row>
    <row r="148" ht="15.75" customHeight="1">
      <c r="A148" s="8">
        <v>46077.0</v>
      </c>
      <c r="B148" s="14" t="s">
        <v>687</v>
      </c>
      <c r="C148" s="5">
        <v>3210000.0</v>
      </c>
      <c r="D148" s="5">
        <v>0.0</v>
      </c>
      <c r="E148" s="5">
        <f t="shared" si="1"/>
        <v>149153266.5</v>
      </c>
      <c r="F148" s="15" t="s">
        <v>58</v>
      </c>
      <c r="G148" s="15" t="s">
        <v>59</v>
      </c>
      <c r="H148" s="4" t="s">
        <v>476</v>
      </c>
    </row>
    <row r="149" ht="15.75" customHeight="1">
      <c r="A149" s="8">
        <v>46078.0</v>
      </c>
      <c r="B149" s="14" t="s">
        <v>690</v>
      </c>
      <c r="C149" s="5">
        <v>5300000.0</v>
      </c>
      <c r="D149" s="5">
        <v>0.0</v>
      </c>
      <c r="E149" s="5">
        <f t="shared" si="1"/>
        <v>143853266.5</v>
      </c>
      <c r="F149" s="15" t="s">
        <v>50</v>
      </c>
      <c r="G149" s="15" t="s">
        <v>245</v>
      </c>
      <c r="H149" s="4" t="s">
        <v>340</v>
      </c>
    </row>
    <row r="150" ht="15.75" customHeight="1">
      <c r="A150" s="8">
        <v>46078.0</v>
      </c>
      <c r="B150" s="14" t="s">
        <v>691</v>
      </c>
      <c r="C150" s="5">
        <f>13014400+D151</f>
        <v>13280000</v>
      </c>
      <c r="D150" s="5">
        <v>0.0</v>
      </c>
      <c r="E150" s="5">
        <f t="shared" si="1"/>
        <v>130573266.5</v>
      </c>
      <c r="F150" s="15" t="s">
        <v>58</v>
      </c>
      <c r="G150" s="15" t="s">
        <v>59</v>
      </c>
      <c r="H150" s="4" t="s">
        <v>326</v>
      </c>
    </row>
    <row r="151" ht="15.75" customHeight="1">
      <c r="A151" s="8">
        <v>46078.0</v>
      </c>
      <c r="B151" s="14" t="s">
        <v>691</v>
      </c>
      <c r="C151" s="5">
        <v>0.0</v>
      </c>
      <c r="D151" s="5">
        <v>265600.0</v>
      </c>
      <c r="E151" s="5">
        <f t="shared" si="1"/>
        <v>130838866.5</v>
      </c>
      <c r="F151" s="15" t="s">
        <v>21</v>
      </c>
      <c r="G151" s="15" t="s">
        <v>190</v>
      </c>
      <c r="H151" s="4" t="s">
        <v>191</v>
      </c>
    </row>
    <row r="152" ht="15.75" customHeight="1">
      <c r="A152" s="8">
        <v>46078.0</v>
      </c>
      <c r="B152" s="14" t="s">
        <v>702</v>
      </c>
      <c r="C152" s="5">
        <v>5000000.0</v>
      </c>
      <c r="D152" s="5">
        <v>0.0</v>
      </c>
      <c r="E152" s="5">
        <f t="shared" si="1"/>
        <v>125838866.5</v>
      </c>
      <c r="F152" s="15" t="s">
        <v>58</v>
      </c>
      <c r="G152" s="15" t="s">
        <v>59</v>
      </c>
      <c r="H152" s="4" t="s">
        <v>326</v>
      </c>
    </row>
    <row r="153" ht="15.75" customHeight="1">
      <c r="A153" s="8">
        <v>46078.0</v>
      </c>
      <c r="B153" s="14" t="s">
        <v>705</v>
      </c>
      <c r="C153" s="5">
        <v>1.85598E7</v>
      </c>
      <c r="D153" s="5">
        <v>0.0</v>
      </c>
      <c r="E153" s="5">
        <f t="shared" si="1"/>
        <v>107279066.5</v>
      </c>
      <c r="F153" s="15" t="s">
        <v>58</v>
      </c>
      <c r="G153" s="15" t="s">
        <v>59</v>
      </c>
      <c r="H153" s="4" t="s">
        <v>326</v>
      </c>
    </row>
    <row r="154" ht="15.75" customHeight="1">
      <c r="A154" s="8">
        <v>46078.0</v>
      </c>
      <c r="B154" s="14" t="s">
        <v>709</v>
      </c>
      <c r="C154" s="5">
        <f>9805000-C155+D156</f>
        <v>9250000</v>
      </c>
      <c r="D154" s="5">
        <v>0.0</v>
      </c>
      <c r="E154" s="5">
        <f t="shared" si="1"/>
        <v>98029066.48</v>
      </c>
      <c r="F154" s="15" t="s">
        <v>58</v>
      </c>
      <c r="G154" s="15" t="s">
        <v>59</v>
      </c>
      <c r="H154" s="4" t="s">
        <v>326</v>
      </c>
    </row>
    <row r="155" ht="15.75" customHeight="1">
      <c r="A155" s="8">
        <v>46078.0</v>
      </c>
      <c r="B155" s="14" t="s">
        <v>709</v>
      </c>
      <c r="C155" s="5">
        <v>740000.0</v>
      </c>
      <c r="D155" s="5">
        <v>0.0</v>
      </c>
      <c r="E155" s="5">
        <f t="shared" si="1"/>
        <v>97289066.48</v>
      </c>
      <c r="F155" s="15" t="s">
        <v>58</v>
      </c>
      <c r="G155" s="15" t="s">
        <v>59</v>
      </c>
      <c r="H155" s="4" t="s">
        <v>326</v>
      </c>
    </row>
    <row r="156" ht="15.75" customHeight="1">
      <c r="A156" s="8">
        <v>46078.0</v>
      </c>
      <c r="B156" s="14" t="s">
        <v>709</v>
      </c>
      <c r="C156" s="5">
        <v>0.0</v>
      </c>
      <c r="D156" s="5">
        <v>185000.0</v>
      </c>
      <c r="E156" s="5">
        <f t="shared" si="1"/>
        <v>97474066.48</v>
      </c>
      <c r="F156" s="15" t="s">
        <v>21</v>
      </c>
      <c r="G156" s="15" t="s">
        <v>190</v>
      </c>
      <c r="H156" s="4" t="s">
        <v>191</v>
      </c>
    </row>
    <row r="157" ht="15.75" customHeight="1">
      <c r="A157" s="8">
        <v>46078.0</v>
      </c>
      <c r="B157" s="14" t="s">
        <v>569</v>
      </c>
      <c r="C157" s="5">
        <v>538548.0</v>
      </c>
      <c r="D157" s="5">
        <v>0.0</v>
      </c>
      <c r="E157" s="5">
        <f t="shared" si="1"/>
        <v>96935518.48</v>
      </c>
      <c r="F157" s="15" t="s">
        <v>21</v>
      </c>
      <c r="G157" s="15" t="s">
        <v>184</v>
      </c>
      <c r="H157" s="4" t="s">
        <v>571</v>
      </c>
      <c r="I157" s="4" t="s">
        <v>539</v>
      </c>
    </row>
    <row r="158" ht="15.75" customHeight="1">
      <c r="A158" s="8">
        <v>46078.0</v>
      </c>
      <c r="B158" s="14" t="s">
        <v>418</v>
      </c>
      <c r="C158" s="5">
        <v>0.0</v>
      </c>
      <c r="D158" s="5">
        <v>2.5E8</v>
      </c>
      <c r="E158" s="5">
        <f t="shared" si="1"/>
        <v>346935518.5</v>
      </c>
      <c r="F158" s="15" t="s">
        <v>21</v>
      </c>
      <c r="G158" s="14" t="s">
        <v>190</v>
      </c>
    </row>
    <row r="159" ht="15.75" customHeight="1">
      <c r="A159" s="8">
        <v>46078.0</v>
      </c>
      <c r="B159" s="14" t="s">
        <v>721</v>
      </c>
      <c r="C159" s="5">
        <v>2.5E8</v>
      </c>
      <c r="D159" s="5">
        <v>0.0</v>
      </c>
      <c r="E159" s="5">
        <f t="shared" si="1"/>
        <v>96935518.48</v>
      </c>
      <c r="F159" s="15" t="s">
        <v>24</v>
      </c>
      <c r="G159" s="15" t="s">
        <v>198</v>
      </c>
      <c r="H159" s="4" t="s">
        <v>72</v>
      </c>
    </row>
    <row r="160" ht="15.75" customHeight="1">
      <c r="A160" s="8">
        <v>46078.0</v>
      </c>
      <c r="B160" s="14" t="s">
        <v>724</v>
      </c>
      <c r="C160" s="5">
        <v>0.0</v>
      </c>
      <c r="D160" s="5">
        <v>1.63125E7</v>
      </c>
      <c r="E160" s="5">
        <f t="shared" si="1"/>
        <v>113248018.5</v>
      </c>
      <c r="F160" s="15" t="s">
        <v>93</v>
      </c>
      <c r="G160" s="15" t="s">
        <v>93</v>
      </c>
      <c r="H160" s="4" t="s">
        <v>346</v>
      </c>
    </row>
    <row r="161" ht="15.75" customHeight="1">
      <c r="A161" s="8">
        <v>46079.0</v>
      </c>
      <c r="B161" s="14" t="s">
        <v>726</v>
      </c>
      <c r="C161" s="5">
        <f>21352320-C162</f>
        <v>21120000</v>
      </c>
      <c r="D161" s="5">
        <v>0.0</v>
      </c>
      <c r="E161" s="5">
        <f t="shared" si="1"/>
        <v>92128018.48</v>
      </c>
      <c r="F161" s="15" t="s">
        <v>58</v>
      </c>
      <c r="G161" s="15" t="s">
        <v>59</v>
      </c>
      <c r="H161" s="4" t="s">
        <v>100</v>
      </c>
    </row>
    <row r="162" ht="15.75" customHeight="1">
      <c r="A162" s="8">
        <v>46079.0</v>
      </c>
      <c r="B162" s="14" t="s">
        <v>726</v>
      </c>
      <c r="C162" s="5">
        <v>232320.0</v>
      </c>
      <c r="D162" s="5">
        <v>0.0</v>
      </c>
      <c r="E162" s="5">
        <f t="shared" si="1"/>
        <v>91895698.48</v>
      </c>
      <c r="F162" s="4" t="s">
        <v>21</v>
      </c>
      <c r="G162" s="4" t="s">
        <v>184</v>
      </c>
      <c r="H162" s="4" t="s">
        <v>613</v>
      </c>
    </row>
    <row r="163" ht="15.75" customHeight="1">
      <c r="A163" s="8">
        <v>46079.0</v>
      </c>
      <c r="B163" s="14" t="s">
        <v>730</v>
      </c>
      <c r="C163" s="5">
        <v>4400000.0</v>
      </c>
      <c r="D163" s="5">
        <v>0.0</v>
      </c>
      <c r="E163" s="5">
        <f t="shared" si="1"/>
        <v>87495698.48</v>
      </c>
      <c r="F163" s="15" t="s">
        <v>58</v>
      </c>
      <c r="G163" s="15" t="s">
        <v>59</v>
      </c>
      <c r="H163" s="4" t="s">
        <v>319</v>
      </c>
    </row>
    <row r="164" ht="15.75" customHeight="1">
      <c r="A164" s="8">
        <v>46080.0</v>
      </c>
      <c r="B164" s="14" t="s">
        <v>732</v>
      </c>
      <c r="C164" s="5">
        <v>0.0</v>
      </c>
      <c r="D164" s="5">
        <v>2.5E8</v>
      </c>
      <c r="E164" s="5">
        <f t="shared" si="1"/>
        <v>337495698.5</v>
      </c>
      <c r="F164" s="15" t="s">
        <v>21</v>
      </c>
      <c r="G164" s="4" t="s">
        <v>169</v>
      </c>
    </row>
    <row r="165" ht="15.75" customHeight="1">
      <c r="A165" s="8">
        <v>46080.0</v>
      </c>
      <c r="B165" s="4" t="s">
        <v>733</v>
      </c>
      <c r="C165" s="5">
        <v>0.0</v>
      </c>
      <c r="D165" s="5">
        <v>2.5E8</v>
      </c>
      <c r="E165" s="5">
        <f t="shared" si="1"/>
        <v>587495698.5</v>
      </c>
      <c r="F165" s="15" t="s">
        <v>21</v>
      </c>
      <c r="G165" s="4" t="s">
        <v>169</v>
      </c>
    </row>
    <row r="166" ht="15.75" customHeight="1">
      <c r="A166" s="8">
        <v>46081.0</v>
      </c>
      <c r="B166" s="4" t="s">
        <v>429</v>
      </c>
      <c r="C166" s="5">
        <v>30000.0</v>
      </c>
      <c r="D166" s="5">
        <v>0.0</v>
      </c>
      <c r="E166" s="5">
        <f t="shared" si="1"/>
        <v>587465698.5</v>
      </c>
      <c r="F166" s="15" t="s">
        <v>43</v>
      </c>
      <c r="G166" s="4" t="s">
        <v>45</v>
      </c>
    </row>
    <row r="167" ht="15.75" customHeight="1">
      <c r="A167" s="8">
        <v>46083.0</v>
      </c>
      <c r="B167" s="4" t="s">
        <v>737</v>
      </c>
      <c r="C167" s="5">
        <v>0.0</v>
      </c>
      <c r="D167" s="5">
        <v>2501100.0</v>
      </c>
      <c r="E167" s="5">
        <f t="shared" si="1"/>
        <v>589966798.5</v>
      </c>
      <c r="F167" s="15" t="s">
        <v>21</v>
      </c>
      <c r="G167" s="4" t="s">
        <v>41</v>
      </c>
      <c r="H167" s="4" t="s">
        <v>741</v>
      </c>
      <c r="I167" s="4" t="s">
        <v>451</v>
      </c>
    </row>
    <row r="168" ht="15.75" customHeight="1">
      <c r="A168" s="8">
        <v>46084.0</v>
      </c>
      <c r="B168" s="4" t="s">
        <v>742</v>
      </c>
      <c r="C168" s="5">
        <v>1.0E7</v>
      </c>
      <c r="D168" s="5">
        <v>0.0</v>
      </c>
      <c r="E168" s="5">
        <f t="shared" si="1"/>
        <v>579966798.5</v>
      </c>
      <c r="F168" s="15" t="s">
        <v>21</v>
      </c>
      <c r="G168" s="4" t="s">
        <v>184</v>
      </c>
      <c r="H168" s="4" t="s">
        <v>745</v>
      </c>
      <c r="I168" s="4" t="s">
        <v>539</v>
      </c>
    </row>
    <row r="169" ht="15.75" customHeight="1">
      <c r="A169" s="8">
        <v>46084.0</v>
      </c>
      <c r="B169" s="4" t="s">
        <v>746</v>
      </c>
      <c r="C169" s="5">
        <v>4.476102E8</v>
      </c>
      <c r="D169" s="5">
        <v>0.0</v>
      </c>
      <c r="E169" s="5">
        <f t="shared" si="1"/>
        <v>132356598.5</v>
      </c>
      <c r="F169" s="15" t="s">
        <v>58</v>
      </c>
      <c r="G169" s="4" t="s">
        <v>59</v>
      </c>
      <c r="H169" s="4" t="s">
        <v>408</v>
      </c>
    </row>
    <row r="170" ht="15.75" customHeight="1">
      <c r="A170" s="8">
        <v>46084.0</v>
      </c>
      <c r="B170" s="4" t="s">
        <v>749</v>
      </c>
      <c r="C170" s="5">
        <v>3.5E7</v>
      </c>
      <c r="D170" s="5">
        <v>0.0</v>
      </c>
      <c r="E170" s="5">
        <f t="shared" si="1"/>
        <v>97356598.48</v>
      </c>
      <c r="F170" s="15" t="s">
        <v>21</v>
      </c>
      <c r="G170" s="4" t="s">
        <v>184</v>
      </c>
      <c r="H170" s="4" t="s">
        <v>750</v>
      </c>
      <c r="I170" s="4" t="s">
        <v>199</v>
      </c>
    </row>
    <row r="171" ht="15.75" customHeight="1">
      <c r="A171" s="8">
        <v>46085.0</v>
      </c>
      <c r="B171" s="4" t="s">
        <v>751</v>
      </c>
      <c r="C171" s="5">
        <v>9000000.0</v>
      </c>
      <c r="D171" s="5">
        <v>0.0</v>
      </c>
      <c r="E171" s="5">
        <f t="shared" si="1"/>
        <v>88356598.48</v>
      </c>
      <c r="F171" s="15" t="s">
        <v>306</v>
      </c>
      <c r="G171" s="4" t="s">
        <v>307</v>
      </c>
      <c r="H171" s="4" t="s">
        <v>308</v>
      </c>
    </row>
    <row r="172" ht="15.75" customHeight="1">
      <c r="A172" s="8">
        <v>46085.0</v>
      </c>
      <c r="B172" s="4" t="s">
        <v>753</v>
      </c>
      <c r="C172" s="5">
        <v>0.0</v>
      </c>
      <c r="D172" s="5">
        <v>2.5E8</v>
      </c>
      <c r="E172" s="5">
        <f t="shared" si="1"/>
        <v>338356598.5</v>
      </c>
      <c r="F172" s="15" t="s">
        <v>21</v>
      </c>
      <c r="G172" s="14" t="s">
        <v>169</v>
      </c>
    </row>
    <row r="173" ht="15.75" customHeight="1">
      <c r="A173" s="8">
        <v>46085.0</v>
      </c>
      <c r="B173" s="4" t="s">
        <v>755</v>
      </c>
      <c r="C173" s="5">
        <v>1.0E8</v>
      </c>
      <c r="D173" s="5">
        <v>0.0</v>
      </c>
      <c r="E173" s="5">
        <f t="shared" si="1"/>
        <v>238356598.5</v>
      </c>
      <c r="F173" s="15" t="s">
        <v>58</v>
      </c>
      <c r="G173" s="4" t="s">
        <v>59</v>
      </c>
      <c r="H173" s="4" t="s">
        <v>638</v>
      </c>
    </row>
    <row r="174" ht="15.75" customHeight="1">
      <c r="A174" s="8">
        <v>46086.0</v>
      </c>
      <c r="B174" s="4" t="s">
        <v>757</v>
      </c>
      <c r="C174" s="5">
        <v>900000.0</v>
      </c>
      <c r="D174" s="5">
        <v>0.0</v>
      </c>
      <c r="E174" s="5">
        <f t="shared" si="1"/>
        <v>237456598.5</v>
      </c>
      <c r="F174" s="15" t="s">
        <v>50</v>
      </c>
      <c r="G174" s="15" t="s">
        <v>51</v>
      </c>
      <c r="H174" s="4" t="s">
        <v>203</v>
      </c>
    </row>
    <row r="175" ht="15.75" customHeight="1">
      <c r="A175" s="8">
        <v>46086.0</v>
      </c>
      <c r="B175" s="4" t="s">
        <v>761</v>
      </c>
      <c r="C175" s="5">
        <v>2.2875E7</v>
      </c>
      <c r="D175" s="5">
        <v>0.0</v>
      </c>
      <c r="E175" s="5">
        <f t="shared" si="1"/>
        <v>214581598.5</v>
      </c>
      <c r="F175" s="15" t="s">
        <v>58</v>
      </c>
      <c r="G175" s="4" t="s">
        <v>59</v>
      </c>
      <c r="H175" s="4" t="s">
        <v>408</v>
      </c>
    </row>
    <row r="176" ht="15.75" customHeight="1">
      <c r="A176" s="8">
        <v>46086.0</v>
      </c>
      <c r="B176" s="4" t="s">
        <v>764</v>
      </c>
      <c r="C176" s="5">
        <f>2744000+D177</f>
        <v>2800000</v>
      </c>
      <c r="D176" s="5">
        <v>0.0</v>
      </c>
      <c r="E176" s="5">
        <f t="shared" si="1"/>
        <v>211781598.5</v>
      </c>
      <c r="F176" s="15" t="s">
        <v>58</v>
      </c>
      <c r="G176" s="4" t="s">
        <v>59</v>
      </c>
      <c r="H176" s="4" t="s">
        <v>404</v>
      </c>
    </row>
    <row r="177" ht="15.75" customHeight="1">
      <c r="A177" s="8">
        <v>46086.0</v>
      </c>
      <c r="B177" s="4" t="s">
        <v>764</v>
      </c>
      <c r="C177" s="5">
        <v>0.0</v>
      </c>
      <c r="D177" s="5">
        <v>56000.0</v>
      </c>
      <c r="E177" s="5">
        <f t="shared" si="1"/>
        <v>211837598.5</v>
      </c>
      <c r="F177" s="15" t="s">
        <v>21</v>
      </c>
      <c r="G177" s="4" t="s">
        <v>190</v>
      </c>
      <c r="H177" s="4" t="s">
        <v>191</v>
      </c>
    </row>
    <row r="178" ht="15.75" customHeight="1">
      <c r="A178" s="8">
        <v>46086.0</v>
      </c>
      <c r="B178" s="4" t="s">
        <v>753</v>
      </c>
      <c r="C178" s="5">
        <v>0.0</v>
      </c>
      <c r="D178" s="5">
        <v>2.5E8</v>
      </c>
      <c r="E178" s="5">
        <f t="shared" si="1"/>
        <v>461837598.5</v>
      </c>
      <c r="F178" s="15" t="s">
        <v>21</v>
      </c>
      <c r="G178" s="14" t="s">
        <v>169</v>
      </c>
    </row>
    <row r="179" ht="15.75" customHeight="1">
      <c r="A179" s="8">
        <v>46086.0</v>
      </c>
      <c r="B179" s="4" t="s">
        <v>753</v>
      </c>
      <c r="C179" s="5">
        <v>0.0</v>
      </c>
      <c r="D179" s="5">
        <v>2.5E8</v>
      </c>
      <c r="E179" s="5">
        <f t="shared" si="1"/>
        <v>711837598.5</v>
      </c>
      <c r="F179" s="15" t="s">
        <v>21</v>
      </c>
      <c r="G179" s="14" t="s">
        <v>169</v>
      </c>
    </row>
    <row r="180" ht="15.75" customHeight="1">
      <c r="A180" s="8">
        <v>46086.0</v>
      </c>
      <c r="B180" s="4" t="s">
        <v>772</v>
      </c>
      <c r="C180" s="5">
        <v>5.0E8</v>
      </c>
      <c r="D180" s="5">
        <v>0.0</v>
      </c>
      <c r="E180" s="5">
        <f t="shared" si="1"/>
        <v>211837598.5</v>
      </c>
      <c r="F180" s="15" t="s">
        <v>24</v>
      </c>
      <c r="G180" s="4" t="s">
        <v>669</v>
      </c>
      <c r="H180" s="4" t="s">
        <v>775</v>
      </c>
      <c r="I180" s="4" t="s">
        <v>412</v>
      </c>
    </row>
    <row r="181" ht="15.75" customHeight="1">
      <c r="A181" s="8">
        <v>46087.0</v>
      </c>
      <c r="B181" s="14" t="s">
        <v>778</v>
      </c>
      <c r="C181" s="5">
        <v>4.8760925E7</v>
      </c>
      <c r="D181" s="5">
        <v>0.0</v>
      </c>
      <c r="E181" s="5">
        <f t="shared" si="1"/>
        <v>163076673.5</v>
      </c>
      <c r="F181" s="14" t="s">
        <v>58</v>
      </c>
      <c r="G181" s="14" t="s">
        <v>59</v>
      </c>
      <c r="H181" s="14" t="s">
        <v>294</v>
      </c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8">
        <v>46087.0</v>
      </c>
      <c r="B182" s="4" t="s">
        <v>782</v>
      </c>
      <c r="C182" s="5">
        <v>35000.0</v>
      </c>
      <c r="D182" s="5">
        <v>0.0</v>
      </c>
      <c r="E182" s="5">
        <f t="shared" si="1"/>
        <v>163041673.5</v>
      </c>
      <c r="F182" s="15" t="s">
        <v>43</v>
      </c>
      <c r="G182" s="4" t="s">
        <v>45</v>
      </c>
    </row>
    <row r="183" ht="15.75" customHeight="1">
      <c r="A183" s="8">
        <v>46087.0</v>
      </c>
      <c r="B183" s="4" t="s">
        <v>785</v>
      </c>
      <c r="C183" s="5">
        <v>423125.0</v>
      </c>
      <c r="D183" s="5">
        <v>0.0</v>
      </c>
      <c r="E183" s="5">
        <f t="shared" si="1"/>
        <v>162618548.5</v>
      </c>
      <c r="F183" s="15" t="s">
        <v>43</v>
      </c>
      <c r="G183" s="4" t="s">
        <v>45</v>
      </c>
    </row>
    <row r="184" ht="15.75" customHeight="1">
      <c r="A184" s="8">
        <v>46087.0</v>
      </c>
      <c r="B184" s="14" t="s">
        <v>789</v>
      </c>
      <c r="C184" s="5">
        <v>0.0</v>
      </c>
      <c r="D184" s="5">
        <v>6660000.0</v>
      </c>
      <c r="E184" s="5">
        <f t="shared" si="1"/>
        <v>169278548.5</v>
      </c>
      <c r="F184" s="14" t="s">
        <v>75</v>
      </c>
      <c r="G184" s="14" t="s">
        <v>76</v>
      </c>
      <c r="H184" s="14" t="s">
        <v>266</v>
      </c>
      <c r="I184" s="16" t="s">
        <v>792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8">
        <v>46087.0</v>
      </c>
      <c r="B185" s="14" t="s">
        <v>795</v>
      </c>
      <c r="C185" s="5">
        <v>0.0</v>
      </c>
      <c r="D185" s="5">
        <v>6660000.0</v>
      </c>
      <c r="E185" s="5">
        <f t="shared" si="1"/>
        <v>175938548.5</v>
      </c>
      <c r="F185" s="14" t="s">
        <v>75</v>
      </c>
      <c r="G185" s="14" t="s">
        <v>76</v>
      </c>
      <c r="H185" s="14" t="s">
        <v>266</v>
      </c>
      <c r="I185" s="16" t="s">
        <v>799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8">
        <v>46090.0</v>
      </c>
      <c r="B186" s="4" t="s">
        <v>802</v>
      </c>
      <c r="C186" s="5">
        <v>0.0</v>
      </c>
      <c r="D186" s="5">
        <v>5981667.0</v>
      </c>
      <c r="E186" s="5">
        <f t="shared" si="1"/>
        <v>181920215.5</v>
      </c>
      <c r="F186" s="15" t="s">
        <v>24</v>
      </c>
      <c r="G186" s="4" t="s">
        <v>26</v>
      </c>
      <c r="H186" s="16" t="s">
        <v>805</v>
      </c>
      <c r="I186" s="16" t="s">
        <v>806</v>
      </c>
    </row>
    <row r="187" ht="15.75" customHeight="1">
      <c r="A187" s="8">
        <v>46091.0</v>
      </c>
      <c r="B187" s="4" t="s">
        <v>543</v>
      </c>
      <c r="C187" s="5">
        <v>9749084.0</v>
      </c>
      <c r="D187" s="5">
        <v>0.0</v>
      </c>
      <c r="E187" s="5">
        <f t="shared" si="1"/>
        <v>172171131.5</v>
      </c>
      <c r="F187" s="15" t="s">
        <v>21</v>
      </c>
      <c r="G187" s="4" t="s">
        <v>116</v>
      </c>
    </row>
    <row r="188" ht="15.75" customHeight="1">
      <c r="A188" s="8">
        <v>46091.0</v>
      </c>
      <c r="B188" s="4" t="s">
        <v>813</v>
      </c>
      <c r="C188" s="5">
        <v>7500000.0</v>
      </c>
      <c r="D188" s="5">
        <v>0.0</v>
      </c>
      <c r="E188" s="5">
        <f t="shared" si="1"/>
        <v>164671131.5</v>
      </c>
      <c r="F188" s="15" t="s">
        <v>58</v>
      </c>
      <c r="G188" s="4" t="s">
        <v>59</v>
      </c>
      <c r="H188" s="4" t="s">
        <v>408</v>
      </c>
    </row>
    <row r="189" ht="15.75" customHeight="1">
      <c r="A189" s="8">
        <v>46091.0</v>
      </c>
      <c r="B189" s="4" t="s">
        <v>818</v>
      </c>
      <c r="C189" s="5">
        <v>9.359E7</v>
      </c>
      <c r="D189" s="5">
        <v>0.0</v>
      </c>
      <c r="E189" s="5">
        <f t="shared" si="1"/>
        <v>71081131.48</v>
      </c>
      <c r="F189" s="15" t="s">
        <v>58</v>
      </c>
      <c r="G189" s="4" t="s">
        <v>59</v>
      </c>
      <c r="H189" s="4" t="s">
        <v>408</v>
      </c>
    </row>
    <row r="190" ht="15.75" customHeight="1">
      <c r="A190" s="8">
        <v>46091.0</v>
      </c>
      <c r="B190" s="4" t="s">
        <v>820</v>
      </c>
      <c r="C190" s="5">
        <v>2270000.0</v>
      </c>
      <c r="D190" s="5">
        <v>0.0</v>
      </c>
      <c r="E190" s="5">
        <f t="shared" si="1"/>
        <v>68811131.48</v>
      </c>
      <c r="F190" s="15" t="s">
        <v>58</v>
      </c>
      <c r="G190" s="4" t="s">
        <v>59</v>
      </c>
      <c r="H190" s="4" t="s">
        <v>458</v>
      </c>
    </row>
    <row r="191" ht="15.75" customHeight="1">
      <c r="A191" s="8">
        <v>46092.0</v>
      </c>
      <c r="B191" s="4" t="s">
        <v>823</v>
      </c>
      <c r="C191" s="5">
        <v>0.0</v>
      </c>
      <c r="D191" s="5">
        <v>2.5E8</v>
      </c>
      <c r="E191" s="5">
        <f t="shared" si="1"/>
        <v>318811131.5</v>
      </c>
      <c r="F191" s="15" t="s">
        <v>21</v>
      </c>
      <c r="G191" s="4" t="s">
        <v>826</v>
      </c>
    </row>
    <row r="192" ht="15.75" customHeight="1">
      <c r="A192" s="8">
        <v>46092.0</v>
      </c>
      <c r="B192" s="4" t="s">
        <v>828</v>
      </c>
      <c r="C192" s="5">
        <v>0.0</v>
      </c>
      <c r="D192" s="5">
        <v>2.5E8</v>
      </c>
      <c r="E192" s="5">
        <f t="shared" si="1"/>
        <v>568811131.5</v>
      </c>
      <c r="F192" s="15" t="s">
        <v>93</v>
      </c>
      <c r="G192" s="15" t="s">
        <v>93</v>
      </c>
      <c r="H192" s="4" t="s">
        <v>20</v>
      </c>
    </row>
    <row r="193" ht="15.75" customHeight="1">
      <c r="A193" s="8">
        <v>46092.0</v>
      </c>
      <c r="B193" s="4" t="s">
        <v>828</v>
      </c>
      <c r="C193" s="5">
        <v>0.0</v>
      </c>
      <c r="D193" s="5">
        <v>2.5E8</v>
      </c>
      <c r="E193" s="5">
        <f t="shared" si="1"/>
        <v>818811131.5</v>
      </c>
      <c r="F193" s="15" t="s">
        <v>93</v>
      </c>
      <c r="G193" s="15" t="s">
        <v>93</v>
      </c>
      <c r="H193" s="4" t="s">
        <v>20</v>
      </c>
    </row>
    <row r="194" ht="15.75" customHeight="1">
      <c r="A194" s="8">
        <v>46092.0</v>
      </c>
      <c r="B194" s="4" t="s">
        <v>832</v>
      </c>
      <c r="C194" s="5">
        <v>0.0</v>
      </c>
      <c r="D194" s="5">
        <v>2.5E8</v>
      </c>
      <c r="E194" s="5">
        <f t="shared" si="1"/>
        <v>1068811131</v>
      </c>
      <c r="F194" s="15" t="s">
        <v>93</v>
      </c>
      <c r="G194" s="15" t="s">
        <v>93</v>
      </c>
      <c r="H194" s="4" t="s">
        <v>20</v>
      </c>
    </row>
    <row r="195" ht="15.75" customHeight="1">
      <c r="A195" s="8">
        <v>46092.0</v>
      </c>
      <c r="B195" s="4" t="s">
        <v>832</v>
      </c>
      <c r="C195" s="5">
        <v>0.0</v>
      </c>
      <c r="D195" s="5">
        <v>2.5E8</v>
      </c>
      <c r="E195" s="5">
        <f t="shared" si="1"/>
        <v>1318811131</v>
      </c>
      <c r="F195" s="15" t="s">
        <v>93</v>
      </c>
      <c r="G195" s="15" t="s">
        <v>93</v>
      </c>
      <c r="H195" s="4" t="s">
        <v>20</v>
      </c>
    </row>
    <row r="196" ht="15.75" customHeight="1">
      <c r="A196" s="8">
        <v>46092.0</v>
      </c>
      <c r="B196" s="4" t="s">
        <v>837</v>
      </c>
      <c r="C196" s="5">
        <v>1.17995E9</v>
      </c>
      <c r="D196" s="5">
        <v>0.0</v>
      </c>
      <c r="E196" s="5">
        <f t="shared" si="1"/>
        <v>138861131.5</v>
      </c>
      <c r="F196" s="15" t="s">
        <v>58</v>
      </c>
      <c r="G196" s="4" t="s">
        <v>59</v>
      </c>
      <c r="H196" s="4" t="s">
        <v>408</v>
      </c>
    </row>
    <row r="197" ht="15.75" customHeight="1">
      <c r="A197" s="8">
        <v>46093.0</v>
      </c>
      <c r="B197" s="4" t="s">
        <v>840</v>
      </c>
      <c r="C197" s="5">
        <v>1.0E8</v>
      </c>
      <c r="D197" s="5">
        <v>0.0</v>
      </c>
      <c r="E197" s="5">
        <f t="shared" si="1"/>
        <v>38861131.48</v>
      </c>
      <c r="F197" s="15" t="s">
        <v>21</v>
      </c>
      <c r="G197" s="4" t="s">
        <v>842</v>
      </c>
    </row>
    <row r="198" ht="15.75" customHeight="1">
      <c r="A198" s="8">
        <v>46093.0</v>
      </c>
      <c r="B198" s="4" t="s">
        <v>844</v>
      </c>
      <c r="C198" s="5">
        <v>2500.0</v>
      </c>
      <c r="D198" s="5">
        <v>0.0</v>
      </c>
      <c r="E198" s="5">
        <f t="shared" si="1"/>
        <v>38858631.48</v>
      </c>
      <c r="F198" s="15" t="s">
        <v>43</v>
      </c>
      <c r="G198" s="4" t="s">
        <v>45</v>
      </c>
    </row>
    <row r="199" ht="15.75" customHeight="1">
      <c r="A199" s="8">
        <v>46093.0</v>
      </c>
      <c r="B199" s="4" t="s">
        <v>846</v>
      </c>
      <c r="C199" s="5">
        <v>3.0E7</v>
      </c>
      <c r="D199" s="5">
        <v>0.0</v>
      </c>
      <c r="E199" s="5">
        <f t="shared" si="1"/>
        <v>8858631.48</v>
      </c>
      <c r="F199" s="15" t="s">
        <v>58</v>
      </c>
      <c r="G199" s="4" t="s">
        <v>59</v>
      </c>
      <c r="H199" s="4" t="s">
        <v>404</v>
      </c>
    </row>
    <row r="200" ht="15.75" customHeight="1">
      <c r="A200" s="8">
        <v>46093.0</v>
      </c>
      <c r="B200" s="4" t="s">
        <v>849</v>
      </c>
      <c r="C200" s="5">
        <f>5014000-C201+D202</f>
        <v>4600000</v>
      </c>
      <c r="D200" s="5">
        <v>0.0</v>
      </c>
      <c r="E200" s="5">
        <f t="shared" si="1"/>
        <v>4258631.48</v>
      </c>
      <c r="F200" s="15" t="s">
        <v>50</v>
      </c>
      <c r="G200" s="4" t="s">
        <v>245</v>
      </c>
      <c r="H200" s="4" t="s">
        <v>246</v>
      </c>
    </row>
    <row r="201" ht="15.75" customHeight="1">
      <c r="A201" s="8">
        <v>46093.0</v>
      </c>
      <c r="B201" s="4" t="s">
        <v>849</v>
      </c>
      <c r="C201" s="5">
        <v>506000.0</v>
      </c>
      <c r="D201" s="5">
        <v>0.0</v>
      </c>
      <c r="E201" s="5">
        <f t="shared" si="1"/>
        <v>3752631.48</v>
      </c>
      <c r="F201" s="4" t="s">
        <v>21</v>
      </c>
      <c r="G201" s="4" t="s">
        <v>184</v>
      </c>
      <c r="H201" s="4" t="s">
        <v>859</v>
      </c>
    </row>
    <row r="202" ht="15.75" customHeight="1">
      <c r="A202" s="8">
        <v>46093.0</v>
      </c>
      <c r="B202" s="4" t="s">
        <v>849</v>
      </c>
      <c r="C202" s="5">
        <v>0.0</v>
      </c>
      <c r="D202" s="5">
        <v>92000.0</v>
      </c>
      <c r="E202" s="5">
        <f t="shared" si="1"/>
        <v>3844631.48</v>
      </c>
      <c r="F202" s="15" t="s">
        <v>21</v>
      </c>
      <c r="G202" s="15" t="s">
        <v>190</v>
      </c>
      <c r="H202" s="4" t="s">
        <v>191</v>
      </c>
      <c r="I202" s="4" t="s">
        <v>254</v>
      </c>
    </row>
    <row r="203" ht="15.75" customHeight="1">
      <c r="A203" s="8">
        <v>46094.0</v>
      </c>
      <c r="B203" s="4" t="s">
        <v>863</v>
      </c>
      <c r="C203" s="5">
        <v>0.0</v>
      </c>
      <c r="D203" s="5">
        <v>4.558E8</v>
      </c>
      <c r="E203" s="5">
        <f t="shared" si="1"/>
        <v>459644631.5</v>
      </c>
      <c r="F203" s="15" t="s">
        <v>21</v>
      </c>
      <c r="G203" s="4" t="s">
        <v>41</v>
      </c>
      <c r="H203" s="4" t="s">
        <v>869</v>
      </c>
      <c r="I203" s="4" t="s">
        <v>412</v>
      </c>
    </row>
    <row r="204" ht="15.75" customHeight="1">
      <c r="A204" s="8">
        <v>46094.0</v>
      </c>
      <c r="B204" s="4" t="s">
        <v>753</v>
      </c>
      <c r="C204" s="5">
        <v>0.0</v>
      </c>
      <c r="D204" s="5">
        <v>1.795E8</v>
      </c>
      <c r="E204" s="5">
        <f t="shared" si="1"/>
        <v>639144631.5</v>
      </c>
      <c r="F204" s="15" t="s">
        <v>21</v>
      </c>
      <c r="G204" s="14" t="s">
        <v>169</v>
      </c>
    </row>
    <row r="205" ht="15.75" customHeight="1">
      <c r="A205" s="8">
        <v>46097.0</v>
      </c>
      <c r="B205" s="4" t="s">
        <v>875</v>
      </c>
      <c r="C205" s="5">
        <v>2.5E8</v>
      </c>
      <c r="D205" s="5">
        <v>0.0</v>
      </c>
      <c r="E205" s="5">
        <f t="shared" si="1"/>
        <v>389144631.5</v>
      </c>
      <c r="F205" s="15" t="s">
        <v>93</v>
      </c>
      <c r="G205" s="15" t="s">
        <v>93</v>
      </c>
      <c r="H205" s="4" t="s">
        <v>20</v>
      </c>
    </row>
    <row r="206" ht="15.75" customHeight="1">
      <c r="A206" s="8">
        <v>46097.0</v>
      </c>
      <c r="B206" s="4" t="s">
        <v>879</v>
      </c>
      <c r="C206" s="5">
        <v>2500.0</v>
      </c>
      <c r="D206" s="5">
        <v>0.0</v>
      </c>
      <c r="E206" s="5">
        <f t="shared" si="1"/>
        <v>389142131.5</v>
      </c>
      <c r="F206" s="15" t="s">
        <v>43</v>
      </c>
      <c r="G206" s="4" t="s">
        <v>45</v>
      </c>
    </row>
    <row r="207" ht="15.75" customHeight="1">
      <c r="A207" s="8">
        <v>46097.0</v>
      </c>
      <c r="B207" s="4" t="s">
        <v>881</v>
      </c>
      <c r="C207" s="5">
        <v>0.0</v>
      </c>
      <c r="D207" s="5">
        <v>2011700.0</v>
      </c>
      <c r="E207" s="5">
        <f t="shared" si="1"/>
        <v>391153831.5</v>
      </c>
      <c r="F207" s="15" t="s">
        <v>21</v>
      </c>
      <c r="G207" s="4" t="s">
        <v>41</v>
      </c>
      <c r="H207" s="4" t="s">
        <v>745</v>
      </c>
      <c r="I207" s="4" t="s">
        <v>539</v>
      </c>
    </row>
    <row r="208" ht="15.75" customHeight="1">
      <c r="A208" s="8">
        <v>46098.0</v>
      </c>
      <c r="B208" s="4" t="s">
        <v>884</v>
      </c>
      <c r="C208" s="5">
        <v>2.5E8</v>
      </c>
      <c r="D208" s="5">
        <v>0.0</v>
      </c>
      <c r="E208" s="5">
        <f t="shared" si="1"/>
        <v>141153831.5</v>
      </c>
      <c r="F208" s="15" t="s">
        <v>93</v>
      </c>
      <c r="G208" s="15" t="s">
        <v>93</v>
      </c>
      <c r="H208" s="4" t="s">
        <v>20</v>
      </c>
    </row>
    <row r="209" ht="15.75" customHeight="1">
      <c r="A209" s="8">
        <v>46098.0</v>
      </c>
      <c r="B209" s="4" t="s">
        <v>885</v>
      </c>
      <c r="C209" s="5">
        <v>2500.0</v>
      </c>
      <c r="D209" s="5">
        <v>0.0</v>
      </c>
      <c r="E209" s="5">
        <f t="shared" si="1"/>
        <v>141151331.5</v>
      </c>
      <c r="F209" s="15" t="s">
        <v>43</v>
      </c>
      <c r="G209" s="4" t="s">
        <v>45</v>
      </c>
    </row>
    <row r="210" ht="15.75" customHeight="1">
      <c r="A210" s="8">
        <v>46098.0</v>
      </c>
      <c r="B210" s="4" t="s">
        <v>457</v>
      </c>
      <c r="C210" s="5">
        <v>0.0</v>
      </c>
      <c r="D210" s="5">
        <v>2.5E8</v>
      </c>
      <c r="E210" s="5">
        <f t="shared" si="1"/>
        <v>391151331.5</v>
      </c>
      <c r="F210" s="15" t="s">
        <v>21</v>
      </c>
      <c r="G210" s="14" t="s">
        <v>190</v>
      </c>
    </row>
    <row r="211" ht="15.75" customHeight="1">
      <c r="A211" s="8">
        <v>46098.0</v>
      </c>
      <c r="B211" s="4" t="s">
        <v>457</v>
      </c>
      <c r="C211" s="5">
        <v>0.0</v>
      </c>
      <c r="D211" s="5">
        <v>2.5E8</v>
      </c>
      <c r="E211" s="5">
        <f t="shared" si="1"/>
        <v>641151331.5</v>
      </c>
      <c r="F211" s="15" t="s">
        <v>21</v>
      </c>
      <c r="G211" s="14" t="s">
        <v>190</v>
      </c>
    </row>
    <row r="212" ht="15.75" customHeight="1">
      <c r="A212" s="8">
        <v>46098.0</v>
      </c>
      <c r="B212" s="4" t="s">
        <v>457</v>
      </c>
      <c r="C212" s="5">
        <v>0.0</v>
      </c>
      <c r="D212" s="5">
        <v>2.5E8</v>
      </c>
      <c r="E212" s="5">
        <f t="shared" si="1"/>
        <v>891151331.5</v>
      </c>
      <c r="F212" s="15" t="s">
        <v>21</v>
      </c>
      <c r="G212" s="14" t="s">
        <v>190</v>
      </c>
    </row>
    <row r="213" ht="15.75" customHeight="1">
      <c r="A213" s="8">
        <v>46098.0</v>
      </c>
      <c r="B213" s="4" t="s">
        <v>457</v>
      </c>
      <c r="C213" s="5">
        <v>0.0</v>
      </c>
      <c r="D213" s="5">
        <v>2.5E8</v>
      </c>
      <c r="E213" s="5">
        <f t="shared" si="1"/>
        <v>1141151331</v>
      </c>
      <c r="F213" s="15" t="s">
        <v>21</v>
      </c>
      <c r="G213" s="14" t="s">
        <v>190</v>
      </c>
    </row>
    <row r="214" ht="15.75" customHeight="1">
      <c r="A214" s="8">
        <v>46098.0</v>
      </c>
      <c r="B214" s="4" t="s">
        <v>457</v>
      </c>
      <c r="C214" s="5">
        <v>0.0</v>
      </c>
      <c r="D214" s="5">
        <v>2.5E8</v>
      </c>
      <c r="E214" s="5">
        <f t="shared" si="1"/>
        <v>1391151331</v>
      </c>
      <c r="F214" s="15" t="s">
        <v>21</v>
      </c>
      <c r="G214" s="14" t="s">
        <v>190</v>
      </c>
    </row>
    <row r="215" ht="15.75" customHeight="1">
      <c r="A215" s="8">
        <v>46098.0</v>
      </c>
      <c r="B215" s="4" t="s">
        <v>457</v>
      </c>
      <c r="C215" s="5">
        <v>0.0</v>
      </c>
      <c r="D215" s="5">
        <v>2.5E8</v>
      </c>
      <c r="E215" s="5">
        <f t="shared" si="1"/>
        <v>1641151331</v>
      </c>
      <c r="F215" s="15" t="s">
        <v>21</v>
      </c>
      <c r="G215" s="14" t="s">
        <v>190</v>
      </c>
    </row>
    <row r="216" ht="15.75" customHeight="1">
      <c r="A216" s="8">
        <v>46098.0</v>
      </c>
      <c r="B216" s="4" t="s">
        <v>897</v>
      </c>
      <c r="C216" s="5">
        <v>1.17995E9</v>
      </c>
      <c r="D216" s="5">
        <v>0.0</v>
      </c>
      <c r="E216" s="5">
        <f t="shared" si="1"/>
        <v>461201331.5</v>
      </c>
      <c r="F216" s="15" t="s">
        <v>58</v>
      </c>
      <c r="G216" s="4" t="s">
        <v>59</v>
      </c>
      <c r="H216" s="4" t="s">
        <v>408</v>
      </c>
    </row>
    <row r="217" ht="15.75" customHeight="1">
      <c r="A217" s="8">
        <v>46098.0</v>
      </c>
      <c r="B217" s="4" t="s">
        <v>901</v>
      </c>
      <c r="C217" s="5">
        <v>2.2415094E7</v>
      </c>
      <c r="D217" s="5">
        <v>0.0</v>
      </c>
      <c r="E217" s="5">
        <f t="shared" si="1"/>
        <v>438786237.5</v>
      </c>
      <c r="F217" s="15" t="s">
        <v>21</v>
      </c>
      <c r="G217" s="4" t="s">
        <v>184</v>
      </c>
      <c r="H217" s="4" t="s">
        <v>905</v>
      </c>
      <c r="I217" s="4" t="s">
        <v>44</v>
      </c>
    </row>
    <row r="218" ht="15.75" customHeight="1">
      <c r="A218" s="8">
        <v>46098.0</v>
      </c>
      <c r="B218" s="4" t="s">
        <v>906</v>
      </c>
      <c r="C218" s="5">
        <v>9.359E7</v>
      </c>
      <c r="D218" s="5">
        <v>0.0</v>
      </c>
      <c r="E218" s="5">
        <f t="shared" si="1"/>
        <v>345196237.5</v>
      </c>
      <c r="F218" s="15" t="s">
        <v>58</v>
      </c>
      <c r="G218" s="4" t="s">
        <v>59</v>
      </c>
      <c r="H218" s="4" t="s">
        <v>408</v>
      </c>
    </row>
    <row r="219" ht="15.75" customHeight="1">
      <c r="A219" s="8">
        <v>46098.0</v>
      </c>
      <c r="B219" s="4" t="s">
        <v>910</v>
      </c>
      <c r="C219" s="5">
        <v>2.6E7</v>
      </c>
      <c r="D219" s="5">
        <v>0.0</v>
      </c>
      <c r="E219" s="5">
        <f t="shared" si="1"/>
        <v>319196237.5</v>
      </c>
      <c r="F219" s="15" t="s">
        <v>58</v>
      </c>
      <c r="G219" s="4" t="s">
        <v>59</v>
      </c>
      <c r="H219" s="4" t="s">
        <v>408</v>
      </c>
    </row>
    <row r="220" ht="15.75" customHeight="1">
      <c r="A220" s="8">
        <v>46098.0</v>
      </c>
      <c r="B220" s="4" t="s">
        <v>913</v>
      </c>
      <c r="C220" s="5">
        <v>4600000.0</v>
      </c>
      <c r="D220" s="5">
        <v>0.0</v>
      </c>
      <c r="E220" s="5">
        <f t="shared" si="1"/>
        <v>314596237.5</v>
      </c>
      <c r="F220" s="15" t="s">
        <v>58</v>
      </c>
      <c r="G220" s="4" t="s">
        <v>59</v>
      </c>
      <c r="H220" s="4" t="s">
        <v>408</v>
      </c>
    </row>
    <row r="221" ht="15.75" customHeight="1">
      <c r="A221" s="8">
        <v>46098.0</v>
      </c>
      <c r="B221" s="4" t="s">
        <v>917</v>
      </c>
      <c r="C221" s="5">
        <v>5500000.0</v>
      </c>
      <c r="D221" s="5">
        <v>0.0</v>
      </c>
      <c r="E221" s="5">
        <f t="shared" si="1"/>
        <v>309096237.5</v>
      </c>
      <c r="F221" s="15" t="s">
        <v>58</v>
      </c>
      <c r="G221" s="4" t="s">
        <v>59</v>
      </c>
      <c r="H221" s="4" t="s">
        <v>408</v>
      </c>
    </row>
    <row r="222" ht="15.75" customHeight="1">
      <c r="A222" s="8">
        <v>46098.0</v>
      </c>
      <c r="B222" s="4" t="s">
        <v>920</v>
      </c>
      <c r="C222" s="5">
        <v>2.55E7</v>
      </c>
      <c r="D222" s="5">
        <v>0.0</v>
      </c>
      <c r="E222" s="5">
        <f t="shared" si="1"/>
        <v>283596237.5</v>
      </c>
      <c r="F222" s="15" t="s">
        <v>58</v>
      </c>
      <c r="G222" s="4" t="s">
        <v>59</v>
      </c>
      <c r="H222" s="4" t="s">
        <v>408</v>
      </c>
    </row>
    <row r="223" ht="15.75" customHeight="1">
      <c r="A223" s="8">
        <v>46098.0</v>
      </c>
      <c r="B223" s="4" t="s">
        <v>924</v>
      </c>
      <c r="C223" s="5">
        <v>3.52E7</v>
      </c>
      <c r="D223" s="5">
        <v>0.0</v>
      </c>
      <c r="E223" s="5">
        <f t="shared" si="1"/>
        <v>248396237.5</v>
      </c>
      <c r="F223" s="15" t="s">
        <v>21</v>
      </c>
      <c r="G223" s="4" t="s">
        <v>184</v>
      </c>
      <c r="H223" s="4" t="s">
        <v>926</v>
      </c>
      <c r="I223" s="4" t="s">
        <v>658</v>
      </c>
    </row>
    <row r="224" ht="15.75" customHeight="1">
      <c r="A224" s="8">
        <v>46098.0</v>
      </c>
      <c r="B224" s="4" t="s">
        <v>928</v>
      </c>
      <c r="C224" s="5">
        <v>5000000.0</v>
      </c>
      <c r="D224" s="5">
        <v>0.0</v>
      </c>
      <c r="E224" s="5">
        <f t="shared" si="1"/>
        <v>243396237.5</v>
      </c>
      <c r="F224" s="15" t="s">
        <v>58</v>
      </c>
      <c r="G224" s="4" t="s">
        <v>59</v>
      </c>
      <c r="H224" s="4" t="s">
        <v>931</v>
      </c>
    </row>
    <row r="225" ht="15.75" customHeight="1">
      <c r="A225" s="8">
        <v>46098.0</v>
      </c>
      <c r="B225" s="4" t="s">
        <v>932</v>
      </c>
      <c r="C225" s="5">
        <v>1663500.0</v>
      </c>
      <c r="D225" s="5">
        <v>0.0</v>
      </c>
      <c r="E225" s="5">
        <f t="shared" si="1"/>
        <v>241732737.5</v>
      </c>
      <c r="F225" s="15" t="s">
        <v>58</v>
      </c>
      <c r="G225" s="4" t="s">
        <v>59</v>
      </c>
      <c r="H225" s="14" t="s">
        <v>234</v>
      </c>
    </row>
    <row r="226" ht="15.75" customHeight="1">
      <c r="A226" s="8">
        <v>46098.0</v>
      </c>
      <c r="B226" s="4" t="s">
        <v>936</v>
      </c>
      <c r="C226" s="5">
        <v>5000000.0</v>
      </c>
      <c r="D226" s="5">
        <v>0.0</v>
      </c>
      <c r="E226" s="5">
        <f t="shared" si="1"/>
        <v>236732737.5</v>
      </c>
      <c r="F226" s="15" t="s">
        <v>58</v>
      </c>
      <c r="G226" s="4" t="s">
        <v>59</v>
      </c>
      <c r="H226" s="4" t="s">
        <v>61</v>
      </c>
    </row>
    <row r="227" ht="15.75" customHeight="1">
      <c r="A227" s="8">
        <v>46098.0</v>
      </c>
      <c r="B227" s="4" t="s">
        <v>939</v>
      </c>
      <c r="C227" s="5">
        <v>1500000.0</v>
      </c>
      <c r="D227" s="5">
        <v>0.0</v>
      </c>
      <c r="E227" s="5">
        <f t="shared" si="1"/>
        <v>235232737.5</v>
      </c>
      <c r="F227" s="14" t="s">
        <v>58</v>
      </c>
      <c r="G227" s="14" t="s">
        <v>59</v>
      </c>
      <c r="H227" s="4" t="s">
        <v>238</v>
      </c>
    </row>
    <row r="228" ht="15.75" customHeight="1">
      <c r="A228" s="8">
        <v>46098.0</v>
      </c>
      <c r="B228" s="4" t="s">
        <v>942</v>
      </c>
      <c r="C228" s="5">
        <v>1500000.0</v>
      </c>
      <c r="D228" s="5">
        <v>0.0</v>
      </c>
      <c r="E228" s="5">
        <f t="shared" si="1"/>
        <v>233732737.5</v>
      </c>
      <c r="F228" s="15" t="s">
        <v>58</v>
      </c>
      <c r="G228" s="4" t="s">
        <v>59</v>
      </c>
      <c r="H228" s="4" t="s">
        <v>931</v>
      </c>
    </row>
    <row r="229" ht="15.75" customHeight="1">
      <c r="A229" s="8">
        <v>46098.0</v>
      </c>
      <c r="B229" s="4" t="s">
        <v>945</v>
      </c>
      <c r="C229" s="5">
        <v>500000.0</v>
      </c>
      <c r="D229" s="5">
        <v>0.0</v>
      </c>
      <c r="E229" s="5">
        <f t="shared" si="1"/>
        <v>233232737.5</v>
      </c>
      <c r="F229" s="15" t="s">
        <v>58</v>
      </c>
      <c r="G229" s="4" t="s">
        <v>59</v>
      </c>
      <c r="H229" s="4" t="s">
        <v>931</v>
      </c>
    </row>
    <row r="230" ht="15.75" customHeight="1">
      <c r="A230" s="8">
        <v>46098.0</v>
      </c>
      <c r="B230" s="4" t="s">
        <v>948</v>
      </c>
      <c r="C230" s="5">
        <v>3200000.0</v>
      </c>
      <c r="D230" s="5">
        <v>0.0</v>
      </c>
      <c r="E230" s="5">
        <f t="shared" si="1"/>
        <v>230032737.5</v>
      </c>
      <c r="F230" s="15" t="s">
        <v>58</v>
      </c>
      <c r="G230" s="4" t="s">
        <v>59</v>
      </c>
      <c r="H230" s="4" t="s">
        <v>931</v>
      </c>
    </row>
    <row r="231" ht="15.75" customHeight="1">
      <c r="A231" s="8">
        <v>46098.0</v>
      </c>
      <c r="B231" s="4" t="s">
        <v>951</v>
      </c>
      <c r="C231" s="5">
        <v>2.45E7</v>
      </c>
      <c r="D231" s="5">
        <v>0.0</v>
      </c>
      <c r="E231" s="5">
        <f t="shared" si="1"/>
        <v>205532737.5</v>
      </c>
      <c r="F231" s="15" t="s">
        <v>58</v>
      </c>
      <c r="G231" s="4" t="s">
        <v>59</v>
      </c>
      <c r="H231" s="4" t="s">
        <v>408</v>
      </c>
    </row>
    <row r="232" ht="15.75" customHeight="1">
      <c r="A232" s="8">
        <v>46098.0</v>
      </c>
      <c r="B232" s="4" t="s">
        <v>955</v>
      </c>
      <c r="C232" s="5">
        <v>750000.0</v>
      </c>
      <c r="D232" s="5">
        <v>0.0</v>
      </c>
      <c r="E232" s="5">
        <f t="shared" si="1"/>
        <v>204782737.5</v>
      </c>
      <c r="F232" s="15" t="s">
        <v>58</v>
      </c>
      <c r="G232" s="4" t="s">
        <v>59</v>
      </c>
      <c r="H232" s="14" t="s">
        <v>234</v>
      </c>
    </row>
    <row r="233" ht="15.75" customHeight="1">
      <c r="A233" s="8">
        <v>46098.0</v>
      </c>
      <c r="B233" s="4" t="s">
        <v>959</v>
      </c>
      <c r="C233" s="5">
        <v>5785250.0</v>
      </c>
      <c r="D233" s="5">
        <v>0.0</v>
      </c>
      <c r="E233" s="5">
        <f t="shared" si="1"/>
        <v>198997487.5</v>
      </c>
      <c r="F233" s="15" t="s">
        <v>21</v>
      </c>
      <c r="G233" s="4" t="s">
        <v>184</v>
      </c>
      <c r="H233" s="4" t="s">
        <v>962</v>
      </c>
      <c r="I233" s="4" t="s">
        <v>963</v>
      </c>
    </row>
    <row r="234" ht="15.75" customHeight="1">
      <c r="A234" s="8">
        <v>46098.0</v>
      </c>
      <c r="B234" s="4" t="s">
        <v>965</v>
      </c>
      <c r="C234" s="5">
        <v>6797280.0</v>
      </c>
      <c r="D234" s="5">
        <v>0.0</v>
      </c>
      <c r="E234" s="5">
        <f t="shared" si="1"/>
        <v>192200207.5</v>
      </c>
      <c r="F234" s="15" t="s">
        <v>58</v>
      </c>
      <c r="G234" s="4" t="s">
        <v>59</v>
      </c>
      <c r="H234" s="4" t="s">
        <v>404</v>
      </c>
    </row>
    <row r="235" ht="15.75" customHeight="1">
      <c r="A235" s="8">
        <v>46098.0</v>
      </c>
      <c r="B235" s="4" t="s">
        <v>970</v>
      </c>
      <c r="C235" s="5">
        <v>9000000.0</v>
      </c>
      <c r="D235" s="5">
        <v>0.0</v>
      </c>
      <c r="E235" s="5">
        <f t="shared" si="1"/>
        <v>183200207.5</v>
      </c>
      <c r="F235" s="15" t="s">
        <v>58</v>
      </c>
      <c r="G235" s="4" t="s">
        <v>59</v>
      </c>
      <c r="H235" s="4" t="s">
        <v>408</v>
      </c>
    </row>
    <row r="236" ht="15.75" customHeight="1">
      <c r="A236" s="8">
        <v>46098.0</v>
      </c>
      <c r="B236" s="4" t="s">
        <v>974</v>
      </c>
      <c r="C236" s="5">
        <v>2.6E7</v>
      </c>
      <c r="D236" s="5">
        <v>0.0</v>
      </c>
      <c r="E236" s="5">
        <f t="shared" si="1"/>
        <v>157200207.5</v>
      </c>
      <c r="F236" s="15" t="s">
        <v>58</v>
      </c>
      <c r="G236" s="4" t="s">
        <v>59</v>
      </c>
      <c r="H236" s="4" t="s">
        <v>408</v>
      </c>
    </row>
    <row r="237" ht="15.75" customHeight="1">
      <c r="A237" s="8">
        <v>46098.0</v>
      </c>
      <c r="B237" s="4" t="s">
        <v>979</v>
      </c>
      <c r="C237" s="5">
        <v>8500000.0</v>
      </c>
      <c r="D237" s="5">
        <v>0.0</v>
      </c>
      <c r="E237" s="5">
        <f t="shared" si="1"/>
        <v>148700207.5</v>
      </c>
      <c r="F237" s="15" t="s">
        <v>58</v>
      </c>
      <c r="G237" s="4" t="s">
        <v>59</v>
      </c>
      <c r="H237" s="4" t="s">
        <v>931</v>
      </c>
    </row>
    <row r="238" ht="15.75" customHeight="1">
      <c r="A238" s="8">
        <v>46098.0</v>
      </c>
      <c r="B238" s="4" t="s">
        <v>982</v>
      </c>
      <c r="C238" s="5">
        <v>3500000.0</v>
      </c>
      <c r="D238" s="5">
        <v>0.0</v>
      </c>
      <c r="E238" s="5">
        <f t="shared" si="1"/>
        <v>145200207.5</v>
      </c>
      <c r="F238" s="15" t="s">
        <v>58</v>
      </c>
      <c r="G238" s="4" t="s">
        <v>59</v>
      </c>
      <c r="H238" s="4" t="s">
        <v>408</v>
      </c>
    </row>
    <row r="239" ht="15.75" customHeight="1">
      <c r="A239" s="8">
        <v>46098.0</v>
      </c>
      <c r="B239" s="4" t="s">
        <v>983</v>
      </c>
      <c r="C239" s="5">
        <v>4000000.0</v>
      </c>
      <c r="D239" s="5">
        <v>0.0</v>
      </c>
      <c r="E239" s="5">
        <f t="shared" si="1"/>
        <v>141200207.5</v>
      </c>
      <c r="F239" s="15" t="s">
        <v>58</v>
      </c>
      <c r="G239" s="4" t="s">
        <v>59</v>
      </c>
      <c r="H239" s="4" t="s">
        <v>408</v>
      </c>
    </row>
    <row r="240" ht="15.75" customHeight="1">
      <c r="A240" s="8">
        <v>46098.0</v>
      </c>
      <c r="B240" s="4" t="s">
        <v>986</v>
      </c>
      <c r="C240" s="5">
        <v>2000000.0</v>
      </c>
      <c r="D240" s="5">
        <v>0.0</v>
      </c>
      <c r="E240" s="5">
        <f t="shared" si="1"/>
        <v>139200207.5</v>
      </c>
      <c r="F240" s="15" t="s">
        <v>58</v>
      </c>
      <c r="G240" s="4" t="s">
        <v>59</v>
      </c>
      <c r="H240" s="4" t="s">
        <v>408</v>
      </c>
    </row>
    <row r="241" ht="15.75" customHeight="1">
      <c r="A241" s="8">
        <v>46098.0</v>
      </c>
      <c r="B241" s="4" t="s">
        <v>991</v>
      </c>
      <c r="C241" s="5">
        <f>14700000+D242</f>
        <v>15000000</v>
      </c>
      <c r="D241" s="5">
        <v>0.0</v>
      </c>
      <c r="E241" s="5">
        <f t="shared" si="1"/>
        <v>124200207.5</v>
      </c>
      <c r="F241" s="15" t="s">
        <v>58</v>
      </c>
      <c r="G241" s="4" t="s">
        <v>59</v>
      </c>
      <c r="H241" s="4" t="s">
        <v>408</v>
      </c>
    </row>
    <row r="242" ht="15.75" customHeight="1">
      <c r="A242" s="8">
        <v>46098.0</v>
      </c>
      <c r="B242" s="4" t="s">
        <v>991</v>
      </c>
      <c r="C242" s="5">
        <v>0.0</v>
      </c>
      <c r="D242" s="5">
        <v>300000.0</v>
      </c>
      <c r="E242" s="5">
        <f t="shared" si="1"/>
        <v>124500207.5</v>
      </c>
      <c r="F242" s="15" t="s">
        <v>21</v>
      </c>
      <c r="G242" s="4" t="s">
        <v>190</v>
      </c>
      <c r="H242" s="4" t="s">
        <v>191</v>
      </c>
    </row>
    <row r="243" ht="15.75" customHeight="1">
      <c r="A243" s="8">
        <v>46098.0</v>
      </c>
      <c r="B243" s="4" t="s">
        <v>999</v>
      </c>
      <c r="C243" s="5">
        <v>4.045E7</v>
      </c>
      <c r="D243" s="5">
        <v>0.0</v>
      </c>
      <c r="E243" s="5">
        <f t="shared" si="1"/>
        <v>84050207.48</v>
      </c>
      <c r="F243" s="15" t="s">
        <v>58</v>
      </c>
      <c r="G243" s="4" t="s">
        <v>59</v>
      </c>
      <c r="H243" s="4" t="s">
        <v>408</v>
      </c>
    </row>
    <row r="244" ht="15.75" customHeight="1">
      <c r="A244" s="8">
        <v>46098.0</v>
      </c>
      <c r="B244" s="4" t="s">
        <v>1002</v>
      </c>
      <c r="C244" s="5">
        <v>1.05E7</v>
      </c>
      <c r="D244" s="5">
        <v>0.0</v>
      </c>
      <c r="E244" s="5">
        <f t="shared" si="1"/>
        <v>73550207.48</v>
      </c>
      <c r="F244" s="15" t="s">
        <v>58</v>
      </c>
      <c r="G244" s="4" t="s">
        <v>59</v>
      </c>
      <c r="H244" s="4" t="s">
        <v>408</v>
      </c>
    </row>
    <row r="245" ht="15.75" customHeight="1">
      <c r="A245" s="8">
        <v>46098.0</v>
      </c>
      <c r="B245" s="4" t="s">
        <v>1004</v>
      </c>
      <c r="C245" s="5">
        <v>3200000.0</v>
      </c>
      <c r="D245" s="5">
        <v>0.0</v>
      </c>
      <c r="E245" s="5">
        <f t="shared" si="1"/>
        <v>70350207.48</v>
      </c>
      <c r="F245" s="15" t="s">
        <v>58</v>
      </c>
      <c r="G245" s="4" t="s">
        <v>59</v>
      </c>
      <c r="H245" s="4" t="s">
        <v>408</v>
      </c>
    </row>
    <row r="246" ht="15.75" customHeight="1">
      <c r="A246" s="8">
        <v>46098.0</v>
      </c>
      <c r="B246" s="4" t="s">
        <v>1006</v>
      </c>
      <c r="C246" s="5">
        <v>3000000.0</v>
      </c>
      <c r="D246" s="5">
        <v>0.0</v>
      </c>
      <c r="E246" s="5">
        <f t="shared" si="1"/>
        <v>67350207.48</v>
      </c>
      <c r="F246" s="15" t="s">
        <v>58</v>
      </c>
      <c r="G246" s="4" t="s">
        <v>59</v>
      </c>
      <c r="H246" s="4" t="s">
        <v>408</v>
      </c>
    </row>
    <row r="247" ht="15.75" customHeight="1">
      <c r="A247" s="8">
        <v>46098.0</v>
      </c>
      <c r="B247" s="4" t="s">
        <v>1009</v>
      </c>
      <c r="C247" s="5">
        <v>9000000.0</v>
      </c>
      <c r="D247" s="5">
        <v>0.0</v>
      </c>
      <c r="E247" s="5">
        <f t="shared" si="1"/>
        <v>58350207.48</v>
      </c>
      <c r="F247" s="15" t="s">
        <v>58</v>
      </c>
      <c r="G247" s="4" t="s">
        <v>59</v>
      </c>
      <c r="H247" s="4" t="s">
        <v>408</v>
      </c>
    </row>
    <row r="248" ht="15.75" customHeight="1">
      <c r="A248" s="8">
        <v>46098.0</v>
      </c>
      <c r="B248" s="4" t="s">
        <v>1013</v>
      </c>
      <c r="C248" s="5">
        <v>5000000.0</v>
      </c>
      <c r="D248" s="5">
        <v>0.0</v>
      </c>
      <c r="E248" s="5">
        <f t="shared" si="1"/>
        <v>53350207.48</v>
      </c>
      <c r="F248" s="15" t="s">
        <v>58</v>
      </c>
      <c r="G248" s="4" t="s">
        <v>59</v>
      </c>
      <c r="H248" s="4" t="s">
        <v>408</v>
      </c>
    </row>
    <row r="249" ht="15.75" customHeight="1">
      <c r="A249" s="12">
        <v>46098.0</v>
      </c>
      <c r="B249" s="4" t="s">
        <v>1018</v>
      </c>
      <c r="C249" s="5">
        <v>2.2875E7</v>
      </c>
      <c r="D249" s="5">
        <v>0.0</v>
      </c>
      <c r="E249" s="5">
        <f t="shared" si="1"/>
        <v>30475207.48</v>
      </c>
      <c r="F249" s="15" t="s">
        <v>58</v>
      </c>
      <c r="G249" s="4" t="s">
        <v>59</v>
      </c>
      <c r="H249" s="4" t="s">
        <v>408</v>
      </c>
    </row>
    <row r="250" ht="15.75" customHeight="1">
      <c r="A250" s="12">
        <v>46098.0</v>
      </c>
      <c r="B250" s="4" t="s">
        <v>457</v>
      </c>
      <c r="C250" s="5">
        <v>0.0</v>
      </c>
      <c r="D250" s="5">
        <v>2.5E8</v>
      </c>
      <c r="E250" s="5">
        <f t="shared" si="1"/>
        <v>280475207.5</v>
      </c>
      <c r="F250" s="15" t="s">
        <v>21</v>
      </c>
      <c r="G250" s="14" t="s">
        <v>190</v>
      </c>
    </row>
    <row r="251" ht="15.75" customHeight="1">
      <c r="A251" s="12">
        <v>46098.0</v>
      </c>
      <c r="B251" s="4" t="s">
        <v>457</v>
      </c>
      <c r="C251" s="5">
        <v>0.0</v>
      </c>
      <c r="D251" s="5">
        <v>2.5E8</v>
      </c>
      <c r="E251" s="5">
        <f t="shared" si="1"/>
        <v>530475207.5</v>
      </c>
      <c r="F251" s="15" t="s">
        <v>21</v>
      </c>
      <c r="G251" s="14" t="s">
        <v>190</v>
      </c>
    </row>
    <row r="252" ht="15.75" customHeight="1">
      <c r="A252" s="12">
        <v>46098.0</v>
      </c>
      <c r="B252" s="4" t="s">
        <v>1025</v>
      </c>
      <c r="C252" s="5">
        <v>1.0449E8</v>
      </c>
      <c r="D252" s="5">
        <v>0.0</v>
      </c>
      <c r="E252" s="5">
        <f t="shared" si="1"/>
        <v>425985207.5</v>
      </c>
      <c r="F252" s="15" t="s">
        <v>58</v>
      </c>
      <c r="G252" s="4" t="s">
        <v>59</v>
      </c>
      <c r="H252" s="15" t="s">
        <v>638</v>
      </c>
    </row>
    <row r="253" ht="15.75" customHeight="1">
      <c r="A253" s="12">
        <v>46098.0</v>
      </c>
      <c r="B253" s="4" t="s">
        <v>884</v>
      </c>
      <c r="C253" s="5">
        <v>2.5E8</v>
      </c>
      <c r="D253" s="5">
        <v>0.0</v>
      </c>
      <c r="E253" s="5">
        <f t="shared" si="1"/>
        <v>175985207.5</v>
      </c>
      <c r="F253" s="15" t="s">
        <v>93</v>
      </c>
      <c r="G253" s="15" t="s">
        <v>93</v>
      </c>
      <c r="H253" s="4" t="s">
        <v>20</v>
      </c>
    </row>
    <row r="254" ht="15.75" customHeight="1">
      <c r="A254" s="12">
        <v>46098.0</v>
      </c>
      <c r="B254" s="4" t="s">
        <v>885</v>
      </c>
      <c r="C254" s="5">
        <v>2500.0</v>
      </c>
      <c r="D254" s="5">
        <v>0.0</v>
      </c>
      <c r="E254" s="5">
        <f t="shared" si="1"/>
        <v>175982707.5</v>
      </c>
      <c r="F254" s="15" t="s">
        <v>43</v>
      </c>
      <c r="G254" s="4" t="s">
        <v>45</v>
      </c>
    </row>
    <row r="255" ht="15.75" customHeight="1">
      <c r="A255" s="12">
        <v>46098.0</v>
      </c>
      <c r="B255" s="4" t="s">
        <v>1032</v>
      </c>
      <c r="C255" s="5">
        <v>5000000.0</v>
      </c>
      <c r="D255" s="5">
        <v>0.0</v>
      </c>
      <c r="E255" s="5">
        <f t="shared" si="1"/>
        <v>170982707.5</v>
      </c>
      <c r="F255" s="15" t="s">
        <v>21</v>
      </c>
      <c r="G255" s="4" t="s">
        <v>184</v>
      </c>
      <c r="H255" s="4" t="s">
        <v>1034</v>
      </c>
      <c r="I255" s="4" t="s">
        <v>203</v>
      </c>
    </row>
    <row r="256" ht="15.75" customHeight="1">
      <c r="A256" s="12">
        <v>46098.0</v>
      </c>
      <c r="B256" s="4" t="s">
        <v>1037</v>
      </c>
      <c r="C256" s="5">
        <f>7996800+D257</f>
        <v>8160000</v>
      </c>
      <c r="D256" s="5">
        <v>0.0</v>
      </c>
      <c r="E256" s="5">
        <f t="shared" si="1"/>
        <v>162822707.5</v>
      </c>
      <c r="F256" s="15" t="s">
        <v>58</v>
      </c>
      <c r="G256" s="15" t="s">
        <v>59</v>
      </c>
      <c r="H256" s="4" t="s">
        <v>408</v>
      </c>
    </row>
    <row r="257" ht="15.75" customHeight="1">
      <c r="A257" s="12">
        <v>46098.0</v>
      </c>
      <c r="B257" s="4" t="s">
        <v>1037</v>
      </c>
      <c r="C257" s="5">
        <v>0.0</v>
      </c>
      <c r="D257" s="5">
        <v>163200.0</v>
      </c>
      <c r="E257" s="5">
        <f t="shared" si="1"/>
        <v>162985907.5</v>
      </c>
      <c r="F257" s="15" t="s">
        <v>21</v>
      </c>
      <c r="G257" s="15" t="s">
        <v>190</v>
      </c>
      <c r="H257" s="4" t="s">
        <v>191</v>
      </c>
    </row>
    <row r="258" ht="15.75" customHeight="1">
      <c r="A258" s="8">
        <v>46102.0</v>
      </c>
      <c r="B258" s="4" t="s">
        <v>1044</v>
      </c>
      <c r="C258" s="5">
        <v>3.3E7</v>
      </c>
      <c r="D258" s="5">
        <v>0.0</v>
      </c>
      <c r="E258" s="5">
        <f t="shared" si="1"/>
        <v>129985907.5</v>
      </c>
      <c r="F258" s="15" t="s">
        <v>58</v>
      </c>
      <c r="G258" s="15" t="s">
        <v>59</v>
      </c>
      <c r="H258" s="4" t="s">
        <v>408</v>
      </c>
    </row>
    <row r="259" ht="15.75" customHeight="1">
      <c r="A259" s="8">
        <v>46102.0</v>
      </c>
      <c r="B259" s="4" t="s">
        <v>1045</v>
      </c>
      <c r="C259" s="5">
        <v>7000000.0</v>
      </c>
      <c r="D259" s="5">
        <v>0.0</v>
      </c>
      <c r="E259" s="5">
        <f t="shared" si="1"/>
        <v>122985907.5</v>
      </c>
      <c r="F259" s="15" t="s">
        <v>58</v>
      </c>
      <c r="G259" s="15" t="s">
        <v>59</v>
      </c>
      <c r="H259" s="4" t="s">
        <v>408</v>
      </c>
    </row>
    <row r="260" ht="15.75" customHeight="1">
      <c r="A260" s="8">
        <v>46106.0</v>
      </c>
      <c r="B260" s="4" t="s">
        <v>1046</v>
      </c>
      <c r="C260" s="5">
        <v>1.0E7</v>
      </c>
      <c r="D260" s="5">
        <v>0.0</v>
      </c>
      <c r="E260" s="5">
        <f t="shared" si="1"/>
        <v>112985907.5</v>
      </c>
      <c r="F260" s="15" t="s">
        <v>21</v>
      </c>
      <c r="G260" s="15" t="s">
        <v>842</v>
      </c>
    </row>
    <row r="261" ht="15.75" customHeight="1">
      <c r="A261" s="8">
        <v>46106.0</v>
      </c>
      <c r="B261" s="4" t="s">
        <v>1047</v>
      </c>
      <c r="C261" s="5">
        <v>2500.0</v>
      </c>
      <c r="D261" s="5">
        <v>0.0</v>
      </c>
      <c r="E261" s="5">
        <f t="shared" si="1"/>
        <v>112983407.5</v>
      </c>
      <c r="F261" s="15" t="s">
        <v>43</v>
      </c>
      <c r="G261" s="15" t="s">
        <v>45</v>
      </c>
    </row>
    <row r="262" ht="15.75" customHeight="1">
      <c r="A262" s="8">
        <v>46108.0</v>
      </c>
      <c r="B262" s="4" t="s">
        <v>1050</v>
      </c>
      <c r="C262" s="5">
        <v>3.5E7</v>
      </c>
      <c r="D262" s="5">
        <v>0.0</v>
      </c>
      <c r="E262" s="5">
        <f t="shared" si="1"/>
        <v>77983407.48</v>
      </c>
      <c r="F262" s="15" t="s">
        <v>21</v>
      </c>
      <c r="G262" s="14" t="s">
        <v>842</v>
      </c>
    </row>
    <row r="263" ht="15.75" customHeight="1">
      <c r="A263" s="8">
        <v>46108.0</v>
      </c>
      <c r="B263" s="4" t="s">
        <v>1053</v>
      </c>
      <c r="C263" s="5">
        <v>2500.0</v>
      </c>
      <c r="D263" s="5">
        <v>0.0</v>
      </c>
      <c r="E263" s="5">
        <f t="shared" si="1"/>
        <v>77980907.48</v>
      </c>
      <c r="F263" s="15" t="s">
        <v>43</v>
      </c>
      <c r="G263" s="15" t="s">
        <v>45</v>
      </c>
    </row>
    <row r="264" ht="15.75" customHeight="1">
      <c r="A264" s="8">
        <v>46108.0</v>
      </c>
      <c r="B264" s="4" t="s">
        <v>1054</v>
      </c>
      <c r="C264" s="5">
        <f>3612661-C265+D266</f>
        <v>3606984</v>
      </c>
      <c r="D264" s="5">
        <v>0.0</v>
      </c>
      <c r="E264" s="5">
        <f t="shared" si="1"/>
        <v>74373923.48</v>
      </c>
      <c r="F264" s="15" t="s">
        <v>58</v>
      </c>
      <c r="G264" s="15" t="s">
        <v>59</v>
      </c>
      <c r="H264" s="15" t="s">
        <v>100</v>
      </c>
    </row>
    <row r="265" ht="15.75" customHeight="1">
      <c r="A265" s="8">
        <v>46108.0</v>
      </c>
      <c r="B265" s="4" t="s">
        <v>1054</v>
      </c>
      <c r="C265" s="5">
        <v>39677.0</v>
      </c>
      <c r="D265" s="5">
        <v>0.0</v>
      </c>
      <c r="E265" s="5">
        <f t="shared" si="1"/>
        <v>74334246.48</v>
      </c>
      <c r="F265" s="15" t="s">
        <v>58</v>
      </c>
      <c r="G265" s="15" t="s">
        <v>59</v>
      </c>
      <c r="H265" s="15" t="s">
        <v>100</v>
      </c>
    </row>
    <row r="266" ht="15.75" customHeight="1">
      <c r="A266" s="8">
        <v>46108.0</v>
      </c>
      <c r="B266" s="4" t="s">
        <v>1054</v>
      </c>
      <c r="C266" s="5">
        <v>0.0</v>
      </c>
      <c r="D266" s="5">
        <v>34000.0</v>
      </c>
      <c r="E266" s="5">
        <f t="shared" si="1"/>
        <v>74368246.48</v>
      </c>
      <c r="F266" s="15" t="s">
        <v>21</v>
      </c>
      <c r="G266" s="15" t="s">
        <v>190</v>
      </c>
      <c r="H266" s="15" t="s">
        <v>191</v>
      </c>
    </row>
    <row r="267" ht="15.75" customHeight="1">
      <c r="A267" s="8">
        <v>46108.0</v>
      </c>
      <c r="B267" s="4" t="s">
        <v>1060</v>
      </c>
      <c r="C267" s="5">
        <v>538548.0</v>
      </c>
      <c r="D267" s="5">
        <v>0.0</v>
      </c>
      <c r="E267" s="5">
        <f t="shared" si="1"/>
        <v>73829698.48</v>
      </c>
      <c r="F267" s="14" t="s">
        <v>93</v>
      </c>
      <c r="G267" s="14" t="s">
        <v>93</v>
      </c>
      <c r="H267" s="14" t="s">
        <v>346</v>
      </c>
    </row>
    <row r="268" ht="15.75" customHeight="1">
      <c r="A268" s="8">
        <v>46108.0</v>
      </c>
      <c r="B268" s="4" t="s">
        <v>424</v>
      </c>
      <c r="C268" s="5">
        <v>3.5E7</v>
      </c>
      <c r="D268" s="5">
        <v>0.0</v>
      </c>
      <c r="E268" s="5">
        <f t="shared" si="1"/>
        <v>38829698.48</v>
      </c>
      <c r="F268" s="15" t="s">
        <v>93</v>
      </c>
      <c r="G268" s="15" t="s">
        <v>93</v>
      </c>
      <c r="H268" s="4" t="s">
        <v>21</v>
      </c>
    </row>
    <row r="269" ht="15.75" customHeight="1">
      <c r="A269" s="8">
        <v>46111.0</v>
      </c>
      <c r="B269" s="4" t="s">
        <v>1062</v>
      </c>
      <c r="C269" s="5">
        <v>1.0E7</v>
      </c>
      <c r="D269" s="5">
        <v>0.0</v>
      </c>
      <c r="E269" s="5">
        <f t="shared" si="1"/>
        <v>28829698.48</v>
      </c>
      <c r="F269" s="15" t="s">
        <v>21</v>
      </c>
      <c r="G269" s="4" t="s">
        <v>184</v>
      </c>
      <c r="H269" s="4" t="s">
        <v>1064</v>
      </c>
      <c r="I269" s="4" t="s">
        <v>539</v>
      </c>
    </row>
    <row r="270" ht="15.75" customHeight="1">
      <c r="A270" s="8">
        <v>46112.0</v>
      </c>
      <c r="B270" s="4" t="s">
        <v>1066</v>
      </c>
      <c r="C270" s="5">
        <v>2.025E7</v>
      </c>
      <c r="D270" s="5">
        <v>0.0</v>
      </c>
      <c r="E270" s="5">
        <f t="shared" si="1"/>
        <v>8579698.48</v>
      </c>
      <c r="F270" s="15" t="s">
        <v>58</v>
      </c>
      <c r="G270" s="15" t="s">
        <v>59</v>
      </c>
      <c r="H270" s="4" t="s">
        <v>61</v>
      </c>
    </row>
    <row r="271" ht="15.75" customHeight="1">
      <c r="A271" s="8">
        <v>46112.0</v>
      </c>
      <c r="B271" s="14" t="s">
        <v>1067</v>
      </c>
      <c r="C271" s="5">
        <v>8401000.0</v>
      </c>
      <c r="D271" s="5">
        <v>0.0</v>
      </c>
      <c r="E271" s="5">
        <f t="shared" si="1"/>
        <v>178698.48</v>
      </c>
      <c r="F271" s="14" t="s">
        <v>58</v>
      </c>
      <c r="G271" s="14" t="s">
        <v>59</v>
      </c>
      <c r="H271" s="14" t="s">
        <v>61</v>
      </c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8">
        <v>46112.0</v>
      </c>
      <c r="B272" s="4" t="s">
        <v>1071</v>
      </c>
      <c r="C272" s="5">
        <v>0.0</v>
      </c>
      <c r="D272" s="5">
        <v>150000.0</v>
      </c>
      <c r="E272" s="5">
        <f t="shared" si="1"/>
        <v>328698.48</v>
      </c>
      <c r="F272" s="15" t="s">
        <v>21</v>
      </c>
      <c r="G272" s="4" t="s">
        <v>826</v>
      </c>
    </row>
    <row r="273" ht="15.75" customHeight="1">
      <c r="A273" s="8">
        <v>46112.0</v>
      </c>
      <c r="B273" s="4" t="s">
        <v>418</v>
      </c>
      <c r="C273" s="5">
        <v>0.0</v>
      </c>
      <c r="D273" s="5">
        <v>2000000.0</v>
      </c>
      <c r="E273" s="5">
        <f t="shared" si="1"/>
        <v>2328698.48</v>
      </c>
      <c r="F273" s="15" t="s">
        <v>21</v>
      </c>
      <c r="G273" s="15" t="s">
        <v>190</v>
      </c>
    </row>
    <row r="274" ht="15.75" customHeight="1">
      <c r="A274" s="8">
        <v>46112.0</v>
      </c>
      <c r="B274" s="4" t="s">
        <v>1074</v>
      </c>
      <c r="C274" s="5">
        <v>0.0</v>
      </c>
      <c r="D274" s="5">
        <v>1000000.0</v>
      </c>
      <c r="E274" s="5">
        <f t="shared" si="1"/>
        <v>3328698.48</v>
      </c>
      <c r="F274" s="15" t="s">
        <v>21</v>
      </c>
      <c r="G274" s="4" t="s">
        <v>1075</v>
      </c>
    </row>
    <row r="275" ht="15.75" customHeight="1">
      <c r="A275" s="8">
        <v>46112.0</v>
      </c>
      <c r="B275" s="4" t="s">
        <v>1076</v>
      </c>
      <c r="C275" s="5">
        <v>0.0</v>
      </c>
      <c r="D275" s="5">
        <v>2.0E7</v>
      </c>
      <c r="E275" s="5">
        <f t="shared" si="1"/>
        <v>23328698.48</v>
      </c>
      <c r="F275" s="15" t="s">
        <v>93</v>
      </c>
      <c r="G275" s="15" t="s">
        <v>93</v>
      </c>
      <c r="H275" s="4" t="s">
        <v>21</v>
      </c>
    </row>
    <row r="276" ht="15.75" customHeight="1">
      <c r="A276" s="8">
        <v>46112.0</v>
      </c>
      <c r="B276" s="4" t="s">
        <v>429</v>
      </c>
      <c r="C276" s="5">
        <v>30000.0</v>
      </c>
      <c r="D276" s="5">
        <v>0.0</v>
      </c>
      <c r="E276" s="5">
        <f t="shared" si="1"/>
        <v>23298698.48</v>
      </c>
      <c r="F276" s="15" t="s">
        <v>43</v>
      </c>
      <c r="G276" s="4" t="s">
        <v>45</v>
      </c>
    </row>
    <row r="277" ht="15.75" customHeight="1">
      <c r="A277" s="8">
        <v>46113.0</v>
      </c>
      <c r="B277" s="4" t="s">
        <v>1077</v>
      </c>
      <c r="C277" s="5">
        <v>0.0</v>
      </c>
      <c r="D277" s="5">
        <v>6.0E7</v>
      </c>
      <c r="E277" s="5">
        <f t="shared" si="1"/>
        <v>83298698.48</v>
      </c>
      <c r="F277" s="15" t="s">
        <v>93</v>
      </c>
      <c r="G277" s="15" t="s">
        <v>93</v>
      </c>
      <c r="H277" s="4" t="s">
        <v>20</v>
      </c>
    </row>
    <row r="278" ht="15.75" customHeight="1">
      <c r="A278" s="8">
        <v>46113.0</v>
      </c>
      <c r="B278" s="14" t="s">
        <v>1078</v>
      </c>
      <c r="C278" s="5">
        <v>8001000.0</v>
      </c>
      <c r="D278" s="5">
        <v>0.0</v>
      </c>
      <c r="E278" s="5">
        <f t="shared" si="1"/>
        <v>75297698.48</v>
      </c>
      <c r="F278" s="14" t="s">
        <v>58</v>
      </c>
      <c r="G278" s="14" t="s">
        <v>59</v>
      </c>
      <c r="H278" s="14" t="s">
        <v>61</v>
      </c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8">
        <v>46113.0</v>
      </c>
      <c r="B279" s="14" t="s">
        <v>1084</v>
      </c>
      <c r="C279" s="5">
        <v>8401000.0</v>
      </c>
      <c r="D279" s="5">
        <v>0.0</v>
      </c>
      <c r="E279" s="5">
        <f t="shared" si="1"/>
        <v>66896698.48</v>
      </c>
      <c r="F279" s="14" t="s">
        <v>58</v>
      </c>
      <c r="G279" s="14" t="s">
        <v>59</v>
      </c>
      <c r="H279" s="14" t="s">
        <v>61</v>
      </c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8">
        <v>46113.0</v>
      </c>
      <c r="B280" s="4" t="s">
        <v>1104</v>
      </c>
      <c r="C280" s="5">
        <v>1.71E7</v>
      </c>
      <c r="D280" s="5">
        <v>0.0</v>
      </c>
      <c r="E280" s="5">
        <f t="shared" si="1"/>
        <v>49796698.48</v>
      </c>
      <c r="F280" s="15" t="s">
        <v>58</v>
      </c>
      <c r="G280" s="15" t="s">
        <v>59</v>
      </c>
      <c r="H280" s="15" t="s">
        <v>931</v>
      </c>
    </row>
    <row r="281" ht="15.75" customHeight="1">
      <c r="A281" s="8">
        <v>46113.0</v>
      </c>
      <c r="B281" s="4" t="s">
        <v>1106</v>
      </c>
      <c r="C281" s="5">
        <v>1.5E7</v>
      </c>
      <c r="D281" s="5">
        <v>0.0</v>
      </c>
      <c r="E281" s="5">
        <f t="shared" si="1"/>
        <v>34796698.48</v>
      </c>
      <c r="F281" s="15" t="s">
        <v>58</v>
      </c>
      <c r="G281" s="15" t="s">
        <v>59</v>
      </c>
      <c r="H281" s="15" t="s">
        <v>931</v>
      </c>
    </row>
    <row r="282" ht="15.75" customHeight="1">
      <c r="A282" s="8">
        <v>46113.0</v>
      </c>
      <c r="B282" s="4" t="s">
        <v>1109</v>
      </c>
      <c r="C282" s="5">
        <v>3.0E7</v>
      </c>
      <c r="D282" s="5">
        <v>0.0</v>
      </c>
      <c r="E282" s="5">
        <f t="shared" si="1"/>
        <v>4796698.48</v>
      </c>
      <c r="F282" s="15" t="s">
        <v>21</v>
      </c>
      <c r="G282" s="4" t="s">
        <v>842</v>
      </c>
    </row>
    <row r="283" ht="15.75" customHeight="1">
      <c r="A283" s="8">
        <v>46113.0</v>
      </c>
      <c r="B283" s="4" t="s">
        <v>1111</v>
      </c>
      <c r="C283" s="5">
        <v>2500.0</v>
      </c>
      <c r="D283" s="5">
        <v>0.0</v>
      </c>
      <c r="E283" s="5">
        <f t="shared" si="1"/>
        <v>4794198.48</v>
      </c>
      <c r="F283" s="15" t="s">
        <v>43</v>
      </c>
      <c r="G283" s="4" t="s">
        <v>45</v>
      </c>
    </row>
    <row r="284" ht="15.75" customHeight="1">
      <c r="A284" s="8">
        <v>46113.0</v>
      </c>
      <c r="B284" s="4" t="s">
        <v>1113</v>
      </c>
      <c r="C284" s="5">
        <v>0.0</v>
      </c>
      <c r="D284" s="5">
        <v>2.5E8</v>
      </c>
      <c r="E284" s="5">
        <f t="shared" si="1"/>
        <v>254794198.5</v>
      </c>
      <c r="F284" s="15" t="s">
        <v>93</v>
      </c>
      <c r="G284" s="15" t="s">
        <v>93</v>
      </c>
      <c r="H284" s="4" t="s">
        <v>20</v>
      </c>
    </row>
    <row r="285" ht="15.75" customHeight="1">
      <c r="A285" s="8">
        <v>46113.0</v>
      </c>
      <c r="B285" s="4" t="s">
        <v>1115</v>
      </c>
      <c r="C285" s="5">
        <v>4.9E7</v>
      </c>
      <c r="D285" s="5">
        <v>0.0</v>
      </c>
      <c r="E285" s="5">
        <f t="shared" si="1"/>
        <v>205794198.5</v>
      </c>
      <c r="F285" s="15" t="s">
        <v>58</v>
      </c>
      <c r="G285" s="15" t="s">
        <v>59</v>
      </c>
      <c r="H285" s="4" t="s">
        <v>408</v>
      </c>
    </row>
    <row r="286" ht="15.75" customHeight="1">
      <c r="A286" s="8">
        <v>46113.0</v>
      </c>
      <c r="B286" s="4" t="s">
        <v>1116</v>
      </c>
      <c r="C286" s="5">
        <v>0.0</v>
      </c>
      <c r="D286" s="5">
        <v>2373600.0</v>
      </c>
      <c r="E286" s="5">
        <f t="shared" si="1"/>
        <v>208167798.5</v>
      </c>
      <c r="F286" s="14" t="s">
        <v>21</v>
      </c>
      <c r="G286" s="14" t="s">
        <v>41</v>
      </c>
      <c r="H286" s="14" t="s">
        <v>750</v>
      </c>
      <c r="I286" s="4" t="s">
        <v>199</v>
      </c>
    </row>
    <row r="287" ht="15.75" customHeight="1">
      <c r="A287" s="8">
        <v>46113.0</v>
      </c>
      <c r="B287" s="4" t="s">
        <v>1118</v>
      </c>
      <c r="C287" s="5">
        <f>3265640-C288+D289</f>
        <v>2996000</v>
      </c>
      <c r="D287" s="5">
        <v>0.0</v>
      </c>
      <c r="E287" s="5">
        <f t="shared" si="1"/>
        <v>205171798.5</v>
      </c>
      <c r="F287" s="15" t="s">
        <v>50</v>
      </c>
      <c r="G287" s="15" t="s">
        <v>178</v>
      </c>
    </row>
    <row r="288" ht="15.75" customHeight="1">
      <c r="A288" s="8">
        <v>46113.0</v>
      </c>
      <c r="B288" s="4" t="s">
        <v>1118</v>
      </c>
      <c r="C288" s="5">
        <v>329560.0</v>
      </c>
      <c r="D288" s="5">
        <v>0.0</v>
      </c>
      <c r="E288" s="5">
        <f t="shared" si="1"/>
        <v>204842238.5</v>
      </c>
      <c r="F288" s="4" t="s">
        <v>21</v>
      </c>
      <c r="G288" s="4" t="s">
        <v>184</v>
      </c>
      <c r="H288" s="4" t="s">
        <v>1121</v>
      </c>
    </row>
    <row r="289" ht="15.75" customHeight="1">
      <c r="A289" s="8">
        <v>46113.0</v>
      </c>
      <c r="B289" s="4" t="s">
        <v>1118</v>
      </c>
      <c r="C289" s="5">
        <v>0.0</v>
      </c>
      <c r="D289" s="5">
        <v>59920.0</v>
      </c>
      <c r="E289" s="5">
        <f t="shared" si="1"/>
        <v>204902158.5</v>
      </c>
      <c r="F289" s="14" t="s">
        <v>21</v>
      </c>
      <c r="G289" s="14" t="s">
        <v>190</v>
      </c>
      <c r="H289" s="16" t="s">
        <v>191</v>
      </c>
      <c r="I289" s="16" t="s">
        <v>1122</v>
      </c>
    </row>
    <row r="290" ht="15.75" customHeight="1">
      <c r="A290" s="8">
        <v>46113.0</v>
      </c>
      <c r="B290" s="4" t="s">
        <v>1123</v>
      </c>
      <c r="C290" s="5">
        <v>2000000.0</v>
      </c>
      <c r="D290" s="5">
        <v>0.0</v>
      </c>
      <c r="E290" s="5">
        <f t="shared" si="1"/>
        <v>202902158.5</v>
      </c>
      <c r="F290" s="15" t="s">
        <v>58</v>
      </c>
      <c r="G290" s="15" t="s">
        <v>59</v>
      </c>
      <c r="H290" s="4" t="s">
        <v>408</v>
      </c>
    </row>
    <row r="291" ht="15.75" customHeight="1">
      <c r="A291" s="8">
        <v>46113.0</v>
      </c>
      <c r="B291" s="4" t="s">
        <v>1124</v>
      </c>
      <c r="C291" s="5">
        <v>1.2E7</v>
      </c>
      <c r="D291" s="5">
        <v>0.0</v>
      </c>
      <c r="E291" s="5">
        <f t="shared" si="1"/>
        <v>190902158.5</v>
      </c>
      <c r="F291" s="15" t="s">
        <v>58</v>
      </c>
      <c r="G291" s="15" t="s">
        <v>59</v>
      </c>
      <c r="H291" s="4" t="s">
        <v>408</v>
      </c>
    </row>
    <row r="292" ht="15.75" customHeight="1">
      <c r="A292" s="8">
        <v>46113.0</v>
      </c>
      <c r="B292" s="4" t="s">
        <v>1125</v>
      </c>
      <c r="C292" s="5">
        <v>1000000.0</v>
      </c>
      <c r="D292" s="5">
        <v>0.0</v>
      </c>
      <c r="E292" s="5">
        <f t="shared" si="1"/>
        <v>189902158.5</v>
      </c>
      <c r="F292" s="15" t="s">
        <v>58</v>
      </c>
      <c r="G292" s="15" t="s">
        <v>59</v>
      </c>
      <c r="H292" s="4" t="s">
        <v>408</v>
      </c>
    </row>
    <row r="293" ht="15.75" customHeight="1">
      <c r="A293" s="8">
        <v>46113.0</v>
      </c>
      <c r="B293" s="4" t="s">
        <v>1127</v>
      </c>
      <c r="C293" s="5">
        <v>2000000.0</v>
      </c>
      <c r="D293" s="5">
        <v>0.0</v>
      </c>
      <c r="E293" s="5">
        <f t="shared" si="1"/>
        <v>187902158.5</v>
      </c>
      <c r="F293" s="15" t="s">
        <v>58</v>
      </c>
      <c r="G293" s="15" t="s">
        <v>59</v>
      </c>
      <c r="H293" s="4" t="s">
        <v>408</v>
      </c>
    </row>
    <row r="294" ht="15.75" customHeight="1">
      <c r="A294" s="8">
        <v>46113.0</v>
      </c>
      <c r="B294" s="4" t="s">
        <v>1129</v>
      </c>
      <c r="C294" s="5">
        <v>1500000.0</v>
      </c>
      <c r="D294" s="5">
        <v>0.0</v>
      </c>
      <c r="E294" s="5">
        <f t="shared" si="1"/>
        <v>186402158.5</v>
      </c>
      <c r="F294" s="15" t="s">
        <v>58</v>
      </c>
      <c r="G294" s="15" t="s">
        <v>59</v>
      </c>
      <c r="H294" s="4" t="s">
        <v>408</v>
      </c>
    </row>
    <row r="295" ht="15.75" customHeight="1">
      <c r="A295" s="8">
        <v>46113.0</v>
      </c>
      <c r="B295" s="4" t="s">
        <v>1131</v>
      </c>
      <c r="C295" s="5">
        <v>1500000.0</v>
      </c>
      <c r="D295" s="5">
        <v>0.0</v>
      </c>
      <c r="E295" s="5">
        <f t="shared" si="1"/>
        <v>184902158.5</v>
      </c>
      <c r="F295" s="15" t="s">
        <v>58</v>
      </c>
      <c r="G295" s="15" t="s">
        <v>59</v>
      </c>
      <c r="H295" s="4" t="s">
        <v>408</v>
      </c>
    </row>
    <row r="296" ht="15.75" customHeight="1">
      <c r="A296" s="8">
        <v>46113.0</v>
      </c>
      <c r="B296" s="4" t="s">
        <v>1133</v>
      </c>
      <c r="C296" s="5">
        <v>2100000.0</v>
      </c>
      <c r="D296" s="5">
        <v>0.0</v>
      </c>
      <c r="E296" s="5">
        <f t="shared" si="1"/>
        <v>182802158.5</v>
      </c>
      <c r="F296" s="15" t="s">
        <v>58</v>
      </c>
      <c r="G296" s="15" t="s">
        <v>59</v>
      </c>
      <c r="H296" s="4" t="s">
        <v>408</v>
      </c>
    </row>
    <row r="297" ht="15.75" customHeight="1">
      <c r="A297" s="8">
        <v>46113.0</v>
      </c>
      <c r="B297" s="4" t="s">
        <v>1135</v>
      </c>
      <c r="C297" s="5">
        <v>1575000.0</v>
      </c>
      <c r="D297" s="5">
        <v>0.0</v>
      </c>
      <c r="E297" s="5">
        <f t="shared" si="1"/>
        <v>181227158.5</v>
      </c>
      <c r="F297" s="15" t="s">
        <v>58</v>
      </c>
      <c r="G297" s="15" t="s">
        <v>59</v>
      </c>
      <c r="H297" s="4" t="s">
        <v>408</v>
      </c>
    </row>
    <row r="298" ht="15.75" customHeight="1">
      <c r="A298" s="8">
        <v>46113.0</v>
      </c>
      <c r="B298" s="4" t="s">
        <v>1137</v>
      </c>
      <c r="C298" s="5">
        <v>2000000.0</v>
      </c>
      <c r="D298" s="5">
        <v>0.0</v>
      </c>
      <c r="E298" s="5">
        <f t="shared" si="1"/>
        <v>179227158.5</v>
      </c>
      <c r="F298" s="15" t="s">
        <v>58</v>
      </c>
      <c r="G298" s="15" t="s">
        <v>59</v>
      </c>
      <c r="H298" s="4" t="s">
        <v>408</v>
      </c>
    </row>
    <row r="299" ht="15.75" customHeight="1">
      <c r="A299" s="8">
        <v>46113.0</v>
      </c>
      <c r="B299" s="4" t="s">
        <v>1139</v>
      </c>
      <c r="C299" s="5">
        <v>2.25E7</v>
      </c>
      <c r="D299" s="5">
        <v>0.0</v>
      </c>
      <c r="E299" s="5">
        <f t="shared" si="1"/>
        <v>156727158.5</v>
      </c>
      <c r="F299" s="15" t="s">
        <v>58</v>
      </c>
      <c r="G299" s="15" t="s">
        <v>59</v>
      </c>
      <c r="H299" s="4" t="s">
        <v>408</v>
      </c>
    </row>
    <row r="300" ht="15.75" customHeight="1">
      <c r="A300" s="8">
        <v>46113.0</v>
      </c>
      <c r="B300" s="4" t="s">
        <v>1141</v>
      </c>
      <c r="C300" s="5">
        <v>3000000.0</v>
      </c>
      <c r="D300" s="5">
        <v>0.0</v>
      </c>
      <c r="E300" s="5">
        <f t="shared" si="1"/>
        <v>153727158.5</v>
      </c>
      <c r="F300" s="15" t="s">
        <v>58</v>
      </c>
      <c r="G300" s="15" t="s">
        <v>59</v>
      </c>
      <c r="H300" s="4" t="s">
        <v>408</v>
      </c>
    </row>
    <row r="301" ht="15.75" customHeight="1">
      <c r="A301" s="8">
        <v>46113.0</v>
      </c>
      <c r="B301" s="4" t="s">
        <v>1109</v>
      </c>
      <c r="C301" s="5">
        <v>2.0E7</v>
      </c>
      <c r="D301" s="5">
        <v>0.0</v>
      </c>
      <c r="E301" s="5">
        <f t="shared" si="1"/>
        <v>133727158.5</v>
      </c>
      <c r="F301" s="15" t="s">
        <v>21</v>
      </c>
      <c r="G301" s="4" t="s">
        <v>842</v>
      </c>
    </row>
    <row r="302" ht="15.75" customHeight="1">
      <c r="A302" s="8">
        <v>46113.0</v>
      </c>
      <c r="B302" s="4" t="s">
        <v>1111</v>
      </c>
      <c r="C302" s="5">
        <v>2500.0</v>
      </c>
      <c r="D302" s="5">
        <v>0.0</v>
      </c>
      <c r="E302" s="5">
        <f t="shared" si="1"/>
        <v>133724658.5</v>
      </c>
      <c r="F302" s="15" t="s">
        <v>43</v>
      </c>
      <c r="G302" s="4" t="s">
        <v>45</v>
      </c>
    </row>
    <row r="303" ht="15.75" customHeight="1">
      <c r="A303" s="8">
        <v>46113.0</v>
      </c>
      <c r="B303" s="4" t="s">
        <v>1151</v>
      </c>
      <c r="C303" s="5">
        <v>6300000.0</v>
      </c>
      <c r="D303" s="5">
        <v>0.0</v>
      </c>
      <c r="E303" s="5">
        <f t="shared" si="1"/>
        <v>127424658.5</v>
      </c>
      <c r="F303" s="15" t="s">
        <v>93</v>
      </c>
      <c r="G303" s="15" t="s">
        <v>93</v>
      </c>
      <c r="H303" s="4" t="s">
        <v>346</v>
      </c>
    </row>
    <row r="304" ht="15.75" customHeight="1">
      <c r="A304" s="8">
        <v>46113.0</v>
      </c>
      <c r="B304" s="4" t="s">
        <v>1153</v>
      </c>
      <c r="C304" s="5">
        <v>2500.0</v>
      </c>
      <c r="D304" s="5">
        <v>0.0</v>
      </c>
      <c r="E304" s="5">
        <f t="shared" si="1"/>
        <v>127422158.5</v>
      </c>
      <c r="F304" s="15" t="s">
        <v>43</v>
      </c>
      <c r="G304" s="4" t="s">
        <v>45</v>
      </c>
    </row>
    <row r="305" ht="15.75" customHeight="1">
      <c r="A305" s="8">
        <v>46113.0</v>
      </c>
      <c r="B305" s="4" t="s">
        <v>1155</v>
      </c>
      <c r="C305" s="5">
        <v>0.0</v>
      </c>
      <c r="D305" s="5">
        <v>6300000.0</v>
      </c>
      <c r="E305" s="5">
        <f t="shared" si="1"/>
        <v>133722158.5</v>
      </c>
      <c r="F305" s="15" t="s">
        <v>93</v>
      </c>
      <c r="G305" s="15" t="s">
        <v>93</v>
      </c>
      <c r="H305" s="4" t="s">
        <v>346</v>
      </c>
    </row>
    <row r="306" ht="15.75" customHeight="1">
      <c r="A306" s="8">
        <v>46114.0</v>
      </c>
      <c r="B306" s="4" t="s">
        <v>1158</v>
      </c>
      <c r="C306" s="5">
        <v>6.0E7</v>
      </c>
      <c r="D306" s="5">
        <v>0.0</v>
      </c>
      <c r="E306" s="5">
        <f t="shared" si="1"/>
        <v>73722158.48</v>
      </c>
      <c r="F306" s="15" t="s">
        <v>93</v>
      </c>
      <c r="G306" s="15" t="s">
        <v>93</v>
      </c>
      <c r="H306" s="4" t="s">
        <v>20</v>
      </c>
    </row>
    <row r="307" ht="15.75" customHeight="1">
      <c r="A307" s="8">
        <v>46114.0</v>
      </c>
      <c r="B307" s="4" t="s">
        <v>1159</v>
      </c>
      <c r="C307" s="5">
        <v>7.3E7</v>
      </c>
      <c r="D307" s="5">
        <v>0.0</v>
      </c>
      <c r="E307" s="5">
        <f t="shared" si="1"/>
        <v>722158.48</v>
      </c>
      <c r="F307" s="15" t="s">
        <v>21</v>
      </c>
      <c r="G307" s="15" t="s">
        <v>842</v>
      </c>
    </row>
    <row r="308" ht="15.75" customHeight="1">
      <c r="A308" s="8">
        <v>46114.0</v>
      </c>
      <c r="B308" s="4" t="s">
        <v>1047</v>
      </c>
      <c r="C308" s="5">
        <v>2500.0</v>
      </c>
      <c r="D308" s="5">
        <v>0.0</v>
      </c>
      <c r="E308" s="5">
        <f t="shared" si="1"/>
        <v>719658.48</v>
      </c>
      <c r="F308" s="15" t="s">
        <v>43</v>
      </c>
      <c r="G308" s="15" t="s">
        <v>45</v>
      </c>
    </row>
    <row r="309" ht="15.75" customHeight="1">
      <c r="A309" s="8">
        <v>46119.0</v>
      </c>
      <c r="B309" s="4" t="s">
        <v>1161</v>
      </c>
      <c r="C309" s="5">
        <v>0.0</v>
      </c>
      <c r="D309" s="5">
        <v>9.1E7</v>
      </c>
      <c r="E309" s="5">
        <f t="shared" si="1"/>
        <v>91719658.48</v>
      </c>
      <c r="F309" s="15" t="s">
        <v>21</v>
      </c>
      <c r="G309" s="15" t="s">
        <v>169</v>
      </c>
    </row>
    <row r="310" ht="15.75" customHeight="1">
      <c r="A310" s="8">
        <v>46119.0</v>
      </c>
      <c r="B310" s="4" t="s">
        <v>786</v>
      </c>
      <c r="C310" s="5">
        <v>0.0</v>
      </c>
      <c r="D310" s="5">
        <v>1.0E8</v>
      </c>
      <c r="E310" s="5">
        <f t="shared" si="1"/>
        <v>191719658.5</v>
      </c>
      <c r="F310" s="15" t="s">
        <v>21</v>
      </c>
      <c r="G310" s="15" t="s">
        <v>190</v>
      </c>
    </row>
    <row r="311" ht="15.75" customHeight="1">
      <c r="A311" s="12">
        <v>46119.0</v>
      </c>
      <c r="B311" s="4" t="s">
        <v>1163</v>
      </c>
      <c r="C311" s="5">
        <v>7.69E7</v>
      </c>
      <c r="D311" s="5">
        <v>0.0</v>
      </c>
      <c r="E311" s="5">
        <f t="shared" si="1"/>
        <v>114819658.5</v>
      </c>
      <c r="F311" s="15" t="s">
        <v>58</v>
      </c>
      <c r="G311" s="15" t="s">
        <v>59</v>
      </c>
      <c r="H311" s="4" t="s">
        <v>408</v>
      </c>
    </row>
    <row r="312" ht="15.75" customHeight="1">
      <c r="A312" s="12">
        <v>46119.0</v>
      </c>
      <c r="B312" s="4" t="s">
        <v>1164</v>
      </c>
      <c r="C312" s="5">
        <f>3815000-C313+D314</f>
        <v>3500000</v>
      </c>
      <c r="D312" s="5">
        <v>0.0</v>
      </c>
      <c r="E312" s="5">
        <f t="shared" si="1"/>
        <v>111319658.5</v>
      </c>
      <c r="F312" s="15" t="s">
        <v>50</v>
      </c>
      <c r="G312" s="15" t="s">
        <v>178</v>
      </c>
      <c r="H312" s="4" t="s">
        <v>400</v>
      </c>
    </row>
    <row r="313" ht="15.75" customHeight="1">
      <c r="A313" s="12">
        <v>46119.0</v>
      </c>
      <c r="B313" s="4" t="s">
        <v>1164</v>
      </c>
      <c r="C313" s="5">
        <v>385000.0</v>
      </c>
      <c r="D313" s="5">
        <v>0.0</v>
      </c>
      <c r="E313" s="5">
        <f t="shared" si="1"/>
        <v>110934658.5</v>
      </c>
      <c r="F313" s="4" t="s">
        <v>21</v>
      </c>
      <c r="G313" s="4" t="s">
        <v>184</v>
      </c>
      <c r="H313" s="4" t="s">
        <v>859</v>
      </c>
    </row>
    <row r="314" ht="15.75" customHeight="1">
      <c r="A314" s="12">
        <v>46119.0</v>
      </c>
      <c r="B314" s="4" t="s">
        <v>1164</v>
      </c>
      <c r="C314" s="5">
        <v>0.0</v>
      </c>
      <c r="D314" s="5">
        <v>70000.0</v>
      </c>
      <c r="E314" s="5">
        <f t="shared" si="1"/>
        <v>111004658.5</v>
      </c>
      <c r="F314" s="15" t="s">
        <v>21</v>
      </c>
      <c r="G314" s="15" t="s">
        <v>190</v>
      </c>
      <c r="H314" s="4" t="s">
        <v>191</v>
      </c>
      <c r="I314" s="4" t="s">
        <v>192</v>
      </c>
    </row>
    <row r="315" ht="15.75" customHeight="1">
      <c r="A315" s="12">
        <v>46119.0</v>
      </c>
      <c r="B315" s="4" t="s">
        <v>1171</v>
      </c>
      <c r="C315" s="5">
        <f>775766-C316+D317</f>
        <v>711712</v>
      </c>
      <c r="D315" s="5">
        <v>0.0</v>
      </c>
      <c r="E315" s="5">
        <f t="shared" si="1"/>
        <v>110292946.5</v>
      </c>
      <c r="F315" s="15" t="s">
        <v>50</v>
      </c>
      <c r="G315" s="15" t="s">
        <v>395</v>
      </c>
      <c r="H315" s="4" t="s">
        <v>400</v>
      </c>
    </row>
    <row r="316" ht="15.75" customHeight="1">
      <c r="A316" s="12">
        <v>46119.0</v>
      </c>
      <c r="B316" s="4" t="s">
        <v>1171</v>
      </c>
      <c r="C316" s="5">
        <v>78288.0</v>
      </c>
      <c r="D316" s="5">
        <v>0.0</v>
      </c>
      <c r="E316" s="5">
        <f t="shared" si="1"/>
        <v>110214658.5</v>
      </c>
      <c r="F316" s="4" t="s">
        <v>21</v>
      </c>
      <c r="G316" s="4" t="s">
        <v>184</v>
      </c>
      <c r="H316" s="4" t="s">
        <v>859</v>
      </c>
    </row>
    <row r="317" ht="15.75" customHeight="1">
      <c r="A317" s="12">
        <v>46119.0</v>
      </c>
      <c r="B317" s="4" t="s">
        <v>1171</v>
      </c>
      <c r="C317" s="5">
        <v>0.0</v>
      </c>
      <c r="D317" s="5">
        <v>14234.0</v>
      </c>
      <c r="E317" s="5">
        <f t="shared" si="1"/>
        <v>110228892.5</v>
      </c>
      <c r="F317" s="15" t="s">
        <v>21</v>
      </c>
      <c r="G317" s="15" t="s">
        <v>190</v>
      </c>
      <c r="H317" s="4" t="s">
        <v>191</v>
      </c>
      <c r="I317" s="4" t="s">
        <v>401</v>
      </c>
    </row>
    <row r="318" ht="15.75" customHeight="1">
      <c r="A318" s="12">
        <v>46119.0</v>
      </c>
      <c r="B318" s="4" t="s">
        <v>1173</v>
      </c>
      <c r="C318" s="5">
        <v>8976593.0</v>
      </c>
      <c r="D318" s="5">
        <v>0.0</v>
      </c>
      <c r="E318" s="5">
        <f t="shared" si="1"/>
        <v>101252299.5</v>
      </c>
      <c r="F318" s="15" t="s">
        <v>21</v>
      </c>
      <c r="G318" s="15" t="s">
        <v>116</v>
      </c>
    </row>
    <row r="319" ht="15.75" customHeight="1">
      <c r="A319" s="12">
        <v>46119.0</v>
      </c>
      <c r="B319" s="4" t="s">
        <v>1174</v>
      </c>
      <c r="C319" s="5">
        <v>5000000.0</v>
      </c>
      <c r="D319" s="5">
        <v>0.0</v>
      </c>
      <c r="E319" s="5">
        <f t="shared" si="1"/>
        <v>96252299.48</v>
      </c>
      <c r="F319" s="15" t="s">
        <v>58</v>
      </c>
      <c r="G319" s="15" t="s">
        <v>59</v>
      </c>
      <c r="H319" s="4" t="s">
        <v>408</v>
      </c>
    </row>
    <row r="320" ht="15.75" customHeight="1">
      <c r="A320" s="12">
        <v>46119.0</v>
      </c>
      <c r="B320" s="4" t="s">
        <v>1175</v>
      </c>
      <c r="C320" s="5">
        <v>1.0E7</v>
      </c>
      <c r="D320" s="5">
        <v>0.0</v>
      </c>
      <c r="E320" s="5">
        <f t="shared" si="1"/>
        <v>86252299.48</v>
      </c>
      <c r="F320" s="15" t="s">
        <v>58</v>
      </c>
      <c r="G320" s="15" t="s">
        <v>59</v>
      </c>
      <c r="H320" s="4" t="s">
        <v>408</v>
      </c>
    </row>
    <row r="321" ht="15.75" customHeight="1">
      <c r="A321" s="12">
        <v>46119.0</v>
      </c>
      <c r="B321" s="4" t="s">
        <v>1176</v>
      </c>
      <c r="C321" s="5">
        <v>4.35E7</v>
      </c>
      <c r="D321" s="5">
        <v>0.0</v>
      </c>
      <c r="E321" s="5">
        <f t="shared" si="1"/>
        <v>42752299.48</v>
      </c>
      <c r="F321" s="15" t="s">
        <v>58</v>
      </c>
      <c r="G321" s="15" t="s">
        <v>59</v>
      </c>
      <c r="H321" s="4" t="s">
        <v>408</v>
      </c>
    </row>
    <row r="322" ht="15.75" customHeight="1">
      <c r="A322" s="12">
        <v>46119.0</v>
      </c>
      <c r="B322" s="4" t="s">
        <v>1177</v>
      </c>
      <c r="C322" s="5">
        <v>8000000.0</v>
      </c>
      <c r="D322" s="5">
        <v>0.0</v>
      </c>
      <c r="E322" s="5">
        <f t="shared" si="1"/>
        <v>34752299.48</v>
      </c>
      <c r="F322" s="15" t="s">
        <v>306</v>
      </c>
      <c r="G322" s="15" t="s">
        <v>307</v>
      </c>
      <c r="H322" s="4" t="s">
        <v>308</v>
      </c>
    </row>
    <row r="323" ht="15.75" customHeight="1">
      <c r="A323" s="12">
        <v>46119.0</v>
      </c>
      <c r="B323" s="4" t="s">
        <v>1178</v>
      </c>
      <c r="C323" s="5">
        <v>690000.0</v>
      </c>
      <c r="D323" s="5">
        <v>0.0</v>
      </c>
      <c r="E323" s="5">
        <f t="shared" si="1"/>
        <v>34062299.48</v>
      </c>
      <c r="F323" s="15" t="s">
        <v>105</v>
      </c>
      <c r="G323" s="15" t="s">
        <v>106</v>
      </c>
      <c r="H323" s="4" t="s">
        <v>203</v>
      </c>
    </row>
    <row r="324" ht="15.75" customHeight="1">
      <c r="A324" s="8">
        <v>46122.0</v>
      </c>
      <c r="B324" s="4" t="s">
        <v>1179</v>
      </c>
      <c r="C324" s="5">
        <v>0.0</v>
      </c>
      <c r="D324" s="5">
        <v>2.1645E7</v>
      </c>
      <c r="E324" s="5">
        <f t="shared" si="1"/>
        <v>55707299.48</v>
      </c>
      <c r="F324" s="15" t="s">
        <v>75</v>
      </c>
      <c r="G324" s="4" t="s">
        <v>76</v>
      </c>
      <c r="H324" s="14" t="s">
        <v>266</v>
      </c>
      <c r="I324" s="16" t="s">
        <v>1180</v>
      </c>
    </row>
    <row r="325" ht="15.75" customHeight="1">
      <c r="A325" s="8">
        <v>46122.0</v>
      </c>
      <c r="B325" s="4" t="s">
        <v>786</v>
      </c>
      <c r="C325" s="5">
        <v>0.0</v>
      </c>
      <c r="D325" s="5">
        <v>1.0E8</v>
      </c>
      <c r="E325" s="5">
        <f t="shared" si="1"/>
        <v>155707299.5</v>
      </c>
      <c r="F325" s="15" t="s">
        <v>21</v>
      </c>
      <c r="G325" s="15" t="s">
        <v>190</v>
      </c>
    </row>
    <row r="326" ht="15.75" customHeight="1">
      <c r="A326" s="8">
        <v>46122.0</v>
      </c>
      <c r="B326" s="4" t="s">
        <v>1181</v>
      </c>
      <c r="C326" s="5">
        <v>1.3E8</v>
      </c>
      <c r="D326" s="5">
        <v>0.0</v>
      </c>
      <c r="E326" s="5">
        <f t="shared" si="1"/>
        <v>25707299.48</v>
      </c>
      <c r="F326" s="15" t="s">
        <v>58</v>
      </c>
      <c r="G326" s="15" t="s">
        <v>59</v>
      </c>
      <c r="H326" s="4" t="s">
        <v>931</v>
      </c>
    </row>
    <row r="327" ht="15.75" customHeight="1">
      <c r="A327" s="8">
        <v>46125.0</v>
      </c>
      <c r="B327" s="4" t="s">
        <v>786</v>
      </c>
      <c r="C327" s="5">
        <v>0.0</v>
      </c>
      <c r="D327" s="5">
        <v>2.25E8</v>
      </c>
      <c r="E327" s="5">
        <f t="shared" si="1"/>
        <v>250707299.5</v>
      </c>
      <c r="F327" s="15" t="s">
        <v>21</v>
      </c>
      <c r="G327" s="15" t="s">
        <v>190</v>
      </c>
    </row>
    <row r="328" ht="15.75" customHeight="1">
      <c r="A328" s="8">
        <v>46125.0</v>
      </c>
      <c r="B328" s="4" t="s">
        <v>1185</v>
      </c>
      <c r="C328" s="5">
        <v>2.5E8</v>
      </c>
      <c r="D328" s="5">
        <v>0.0</v>
      </c>
      <c r="E328" s="5">
        <f t="shared" si="1"/>
        <v>707299.48</v>
      </c>
      <c r="F328" s="15" t="s">
        <v>93</v>
      </c>
      <c r="G328" s="15" t="s">
        <v>93</v>
      </c>
      <c r="H328" s="4" t="s">
        <v>20</v>
      </c>
    </row>
    <row r="329" ht="15.75" customHeight="1">
      <c r="A329" s="8">
        <v>46125.0</v>
      </c>
      <c r="B329" s="4" t="s">
        <v>1187</v>
      </c>
      <c r="C329" s="5">
        <v>2500.0</v>
      </c>
      <c r="D329" s="5">
        <v>0.0</v>
      </c>
      <c r="E329" s="5">
        <f t="shared" si="1"/>
        <v>704799.48</v>
      </c>
      <c r="F329" s="15" t="s">
        <v>43</v>
      </c>
      <c r="G329" s="15" t="s">
        <v>45</v>
      </c>
    </row>
    <row r="330" ht="15.75" customHeight="1">
      <c r="A330" s="8">
        <v>46126.0</v>
      </c>
      <c r="B330" s="14" t="s">
        <v>1188</v>
      </c>
      <c r="C330" s="5">
        <v>0.0</v>
      </c>
      <c r="D330" s="5">
        <v>1.5025205E7</v>
      </c>
      <c r="E330" s="5">
        <f t="shared" si="1"/>
        <v>15730004.48</v>
      </c>
      <c r="F330" s="14" t="s">
        <v>24</v>
      </c>
      <c r="G330" s="14" t="s">
        <v>26</v>
      </c>
      <c r="H330" s="14" t="s">
        <v>805</v>
      </c>
      <c r="I330" s="16" t="s">
        <v>1190</v>
      </c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8">
        <v>46127.0</v>
      </c>
      <c r="B331" s="4" t="s">
        <v>1191</v>
      </c>
      <c r="C331" s="5">
        <v>0.0</v>
      </c>
      <c r="D331" s="5">
        <v>3.379E7</v>
      </c>
      <c r="E331" s="5">
        <f t="shared" si="1"/>
        <v>49520004.48</v>
      </c>
      <c r="F331" s="15" t="s">
        <v>75</v>
      </c>
      <c r="G331" s="15" t="s">
        <v>76</v>
      </c>
      <c r="H331" s="14" t="s">
        <v>266</v>
      </c>
      <c r="I331" s="16" t="s">
        <v>1193</v>
      </c>
    </row>
    <row r="332" ht="15.75" customHeight="1">
      <c r="A332" s="8">
        <v>46127.0</v>
      </c>
      <c r="B332" s="4" t="s">
        <v>457</v>
      </c>
      <c r="C332" s="5">
        <v>0.0</v>
      </c>
      <c r="D332" s="5">
        <v>2.5E8</v>
      </c>
      <c r="E332" s="5">
        <f t="shared" si="1"/>
        <v>299520004.5</v>
      </c>
      <c r="F332" s="15" t="s">
        <v>21</v>
      </c>
      <c r="G332" s="15" t="s">
        <v>190</v>
      </c>
    </row>
    <row r="333" ht="15.75" customHeight="1">
      <c r="A333" s="12">
        <v>46127.0</v>
      </c>
      <c r="B333" s="4" t="s">
        <v>1195</v>
      </c>
      <c r="C333" s="5">
        <v>600000.0</v>
      </c>
      <c r="D333" s="5">
        <v>0.0</v>
      </c>
      <c r="E333" s="5">
        <f t="shared" si="1"/>
        <v>298920004.5</v>
      </c>
      <c r="F333" s="15" t="s">
        <v>58</v>
      </c>
      <c r="G333" s="15" t="s">
        <v>59</v>
      </c>
      <c r="H333" s="4" t="s">
        <v>408</v>
      </c>
    </row>
    <row r="334" ht="15.75" customHeight="1">
      <c r="A334" s="12">
        <v>46127.0</v>
      </c>
      <c r="B334" s="4" t="s">
        <v>1197</v>
      </c>
      <c r="C334" s="5">
        <v>8250000.0</v>
      </c>
      <c r="D334" s="5">
        <v>0.0</v>
      </c>
      <c r="E334" s="5">
        <f t="shared" si="1"/>
        <v>290670004.5</v>
      </c>
      <c r="F334" s="15" t="s">
        <v>58</v>
      </c>
      <c r="G334" s="15" t="s">
        <v>59</v>
      </c>
      <c r="H334" s="4" t="s">
        <v>408</v>
      </c>
    </row>
    <row r="335" ht="15.75" customHeight="1">
      <c r="A335" s="12">
        <v>46127.0</v>
      </c>
      <c r="B335" s="4" t="s">
        <v>1200</v>
      </c>
      <c r="C335" s="5">
        <v>1000000.0</v>
      </c>
      <c r="D335" s="5">
        <v>0.0</v>
      </c>
      <c r="E335" s="5">
        <f t="shared" si="1"/>
        <v>289670004.5</v>
      </c>
      <c r="F335" s="15" t="s">
        <v>58</v>
      </c>
      <c r="G335" s="15" t="s">
        <v>59</v>
      </c>
      <c r="H335" s="4" t="s">
        <v>408</v>
      </c>
    </row>
    <row r="336" ht="15.75" customHeight="1">
      <c r="A336" s="12">
        <v>46127.0</v>
      </c>
      <c r="B336" s="4" t="s">
        <v>1204</v>
      </c>
      <c r="C336" s="5">
        <v>1.0E7</v>
      </c>
      <c r="D336" s="5">
        <v>0.0</v>
      </c>
      <c r="E336" s="5">
        <f t="shared" si="1"/>
        <v>279670004.5</v>
      </c>
      <c r="F336" s="15" t="s">
        <v>58</v>
      </c>
      <c r="G336" s="15" t="s">
        <v>59</v>
      </c>
      <c r="H336" s="4" t="s">
        <v>408</v>
      </c>
    </row>
    <row r="337" ht="15.75" customHeight="1">
      <c r="A337" s="12">
        <v>46127.0</v>
      </c>
      <c r="B337" s="4" t="s">
        <v>1207</v>
      </c>
      <c r="C337" s="5">
        <v>5000000.0</v>
      </c>
      <c r="D337" s="5">
        <v>0.0</v>
      </c>
      <c r="E337" s="5">
        <f t="shared" si="1"/>
        <v>274670004.5</v>
      </c>
      <c r="F337" s="15" t="s">
        <v>58</v>
      </c>
      <c r="G337" s="15" t="s">
        <v>59</v>
      </c>
      <c r="H337" s="4" t="s">
        <v>408</v>
      </c>
    </row>
    <row r="338" ht="15.75" customHeight="1">
      <c r="A338" s="12">
        <v>46127.0</v>
      </c>
      <c r="B338" s="4" t="s">
        <v>1210</v>
      </c>
      <c r="C338" s="5">
        <v>1.07E7</v>
      </c>
      <c r="D338" s="5">
        <v>0.0</v>
      </c>
      <c r="E338" s="5">
        <f t="shared" si="1"/>
        <v>263970004.5</v>
      </c>
      <c r="F338" s="15" t="s">
        <v>58</v>
      </c>
      <c r="G338" s="15" t="s">
        <v>59</v>
      </c>
      <c r="H338" s="4" t="s">
        <v>408</v>
      </c>
    </row>
    <row r="339" ht="15.75" customHeight="1">
      <c r="A339" s="12">
        <v>46127.0</v>
      </c>
      <c r="B339" s="4" t="s">
        <v>1212</v>
      </c>
      <c r="C339" s="5">
        <v>9.36E7</v>
      </c>
      <c r="D339" s="5">
        <v>0.0</v>
      </c>
      <c r="E339" s="5">
        <f t="shared" si="1"/>
        <v>170370004.5</v>
      </c>
      <c r="F339" s="15" t="s">
        <v>58</v>
      </c>
      <c r="G339" s="15" t="s">
        <v>59</v>
      </c>
      <c r="H339" s="14" t="s">
        <v>111</v>
      </c>
    </row>
    <row r="340" ht="15.75" customHeight="1">
      <c r="A340" s="12">
        <v>46127.0</v>
      </c>
      <c r="B340" s="4" t="s">
        <v>1215</v>
      </c>
      <c r="C340" s="5">
        <v>7.1025E7</v>
      </c>
      <c r="D340" s="5">
        <v>0.0</v>
      </c>
      <c r="E340" s="5">
        <f t="shared" si="1"/>
        <v>99345004.48</v>
      </c>
      <c r="F340" s="15" t="s">
        <v>58</v>
      </c>
      <c r="G340" s="15" t="s">
        <v>59</v>
      </c>
      <c r="H340" s="4" t="s">
        <v>408</v>
      </c>
    </row>
    <row r="341" ht="15.75" customHeight="1">
      <c r="A341" s="12">
        <v>46127.0</v>
      </c>
      <c r="B341" s="4" t="s">
        <v>1219</v>
      </c>
      <c r="C341" s="5">
        <v>2.736E7</v>
      </c>
      <c r="D341" s="5">
        <v>0.0</v>
      </c>
      <c r="E341" s="5">
        <f t="shared" si="1"/>
        <v>71985004.48</v>
      </c>
      <c r="F341" s="15" t="s">
        <v>58</v>
      </c>
      <c r="G341" s="15" t="s">
        <v>59</v>
      </c>
      <c r="H341" s="4" t="s">
        <v>61</v>
      </c>
    </row>
    <row r="342" ht="15.75" customHeight="1">
      <c r="A342" s="12">
        <v>46127.0</v>
      </c>
      <c r="B342" s="4" t="s">
        <v>1220</v>
      </c>
      <c r="C342" s="5">
        <v>1500000.0</v>
      </c>
      <c r="D342" s="5">
        <v>0.0</v>
      </c>
      <c r="E342" s="5">
        <f t="shared" si="1"/>
        <v>70485004.48</v>
      </c>
      <c r="F342" s="15" t="s">
        <v>58</v>
      </c>
      <c r="G342" s="15" t="s">
        <v>59</v>
      </c>
      <c r="H342" s="4" t="s">
        <v>61</v>
      </c>
    </row>
    <row r="343" ht="15.75" customHeight="1">
      <c r="A343" s="12">
        <v>46127.0</v>
      </c>
      <c r="B343" s="4" t="s">
        <v>1221</v>
      </c>
      <c r="C343" s="5">
        <f>6860000+D344</f>
        <v>7000000</v>
      </c>
      <c r="D343" s="5">
        <v>0.0</v>
      </c>
      <c r="E343" s="5">
        <f t="shared" si="1"/>
        <v>63485004.48</v>
      </c>
      <c r="F343" s="15" t="s">
        <v>58</v>
      </c>
      <c r="G343" s="15" t="s">
        <v>59</v>
      </c>
      <c r="H343" s="4" t="s">
        <v>408</v>
      </c>
    </row>
    <row r="344" ht="15.75" customHeight="1">
      <c r="A344" s="12">
        <v>46127.0</v>
      </c>
      <c r="B344" s="4" t="s">
        <v>1221</v>
      </c>
      <c r="C344" s="5">
        <v>0.0</v>
      </c>
      <c r="D344" s="5">
        <v>140000.0</v>
      </c>
      <c r="E344" s="5">
        <f t="shared" si="1"/>
        <v>63625004.48</v>
      </c>
      <c r="F344" s="15" t="s">
        <v>21</v>
      </c>
      <c r="G344" s="15" t="s">
        <v>190</v>
      </c>
      <c r="H344" s="4" t="s">
        <v>191</v>
      </c>
    </row>
    <row r="345" ht="15.75" customHeight="1">
      <c r="A345" s="8">
        <v>46128.0</v>
      </c>
      <c r="B345" s="4" t="s">
        <v>1227</v>
      </c>
      <c r="C345" s="5">
        <v>3.655E7</v>
      </c>
      <c r="D345" s="5">
        <v>0.0</v>
      </c>
      <c r="E345" s="5">
        <f t="shared" si="1"/>
        <v>27075004.48</v>
      </c>
      <c r="F345" s="15" t="s">
        <v>93</v>
      </c>
      <c r="G345" s="15" t="s">
        <v>93</v>
      </c>
      <c r="H345" s="4" t="s">
        <v>21</v>
      </c>
    </row>
    <row r="346" ht="15.75" customHeight="1">
      <c r="A346" s="8">
        <v>46129.0</v>
      </c>
      <c r="B346" s="4" t="s">
        <v>1228</v>
      </c>
      <c r="C346" s="5">
        <v>3900000.0</v>
      </c>
      <c r="D346" s="5">
        <v>0.0</v>
      </c>
      <c r="E346" s="5">
        <f t="shared" si="1"/>
        <v>23175004.48</v>
      </c>
      <c r="F346" s="15" t="s">
        <v>306</v>
      </c>
      <c r="G346" s="15" t="s">
        <v>307</v>
      </c>
      <c r="H346" s="4" t="s">
        <v>1229</v>
      </c>
    </row>
    <row r="347" ht="15.75" customHeight="1">
      <c r="A347" s="8">
        <v>46129.0</v>
      </c>
      <c r="B347" s="4" t="s">
        <v>1231</v>
      </c>
      <c r="C347" s="5">
        <v>400000.0</v>
      </c>
      <c r="D347" s="5">
        <v>0.0</v>
      </c>
      <c r="E347" s="5">
        <f t="shared" si="1"/>
        <v>22775004.48</v>
      </c>
      <c r="F347" s="15" t="s">
        <v>58</v>
      </c>
      <c r="G347" s="15" t="s">
        <v>59</v>
      </c>
      <c r="H347" s="4" t="s">
        <v>408</v>
      </c>
    </row>
    <row r="348" ht="15.75" customHeight="1">
      <c r="A348" s="8">
        <v>46129.0</v>
      </c>
      <c r="B348" s="4" t="s">
        <v>457</v>
      </c>
      <c r="C348" s="5">
        <v>0.0</v>
      </c>
      <c r="D348" s="5">
        <v>3.3E7</v>
      </c>
      <c r="E348" s="5">
        <f t="shared" si="1"/>
        <v>55775004.48</v>
      </c>
      <c r="F348" s="15" t="s">
        <v>21</v>
      </c>
      <c r="G348" s="15" t="s">
        <v>190</v>
      </c>
    </row>
    <row r="349" ht="15.75" customHeight="1">
      <c r="A349" s="8">
        <v>46129.0</v>
      </c>
      <c r="B349" s="4" t="s">
        <v>1234</v>
      </c>
      <c r="C349" s="5">
        <v>5.5139E7</v>
      </c>
      <c r="D349" s="5">
        <v>0.0</v>
      </c>
      <c r="E349" s="5">
        <f t="shared" si="1"/>
        <v>636004.48</v>
      </c>
      <c r="F349" s="15" t="s">
        <v>58</v>
      </c>
      <c r="G349" s="15" t="s">
        <v>59</v>
      </c>
      <c r="H349" s="4" t="s">
        <v>408</v>
      </c>
    </row>
    <row r="350" ht="15.75" customHeight="1">
      <c r="A350" s="8">
        <v>46132.0</v>
      </c>
      <c r="B350" s="4" t="s">
        <v>1237</v>
      </c>
      <c r="C350" s="5">
        <v>0.0</v>
      </c>
      <c r="D350" s="5">
        <v>500000.0</v>
      </c>
      <c r="E350" s="5">
        <f t="shared" si="1"/>
        <v>1136004.48</v>
      </c>
      <c r="F350" s="15" t="s">
        <v>21</v>
      </c>
      <c r="G350" s="4" t="s">
        <v>41</v>
      </c>
      <c r="H350" s="4" t="s">
        <v>1034</v>
      </c>
      <c r="I350" s="4" t="s">
        <v>203</v>
      </c>
    </row>
    <row r="351" ht="15.75" customHeight="1">
      <c r="A351" s="8">
        <v>46133.0</v>
      </c>
      <c r="B351" s="4" t="s">
        <v>1242</v>
      </c>
      <c r="C351" s="5">
        <v>0.0</v>
      </c>
      <c r="D351" s="5">
        <v>1.71E8</v>
      </c>
      <c r="E351" s="5">
        <f t="shared" si="1"/>
        <v>172136004.5</v>
      </c>
      <c r="F351" s="15" t="s">
        <v>93</v>
      </c>
      <c r="G351" s="15" t="s">
        <v>93</v>
      </c>
      <c r="H351" s="4" t="s">
        <v>20</v>
      </c>
    </row>
    <row r="352" ht="15.75" customHeight="1">
      <c r="A352" s="8">
        <v>46133.0</v>
      </c>
      <c r="B352" s="4" t="s">
        <v>1245</v>
      </c>
      <c r="C352" s="5">
        <v>5.4863304E7</v>
      </c>
      <c r="D352" s="5">
        <v>0.0</v>
      </c>
      <c r="E352" s="5">
        <f t="shared" si="1"/>
        <v>117272700.5</v>
      </c>
      <c r="F352" s="15" t="s">
        <v>58</v>
      </c>
      <c r="G352" s="15" t="s">
        <v>59</v>
      </c>
      <c r="H352" s="4" t="s">
        <v>677</v>
      </c>
    </row>
    <row r="353" ht="15.75" customHeight="1">
      <c r="A353" s="8">
        <v>46133.0</v>
      </c>
      <c r="B353" s="4" t="s">
        <v>1248</v>
      </c>
      <c r="C353" s="5">
        <v>2500.0</v>
      </c>
      <c r="D353" s="5">
        <v>0.0</v>
      </c>
      <c r="E353" s="5">
        <f t="shared" si="1"/>
        <v>117270200.5</v>
      </c>
      <c r="F353" s="15" t="s">
        <v>43</v>
      </c>
      <c r="G353" s="15" t="s">
        <v>45</v>
      </c>
    </row>
    <row r="354" ht="15.75" customHeight="1">
      <c r="A354" s="8">
        <v>46133.0</v>
      </c>
      <c r="B354" s="4" t="s">
        <v>1249</v>
      </c>
      <c r="C354" s="5">
        <v>6.868008E7</v>
      </c>
      <c r="D354" s="5">
        <v>0.0</v>
      </c>
      <c r="E354" s="5">
        <f t="shared" si="1"/>
        <v>48590120.48</v>
      </c>
      <c r="F354" s="15" t="s">
        <v>58</v>
      </c>
      <c r="G354" s="15" t="s">
        <v>59</v>
      </c>
      <c r="H354" s="14" t="s">
        <v>1250</v>
      </c>
    </row>
    <row r="355" ht="15.75" customHeight="1">
      <c r="A355" s="8">
        <v>46133.0</v>
      </c>
      <c r="B355" s="4" t="s">
        <v>1248</v>
      </c>
      <c r="C355" s="5">
        <v>2500.0</v>
      </c>
      <c r="D355" s="5">
        <v>0.0</v>
      </c>
      <c r="E355" s="5">
        <f t="shared" si="1"/>
        <v>48587620.48</v>
      </c>
      <c r="F355" s="15" t="s">
        <v>43</v>
      </c>
      <c r="G355" s="15" t="s">
        <v>45</v>
      </c>
    </row>
    <row r="356" ht="15.75" customHeight="1">
      <c r="A356" s="8">
        <v>46133.0</v>
      </c>
      <c r="B356" s="4" t="s">
        <v>1252</v>
      </c>
      <c r="C356" s="5">
        <f>4508000+D357</f>
        <v>4600000</v>
      </c>
      <c r="D356" s="5">
        <v>0.0</v>
      </c>
      <c r="E356" s="5">
        <f t="shared" si="1"/>
        <v>43987620.48</v>
      </c>
      <c r="F356" s="15" t="s">
        <v>50</v>
      </c>
      <c r="G356" s="15" t="s">
        <v>245</v>
      </c>
      <c r="H356" s="4" t="s">
        <v>246</v>
      </c>
    </row>
    <row r="357" ht="15.75" customHeight="1">
      <c r="A357" s="8">
        <v>46133.0</v>
      </c>
      <c r="B357" s="4" t="s">
        <v>1252</v>
      </c>
      <c r="C357" s="5">
        <v>0.0</v>
      </c>
      <c r="D357" s="5">
        <v>92000.0</v>
      </c>
      <c r="E357" s="5">
        <f t="shared" si="1"/>
        <v>44079620.48</v>
      </c>
      <c r="F357" s="15" t="s">
        <v>21</v>
      </c>
      <c r="G357" s="15" t="s">
        <v>190</v>
      </c>
      <c r="H357" s="4" t="s">
        <v>191</v>
      </c>
      <c r="I357" s="4" t="s">
        <v>254</v>
      </c>
    </row>
    <row r="358" ht="15.75" customHeight="1">
      <c r="A358" s="8">
        <v>46133.0</v>
      </c>
      <c r="B358" s="4" t="s">
        <v>543</v>
      </c>
      <c r="C358" s="5">
        <v>9322981.0</v>
      </c>
      <c r="D358" s="5">
        <v>0.0</v>
      </c>
      <c r="E358" s="5">
        <f t="shared" si="1"/>
        <v>34756639.48</v>
      </c>
      <c r="F358" s="15" t="s">
        <v>21</v>
      </c>
      <c r="G358" s="15" t="s">
        <v>116</v>
      </c>
    </row>
    <row r="359" ht="15.75" customHeight="1">
      <c r="A359" s="8">
        <v>46133.0</v>
      </c>
      <c r="B359" s="4" t="s">
        <v>1260</v>
      </c>
      <c r="C359" s="5">
        <v>200000.0</v>
      </c>
      <c r="D359" s="5">
        <v>0.0</v>
      </c>
      <c r="E359" s="5">
        <f t="shared" si="1"/>
        <v>34556639.48</v>
      </c>
      <c r="F359" s="14" t="s">
        <v>58</v>
      </c>
      <c r="G359" s="14" t="s">
        <v>59</v>
      </c>
      <c r="H359" s="4" t="s">
        <v>238</v>
      </c>
    </row>
    <row r="360" ht="15.75" customHeight="1">
      <c r="A360" s="8">
        <v>46133.0</v>
      </c>
      <c r="B360" s="4" t="s">
        <v>1262</v>
      </c>
      <c r="C360" s="5">
        <v>1500000.0</v>
      </c>
      <c r="D360" s="5">
        <v>0.0</v>
      </c>
      <c r="E360" s="5">
        <f t="shared" si="1"/>
        <v>33056639.48</v>
      </c>
      <c r="F360" s="15" t="s">
        <v>58</v>
      </c>
      <c r="G360" s="15" t="s">
        <v>59</v>
      </c>
      <c r="H360" s="14" t="s">
        <v>642</v>
      </c>
    </row>
    <row r="361" ht="15.75" customHeight="1">
      <c r="A361" s="8">
        <v>46133.0</v>
      </c>
      <c r="B361" s="4" t="s">
        <v>1263</v>
      </c>
      <c r="C361" s="5">
        <v>500000.0</v>
      </c>
      <c r="D361" s="5">
        <v>0.0</v>
      </c>
      <c r="E361" s="5">
        <f t="shared" si="1"/>
        <v>32556639.48</v>
      </c>
      <c r="F361" s="15" t="s">
        <v>58</v>
      </c>
      <c r="G361" s="15" t="s">
        <v>59</v>
      </c>
      <c r="H361" s="14" t="s">
        <v>642</v>
      </c>
    </row>
    <row r="362" ht="15.75" customHeight="1">
      <c r="A362" s="8">
        <v>46133.0</v>
      </c>
      <c r="B362" s="4" t="s">
        <v>1266</v>
      </c>
      <c r="C362" s="5">
        <v>500000.0</v>
      </c>
      <c r="D362" s="5">
        <v>0.0</v>
      </c>
      <c r="E362" s="5">
        <f t="shared" si="1"/>
        <v>32056639.48</v>
      </c>
      <c r="F362" s="15" t="s">
        <v>58</v>
      </c>
      <c r="G362" s="15" t="s">
        <v>59</v>
      </c>
      <c r="H362" s="14" t="s">
        <v>642</v>
      </c>
    </row>
    <row r="363" ht="15.75" customHeight="1">
      <c r="A363" s="8">
        <v>46133.0</v>
      </c>
      <c r="B363" s="4" t="s">
        <v>1269</v>
      </c>
      <c r="C363" s="5">
        <v>8220000.0</v>
      </c>
      <c r="D363" s="5">
        <v>0.0</v>
      </c>
      <c r="E363" s="5">
        <f t="shared" si="1"/>
        <v>23836639.48</v>
      </c>
      <c r="F363" s="15" t="s">
        <v>58</v>
      </c>
      <c r="G363" s="15" t="s">
        <v>59</v>
      </c>
      <c r="H363" s="14" t="s">
        <v>642</v>
      </c>
    </row>
    <row r="364" ht="15.75" customHeight="1">
      <c r="A364" s="8">
        <v>46133.0</v>
      </c>
      <c r="B364" s="4" t="s">
        <v>1270</v>
      </c>
      <c r="C364" s="5">
        <v>4700100.0</v>
      </c>
      <c r="D364" s="5">
        <v>0.0</v>
      </c>
      <c r="E364" s="5">
        <f t="shared" si="1"/>
        <v>19136539.48</v>
      </c>
      <c r="F364" s="15" t="s">
        <v>58</v>
      </c>
      <c r="G364" s="15" t="s">
        <v>59</v>
      </c>
      <c r="H364" s="4" t="s">
        <v>408</v>
      </c>
    </row>
    <row r="365" ht="15.75" customHeight="1">
      <c r="A365" s="8">
        <v>46133.0</v>
      </c>
      <c r="B365" s="4" t="s">
        <v>1271</v>
      </c>
      <c r="C365" s="5">
        <v>1.02E7</v>
      </c>
      <c r="D365" s="5">
        <v>0.0</v>
      </c>
      <c r="E365" s="5">
        <f t="shared" si="1"/>
        <v>8936539.48</v>
      </c>
      <c r="F365" s="15" t="s">
        <v>306</v>
      </c>
      <c r="G365" s="15" t="s">
        <v>307</v>
      </c>
      <c r="H365" s="4" t="s">
        <v>1272</v>
      </c>
    </row>
    <row r="366" ht="15.75" customHeight="1">
      <c r="A366" s="8">
        <v>46133.0</v>
      </c>
      <c r="B366" s="4" t="s">
        <v>1273</v>
      </c>
      <c r="C366" s="5">
        <v>331100.0</v>
      </c>
      <c r="D366" s="5">
        <v>0.0</v>
      </c>
      <c r="E366" s="5">
        <f t="shared" si="1"/>
        <v>8605439.48</v>
      </c>
      <c r="F366" s="15" t="s">
        <v>18</v>
      </c>
      <c r="G366" s="15" t="s">
        <v>80</v>
      </c>
      <c r="H366" s="4" t="s">
        <v>324</v>
      </c>
    </row>
    <row r="367" ht="15.75" customHeight="1">
      <c r="A367" s="8">
        <v>46133.0</v>
      </c>
      <c r="B367" s="4" t="s">
        <v>1274</v>
      </c>
      <c r="C367" s="5">
        <v>6930000.0</v>
      </c>
      <c r="D367" s="5">
        <v>0.0</v>
      </c>
      <c r="E367" s="5">
        <f t="shared" si="1"/>
        <v>1675439.48</v>
      </c>
      <c r="F367" s="15" t="s">
        <v>58</v>
      </c>
      <c r="G367" s="15" t="s">
        <v>59</v>
      </c>
      <c r="H367" s="14" t="s">
        <v>642</v>
      </c>
    </row>
    <row r="368" ht="15.75" customHeight="1">
      <c r="A368" s="8">
        <v>46133.0</v>
      </c>
      <c r="B368" s="14" t="s">
        <v>1077</v>
      </c>
      <c r="C368" s="5">
        <v>0.0</v>
      </c>
      <c r="D368" s="5">
        <v>3.27E8</v>
      </c>
      <c r="E368" s="5">
        <f t="shared" si="1"/>
        <v>328675439.5</v>
      </c>
      <c r="F368" s="14" t="s">
        <v>93</v>
      </c>
      <c r="G368" s="14" t="s">
        <v>93</v>
      </c>
      <c r="H368" s="14" t="s">
        <v>134</v>
      </c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8">
        <v>46133.0</v>
      </c>
      <c r="B369" s="4" t="s">
        <v>1275</v>
      </c>
      <c r="C369" s="5">
        <v>3.0E7</v>
      </c>
      <c r="D369" s="5">
        <v>0.0</v>
      </c>
      <c r="E369" s="5">
        <f t="shared" si="1"/>
        <v>298675439.5</v>
      </c>
      <c r="F369" s="15" t="s">
        <v>58</v>
      </c>
      <c r="G369" s="15" t="s">
        <v>59</v>
      </c>
      <c r="H369" s="4" t="s">
        <v>408</v>
      </c>
    </row>
    <row r="370" ht="15.75" customHeight="1">
      <c r="A370" s="8">
        <v>46133.0</v>
      </c>
      <c r="B370" s="4" t="s">
        <v>1276</v>
      </c>
      <c r="C370" s="5">
        <v>2.984068E8</v>
      </c>
      <c r="D370" s="5">
        <v>0.0</v>
      </c>
      <c r="E370" s="5">
        <f t="shared" si="1"/>
        <v>268639.48</v>
      </c>
      <c r="F370" s="15" t="s">
        <v>58</v>
      </c>
      <c r="G370" s="15" t="s">
        <v>59</v>
      </c>
      <c r="H370" s="4" t="s">
        <v>408</v>
      </c>
    </row>
    <row r="371" ht="15.75" customHeight="1">
      <c r="A371" s="8">
        <v>46136.0</v>
      </c>
      <c r="B371" s="4" t="s">
        <v>457</v>
      </c>
      <c r="C371" s="5">
        <v>0.0</v>
      </c>
      <c r="D371" s="5">
        <v>3000000.0</v>
      </c>
      <c r="E371" s="5">
        <f t="shared" si="1"/>
        <v>3268639.48</v>
      </c>
      <c r="F371" s="15" t="s">
        <v>21</v>
      </c>
      <c r="G371" s="15" t="s">
        <v>190</v>
      </c>
    </row>
    <row r="372" ht="15.75" customHeight="1">
      <c r="A372" s="8">
        <v>46136.0</v>
      </c>
      <c r="B372" s="14" t="s">
        <v>1282</v>
      </c>
      <c r="C372" s="5">
        <v>0.0</v>
      </c>
      <c r="D372" s="5">
        <v>3.7E7</v>
      </c>
      <c r="E372" s="5">
        <f t="shared" si="1"/>
        <v>40268639.48</v>
      </c>
      <c r="F372" s="15" t="s">
        <v>93</v>
      </c>
      <c r="G372" s="15" t="s">
        <v>93</v>
      </c>
      <c r="H372" s="14" t="s">
        <v>20</v>
      </c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8">
        <v>46136.0</v>
      </c>
      <c r="B373" s="4" t="s">
        <v>1109</v>
      </c>
      <c r="C373" s="5">
        <v>4.0E7</v>
      </c>
      <c r="D373" s="5">
        <v>0.0</v>
      </c>
      <c r="E373" s="5">
        <f t="shared" si="1"/>
        <v>268639.48</v>
      </c>
      <c r="F373" s="15" t="s">
        <v>21</v>
      </c>
      <c r="G373" s="15" t="s">
        <v>842</v>
      </c>
    </row>
    <row r="374" ht="15.75" customHeight="1">
      <c r="A374" s="8">
        <v>46136.0</v>
      </c>
      <c r="B374" s="4" t="s">
        <v>1111</v>
      </c>
      <c r="C374" s="5">
        <v>2500.0</v>
      </c>
      <c r="D374" s="5">
        <v>0.0</v>
      </c>
      <c r="E374" s="5">
        <f t="shared" si="1"/>
        <v>266139.48</v>
      </c>
      <c r="F374" s="15" t="s">
        <v>43</v>
      </c>
      <c r="G374" s="15" t="s">
        <v>45</v>
      </c>
    </row>
    <row r="375" ht="15.75" customHeight="1">
      <c r="A375" s="8">
        <v>46136.0</v>
      </c>
      <c r="B375" s="14" t="s">
        <v>1077</v>
      </c>
      <c r="C375" s="5">
        <v>0.0</v>
      </c>
      <c r="D375" s="5">
        <v>3163900.0</v>
      </c>
      <c r="E375" s="5">
        <f t="shared" si="1"/>
        <v>3430039.48</v>
      </c>
      <c r="F375" s="14" t="s">
        <v>93</v>
      </c>
      <c r="G375" s="14" t="s">
        <v>93</v>
      </c>
      <c r="H375" s="14" t="s">
        <v>134</v>
      </c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8">
        <v>46136.0</v>
      </c>
      <c r="B376" s="4" t="s">
        <v>1288</v>
      </c>
      <c r="C376" s="5">
        <v>3430000.0</v>
      </c>
      <c r="D376" s="5">
        <v>0.0</v>
      </c>
      <c r="E376" s="5">
        <f t="shared" si="1"/>
        <v>39.48000002</v>
      </c>
      <c r="F376" s="15" t="s">
        <v>58</v>
      </c>
      <c r="G376" s="15" t="s">
        <v>59</v>
      </c>
      <c r="H376" s="14" t="s">
        <v>642</v>
      </c>
    </row>
    <row r="377" ht="15.75" customHeight="1">
      <c r="A377" s="8">
        <v>46140.0</v>
      </c>
      <c r="B377" s="4" t="s">
        <v>1290</v>
      </c>
      <c r="C377" s="5">
        <v>0.0</v>
      </c>
      <c r="D377" s="5">
        <v>2249831.0</v>
      </c>
      <c r="E377" s="5">
        <f t="shared" si="1"/>
        <v>2249870.48</v>
      </c>
      <c r="F377" s="15" t="s">
        <v>21</v>
      </c>
      <c r="G377" s="15" t="s">
        <v>1291</v>
      </c>
    </row>
    <row r="378" ht="15.75" customHeight="1">
      <c r="A378" s="8">
        <v>46140.0</v>
      </c>
      <c r="B378" s="4" t="s">
        <v>1293</v>
      </c>
      <c r="C378" s="5">
        <v>0.0</v>
      </c>
      <c r="D378" s="5">
        <v>263018.0</v>
      </c>
      <c r="E378" s="5">
        <f t="shared" si="1"/>
        <v>2512888.48</v>
      </c>
      <c r="F378" s="14" t="s">
        <v>21</v>
      </c>
      <c r="G378" s="14" t="s">
        <v>190</v>
      </c>
    </row>
    <row r="379" ht="15.75" customHeight="1">
      <c r="A379" s="8">
        <v>46141.0</v>
      </c>
      <c r="B379" s="4" t="s">
        <v>1297</v>
      </c>
      <c r="C379" s="5">
        <v>0.0</v>
      </c>
      <c r="D379" s="5">
        <v>2.9975E7</v>
      </c>
      <c r="E379" s="5">
        <f t="shared" si="1"/>
        <v>32487888.48</v>
      </c>
      <c r="F379" s="15" t="s">
        <v>75</v>
      </c>
      <c r="G379" s="15" t="s">
        <v>76</v>
      </c>
      <c r="H379" s="4" t="s">
        <v>266</v>
      </c>
      <c r="I379" s="4" t="s">
        <v>1299</v>
      </c>
    </row>
    <row r="380" ht="15.75" customHeight="1">
      <c r="A380" s="12">
        <v>46141.0</v>
      </c>
      <c r="B380" s="4" t="s">
        <v>1300</v>
      </c>
      <c r="C380" s="5">
        <v>0.0</v>
      </c>
      <c r="D380" s="5">
        <v>1.14943156E8</v>
      </c>
      <c r="E380" s="5">
        <f t="shared" si="1"/>
        <v>147431044.5</v>
      </c>
      <c r="F380" s="15" t="s">
        <v>21</v>
      </c>
      <c r="G380" s="15" t="s">
        <v>169</v>
      </c>
    </row>
    <row r="381" ht="15.75" customHeight="1">
      <c r="A381" s="12">
        <v>46141.0</v>
      </c>
      <c r="B381" s="4" t="s">
        <v>1302</v>
      </c>
      <c r="C381" s="5">
        <v>3.7E7</v>
      </c>
      <c r="D381" s="5">
        <v>0.0</v>
      </c>
      <c r="E381" s="5">
        <f t="shared" si="1"/>
        <v>110431044.5</v>
      </c>
      <c r="F381" s="15" t="s">
        <v>93</v>
      </c>
      <c r="G381" s="15" t="s">
        <v>93</v>
      </c>
      <c r="H381" s="4" t="s">
        <v>20</v>
      </c>
    </row>
    <row r="382" ht="15.75" customHeight="1">
      <c r="A382" s="8">
        <v>46141.0</v>
      </c>
      <c r="B382" s="4" t="s">
        <v>1303</v>
      </c>
      <c r="C382" s="5">
        <v>815000.0</v>
      </c>
      <c r="D382" s="5">
        <v>0.0</v>
      </c>
      <c r="E382" s="5">
        <f t="shared" si="1"/>
        <v>109616044.5</v>
      </c>
      <c r="F382" s="15" t="s">
        <v>58</v>
      </c>
      <c r="G382" s="15" t="s">
        <v>59</v>
      </c>
      <c r="H382" s="14" t="s">
        <v>61</v>
      </c>
    </row>
    <row r="383" ht="15.75" customHeight="1">
      <c r="A383" s="8">
        <v>46141.0</v>
      </c>
      <c r="B383" s="4" t="s">
        <v>1074</v>
      </c>
      <c r="C383" s="5">
        <v>0.0</v>
      </c>
      <c r="D383" s="5">
        <v>2.5E8</v>
      </c>
      <c r="E383" s="5">
        <f t="shared" si="1"/>
        <v>359616044.5</v>
      </c>
      <c r="F383" s="15" t="s">
        <v>21</v>
      </c>
      <c r="G383" s="15" t="s">
        <v>1075</v>
      </c>
    </row>
    <row r="384" ht="15.75" customHeight="1">
      <c r="A384" s="8">
        <v>46141.0</v>
      </c>
      <c r="B384" s="4" t="s">
        <v>1074</v>
      </c>
      <c r="C384" s="5">
        <v>0.0</v>
      </c>
      <c r="D384" s="5">
        <v>2.0E8</v>
      </c>
      <c r="E384" s="5">
        <f t="shared" si="1"/>
        <v>559616044.5</v>
      </c>
      <c r="F384" s="15" t="s">
        <v>21</v>
      </c>
      <c r="G384" s="15" t="s">
        <v>1075</v>
      </c>
    </row>
    <row r="385" ht="15.75" customHeight="1">
      <c r="A385" s="8">
        <v>46141.0</v>
      </c>
      <c r="B385" s="4" t="s">
        <v>1306</v>
      </c>
      <c r="C385" s="5">
        <v>2.5E8</v>
      </c>
      <c r="D385" s="5">
        <v>0.0</v>
      </c>
      <c r="E385" s="5">
        <f t="shared" si="1"/>
        <v>309616044.5</v>
      </c>
      <c r="F385" s="15" t="s">
        <v>93</v>
      </c>
      <c r="G385" s="15" t="s">
        <v>93</v>
      </c>
      <c r="H385" s="4" t="s">
        <v>20</v>
      </c>
    </row>
    <row r="386" ht="15.75" customHeight="1">
      <c r="A386" s="8">
        <v>46141.0</v>
      </c>
      <c r="B386" s="4" t="s">
        <v>1308</v>
      </c>
      <c r="C386" s="5">
        <v>2500.0</v>
      </c>
      <c r="D386" s="5">
        <v>0.0</v>
      </c>
      <c r="E386" s="5">
        <f t="shared" si="1"/>
        <v>309613544.5</v>
      </c>
      <c r="F386" s="15" t="s">
        <v>43</v>
      </c>
      <c r="G386" s="15" t="s">
        <v>45</v>
      </c>
    </row>
    <row r="387" ht="15.75" customHeight="1">
      <c r="A387" s="8">
        <v>46141.0</v>
      </c>
      <c r="B387" s="4" t="s">
        <v>1050</v>
      </c>
      <c r="C387" s="5">
        <v>1.85E8</v>
      </c>
      <c r="D387" s="5">
        <v>0.0</v>
      </c>
      <c r="E387" s="5">
        <f t="shared" si="1"/>
        <v>124613544.5</v>
      </c>
      <c r="F387" s="15" t="s">
        <v>21</v>
      </c>
      <c r="G387" s="15" t="s">
        <v>842</v>
      </c>
    </row>
    <row r="388" ht="15.75" customHeight="1">
      <c r="A388" s="8">
        <v>46141.0</v>
      </c>
      <c r="B388" s="4" t="s">
        <v>1053</v>
      </c>
      <c r="C388" s="5">
        <v>2500.0</v>
      </c>
      <c r="D388" s="5">
        <v>0.0</v>
      </c>
      <c r="E388" s="5">
        <f t="shared" si="1"/>
        <v>124611044.5</v>
      </c>
      <c r="F388" s="15" t="s">
        <v>43</v>
      </c>
      <c r="G388" s="15" t="s">
        <v>45</v>
      </c>
    </row>
    <row r="389" ht="15.75" customHeight="1">
      <c r="A389" s="8">
        <v>46141.0</v>
      </c>
      <c r="B389" s="4" t="s">
        <v>1312</v>
      </c>
      <c r="C389" s="5">
        <v>8.45E7</v>
      </c>
      <c r="D389" s="5">
        <v>0.0</v>
      </c>
      <c r="E389" s="5">
        <f t="shared" si="1"/>
        <v>40111044.48</v>
      </c>
      <c r="F389" s="15" t="s">
        <v>105</v>
      </c>
      <c r="G389" s="15" t="s">
        <v>193</v>
      </c>
    </row>
    <row r="390" ht="15.75" customHeight="1">
      <c r="A390" s="8">
        <v>46141.0</v>
      </c>
      <c r="B390" s="4" t="s">
        <v>1050</v>
      </c>
      <c r="C390" s="5">
        <v>2.8E7</v>
      </c>
      <c r="D390" s="5">
        <v>0.0</v>
      </c>
      <c r="E390" s="5">
        <f t="shared" si="1"/>
        <v>12111044.48</v>
      </c>
      <c r="F390" s="15" t="s">
        <v>21</v>
      </c>
      <c r="G390" s="15" t="s">
        <v>842</v>
      </c>
    </row>
    <row r="391" ht="15.75" customHeight="1">
      <c r="A391" s="8">
        <v>46141.0</v>
      </c>
      <c r="B391" s="4" t="s">
        <v>1053</v>
      </c>
      <c r="C391" s="5">
        <v>2500.0</v>
      </c>
      <c r="D391" s="5">
        <v>0.0</v>
      </c>
      <c r="E391" s="5">
        <f t="shared" si="1"/>
        <v>12108544.48</v>
      </c>
      <c r="F391" s="15" t="s">
        <v>43</v>
      </c>
      <c r="G391" s="15" t="s">
        <v>45</v>
      </c>
    </row>
    <row r="392" ht="15.75" customHeight="1">
      <c r="A392" s="8">
        <v>46141.0</v>
      </c>
      <c r="B392" s="4" t="s">
        <v>1316</v>
      </c>
      <c r="C392" s="5">
        <v>3163900.0</v>
      </c>
      <c r="D392" s="5">
        <v>0.0</v>
      </c>
      <c r="E392" s="5">
        <f t="shared" si="1"/>
        <v>8944644.48</v>
      </c>
      <c r="F392" s="14" t="s">
        <v>93</v>
      </c>
      <c r="G392" s="14" t="s">
        <v>93</v>
      </c>
      <c r="H392" s="14" t="s">
        <v>134</v>
      </c>
    </row>
    <row r="393" ht="15.75" customHeight="1">
      <c r="A393" s="8">
        <v>46142.0</v>
      </c>
      <c r="B393" s="4" t="s">
        <v>429</v>
      </c>
      <c r="C393" s="5">
        <v>30000.0</v>
      </c>
      <c r="D393" s="5">
        <v>0.0</v>
      </c>
      <c r="E393" s="5">
        <f t="shared" si="1"/>
        <v>8914644.48</v>
      </c>
      <c r="F393" s="15" t="s">
        <v>43</v>
      </c>
      <c r="G393" s="15" t="s">
        <v>45</v>
      </c>
    </row>
    <row r="394" ht="15.75" customHeight="1">
      <c r="A394" s="8">
        <v>46147.0</v>
      </c>
      <c r="B394" s="4" t="s">
        <v>1318</v>
      </c>
      <c r="C394" s="5"/>
      <c r="D394" s="5">
        <v>1.05E8</v>
      </c>
      <c r="E394" s="5">
        <f t="shared" si="1"/>
        <v>113914644.5</v>
      </c>
      <c r="F394" s="15" t="s">
        <v>21</v>
      </c>
      <c r="G394" s="15" t="s">
        <v>190</v>
      </c>
    </row>
    <row r="395" ht="15.75" customHeight="1">
      <c r="A395" s="8">
        <v>46147.0</v>
      </c>
      <c r="B395" s="4" t="s">
        <v>1319</v>
      </c>
      <c r="C395" s="5">
        <v>7.896E7</v>
      </c>
      <c r="D395" s="5">
        <v>0.0</v>
      </c>
      <c r="E395" s="5">
        <f t="shared" si="1"/>
        <v>34954644.48</v>
      </c>
      <c r="F395" s="15" t="s">
        <v>58</v>
      </c>
      <c r="G395" s="15" t="s">
        <v>59</v>
      </c>
      <c r="H395" s="14" t="s">
        <v>111</v>
      </c>
    </row>
    <row r="396" ht="15.75" customHeight="1">
      <c r="A396" s="8">
        <v>46147.0</v>
      </c>
      <c r="B396" s="4" t="s">
        <v>1321</v>
      </c>
      <c r="C396" s="5">
        <v>1.295E7</v>
      </c>
      <c r="D396" s="5">
        <v>0.0</v>
      </c>
      <c r="E396" s="5">
        <f t="shared" si="1"/>
        <v>22004644.48</v>
      </c>
      <c r="F396" s="15" t="s">
        <v>58</v>
      </c>
      <c r="G396" s="15" t="s">
        <v>59</v>
      </c>
      <c r="H396" s="4" t="s">
        <v>931</v>
      </c>
    </row>
    <row r="397" ht="15.75" customHeight="1">
      <c r="A397" s="8">
        <v>46147.0</v>
      </c>
      <c r="B397" s="4" t="s">
        <v>1324</v>
      </c>
      <c r="C397" s="5">
        <v>1.0725E7</v>
      </c>
      <c r="D397" s="5">
        <v>0.0</v>
      </c>
      <c r="E397" s="5">
        <f t="shared" si="1"/>
        <v>11279644.48</v>
      </c>
      <c r="F397" s="15" t="s">
        <v>58</v>
      </c>
      <c r="G397" s="15" t="s">
        <v>59</v>
      </c>
      <c r="H397" s="4" t="s">
        <v>931</v>
      </c>
    </row>
    <row r="398" ht="15.75" customHeight="1">
      <c r="A398" s="8">
        <v>46147.0</v>
      </c>
      <c r="B398" s="4" t="s">
        <v>1328</v>
      </c>
      <c r="C398" s="5">
        <f>4900000+D399</f>
        <v>5000000</v>
      </c>
      <c r="D398" s="5">
        <v>0.0</v>
      </c>
      <c r="E398" s="5">
        <f t="shared" si="1"/>
        <v>6279644.48</v>
      </c>
      <c r="F398" s="15" t="s">
        <v>58</v>
      </c>
      <c r="G398" s="15" t="s">
        <v>59</v>
      </c>
      <c r="H398" s="4" t="s">
        <v>931</v>
      </c>
    </row>
    <row r="399" ht="15.75" customHeight="1">
      <c r="A399" s="8">
        <v>46147.0</v>
      </c>
      <c r="B399" s="4" t="s">
        <v>1328</v>
      </c>
      <c r="C399" s="5">
        <v>0.0</v>
      </c>
      <c r="D399" s="5">
        <v>100000.0</v>
      </c>
      <c r="E399" s="5">
        <f t="shared" si="1"/>
        <v>6379644.48</v>
      </c>
      <c r="F399" s="15" t="s">
        <v>21</v>
      </c>
      <c r="G399" s="15" t="s">
        <v>190</v>
      </c>
      <c r="H399" s="4" t="s">
        <v>191</v>
      </c>
    </row>
    <row r="400" ht="15.75" customHeight="1">
      <c r="A400" s="8">
        <v>46149.0</v>
      </c>
      <c r="B400" s="4" t="s">
        <v>1333</v>
      </c>
      <c r="C400" s="5">
        <v>0.0</v>
      </c>
      <c r="D400" s="5">
        <v>5.0E7</v>
      </c>
      <c r="E400" s="5">
        <f t="shared" si="1"/>
        <v>56379644.48</v>
      </c>
      <c r="F400" s="15" t="s">
        <v>21</v>
      </c>
      <c r="G400" s="4" t="s">
        <v>169</v>
      </c>
    </row>
    <row r="401" ht="15.75" customHeight="1">
      <c r="A401" s="8">
        <v>46149.0</v>
      </c>
      <c r="B401" s="4" t="s">
        <v>1334</v>
      </c>
      <c r="C401" s="5">
        <v>0.0</v>
      </c>
      <c r="D401" s="5">
        <v>1.0791844E7</v>
      </c>
      <c r="E401" s="5">
        <f t="shared" si="1"/>
        <v>67171488.48</v>
      </c>
      <c r="F401" s="14" t="s">
        <v>21</v>
      </c>
      <c r="G401" s="14" t="s">
        <v>41</v>
      </c>
      <c r="H401" s="14" t="s">
        <v>1336</v>
      </c>
      <c r="I401" s="4" t="s">
        <v>199</v>
      </c>
    </row>
    <row r="402" ht="15.75" customHeight="1">
      <c r="A402" s="8">
        <v>46150.0</v>
      </c>
      <c r="B402" s="4" t="s">
        <v>1337</v>
      </c>
      <c r="C402" s="5">
        <v>0.0</v>
      </c>
      <c r="D402" s="5">
        <v>1.04595644E8</v>
      </c>
      <c r="E402" s="5">
        <f t="shared" si="1"/>
        <v>171767132.5</v>
      </c>
      <c r="F402" s="4" t="s">
        <v>21</v>
      </c>
      <c r="G402" s="4" t="s">
        <v>169</v>
      </c>
    </row>
    <row r="403" ht="15.75" customHeight="1">
      <c r="A403" s="8">
        <v>46150.0</v>
      </c>
      <c r="B403" s="4" t="s">
        <v>457</v>
      </c>
      <c r="C403" s="5">
        <v>0.0</v>
      </c>
      <c r="D403" s="5">
        <v>1.3E8</v>
      </c>
      <c r="E403" s="5">
        <f t="shared" si="1"/>
        <v>301767132.5</v>
      </c>
      <c r="F403" s="14" t="s">
        <v>21</v>
      </c>
      <c r="G403" s="14" t="s">
        <v>190</v>
      </c>
    </row>
    <row r="404" ht="15.75" customHeight="1">
      <c r="A404" s="8">
        <v>46150.0</v>
      </c>
      <c r="B404" s="4" t="s">
        <v>1339</v>
      </c>
      <c r="C404" s="5">
        <v>8236952.0</v>
      </c>
      <c r="D404" s="5">
        <v>0.0</v>
      </c>
      <c r="E404" s="5">
        <f t="shared" si="1"/>
        <v>293530180.5</v>
      </c>
      <c r="F404" s="15" t="s">
        <v>58</v>
      </c>
      <c r="G404" s="15" t="s">
        <v>59</v>
      </c>
      <c r="H404" s="14" t="s">
        <v>111</v>
      </c>
    </row>
    <row r="405" ht="15.75" customHeight="1">
      <c r="A405" s="8">
        <v>46150.0</v>
      </c>
      <c r="B405" s="4" t="s">
        <v>1341</v>
      </c>
      <c r="C405" s="5">
        <v>3.229217E7</v>
      </c>
      <c r="D405" s="5">
        <v>0.0</v>
      </c>
      <c r="E405" s="5">
        <f t="shared" si="1"/>
        <v>261238010.5</v>
      </c>
      <c r="F405" s="15" t="s">
        <v>58</v>
      </c>
      <c r="G405" s="15" t="s">
        <v>59</v>
      </c>
      <c r="H405" s="14" t="s">
        <v>111</v>
      </c>
    </row>
    <row r="406" ht="15.75" customHeight="1">
      <c r="A406" s="8">
        <v>46150.0</v>
      </c>
      <c r="B406" s="4" t="s">
        <v>1342</v>
      </c>
      <c r="C406" s="5">
        <v>1147190.0</v>
      </c>
      <c r="D406" s="5">
        <v>0.0</v>
      </c>
      <c r="E406" s="5">
        <f t="shared" si="1"/>
        <v>260090820.5</v>
      </c>
      <c r="F406" s="15" t="s">
        <v>58</v>
      </c>
      <c r="G406" s="15" t="s">
        <v>59</v>
      </c>
      <c r="H406" s="14" t="s">
        <v>642</v>
      </c>
    </row>
    <row r="407" ht="15.75" customHeight="1">
      <c r="A407" s="8">
        <v>46150.0</v>
      </c>
      <c r="B407" s="4" t="s">
        <v>1343</v>
      </c>
      <c r="C407" s="5">
        <v>527220.0</v>
      </c>
      <c r="D407" s="5">
        <v>0.0</v>
      </c>
      <c r="E407" s="5">
        <f t="shared" si="1"/>
        <v>259563600.5</v>
      </c>
      <c r="F407" s="15" t="s">
        <v>105</v>
      </c>
      <c r="G407" s="15" t="s">
        <v>106</v>
      </c>
      <c r="H407" s="4" t="s">
        <v>72</v>
      </c>
    </row>
    <row r="408" ht="15.75" customHeight="1">
      <c r="A408" s="8">
        <v>46150.0</v>
      </c>
      <c r="B408" s="4" t="s">
        <v>1344</v>
      </c>
      <c r="C408" s="5">
        <v>1.78992E7</v>
      </c>
      <c r="D408" s="5">
        <v>0.0</v>
      </c>
      <c r="E408" s="5">
        <f t="shared" si="1"/>
        <v>241664400.5</v>
      </c>
      <c r="F408" s="15" t="s">
        <v>58</v>
      </c>
      <c r="G408" s="15" t="s">
        <v>59</v>
      </c>
      <c r="H408" s="4" t="s">
        <v>722</v>
      </c>
    </row>
    <row r="409" ht="15.75" customHeight="1">
      <c r="A409" s="8">
        <v>46150.0</v>
      </c>
      <c r="B409" s="4" t="s">
        <v>1345</v>
      </c>
      <c r="C409" s="5">
        <f>2940000+D410</f>
        <v>3000000</v>
      </c>
      <c r="D409" s="5">
        <v>0.0</v>
      </c>
      <c r="E409" s="5">
        <f t="shared" si="1"/>
        <v>238664400.5</v>
      </c>
      <c r="F409" s="15" t="s">
        <v>58</v>
      </c>
      <c r="G409" s="15" t="s">
        <v>59</v>
      </c>
      <c r="H409" s="14" t="s">
        <v>642</v>
      </c>
    </row>
    <row r="410" ht="15.75" customHeight="1">
      <c r="A410" s="8">
        <v>46150.0</v>
      </c>
      <c r="B410" s="4" t="s">
        <v>1345</v>
      </c>
      <c r="C410" s="5">
        <v>0.0</v>
      </c>
      <c r="D410" s="5">
        <v>60000.0</v>
      </c>
      <c r="E410" s="5">
        <f t="shared" si="1"/>
        <v>238724400.5</v>
      </c>
      <c r="F410" s="15" t="s">
        <v>21</v>
      </c>
      <c r="G410" s="15" t="s">
        <v>190</v>
      </c>
      <c r="H410" s="14" t="s">
        <v>191</v>
      </c>
    </row>
    <row r="411" ht="15.75" customHeight="1">
      <c r="A411" s="8">
        <v>46150.0</v>
      </c>
      <c r="B411" s="4" t="s">
        <v>1346</v>
      </c>
      <c r="C411" s="5">
        <f>37877000+D412</f>
        <v>38650000</v>
      </c>
      <c r="D411" s="5">
        <v>0.0</v>
      </c>
      <c r="E411" s="5">
        <f t="shared" si="1"/>
        <v>200074400.5</v>
      </c>
      <c r="F411" s="15" t="s">
        <v>58</v>
      </c>
      <c r="G411" s="15" t="s">
        <v>59</v>
      </c>
      <c r="H411" s="14" t="s">
        <v>931</v>
      </c>
    </row>
    <row r="412" ht="15.75" customHeight="1">
      <c r="A412" s="8">
        <v>46150.0</v>
      </c>
      <c r="B412" s="4" t="s">
        <v>1346</v>
      </c>
      <c r="C412" s="5">
        <v>0.0</v>
      </c>
      <c r="D412" s="5">
        <v>773000.0</v>
      </c>
      <c r="E412" s="5">
        <f t="shared" si="1"/>
        <v>200847400.5</v>
      </c>
      <c r="F412" s="15" t="s">
        <v>21</v>
      </c>
      <c r="G412" s="15" t="s">
        <v>190</v>
      </c>
      <c r="H412" s="14" t="s">
        <v>191</v>
      </c>
    </row>
    <row r="413" ht="15.75" customHeight="1">
      <c r="A413" s="8">
        <v>46150.0</v>
      </c>
      <c r="B413" s="4" t="s">
        <v>1347</v>
      </c>
      <c r="C413" s="5">
        <v>1.365975E7</v>
      </c>
      <c r="D413" s="5">
        <v>0.0</v>
      </c>
      <c r="E413" s="5">
        <f t="shared" si="1"/>
        <v>187187650.5</v>
      </c>
      <c r="F413" s="15" t="s">
        <v>58</v>
      </c>
      <c r="G413" s="15" t="s">
        <v>59</v>
      </c>
      <c r="H413" s="14" t="s">
        <v>1348</v>
      </c>
    </row>
    <row r="414" ht="15.75" customHeight="1">
      <c r="A414" s="8">
        <v>46150.0</v>
      </c>
      <c r="B414" s="4" t="s">
        <v>1349</v>
      </c>
      <c r="C414" s="5">
        <v>5000000.0</v>
      </c>
      <c r="D414" s="5">
        <v>0.0</v>
      </c>
      <c r="E414" s="5">
        <f t="shared" si="1"/>
        <v>182187650.5</v>
      </c>
      <c r="F414" s="15" t="s">
        <v>58</v>
      </c>
      <c r="G414" s="15" t="s">
        <v>59</v>
      </c>
      <c r="H414" s="14" t="s">
        <v>642</v>
      </c>
    </row>
    <row r="415" ht="15.75" customHeight="1">
      <c r="A415" s="8">
        <v>46150.0</v>
      </c>
      <c r="B415" s="4" t="s">
        <v>1350</v>
      </c>
      <c r="C415" s="5">
        <v>1387155.0</v>
      </c>
      <c r="D415" s="5">
        <v>0.0</v>
      </c>
      <c r="E415" s="5">
        <f t="shared" si="1"/>
        <v>180800495.5</v>
      </c>
      <c r="F415" s="15" t="s">
        <v>18</v>
      </c>
      <c r="G415" s="15" t="s">
        <v>80</v>
      </c>
      <c r="H415" s="4" t="s">
        <v>324</v>
      </c>
    </row>
    <row r="416" ht="15.75" customHeight="1">
      <c r="A416" s="8">
        <v>46150.0</v>
      </c>
      <c r="B416" s="4" t="s">
        <v>1351</v>
      </c>
      <c r="C416" s="5">
        <v>238150.0</v>
      </c>
      <c r="D416" s="5">
        <v>0.0</v>
      </c>
      <c r="E416" s="5">
        <f t="shared" si="1"/>
        <v>180562345.5</v>
      </c>
      <c r="F416" s="15" t="s">
        <v>58</v>
      </c>
      <c r="G416" s="15" t="s">
        <v>59</v>
      </c>
      <c r="H416" s="14" t="s">
        <v>458</v>
      </c>
    </row>
    <row r="417" ht="15.75" customHeight="1">
      <c r="A417" s="8">
        <v>46150.0</v>
      </c>
      <c r="B417" s="4" t="s">
        <v>1352</v>
      </c>
      <c r="C417" s="5">
        <v>600000.0</v>
      </c>
      <c r="D417" s="5">
        <v>0.0</v>
      </c>
      <c r="E417" s="5">
        <f t="shared" si="1"/>
        <v>179962345.5</v>
      </c>
      <c r="F417" s="15" t="s">
        <v>58</v>
      </c>
      <c r="G417" s="15" t="s">
        <v>59</v>
      </c>
      <c r="H417" s="14" t="s">
        <v>642</v>
      </c>
    </row>
    <row r="418" ht="15.75" customHeight="1">
      <c r="A418" s="8">
        <v>46150.0</v>
      </c>
      <c r="B418" s="4" t="s">
        <v>1353</v>
      </c>
      <c r="C418" s="5">
        <v>1.71E8</v>
      </c>
      <c r="D418" s="5">
        <v>0.0</v>
      </c>
      <c r="E418" s="5">
        <f t="shared" si="1"/>
        <v>8962345.48</v>
      </c>
      <c r="F418" s="15" t="s">
        <v>93</v>
      </c>
      <c r="G418" s="15" t="s">
        <v>93</v>
      </c>
      <c r="H418" s="4" t="s">
        <v>20</v>
      </c>
    </row>
    <row r="419" ht="15.75" customHeight="1">
      <c r="A419" s="8">
        <v>46150.0</v>
      </c>
      <c r="B419" s="4" t="s">
        <v>1353</v>
      </c>
      <c r="C419" s="5">
        <f>174600000-C418</f>
        <v>3600000</v>
      </c>
      <c r="D419" s="5">
        <v>0.0</v>
      </c>
      <c r="E419" s="5">
        <f t="shared" si="1"/>
        <v>5362345.48</v>
      </c>
      <c r="F419" s="15" t="s">
        <v>63</v>
      </c>
      <c r="G419" s="15" t="s">
        <v>1354</v>
      </c>
      <c r="H419" s="4" t="s">
        <v>6</v>
      </c>
    </row>
    <row r="420" ht="15.75" customHeight="1">
      <c r="A420" s="8">
        <v>46150.0</v>
      </c>
      <c r="B420" s="4" t="s">
        <v>1355</v>
      </c>
      <c r="C420" s="5">
        <v>873000.0</v>
      </c>
      <c r="D420" s="5">
        <v>0.0</v>
      </c>
      <c r="E420" s="5">
        <f t="shared" si="1"/>
        <v>4489345.48</v>
      </c>
      <c r="F420" s="15" t="s">
        <v>43</v>
      </c>
      <c r="G420" s="15" t="s">
        <v>1356</v>
      </c>
    </row>
    <row r="421" ht="15.75" customHeight="1">
      <c r="A421" s="8">
        <v>46153.0</v>
      </c>
      <c r="B421" s="4" t="s">
        <v>1109</v>
      </c>
      <c r="C421" s="5">
        <v>4000000.0</v>
      </c>
      <c r="D421" s="5">
        <v>0.0</v>
      </c>
      <c r="E421" s="5">
        <f t="shared" si="1"/>
        <v>489345.48</v>
      </c>
      <c r="F421" s="14" t="s">
        <v>21</v>
      </c>
      <c r="G421" s="14" t="s">
        <v>842</v>
      </c>
    </row>
    <row r="422" ht="15.75" customHeight="1">
      <c r="A422" s="8">
        <v>46153.0</v>
      </c>
      <c r="B422" s="4" t="s">
        <v>1111</v>
      </c>
      <c r="C422" s="5">
        <v>2500.0</v>
      </c>
      <c r="D422" s="5">
        <v>0.0</v>
      </c>
      <c r="E422" s="5">
        <f t="shared" si="1"/>
        <v>486845.48</v>
      </c>
      <c r="F422" s="15" t="s">
        <v>43</v>
      </c>
      <c r="G422" s="15" t="s">
        <v>45</v>
      </c>
    </row>
    <row r="423" ht="15.75" customHeight="1">
      <c r="A423" s="8">
        <v>46153.0</v>
      </c>
      <c r="B423" s="4" t="s">
        <v>1358</v>
      </c>
      <c r="C423" s="5">
        <v>0.0</v>
      </c>
      <c r="D423" s="5">
        <v>8606750.0</v>
      </c>
      <c r="E423" s="5">
        <f t="shared" si="1"/>
        <v>9093595.48</v>
      </c>
      <c r="F423" s="15" t="s">
        <v>93</v>
      </c>
      <c r="G423" s="15" t="s">
        <v>93</v>
      </c>
      <c r="H423" s="4" t="s">
        <v>21</v>
      </c>
    </row>
    <row r="424" ht="15.75" customHeight="1">
      <c r="A424" s="8">
        <v>46153.0</v>
      </c>
      <c r="B424" s="4" t="s">
        <v>1359</v>
      </c>
      <c r="C424" s="5">
        <v>6000000.0</v>
      </c>
      <c r="D424" s="5">
        <v>0.0</v>
      </c>
      <c r="E424" s="5">
        <f t="shared" si="1"/>
        <v>3093595.48</v>
      </c>
      <c r="F424" s="15" t="s">
        <v>58</v>
      </c>
      <c r="G424" s="15" t="s">
        <v>59</v>
      </c>
      <c r="H424" s="14" t="s">
        <v>111</v>
      </c>
    </row>
    <row r="425" ht="15.75" customHeight="1">
      <c r="A425" s="8">
        <v>46154.0</v>
      </c>
      <c r="B425" s="4" t="s">
        <v>457</v>
      </c>
      <c r="C425" s="5">
        <v>0.0</v>
      </c>
      <c r="D425" s="5">
        <v>5000000.0</v>
      </c>
      <c r="E425" s="5">
        <f t="shared" si="1"/>
        <v>8093595.48</v>
      </c>
      <c r="F425" s="14" t="s">
        <v>21</v>
      </c>
      <c r="G425" s="14" t="s">
        <v>190</v>
      </c>
    </row>
    <row r="426" ht="15.75" customHeight="1">
      <c r="A426" s="8">
        <v>46154.0</v>
      </c>
      <c r="B426" s="4" t="s">
        <v>1360</v>
      </c>
      <c r="C426" s="5">
        <v>6137644.0</v>
      </c>
      <c r="D426" s="5">
        <v>0.0</v>
      </c>
      <c r="E426" s="5">
        <f t="shared" si="1"/>
        <v>1955951.48</v>
      </c>
      <c r="F426" s="15" t="s">
        <v>58</v>
      </c>
      <c r="G426" s="15" t="s">
        <v>59</v>
      </c>
      <c r="H426" s="14" t="s">
        <v>458</v>
      </c>
    </row>
    <row r="427" ht="15.75" customHeight="1">
      <c r="A427" s="8">
        <v>46154.0</v>
      </c>
      <c r="B427" s="4" t="s">
        <v>1361</v>
      </c>
      <c r="C427" s="5">
        <v>35000.0</v>
      </c>
      <c r="D427" s="5">
        <v>0.0</v>
      </c>
      <c r="E427" s="5">
        <f t="shared" si="1"/>
        <v>1920951.48</v>
      </c>
      <c r="F427" s="15" t="s">
        <v>43</v>
      </c>
      <c r="G427" s="15" t="s">
        <v>45</v>
      </c>
    </row>
    <row r="428" ht="15.75" customHeight="1">
      <c r="A428" s="8">
        <v>46154.0</v>
      </c>
      <c r="B428" s="4" t="s">
        <v>1362</v>
      </c>
      <c r="C428" s="5">
        <v>333870.0</v>
      </c>
      <c r="D428" s="5">
        <v>0.0</v>
      </c>
      <c r="E428" s="5">
        <f t="shared" si="1"/>
        <v>1587081.48</v>
      </c>
      <c r="F428" s="15" t="s">
        <v>43</v>
      </c>
      <c r="G428" s="15" t="s">
        <v>45</v>
      </c>
    </row>
    <row r="429" ht="15.75" customHeight="1">
      <c r="A429" s="8">
        <v>46154.0</v>
      </c>
      <c r="B429" s="4" t="s">
        <v>457</v>
      </c>
      <c r="C429" s="5">
        <v>0.0</v>
      </c>
      <c r="D429" s="5">
        <v>1.9E7</v>
      </c>
      <c r="E429" s="5">
        <f t="shared" si="1"/>
        <v>20587081.48</v>
      </c>
      <c r="F429" s="14" t="s">
        <v>21</v>
      </c>
      <c r="G429" s="14" t="s">
        <v>190</v>
      </c>
    </row>
    <row r="430" ht="15.75" customHeight="1">
      <c r="A430" s="8">
        <v>46154.0</v>
      </c>
      <c r="B430" s="4" t="s">
        <v>1363</v>
      </c>
      <c r="C430" s="5">
        <v>2.025E7</v>
      </c>
      <c r="D430" s="5">
        <v>0.0</v>
      </c>
      <c r="E430" s="5">
        <f t="shared" si="1"/>
        <v>337081.48</v>
      </c>
      <c r="F430" s="15" t="s">
        <v>58</v>
      </c>
      <c r="G430" s="15" t="s">
        <v>59</v>
      </c>
      <c r="H430" s="14" t="s">
        <v>61</v>
      </c>
    </row>
    <row r="431" ht="15.75" customHeight="1">
      <c r="A431" s="8">
        <v>46154.0</v>
      </c>
      <c r="B431" s="4" t="s">
        <v>1364</v>
      </c>
      <c r="C431" s="5">
        <v>224000.0</v>
      </c>
      <c r="D431" s="5">
        <v>0.0</v>
      </c>
      <c r="E431" s="5">
        <f t="shared" si="1"/>
        <v>113081.48</v>
      </c>
      <c r="F431" s="15" t="s">
        <v>58</v>
      </c>
      <c r="G431" s="15" t="s">
        <v>59</v>
      </c>
      <c r="H431" s="14" t="s">
        <v>642</v>
      </c>
    </row>
    <row r="432" ht="15.75" customHeight="1">
      <c r="A432" s="8">
        <v>46157.0</v>
      </c>
      <c r="B432" s="4" t="s">
        <v>1365</v>
      </c>
      <c r="C432" s="5">
        <v>0.0</v>
      </c>
      <c r="D432" s="5">
        <v>352000.0</v>
      </c>
      <c r="E432" s="5">
        <f t="shared" si="1"/>
        <v>465081.48</v>
      </c>
      <c r="F432" s="15" t="s">
        <v>21</v>
      </c>
      <c r="G432" s="15" t="s">
        <v>41</v>
      </c>
      <c r="H432" s="4" t="s">
        <v>926</v>
      </c>
      <c r="I432" s="4" t="s">
        <v>658</v>
      </c>
    </row>
    <row r="433" ht="15.75" customHeight="1">
      <c r="A433" s="8">
        <v>46158.0</v>
      </c>
      <c r="B433" s="4" t="s">
        <v>1366</v>
      </c>
      <c r="C433" s="5">
        <v>0.0</v>
      </c>
      <c r="D433" s="5">
        <v>7.811125E7</v>
      </c>
      <c r="E433" s="5">
        <f t="shared" si="1"/>
        <v>78576331.48</v>
      </c>
      <c r="F433" s="15" t="s">
        <v>21</v>
      </c>
      <c r="G433" s="14" t="s">
        <v>190</v>
      </c>
    </row>
    <row r="434" ht="15.75" customHeight="1">
      <c r="A434" s="8">
        <v>46158.0</v>
      </c>
      <c r="B434" s="4" t="s">
        <v>1367</v>
      </c>
      <c r="C434" s="5">
        <v>3500000.0</v>
      </c>
      <c r="D434" s="5">
        <v>0.0</v>
      </c>
      <c r="E434" s="5">
        <f t="shared" si="1"/>
        <v>75076331.48</v>
      </c>
      <c r="F434" s="15" t="s">
        <v>50</v>
      </c>
      <c r="G434" s="15" t="s">
        <v>178</v>
      </c>
      <c r="H434" s="4" t="s">
        <v>425</v>
      </c>
    </row>
    <row r="435" ht="15.75" customHeight="1">
      <c r="A435" s="8">
        <v>46158.0</v>
      </c>
      <c r="B435" s="4" t="s">
        <v>1368</v>
      </c>
      <c r="C435" s="5">
        <v>711712.0</v>
      </c>
      <c r="D435" s="5">
        <v>0.0</v>
      </c>
      <c r="E435" s="5">
        <f t="shared" si="1"/>
        <v>74364619.48</v>
      </c>
      <c r="F435" s="15" t="s">
        <v>50</v>
      </c>
      <c r="G435" s="15" t="s">
        <v>395</v>
      </c>
      <c r="H435" s="4" t="s">
        <v>425</v>
      </c>
    </row>
    <row r="436" ht="15.75" customHeight="1">
      <c r="A436" s="8">
        <v>46158.0</v>
      </c>
      <c r="B436" s="4" t="s">
        <v>1369</v>
      </c>
      <c r="C436" s="5">
        <v>8300000.0</v>
      </c>
      <c r="D436" s="5">
        <v>0.0</v>
      </c>
      <c r="E436" s="5">
        <f t="shared" si="1"/>
        <v>66064619.48</v>
      </c>
      <c r="F436" s="15" t="s">
        <v>63</v>
      </c>
      <c r="G436" s="15" t="s">
        <v>243</v>
      </c>
    </row>
    <row r="437" ht="15.75" customHeight="1">
      <c r="A437" s="8">
        <v>46158.0</v>
      </c>
      <c r="B437" s="4" t="s">
        <v>1370</v>
      </c>
      <c r="C437" s="5">
        <v>6000000.0</v>
      </c>
      <c r="D437" s="5">
        <v>0.0</v>
      </c>
      <c r="E437" s="5">
        <f t="shared" si="1"/>
        <v>60064619.48</v>
      </c>
      <c r="F437" s="15" t="s">
        <v>58</v>
      </c>
      <c r="G437" s="15" t="s">
        <v>59</v>
      </c>
      <c r="H437" s="4" t="s">
        <v>683</v>
      </c>
    </row>
    <row r="438" ht="15.75" customHeight="1">
      <c r="A438" s="8">
        <v>46158.0</v>
      </c>
      <c r="B438" s="4" t="s">
        <v>1371</v>
      </c>
      <c r="C438" s="5">
        <v>2.5E7</v>
      </c>
      <c r="D438" s="5">
        <v>0.0</v>
      </c>
      <c r="E438" s="5">
        <f t="shared" si="1"/>
        <v>35064619.48</v>
      </c>
      <c r="F438" s="15" t="s">
        <v>58</v>
      </c>
      <c r="G438" s="15" t="s">
        <v>59</v>
      </c>
      <c r="H438" s="4" t="s">
        <v>111</v>
      </c>
    </row>
    <row r="439" ht="15.75" customHeight="1">
      <c r="A439" s="12">
        <v>46158.0</v>
      </c>
      <c r="B439" s="4" t="s">
        <v>1372</v>
      </c>
      <c r="C439" s="5">
        <v>3.46E7</v>
      </c>
      <c r="D439" s="5">
        <v>0.0</v>
      </c>
      <c r="E439" s="5">
        <f t="shared" si="1"/>
        <v>464619.48</v>
      </c>
      <c r="F439" s="15" t="s">
        <v>58</v>
      </c>
      <c r="G439" s="15" t="s">
        <v>59</v>
      </c>
      <c r="H439" s="4" t="s">
        <v>61</v>
      </c>
    </row>
    <row r="440" ht="15.75" customHeight="1">
      <c r="A440" s="12">
        <v>46158.0</v>
      </c>
      <c r="B440" s="4" t="s">
        <v>1366</v>
      </c>
      <c r="C440" s="5">
        <v>0.0</v>
      </c>
      <c r="D440" s="5">
        <v>1.2343E7</v>
      </c>
      <c r="E440" s="5">
        <f t="shared" si="1"/>
        <v>12807619.48</v>
      </c>
      <c r="F440" s="15" t="s">
        <v>21</v>
      </c>
      <c r="G440" s="14" t="s">
        <v>190</v>
      </c>
    </row>
    <row r="441" ht="15.75" customHeight="1">
      <c r="A441" s="12">
        <v>46158.0</v>
      </c>
      <c r="B441" s="4" t="s">
        <v>1373</v>
      </c>
      <c r="C441" s="5">
        <v>1.2343E7</v>
      </c>
      <c r="D441" s="5">
        <v>0.0</v>
      </c>
      <c r="E441" s="5">
        <f t="shared" si="1"/>
        <v>464619.48</v>
      </c>
      <c r="F441" s="15" t="s">
        <v>21</v>
      </c>
      <c r="G441" s="15" t="s">
        <v>184</v>
      </c>
      <c r="H441" s="4" t="s">
        <v>1374</v>
      </c>
      <c r="I441" s="4" t="s">
        <v>539</v>
      </c>
    </row>
    <row r="442" ht="15.75" customHeight="1">
      <c r="A442" s="8">
        <v>46160.0</v>
      </c>
      <c r="B442" s="4" t="s">
        <v>1375</v>
      </c>
      <c r="C442" s="5">
        <v>0.0</v>
      </c>
      <c r="D442" s="5">
        <v>2.1255E7</v>
      </c>
      <c r="E442" s="5">
        <f t="shared" si="1"/>
        <v>21719619.48</v>
      </c>
      <c r="F442" s="15" t="s">
        <v>75</v>
      </c>
      <c r="G442" s="15" t="s">
        <v>76</v>
      </c>
      <c r="H442" s="14" t="s">
        <v>266</v>
      </c>
      <c r="I442" s="16" t="s">
        <v>1376</v>
      </c>
    </row>
    <row r="443" ht="15.75" customHeight="1">
      <c r="A443" s="8">
        <v>46160.0</v>
      </c>
      <c r="B443" s="4" t="s">
        <v>1377</v>
      </c>
      <c r="C443" s="5">
        <v>0.0</v>
      </c>
      <c r="D443" s="5">
        <v>5355000.0</v>
      </c>
      <c r="E443" s="5">
        <f t="shared" si="1"/>
        <v>27074619.48</v>
      </c>
      <c r="F443" s="15" t="s">
        <v>58</v>
      </c>
      <c r="G443" s="15" t="s">
        <v>59</v>
      </c>
      <c r="H443" s="4" t="s">
        <v>458</v>
      </c>
    </row>
    <row r="444" ht="15.75" customHeight="1">
      <c r="A444" s="8">
        <v>46161.0</v>
      </c>
      <c r="B444" s="4" t="s">
        <v>1379</v>
      </c>
      <c r="C444" s="5">
        <v>0.0</v>
      </c>
      <c r="D444" s="5">
        <v>5688750.0</v>
      </c>
      <c r="E444" s="5">
        <f t="shared" si="1"/>
        <v>32763369.48</v>
      </c>
      <c r="F444" s="15" t="s">
        <v>75</v>
      </c>
      <c r="G444" s="15" t="s">
        <v>76</v>
      </c>
      <c r="H444" s="14" t="s">
        <v>266</v>
      </c>
      <c r="I444" s="16" t="s">
        <v>1380</v>
      </c>
    </row>
    <row r="445" ht="15.75" customHeight="1">
      <c r="A445" s="8">
        <v>46161.0</v>
      </c>
      <c r="B445" s="4" t="s">
        <v>1381</v>
      </c>
      <c r="C445" s="5">
        <v>0.0</v>
      </c>
      <c r="D445" s="5">
        <v>5688750.0</v>
      </c>
      <c r="E445" s="5">
        <f t="shared" si="1"/>
        <v>38452119.48</v>
      </c>
      <c r="F445" s="15" t="s">
        <v>75</v>
      </c>
      <c r="G445" s="15" t="s">
        <v>76</v>
      </c>
      <c r="H445" s="14" t="s">
        <v>266</v>
      </c>
      <c r="I445" s="16" t="s">
        <v>1382</v>
      </c>
    </row>
    <row r="446" ht="15.75" customHeight="1">
      <c r="A446" s="8">
        <v>46162.0</v>
      </c>
      <c r="B446" s="4" t="s">
        <v>1383</v>
      </c>
      <c r="C446" s="5">
        <v>0.0</v>
      </c>
      <c r="D446" s="5">
        <v>2.5E8</v>
      </c>
      <c r="E446" s="5">
        <f t="shared" si="1"/>
        <v>288452119.5</v>
      </c>
      <c r="F446" s="15" t="s">
        <v>21</v>
      </c>
      <c r="G446" s="4" t="s">
        <v>826</v>
      </c>
    </row>
    <row r="447" ht="15.75" customHeight="1">
      <c r="A447" s="8">
        <v>46162.0</v>
      </c>
      <c r="B447" s="4" t="s">
        <v>1383</v>
      </c>
      <c r="C447" s="5">
        <v>0.0</v>
      </c>
      <c r="D447" s="5">
        <v>2.5E8</v>
      </c>
      <c r="E447" s="5">
        <f t="shared" si="1"/>
        <v>538452119.5</v>
      </c>
      <c r="F447" s="15" t="s">
        <v>21</v>
      </c>
      <c r="G447" s="4" t="s">
        <v>826</v>
      </c>
    </row>
    <row r="448" ht="15.75" customHeight="1">
      <c r="A448" s="8">
        <v>46162.0</v>
      </c>
      <c r="B448" s="4" t="s">
        <v>1385</v>
      </c>
      <c r="C448" s="5">
        <v>0.0</v>
      </c>
      <c r="D448" s="5">
        <v>5688750.0</v>
      </c>
      <c r="E448" s="5">
        <f t="shared" si="1"/>
        <v>544140869.5</v>
      </c>
      <c r="F448" s="15" t="s">
        <v>75</v>
      </c>
      <c r="G448" s="15" t="s">
        <v>76</v>
      </c>
      <c r="H448" s="14" t="s">
        <v>266</v>
      </c>
      <c r="I448" s="16" t="s">
        <v>1387</v>
      </c>
    </row>
    <row r="449" ht="15.75" customHeight="1">
      <c r="A449" s="8">
        <v>46163.0</v>
      </c>
      <c r="B449" s="4" t="s">
        <v>1388</v>
      </c>
      <c r="C449" s="5">
        <v>1.4937E8</v>
      </c>
      <c r="D449" s="5">
        <v>0.0</v>
      </c>
      <c r="E449" s="5">
        <f t="shared" si="1"/>
        <v>394770869.5</v>
      </c>
      <c r="F449" s="15" t="s">
        <v>58</v>
      </c>
      <c r="G449" s="15" t="s">
        <v>59</v>
      </c>
      <c r="H449" s="4" t="s">
        <v>111</v>
      </c>
    </row>
    <row r="450" ht="15.75" customHeight="1">
      <c r="A450" s="8">
        <v>46163.0</v>
      </c>
      <c r="B450" s="4" t="s">
        <v>1390</v>
      </c>
      <c r="C450" s="5">
        <f>31360000+D451</f>
        <v>32000000</v>
      </c>
      <c r="D450" s="5">
        <v>0.0</v>
      </c>
      <c r="E450" s="5">
        <f t="shared" si="1"/>
        <v>362770869.5</v>
      </c>
      <c r="F450" s="15" t="s">
        <v>306</v>
      </c>
      <c r="G450" s="15" t="s">
        <v>307</v>
      </c>
      <c r="H450" s="4" t="s">
        <v>1394</v>
      </c>
    </row>
    <row r="451" ht="15.75" customHeight="1">
      <c r="A451" s="8">
        <v>46163.0</v>
      </c>
      <c r="B451" s="4" t="s">
        <v>1390</v>
      </c>
      <c r="C451" s="5">
        <v>0.0</v>
      </c>
      <c r="D451" s="5">
        <v>640000.0</v>
      </c>
      <c r="E451" s="5">
        <f t="shared" si="1"/>
        <v>363410869.5</v>
      </c>
      <c r="F451" s="15" t="s">
        <v>21</v>
      </c>
      <c r="G451" s="15" t="s">
        <v>190</v>
      </c>
      <c r="H451" s="4" t="s">
        <v>191</v>
      </c>
      <c r="I451" s="16" t="s">
        <v>1395</v>
      </c>
    </row>
    <row r="452" ht="15.75" customHeight="1">
      <c r="A452" s="8">
        <v>46163.0</v>
      </c>
      <c r="B452" s="4" t="s">
        <v>1396</v>
      </c>
      <c r="C452" s="5">
        <v>3.27E8</v>
      </c>
      <c r="D452" s="5">
        <v>0.0</v>
      </c>
      <c r="E452" s="5">
        <f t="shared" si="1"/>
        <v>36410869.48</v>
      </c>
      <c r="F452" s="14" t="s">
        <v>93</v>
      </c>
      <c r="G452" s="14" t="s">
        <v>93</v>
      </c>
      <c r="H452" s="14" t="s">
        <v>134</v>
      </c>
    </row>
    <row r="453" ht="15.75" customHeight="1">
      <c r="A453" s="8">
        <v>46167.0</v>
      </c>
      <c r="B453" s="4" t="s">
        <v>1399</v>
      </c>
      <c r="C453" s="5">
        <v>0.0</v>
      </c>
      <c r="D453" s="5">
        <v>5688750.0</v>
      </c>
      <c r="E453" s="5">
        <f t="shared" si="1"/>
        <v>42099619.48</v>
      </c>
      <c r="F453" s="15" t="s">
        <v>75</v>
      </c>
      <c r="G453" s="15" t="s">
        <v>76</v>
      </c>
      <c r="H453" s="14" t="s">
        <v>266</v>
      </c>
      <c r="I453" s="16" t="s">
        <v>1400</v>
      </c>
    </row>
    <row r="454" ht="15.75" customHeight="1">
      <c r="A454" s="8">
        <v>46167.0</v>
      </c>
      <c r="B454" s="4" t="s">
        <v>1402</v>
      </c>
      <c r="C454" s="5">
        <v>0.0</v>
      </c>
      <c r="D454" s="5">
        <v>5688750.0</v>
      </c>
      <c r="E454" s="5">
        <f t="shared" si="1"/>
        <v>47788369.48</v>
      </c>
      <c r="F454" s="15" t="s">
        <v>75</v>
      </c>
      <c r="G454" s="15" t="s">
        <v>76</v>
      </c>
      <c r="H454" s="14" t="s">
        <v>266</v>
      </c>
      <c r="I454" s="16" t="s">
        <v>1405</v>
      </c>
    </row>
    <row r="455" ht="15.75" customHeight="1">
      <c r="A455" s="8">
        <v>46168.0</v>
      </c>
      <c r="B455" s="4" t="s">
        <v>1050</v>
      </c>
      <c r="C455" s="5">
        <v>2.6E7</v>
      </c>
      <c r="D455" s="5">
        <v>0.0</v>
      </c>
      <c r="E455" s="5">
        <f t="shared" si="1"/>
        <v>21788369.48</v>
      </c>
      <c r="F455" s="14" t="s">
        <v>21</v>
      </c>
      <c r="G455" s="14" t="s">
        <v>842</v>
      </c>
      <c r="H455" s="14"/>
      <c r="I455" s="16"/>
    </row>
    <row r="456" ht="15.75" customHeight="1">
      <c r="A456" s="8">
        <v>46168.0</v>
      </c>
      <c r="B456" s="4" t="s">
        <v>1053</v>
      </c>
      <c r="C456" s="5">
        <v>2500.0</v>
      </c>
      <c r="D456" s="5">
        <v>0.0</v>
      </c>
      <c r="E456" s="5">
        <f t="shared" si="1"/>
        <v>21785869.48</v>
      </c>
      <c r="F456" s="15" t="s">
        <v>43</v>
      </c>
      <c r="G456" s="15" t="s">
        <v>45</v>
      </c>
      <c r="H456" s="14"/>
      <c r="I456" s="16"/>
    </row>
    <row r="457" ht="15.75" customHeight="1">
      <c r="A457" s="8">
        <v>46168.0</v>
      </c>
      <c r="B457" s="4" t="s">
        <v>1050</v>
      </c>
      <c r="C457" s="5">
        <v>5750000.0</v>
      </c>
      <c r="D457" s="5">
        <v>0.0</v>
      </c>
      <c r="E457" s="5">
        <f t="shared" si="1"/>
        <v>16035869.48</v>
      </c>
      <c r="F457" s="14" t="s">
        <v>21</v>
      </c>
      <c r="G457" s="14" t="s">
        <v>842</v>
      </c>
      <c r="H457" s="14"/>
      <c r="I457" s="16"/>
    </row>
    <row r="458" ht="15.75" customHeight="1">
      <c r="A458" s="8">
        <v>46168.0</v>
      </c>
      <c r="B458" s="4" t="s">
        <v>1053</v>
      </c>
      <c r="C458" s="5">
        <v>2500.0</v>
      </c>
      <c r="D458" s="5">
        <v>0.0</v>
      </c>
      <c r="E458" s="5">
        <f t="shared" si="1"/>
        <v>16033369.48</v>
      </c>
      <c r="F458" s="15" t="s">
        <v>43</v>
      </c>
      <c r="G458" s="15" t="s">
        <v>45</v>
      </c>
      <c r="H458" s="14"/>
      <c r="I458" s="16"/>
    </row>
    <row r="459" ht="15.75" customHeight="1">
      <c r="A459" s="8">
        <v>46168.0</v>
      </c>
      <c r="B459" s="4" t="s">
        <v>1418</v>
      </c>
      <c r="C459" s="5">
        <v>4844648.0</v>
      </c>
      <c r="D459" s="5">
        <v>0.0</v>
      </c>
      <c r="E459" s="5">
        <f t="shared" si="1"/>
        <v>11188721.48</v>
      </c>
      <c r="F459" s="15" t="s">
        <v>58</v>
      </c>
      <c r="G459" s="15" t="s">
        <v>59</v>
      </c>
      <c r="H459" s="4" t="s">
        <v>722</v>
      </c>
      <c r="I459" s="16"/>
    </row>
    <row r="460" ht="15.75" customHeight="1">
      <c r="A460" s="8">
        <v>46168.0</v>
      </c>
      <c r="B460" s="4" t="s">
        <v>1421</v>
      </c>
      <c r="C460" s="5">
        <v>4746600.0</v>
      </c>
      <c r="D460" s="5">
        <v>0.0</v>
      </c>
      <c r="E460" s="5">
        <f t="shared" si="1"/>
        <v>6442121.48</v>
      </c>
      <c r="F460" s="15" t="s">
        <v>58</v>
      </c>
      <c r="G460" s="15" t="s">
        <v>59</v>
      </c>
      <c r="H460" s="4" t="s">
        <v>722</v>
      </c>
      <c r="I460" s="16"/>
    </row>
    <row r="461" ht="15.75" customHeight="1">
      <c r="A461" s="8">
        <v>46168.0</v>
      </c>
      <c r="B461" s="4" t="s">
        <v>1076</v>
      </c>
      <c r="C461" s="5">
        <v>0.0</v>
      </c>
      <c r="D461" s="5">
        <v>3772511.0</v>
      </c>
      <c r="E461" s="5">
        <f t="shared" si="1"/>
        <v>10214632.48</v>
      </c>
      <c r="F461" s="15" t="s">
        <v>93</v>
      </c>
      <c r="G461" s="15" t="s">
        <v>93</v>
      </c>
      <c r="H461" s="4" t="s">
        <v>21</v>
      </c>
      <c r="I461" s="16"/>
    </row>
    <row r="462" ht="15.75" customHeight="1">
      <c r="A462" s="8">
        <v>46168.0</v>
      </c>
      <c r="B462" s="4" t="s">
        <v>1423</v>
      </c>
      <c r="C462" s="5">
        <v>4125000.0</v>
      </c>
      <c r="D462" s="5">
        <v>0.0</v>
      </c>
      <c r="E462" s="5">
        <f t="shared" si="1"/>
        <v>6089632.48</v>
      </c>
      <c r="F462" s="15" t="s">
        <v>58</v>
      </c>
      <c r="G462" s="15" t="s">
        <v>59</v>
      </c>
      <c r="H462" s="14" t="s">
        <v>111</v>
      </c>
      <c r="I462" s="16"/>
    </row>
    <row r="463" ht="15.75" customHeight="1">
      <c r="A463" s="8">
        <v>46168.0</v>
      </c>
      <c r="B463" s="4" t="s">
        <v>1425</v>
      </c>
      <c r="C463" s="5">
        <v>4125000.0</v>
      </c>
      <c r="D463" s="5">
        <v>0.0</v>
      </c>
      <c r="E463" s="5">
        <f t="shared" si="1"/>
        <v>1964632.48</v>
      </c>
      <c r="F463" s="15" t="s">
        <v>58</v>
      </c>
      <c r="G463" s="15" t="s">
        <v>59</v>
      </c>
      <c r="H463" s="14" t="s">
        <v>111</v>
      </c>
      <c r="I463" s="16"/>
    </row>
    <row r="464" ht="15.75" customHeight="1">
      <c r="A464" s="8">
        <v>46168.0</v>
      </c>
      <c r="B464" s="4" t="s">
        <v>1428</v>
      </c>
      <c r="C464" s="5">
        <v>913000.0</v>
      </c>
      <c r="D464" s="5">
        <v>0.0</v>
      </c>
      <c r="E464" s="5">
        <f t="shared" si="1"/>
        <v>1051632.48</v>
      </c>
      <c r="F464" s="4" t="s">
        <v>21</v>
      </c>
      <c r="G464" s="4" t="s">
        <v>184</v>
      </c>
      <c r="H464" s="4" t="s">
        <v>1430</v>
      </c>
    </row>
    <row r="465" ht="15.75" customHeight="1">
      <c r="A465" s="8">
        <v>46168.0</v>
      </c>
      <c r="B465" s="4" t="s">
        <v>1431</v>
      </c>
      <c r="C465" s="5">
        <f>64054+D466</f>
        <v>78288</v>
      </c>
      <c r="D465" s="5">
        <v>0.0</v>
      </c>
      <c r="E465" s="5">
        <f t="shared" si="1"/>
        <v>973344.48</v>
      </c>
      <c r="F465" s="4" t="s">
        <v>21</v>
      </c>
      <c r="G465" s="4" t="s">
        <v>184</v>
      </c>
      <c r="H465" s="4" t="s">
        <v>1121</v>
      </c>
    </row>
    <row r="466" ht="15.75" customHeight="1">
      <c r="A466" s="8">
        <v>46168.0</v>
      </c>
      <c r="B466" s="4" t="s">
        <v>1431</v>
      </c>
      <c r="C466" s="5">
        <v>0.0</v>
      </c>
      <c r="D466" s="5">
        <v>14234.0</v>
      </c>
      <c r="E466" s="5">
        <f t="shared" si="1"/>
        <v>987578.48</v>
      </c>
      <c r="F466" s="15" t="s">
        <v>21</v>
      </c>
      <c r="G466" s="15" t="s">
        <v>190</v>
      </c>
      <c r="H466" s="4" t="s">
        <v>191</v>
      </c>
      <c r="I466" s="4" t="s">
        <v>401</v>
      </c>
    </row>
    <row r="467" ht="15.75" customHeight="1">
      <c r="A467" s="8">
        <v>46168.0</v>
      </c>
      <c r="B467" s="4" t="s">
        <v>1436</v>
      </c>
      <c r="C467" s="5">
        <f>315000+D468</f>
        <v>385000</v>
      </c>
      <c r="D467" s="5">
        <v>0.0</v>
      </c>
      <c r="E467" s="5">
        <f t="shared" si="1"/>
        <v>602578.48</v>
      </c>
      <c r="F467" s="4" t="s">
        <v>21</v>
      </c>
      <c r="G467" s="4" t="s">
        <v>184</v>
      </c>
      <c r="H467" s="4" t="s">
        <v>1121</v>
      </c>
    </row>
    <row r="468" ht="15.75" customHeight="1">
      <c r="A468" s="8">
        <v>46168.0</v>
      </c>
      <c r="B468" s="4" t="s">
        <v>1436</v>
      </c>
      <c r="C468" s="5"/>
      <c r="D468" s="5">
        <v>70000.0</v>
      </c>
      <c r="E468" s="5">
        <f t="shared" si="1"/>
        <v>672578.48</v>
      </c>
      <c r="F468" s="15" t="s">
        <v>21</v>
      </c>
      <c r="G468" s="15" t="s">
        <v>190</v>
      </c>
      <c r="H468" s="4" t="s">
        <v>191</v>
      </c>
      <c r="I468" s="4" t="s">
        <v>192</v>
      </c>
    </row>
    <row r="469" ht="15.75" customHeight="1">
      <c r="A469" s="8">
        <v>46168.0</v>
      </c>
      <c r="B469" s="4" t="s">
        <v>1441</v>
      </c>
      <c r="C469" s="5">
        <v>0.0</v>
      </c>
      <c r="D469" s="5">
        <v>3.1E7</v>
      </c>
      <c r="E469" s="5">
        <f t="shared" si="1"/>
        <v>31672578.48</v>
      </c>
      <c r="F469" s="15" t="s">
        <v>93</v>
      </c>
      <c r="G469" s="15" t="s">
        <v>93</v>
      </c>
      <c r="H469" s="14" t="s">
        <v>134</v>
      </c>
      <c r="I469" s="16"/>
    </row>
    <row r="470" ht="15.75" customHeight="1">
      <c r="A470" s="8">
        <v>46168.0</v>
      </c>
      <c r="B470" s="4" t="s">
        <v>1443</v>
      </c>
      <c r="C470" s="5">
        <f>8699557-C471+D472</f>
        <v>7981246</v>
      </c>
      <c r="D470" s="5">
        <v>0.0</v>
      </c>
      <c r="E470" s="5">
        <f t="shared" si="1"/>
        <v>23691332.48</v>
      </c>
      <c r="F470" s="15" t="s">
        <v>50</v>
      </c>
      <c r="G470" s="15" t="s">
        <v>178</v>
      </c>
      <c r="H470" s="14"/>
      <c r="I470" s="16"/>
    </row>
    <row r="471" ht="15.75" customHeight="1">
      <c r="A471" s="8">
        <v>46168.0</v>
      </c>
      <c r="B471" s="4" t="s">
        <v>1443</v>
      </c>
      <c r="C471" s="5">
        <v>877936.0</v>
      </c>
      <c r="D471" s="5">
        <v>0.0</v>
      </c>
      <c r="E471" s="5">
        <f t="shared" si="1"/>
        <v>22813396.48</v>
      </c>
      <c r="F471" s="4" t="s">
        <v>21</v>
      </c>
      <c r="G471" s="4" t="s">
        <v>184</v>
      </c>
      <c r="H471" s="4" t="s">
        <v>1430</v>
      </c>
    </row>
    <row r="472" ht="15.75" customHeight="1">
      <c r="A472" s="8">
        <v>46168.0</v>
      </c>
      <c r="B472" s="4" t="s">
        <v>1443</v>
      </c>
      <c r="C472" s="5">
        <v>0.0</v>
      </c>
      <c r="D472" s="5">
        <v>159625.0</v>
      </c>
      <c r="E472" s="5">
        <f t="shared" si="1"/>
        <v>22973021.48</v>
      </c>
      <c r="F472" s="14" t="s">
        <v>21</v>
      </c>
      <c r="G472" s="14" t="s">
        <v>190</v>
      </c>
      <c r="H472" s="16" t="s">
        <v>191</v>
      </c>
      <c r="I472" s="16" t="s">
        <v>1122</v>
      </c>
    </row>
    <row r="473" ht="15.75" customHeight="1">
      <c r="A473" s="8">
        <v>46168.0</v>
      </c>
      <c r="B473" s="4" t="s">
        <v>1449</v>
      </c>
      <c r="C473" s="5">
        <v>240298.0</v>
      </c>
      <c r="D473" s="5">
        <v>0.0</v>
      </c>
      <c r="E473" s="5">
        <f t="shared" si="1"/>
        <v>22732723.48</v>
      </c>
      <c r="F473" s="15" t="s">
        <v>58</v>
      </c>
      <c r="G473" s="15" t="s">
        <v>59</v>
      </c>
      <c r="H473" s="14" t="s">
        <v>458</v>
      </c>
      <c r="I473" s="16"/>
    </row>
    <row r="474" ht="15.75" customHeight="1">
      <c r="A474" s="8">
        <v>46168.0</v>
      </c>
      <c r="B474" s="4" t="s">
        <v>1452</v>
      </c>
      <c r="C474" s="5">
        <v>4125000.0</v>
      </c>
      <c r="D474" s="5">
        <v>0.0</v>
      </c>
      <c r="E474" s="5">
        <f t="shared" si="1"/>
        <v>18607723.48</v>
      </c>
      <c r="F474" s="15" t="s">
        <v>58</v>
      </c>
      <c r="G474" s="15" t="s">
        <v>59</v>
      </c>
      <c r="H474" s="14" t="s">
        <v>111</v>
      </c>
      <c r="I474" s="16"/>
    </row>
    <row r="475" ht="15.75" customHeight="1">
      <c r="A475" s="8">
        <v>46168.0</v>
      </c>
      <c r="B475" s="4" t="s">
        <v>1454</v>
      </c>
      <c r="C475" s="5">
        <v>4125000.0</v>
      </c>
      <c r="D475" s="5">
        <v>0.0</v>
      </c>
      <c r="E475" s="5">
        <f t="shared" si="1"/>
        <v>14482723.48</v>
      </c>
      <c r="F475" s="15" t="s">
        <v>58</v>
      </c>
      <c r="G475" s="15" t="s">
        <v>59</v>
      </c>
      <c r="H475" s="14" t="s">
        <v>111</v>
      </c>
      <c r="I475" s="16"/>
    </row>
    <row r="476" ht="15.75" customHeight="1">
      <c r="A476" s="8">
        <v>46168.0</v>
      </c>
      <c r="B476" s="4" t="s">
        <v>1457</v>
      </c>
      <c r="C476" s="5">
        <v>1412500.0</v>
      </c>
      <c r="D476" s="5">
        <v>0.0</v>
      </c>
      <c r="E476" s="5">
        <f t="shared" si="1"/>
        <v>13070223.48</v>
      </c>
      <c r="F476" s="15" t="s">
        <v>58</v>
      </c>
      <c r="G476" s="15" t="s">
        <v>59</v>
      </c>
      <c r="H476" s="14" t="s">
        <v>111</v>
      </c>
      <c r="I476" s="16"/>
    </row>
    <row r="477" ht="15.75" customHeight="1">
      <c r="A477" s="8">
        <v>46168.0</v>
      </c>
      <c r="B477" s="4" t="s">
        <v>1458</v>
      </c>
      <c r="C477" s="5">
        <v>1312500.0</v>
      </c>
      <c r="D477" s="5">
        <v>0.0</v>
      </c>
      <c r="E477" s="5">
        <f t="shared" si="1"/>
        <v>11757723.48</v>
      </c>
      <c r="F477" s="15" t="s">
        <v>58</v>
      </c>
      <c r="G477" s="15" t="s">
        <v>59</v>
      </c>
      <c r="H477" s="14" t="s">
        <v>111</v>
      </c>
      <c r="I477" s="16"/>
    </row>
    <row r="478" ht="15.75" customHeight="1">
      <c r="A478" s="8">
        <v>46168.0</v>
      </c>
      <c r="B478" s="4" t="s">
        <v>1460</v>
      </c>
      <c r="C478" s="5">
        <v>9777073.0</v>
      </c>
      <c r="D478" s="5">
        <v>0.0</v>
      </c>
      <c r="E478" s="5">
        <f t="shared" si="1"/>
        <v>1980650.48</v>
      </c>
      <c r="F478" s="15" t="s">
        <v>21</v>
      </c>
      <c r="G478" s="15" t="s">
        <v>116</v>
      </c>
      <c r="H478" s="14"/>
      <c r="I478" s="16"/>
    </row>
    <row r="479" ht="15.75" customHeight="1">
      <c r="A479" s="8">
        <v>46168.0</v>
      </c>
      <c r="B479" s="4" t="s">
        <v>1463</v>
      </c>
      <c r="C479" s="5">
        <v>1654160.0</v>
      </c>
      <c r="D479" s="5">
        <v>0.0</v>
      </c>
      <c r="E479" s="5">
        <f t="shared" si="1"/>
        <v>326490.48</v>
      </c>
      <c r="F479" s="15" t="s">
        <v>58</v>
      </c>
      <c r="G479" s="15" t="s">
        <v>59</v>
      </c>
      <c r="H479" s="4" t="s">
        <v>722</v>
      </c>
      <c r="I479" s="16"/>
    </row>
    <row r="480" ht="15.75" customHeight="1">
      <c r="A480" s="8">
        <v>46168.0</v>
      </c>
      <c r="B480" s="4" t="s">
        <v>1465</v>
      </c>
      <c r="C480" s="5">
        <v>0.0</v>
      </c>
      <c r="D480" s="5">
        <v>6000000.0</v>
      </c>
      <c r="E480" s="5">
        <f t="shared" si="1"/>
        <v>6326490.48</v>
      </c>
      <c r="F480" s="15" t="s">
        <v>93</v>
      </c>
      <c r="G480" s="15" t="s">
        <v>93</v>
      </c>
      <c r="H480" s="14" t="s">
        <v>134</v>
      </c>
      <c r="I480" s="16"/>
    </row>
    <row r="481" ht="15.75" customHeight="1">
      <c r="A481" s="8">
        <v>46168.0</v>
      </c>
      <c r="B481" s="4" t="s">
        <v>1466</v>
      </c>
      <c r="C481" s="5">
        <v>1500000.0</v>
      </c>
      <c r="D481" s="5">
        <v>0.0</v>
      </c>
      <c r="E481" s="5">
        <f t="shared" si="1"/>
        <v>4826490.48</v>
      </c>
      <c r="F481" s="15" t="s">
        <v>105</v>
      </c>
      <c r="G481" s="15" t="s">
        <v>380</v>
      </c>
      <c r="H481" s="14"/>
      <c r="I481" s="16"/>
    </row>
    <row r="482" ht="15.75" customHeight="1">
      <c r="A482" s="8">
        <v>46168.0</v>
      </c>
      <c r="B482" s="4" t="s">
        <v>1469</v>
      </c>
      <c r="C482" s="5">
        <f>4590000-C483+D484</f>
        <v>4250000</v>
      </c>
      <c r="D482" s="5">
        <v>0.0</v>
      </c>
      <c r="E482" s="5">
        <f t="shared" si="1"/>
        <v>576490.48</v>
      </c>
      <c r="F482" s="15" t="s">
        <v>1471</v>
      </c>
      <c r="G482" s="15" t="s">
        <v>1472</v>
      </c>
      <c r="H482" s="14"/>
      <c r="I482" s="16"/>
    </row>
    <row r="483" ht="15.75" customHeight="1">
      <c r="A483" s="8">
        <v>46168.0</v>
      </c>
      <c r="B483" s="4" t="s">
        <v>1469</v>
      </c>
      <c r="C483" s="5">
        <v>440000.0</v>
      </c>
      <c r="D483" s="5">
        <v>0.0</v>
      </c>
      <c r="E483" s="5">
        <f t="shared" si="1"/>
        <v>136490.48</v>
      </c>
      <c r="F483" s="4" t="s">
        <v>21</v>
      </c>
      <c r="G483" s="4" t="s">
        <v>184</v>
      </c>
      <c r="H483" s="4" t="s">
        <v>1121</v>
      </c>
    </row>
    <row r="484" ht="15.75" customHeight="1">
      <c r="A484" s="8">
        <v>46168.0</v>
      </c>
      <c r="B484" s="14" t="s">
        <v>1475</v>
      </c>
      <c r="C484" s="5">
        <v>0.0</v>
      </c>
      <c r="D484" s="5">
        <v>100000.0</v>
      </c>
      <c r="E484" s="5">
        <f t="shared" si="1"/>
        <v>236490.48</v>
      </c>
      <c r="F484" s="14" t="s">
        <v>18</v>
      </c>
      <c r="G484" s="14" t="s">
        <v>194</v>
      </c>
      <c r="H484" s="14" t="s">
        <v>191</v>
      </c>
      <c r="I484" s="16" t="s">
        <v>6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8">
        <v>46170.0</v>
      </c>
      <c r="B485" s="4" t="s">
        <v>1465</v>
      </c>
      <c r="C485" s="5">
        <v>0.0</v>
      </c>
      <c r="D485" s="5">
        <v>1.794E8</v>
      </c>
      <c r="E485" s="5">
        <f t="shared" si="1"/>
        <v>179636490.5</v>
      </c>
      <c r="F485" s="15" t="s">
        <v>93</v>
      </c>
      <c r="G485" s="15" t="s">
        <v>93</v>
      </c>
      <c r="H485" s="14" t="s">
        <v>134</v>
      </c>
      <c r="I485" s="16"/>
    </row>
    <row r="486" ht="15.75" customHeight="1">
      <c r="A486" s="8">
        <v>46170.0</v>
      </c>
      <c r="B486" s="4" t="s">
        <v>1478</v>
      </c>
      <c r="C486" s="5">
        <f>50000000+D487</f>
        <v>51282051</v>
      </c>
      <c r="D486" s="5">
        <v>0.0</v>
      </c>
      <c r="E486" s="5">
        <f t="shared" si="1"/>
        <v>128354439.5</v>
      </c>
      <c r="F486" s="15" t="s">
        <v>58</v>
      </c>
      <c r="G486" s="15" t="s">
        <v>59</v>
      </c>
      <c r="H486" s="4" t="s">
        <v>694</v>
      </c>
      <c r="I486" s="16"/>
    </row>
    <row r="487" ht="15.75" customHeight="1">
      <c r="A487" s="8">
        <v>46170.0</v>
      </c>
      <c r="B487" s="4" t="s">
        <v>1478</v>
      </c>
      <c r="C487" s="5">
        <v>0.0</v>
      </c>
      <c r="D487" s="5">
        <v>1282051.0</v>
      </c>
      <c r="E487" s="5">
        <f t="shared" si="1"/>
        <v>129636490.5</v>
      </c>
      <c r="F487" s="15" t="s">
        <v>18</v>
      </c>
      <c r="G487" s="15" t="s">
        <v>194</v>
      </c>
      <c r="H487" s="4" t="s">
        <v>191</v>
      </c>
      <c r="I487" s="16"/>
    </row>
    <row r="488" ht="15.75" customHeight="1">
      <c r="A488" s="8">
        <v>46170.0</v>
      </c>
      <c r="B488" s="4" t="s">
        <v>1483</v>
      </c>
      <c r="C488" s="5">
        <f>129400000+D489</f>
        <v>132717948</v>
      </c>
      <c r="D488" s="5">
        <v>0.0</v>
      </c>
      <c r="E488" s="5">
        <f t="shared" si="1"/>
        <v>-3081457.52</v>
      </c>
      <c r="F488" s="15" t="s">
        <v>58</v>
      </c>
      <c r="G488" s="15" t="s">
        <v>59</v>
      </c>
      <c r="H488" s="4" t="s">
        <v>476</v>
      </c>
      <c r="I488" s="16"/>
    </row>
    <row r="489" ht="15.75" customHeight="1">
      <c r="A489" s="8">
        <v>46170.0</v>
      </c>
      <c r="B489" s="4" t="s">
        <v>1483</v>
      </c>
      <c r="C489" s="5">
        <v>0.0</v>
      </c>
      <c r="D489" s="5">
        <v>3317948.0</v>
      </c>
      <c r="E489" s="5">
        <f t="shared" si="1"/>
        <v>236490.48</v>
      </c>
      <c r="F489" s="15" t="s">
        <v>18</v>
      </c>
      <c r="G489" s="15" t="s">
        <v>194</v>
      </c>
      <c r="H489" s="4" t="s">
        <v>191</v>
      </c>
      <c r="I489" s="16"/>
    </row>
    <row r="490" ht="15.75" customHeight="1">
      <c r="A490" s="8">
        <v>46171.0</v>
      </c>
      <c r="B490" s="4" t="s">
        <v>1485</v>
      </c>
      <c r="C490" s="5">
        <v>0.0</v>
      </c>
      <c r="D490" s="5">
        <v>1.13775E7</v>
      </c>
      <c r="E490" s="5">
        <f t="shared" si="1"/>
        <v>11613990.48</v>
      </c>
      <c r="F490" s="15" t="s">
        <v>75</v>
      </c>
      <c r="G490" s="15" t="s">
        <v>76</v>
      </c>
      <c r="H490" s="14" t="s">
        <v>266</v>
      </c>
      <c r="I490" s="16" t="s">
        <v>1488</v>
      </c>
    </row>
    <row r="491" ht="15.75" customHeight="1">
      <c r="A491" s="8">
        <v>46173.0</v>
      </c>
      <c r="B491" s="4" t="s">
        <v>429</v>
      </c>
      <c r="C491" s="5">
        <v>30000.0</v>
      </c>
      <c r="D491" s="5">
        <v>0.0</v>
      </c>
      <c r="E491" s="5">
        <f t="shared" si="1"/>
        <v>11583990.48</v>
      </c>
      <c r="F491" s="15" t="s">
        <v>43</v>
      </c>
      <c r="G491" s="15" t="s">
        <v>45</v>
      </c>
      <c r="H491" s="14"/>
      <c r="I491" s="16"/>
    </row>
    <row r="492" ht="15.75" customHeight="1">
      <c r="A492" s="8">
        <v>46174.0</v>
      </c>
      <c r="B492" s="4" t="s">
        <v>1490</v>
      </c>
      <c r="C492" s="5">
        <v>30000.0</v>
      </c>
      <c r="D492" s="5">
        <v>0.0</v>
      </c>
      <c r="E492" s="5">
        <f t="shared" si="1"/>
        <v>11553990.48</v>
      </c>
      <c r="F492" s="15" t="s">
        <v>43</v>
      </c>
      <c r="G492" s="15" t="s">
        <v>45</v>
      </c>
      <c r="H492" s="14"/>
      <c r="I492" s="16"/>
    </row>
    <row r="493" ht="15.75" customHeight="1">
      <c r="A493" s="8">
        <v>46175.0</v>
      </c>
      <c r="B493" s="14" t="s">
        <v>1492</v>
      </c>
      <c r="C493" s="5">
        <v>0.0</v>
      </c>
      <c r="D493" s="5">
        <v>1455000.0</v>
      </c>
      <c r="E493" s="5">
        <f t="shared" si="1"/>
        <v>13008990.48</v>
      </c>
      <c r="F493" s="14" t="s">
        <v>93</v>
      </c>
      <c r="G493" s="14" t="s">
        <v>93</v>
      </c>
      <c r="H493" s="14" t="s">
        <v>1494</v>
      </c>
      <c r="I493" s="16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8">
        <v>46175.0</v>
      </c>
      <c r="B494" s="14" t="s">
        <v>1496</v>
      </c>
      <c r="C494" s="5">
        <v>0.0</v>
      </c>
      <c r="D494" s="5">
        <v>1309500.0</v>
      </c>
      <c r="E494" s="5">
        <f t="shared" si="1"/>
        <v>14318490.48</v>
      </c>
      <c r="F494" s="14" t="s">
        <v>93</v>
      </c>
      <c r="G494" s="14" t="s">
        <v>93</v>
      </c>
      <c r="H494" s="14" t="s">
        <v>1494</v>
      </c>
      <c r="I494" s="16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8">
        <v>46175.0</v>
      </c>
      <c r="B495" s="14" t="s">
        <v>1498</v>
      </c>
      <c r="C495" s="5">
        <v>0.0</v>
      </c>
      <c r="D495" s="5">
        <v>1309500.0</v>
      </c>
      <c r="E495" s="5">
        <f t="shared" si="1"/>
        <v>15627990.48</v>
      </c>
      <c r="F495" s="14" t="s">
        <v>93</v>
      </c>
      <c r="G495" s="14" t="s">
        <v>93</v>
      </c>
      <c r="H495" s="14" t="s">
        <v>1494</v>
      </c>
      <c r="I495" s="16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8">
        <v>46175.0</v>
      </c>
      <c r="B496" s="14" t="s">
        <v>1500</v>
      </c>
      <c r="C496" s="5">
        <v>0.0</v>
      </c>
      <c r="D496" s="5">
        <v>1309500.0</v>
      </c>
      <c r="E496" s="5">
        <f t="shared" si="1"/>
        <v>16937490.48</v>
      </c>
      <c r="F496" s="14" t="s">
        <v>93</v>
      </c>
      <c r="G496" s="14" t="s">
        <v>93</v>
      </c>
      <c r="H496" s="14" t="s">
        <v>1494</v>
      </c>
      <c r="I496" s="16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8">
        <v>46175.0</v>
      </c>
      <c r="B497" s="14" t="s">
        <v>1503</v>
      </c>
      <c r="C497" s="5">
        <v>0.0</v>
      </c>
      <c r="D497" s="5">
        <v>1309500.0</v>
      </c>
      <c r="E497" s="5">
        <f t="shared" si="1"/>
        <v>18246990.48</v>
      </c>
      <c r="F497" s="14" t="s">
        <v>93</v>
      </c>
      <c r="G497" s="14" t="s">
        <v>93</v>
      </c>
      <c r="H497" s="14" t="s">
        <v>1494</v>
      </c>
      <c r="I497" s="16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8">
        <v>46175.0</v>
      </c>
      <c r="B498" s="14" t="s">
        <v>1505</v>
      </c>
      <c r="C498" s="5">
        <v>0.0</v>
      </c>
      <c r="D498" s="5">
        <v>1110550.0</v>
      </c>
      <c r="E498" s="5">
        <f t="shared" si="1"/>
        <v>19357540.48</v>
      </c>
      <c r="F498" s="14" t="s">
        <v>93</v>
      </c>
      <c r="G498" s="14" t="s">
        <v>93</v>
      </c>
      <c r="H498" s="14" t="s">
        <v>1494</v>
      </c>
      <c r="I498" s="16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8">
        <v>46175.0</v>
      </c>
      <c r="B499" s="14" t="s">
        <v>1509</v>
      </c>
      <c r="C499" s="5">
        <v>0.0</v>
      </c>
      <c r="D499" s="5">
        <v>1.47294E7</v>
      </c>
      <c r="E499" s="5">
        <f t="shared" si="1"/>
        <v>34086940.48</v>
      </c>
      <c r="F499" s="14" t="s">
        <v>93</v>
      </c>
      <c r="G499" s="14" t="s">
        <v>93</v>
      </c>
      <c r="H499" s="14" t="s">
        <v>1494</v>
      </c>
      <c r="I499" s="16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8">
        <v>46176.0</v>
      </c>
      <c r="B500" s="4" t="s">
        <v>1512</v>
      </c>
      <c r="C500" s="5">
        <f>13834360-C501+D502</f>
        <v>13960000</v>
      </c>
      <c r="D500" s="5">
        <v>0.0</v>
      </c>
      <c r="E500" s="5">
        <f t="shared" si="1"/>
        <v>20126940.48</v>
      </c>
      <c r="F500" s="15" t="s">
        <v>58</v>
      </c>
      <c r="G500" s="15" t="s">
        <v>59</v>
      </c>
      <c r="H500" s="14" t="s">
        <v>61</v>
      </c>
      <c r="I500" s="16"/>
    </row>
    <row r="501" ht="15.75" customHeight="1">
      <c r="A501" s="12">
        <v>46176.0</v>
      </c>
      <c r="B501" s="15" t="s">
        <v>1512</v>
      </c>
      <c r="C501" s="5">
        <v>153560.0</v>
      </c>
      <c r="D501" s="5">
        <v>0.0</v>
      </c>
      <c r="E501" s="5">
        <f t="shared" si="1"/>
        <v>19973380.48</v>
      </c>
      <c r="F501" s="4" t="s">
        <v>21</v>
      </c>
      <c r="G501" s="4" t="s">
        <v>184</v>
      </c>
      <c r="H501" s="4" t="s">
        <v>1121</v>
      </c>
    </row>
    <row r="502" ht="15.75" customHeight="1">
      <c r="A502" s="12">
        <v>46176.0</v>
      </c>
      <c r="B502" s="15" t="s">
        <v>1512</v>
      </c>
      <c r="C502" s="5">
        <v>0.0</v>
      </c>
      <c r="D502" s="5">
        <v>279200.0</v>
      </c>
      <c r="E502" s="5">
        <f t="shared" si="1"/>
        <v>20252580.48</v>
      </c>
      <c r="F502" s="15" t="s">
        <v>21</v>
      </c>
      <c r="G502" s="15" t="s">
        <v>190</v>
      </c>
      <c r="H502" s="4" t="s">
        <v>191</v>
      </c>
      <c r="I502" s="16" t="s">
        <v>1518</v>
      </c>
    </row>
    <row r="503" ht="15.75" customHeight="1">
      <c r="A503" s="8">
        <v>46176.0</v>
      </c>
      <c r="B503" s="4" t="s">
        <v>1358</v>
      </c>
      <c r="C503" s="5">
        <v>0.0</v>
      </c>
      <c r="D503" s="5">
        <v>4480000.0</v>
      </c>
      <c r="E503" s="5">
        <f t="shared" si="1"/>
        <v>24732580.48</v>
      </c>
      <c r="F503" s="15" t="s">
        <v>93</v>
      </c>
      <c r="G503" s="15" t="s">
        <v>93</v>
      </c>
      <c r="H503" s="4" t="s">
        <v>21</v>
      </c>
      <c r="I503" s="16"/>
    </row>
    <row r="504" ht="15.75" customHeight="1">
      <c r="A504" s="8">
        <v>46176.0</v>
      </c>
      <c r="B504" s="4" t="s">
        <v>1077</v>
      </c>
      <c r="C504" s="5">
        <v>0.0</v>
      </c>
      <c r="D504" s="5">
        <v>3.2413435E7</v>
      </c>
      <c r="E504" s="5">
        <f t="shared" si="1"/>
        <v>57146015.48</v>
      </c>
      <c r="F504" s="15" t="s">
        <v>93</v>
      </c>
      <c r="G504" s="15" t="s">
        <v>93</v>
      </c>
      <c r="H504" s="14" t="s">
        <v>134</v>
      </c>
      <c r="I504" s="16"/>
    </row>
    <row r="505" ht="15.75" customHeight="1">
      <c r="A505" s="8">
        <v>46176.0</v>
      </c>
      <c r="B505" s="4" t="s">
        <v>1521</v>
      </c>
      <c r="C505" s="5">
        <f>57146015-C506+D507</f>
        <v>57665000</v>
      </c>
      <c r="D505" s="5">
        <v>0.0</v>
      </c>
      <c r="E505" s="5">
        <f t="shared" si="1"/>
        <v>-518984.52</v>
      </c>
      <c r="F505" s="15" t="s">
        <v>58</v>
      </c>
      <c r="G505" s="15" t="s">
        <v>59</v>
      </c>
      <c r="H505" s="14" t="s">
        <v>61</v>
      </c>
      <c r="I505" s="16"/>
    </row>
    <row r="506" ht="15.75" customHeight="1">
      <c r="A506" s="8">
        <v>46176.0</v>
      </c>
      <c r="B506" s="4" t="s">
        <v>1521</v>
      </c>
      <c r="C506" s="5">
        <v>634315.0</v>
      </c>
      <c r="D506" s="5">
        <v>0.0</v>
      </c>
      <c r="E506" s="5">
        <f t="shared" si="1"/>
        <v>-1153299.52</v>
      </c>
      <c r="F506" s="4" t="s">
        <v>21</v>
      </c>
      <c r="G506" s="4" t="s">
        <v>184</v>
      </c>
      <c r="H506" s="4" t="s">
        <v>1121</v>
      </c>
    </row>
    <row r="507" ht="15.75" customHeight="1">
      <c r="A507" s="8">
        <v>46176.0</v>
      </c>
      <c r="B507" s="4" t="s">
        <v>1521</v>
      </c>
      <c r="C507" s="5">
        <v>0.0</v>
      </c>
      <c r="D507" s="5">
        <v>1153300.0</v>
      </c>
      <c r="E507" s="5">
        <f t="shared" si="1"/>
        <v>0.4800000191</v>
      </c>
      <c r="F507" s="15" t="s">
        <v>21</v>
      </c>
      <c r="G507" s="15" t="s">
        <v>190</v>
      </c>
      <c r="H507" s="4" t="s">
        <v>191</v>
      </c>
      <c r="I507" s="16" t="s">
        <v>1518</v>
      </c>
    </row>
    <row r="508" ht="15.75" customHeight="1">
      <c r="A508" s="8">
        <v>46176.0</v>
      </c>
      <c r="B508" s="4" t="s">
        <v>1113</v>
      </c>
      <c r="C508" s="5">
        <v>0.0</v>
      </c>
      <c r="D508" s="5">
        <v>2.5E8</v>
      </c>
      <c r="E508" s="5">
        <f t="shared" si="1"/>
        <v>250000000.5</v>
      </c>
      <c r="F508" s="15" t="s">
        <v>93</v>
      </c>
      <c r="G508" s="15" t="s">
        <v>93</v>
      </c>
      <c r="H508" s="14" t="s">
        <v>20</v>
      </c>
      <c r="I508" s="16"/>
    </row>
    <row r="509" ht="15.75" customHeight="1">
      <c r="A509" s="8">
        <v>46176.0</v>
      </c>
      <c r="B509" s="4" t="s">
        <v>1109</v>
      </c>
      <c r="C509" s="5">
        <v>1.878E8</v>
      </c>
      <c r="D509" s="5">
        <v>0.0</v>
      </c>
      <c r="E509" s="5">
        <f t="shared" si="1"/>
        <v>62200000.48</v>
      </c>
      <c r="F509" s="15" t="s">
        <v>21</v>
      </c>
      <c r="G509" s="15" t="s">
        <v>842</v>
      </c>
      <c r="H509" s="14"/>
      <c r="I509" s="16"/>
    </row>
    <row r="510" ht="15.75" customHeight="1">
      <c r="A510" s="8">
        <v>46176.0</v>
      </c>
      <c r="B510" s="4" t="s">
        <v>1111</v>
      </c>
      <c r="C510" s="5">
        <v>2500.0</v>
      </c>
      <c r="D510" s="5">
        <v>0.0</v>
      </c>
      <c r="E510" s="5">
        <f t="shared" si="1"/>
        <v>62197500.48</v>
      </c>
      <c r="F510" s="15" t="s">
        <v>43</v>
      </c>
      <c r="G510" s="15" t="s">
        <v>45</v>
      </c>
      <c r="H510" s="14"/>
      <c r="I510" s="16"/>
    </row>
    <row r="511" ht="15.75" customHeight="1">
      <c r="A511" s="8">
        <v>46177.0</v>
      </c>
      <c r="B511" s="4" t="s">
        <v>1113</v>
      </c>
      <c r="C511" s="5">
        <v>0.0</v>
      </c>
      <c r="D511" s="5">
        <v>2.5E8</v>
      </c>
      <c r="E511" s="5">
        <f t="shared" si="1"/>
        <v>312197500.5</v>
      </c>
      <c r="F511" s="15" t="s">
        <v>93</v>
      </c>
      <c r="G511" s="15" t="s">
        <v>93</v>
      </c>
      <c r="H511" s="14" t="s">
        <v>20</v>
      </c>
      <c r="I511" s="16"/>
    </row>
    <row r="512" ht="15.75" customHeight="1">
      <c r="A512" s="8">
        <v>46177.0</v>
      </c>
      <c r="B512" s="4" t="s">
        <v>1109</v>
      </c>
      <c r="C512" s="5">
        <v>1.64115479E8</v>
      </c>
      <c r="D512" s="5">
        <v>0.0</v>
      </c>
      <c r="E512" s="5">
        <f t="shared" si="1"/>
        <v>148082021.5</v>
      </c>
      <c r="F512" s="15" t="s">
        <v>21</v>
      </c>
      <c r="G512" s="15" t="s">
        <v>842</v>
      </c>
      <c r="H512" s="14"/>
      <c r="I512" s="16"/>
    </row>
    <row r="513" ht="15.75" customHeight="1">
      <c r="A513" s="8">
        <v>46177.0</v>
      </c>
      <c r="B513" s="4" t="s">
        <v>1111</v>
      </c>
      <c r="C513" s="5">
        <v>2500.0</v>
      </c>
      <c r="D513" s="5">
        <v>0.0</v>
      </c>
      <c r="E513" s="5">
        <f t="shared" si="1"/>
        <v>148079521.5</v>
      </c>
      <c r="F513" s="15" t="s">
        <v>43</v>
      </c>
      <c r="G513" s="15" t="s">
        <v>45</v>
      </c>
      <c r="H513" s="14"/>
      <c r="I513" s="16"/>
    </row>
    <row r="514" ht="15.75" customHeight="1">
      <c r="A514" s="8">
        <v>46180.0</v>
      </c>
      <c r="B514" s="4" t="s">
        <v>1532</v>
      </c>
      <c r="C514" s="5">
        <v>1.0E7</v>
      </c>
      <c r="D514" s="5">
        <v>0.0</v>
      </c>
      <c r="E514" s="5">
        <f t="shared" si="1"/>
        <v>138079521.5</v>
      </c>
      <c r="F514" s="15" t="s">
        <v>58</v>
      </c>
      <c r="G514" s="15" t="s">
        <v>59</v>
      </c>
      <c r="H514" s="14" t="s">
        <v>677</v>
      </c>
      <c r="I514" s="16"/>
    </row>
    <row r="515" ht="15.75" customHeight="1">
      <c r="A515" s="8">
        <v>46180.0</v>
      </c>
      <c r="B515" s="4" t="s">
        <v>1534</v>
      </c>
      <c r="C515" s="5">
        <v>500000.0</v>
      </c>
      <c r="D515" s="5">
        <v>0.0</v>
      </c>
      <c r="E515" s="5">
        <f t="shared" si="1"/>
        <v>137579521.5</v>
      </c>
      <c r="F515" s="15" t="s">
        <v>58</v>
      </c>
      <c r="G515" s="15" t="s">
        <v>59</v>
      </c>
      <c r="H515" s="14" t="s">
        <v>677</v>
      </c>
      <c r="I515" s="16"/>
    </row>
    <row r="516" ht="15.75" customHeight="1">
      <c r="A516" s="8">
        <v>46180.0</v>
      </c>
      <c r="B516" s="4" t="s">
        <v>1536</v>
      </c>
      <c r="C516" s="5">
        <f>3815000-C517+D518</f>
        <v>3500000</v>
      </c>
      <c r="D516" s="5">
        <v>0.0</v>
      </c>
      <c r="E516" s="5">
        <f t="shared" si="1"/>
        <v>134079521.5</v>
      </c>
      <c r="F516" s="15" t="s">
        <v>50</v>
      </c>
      <c r="G516" s="15" t="s">
        <v>178</v>
      </c>
      <c r="H516" s="4" t="s">
        <v>707</v>
      </c>
      <c r="I516" s="16"/>
    </row>
    <row r="517" ht="15.75" customHeight="1">
      <c r="A517" s="8">
        <v>46180.0</v>
      </c>
      <c r="B517" s="4" t="s">
        <v>1536</v>
      </c>
      <c r="C517" s="5">
        <v>385000.0</v>
      </c>
      <c r="D517" s="5">
        <v>0.0</v>
      </c>
      <c r="E517" s="5">
        <f t="shared" si="1"/>
        <v>133694521.5</v>
      </c>
      <c r="F517" s="4" t="s">
        <v>21</v>
      </c>
      <c r="G517" s="4" t="s">
        <v>184</v>
      </c>
      <c r="H517" s="4" t="s">
        <v>1430</v>
      </c>
    </row>
    <row r="518" ht="15.75" customHeight="1">
      <c r="A518" s="8">
        <v>46180.0</v>
      </c>
      <c r="B518" s="4" t="s">
        <v>1536</v>
      </c>
      <c r="C518" s="5">
        <v>0.0</v>
      </c>
      <c r="D518" s="5">
        <v>70000.0</v>
      </c>
      <c r="E518" s="5">
        <f t="shared" si="1"/>
        <v>133764521.5</v>
      </c>
      <c r="F518" s="15" t="s">
        <v>21</v>
      </c>
      <c r="G518" s="15" t="s">
        <v>190</v>
      </c>
      <c r="H518" s="4" t="s">
        <v>191</v>
      </c>
      <c r="I518" s="4" t="s">
        <v>192</v>
      </c>
    </row>
    <row r="519" ht="15.75" customHeight="1">
      <c r="A519" s="8">
        <v>46180.0</v>
      </c>
      <c r="B519" s="4" t="s">
        <v>1538</v>
      </c>
      <c r="C519" s="5">
        <f>775766-C520+D521</f>
        <v>711712</v>
      </c>
      <c r="D519" s="5">
        <v>0.0</v>
      </c>
      <c r="E519" s="5">
        <f t="shared" si="1"/>
        <v>133052809.5</v>
      </c>
      <c r="F519" s="15" t="s">
        <v>50</v>
      </c>
      <c r="G519" s="15" t="s">
        <v>395</v>
      </c>
      <c r="H519" s="14" t="s">
        <v>707</v>
      </c>
      <c r="I519" s="16"/>
    </row>
    <row r="520" ht="15.75" customHeight="1">
      <c r="A520" s="8">
        <v>46180.0</v>
      </c>
      <c r="B520" s="4" t="s">
        <v>1538</v>
      </c>
      <c r="C520" s="5">
        <v>78288.0</v>
      </c>
      <c r="D520" s="5">
        <v>0.0</v>
      </c>
      <c r="E520" s="5">
        <f t="shared" si="1"/>
        <v>132974521.5</v>
      </c>
      <c r="F520" s="4" t="s">
        <v>21</v>
      </c>
      <c r="G520" s="4" t="s">
        <v>184</v>
      </c>
      <c r="H520" s="4" t="s">
        <v>1430</v>
      </c>
    </row>
    <row r="521" ht="15.75" customHeight="1">
      <c r="A521" s="8">
        <v>46180.0</v>
      </c>
      <c r="B521" s="4" t="s">
        <v>1538</v>
      </c>
      <c r="C521" s="5">
        <v>0.0</v>
      </c>
      <c r="D521" s="5">
        <v>14234.0</v>
      </c>
      <c r="E521" s="5">
        <f t="shared" si="1"/>
        <v>132988755.5</v>
      </c>
      <c r="F521" s="15" t="s">
        <v>21</v>
      </c>
      <c r="G521" s="15" t="s">
        <v>190</v>
      </c>
      <c r="H521" s="4" t="s">
        <v>191</v>
      </c>
      <c r="I521" s="4" t="s">
        <v>401</v>
      </c>
    </row>
    <row r="522" ht="15.75" customHeight="1">
      <c r="A522" s="8">
        <v>46180.0</v>
      </c>
      <c r="B522" s="4" t="s">
        <v>1545</v>
      </c>
      <c r="C522" s="5">
        <v>5701778.0</v>
      </c>
      <c r="D522" s="5">
        <v>0.0</v>
      </c>
      <c r="E522" s="5">
        <f t="shared" si="1"/>
        <v>127286977.5</v>
      </c>
      <c r="F522" s="15" t="s">
        <v>58</v>
      </c>
      <c r="G522" s="15" t="s">
        <v>59</v>
      </c>
      <c r="H522" s="14" t="s">
        <v>722</v>
      </c>
      <c r="I522" s="16"/>
    </row>
    <row r="523" ht="15.75" customHeight="1">
      <c r="A523" s="8">
        <v>46180.0</v>
      </c>
      <c r="B523" s="4" t="s">
        <v>1548</v>
      </c>
      <c r="C523" s="5">
        <v>2.6794041E7</v>
      </c>
      <c r="D523" s="5">
        <v>0.0</v>
      </c>
      <c r="E523" s="5">
        <f t="shared" si="1"/>
        <v>100492936.5</v>
      </c>
      <c r="F523" s="15" t="s">
        <v>58</v>
      </c>
      <c r="G523" s="15" t="s">
        <v>59</v>
      </c>
      <c r="H523" s="14" t="s">
        <v>722</v>
      </c>
      <c r="I523" s="16"/>
    </row>
    <row r="524" ht="15.75" customHeight="1">
      <c r="A524" s="8">
        <v>46180.0</v>
      </c>
      <c r="B524" s="4" t="s">
        <v>1549</v>
      </c>
      <c r="C524" s="5">
        <v>1500000.0</v>
      </c>
      <c r="D524" s="5">
        <v>0.0</v>
      </c>
      <c r="E524" s="5">
        <f t="shared" si="1"/>
        <v>98992936.48</v>
      </c>
      <c r="F524" s="15" t="s">
        <v>58</v>
      </c>
      <c r="G524" s="15" t="s">
        <v>59</v>
      </c>
      <c r="H524" s="14" t="s">
        <v>111</v>
      </c>
      <c r="I524" s="16"/>
    </row>
    <row r="525" ht="15.75" customHeight="1">
      <c r="A525" s="8">
        <v>46180.0</v>
      </c>
      <c r="B525" s="4" t="s">
        <v>1550</v>
      </c>
      <c r="C525" s="5">
        <v>4.88E7</v>
      </c>
      <c r="D525" s="5">
        <v>0.0</v>
      </c>
      <c r="E525" s="5">
        <f t="shared" si="1"/>
        <v>50192936.48</v>
      </c>
      <c r="F525" s="15" t="s">
        <v>58</v>
      </c>
      <c r="G525" s="15" t="s">
        <v>59</v>
      </c>
      <c r="H525" s="14" t="s">
        <v>677</v>
      </c>
      <c r="I525" s="16"/>
    </row>
    <row r="526" ht="15.75" customHeight="1">
      <c r="A526" s="8">
        <v>46180.0</v>
      </c>
      <c r="B526" s="4" t="s">
        <v>1553</v>
      </c>
      <c r="C526" s="5">
        <v>5081446.0</v>
      </c>
      <c r="D526" s="5">
        <v>0.0</v>
      </c>
      <c r="E526" s="5">
        <f t="shared" si="1"/>
        <v>45111490.48</v>
      </c>
      <c r="F526" s="15" t="s">
        <v>58</v>
      </c>
      <c r="G526" s="15" t="s">
        <v>59</v>
      </c>
      <c r="H526" s="14" t="s">
        <v>722</v>
      </c>
      <c r="I526" s="16"/>
    </row>
    <row r="527" ht="15.75" customHeight="1">
      <c r="A527" s="8">
        <v>46180.0</v>
      </c>
      <c r="B527" s="4" t="s">
        <v>1554</v>
      </c>
      <c r="C527" s="5">
        <v>1802828.0</v>
      </c>
      <c r="D527" s="5">
        <v>0.0</v>
      </c>
      <c r="E527" s="5">
        <f t="shared" si="1"/>
        <v>43308662.48</v>
      </c>
      <c r="F527" s="15" t="s">
        <v>58</v>
      </c>
      <c r="G527" s="15" t="s">
        <v>59</v>
      </c>
      <c r="H527" s="14" t="s">
        <v>722</v>
      </c>
      <c r="I527" s="16"/>
    </row>
    <row r="528" ht="15.75" customHeight="1">
      <c r="A528" s="8">
        <v>46181.0</v>
      </c>
      <c r="B528" s="4" t="s">
        <v>1556</v>
      </c>
      <c r="C528" s="5">
        <v>0.0</v>
      </c>
      <c r="D528" s="5">
        <v>5688750.0</v>
      </c>
      <c r="E528" s="5">
        <f t="shared" si="1"/>
        <v>48997412.48</v>
      </c>
      <c r="F528" s="15" t="s">
        <v>75</v>
      </c>
      <c r="G528" s="15" t="s">
        <v>76</v>
      </c>
      <c r="H528" s="14" t="s">
        <v>266</v>
      </c>
      <c r="I528" s="16" t="s">
        <v>1559</v>
      </c>
    </row>
    <row r="529" ht="15.75" customHeight="1">
      <c r="A529" s="8">
        <v>46181.0</v>
      </c>
      <c r="B529" s="4" t="s">
        <v>1561</v>
      </c>
      <c r="C529" s="5">
        <v>1.3331325E7</v>
      </c>
      <c r="D529" s="5">
        <v>0.0</v>
      </c>
      <c r="E529" s="5">
        <f t="shared" si="1"/>
        <v>35666087.48</v>
      </c>
      <c r="F529" s="15" t="s">
        <v>58</v>
      </c>
      <c r="G529" s="15" t="s">
        <v>59</v>
      </c>
      <c r="H529" s="14" t="s">
        <v>1250</v>
      </c>
      <c r="I529" s="16"/>
    </row>
    <row r="530" ht="15.75" customHeight="1">
      <c r="A530" s="8">
        <v>46182.0</v>
      </c>
      <c r="B530" s="4" t="s">
        <v>1562</v>
      </c>
      <c r="C530" s="5">
        <v>3234542.0</v>
      </c>
      <c r="D530" s="5">
        <v>0.0</v>
      </c>
      <c r="E530" s="5">
        <f t="shared" si="1"/>
        <v>32431545.48</v>
      </c>
      <c r="F530" s="15" t="s">
        <v>21</v>
      </c>
      <c r="G530" s="15" t="s">
        <v>184</v>
      </c>
      <c r="H530" s="14" t="s">
        <v>1564</v>
      </c>
      <c r="I530" s="4" t="s">
        <v>44</v>
      </c>
    </row>
    <row r="531" ht="15.75" customHeight="1">
      <c r="A531" s="8">
        <v>46182.0</v>
      </c>
      <c r="B531" s="4" t="s">
        <v>1565</v>
      </c>
      <c r="C531" s="5">
        <v>1326968.0</v>
      </c>
      <c r="D531" s="5">
        <v>0.0</v>
      </c>
      <c r="E531" s="5">
        <f t="shared" si="1"/>
        <v>31104577.48</v>
      </c>
      <c r="F531" s="15" t="s">
        <v>21</v>
      </c>
      <c r="G531" s="15" t="s">
        <v>184</v>
      </c>
      <c r="H531" s="14" t="s">
        <v>1064</v>
      </c>
      <c r="I531" s="4" t="s">
        <v>539</v>
      </c>
    </row>
    <row r="532" ht="15.75" customHeight="1">
      <c r="A532" s="8">
        <v>46185.0</v>
      </c>
      <c r="B532" s="14" t="s">
        <v>1566</v>
      </c>
      <c r="C532" s="5">
        <v>0.0</v>
      </c>
      <c r="D532" s="5">
        <v>7650449.0</v>
      </c>
      <c r="E532" s="5">
        <f t="shared" si="1"/>
        <v>38755026.48</v>
      </c>
      <c r="F532" s="14" t="s">
        <v>24</v>
      </c>
      <c r="G532" s="14" t="s">
        <v>26</v>
      </c>
      <c r="H532" s="14" t="s">
        <v>805</v>
      </c>
      <c r="I532" s="16" t="s">
        <v>1568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8">
        <v>46188.0</v>
      </c>
      <c r="B533" s="14" t="s">
        <v>823</v>
      </c>
      <c r="C533" s="5"/>
      <c r="D533" s="5">
        <v>2.36125E8</v>
      </c>
      <c r="E533" s="5">
        <f t="shared" si="1"/>
        <v>274880026.5</v>
      </c>
      <c r="F533" s="4" t="s">
        <v>21</v>
      </c>
      <c r="G533" s="4" t="s">
        <v>826</v>
      </c>
      <c r="H533" s="14"/>
      <c r="I533" s="16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8">
        <v>46188.0</v>
      </c>
      <c r="B534" s="14" t="s">
        <v>1573</v>
      </c>
      <c r="C534" s="5">
        <v>3000000.0</v>
      </c>
      <c r="D534" s="5"/>
      <c r="E534" s="5">
        <f t="shared" si="1"/>
        <v>271880026.5</v>
      </c>
      <c r="F534" s="14" t="s">
        <v>105</v>
      </c>
      <c r="G534" s="14" t="s">
        <v>380</v>
      </c>
      <c r="H534" s="14"/>
      <c r="I534" s="16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8">
        <v>46188.0</v>
      </c>
      <c r="B535" s="14" t="s">
        <v>1575</v>
      </c>
      <c r="C535" s="5">
        <v>1.25E7</v>
      </c>
      <c r="D535" s="5"/>
      <c r="E535" s="5">
        <f t="shared" si="1"/>
        <v>259380026.5</v>
      </c>
      <c r="F535" s="14" t="s">
        <v>58</v>
      </c>
      <c r="G535" s="14" t="s">
        <v>59</v>
      </c>
      <c r="H535" s="14" t="s">
        <v>694</v>
      </c>
      <c r="I535" s="16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8">
        <v>46188.0</v>
      </c>
      <c r="B536" s="14" t="s">
        <v>1577</v>
      </c>
      <c r="C536" s="5">
        <v>1000000.0</v>
      </c>
      <c r="D536" s="5"/>
      <c r="E536" s="5">
        <f t="shared" si="1"/>
        <v>258380026.5</v>
      </c>
      <c r="F536" s="14" t="s">
        <v>1471</v>
      </c>
      <c r="G536" s="14" t="s">
        <v>1579</v>
      </c>
      <c r="H536" s="14"/>
      <c r="I536" s="16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8">
        <v>46188.0</v>
      </c>
      <c r="B537" s="14" t="s">
        <v>1582</v>
      </c>
      <c r="C537" s="5">
        <v>3.34E7</v>
      </c>
      <c r="D537" s="5"/>
      <c r="E537" s="5">
        <f t="shared" si="1"/>
        <v>224980026.5</v>
      </c>
      <c r="F537" s="14" t="s">
        <v>58</v>
      </c>
      <c r="G537" s="14" t="s">
        <v>59</v>
      </c>
      <c r="H537" s="14" t="s">
        <v>111</v>
      </c>
      <c r="I537" s="16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8">
        <v>46188.0</v>
      </c>
      <c r="B538" s="14" t="s">
        <v>1584</v>
      </c>
      <c r="C538" s="5">
        <v>1.0E7</v>
      </c>
      <c r="D538" s="5"/>
      <c r="E538" s="5">
        <f t="shared" si="1"/>
        <v>214980026.5</v>
      </c>
      <c r="F538" s="14" t="s">
        <v>58</v>
      </c>
      <c r="G538" s="14" t="s">
        <v>59</v>
      </c>
      <c r="H538" s="14" t="s">
        <v>111</v>
      </c>
      <c r="I538" s="16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8">
        <v>46188.0</v>
      </c>
      <c r="B539" s="14" t="s">
        <v>1587</v>
      </c>
      <c r="C539" s="5">
        <v>6.3E7</v>
      </c>
      <c r="D539" s="5"/>
      <c r="E539" s="5">
        <f t="shared" si="1"/>
        <v>151980026.5</v>
      </c>
      <c r="F539" s="14" t="s">
        <v>58</v>
      </c>
      <c r="G539" s="14" t="s">
        <v>59</v>
      </c>
      <c r="H539" s="14" t="s">
        <v>1250</v>
      </c>
      <c r="I539" s="16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8">
        <v>46188.0</v>
      </c>
      <c r="B540" s="14" t="s">
        <v>1590</v>
      </c>
      <c r="C540" s="5">
        <f>5014000-C541+D542</f>
        <v>4600000</v>
      </c>
      <c r="D540" s="5">
        <v>0.0</v>
      </c>
      <c r="E540" s="5">
        <f t="shared" si="1"/>
        <v>147380026.5</v>
      </c>
      <c r="F540" s="14" t="s">
        <v>50</v>
      </c>
      <c r="G540" s="14" t="s">
        <v>245</v>
      </c>
      <c r="H540" s="4" t="s">
        <v>246</v>
      </c>
      <c r="I540" s="16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8">
        <v>46188.0</v>
      </c>
      <c r="B541" s="14" t="s">
        <v>1590</v>
      </c>
      <c r="C541" s="5">
        <v>506000.0</v>
      </c>
      <c r="D541" s="5">
        <v>0.0</v>
      </c>
      <c r="E541" s="5">
        <f t="shared" si="1"/>
        <v>146874026.5</v>
      </c>
      <c r="F541" s="4" t="s">
        <v>21</v>
      </c>
      <c r="G541" s="4" t="s">
        <v>184</v>
      </c>
      <c r="H541" s="4" t="s">
        <v>1430</v>
      </c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8">
        <v>46188.0</v>
      </c>
      <c r="B542" s="14" t="s">
        <v>1590</v>
      </c>
      <c r="C542" s="5">
        <v>0.0</v>
      </c>
      <c r="D542" s="5">
        <v>92000.0</v>
      </c>
      <c r="E542" s="5">
        <f t="shared" si="1"/>
        <v>146966026.5</v>
      </c>
      <c r="F542" s="15" t="s">
        <v>21</v>
      </c>
      <c r="G542" s="15" t="s">
        <v>190</v>
      </c>
      <c r="H542" s="4" t="s">
        <v>191</v>
      </c>
      <c r="I542" s="4" t="s">
        <v>254</v>
      </c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8">
        <v>46188.0</v>
      </c>
      <c r="B543" s="14" t="s">
        <v>1596</v>
      </c>
      <c r="C543" s="5">
        <v>506000.0</v>
      </c>
      <c r="D543" s="5"/>
      <c r="E543" s="5">
        <f t="shared" si="1"/>
        <v>146460026.5</v>
      </c>
      <c r="F543" s="4" t="s">
        <v>21</v>
      </c>
      <c r="G543" s="4" t="s">
        <v>184</v>
      </c>
      <c r="H543" s="4" t="s">
        <v>1121</v>
      </c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8">
        <v>46188.0</v>
      </c>
      <c r="B544" s="14" t="s">
        <v>1598</v>
      </c>
      <c r="C544" s="5">
        <v>3500000.0</v>
      </c>
      <c r="D544" s="5"/>
      <c r="E544" s="5">
        <f t="shared" si="1"/>
        <v>142960026.5</v>
      </c>
      <c r="F544" s="14" t="s">
        <v>58</v>
      </c>
      <c r="G544" s="14" t="s">
        <v>59</v>
      </c>
      <c r="H544" s="14" t="s">
        <v>694</v>
      </c>
      <c r="I544" s="16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8">
        <v>46188.0</v>
      </c>
      <c r="B545" s="14" t="s">
        <v>1600</v>
      </c>
      <c r="C545" s="5">
        <v>2550000.0</v>
      </c>
      <c r="D545" s="5"/>
      <c r="E545" s="5">
        <f t="shared" si="1"/>
        <v>140410026.5</v>
      </c>
      <c r="F545" s="14" t="s">
        <v>58</v>
      </c>
      <c r="G545" s="14" t="s">
        <v>59</v>
      </c>
      <c r="H545" s="14" t="s">
        <v>458</v>
      </c>
      <c r="I545" s="16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8">
        <v>46188.0</v>
      </c>
      <c r="B546" s="14" t="s">
        <v>457</v>
      </c>
      <c r="C546" s="5"/>
      <c r="D546" s="5">
        <v>1.11615E7</v>
      </c>
      <c r="E546" s="5">
        <f t="shared" si="1"/>
        <v>151571526.5</v>
      </c>
      <c r="F546" s="14" t="s">
        <v>21</v>
      </c>
      <c r="G546" s="14" t="s">
        <v>190</v>
      </c>
      <c r="H546" s="14"/>
      <c r="I546" s="16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8">
        <v>46188.0</v>
      </c>
      <c r="B547" s="14" t="s">
        <v>1604</v>
      </c>
      <c r="C547" s="5">
        <v>1.5157152E8</v>
      </c>
      <c r="D547" s="5"/>
      <c r="E547" s="5">
        <f t="shared" si="1"/>
        <v>6.480000019</v>
      </c>
      <c r="F547" s="14" t="s">
        <v>58</v>
      </c>
      <c r="G547" s="14" t="s">
        <v>59</v>
      </c>
      <c r="H547" s="14" t="s">
        <v>694</v>
      </c>
      <c r="I547" s="16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8">
        <v>46190.0</v>
      </c>
      <c r="B548" s="14" t="s">
        <v>753</v>
      </c>
      <c r="C548" s="5"/>
      <c r="D548" s="5">
        <v>2.5E8</v>
      </c>
      <c r="E548" s="5">
        <f t="shared" si="1"/>
        <v>250000006.5</v>
      </c>
      <c r="F548" s="14" t="s">
        <v>21</v>
      </c>
      <c r="G548" s="14" t="s">
        <v>169</v>
      </c>
      <c r="H548" s="14"/>
      <c r="I548" s="16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8">
        <v>46190.0</v>
      </c>
      <c r="B549" s="14" t="s">
        <v>1608</v>
      </c>
      <c r="C549" s="5">
        <v>3.1E7</v>
      </c>
      <c r="D549" s="5"/>
      <c r="E549" s="5">
        <f t="shared" si="1"/>
        <v>219000006.5</v>
      </c>
      <c r="F549" s="15" t="s">
        <v>93</v>
      </c>
      <c r="G549" s="15" t="s">
        <v>93</v>
      </c>
      <c r="H549" s="14" t="s">
        <v>134</v>
      </c>
      <c r="I549" s="16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8">
        <v>46190.0</v>
      </c>
      <c r="B550" s="14" t="s">
        <v>1608</v>
      </c>
      <c r="C550" s="5">
        <v>6000000.0</v>
      </c>
      <c r="D550" s="5"/>
      <c r="E550" s="5">
        <f t="shared" si="1"/>
        <v>213000006.5</v>
      </c>
      <c r="F550" s="15" t="s">
        <v>93</v>
      </c>
      <c r="G550" s="15" t="s">
        <v>93</v>
      </c>
      <c r="H550" s="14" t="s">
        <v>134</v>
      </c>
      <c r="I550" s="16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8">
        <v>46190.0</v>
      </c>
      <c r="B551" s="14" t="s">
        <v>1612</v>
      </c>
      <c r="C551" s="5">
        <v>1.794E8</v>
      </c>
      <c r="D551" s="5"/>
      <c r="E551" s="5">
        <f t="shared" si="1"/>
        <v>33600006.48</v>
      </c>
      <c r="F551" s="15" t="s">
        <v>93</v>
      </c>
      <c r="G551" s="15" t="s">
        <v>93</v>
      </c>
      <c r="H551" s="14" t="s">
        <v>134</v>
      </c>
      <c r="I551" s="16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8">
        <v>46190.0</v>
      </c>
      <c r="B552" s="14" t="s">
        <v>1614</v>
      </c>
      <c r="C552" s="5">
        <v>3.2413435E7</v>
      </c>
      <c r="D552" s="5"/>
      <c r="E552" s="5">
        <f t="shared" si="1"/>
        <v>1186571.48</v>
      </c>
      <c r="F552" s="15" t="s">
        <v>93</v>
      </c>
      <c r="G552" s="15" t="s">
        <v>93</v>
      </c>
      <c r="H552" s="14" t="s">
        <v>134</v>
      </c>
      <c r="I552" s="16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8">
        <v>46191.0</v>
      </c>
      <c r="B553" s="14" t="s">
        <v>457</v>
      </c>
      <c r="C553" s="5">
        <v>0.0</v>
      </c>
      <c r="D553" s="5">
        <v>1.245E7</v>
      </c>
      <c r="E553" s="5">
        <f t="shared" si="1"/>
        <v>13636571.48</v>
      </c>
      <c r="F553" s="14" t="s">
        <v>21</v>
      </c>
      <c r="G553" s="14" t="s">
        <v>190</v>
      </c>
      <c r="H553" s="14"/>
      <c r="I553" s="16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8">
        <v>46191.0</v>
      </c>
      <c r="B554" s="14" t="s">
        <v>1617</v>
      </c>
      <c r="C554" s="5">
        <v>2865373.0</v>
      </c>
      <c r="D554" s="5">
        <v>0.0</v>
      </c>
      <c r="E554" s="5">
        <f t="shared" si="1"/>
        <v>10771198.48</v>
      </c>
      <c r="F554" s="14" t="s">
        <v>58</v>
      </c>
      <c r="G554" s="14" t="s">
        <v>59</v>
      </c>
      <c r="H554" s="14" t="s">
        <v>722</v>
      </c>
      <c r="I554" s="16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8">
        <v>46191.0</v>
      </c>
      <c r="B555" s="14" t="s">
        <v>1619</v>
      </c>
      <c r="C555" s="5">
        <f>4608150-C556+D557</f>
        <v>4650000</v>
      </c>
      <c r="D555" s="5">
        <v>0.0</v>
      </c>
      <c r="E555" s="5">
        <f t="shared" si="1"/>
        <v>6121198.48</v>
      </c>
      <c r="F555" s="14" t="s">
        <v>58</v>
      </c>
      <c r="G555" s="14" t="s">
        <v>59</v>
      </c>
      <c r="H555" s="14" t="s">
        <v>61</v>
      </c>
      <c r="I555" s="16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8">
        <v>46191.0</v>
      </c>
      <c r="B556" s="14" t="s">
        <v>1619</v>
      </c>
      <c r="C556" s="5">
        <v>51150.0</v>
      </c>
      <c r="D556" s="5">
        <v>0.0</v>
      </c>
      <c r="E556" s="5">
        <f t="shared" si="1"/>
        <v>6070048.48</v>
      </c>
      <c r="F556" s="4" t="s">
        <v>21</v>
      </c>
      <c r="G556" s="4" t="s">
        <v>184</v>
      </c>
      <c r="H556" s="4" t="s">
        <v>1121</v>
      </c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8">
        <v>46191.0</v>
      </c>
      <c r="B557" s="14" t="s">
        <v>1619</v>
      </c>
      <c r="C557" s="5">
        <v>0.0</v>
      </c>
      <c r="D557" s="5">
        <v>93000.0</v>
      </c>
      <c r="E557" s="5">
        <f t="shared" si="1"/>
        <v>6163048.48</v>
      </c>
      <c r="F557" s="14" t="s">
        <v>21</v>
      </c>
      <c r="G557" s="14" t="s">
        <v>190</v>
      </c>
      <c r="H557" s="4" t="s">
        <v>191</v>
      </c>
      <c r="I557" s="16" t="s">
        <v>1518</v>
      </c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8">
        <v>46191.0</v>
      </c>
      <c r="B558" s="14" t="s">
        <v>273</v>
      </c>
      <c r="C558" s="5">
        <v>5300000.0</v>
      </c>
      <c r="D558" s="5">
        <v>0.0</v>
      </c>
      <c r="E558" s="5">
        <f t="shared" si="1"/>
        <v>863048.48</v>
      </c>
      <c r="F558" s="15" t="s">
        <v>93</v>
      </c>
      <c r="G558" s="15" t="s">
        <v>93</v>
      </c>
      <c r="H558" s="4" t="s">
        <v>21</v>
      </c>
      <c r="I558" s="16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8">
        <v>46191.0</v>
      </c>
      <c r="B559" s="14" t="s">
        <v>1626</v>
      </c>
      <c r="C559" s="5">
        <v>500000.0</v>
      </c>
      <c r="D559" s="5">
        <v>0.0</v>
      </c>
      <c r="E559" s="5">
        <f t="shared" si="1"/>
        <v>363048.48</v>
      </c>
      <c r="F559" s="14" t="s">
        <v>58</v>
      </c>
      <c r="G559" s="14" t="s">
        <v>59</v>
      </c>
      <c r="H559" s="4" t="s">
        <v>735</v>
      </c>
      <c r="I559" s="16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8">
        <v>46192.0</v>
      </c>
      <c r="B560" s="14" t="s">
        <v>457</v>
      </c>
      <c r="C560" s="5">
        <v>0.0</v>
      </c>
      <c r="D560" s="5">
        <v>1.0259951E7</v>
      </c>
      <c r="E560" s="5">
        <f t="shared" si="1"/>
        <v>10622999.48</v>
      </c>
      <c r="F560" s="14" t="s">
        <v>21</v>
      </c>
      <c r="G560" s="14" t="s">
        <v>190</v>
      </c>
      <c r="H560" s="14"/>
      <c r="I560" s="16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8">
        <v>46192.0</v>
      </c>
      <c r="B561" s="14" t="s">
        <v>1629</v>
      </c>
      <c r="C561" s="5">
        <v>1.0622999E7</v>
      </c>
      <c r="D561" s="5">
        <v>0.0</v>
      </c>
      <c r="E561" s="5">
        <f t="shared" si="1"/>
        <v>0.4800000191</v>
      </c>
      <c r="F561" s="14" t="s">
        <v>21</v>
      </c>
      <c r="G561" s="15" t="s">
        <v>184</v>
      </c>
      <c r="H561" s="14" t="s">
        <v>1631</v>
      </c>
      <c r="I561" s="16" t="s">
        <v>451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8">
        <v>46195.0</v>
      </c>
      <c r="B562" s="14" t="s">
        <v>457</v>
      </c>
      <c r="C562" s="5"/>
      <c r="D562" s="5">
        <v>4.9211688E7</v>
      </c>
      <c r="E562" s="5">
        <f t="shared" si="1"/>
        <v>49211688.48</v>
      </c>
      <c r="F562" s="14" t="s">
        <v>21</v>
      </c>
      <c r="G562" s="14" t="s">
        <v>190</v>
      </c>
      <c r="H562" s="14"/>
      <c r="I562" s="16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8">
        <v>46195.0</v>
      </c>
      <c r="B563" s="14" t="s">
        <v>1634</v>
      </c>
      <c r="C563" s="5">
        <f>49211688-C564+D565</f>
        <v>49308000</v>
      </c>
      <c r="D563" s="5">
        <v>0.0</v>
      </c>
      <c r="E563" s="5">
        <f t="shared" si="1"/>
        <v>-96311.52</v>
      </c>
      <c r="F563" s="14" t="s">
        <v>58</v>
      </c>
      <c r="G563" s="14" t="s">
        <v>59</v>
      </c>
      <c r="H563" s="14" t="s">
        <v>677</v>
      </c>
      <c r="I563" s="16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8">
        <v>46195.0</v>
      </c>
      <c r="B564" s="14" t="s">
        <v>1634</v>
      </c>
      <c r="C564" s="5">
        <v>542388.0</v>
      </c>
      <c r="D564" s="5">
        <v>0.0</v>
      </c>
      <c r="E564" s="5">
        <f t="shared" si="1"/>
        <v>-638699.52</v>
      </c>
      <c r="F564" s="4" t="s">
        <v>21</v>
      </c>
      <c r="G564" s="4" t="s">
        <v>184</v>
      </c>
      <c r="H564" s="4" t="s">
        <v>1638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8">
        <v>46195.0</v>
      </c>
      <c r="B565" s="14" t="s">
        <v>1634</v>
      </c>
      <c r="C565" s="5">
        <v>0.0</v>
      </c>
      <c r="D565" s="5">
        <v>638700.0</v>
      </c>
      <c r="E565" s="5">
        <f t="shared" si="1"/>
        <v>0.4800000191</v>
      </c>
      <c r="F565" s="15" t="s">
        <v>21</v>
      </c>
      <c r="G565" s="15" t="s">
        <v>190</v>
      </c>
      <c r="H565" s="16" t="s">
        <v>191</v>
      </c>
      <c r="I565" s="16" t="s">
        <v>1518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8">
        <v>46195.0</v>
      </c>
      <c r="B566" s="14" t="s">
        <v>457</v>
      </c>
      <c r="C566" s="5"/>
      <c r="D566" s="5">
        <v>3.253295E7</v>
      </c>
      <c r="E566" s="5">
        <f t="shared" si="1"/>
        <v>32532950.48</v>
      </c>
      <c r="F566" s="14" t="s">
        <v>21</v>
      </c>
      <c r="G566" s="14" t="s">
        <v>190</v>
      </c>
      <c r="H566" s="14"/>
      <c r="I566" s="16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8">
        <v>46195.0</v>
      </c>
      <c r="B567" s="14" t="s">
        <v>1641</v>
      </c>
      <c r="C567" s="5">
        <v>1309500.0</v>
      </c>
      <c r="D567" s="5">
        <v>0.0</v>
      </c>
      <c r="E567" s="5">
        <f t="shared" si="1"/>
        <v>31223450.48</v>
      </c>
      <c r="F567" s="14" t="s">
        <v>93</v>
      </c>
      <c r="G567" s="14" t="s">
        <v>93</v>
      </c>
      <c r="H567" s="14" t="s">
        <v>1494</v>
      </c>
      <c r="I567" s="16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8">
        <v>46195.0</v>
      </c>
      <c r="B568" s="14" t="s">
        <v>1641</v>
      </c>
      <c r="C568" s="5">
        <v>1309500.0</v>
      </c>
      <c r="D568" s="5">
        <v>0.0</v>
      </c>
      <c r="E568" s="5">
        <f t="shared" si="1"/>
        <v>29913950.48</v>
      </c>
      <c r="F568" s="14" t="s">
        <v>93</v>
      </c>
      <c r="G568" s="14" t="s">
        <v>93</v>
      </c>
      <c r="H568" s="14" t="s">
        <v>1494</v>
      </c>
      <c r="I568" s="16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8">
        <v>46195.0</v>
      </c>
      <c r="B569" s="14" t="s">
        <v>1642</v>
      </c>
      <c r="C569" s="5">
        <v>1455000.0</v>
      </c>
      <c r="D569" s="5">
        <v>0.0</v>
      </c>
      <c r="E569" s="5">
        <f t="shared" si="1"/>
        <v>28458950.48</v>
      </c>
      <c r="F569" s="14" t="s">
        <v>93</v>
      </c>
      <c r="G569" s="14" t="s">
        <v>93</v>
      </c>
      <c r="H569" s="14" t="s">
        <v>1494</v>
      </c>
      <c r="I569" s="16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8">
        <v>46195.0</v>
      </c>
      <c r="B570" s="14" t="s">
        <v>1642</v>
      </c>
      <c r="C570" s="5">
        <v>1309500.0</v>
      </c>
      <c r="D570" s="5">
        <v>0.0</v>
      </c>
      <c r="E570" s="5">
        <f t="shared" si="1"/>
        <v>27149450.48</v>
      </c>
      <c r="F570" s="14" t="s">
        <v>93</v>
      </c>
      <c r="G570" s="14" t="s">
        <v>93</v>
      </c>
      <c r="H570" s="14" t="s">
        <v>1494</v>
      </c>
      <c r="I570" s="16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8">
        <v>46195.0</v>
      </c>
      <c r="B571" s="14" t="s">
        <v>1642</v>
      </c>
      <c r="C571" s="5">
        <v>1309500.0</v>
      </c>
      <c r="D571" s="5">
        <v>0.0</v>
      </c>
      <c r="E571" s="5">
        <f t="shared" si="1"/>
        <v>25839950.48</v>
      </c>
      <c r="F571" s="14" t="s">
        <v>93</v>
      </c>
      <c r="G571" s="14" t="s">
        <v>93</v>
      </c>
      <c r="H571" s="14" t="s">
        <v>1494</v>
      </c>
      <c r="I571" s="16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8">
        <v>46195.0</v>
      </c>
      <c r="B572" s="14" t="s">
        <v>1643</v>
      </c>
      <c r="C572" s="5">
        <v>1110550.0</v>
      </c>
      <c r="D572" s="5">
        <v>0.0</v>
      </c>
      <c r="E572" s="5">
        <f t="shared" si="1"/>
        <v>24729400.48</v>
      </c>
      <c r="F572" s="14" t="s">
        <v>93</v>
      </c>
      <c r="G572" s="14" t="s">
        <v>93</v>
      </c>
      <c r="H572" s="14" t="s">
        <v>1494</v>
      </c>
      <c r="I572" s="16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8">
        <v>46195.0</v>
      </c>
      <c r="B573" s="14" t="s">
        <v>1642</v>
      </c>
      <c r="C573" s="5">
        <v>1.47294E7</v>
      </c>
      <c r="D573" s="5">
        <v>0.0</v>
      </c>
      <c r="E573" s="5">
        <f t="shared" si="1"/>
        <v>10000000.48</v>
      </c>
      <c r="F573" s="14" t="s">
        <v>93</v>
      </c>
      <c r="G573" s="14" t="s">
        <v>93</v>
      </c>
      <c r="H573" s="14" t="s">
        <v>1494</v>
      </c>
      <c r="I573" s="16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8">
        <v>46195.0</v>
      </c>
      <c r="B574" s="14" t="s">
        <v>1644</v>
      </c>
      <c r="C574" s="5">
        <v>1500000.0</v>
      </c>
      <c r="D574" s="5">
        <v>0.0</v>
      </c>
      <c r="E574" s="5">
        <f t="shared" si="1"/>
        <v>8500000.48</v>
      </c>
      <c r="F574" s="4" t="s">
        <v>58</v>
      </c>
      <c r="G574" s="14" t="s">
        <v>59</v>
      </c>
      <c r="H574" s="4" t="s">
        <v>739</v>
      </c>
      <c r="I574" s="16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8">
        <v>46195.0</v>
      </c>
      <c r="B575" s="14" t="s">
        <v>1645</v>
      </c>
      <c r="C575" s="5">
        <v>7000000.0</v>
      </c>
      <c r="D575" s="5">
        <v>0.0</v>
      </c>
      <c r="E575" s="5">
        <f t="shared" si="1"/>
        <v>1500000.48</v>
      </c>
      <c r="F575" s="14" t="s">
        <v>58</v>
      </c>
      <c r="G575" s="14" t="s">
        <v>59</v>
      </c>
      <c r="H575" s="14" t="s">
        <v>111</v>
      </c>
      <c r="I575" s="16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8">
        <v>46195.0</v>
      </c>
      <c r="B576" s="14" t="s">
        <v>457</v>
      </c>
      <c r="C576" s="5">
        <v>0.0</v>
      </c>
      <c r="D576" s="5">
        <v>3.5359261E7</v>
      </c>
      <c r="E576" s="5">
        <f t="shared" si="1"/>
        <v>36859261.48</v>
      </c>
      <c r="F576" s="14" t="s">
        <v>21</v>
      </c>
      <c r="G576" s="14" t="s">
        <v>190</v>
      </c>
      <c r="H576" s="14"/>
      <c r="I576" s="16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8">
        <v>46195.0</v>
      </c>
      <c r="B577" s="14" t="s">
        <v>1646</v>
      </c>
      <c r="C577" s="5">
        <v>2.0E7</v>
      </c>
      <c r="D577" s="5">
        <v>0.0</v>
      </c>
      <c r="E577" s="5">
        <f t="shared" si="1"/>
        <v>16859261.48</v>
      </c>
      <c r="F577" s="15" t="s">
        <v>93</v>
      </c>
      <c r="G577" s="15" t="s">
        <v>93</v>
      </c>
      <c r="H577" s="4" t="s">
        <v>21</v>
      </c>
      <c r="I577" s="16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8">
        <v>46195.0</v>
      </c>
      <c r="B578" s="14" t="s">
        <v>1647</v>
      </c>
      <c r="C578" s="5">
        <v>8606750.0</v>
      </c>
      <c r="D578" s="5">
        <v>0.0</v>
      </c>
      <c r="E578" s="5">
        <f t="shared" si="1"/>
        <v>8252511.48</v>
      </c>
      <c r="F578" s="15" t="s">
        <v>93</v>
      </c>
      <c r="G578" s="15" t="s">
        <v>93</v>
      </c>
      <c r="H578" s="4" t="s">
        <v>21</v>
      </c>
      <c r="I578" s="16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8">
        <v>46195.0</v>
      </c>
      <c r="B579" s="14" t="s">
        <v>1648</v>
      </c>
      <c r="C579" s="5">
        <v>3772511.0</v>
      </c>
      <c r="D579" s="5">
        <v>0.0</v>
      </c>
      <c r="E579" s="5">
        <f t="shared" si="1"/>
        <v>4480000.48</v>
      </c>
      <c r="F579" s="15" t="s">
        <v>93</v>
      </c>
      <c r="G579" s="15" t="s">
        <v>93</v>
      </c>
      <c r="H579" s="4" t="s">
        <v>21</v>
      </c>
      <c r="I579" s="16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8">
        <v>46195.0</v>
      </c>
      <c r="B580" s="14" t="s">
        <v>1649</v>
      </c>
      <c r="C580" s="5">
        <v>4480000.0</v>
      </c>
      <c r="D580" s="5">
        <v>0.0</v>
      </c>
      <c r="E580" s="5">
        <f t="shared" si="1"/>
        <v>0.4800000191</v>
      </c>
      <c r="F580" s="15" t="s">
        <v>93</v>
      </c>
      <c r="G580" s="15" t="s">
        <v>93</v>
      </c>
      <c r="H580" s="4" t="s">
        <v>21</v>
      </c>
      <c r="I580" s="16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8">
        <v>46203.0</v>
      </c>
      <c r="B581" s="14" t="s">
        <v>1650</v>
      </c>
      <c r="C581" s="5">
        <v>0.0</v>
      </c>
      <c r="D581" s="5">
        <v>2.5619491E7</v>
      </c>
      <c r="E581" s="5">
        <f t="shared" si="1"/>
        <v>25619491.48</v>
      </c>
      <c r="F581" s="14" t="s">
        <v>21</v>
      </c>
      <c r="G581" s="14" t="s">
        <v>190</v>
      </c>
      <c r="H581" s="14"/>
      <c r="I581" s="16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8">
        <v>46203.0</v>
      </c>
      <c r="B582" s="14" t="s">
        <v>1651</v>
      </c>
      <c r="C582" s="5">
        <v>3250000.0</v>
      </c>
      <c r="D582" s="5">
        <v>0.0</v>
      </c>
      <c r="E582" s="5">
        <f t="shared" si="1"/>
        <v>22369491.48</v>
      </c>
      <c r="F582" s="14" t="s">
        <v>58</v>
      </c>
      <c r="G582" s="14" t="s">
        <v>59</v>
      </c>
      <c r="H582" s="14" t="s">
        <v>694</v>
      </c>
      <c r="I582" s="16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8">
        <v>46203.0</v>
      </c>
      <c r="B583" s="14" t="s">
        <v>1652</v>
      </c>
      <c r="C583" s="5">
        <v>1500000.0</v>
      </c>
      <c r="D583" s="5">
        <v>0.0</v>
      </c>
      <c r="E583" s="5">
        <f t="shared" si="1"/>
        <v>20869491.48</v>
      </c>
      <c r="F583" s="4" t="s">
        <v>58</v>
      </c>
      <c r="G583" s="14" t="s">
        <v>59</v>
      </c>
      <c r="H583" s="4" t="s">
        <v>592</v>
      </c>
      <c r="I583" s="16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8">
        <v>46203.0</v>
      </c>
      <c r="B584" s="14" t="s">
        <v>1653</v>
      </c>
      <c r="C584" s="5">
        <v>1050000.0</v>
      </c>
      <c r="D584" s="5">
        <v>0.0</v>
      </c>
      <c r="E584" s="5">
        <f t="shared" si="1"/>
        <v>19819491.48</v>
      </c>
      <c r="F584" s="14" t="s">
        <v>105</v>
      </c>
      <c r="G584" s="14" t="s">
        <v>380</v>
      </c>
      <c r="H584" s="14"/>
      <c r="I584" s="16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8">
        <v>46203.0</v>
      </c>
      <c r="B585" s="14" t="s">
        <v>1654</v>
      </c>
      <c r="C585" s="5">
        <v>1650000.0</v>
      </c>
      <c r="D585" s="5">
        <v>0.0</v>
      </c>
      <c r="E585" s="5">
        <f t="shared" si="1"/>
        <v>18169491.48</v>
      </c>
      <c r="F585" s="14" t="s">
        <v>105</v>
      </c>
      <c r="G585" s="14" t="s">
        <v>380</v>
      </c>
      <c r="H585" s="14"/>
      <c r="I585" s="16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8">
        <v>46203.0</v>
      </c>
      <c r="B586" s="14" t="s">
        <v>1655</v>
      </c>
      <c r="C586" s="5">
        <v>2388925.0</v>
      </c>
      <c r="D586" s="5">
        <v>0.0</v>
      </c>
      <c r="E586" s="5">
        <f t="shared" si="1"/>
        <v>15780566.48</v>
      </c>
      <c r="F586" s="14" t="s">
        <v>58</v>
      </c>
      <c r="G586" s="14" t="s">
        <v>59</v>
      </c>
      <c r="H586" s="14" t="s">
        <v>722</v>
      </c>
      <c r="I586" s="16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8">
        <v>46203.0</v>
      </c>
      <c r="B587" s="14" t="s">
        <v>1656</v>
      </c>
      <c r="C587" s="5">
        <v>6000000.0</v>
      </c>
      <c r="D587" s="5">
        <v>0.0</v>
      </c>
      <c r="E587" s="5">
        <f t="shared" si="1"/>
        <v>9780566.48</v>
      </c>
      <c r="F587" s="4" t="s">
        <v>58</v>
      </c>
      <c r="G587" s="14" t="s">
        <v>59</v>
      </c>
      <c r="H587" s="4" t="s">
        <v>739</v>
      </c>
      <c r="I587" s="16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8">
        <v>46203.0</v>
      </c>
      <c r="B588" s="14" t="s">
        <v>543</v>
      </c>
      <c r="C588" s="5">
        <v>9780566.0</v>
      </c>
      <c r="D588" s="5">
        <v>0.0</v>
      </c>
      <c r="E588" s="5">
        <f t="shared" si="1"/>
        <v>0.4800000191</v>
      </c>
      <c r="F588" s="14" t="s">
        <v>21</v>
      </c>
      <c r="G588" s="14" t="s">
        <v>116</v>
      </c>
      <c r="H588" s="14"/>
      <c r="I588" s="16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8">
        <v>46204.0</v>
      </c>
      <c r="B589" s="14" t="s">
        <v>1658</v>
      </c>
      <c r="C589" s="5">
        <v>0.0</v>
      </c>
      <c r="D589" s="5">
        <v>2.5E8</v>
      </c>
      <c r="E589" s="5">
        <f t="shared" si="1"/>
        <v>250000000.5</v>
      </c>
      <c r="F589" s="14" t="s">
        <v>21</v>
      </c>
      <c r="G589" s="14" t="s">
        <v>169</v>
      </c>
      <c r="H589" s="14"/>
      <c r="I589" s="16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8">
        <v>46204.0</v>
      </c>
      <c r="B590" s="14" t="s">
        <v>1358</v>
      </c>
      <c r="C590" s="5">
        <v>0.0</v>
      </c>
      <c r="D590" s="5">
        <v>1500000.0</v>
      </c>
      <c r="E590" s="5">
        <f t="shared" si="1"/>
        <v>251500000.5</v>
      </c>
      <c r="F590" s="14" t="s">
        <v>93</v>
      </c>
      <c r="G590" s="14" t="s">
        <v>93</v>
      </c>
      <c r="H590" s="4" t="s">
        <v>21</v>
      </c>
      <c r="I590" s="16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8">
        <v>46204.0</v>
      </c>
      <c r="B591" s="14" t="s">
        <v>1661</v>
      </c>
      <c r="C591" s="5">
        <v>2.5E8</v>
      </c>
      <c r="D591" s="5">
        <v>0.0</v>
      </c>
      <c r="E591" s="5">
        <f t="shared" si="1"/>
        <v>1500000.48</v>
      </c>
      <c r="F591" s="15" t="s">
        <v>93</v>
      </c>
      <c r="G591" s="15" t="s">
        <v>93</v>
      </c>
      <c r="H591" s="14" t="s">
        <v>20</v>
      </c>
      <c r="I591" s="16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8">
        <v>46204.0</v>
      </c>
      <c r="B592" s="14" t="s">
        <v>1664</v>
      </c>
      <c r="C592" s="5">
        <v>2500.0</v>
      </c>
      <c r="D592" s="5">
        <v>0.0</v>
      </c>
      <c r="E592" s="5">
        <f t="shared" si="1"/>
        <v>1497500.48</v>
      </c>
      <c r="F592" s="14" t="s">
        <v>43</v>
      </c>
      <c r="G592" s="14" t="s">
        <v>45</v>
      </c>
      <c r="H592" s="14"/>
      <c r="I592" s="16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8">
        <v>46204.0</v>
      </c>
      <c r="B593" s="14" t="s">
        <v>1658</v>
      </c>
      <c r="C593" s="5">
        <v>0.0</v>
      </c>
      <c r="D593" s="5">
        <v>2.5E8</v>
      </c>
      <c r="E593" s="5">
        <f t="shared" si="1"/>
        <v>251497500.5</v>
      </c>
      <c r="F593" s="14" t="s">
        <v>21</v>
      </c>
      <c r="G593" s="14" t="s">
        <v>169</v>
      </c>
      <c r="H593" s="14"/>
      <c r="I593" s="16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8">
        <v>46204.0</v>
      </c>
      <c r="B594" s="14" t="s">
        <v>1661</v>
      </c>
      <c r="C594" s="5">
        <v>2.5E8</v>
      </c>
      <c r="D594" s="5">
        <v>0.0</v>
      </c>
      <c r="E594" s="5">
        <f t="shared" si="1"/>
        <v>1497500.48</v>
      </c>
      <c r="F594" s="15" t="s">
        <v>93</v>
      </c>
      <c r="G594" s="15" t="s">
        <v>93</v>
      </c>
      <c r="H594" s="14" t="s">
        <v>20</v>
      </c>
      <c r="I594" s="16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8">
        <v>46204.0</v>
      </c>
      <c r="B595" s="14" t="s">
        <v>1664</v>
      </c>
      <c r="C595" s="5">
        <v>2500.0</v>
      </c>
      <c r="D595" s="5">
        <v>0.0</v>
      </c>
      <c r="E595" s="5">
        <f t="shared" si="1"/>
        <v>1495000.48</v>
      </c>
      <c r="F595" s="14" t="s">
        <v>43</v>
      </c>
      <c r="G595" s="14" t="s">
        <v>45</v>
      </c>
      <c r="H595" s="14"/>
      <c r="I595" s="16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8">
        <v>46204.0</v>
      </c>
      <c r="B596" s="14" t="s">
        <v>1658</v>
      </c>
      <c r="C596" s="5">
        <v>0.0</v>
      </c>
      <c r="D596" s="5">
        <v>4.4720672E7</v>
      </c>
      <c r="E596" s="5">
        <f t="shared" si="1"/>
        <v>46215672.48</v>
      </c>
      <c r="F596" s="14" t="s">
        <v>21</v>
      </c>
      <c r="G596" s="14" t="s">
        <v>169</v>
      </c>
      <c r="H596" s="14"/>
      <c r="I596" s="16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8">
        <v>46204.0</v>
      </c>
      <c r="B597" s="14" t="s">
        <v>1671</v>
      </c>
      <c r="C597" s="5">
        <v>1.2E7</v>
      </c>
      <c r="D597" s="5">
        <v>0.0</v>
      </c>
      <c r="E597" s="5">
        <f t="shared" si="1"/>
        <v>34215672.48</v>
      </c>
      <c r="F597" s="4" t="s">
        <v>58</v>
      </c>
      <c r="G597" s="14" t="s">
        <v>59</v>
      </c>
      <c r="H597" s="4" t="s">
        <v>592</v>
      </c>
      <c r="I597" s="16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8">
        <v>46204.0</v>
      </c>
      <c r="B598" s="14" t="s">
        <v>1490</v>
      </c>
      <c r="C598" s="5">
        <v>30000.0</v>
      </c>
      <c r="D598" s="5">
        <v>0.0</v>
      </c>
      <c r="E598" s="5">
        <f t="shared" si="1"/>
        <v>34185672.48</v>
      </c>
      <c r="F598" s="14" t="s">
        <v>43</v>
      </c>
      <c r="G598" s="14" t="s">
        <v>45</v>
      </c>
      <c r="H598" s="14"/>
      <c r="I598" s="16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8">
        <v>46205.0</v>
      </c>
      <c r="B599" s="14" t="s">
        <v>457</v>
      </c>
      <c r="C599" s="5">
        <v>0.0</v>
      </c>
      <c r="D599" s="5">
        <v>1.8724855E7</v>
      </c>
      <c r="E599" s="5">
        <f t="shared" si="1"/>
        <v>52910527.48</v>
      </c>
      <c r="F599" s="14" t="s">
        <v>21</v>
      </c>
      <c r="G599" s="14" t="s">
        <v>190</v>
      </c>
      <c r="H599" s="14"/>
      <c r="I599" s="16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8">
        <v>46205.0</v>
      </c>
      <c r="B600" s="14" t="s">
        <v>1677</v>
      </c>
      <c r="C600" s="5">
        <v>704000.0</v>
      </c>
      <c r="D600" s="5">
        <v>0.0</v>
      </c>
      <c r="E600" s="5">
        <f t="shared" si="1"/>
        <v>52206527.48</v>
      </c>
      <c r="F600" s="14" t="s">
        <v>58</v>
      </c>
      <c r="G600" s="14" t="s">
        <v>59</v>
      </c>
      <c r="H600" s="14" t="s">
        <v>111</v>
      </c>
      <c r="I600" s="16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8">
        <v>46205.0</v>
      </c>
      <c r="B601" s="14" t="s">
        <v>1680</v>
      </c>
      <c r="C601" s="5">
        <v>704000.0</v>
      </c>
      <c r="D601" s="5">
        <v>0.0</v>
      </c>
      <c r="E601" s="5">
        <f t="shared" si="1"/>
        <v>51502527.48</v>
      </c>
      <c r="F601" s="14" t="s">
        <v>58</v>
      </c>
      <c r="G601" s="14" t="s">
        <v>59</v>
      </c>
      <c r="H601" s="14" t="s">
        <v>111</v>
      </c>
      <c r="I601" s="16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8">
        <v>46205.0</v>
      </c>
      <c r="B602" s="14" t="s">
        <v>1683</v>
      </c>
      <c r="C602" s="5">
        <v>921112.0</v>
      </c>
      <c r="D602" s="5">
        <v>0.0</v>
      </c>
      <c r="E602" s="5">
        <f t="shared" si="1"/>
        <v>50581415.48</v>
      </c>
      <c r="F602" s="14" t="s">
        <v>58</v>
      </c>
      <c r="G602" s="14" t="s">
        <v>59</v>
      </c>
      <c r="H602" s="14" t="s">
        <v>722</v>
      </c>
      <c r="I602" s="16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8">
        <v>46205.0</v>
      </c>
      <c r="B603" s="14" t="s">
        <v>1687</v>
      </c>
      <c r="C603" s="5">
        <v>8973679.0</v>
      </c>
      <c r="D603" s="5">
        <v>0.0</v>
      </c>
      <c r="E603" s="5">
        <f t="shared" si="1"/>
        <v>41607736.48</v>
      </c>
      <c r="F603" s="14" t="s">
        <v>58</v>
      </c>
      <c r="G603" s="14" t="s">
        <v>59</v>
      </c>
      <c r="H603" s="14" t="s">
        <v>722</v>
      </c>
      <c r="I603" s="16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8">
        <v>46205.0</v>
      </c>
      <c r="B604" s="14" t="s">
        <v>1690</v>
      </c>
      <c r="C604" s="5">
        <v>7422064.0</v>
      </c>
      <c r="D604" s="5">
        <v>0.0</v>
      </c>
      <c r="E604" s="5">
        <f t="shared" si="1"/>
        <v>34185672.48</v>
      </c>
      <c r="F604" s="14" t="s">
        <v>58</v>
      </c>
      <c r="G604" s="14" t="s">
        <v>59</v>
      </c>
      <c r="H604" s="14" t="s">
        <v>722</v>
      </c>
      <c r="I604" s="16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8">
        <v>46205.0</v>
      </c>
      <c r="B605" s="14" t="s">
        <v>273</v>
      </c>
      <c r="C605" s="5">
        <v>1500000.0</v>
      </c>
      <c r="D605" s="5">
        <v>0.0</v>
      </c>
      <c r="E605" s="5">
        <f t="shared" si="1"/>
        <v>32685672.48</v>
      </c>
      <c r="F605" s="14" t="s">
        <v>93</v>
      </c>
      <c r="G605" s="14" t="s">
        <v>93</v>
      </c>
      <c r="H605" s="4" t="s">
        <v>21</v>
      </c>
      <c r="I605" s="16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8">
        <v>46209.0</v>
      </c>
      <c r="B606" s="14" t="s">
        <v>1693</v>
      </c>
      <c r="C606" s="5">
        <v>0.0</v>
      </c>
      <c r="D606" s="5">
        <v>6660000.0</v>
      </c>
      <c r="E606" s="5">
        <f t="shared" si="1"/>
        <v>39345672.48</v>
      </c>
      <c r="F606" s="14" t="s">
        <v>75</v>
      </c>
      <c r="G606" s="14" t="s">
        <v>76</v>
      </c>
      <c r="H606" s="14" t="s">
        <v>326</v>
      </c>
      <c r="I606" s="16" t="s">
        <v>1694</v>
      </c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8">
        <v>46209.0</v>
      </c>
      <c r="B607" s="14" t="s">
        <v>457</v>
      </c>
      <c r="C607" s="5">
        <v>0.0</v>
      </c>
      <c r="D607" s="5">
        <v>1.1004328E7</v>
      </c>
      <c r="E607" s="5">
        <f t="shared" si="1"/>
        <v>50350000.48</v>
      </c>
      <c r="F607" s="14" t="s">
        <v>21</v>
      </c>
      <c r="G607" s="14" t="s">
        <v>190</v>
      </c>
      <c r="I607" s="16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8">
        <v>46209.0</v>
      </c>
      <c r="B608" s="14" t="s">
        <v>1697</v>
      </c>
      <c r="C608" s="5">
        <v>1.6E7</v>
      </c>
      <c r="D608" s="5">
        <v>0.0</v>
      </c>
      <c r="E608" s="5">
        <f t="shared" si="1"/>
        <v>34350000.48</v>
      </c>
      <c r="F608" s="14" t="s">
        <v>58</v>
      </c>
      <c r="G608" s="14" t="s">
        <v>59</v>
      </c>
      <c r="H608" s="4" t="s">
        <v>824</v>
      </c>
      <c r="I608" s="16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8">
        <v>46209.0</v>
      </c>
      <c r="B609" s="14" t="s">
        <v>1701</v>
      </c>
      <c r="C609" s="5">
        <v>3.435E7</v>
      </c>
      <c r="D609" s="5">
        <v>0.0</v>
      </c>
      <c r="E609" s="5">
        <f t="shared" si="1"/>
        <v>0.4800000191</v>
      </c>
      <c r="F609" s="14" t="s">
        <v>58</v>
      </c>
      <c r="G609" s="14" t="s">
        <v>59</v>
      </c>
      <c r="H609" s="4" t="s">
        <v>824</v>
      </c>
      <c r="I609" s="16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8">
        <v>46209.0</v>
      </c>
      <c r="B610" s="14" t="s">
        <v>457</v>
      </c>
      <c r="C610" s="5">
        <v>0.0</v>
      </c>
      <c r="D610" s="5">
        <v>2.5E8</v>
      </c>
      <c r="E610" s="5">
        <f t="shared" si="1"/>
        <v>250000000.5</v>
      </c>
      <c r="F610" s="14" t="s">
        <v>21</v>
      </c>
      <c r="G610" s="14" t="s">
        <v>190</v>
      </c>
      <c r="I610" s="16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8">
        <v>46209.0</v>
      </c>
      <c r="B611" s="14" t="s">
        <v>457</v>
      </c>
      <c r="C611" s="5">
        <v>0.0</v>
      </c>
      <c r="D611" s="5">
        <v>2.5E8</v>
      </c>
      <c r="E611" s="5">
        <f t="shared" si="1"/>
        <v>500000000.5</v>
      </c>
      <c r="F611" s="14" t="s">
        <v>21</v>
      </c>
      <c r="G611" s="14" t="s">
        <v>190</v>
      </c>
      <c r="I611" s="16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8">
        <v>46209.0</v>
      </c>
      <c r="B612" s="14" t="s">
        <v>457</v>
      </c>
      <c r="C612" s="5">
        <v>0.0</v>
      </c>
      <c r="D612" s="5">
        <v>2.5E8</v>
      </c>
      <c r="E612" s="5">
        <f t="shared" si="1"/>
        <v>750000000.5</v>
      </c>
      <c r="F612" s="14" t="s">
        <v>21</v>
      </c>
      <c r="G612" s="14" t="s">
        <v>190</v>
      </c>
      <c r="I612" s="16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8">
        <v>46210.0</v>
      </c>
      <c r="B613" s="14" t="s">
        <v>1709</v>
      </c>
      <c r="C613" s="5">
        <v>2.4E8</v>
      </c>
      <c r="D613" s="5">
        <v>0.0</v>
      </c>
      <c r="E613" s="5">
        <f t="shared" si="1"/>
        <v>510000000.5</v>
      </c>
      <c r="F613" s="14" t="s">
        <v>1711</v>
      </c>
      <c r="G613" s="14" t="s">
        <v>1712</v>
      </c>
      <c r="H613" s="4" t="s">
        <v>1085</v>
      </c>
      <c r="I613" s="16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8">
        <v>46210.0</v>
      </c>
      <c r="B614" s="14" t="s">
        <v>1713</v>
      </c>
      <c r="C614" s="5">
        <v>2.4E8</v>
      </c>
      <c r="D614" s="5">
        <v>0.0</v>
      </c>
      <c r="E614" s="5">
        <f t="shared" si="1"/>
        <v>270000000.5</v>
      </c>
      <c r="F614" s="14" t="s">
        <v>1711</v>
      </c>
      <c r="G614" s="14" t="s">
        <v>1712</v>
      </c>
      <c r="H614" s="4" t="s">
        <v>72</v>
      </c>
      <c r="I614" s="16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8">
        <v>46210.0</v>
      </c>
      <c r="B615" s="14" t="s">
        <v>1715</v>
      </c>
      <c r="C615" s="5">
        <v>1.2E8</v>
      </c>
      <c r="D615" s="5">
        <v>0.0</v>
      </c>
      <c r="E615" s="5">
        <f t="shared" si="1"/>
        <v>150000000.5</v>
      </c>
      <c r="F615" s="14" t="s">
        <v>1711</v>
      </c>
      <c r="G615" s="14" t="s">
        <v>1712</v>
      </c>
      <c r="H615" s="4" t="s">
        <v>20</v>
      </c>
      <c r="I615" s="16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8">
        <v>46210.0</v>
      </c>
      <c r="B616" s="14" t="s">
        <v>1717</v>
      </c>
      <c r="C616" s="5">
        <v>0.0</v>
      </c>
      <c r="D616" s="5">
        <v>9157500.0</v>
      </c>
      <c r="E616" s="5">
        <f t="shared" si="1"/>
        <v>159157500.5</v>
      </c>
      <c r="F616" s="14" t="s">
        <v>75</v>
      </c>
      <c r="G616" s="14" t="s">
        <v>76</v>
      </c>
      <c r="H616" s="14" t="s">
        <v>326</v>
      </c>
      <c r="I616" s="16" t="s">
        <v>1719</v>
      </c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8">
        <v>46211.0</v>
      </c>
      <c r="B617" s="14" t="s">
        <v>457</v>
      </c>
      <c r="C617" s="5">
        <v>0.0</v>
      </c>
      <c r="D617" s="5">
        <v>6.7534985E7</v>
      </c>
      <c r="E617" s="5">
        <f t="shared" si="1"/>
        <v>226692485.5</v>
      </c>
      <c r="F617" s="14" t="s">
        <v>21</v>
      </c>
      <c r="G617" s="14" t="s">
        <v>190</v>
      </c>
      <c r="I617" s="16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8">
        <v>46211.0</v>
      </c>
      <c r="B618" s="14" t="s">
        <v>1722</v>
      </c>
      <c r="C618" s="5">
        <v>239808.0</v>
      </c>
      <c r="D618" s="5">
        <v>0.0</v>
      </c>
      <c r="E618" s="5">
        <f t="shared" si="1"/>
        <v>226452677.5</v>
      </c>
      <c r="F618" s="14" t="s">
        <v>50</v>
      </c>
      <c r="G618" s="14" t="s">
        <v>51</v>
      </c>
      <c r="H618" s="4" t="s">
        <v>53</v>
      </c>
      <c r="I618" s="16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8">
        <v>46211.0</v>
      </c>
      <c r="B619" s="14" t="s">
        <v>1725</v>
      </c>
      <c r="C619" s="5">
        <v>239808.0</v>
      </c>
      <c r="D619" s="5">
        <v>0.0</v>
      </c>
      <c r="E619" s="5">
        <f t="shared" si="1"/>
        <v>226212869.5</v>
      </c>
      <c r="F619" s="14" t="s">
        <v>50</v>
      </c>
      <c r="G619" s="14" t="s">
        <v>51</v>
      </c>
      <c r="H619" s="4" t="s">
        <v>53</v>
      </c>
      <c r="I619" s="16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8">
        <v>46211.0</v>
      </c>
      <c r="B620" s="14" t="s">
        <v>1727</v>
      </c>
      <c r="C620" s="5">
        <v>239808.0</v>
      </c>
      <c r="D620" s="5">
        <v>0.0</v>
      </c>
      <c r="E620" s="5">
        <f t="shared" si="1"/>
        <v>225973061.5</v>
      </c>
      <c r="F620" s="14" t="s">
        <v>50</v>
      </c>
      <c r="G620" s="14" t="s">
        <v>51</v>
      </c>
      <c r="H620" s="4" t="s">
        <v>53</v>
      </c>
      <c r="I620" s="16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8">
        <v>46211.0</v>
      </c>
      <c r="B621" s="14" t="s">
        <v>1729</v>
      </c>
      <c r="C621" s="5">
        <v>355571.0</v>
      </c>
      <c r="D621" s="5">
        <v>0.0</v>
      </c>
      <c r="E621" s="5">
        <f t="shared" si="1"/>
        <v>225617490.5</v>
      </c>
      <c r="F621" s="14" t="s">
        <v>50</v>
      </c>
      <c r="G621" s="14" t="s">
        <v>51</v>
      </c>
      <c r="H621" s="4" t="s">
        <v>53</v>
      </c>
      <c r="I621" s="16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8">
        <v>46211.0</v>
      </c>
      <c r="B622" s="14" t="s">
        <v>1732</v>
      </c>
      <c r="C622" s="5">
        <v>239808.0</v>
      </c>
      <c r="D622" s="5">
        <v>0.0</v>
      </c>
      <c r="E622" s="5">
        <f t="shared" si="1"/>
        <v>225377682.5</v>
      </c>
      <c r="F622" s="14" t="s">
        <v>50</v>
      </c>
      <c r="G622" s="14" t="s">
        <v>51</v>
      </c>
      <c r="H622" s="4" t="s">
        <v>53</v>
      </c>
      <c r="I622" s="16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8">
        <v>46211.0</v>
      </c>
      <c r="B623" s="14" t="s">
        <v>1733</v>
      </c>
      <c r="C623" s="5">
        <v>239808.0</v>
      </c>
      <c r="D623" s="5">
        <v>0.0</v>
      </c>
      <c r="E623" s="5">
        <f t="shared" si="1"/>
        <v>225137874.5</v>
      </c>
      <c r="F623" s="14" t="s">
        <v>50</v>
      </c>
      <c r="G623" s="14" t="s">
        <v>51</v>
      </c>
      <c r="H623" s="4" t="s">
        <v>53</v>
      </c>
      <c r="I623" s="16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8">
        <v>46211.0</v>
      </c>
      <c r="B624" s="14" t="s">
        <v>1735</v>
      </c>
      <c r="C624" s="5">
        <v>239808.0</v>
      </c>
      <c r="D624" s="5">
        <v>0.0</v>
      </c>
      <c r="E624" s="5">
        <f t="shared" si="1"/>
        <v>224898066.5</v>
      </c>
      <c r="F624" s="14" t="s">
        <v>50</v>
      </c>
      <c r="G624" s="14" t="s">
        <v>51</v>
      </c>
      <c r="H624" s="4" t="s">
        <v>53</v>
      </c>
      <c r="I624" s="16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8">
        <v>46211.0</v>
      </c>
      <c r="B625" s="14" t="s">
        <v>1736</v>
      </c>
      <c r="C625" s="5">
        <v>9.1746E7</v>
      </c>
      <c r="D625" s="5">
        <v>0.0</v>
      </c>
      <c r="E625" s="5">
        <f t="shared" si="1"/>
        <v>133152066.5</v>
      </c>
      <c r="F625" s="14" t="s">
        <v>58</v>
      </c>
      <c r="G625" s="14" t="s">
        <v>59</v>
      </c>
      <c r="H625" s="4" t="s">
        <v>592</v>
      </c>
      <c r="I625" s="16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8">
        <v>46211.0</v>
      </c>
      <c r="B626" s="14" t="s">
        <v>1737</v>
      </c>
      <c r="C626" s="5">
        <f>2100000+D627</f>
        <v>2142857</v>
      </c>
      <c r="D626" s="5">
        <v>0.0</v>
      </c>
      <c r="E626" s="5">
        <f t="shared" si="1"/>
        <v>131009209.5</v>
      </c>
      <c r="F626" s="14" t="s">
        <v>58</v>
      </c>
      <c r="G626" s="14" t="s">
        <v>59</v>
      </c>
      <c r="H626" s="4" t="s">
        <v>592</v>
      </c>
      <c r="I626" s="16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8">
        <v>46211.0</v>
      </c>
      <c r="B627" s="14" t="s">
        <v>1737</v>
      </c>
      <c r="C627" s="5">
        <v>0.0</v>
      </c>
      <c r="D627" s="5">
        <v>42857.0</v>
      </c>
      <c r="E627" s="5">
        <f t="shared" si="1"/>
        <v>131052066.5</v>
      </c>
      <c r="F627" s="14" t="s">
        <v>21</v>
      </c>
      <c r="G627" s="14" t="s">
        <v>190</v>
      </c>
      <c r="H627" s="4" t="s">
        <v>191</v>
      </c>
      <c r="I627" s="16" t="s">
        <v>1741</v>
      </c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8">
        <v>46211.0</v>
      </c>
      <c r="B628" s="14" t="s">
        <v>1743</v>
      </c>
      <c r="C628" s="5">
        <v>5.023725E7</v>
      </c>
      <c r="D628" s="5">
        <v>0.0</v>
      </c>
      <c r="E628" s="5">
        <f t="shared" si="1"/>
        <v>80814816.48</v>
      </c>
      <c r="F628" s="14" t="s">
        <v>58</v>
      </c>
      <c r="G628" s="14" t="s">
        <v>59</v>
      </c>
      <c r="H628" s="4" t="s">
        <v>111</v>
      </c>
      <c r="I628" s="16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8">
        <v>46211.0</v>
      </c>
      <c r="B629" s="14" t="s">
        <v>1745</v>
      </c>
      <c r="C629" s="5">
        <v>0.0</v>
      </c>
      <c r="D629" s="5">
        <v>2.5E8</v>
      </c>
      <c r="E629" s="5">
        <f t="shared" si="1"/>
        <v>330814816.5</v>
      </c>
      <c r="F629" s="4" t="s">
        <v>21</v>
      </c>
      <c r="G629" s="4" t="s">
        <v>826</v>
      </c>
      <c r="I629" s="16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8">
        <v>46211.0</v>
      </c>
      <c r="B630" s="14" t="s">
        <v>1745</v>
      </c>
      <c r="C630" s="5">
        <v>0.0</v>
      </c>
      <c r="D630" s="5">
        <v>1.18129848E8</v>
      </c>
      <c r="E630" s="5">
        <f t="shared" si="1"/>
        <v>448944664.5</v>
      </c>
      <c r="F630" s="4" t="s">
        <v>21</v>
      </c>
      <c r="G630" s="4" t="s">
        <v>826</v>
      </c>
      <c r="I630" s="16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8">
        <v>46212.0</v>
      </c>
      <c r="B631" s="14" t="s">
        <v>1173</v>
      </c>
      <c r="C631" s="5">
        <v>8976513.0</v>
      </c>
      <c r="D631" s="5">
        <v>0.0</v>
      </c>
      <c r="E631" s="5">
        <f t="shared" si="1"/>
        <v>439968151.5</v>
      </c>
      <c r="F631" s="14" t="s">
        <v>21</v>
      </c>
      <c r="G631" s="14" t="s">
        <v>116</v>
      </c>
      <c r="I631" s="16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8">
        <v>46212.0</v>
      </c>
      <c r="B632" s="14" t="s">
        <v>1748</v>
      </c>
      <c r="C632" s="5">
        <v>4.78E7</v>
      </c>
      <c r="D632" s="5">
        <v>0.0</v>
      </c>
      <c r="E632" s="5">
        <f t="shared" si="1"/>
        <v>392168151.5</v>
      </c>
      <c r="F632" s="14" t="s">
        <v>58</v>
      </c>
      <c r="G632" s="14" t="s">
        <v>59</v>
      </c>
      <c r="H632" s="4" t="s">
        <v>824</v>
      </c>
      <c r="I632" s="16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8">
        <v>46213.0</v>
      </c>
      <c r="B633" s="14" t="s">
        <v>1751</v>
      </c>
      <c r="C633" s="5">
        <v>1.71308196E8</v>
      </c>
      <c r="D633" s="5">
        <v>0.0</v>
      </c>
      <c r="E633" s="5">
        <f t="shared" si="1"/>
        <v>220859955.5</v>
      </c>
      <c r="F633" s="14" t="s">
        <v>21</v>
      </c>
      <c r="G633" s="14" t="s">
        <v>842</v>
      </c>
      <c r="I633" s="16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8">
        <v>46213.0</v>
      </c>
      <c r="B634" s="14" t="s">
        <v>1753</v>
      </c>
      <c r="C634" s="5">
        <v>2500.0</v>
      </c>
      <c r="D634" s="5">
        <v>0.0</v>
      </c>
      <c r="E634" s="5">
        <f t="shared" si="1"/>
        <v>220857455.5</v>
      </c>
      <c r="F634" s="14" t="s">
        <v>43</v>
      </c>
      <c r="G634" s="14" t="s">
        <v>45</v>
      </c>
      <c r="I634" s="16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8">
        <v>46213.0</v>
      </c>
      <c r="B635" s="14" t="s">
        <v>1756</v>
      </c>
      <c r="C635" s="5">
        <v>0.0</v>
      </c>
      <c r="D635" s="5">
        <v>2.4E8</v>
      </c>
      <c r="E635" s="5">
        <f t="shared" si="1"/>
        <v>460857455.5</v>
      </c>
      <c r="F635" s="14" t="s">
        <v>1711</v>
      </c>
      <c r="G635" s="14" t="s">
        <v>1712</v>
      </c>
      <c r="H635" s="4" t="s">
        <v>1085</v>
      </c>
      <c r="I635" s="16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8">
        <v>46215.0</v>
      </c>
      <c r="B636" s="14" t="s">
        <v>1759</v>
      </c>
      <c r="C636" s="5">
        <v>1.26E7</v>
      </c>
      <c r="D636" s="5">
        <v>0.0</v>
      </c>
      <c r="E636" s="5">
        <f t="shared" si="1"/>
        <v>448257455.5</v>
      </c>
      <c r="F636" s="4" t="s">
        <v>18</v>
      </c>
      <c r="G636" s="14" t="s">
        <v>19</v>
      </c>
      <c r="H636" s="4" t="s">
        <v>134</v>
      </c>
      <c r="I636" s="16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8">
        <v>46218.0</v>
      </c>
      <c r="B637" s="14" t="s">
        <v>1761</v>
      </c>
      <c r="C637" s="5">
        <f>5014000-C638+D639</f>
        <v>4600000</v>
      </c>
      <c r="D637" s="5">
        <v>0.0</v>
      </c>
      <c r="E637" s="5">
        <f t="shared" si="1"/>
        <v>443657455.5</v>
      </c>
      <c r="F637" s="14" t="s">
        <v>50</v>
      </c>
      <c r="G637" s="14" t="s">
        <v>245</v>
      </c>
      <c r="H637" s="4" t="s">
        <v>246</v>
      </c>
      <c r="I637" s="16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8">
        <v>46218.0</v>
      </c>
      <c r="B638" s="14" t="s">
        <v>1761</v>
      </c>
      <c r="C638" s="5">
        <v>506000.0</v>
      </c>
      <c r="D638" s="5">
        <v>0.0</v>
      </c>
      <c r="E638" s="5">
        <f t="shared" si="1"/>
        <v>443151455.5</v>
      </c>
      <c r="F638" s="4" t="s">
        <v>21</v>
      </c>
      <c r="G638" s="4" t="s">
        <v>184</v>
      </c>
      <c r="H638" s="4" t="s">
        <v>1638</v>
      </c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8">
        <v>46218.0</v>
      </c>
      <c r="B639" s="14" t="s">
        <v>1761</v>
      </c>
      <c r="C639" s="5">
        <v>0.0</v>
      </c>
      <c r="D639" s="5">
        <v>92000.0</v>
      </c>
      <c r="E639" s="5">
        <f t="shared" si="1"/>
        <v>443243455.5</v>
      </c>
      <c r="F639" s="15" t="s">
        <v>21</v>
      </c>
      <c r="G639" s="15" t="s">
        <v>190</v>
      </c>
      <c r="H639" s="4" t="s">
        <v>191</v>
      </c>
      <c r="I639" s="4" t="s">
        <v>254</v>
      </c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8">
        <v>46218.0</v>
      </c>
      <c r="B640" s="14" t="s">
        <v>1770</v>
      </c>
      <c r="C640" s="5">
        <f>855766-C641+D642-C643</f>
        <v>711712</v>
      </c>
      <c r="D640" s="5">
        <v>0.0</v>
      </c>
      <c r="E640" s="5">
        <f t="shared" si="1"/>
        <v>442531743.5</v>
      </c>
      <c r="F640" s="14" t="s">
        <v>50</v>
      </c>
      <c r="G640" s="14" t="s">
        <v>395</v>
      </c>
      <c r="H640" s="4" t="s">
        <v>769</v>
      </c>
      <c r="I640" s="16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8">
        <v>46218.0</v>
      </c>
      <c r="B641" s="14" t="s">
        <v>1770</v>
      </c>
      <c r="C641" s="5">
        <v>78288.0</v>
      </c>
      <c r="D641" s="5">
        <v>0.0</v>
      </c>
      <c r="E641" s="5">
        <f t="shared" si="1"/>
        <v>442453455.5</v>
      </c>
      <c r="F641" s="4" t="s">
        <v>21</v>
      </c>
      <c r="G641" s="4" t="s">
        <v>184</v>
      </c>
      <c r="H641" s="4" t="s">
        <v>1638</v>
      </c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8">
        <v>46218.0</v>
      </c>
      <c r="B642" s="14" t="s">
        <v>1770</v>
      </c>
      <c r="C642" s="5">
        <v>0.0</v>
      </c>
      <c r="D642" s="5">
        <v>14234.0</v>
      </c>
      <c r="E642" s="5">
        <f t="shared" si="1"/>
        <v>442467689.5</v>
      </c>
      <c r="F642" s="15" t="s">
        <v>21</v>
      </c>
      <c r="G642" s="15" t="s">
        <v>190</v>
      </c>
      <c r="H642" s="4" t="s">
        <v>191</v>
      </c>
      <c r="I642" s="4" t="s">
        <v>401</v>
      </c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8">
        <v>46218.0</v>
      </c>
      <c r="B643" s="14" t="s">
        <v>1770</v>
      </c>
      <c r="C643" s="5">
        <v>80000.0</v>
      </c>
      <c r="D643" s="5">
        <v>0.0</v>
      </c>
      <c r="E643" s="5">
        <f t="shared" si="1"/>
        <v>442387689.5</v>
      </c>
      <c r="F643" s="14" t="s">
        <v>50</v>
      </c>
      <c r="G643" s="14" t="s">
        <v>1780</v>
      </c>
      <c r="I643" s="16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8">
        <v>46218.0</v>
      </c>
      <c r="B644" s="14" t="s">
        <v>1782</v>
      </c>
      <c r="C644" s="5">
        <f>15678750-C645+D646</f>
        <v>14413265</v>
      </c>
      <c r="D644" s="5">
        <v>0.0</v>
      </c>
      <c r="E644" s="5">
        <f t="shared" si="1"/>
        <v>427974424.5</v>
      </c>
      <c r="F644" s="14" t="s">
        <v>58</v>
      </c>
      <c r="G644" s="14" t="s">
        <v>59</v>
      </c>
      <c r="H644" s="4" t="s">
        <v>824</v>
      </c>
      <c r="I644" s="16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8">
        <v>46218.0</v>
      </c>
      <c r="B645" s="14" t="s">
        <v>1782</v>
      </c>
      <c r="C645" s="5">
        <v>1553750.0</v>
      </c>
      <c r="D645" s="5">
        <v>0.0</v>
      </c>
      <c r="E645" s="5">
        <f t="shared" si="1"/>
        <v>426420674.5</v>
      </c>
      <c r="F645" s="14" t="s">
        <v>24</v>
      </c>
      <c r="G645" s="14" t="s">
        <v>1787</v>
      </c>
      <c r="H645" s="4" t="s">
        <v>1788</v>
      </c>
      <c r="I645" s="16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8">
        <v>46218.0</v>
      </c>
      <c r="B646" s="14" t="s">
        <v>1782</v>
      </c>
      <c r="C646" s="5">
        <v>0.0</v>
      </c>
      <c r="D646" s="5">
        <v>288265.0</v>
      </c>
      <c r="E646" s="5">
        <f t="shared" si="1"/>
        <v>426708939.5</v>
      </c>
      <c r="F646" s="14" t="s">
        <v>21</v>
      </c>
      <c r="G646" s="14" t="s">
        <v>190</v>
      </c>
      <c r="H646" s="4" t="s">
        <v>191</v>
      </c>
      <c r="I646" s="16" t="s">
        <v>1790</v>
      </c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8">
        <v>46218.0</v>
      </c>
      <c r="B647" s="14" t="s">
        <v>1791</v>
      </c>
      <c r="C647" s="5">
        <v>5000000.0</v>
      </c>
      <c r="D647" s="5">
        <v>0.0</v>
      </c>
      <c r="E647" s="5">
        <f t="shared" si="1"/>
        <v>421708939.5</v>
      </c>
      <c r="F647" s="14" t="s">
        <v>58</v>
      </c>
      <c r="G647" s="14" t="s">
        <v>59</v>
      </c>
      <c r="H647" s="4" t="s">
        <v>824</v>
      </c>
      <c r="I647" s="16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8">
        <v>46218.0</v>
      </c>
      <c r="B648" s="14" t="s">
        <v>1794</v>
      </c>
      <c r="C648" s="5">
        <v>1.51845E8</v>
      </c>
      <c r="D648" s="5">
        <v>0.0</v>
      </c>
      <c r="E648" s="5">
        <f t="shared" si="1"/>
        <v>269863939.5</v>
      </c>
      <c r="F648" s="14" t="s">
        <v>58</v>
      </c>
      <c r="G648" s="14" t="s">
        <v>59</v>
      </c>
      <c r="H648" s="4" t="s">
        <v>1250</v>
      </c>
      <c r="I648" s="16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8">
        <v>46218.0</v>
      </c>
      <c r="B649" s="14" t="s">
        <v>1796</v>
      </c>
      <c r="C649" s="5">
        <v>1000000.0</v>
      </c>
      <c r="D649" s="5">
        <v>0.0</v>
      </c>
      <c r="E649" s="5">
        <f t="shared" si="1"/>
        <v>268863939.5</v>
      </c>
      <c r="F649" s="14" t="s">
        <v>58</v>
      </c>
      <c r="G649" s="14" t="s">
        <v>59</v>
      </c>
      <c r="H649" s="4" t="s">
        <v>824</v>
      </c>
      <c r="I649" s="16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8">
        <v>46218.0</v>
      </c>
      <c r="B650" s="14" t="s">
        <v>1798</v>
      </c>
      <c r="C650" s="5">
        <v>1500000.0</v>
      </c>
      <c r="D650" s="5">
        <v>0.0</v>
      </c>
      <c r="E650" s="5">
        <f t="shared" si="1"/>
        <v>267363939.5</v>
      </c>
      <c r="F650" s="14" t="s">
        <v>58</v>
      </c>
      <c r="G650" s="14" t="s">
        <v>59</v>
      </c>
      <c r="H650" s="4" t="s">
        <v>824</v>
      </c>
      <c r="I650" s="16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8">
        <v>46218.0</v>
      </c>
      <c r="B651" s="14" t="s">
        <v>1801</v>
      </c>
      <c r="C651" s="5">
        <v>1500000.0</v>
      </c>
      <c r="D651" s="5">
        <v>0.0</v>
      </c>
      <c r="E651" s="5">
        <f t="shared" si="1"/>
        <v>265863939.5</v>
      </c>
      <c r="F651" s="14" t="s">
        <v>58</v>
      </c>
      <c r="G651" s="14" t="s">
        <v>59</v>
      </c>
      <c r="H651" s="4" t="s">
        <v>824</v>
      </c>
      <c r="I651" s="16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8">
        <v>46218.0</v>
      </c>
      <c r="B652" s="14" t="s">
        <v>1803</v>
      </c>
      <c r="C652" s="5">
        <v>9500000.0</v>
      </c>
      <c r="D652" s="5">
        <v>0.0</v>
      </c>
      <c r="E652" s="5">
        <f t="shared" si="1"/>
        <v>256363939.5</v>
      </c>
      <c r="F652" s="14" t="s">
        <v>58</v>
      </c>
      <c r="G652" s="14" t="s">
        <v>59</v>
      </c>
      <c r="H652" s="4" t="s">
        <v>824</v>
      </c>
      <c r="I652" s="16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8">
        <v>46218.0</v>
      </c>
      <c r="B653" s="14" t="s">
        <v>1804</v>
      </c>
      <c r="C653" s="5">
        <v>7515617.0</v>
      </c>
      <c r="D653" s="5">
        <v>0.0</v>
      </c>
      <c r="E653" s="5">
        <f t="shared" si="1"/>
        <v>248848322.5</v>
      </c>
      <c r="F653" s="14" t="s">
        <v>58</v>
      </c>
      <c r="G653" s="14" t="s">
        <v>59</v>
      </c>
      <c r="H653" s="4" t="s">
        <v>722</v>
      </c>
      <c r="I653" s="16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8">
        <v>46218.0</v>
      </c>
      <c r="B654" s="14" t="s">
        <v>1806</v>
      </c>
      <c r="C654" s="5">
        <f>6825513-C655+D656</f>
        <v>6887500</v>
      </c>
      <c r="D654" s="5">
        <v>0.0</v>
      </c>
      <c r="E654" s="5">
        <f t="shared" si="1"/>
        <v>241960822.5</v>
      </c>
      <c r="F654" s="14" t="s">
        <v>58</v>
      </c>
      <c r="G654" s="14" t="s">
        <v>59</v>
      </c>
      <c r="H654" s="4" t="s">
        <v>722</v>
      </c>
      <c r="I654" s="16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8">
        <v>46218.0</v>
      </c>
      <c r="B655" s="14" t="s">
        <v>1806</v>
      </c>
      <c r="C655" s="5">
        <v>75763.0</v>
      </c>
      <c r="D655" s="5">
        <v>0.0</v>
      </c>
      <c r="E655" s="5">
        <f t="shared" si="1"/>
        <v>241885059.5</v>
      </c>
      <c r="F655" s="4" t="s">
        <v>21</v>
      </c>
      <c r="G655" s="4" t="s">
        <v>184</v>
      </c>
      <c r="H655" s="4" t="s">
        <v>1808</v>
      </c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8">
        <v>46218.0</v>
      </c>
      <c r="B656" s="14" t="s">
        <v>1806</v>
      </c>
      <c r="C656" s="5">
        <v>0.0</v>
      </c>
      <c r="D656" s="5">
        <v>137750.0</v>
      </c>
      <c r="E656" s="5">
        <f t="shared" si="1"/>
        <v>242022809.5</v>
      </c>
      <c r="F656" s="14" t="s">
        <v>21</v>
      </c>
      <c r="G656" s="14" t="s">
        <v>190</v>
      </c>
      <c r="H656" s="14" t="s">
        <v>191</v>
      </c>
      <c r="I656" s="16" t="s">
        <v>1518</v>
      </c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8">
        <v>46218.0</v>
      </c>
      <c r="B657" s="14" t="s">
        <v>1810</v>
      </c>
      <c r="C657" s="5">
        <v>1500000.0</v>
      </c>
      <c r="D657" s="5">
        <v>0.0</v>
      </c>
      <c r="E657" s="5">
        <f t="shared" si="1"/>
        <v>240522809.5</v>
      </c>
      <c r="F657" s="14" t="s">
        <v>21</v>
      </c>
      <c r="G657" s="4" t="s">
        <v>184</v>
      </c>
      <c r="H657" s="4" t="s">
        <v>1813</v>
      </c>
      <c r="I657" s="16" t="s">
        <v>44</v>
      </c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8">
        <v>46223.0</v>
      </c>
      <c r="B658" s="14" t="s">
        <v>1815</v>
      </c>
      <c r="C658" s="5">
        <v>1500000.0</v>
      </c>
      <c r="D658" s="5">
        <v>0.0</v>
      </c>
      <c r="E658" s="5">
        <f t="shared" si="1"/>
        <v>239022809.5</v>
      </c>
      <c r="F658" s="14" t="s">
        <v>58</v>
      </c>
      <c r="G658" s="14" t="s">
        <v>59</v>
      </c>
      <c r="H658" s="4" t="s">
        <v>838</v>
      </c>
      <c r="I658" s="16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8">
        <v>46223.0</v>
      </c>
      <c r="B659" s="14" t="s">
        <v>1817</v>
      </c>
      <c r="C659" s="5">
        <v>500000.0</v>
      </c>
      <c r="D659" s="5">
        <v>0.0</v>
      </c>
      <c r="E659" s="5">
        <f t="shared" si="1"/>
        <v>238522809.5</v>
      </c>
      <c r="F659" s="14" t="s">
        <v>58</v>
      </c>
      <c r="G659" s="14" t="s">
        <v>59</v>
      </c>
      <c r="H659" s="4" t="s">
        <v>838</v>
      </c>
      <c r="I659" s="16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8">
        <v>46223.0</v>
      </c>
      <c r="B660" s="14" t="s">
        <v>1819</v>
      </c>
      <c r="C660" s="5">
        <v>1900000.0</v>
      </c>
      <c r="D660" s="5">
        <v>0.0</v>
      </c>
      <c r="E660" s="5">
        <f t="shared" si="1"/>
        <v>236622809.5</v>
      </c>
      <c r="F660" s="14" t="s">
        <v>58</v>
      </c>
      <c r="G660" s="14" t="s">
        <v>59</v>
      </c>
      <c r="H660" s="4" t="s">
        <v>854</v>
      </c>
      <c r="I660" s="16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8">
        <v>46223.0</v>
      </c>
      <c r="B661" s="14" t="s">
        <v>1821</v>
      </c>
      <c r="C661" s="5">
        <f>3815000-C662+D663</f>
        <v>3500000</v>
      </c>
      <c r="D661" s="5">
        <v>0.0</v>
      </c>
      <c r="E661" s="5">
        <f t="shared" si="1"/>
        <v>233122809.5</v>
      </c>
      <c r="F661" s="15" t="s">
        <v>50</v>
      </c>
      <c r="G661" s="15" t="s">
        <v>178</v>
      </c>
      <c r="H661" s="4" t="s">
        <v>769</v>
      </c>
      <c r="I661" s="16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8">
        <v>46223.0</v>
      </c>
      <c r="B662" s="14" t="s">
        <v>1821</v>
      </c>
      <c r="C662" s="5">
        <v>385000.0</v>
      </c>
      <c r="D662" s="5">
        <v>0.0</v>
      </c>
      <c r="E662" s="5">
        <f t="shared" si="1"/>
        <v>232737809.5</v>
      </c>
      <c r="F662" s="4" t="s">
        <v>21</v>
      </c>
      <c r="G662" s="4" t="s">
        <v>184</v>
      </c>
      <c r="H662" s="4" t="s">
        <v>1638</v>
      </c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8">
        <v>46223.0</v>
      </c>
      <c r="B663" s="14" t="s">
        <v>1821</v>
      </c>
      <c r="C663" s="5">
        <v>0.0</v>
      </c>
      <c r="D663" s="5">
        <v>70000.0</v>
      </c>
      <c r="E663" s="5">
        <f t="shared" si="1"/>
        <v>232807809.5</v>
      </c>
      <c r="F663" s="15" t="s">
        <v>21</v>
      </c>
      <c r="G663" s="15" t="s">
        <v>190</v>
      </c>
      <c r="H663" s="4" t="s">
        <v>191</v>
      </c>
      <c r="I663" s="4" t="s">
        <v>192</v>
      </c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8">
        <v>46223.0</v>
      </c>
      <c r="B664" s="14" t="s">
        <v>1822</v>
      </c>
      <c r="C664" s="5">
        <v>1100000.0</v>
      </c>
      <c r="D664" s="5">
        <v>0.0</v>
      </c>
      <c r="E664" s="5">
        <f t="shared" si="1"/>
        <v>231707809.5</v>
      </c>
      <c r="F664" s="14" t="s">
        <v>58</v>
      </c>
      <c r="G664" s="14" t="s">
        <v>59</v>
      </c>
      <c r="H664" s="4" t="s">
        <v>838</v>
      </c>
      <c r="I664" s="16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8">
        <v>46223.0</v>
      </c>
      <c r="B665" s="14" t="s">
        <v>1824</v>
      </c>
      <c r="C665" s="5">
        <v>2156800.0</v>
      </c>
      <c r="D665" s="5">
        <v>0.0</v>
      </c>
      <c r="E665" s="5">
        <f t="shared" si="1"/>
        <v>229551009.5</v>
      </c>
      <c r="F665" s="14" t="s">
        <v>58</v>
      </c>
      <c r="G665" s="14" t="s">
        <v>59</v>
      </c>
      <c r="H665" s="4" t="s">
        <v>722</v>
      </c>
      <c r="I665" s="16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8">
        <v>46223.0</v>
      </c>
      <c r="B666" s="14" t="s">
        <v>1825</v>
      </c>
      <c r="C666" s="5">
        <v>5225495.0</v>
      </c>
      <c r="D666" s="5">
        <v>0.0</v>
      </c>
      <c r="E666" s="5">
        <f t="shared" si="1"/>
        <v>224325514.5</v>
      </c>
      <c r="F666" s="14" t="s">
        <v>58</v>
      </c>
      <c r="G666" s="14" t="s">
        <v>59</v>
      </c>
      <c r="H666" s="4" t="s">
        <v>722</v>
      </c>
      <c r="I666" s="16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8">
        <v>46223.0</v>
      </c>
      <c r="B667" s="14" t="s">
        <v>1826</v>
      </c>
      <c r="C667" s="5">
        <f>4586400+D668</f>
        <v>4680000</v>
      </c>
      <c r="D667" s="5">
        <v>0.0</v>
      </c>
      <c r="E667" s="5">
        <f t="shared" si="1"/>
        <v>219645514.5</v>
      </c>
      <c r="F667" s="14" t="s">
        <v>58</v>
      </c>
      <c r="G667" s="14" t="s">
        <v>59</v>
      </c>
      <c r="H667" s="4" t="s">
        <v>735</v>
      </c>
      <c r="I667" s="16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8">
        <v>46223.0</v>
      </c>
      <c r="B668" s="14" t="s">
        <v>1826</v>
      </c>
      <c r="C668" s="5">
        <v>0.0</v>
      </c>
      <c r="D668" s="5">
        <v>93600.0</v>
      </c>
      <c r="E668" s="5">
        <f t="shared" si="1"/>
        <v>219739114.5</v>
      </c>
      <c r="F668" s="14" t="s">
        <v>21</v>
      </c>
      <c r="G668" s="14" t="s">
        <v>190</v>
      </c>
      <c r="H668" s="4" t="s">
        <v>191</v>
      </c>
      <c r="I668" s="16" t="s">
        <v>1828</v>
      </c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8">
        <v>46224.0</v>
      </c>
      <c r="B669" s="14" t="s">
        <v>1829</v>
      </c>
      <c r="C669" s="5">
        <v>2.5E7</v>
      </c>
      <c r="D669" s="5">
        <v>0.0</v>
      </c>
      <c r="E669" s="5">
        <f t="shared" si="1"/>
        <v>194739114.5</v>
      </c>
      <c r="F669" s="14" t="s">
        <v>24</v>
      </c>
      <c r="G669" s="14" t="s">
        <v>125</v>
      </c>
      <c r="H669" s="4" t="s">
        <v>851</v>
      </c>
      <c r="I669" s="16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8">
        <v>46224.0</v>
      </c>
      <c r="B670" s="14" t="s">
        <v>1833</v>
      </c>
      <c r="C670" s="5">
        <v>1500000.0</v>
      </c>
      <c r="D670" s="5">
        <v>0.0</v>
      </c>
      <c r="E670" s="5">
        <f t="shared" si="1"/>
        <v>193239114.5</v>
      </c>
      <c r="F670" s="14" t="s">
        <v>24</v>
      </c>
      <c r="G670" s="14" t="s">
        <v>125</v>
      </c>
      <c r="H670" s="4" t="s">
        <v>851</v>
      </c>
      <c r="I670" s="16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8">
        <v>46224.0</v>
      </c>
      <c r="B671" s="14" t="s">
        <v>1836</v>
      </c>
      <c r="C671" s="5">
        <v>750000.0</v>
      </c>
      <c r="D671" s="5">
        <v>0.0</v>
      </c>
      <c r="E671" s="5">
        <f t="shared" si="1"/>
        <v>192489114.5</v>
      </c>
      <c r="F671" s="14" t="s">
        <v>24</v>
      </c>
      <c r="G671" s="14" t="s">
        <v>125</v>
      </c>
      <c r="H671" s="4" t="s">
        <v>851</v>
      </c>
      <c r="I671" s="16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8">
        <v>46224.0</v>
      </c>
      <c r="B672" s="14" t="s">
        <v>1839</v>
      </c>
      <c r="C672" s="5">
        <v>8600000.0</v>
      </c>
      <c r="D672" s="5">
        <v>0.0</v>
      </c>
      <c r="E672" s="5">
        <f t="shared" si="1"/>
        <v>183889114.5</v>
      </c>
      <c r="F672" s="14" t="s">
        <v>306</v>
      </c>
      <c r="G672" s="14" t="s">
        <v>307</v>
      </c>
      <c r="H672" s="4" t="s">
        <v>1840</v>
      </c>
      <c r="I672" s="16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8">
        <v>46224.0</v>
      </c>
      <c r="B673" s="14" t="s">
        <v>1841</v>
      </c>
      <c r="C673" s="5">
        <v>1.3712933E7</v>
      </c>
      <c r="D673" s="5">
        <v>0.0</v>
      </c>
      <c r="E673" s="5">
        <f t="shared" si="1"/>
        <v>170176181.5</v>
      </c>
      <c r="F673" s="14" t="s">
        <v>105</v>
      </c>
      <c r="G673" s="14" t="s">
        <v>106</v>
      </c>
      <c r="H673" s="4" t="s">
        <v>72</v>
      </c>
      <c r="I673" s="16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8">
        <v>46224.0</v>
      </c>
      <c r="B674" s="14" t="s">
        <v>1843</v>
      </c>
      <c r="C674" s="5">
        <v>1480000.0</v>
      </c>
      <c r="D674" s="5">
        <v>0.0</v>
      </c>
      <c r="E674" s="5">
        <f t="shared" si="1"/>
        <v>168696181.5</v>
      </c>
      <c r="F674" s="14" t="s">
        <v>58</v>
      </c>
      <c r="G674" s="14" t="s">
        <v>59</v>
      </c>
      <c r="H674" s="4" t="s">
        <v>824</v>
      </c>
      <c r="I674" s="16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8">
        <v>46224.0</v>
      </c>
      <c r="B675" s="14" t="s">
        <v>1846</v>
      </c>
      <c r="C675" s="5">
        <v>5.7E7</v>
      </c>
      <c r="D675" s="5">
        <v>0.0</v>
      </c>
      <c r="E675" s="5">
        <f t="shared" si="1"/>
        <v>111696181.5</v>
      </c>
      <c r="F675" s="14" t="s">
        <v>58</v>
      </c>
      <c r="G675" s="14" t="s">
        <v>59</v>
      </c>
      <c r="H675" s="4" t="s">
        <v>838</v>
      </c>
      <c r="I675" s="16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8">
        <v>46224.0</v>
      </c>
      <c r="B676" s="14" t="s">
        <v>1847</v>
      </c>
      <c r="C676" s="5">
        <v>8100000.0</v>
      </c>
      <c r="D676" s="5">
        <v>0.0</v>
      </c>
      <c r="E676" s="5">
        <f t="shared" si="1"/>
        <v>103596181.5</v>
      </c>
      <c r="F676" s="14" t="s">
        <v>58</v>
      </c>
      <c r="G676" s="14" t="s">
        <v>59</v>
      </c>
      <c r="H676" s="4" t="s">
        <v>824</v>
      </c>
      <c r="I676" s="16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8">
        <v>46224.0</v>
      </c>
      <c r="B677" s="14" t="s">
        <v>1849</v>
      </c>
      <c r="C677" s="5">
        <f>19000000+D678</f>
        <v>19387755</v>
      </c>
      <c r="D677" s="5">
        <v>0.0</v>
      </c>
      <c r="E677" s="5">
        <f t="shared" si="1"/>
        <v>84208426.48</v>
      </c>
      <c r="F677" s="14" t="s">
        <v>58</v>
      </c>
      <c r="G677" s="14" t="s">
        <v>59</v>
      </c>
      <c r="H677" s="4" t="s">
        <v>824</v>
      </c>
      <c r="I677" s="16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8">
        <v>46224.0</v>
      </c>
      <c r="B678" s="14" t="s">
        <v>1849</v>
      </c>
      <c r="C678" s="5">
        <v>0.0</v>
      </c>
      <c r="D678" s="5">
        <v>387755.0</v>
      </c>
      <c r="E678" s="5">
        <f t="shared" si="1"/>
        <v>84596181.48</v>
      </c>
      <c r="F678" s="14" t="s">
        <v>21</v>
      </c>
      <c r="G678" s="14" t="s">
        <v>190</v>
      </c>
      <c r="H678" s="4" t="s">
        <v>191</v>
      </c>
      <c r="I678" s="16" t="s">
        <v>1852</v>
      </c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8">
        <v>46227.0</v>
      </c>
      <c r="B679" s="14" t="s">
        <v>457</v>
      </c>
      <c r="C679" s="5">
        <v>0.0</v>
      </c>
      <c r="D679" s="5">
        <v>6500000.0</v>
      </c>
      <c r="E679" s="5">
        <f t="shared" si="1"/>
        <v>91096181.48</v>
      </c>
      <c r="F679" s="14" t="s">
        <v>21</v>
      </c>
      <c r="G679" s="14" t="s">
        <v>190</v>
      </c>
      <c r="I679" s="16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8">
        <v>46227.0</v>
      </c>
      <c r="B680" s="14" t="s">
        <v>1853</v>
      </c>
      <c r="C680" s="5">
        <v>3200000.0</v>
      </c>
      <c r="D680" s="5">
        <v>0.0</v>
      </c>
      <c r="E680" s="5">
        <f t="shared" si="1"/>
        <v>87896181.48</v>
      </c>
      <c r="F680" s="14" t="s">
        <v>58</v>
      </c>
      <c r="G680" s="14" t="s">
        <v>59</v>
      </c>
      <c r="H680" s="4" t="s">
        <v>824</v>
      </c>
      <c r="I680" s="16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8">
        <v>46227.0</v>
      </c>
      <c r="B681" s="14" t="s">
        <v>1856</v>
      </c>
      <c r="C681" s="5">
        <v>3.1985826E7</v>
      </c>
      <c r="D681" s="5">
        <v>0.0</v>
      </c>
      <c r="E681" s="5">
        <f t="shared" si="1"/>
        <v>55910355.48</v>
      </c>
      <c r="F681" s="14" t="s">
        <v>58</v>
      </c>
      <c r="G681" s="14" t="s">
        <v>59</v>
      </c>
      <c r="H681" s="4" t="s">
        <v>854</v>
      </c>
      <c r="I681" s="16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8">
        <v>46227.0</v>
      </c>
      <c r="B682" s="14" t="s">
        <v>1858</v>
      </c>
      <c r="C682" s="5">
        <v>1700000.0</v>
      </c>
      <c r="D682" s="5">
        <v>0.0</v>
      </c>
      <c r="E682" s="5">
        <f t="shared" si="1"/>
        <v>54210355.48</v>
      </c>
      <c r="F682" s="14" t="s">
        <v>1471</v>
      </c>
      <c r="G682" s="14" t="s">
        <v>1579</v>
      </c>
      <c r="I682" s="16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8">
        <v>46227.0</v>
      </c>
      <c r="B683" s="14" t="s">
        <v>1862</v>
      </c>
      <c r="C683" s="5">
        <v>1998000.0</v>
      </c>
      <c r="D683" s="5">
        <v>0.0</v>
      </c>
      <c r="E683" s="5">
        <f t="shared" si="1"/>
        <v>52212355.48</v>
      </c>
      <c r="F683" s="14" t="s">
        <v>105</v>
      </c>
      <c r="G683" s="14" t="s">
        <v>380</v>
      </c>
      <c r="I683" s="16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8">
        <v>46227.0</v>
      </c>
      <c r="B684" s="14" t="s">
        <v>1864</v>
      </c>
      <c r="C684" s="5">
        <v>8250000.0</v>
      </c>
      <c r="D684" s="5">
        <v>0.0</v>
      </c>
      <c r="E684" s="5">
        <f t="shared" si="1"/>
        <v>43962355.48</v>
      </c>
      <c r="F684" s="14" t="s">
        <v>306</v>
      </c>
      <c r="G684" s="14" t="s">
        <v>307</v>
      </c>
      <c r="H684" s="4" t="s">
        <v>308</v>
      </c>
      <c r="I684" s="16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8">
        <v>46227.0</v>
      </c>
      <c r="B685" s="14" t="s">
        <v>1864</v>
      </c>
      <c r="C685" s="5">
        <v>8000000.0</v>
      </c>
      <c r="D685" s="5">
        <v>0.0</v>
      </c>
      <c r="E685" s="5">
        <f t="shared" si="1"/>
        <v>35962355.48</v>
      </c>
      <c r="F685" s="14" t="s">
        <v>306</v>
      </c>
      <c r="G685" s="14" t="s">
        <v>307</v>
      </c>
      <c r="H685" s="4" t="s">
        <v>308</v>
      </c>
      <c r="I685" s="16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8">
        <v>46227.0</v>
      </c>
      <c r="B686" s="14" t="s">
        <v>1868</v>
      </c>
      <c r="C686" s="5">
        <v>2000000.0</v>
      </c>
      <c r="D686" s="5">
        <v>0.0</v>
      </c>
      <c r="E686" s="5">
        <f t="shared" si="1"/>
        <v>33962355.48</v>
      </c>
      <c r="F686" s="14" t="s">
        <v>58</v>
      </c>
      <c r="G686" s="14" t="s">
        <v>59</v>
      </c>
      <c r="H686" s="4" t="s">
        <v>824</v>
      </c>
      <c r="I686" s="16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8">
        <v>46227.0</v>
      </c>
      <c r="B687" s="14" t="s">
        <v>1870</v>
      </c>
      <c r="C687" s="5">
        <v>2.53E7</v>
      </c>
      <c r="D687" s="5">
        <v>0.0</v>
      </c>
      <c r="E687" s="5">
        <f t="shared" si="1"/>
        <v>8662355.48</v>
      </c>
      <c r="F687" s="14" t="s">
        <v>58</v>
      </c>
      <c r="G687" s="14" t="s">
        <v>59</v>
      </c>
      <c r="H687" s="4" t="s">
        <v>824</v>
      </c>
      <c r="I687" s="16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8">
        <v>46227.0</v>
      </c>
      <c r="B688" s="14" t="s">
        <v>1872</v>
      </c>
      <c r="C688" s="5">
        <v>5725000.0</v>
      </c>
      <c r="D688" s="5">
        <v>0.0</v>
      </c>
      <c r="E688" s="5">
        <f t="shared" si="1"/>
        <v>2937355.48</v>
      </c>
      <c r="F688" s="14" t="s">
        <v>58</v>
      </c>
      <c r="G688" s="14" t="s">
        <v>59</v>
      </c>
      <c r="H688" s="4" t="s">
        <v>677</v>
      </c>
      <c r="I688" s="16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8">
        <v>46227.0</v>
      </c>
      <c r="B689" s="14" t="s">
        <v>1875</v>
      </c>
      <c r="C689" s="5">
        <v>1566300.0</v>
      </c>
      <c r="D689" s="5">
        <v>0.0</v>
      </c>
      <c r="E689" s="5">
        <f t="shared" si="1"/>
        <v>1371055.48</v>
      </c>
      <c r="F689" s="14" t="s">
        <v>58</v>
      </c>
      <c r="G689" s="14" t="s">
        <v>59</v>
      </c>
      <c r="H689" s="4" t="s">
        <v>722</v>
      </c>
      <c r="I689" s="16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8">
        <v>46227.0</v>
      </c>
      <c r="B690" s="14" t="s">
        <v>1878</v>
      </c>
      <c r="C690" s="5">
        <v>1230000.0</v>
      </c>
      <c r="D690" s="5">
        <v>0.0</v>
      </c>
      <c r="E690" s="5">
        <f t="shared" si="1"/>
        <v>141055.48</v>
      </c>
      <c r="F690" s="14" t="s">
        <v>58</v>
      </c>
      <c r="G690" s="14" t="s">
        <v>59</v>
      </c>
      <c r="H690" s="4" t="s">
        <v>824</v>
      </c>
      <c r="I690" s="16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8">
        <v>46227.0</v>
      </c>
      <c r="B691" s="14" t="s">
        <v>457</v>
      </c>
      <c r="C691" s="5">
        <v>0.0</v>
      </c>
      <c r="D691" s="5">
        <v>8000000.0</v>
      </c>
      <c r="E691" s="5">
        <f t="shared" si="1"/>
        <v>8141055.48</v>
      </c>
      <c r="F691" s="14" t="s">
        <v>21</v>
      </c>
      <c r="G691" s="14" t="s">
        <v>190</v>
      </c>
      <c r="I691" s="16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8">
        <v>46227.0</v>
      </c>
      <c r="B692" s="14" t="s">
        <v>1882</v>
      </c>
      <c r="C692" s="5">
        <v>8000000.0</v>
      </c>
      <c r="D692" s="5">
        <v>0.0</v>
      </c>
      <c r="E692" s="5">
        <f t="shared" si="1"/>
        <v>141055.48</v>
      </c>
      <c r="F692" s="14" t="s">
        <v>21</v>
      </c>
      <c r="G692" s="4" t="s">
        <v>184</v>
      </c>
      <c r="H692" s="4" t="s">
        <v>1884</v>
      </c>
      <c r="I692" s="16" t="s">
        <v>539</v>
      </c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8">
        <v>46230.0</v>
      </c>
      <c r="B693" s="14" t="s">
        <v>418</v>
      </c>
      <c r="C693" s="5">
        <v>0.0</v>
      </c>
      <c r="D693" s="5">
        <v>2.5E8</v>
      </c>
      <c r="E693" s="5">
        <f t="shared" si="1"/>
        <v>250141055.5</v>
      </c>
      <c r="F693" s="14" t="s">
        <v>21</v>
      </c>
      <c r="G693" s="14" t="s">
        <v>190</v>
      </c>
      <c r="I693" s="16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8">
        <v>46230.0</v>
      </c>
      <c r="B694" s="14" t="s">
        <v>418</v>
      </c>
      <c r="C694" s="5">
        <v>0.0</v>
      </c>
      <c r="D694" s="5">
        <v>2.5E8</v>
      </c>
      <c r="E694" s="5">
        <f t="shared" si="1"/>
        <v>500141055.5</v>
      </c>
      <c r="F694" s="14" t="s">
        <v>21</v>
      </c>
      <c r="G694" s="14" t="s">
        <v>190</v>
      </c>
      <c r="I694" s="16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8">
        <v>46230.0</v>
      </c>
      <c r="B695" s="14" t="s">
        <v>418</v>
      </c>
      <c r="C695" s="5">
        <v>0.0</v>
      </c>
      <c r="D695" s="5">
        <v>2.5E8</v>
      </c>
      <c r="E695" s="5">
        <f t="shared" si="1"/>
        <v>750141055.5</v>
      </c>
      <c r="F695" s="14" t="s">
        <v>21</v>
      </c>
      <c r="G695" s="14" t="s">
        <v>190</v>
      </c>
      <c r="I695" s="16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8">
        <v>46230.0</v>
      </c>
      <c r="B696" s="14" t="s">
        <v>1892</v>
      </c>
      <c r="C696" s="5">
        <v>2.0E8</v>
      </c>
      <c r="D696" s="5">
        <v>0.0</v>
      </c>
      <c r="E696" s="5">
        <f t="shared" si="1"/>
        <v>550141055.5</v>
      </c>
      <c r="F696" s="14" t="s">
        <v>24</v>
      </c>
      <c r="G696" s="14" t="s">
        <v>198</v>
      </c>
      <c r="H696" s="4" t="s">
        <v>72</v>
      </c>
      <c r="I696" s="16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8">
        <v>46233.0</v>
      </c>
      <c r="B697" s="14" t="s">
        <v>1893</v>
      </c>
      <c r="C697" s="5">
        <v>3888025.0</v>
      </c>
      <c r="D697" s="5">
        <v>0.0</v>
      </c>
      <c r="E697" s="5">
        <f t="shared" si="1"/>
        <v>546253030.5</v>
      </c>
      <c r="F697" s="14" t="s">
        <v>58</v>
      </c>
      <c r="G697" s="14" t="s">
        <v>59</v>
      </c>
      <c r="H697" s="4" t="s">
        <v>592</v>
      </c>
      <c r="I697" s="16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8">
        <v>46233.0</v>
      </c>
      <c r="B698" s="14" t="s">
        <v>1899</v>
      </c>
      <c r="C698" s="5">
        <v>7.0E7</v>
      </c>
      <c r="D698" s="5">
        <v>0.0</v>
      </c>
      <c r="E698" s="5">
        <f t="shared" si="1"/>
        <v>476253030.5</v>
      </c>
      <c r="F698" s="14" t="s">
        <v>58</v>
      </c>
      <c r="G698" s="14" t="s">
        <v>59</v>
      </c>
      <c r="H698" s="4" t="s">
        <v>683</v>
      </c>
      <c r="I698" s="16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8">
        <v>46233.0</v>
      </c>
      <c r="B699" s="14" t="s">
        <v>1901</v>
      </c>
      <c r="C699" s="5">
        <v>1.9979592E7</v>
      </c>
      <c r="D699" s="5">
        <v>0.0</v>
      </c>
      <c r="E699" s="5">
        <f t="shared" si="1"/>
        <v>456273438.5</v>
      </c>
      <c r="F699" s="14" t="s">
        <v>58</v>
      </c>
      <c r="G699" s="14" t="s">
        <v>59</v>
      </c>
      <c r="H699" s="4" t="s">
        <v>824</v>
      </c>
      <c r="I699" s="16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8">
        <v>46233.0</v>
      </c>
      <c r="B700" s="14" t="s">
        <v>1903</v>
      </c>
      <c r="C700" s="5">
        <f>11002035-C701+D702</f>
        <v>10269369</v>
      </c>
      <c r="D700" s="5">
        <v>0.0</v>
      </c>
      <c r="E700" s="5">
        <f t="shared" si="1"/>
        <v>446004069.5</v>
      </c>
      <c r="F700" s="14" t="s">
        <v>306</v>
      </c>
      <c r="G700" s="14" t="s">
        <v>307</v>
      </c>
      <c r="H700" s="4" t="s">
        <v>1906</v>
      </c>
      <c r="I700" s="16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8">
        <v>46233.0</v>
      </c>
      <c r="B701" s="14" t="s">
        <v>1903</v>
      </c>
      <c r="C701" s="5">
        <v>1129631.0</v>
      </c>
      <c r="D701" s="5">
        <v>0.0</v>
      </c>
      <c r="E701" s="5">
        <f t="shared" si="1"/>
        <v>444874438.5</v>
      </c>
      <c r="F701" s="4" t="s">
        <v>21</v>
      </c>
      <c r="G701" s="4" t="s">
        <v>184</v>
      </c>
      <c r="H701" s="4" t="s">
        <v>1430</v>
      </c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8">
        <v>46233.0</v>
      </c>
      <c r="B702" s="14" t="s">
        <v>1903</v>
      </c>
      <c r="C702" s="5">
        <v>0.0</v>
      </c>
      <c r="D702" s="5">
        <v>396965.0</v>
      </c>
      <c r="E702" s="5">
        <f t="shared" si="1"/>
        <v>445271403.5</v>
      </c>
      <c r="F702" s="14" t="s">
        <v>306</v>
      </c>
      <c r="G702" s="14" t="s">
        <v>307</v>
      </c>
      <c r="H702" s="4" t="s">
        <v>1906</v>
      </c>
      <c r="I702" s="16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8">
        <v>46233.0</v>
      </c>
      <c r="B703" s="14" t="s">
        <v>1909</v>
      </c>
      <c r="C703" s="5">
        <v>4900000.0</v>
      </c>
      <c r="D703" s="5">
        <v>0.0</v>
      </c>
      <c r="E703" s="5">
        <f t="shared" si="1"/>
        <v>440371403.5</v>
      </c>
      <c r="F703" s="14" t="s">
        <v>105</v>
      </c>
      <c r="G703" s="14" t="s">
        <v>380</v>
      </c>
      <c r="I703" s="16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8">
        <v>46233.0</v>
      </c>
      <c r="B704" s="14" t="s">
        <v>1912</v>
      </c>
      <c r="C704" s="5">
        <v>4299000.0</v>
      </c>
      <c r="D704" s="5">
        <v>0.0</v>
      </c>
      <c r="E704" s="5">
        <f t="shared" si="1"/>
        <v>436072403.5</v>
      </c>
      <c r="F704" s="14" t="s">
        <v>105</v>
      </c>
      <c r="G704" s="14" t="s">
        <v>380</v>
      </c>
      <c r="I704" s="16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8">
        <v>46233.0</v>
      </c>
      <c r="B705" s="14" t="s">
        <v>1915</v>
      </c>
      <c r="C705" s="5">
        <v>7.64E7</v>
      </c>
      <c r="D705" s="5">
        <v>0.0</v>
      </c>
      <c r="E705" s="5">
        <f t="shared" si="1"/>
        <v>359672403.5</v>
      </c>
      <c r="F705" s="14" t="s">
        <v>58</v>
      </c>
      <c r="G705" s="14" t="s">
        <v>59</v>
      </c>
      <c r="H705" s="4" t="s">
        <v>1250</v>
      </c>
      <c r="I705" s="16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8">
        <v>46233.0</v>
      </c>
      <c r="B706" s="14" t="s">
        <v>1918</v>
      </c>
      <c r="C706" s="5">
        <v>9000000.0</v>
      </c>
      <c r="D706" s="5">
        <v>0.0</v>
      </c>
      <c r="E706" s="5">
        <f t="shared" si="1"/>
        <v>350672403.5</v>
      </c>
      <c r="F706" s="14" t="s">
        <v>306</v>
      </c>
      <c r="G706" s="14" t="s">
        <v>307</v>
      </c>
      <c r="H706" s="4" t="s">
        <v>308</v>
      </c>
      <c r="I706" s="16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8">
        <v>46233.0</v>
      </c>
      <c r="B707" s="14" t="s">
        <v>1923</v>
      </c>
      <c r="C707" s="5">
        <v>0.0</v>
      </c>
      <c r="D707" s="5">
        <v>399592.0</v>
      </c>
      <c r="E707" s="5">
        <f t="shared" si="1"/>
        <v>351071995.5</v>
      </c>
      <c r="F707" s="14" t="s">
        <v>21</v>
      </c>
      <c r="G707" s="14" t="s">
        <v>190</v>
      </c>
      <c r="H707" s="4" t="s">
        <v>191</v>
      </c>
      <c r="I707" s="16" t="s">
        <v>1925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8">
        <v>46234.0</v>
      </c>
      <c r="B708" s="14" t="s">
        <v>1926</v>
      </c>
      <c r="C708" s="5">
        <v>5365000.0</v>
      </c>
      <c r="D708" s="5">
        <v>0.0</v>
      </c>
      <c r="E708" s="5">
        <f t="shared" si="1"/>
        <v>345706995.5</v>
      </c>
      <c r="F708" s="14" t="s">
        <v>58</v>
      </c>
      <c r="G708" s="14" t="s">
        <v>59</v>
      </c>
      <c r="H708" s="4" t="s">
        <v>1250</v>
      </c>
      <c r="I708" s="16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8">
        <v>46236.0</v>
      </c>
      <c r="B709" s="14" t="s">
        <v>1490</v>
      </c>
      <c r="C709" s="5">
        <v>30000.0</v>
      </c>
      <c r="D709" s="5">
        <v>0.0</v>
      </c>
      <c r="E709" s="5">
        <f t="shared" si="1"/>
        <v>345676995.5</v>
      </c>
      <c r="F709" s="14" t="s">
        <v>43</v>
      </c>
      <c r="G709" s="14" t="s">
        <v>45</v>
      </c>
      <c r="I709" s="16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8">
        <v>46237.0</v>
      </c>
      <c r="B710" s="14" t="s">
        <v>1929</v>
      </c>
      <c r="C710" s="5">
        <v>1.5E7</v>
      </c>
      <c r="D710" s="5">
        <v>0.0</v>
      </c>
      <c r="E710" s="5">
        <f t="shared" si="1"/>
        <v>330676995.5</v>
      </c>
      <c r="F710" s="14" t="s">
        <v>21</v>
      </c>
      <c r="G710" s="14" t="s">
        <v>184</v>
      </c>
      <c r="H710" s="4" t="s">
        <v>1930</v>
      </c>
      <c r="I710" s="16" t="s">
        <v>44</v>
      </c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8">
        <v>46237.0</v>
      </c>
      <c r="B711" s="14" t="s">
        <v>1931</v>
      </c>
      <c r="C711" s="5">
        <v>2963455.0</v>
      </c>
      <c r="D711" s="5">
        <v>0.0</v>
      </c>
      <c r="E711" s="5">
        <f t="shared" si="1"/>
        <v>327713540.5</v>
      </c>
      <c r="F711" s="14" t="s">
        <v>58</v>
      </c>
      <c r="G711" s="14" t="s">
        <v>59</v>
      </c>
      <c r="H711" s="4" t="s">
        <v>722</v>
      </c>
      <c r="I711" s="16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8">
        <v>46237.0</v>
      </c>
      <c r="B712" s="14" t="s">
        <v>1932</v>
      </c>
      <c r="C712" s="5">
        <f>1850001+D713</f>
        <v>1887756</v>
      </c>
      <c r="D712" s="5">
        <v>0.0</v>
      </c>
      <c r="E712" s="5">
        <f t="shared" si="1"/>
        <v>325825784.5</v>
      </c>
      <c r="F712" s="14" t="s">
        <v>58</v>
      </c>
      <c r="G712" s="14" t="s">
        <v>59</v>
      </c>
      <c r="H712" s="4" t="s">
        <v>722</v>
      </c>
      <c r="I712" s="16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8">
        <v>46237.0</v>
      </c>
      <c r="B713" s="14" t="s">
        <v>1932</v>
      </c>
      <c r="C713" s="5">
        <v>0.0</v>
      </c>
      <c r="D713" s="5">
        <v>37755.0</v>
      </c>
      <c r="E713" s="5">
        <f t="shared" si="1"/>
        <v>325863539.5</v>
      </c>
      <c r="F713" s="14" t="s">
        <v>18</v>
      </c>
      <c r="G713" s="14" t="s">
        <v>194</v>
      </c>
      <c r="H713" s="4" t="s">
        <v>191</v>
      </c>
      <c r="I713" s="16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8">
        <v>46237.0</v>
      </c>
      <c r="B714" s="14" t="s">
        <v>1937</v>
      </c>
      <c r="C714" s="5">
        <v>490500.0</v>
      </c>
      <c r="D714" s="5">
        <v>0.0</v>
      </c>
      <c r="E714" s="5">
        <f t="shared" si="1"/>
        <v>325373039.5</v>
      </c>
      <c r="F714" s="14" t="s">
        <v>58</v>
      </c>
      <c r="G714" s="14" t="s">
        <v>59</v>
      </c>
      <c r="H714" s="4" t="s">
        <v>722</v>
      </c>
      <c r="I714" s="16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8">
        <v>46237.0</v>
      </c>
      <c r="B715" s="14" t="s">
        <v>1939</v>
      </c>
      <c r="C715" s="5">
        <f>800000+D716</f>
        <v>816327</v>
      </c>
      <c r="D715" s="5">
        <v>0.0</v>
      </c>
      <c r="E715" s="5">
        <f t="shared" si="1"/>
        <v>324556712.5</v>
      </c>
      <c r="F715" s="14" t="s">
        <v>58</v>
      </c>
      <c r="G715" s="14" t="s">
        <v>59</v>
      </c>
      <c r="H715" s="4" t="s">
        <v>838</v>
      </c>
      <c r="I715" s="16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8">
        <v>46237.0</v>
      </c>
      <c r="B716" s="14" t="s">
        <v>1939</v>
      </c>
      <c r="C716" s="5">
        <v>0.0</v>
      </c>
      <c r="D716" s="5">
        <v>16327.0</v>
      </c>
      <c r="E716" s="5">
        <f t="shared" si="1"/>
        <v>324573039.5</v>
      </c>
      <c r="F716" s="14" t="s">
        <v>18</v>
      </c>
      <c r="G716" s="14" t="s">
        <v>194</v>
      </c>
      <c r="H716" s="4" t="s">
        <v>191</v>
      </c>
      <c r="I716" s="16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8">
        <v>46238.0</v>
      </c>
      <c r="B717" s="14" t="s">
        <v>1944</v>
      </c>
      <c r="C717" s="5">
        <v>1.02675E8</v>
      </c>
      <c r="D717" s="5">
        <v>0.0</v>
      </c>
      <c r="E717" s="5">
        <f t="shared" si="1"/>
        <v>221898039.5</v>
      </c>
      <c r="F717" s="14" t="s">
        <v>24</v>
      </c>
      <c r="G717" s="14" t="s">
        <v>125</v>
      </c>
      <c r="H717" s="4" t="s">
        <v>946</v>
      </c>
      <c r="I717" s="16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8">
        <v>46240.0</v>
      </c>
      <c r="B718" s="14" t="s">
        <v>1947</v>
      </c>
      <c r="C718" s="5">
        <v>0.0</v>
      </c>
      <c r="D718" s="5">
        <v>1.0874853E7</v>
      </c>
      <c r="E718" s="5">
        <f t="shared" si="1"/>
        <v>232772892.5</v>
      </c>
      <c r="F718" s="14" t="s">
        <v>75</v>
      </c>
      <c r="G718" s="14" t="s">
        <v>76</v>
      </c>
      <c r="H718" s="4" t="s">
        <v>326</v>
      </c>
      <c r="I718" s="16" t="s">
        <v>1949</v>
      </c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8">
        <v>46240.0</v>
      </c>
      <c r="B719" s="14" t="s">
        <v>1951</v>
      </c>
      <c r="C719" s="5">
        <v>3.48E7</v>
      </c>
      <c r="D719" s="5">
        <v>0.0</v>
      </c>
      <c r="E719" s="5">
        <f t="shared" si="1"/>
        <v>197972892.5</v>
      </c>
      <c r="F719" s="14" t="s">
        <v>58</v>
      </c>
      <c r="G719" s="14" t="s">
        <v>59</v>
      </c>
      <c r="H719" s="4" t="s">
        <v>1250</v>
      </c>
      <c r="I719" s="16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8">
        <v>46242.0</v>
      </c>
      <c r="B720" s="14" t="s">
        <v>1953</v>
      </c>
      <c r="C720" s="5">
        <v>0.0</v>
      </c>
      <c r="D720" s="5">
        <v>538548.0</v>
      </c>
      <c r="E720" s="5">
        <f t="shared" si="1"/>
        <v>198511440.5</v>
      </c>
      <c r="F720" s="14" t="s">
        <v>93</v>
      </c>
      <c r="G720" s="14" t="s">
        <v>93</v>
      </c>
      <c r="H720" s="4" t="s">
        <v>346</v>
      </c>
      <c r="I720" s="16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8">
        <v>46243.0</v>
      </c>
      <c r="B721" s="14" t="s">
        <v>1955</v>
      </c>
      <c r="C721" s="5">
        <v>1000000.0</v>
      </c>
      <c r="D721" s="5">
        <v>0.0</v>
      </c>
      <c r="E721" s="5">
        <f t="shared" si="1"/>
        <v>197511440.5</v>
      </c>
      <c r="F721" s="14" t="s">
        <v>58</v>
      </c>
      <c r="G721" s="14" t="s">
        <v>59</v>
      </c>
      <c r="H721" s="4" t="s">
        <v>722</v>
      </c>
      <c r="I721" s="16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8">
        <v>46243.0</v>
      </c>
      <c r="B722" s="14" t="s">
        <v>1957</v>
      </c>
      <c r="C722" s="5">
        <v>500000.0</v>
      </c>
      <c r="D722" s="5">
        <v>0.0</v>
      </c>
      <c r="E722" s="5">
        <f t="shared" si="1"/>
        <v>197011440.5</v>
      </c>
      <c r="F722" s="14" t="s">
        <v>24</v>
      </c>
      <c r="G722" s="14" t="s">
        <v>125</v>
      </c>
      <c r="H722" s="4" t="s">
        <v>922</v>
      </c>
      <c r="I722" s="16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8">
        <v>46243.0</v>
      </c>
      <c r="B723" s="14" t="s">
        <v>1960</v>
      </c>
      <c r="C723" s="5">
        <v>2500000.0</v>
      </c>
      <c r="D723" s="5">
        <v>0.0</v>
      </c>
      <c r="E723" s="5">
        <f t="shared" si="1"/>
        <v>194511440.5</v>
      </c>
      <c r="F723" s="14" t="s">
        <v>24</v>
      </c>
      <c r="G723" s="14" t="s">
        <v>125</v>
      </c>
      <c r="H723" s="4" t="s">
        <v>922</v>
      </c>
      <c r="I723" s="16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8">
        <v>46243.0</v>
      </c>
      <c r="B724" s="14" t="s">
        <v>1962</v>
      </c>
      <c r="C724" s="5">
        <v>1500000.0</v>
      </c>
      <c r="D724" s="5">
        <v>0.0</v>
      </c>
      <c r="E724" s="5">
        <f t="shared" si="1"/>
        <v>193011440.5</v>
      </c>
      <c r="F724" s="14" t="s">
        <v>24</v>
      </c>
      <c r="G724" s="14" t="s">
        <v>125</v>
      </c>
      <c r="H724" s="4" t="s">
        <v>922</v>
      </c>
      <c r="I724" s="16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8">
        <v>46243.0</v>
      </c>
      <c r="B725" s="14" t="s">
        <v>1964</v>
      </c>
      <c r="C725" s="5">
        <v>1500000.0</v>
      </c>
      <c r="D725" s="5">
        <v>0.0</v>
      </c>
      <c r="E725" s="5">
        <f t="shared" si="1"/>
        <v>191511440.5</v>
      </c>
      <c r="F725" s="14" t="s">
        <v>24</v>
      </c>
      <c r="G725" s="14" t="s">
        <v>125</v>
      </c>
      <c r="H725" s="4" t="s">
        <v>922</v>
      </c>
      <c r="I725" s="16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8">
        <v>46243.0</v>
      </c>
      <c r="B726" s="14" t="s">
        <v>1967</v>
      </c>
      <c r="C726" s="5">
        <v>6000000.0</v>
      </c>
      <c r="D726" s="5">
        <v>0.0</v>
      </c>
      <c r="E726" s="5">
        <f t="shared" si="1"/>
        <v>185511440.5</v>
      </c>
      <c r="F726" s="14" t="s">
        <v>24</v>
      </c>
      <c r="G726" s="14" t="s">
        <v>125</v>
      </c>
      <c r="H726" s="4" t="s">
        <v>946</v>
      </c>
      <c r="I726" s="16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8">
        <v>46243.0</v>
      </c>
      <c r="B727" s="14" t="s">
        <v>1973</v>
      </c>
      <c r="C727" s="5">
        <f>16085000+D728</f>
        <v>16522755</v>
      </c>
      <c r="D727" s="5">
        <v>0.0</v>
      </c>
      <c r="E727" s="5">
        <f t="shared" si="1"/>
        <v>168988685.5</v>
      </c>
      <c r="F727" s="14" t="s">
        <v>58</v>
      </c>
      <c r="G727" s="14" t="s">
        <v>59</v>
      </c>
      <c r="H727" s="4" t="s">
        <v>1250</v>
      </c>
      <c r="I727" s="16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8">
        <v>46243.0</v>
      </c>
      <c r="B728" s="14" t="s">
        <v>1973</v>
      </c>
      <c r="C728" s="5">
        <v>0.0</v>
      </c>
      <c r="D728" s="5">
        <v>437755.0</v>
      </c>
      <c r="E728" s="5">
        <f t="shared" si="1"/>
        <v>169426440.5</v>
      </c>
      <c r="F728" s="14" t="s">
        <v>18</v>
      </c>
      <c r="G728" s="14" t="s">
        <v>194</v>
      </c>
      <c r="H728" s="4" t="s">
        <v>191</v>
      </c>
      <c r="I728" s="16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8">
        <v>46243.0</v>
      </c>
      <c r="B729" s="14" t="s">
        <v>1985</v>
      </c>
      <c r="C729" s="5">
        <v>2100000.0</v>
      </c>
      <c r="D729" s="5">
        <v>0.0</v>
      </c>
      <c r="E729" s="5">
        <f t="shared" si="1"/>
        <v>167326440.5</v>
      </c>
      <c r="F729" s="14" t="s">
        <v>58</v>
      </c>
      <c r="G729" s="14" t="s">
        <v>59</v>
      </c>
      <c r="H729" s="4" t="s">
        <v>1250</v>
      </c>
      <c r="I729" s="16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8">
        <v>46243.0</v>
      </c>
      <c r="B730" s="14" t="s">
        <v>543</v>
      </c>
      <c r="C730" s="5">
        <v>9006130.0</v>
      </c>
      <c r="D730" s="5">
        <v>0.0</v>
      </c>
      <c r="E730" s="5">
        <f t="shared" si="1"/>
        <v>158320310.5</v>
      </c>
      <c r="F730" s="14" t="s">
        <v>21</v>
      </c>
      <c r="G730" s="14" t="s">
        <v>116</v>
      </c>
      <c r="I730" s="16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8">
        <v>46243.0</v>
      </c>
      <c r="B731" s="14" t="s">
        <v>1993</v>
      </c>
      <c r="C731" s="5">
        <v>0.0</v>
      </c>
      <c r="D731" s="5">
        <v>149473.0</v>
      </c>
      <c r="E731" s="5">
        <f t="shared" si="1"/>
        <v>158469783.5</v>
      </c>
      <c r="F731" s="14" t="s">
        <v>21</v>
      </c>
      <c r="G731" s="14" t="s">
        <v>41</v>
      </c>
      <c r="H731" s="4" t="s">
        <v>1813</v>
      </c>
      <c r="I731" s="16" t="s">
        <v>44</v>
      </c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8">
        <v>46244.0</v>
      </c>
      <c r="B732" s="14" t="s">
        <v>1999</v>
      </c>
      <c r="C732" s="5">
        <v>0.0</v>
      </c>
      <c r="D732" s="5">
        <v>248314.0</v>
      </c>
      <c r="E732" s="5">
        <f t="shared" si="1"/>
        <v>158718097.5</v>
      </c>
      <c r="F732" s="14" t="s">
        <v>63</v>
      </c>
      <c r="G732" s="14" t="s">
        <v>2000</v>
      </c>
      <c r="H732" s="14"/>
      <c r="I732" s="16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8">
        <v>46245.0</v>
      </c>
      <c r="B733" s="14" t="s">
        <v>2003</v>
      </c>
      <c r="C733" s="5">
        <v>1.25E8</v>
      </c>
      <c r="D733" s="5">
        <v>0.0</v>
      </c>
      <c r="E733" s="5">
        <f t="shared" si="1"/>
        <v>33718097.48</v>
      </c>
      <c r="F733" s="14" t="s">
        <v>24</v>
      </c>
      <c r="G733" s="14" t="s">
        <v>125</v>
      </c>
      <c r="H733" s="4" t="s">
        <v>946</v>
      </c>
      <c r="I733" s="16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8">
        <v>46245.0</v>
      </c>
      <c r="B734" s="14" t="s">
        <v>2007</v>
      </c>
      <c r="C734" s="5">
        <v>8718050.0</v>
      </c>
      <c r="D734" s="5">
        <v>0.0</v>
      </c>
      <c r="E734" s="5">
        <f t="shared" si="1"/>
        <v>25000047.48</v>
      </c>
      <c r="F734" s="14" t="s">
        <v>58</v>
      </c>
      <c r="G734" s="14" t="s">
        <v>59</v>
      </c>
      <c r="H734" s="4" t="s">
        <v>722</v>
      </c>
      <c r="I734" s="16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8">
        <v>46245.0</v>
      </c>
      <c r="B735" s="14" t="s">
        <v>2010</v>
      </c>
      <c r="C735" s="5">
        <v>6897000.0</v>
      </c>
      <c r="D735" s="5">
        <v>0.0</v>
      </c>
      <c r="E735" s="5">
        <f t="shared" si="1"/>
        <v>18103047.48</v>
      </c>
      <c r="F735" s="14" t="s">
        <v>58</v>
      </c>
      <c r="G735" s="14" t="s">
        <v>59</v>
      </c>
      <c r="H735" s="4" t="s">
        <v>722</v>
      </c>
      <c r="I735" s="16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8">
        <v>46245.0</v>
      </c>
      <c r="B736" s="14" t="s">
        <v>2015</v>
      </c>
      <c r="C736" s="5">
        <f>14000000+D737</f>
        <v>14285714</v>
      </c>
      <c r="D736" s="5">
        <v>0.0</v>
      </c>
      <c r="E736" s="5">
        <f t="shared" si="1"/>
        <v>3817333.48</v>
      </c>
      <c r="F736" s="14" t="s">
        <v>24</v>
      </c>
      <c r="G736" s="14" t="s">
        <v>125</v>
      </c>
      <c r="H736" s="4" t="s">
        <v>946</v>
      </c>
      <c r="I736" s="16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8">
        <v>46245.0</v>
      </c>
      <c r="B737" s="14" t="s">
        <v>2015</v>
      </c>
      <c r="C737" s="5">
        <v>0.0</v>
      </c>
      <c r="D737" s="5">
        <v>285714.0</v>
      </c>
      <c r="E737" s="5">
        <f t="shared" si="1"/>
        <v>4103047.48</v>
      </c>
      <c r="F737" s="14" t="s">
        <v>18</v>
      </c>
      <c r="G737" s="14" t="s">
        <v>194</v>
      </c>
      <c r="H737" s="4" t="s">
        <v>191</v>
      </c>
      <c r="I737" s="16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8">
        <v>46245.0</v>
      </c>
      <c r="B738" s="14" t="s">
        <v>2026</v>
      </c>
      <c r="C738" s="5">
        <f>775766-C739+D740</f>
        <v>711712</v>
      </c>
      <c r="D738" s="5">
        <v>0.0</v>
      </c>
      <c r="E738" s="5">
        <f t="shared" si="1"/>
        <v>3391335.48</v>
      </c>
      <c r="F738" s="14" t="s">
        <v>50</v>
      </c>
      <c r="G738" s="14" t="s">
        <v>395</v>
      </c>
      <c r="H738" s="4" t="s">
        <v>858</v>
      </c>
      <c r="I738" s="16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8">
        <v>46245.0</v>
      </c>
      <c r="B739" s="14" t="s">
        <v>2026</v>
      </c>
      <c r="C739" s="5">
        <v>78288.0</v>
      </c>
      <c r="D739" s="5">
        <v>0.0</v>
      </c>
      <c r="E739" s="5">
        <f t="shared" si="1"/>
        <v>3313047.48</v>
      </c>
      <c r="F739" s="4" t="s">
        <v>21</v>
      </c>
      <c r="G739" s="4" t="s">
        <v>184</v>
      </c>
      <c r="H739" s="4" t="s">
        <v>1808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8">
        <v>46245.0</v>
      </c>
      <c r="B740" s="14" t="s">
        <v>2026</v>
      </c>
      <c r="C740" s="5">
        <v>0.0</v>
      </c>
      <c r="D740" s="5">
        <v>14234.0</v>
      </c>
      <c r="E740" s="5">
        <f t="shared" si="1"/>
        <v>3327281.48</v>
      </c>
      <c r="F740" s="14" t="s">
        <v>18</v>
      </c>
      <c r="G740" s="14" t="s">
        <v>194</v>
      </c>
      <c r="H740" s="4" t="s">
        <v>191</v>
      </c>
      <c r="I740" s="16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8">
        <v>46245.0</v>
      </c>
      <c r="B741" s="14" t="s">
        <v>457</v>
      </c>
      <c r="C741" s="5">
        <v>0.0</v>
      </c>
      <c r="D741" s="5">
        <v>1.0E8</v>
      </c>
      <c r="E741" s="5">
        <f t="shared" si="1"/>
        <v>103327281.5</v>
      </c>
      <c r="F741" s="14" t="s">
        <v>21</v>
      </c>
      <c r="G741" s="14" t="s">
        <v>190</v>
      </c>
      <c r="I741" s="16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8">
        <v>46245.0</v>
      </c>
      <c r="B742" s="14" t="s">
        <v>2041</v>
      </c>
      <c r="C742" s="5">
        <f>5014000-C743+D744</f>
        <v>4600000</v>
      </c>
      <c r="D742" s="5">
        <v>0.0</v>
      </c>
      <c r="E742" s="5">
        <f t="shared" si="1"/>
        <v>98727281.48</v>
      </c>
      <c r="F742" s="14" t="s">
        <v>50</v>
      </c>
      <c r="G742" s="14" t="s">
        <v>245</v>
      </c>
      <c r="H742" s="4" t="s">
        <v>246</v>
      </c>
      <c r="I742" s="16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8">
        <v>46245.0</v>
      </c>
      <c r="B743" s="14" t="s">
        <v>2041</v>
      </c>
      <c r="C743" s="5">
        <v>506000.0</v>
      </c>
      <c r="D743" s="5">
        <v>0.0</v>
      </c>
      <c r="E743" s="5">
        <f t="shared" si="1"/>
        <v>98221281.48</v>
      </c>
      <c r="F743" s="4" t="s">
        <v>21</v>
      </c>
      <c r="G743" s="4" t="s">
        <v>184</v>
      </c>
      <c r="H743" s="4" t="s">
        <v>1808</v>
      </c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8">
        <v>46245.0</v>
      </c>
      <c r="B744" s="14" t="s">
        <v>2041</v>
      </c>
      <c r="C744" s="5">
        <v>0.0</v>
      </c>
      <c r="D744" s="5">
        <v>92000.0</v>
      </c>
      <c r="E744" s="5">
        <f t="shared" si="1"/>
        <v>98313281.48</v>
      </c>
      <c r="F744" s="15" t="s">
        <v>18</v>
      </c>
      <c r="G744" s="15" t="s">
        <v>194</v>
      </c>
      <c r="H744" s="4" t="s">
        <v>191</v>
      </c>
      <c r="I744" s="4" t="s">
        <v>254</v>
      </c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8">
        <v>46245.0</v>
      </c>
      <c r="B745" s="14" t="s">
        <v>2050</v>
      </c>
      <c r="C745" s="5">
        <v>3.732E7</v>
      </c>
      <c r="D745" s="5">
        <v>0.0</v>
      </c>
      <c r="E745" s="5">
        <f t="shared" si="1"/>
        <v>60993281.48</v>
      </c>
      <c r="F745" s="14" t="s">
        <v>58</v>
      </c>
      <c r="G745" s="14" t="s">
        <v>59</v>
      </c>
      <c r="H745" s="4" t="s">
        <v>1250</v>
      </c>
      <c r="I745" s="16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8">
        <v>46245.0</v>
      </c>
      <c r="B746" s="14" t="s">
        <v>2052</v>
      </c>
      <c r="C746" s="5">
        <v>6500000.0</v>
      </c>
      <c r="D746" s="5">
        <v>0.0</v>
      </c>
      <c r="E746" s="5">
        <f t="shared" si="1"/>
        <v>54493281.48</v>
      </c>
      <c r="F746" s="14" t="s">
        <v>24</v>
      </c>
      <c r="G746" s="14" t="s">
        <v>125</v>
      </c>
      <c r="H746" s="4" t="s">
        <v>946</v>
      </c>
      <c r="I746" s="16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8">
        <v>46245.0</v>
      </c>
      <c r="B747" s="14" t="s">
        <v>2053</v>
      </c>
      <c r="C747" s="5">
        <v>1.2E7</v>
      </c>
      <c r="D747" s="5">
        <v>0.0</v>
      </c>
      <c r="E747" s="5">
        <f t="shared" si="1"/>
        <v>42493281.48</v>
      </c>
      <c r="F747" s="14" t="s">
        <v>24</v>
      </c>
      <c r="G747" s="14" t="s">
        <v>125</v>
      </c>
      <c r="H747" s="4" t="s">
        <v>946</v>
      </c>
      <c r="I747" s="16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8">
        <v>46245.0</v>
      </c>
      <c r="B748" s="14" t="s">
        <v>2056</v>
      </c>
      <c r="C748" s="5">
        <v>9746722.0</v>
      </c>
      <c r="D748" s="5">
        <v>0.0</v>
      </c>
      <c r="E748" s="5">
        <f t="shared" si="1"/>
        <v>32746559.48</v>
      </c>
      <c r="F748" s="14" t="s">
        <v>58</v>
      </c>
      <c r="G748" s="14" t="s">
        <v>59</v>
      </c>
      <c r="H748" s="4" t="s">
        <v>722</v>
      </c>
      <c r="I748" s="16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8">
        <v>46245.0</v>
      </c>
      <c r="B749" s="14" t="s">
        <v>457</v>
      </c>
      <c r="C749" s="5">
        <v>0.0</v>
      </c>
      <c r="D749" s="5">
        <v>1.0E7</v>
      </c>
      <c r="E749" s="5">
        <f t="shared" si="1"/>
        <v>42746559.48</v>
      </c>
      <c r="F749" s="14" t="s">
        <v>21</v>
      </c>
      <c r="G749" s="14" t="s">
        <v>190</v>
      </c>
      <c r="I749" s="16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8">
        <v>46245.0</v>
      </c>
      <c r="B750" s="14" t="s">
        <v>2061</v>
      </c>
      <c r="C750" s="5">
        <v>2000000.0</v>
      </c>
      <c r="D750" s="5">
        <v>0.0</v>
      </c>
      <c r="E750" s="5">
        <f t="shared" si="1"/>
        <v>40746559.48</v>
      </c>
      <c r="F750" s="14" t="s">
        <v>50</v>
      </c>
      <c r="G750" s="14" t="s">
        <v>2063</v>
      </c>
      <c r="I750" s="16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8">
        <v>46245.0</v>
      </c>
      <c r="B751" s="14" t="s">
        <v>2066</v>
      </c>
      <c r="C751" s="5">
        <v>6000000.0</v>
      </c>
      <c r="D751" s="5">
        <v>0.0</v>
      </c>
      <c r="E751" s="5">
        <f t="shared" si="1"/>
        <v>34746559.48</v>
      </c>
      <c r="F751" s="14" t="s">
        <v>21</v>
      </c>
      <c r="G751" s="14" t="s">
        <v>184</v>
      </c>
      <c r="H751" s="4" t="s">
        <v>2068</v>
      </c>
      <c r="I751" s="16" t="s">
        <v>539</v>
      </c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8">
        <v>46245.0</v>
      </c>
      <c r="B752" s="14" t="s">
        <v>2070</v>
      </c>
      <c r="C752" s="5">
        <v>2.405E7</v>
      </c>
      <c r="D752" s="5">
        <v>0.0</v>
      </c>
      <c r="E752" s="5">
        <f t="shared" si="1"/>
        <v>10696559.48</v>
      </c>
      <c r="F752" s="14" t="s">
        <v>24</v>
      </c>
      <c r="G752" s="14" t="s">
        <v>669</v>
      </c>
      <c r="H752" s="4" t="s">
        <v>2072</v>
      </c>
      <c r="I752" s="16" t="s">
        <v>44</v>
      </c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8">
        <v>46245.0</v>
      </c>
      <c r="B753" s="14" t="s">
        <v>2075</v>
      </c>
      <c r="C753" s="5">
        <v>1.0E7</v>
      </c>
      <c r="D753" s="5">
        <v>0.0</v>
      </c>
      <c r="E753" s="5">
        <f t="shared" si="1"/>
        <v>696559.48</v>
      </c>
      <c r="F753" s="14" t="s">
        <v>21</v>
      </c>
      <c r="G753" s="14" t="s">
        <v>184</v>
      </c>
      <c r="H753" s="4" t="s">
        <v>2077</v>
      </c>
      <c r="I753" s="16" t="s">
        <v>451</v>
      </c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8">
        <v>46245.0</v>
      </c>
      <c r="B754" s="14" t="s">
        <v>2080</v>
      </c>
      <c r="C754" s="5">
        <v>0.0</v>
      </c>
      <c r="D754" s="5">
        <v>460000.0</v>
      </c>
      <c r="E754" s="5">
        <f t="shared" si="1"/>
        <v>1156559.48</v>
      </c>
      <c r="F754" s="15" t="s">
        <v>93</v>
      </c>
      <c r="G754" s="15" t="s">
        <v>93</v>
      </c>
      <c r="H754" s="4" t="s">
        <v>21</v>
      </c>
      <c r="I754" s="16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8">
        <v>46245.0</v>
      </c>
      <c r="B755" s="14" t="s">
        <v>2085</v>
      </c>
      <c r="C755" s="5">
        <v>0.0</v>
      </c>
      <c r="D755" s="5">
        <v>1.035E8</v>
      </c>
      <c r="E755" s="5">
        <f t="shared" si="1"/>
        <v>104656559.5</v>
      </c>
      <c r="F755" s="15" t="s">
        <v>93</v>
      </c>
      <c r="G755" s="15" t="s">
        <v>93</v>
      </c>
      <c r="H755" s="4" t="s">
        <v>21</v>
      </c>
      <c r="I755" s="16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8">
        <v>46245.0</v>
      </c>
      <c r="B756" s="14" t="s">
        <v>2088</v>
      </c>
      <c r="C756" s="5">
        <v>0.0</v>
      </c>
      <c r="D756" s="5">
        <v>3.5E7</v>
      </c>
      <c r="E756" s="5">
        <f t="shared" si="1"/>
        <v>139656559.5</v>
      </c>
      <c r="F756" s="15" t="s">
        <v>93</v>
      </c>
      <c r="G756" s="15" t="s">
        <v>93</v>
      </c>
      <c r="H756" s="4" t="s">
        <v>21</v>
      </c>
      <c r="I756" s="16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8">
        <v>46245.0</v>
      </c>
      <c r="B757" s="14" t="s">
        <v>2089</v>
      </c>
      <c r="C757" s="5">
        <v>0.0</v>
      </c>
      <c r="D757" s="5">
        <v>3.655E7</v>
      </c>
      <c r="E757" s="5">
        <f t="shared" si="1"/>
        <v>176206559.5</v>
      </c>
      <c r="F757" s="15" t="s">
        <v>93</v>
      </c>
      <c r="G757" s="15" t="s">
        <v>93</v>
      </c>
      <c r="H757" s="4" t="s">
        <v>21</v>
      </c>
      <c r="I757" s="16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8">
        <v>46245.0</v>
      </c>
      <c r="B758" s="14" t="s">
        <v>2091</v>
      </c>
      <c r="C758" s="5">
        <v>0.0</v>
      </c>
      <c r="D758" s="5">
        <v>5300000.0</v>
      </c>
      <c r="E758" s="5">
        <f t="shared" si="1"/>
        <v>181506559.5</v>
      </c>
      <c r="F758" s="15" t="s">
        <v>93</v>
      </c>
      <c r="G758" s="15" t="s">
        <v>93</v>
      </c>
      <c r="H758" s="4" t="s">
        <v>21</v>
      </c>
      <c r="I758" s="16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8">
        <v>46245.0</v>
      </c>
      <c r="B759" s="14" t="s">
        <v>2094</v>
      </c>
      <c r="C759" s="5">
        <v>1250000.0</v>
      </c>
      <c r="D759" s="5">
        <v>0.0</v>
      </c>
      <c r="E759" s="5">
        <f t="shared" si="1"/>
        <v>180256559.5</v>
      </c>
      <c r="F759" s="14" t="s">
        <v>24</v>
      </c>
      <c r="G759" s="14" t="s">
        <v>125</v>
      </c>
      <c r="H759" s="4" t="s">
        <v>2096</v>
      </c>
      <c r="I759" s="16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8">
        <v>46245.0</v>
      </c>
      <c r="B760" s="14" t="s">
        <v>2098</v>
      </c>
      <c r="C760" s="5">
        <v>1250000.0</v>
      </c>
      <c r="D760" s="5">
        <v>0.0</v>
      </c>
      <c r="E760" s="5">
        <f t="shared" si="1"/>
        <v>179006559.5</v>
      </c>
      <c r="F760" s="14" t="s">
        <v>24</v>
      </c>
      <c r="G760" s="14" t="s">
        <v>125</v>
      </c>
      <c r="H760" s="4" t="s">
        <v>2096</v>
      </c>
      <c r="I760" s="16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8">
        <v>46245.0</v>
      </c>
      <c r="B761" s="14" t="s">
        <v>2103</v>
      </c>
      <c r="C761" s="5">
        <v>1250000.0</v>
      </c>
      <c r="D761" s="5">
        <v>0.0</v>
      </c>
      <c r="E761" s="5">
        <f t="shared" si="1"/>
        <v>177756559.5</v>
      </c>
      <c r="F761" s="14" t="s">
        <v>24</v>
      </c>
      <c r="G761" s="14" t="s">
        <v>125</v>
      </c>
      <c r="H761" s="4" t="s">
        <v>2096</v>
      </c>
      <c r="I761" s="16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8">
        <v>46245.0</v>
      </c>
      <c r="B762" s="14" t="s">
        <v>2105</v>
      </c>
      <c r="C762" s="5">
        <v>5000000.0</v>
      </c>
      <c r="D762" s="5">
        <v>0.0</v>
      </c>
      <c r="E762" s="5">
        <f t="shared" si="1"/>
        <v>172756559.5</v>
      </c>
      <c r="F762" s="14" t="s">
        <v>24</v>
      </c>
      <c r="G762" s="14" t="s">
        <v>125</v>
      </c>
      <c r="H762" s="4" t="s">
        <v>2096</v>
      </c>
      <c r="I762" s="16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8">
        <v>46245.0</v>
      </c>
      <c r="B763" s="14" t="s">
        <v>2108</v>
      </c>
      <c r="C763" s="5">
        <v>1760000.0</v>
      </c>
      <c r="D763" s="5">
        <v>0.0</v>
      </c>
      <c r="E763" s="5">
        <f t="shared" si="1"/>
        <v>170996559.5</v>
      </c>
      <c r="F763" s="14" t="s">
        <v>58</v>
      </c>
      <c r="G763" s="14" t="s">
        <v>59</v>
      </c>
      <c r="H763" s="4" t="s">
        <v>1250</v>
      </c>
      <c r="I763" s="16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8">
        <v>46245.0</v>
      </c>
      <c r="B764" s="14" t="s">
        <v>2112</v>
      </c>
      <c r="C764" s="5">
        <v>8.2325E7</v>
      </c>
      <c r="D764" s="5">
        <v>0.0</v>
      </c>
      <c r="E764" s="5">
        <f t="shared" si="1"/>
        <v>88671559.48</v>
      </c>
      <c r="F764" s="14" t="s">
        <v>24</v>
      </c>
      <c r="G764" s="14" t="s">
        <v>125</v>
      </c>
      <c r="H764" s="4" t="s">
        <v>946</v>
      </c>
      <c r="I764" s="16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8">
        <v>46245.0</v>
      </c>
      <c r="B765" s="14" t="s">
        <v>2112</v>
      </c>
      <c r="C765" s="5">
        <v>2.035E7</v>
      </c>
      <c r="D765" s="5">
        <v>0.0</v>
      </c>
      <c r="E765" s="5">
        <f t="shared" si="1"/>
        <v>68321559.48</v>
      </c>
      <c r="F765" s="4" t="s">
        <v>21</v>
      </c>
      <c r="G765" s="4" t="s">
        <v>184</v>
      </c>
      <c r="H765" s="4" t="s">
        <v>2115</v>
      </c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8">
        <v>46245.0</v>
      </c>
      <c r="B766" s="14" t="s">
        <v>2112</v>
      </c>
      <c r="C766" s="5">
        <v>0.0</v>
      </c>
      <c r="D766" s="5">
        <f>C764+C765-98050000</f>
        <v>4625000</v>
      </c>
      <c r="E766" s="5">
        <f t="shared" si="1"/>
        <v>72946559.48</v>
      </c>
      <c r="F766" s="14" t="s">
        <v>18</v>
      </c>
      <c r="G766" s="14" t="s">
        <v>194</v>
      </c>
      <c r="H766" s="4" t="s">
        <v>191</v>
      </c>
      <c r="I766" s="16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8">
        <v>46245.0</v>
      </c>
      <c r="B767" s="14" t="s">
        <v>2126</v>
      </c>
      <c r="C767" s="5">
        <v>2176566.0</v>
      </c>
      <c r="D767" s="5">
        <v>0.0</v>
      </c>
      <c r="E767" s="5">
        <f t="shared" si="1"/>
        <v>70769993.48</v>
      </c>
      <c r="F767" s="14" t="s">
        <v>50</v>
      </c>
      <c r="G767" s="14" t="s">
        <v>2128</v>
      </c>
      <c r="I767" s="16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8">
        <v>46245.0</v>
      </c>
      <c r="B768" s="14" t="s">
        <v>2130</v>
      </c>
      <c r="C768" s="5">
        <v>1.0E7</v>
      </c>
      <c r="D768" s="5">
        <v>0.0</v>
      </c>
      <c r="E768" s="5">
        <f t="shared" si="1"/>
        <v>60769993.48</v>
      </c>
      <c r="F768" s="14" t="s">
        <v>21</v>
      </c>
      <c r="G768" s="14" t="s">
        <v>184</v>
      </c>
      <c r="H768" s="4" t="s">
        <v>2131</v>
      </c>
      <c r="I768" s="16" t="s">
        <v>203</v>
      </c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8">
        <v>46247.0</v>
      </c>
      <c r="B769" s="14" t="s">
        <v>2133</v>
      </c>
      <c r="C769" s="5">
        <v>2.0E7</v>
      </c>
      <c r="D769" s="5">
        <v>0.0</v>
      </c>
      <c r="E769" s="5">
        <f t="shared" si="1"/>
        <v>40769993.48</v>
      </c>
      <c r="F769" s="14" t="s">
        <v>21</v>
      </c>
      <c r="G769" s="14" t="s">
        <v>184</v>
      </c>
      <c r="H769" s="4" t="s">
        <v>2137</v>
      </c>
      <c r="I769" s="16" t="s">
        <v>203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8">
        <v>46247.0</v>
      </c>
      <c r="B770" s="14" t="s">
        <v>2140</v>
      </c>
      <c r="C770" s="5">
        <v>0.0</v>
      </c>
      <c r="D770" s="5">
        <v>169950.0</v>
      </c>
      <c r="E770" s="5">
        <f t="shared" si="1"/>
        <v>40939943.48</v>
      </c>
      <c r="F770" s="14" t="s">
        <v>50</v>
      </c>
      <c r="G770" s="14" t="s">
        <v>708</v>
      </c>
      <c r="H770" s="14" t="s">
        <v>346</v>
      </c>
      <c r="I770" s="16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8">
        <v>46248.0</v>
      </c>
      <c r="B771" s="14" t="s">
        <v>753</v>
      </c>
      <c r="C771" s="5">
        <v>0.0</v>
      </c>
      <c r="D771" s="5">
        <v>2.5E8</v>
      </c>
      <c r="E771" s="5">
        <f t="shared" si="1"/>
        <v>290939943.5</v>
      </c>
      <c r="F771" s="14" t="s">
        <v>21</v>
      </c>
      <c r="G771" s="14" t="s">
        <v>169</v>
      </c>
      <c r="H771" s="14"/>
      <c r="I771" s="16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8">
        <v>46248.0</v>
      </c>
      <c r="B772" s="14" t="s">
        <v>2144</v>
      </c>
      <c r="C772" s="5">
        <v>1.65E8</v>
      </c>
      <c r="D772" s="5">
        <v>0.0</v>
      </c>
      <c r="E772" s="5">
        <f t="shared" si="1"/>
        <v>125939943.5</v>
      </c>
      <c r="F772" s="14" t="s">
        <v>21</v>
      </c>
      <c r="G772" s="14" t="s">
        <v>943</v>
      </c>
      <c r="H772" s="14" t="s">
        <v>2146</v>
      </c>
      <c r="I772" s="16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8">
        <v>46248.0</v>
      </c>
      <c r="B773" s="14" t="s">
        <v>2148</v>
      </c>
      <c r="C773" s="5">
        <v>2500.0</v>
      </c>
      <c r="D773" s="5">
        <v>0.0</v>
      </c>
      <c r="E773" s="5">
        <f t="shared" si="1"/>
        <v>125937443.5</v>
      </c>
      <c r="F773" s="14" t="s">
        <v>43</v>
      </c>
      <c r="G773" s="14" t="s">
        <v>45</v>
      </c>
      <c r="H773" s="14"/>
      <c r="I773" s="16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8">
        <v>46253.0</v>
      </c>
      <c r="B774" s="14" t="s">
        <v>2150</v>
      </c>
      <c r="C774" s="5">
        <v>0.0</v>
      </c>
      <c r="D774" s="5">
        <v>2.5E8</v>
      </c>
      <c r="E774" s="5">
        <f t="shared" si="1"/>
        <v>375937443.5</v>
      </c>
      <c r="F774" s="14" t="s">
        <v>21</v>
      </c>
      <c r="G774" s="14" t="s">
        <v>190</v>
      </c>
      <c r="H774" s="14"/>
      <c r="I774" s="16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8">
        <v>46253.0</v>
      </c>
      <c r="B775" s="14" t="s">
        <v>2153</v>
      </c>
      <c r="C775" s="5">
        <v>1000000.0</v>
      </c>
      <c r="D775" s="5">
        <v>0.0</v>
      </c>
      <c r="E775" s="5">
        <f t="shared" si="1"/>
        <v>374937443.5</v>
      </c>
      <c r="F775" s="14" t="s">
        <v>24</v>
      </c>
      <c r="G775" s="14" t="s">
        <v>125</v>
      </c>
      <c r="H775" s="14" t="s">
        <v>946</v>
      </c>
      <c r="I775" s="16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8">
        <v>46253.0</v>
      </c>
      <c r="B776" s="14" t="s">
        <v>2154</v>
      </c>
      <c r="C776" s="5">
        <v>2500000.0</v>
      </c>
      <c r="D776" s="5">
        <v>0.0</v>
      </c>
      <c r="E776" s="5">
        <f t="shared" si="1"/>
        <v>372437443.5</v>
      </c>
      <c r="F776" s="14" t="s">
        <v>24</v>
      </c>
      <c r="G776" s="14" t="s">
        <v>125</v>
      </c>
      <c r="H776" s="14" t="s">
        <v>946</v>
      </c>
      <c r="I776" s="16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8">
        <v>46253.0</v>
      </c>
      <c r="B777" s="14" t="s">
        <v>2156</v>
      </c>
      <c r="C777" s="5">
        <v>3750000.0</v>
      </c>
      <c r="D777" s="5">
        <v>0.0</v>
      </c>
      <c r="E777" s="5">
        <f t="shared" si="1"/>
        <v>368687443.5</v>
      </c>
      <c r="F777" s="14" t="s">
        <v>24</v>
      </c>
      <c r="G777" s="14" t="s">
        <v>125</v>
      </c>
      <c r="H777" s="14" t="s">
        <v>946</v>
      </c>
      <c r="I777" s="16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8">
        <v>46253.0</v>
      </c>
      <c r="B778" s="14" t="s">
        <v>2158</v>
      </c>
      <c r="C778" s="5">
        <v>5800000.0</v>
      </c>
      <c r="D778" s="5">
        <v>0.0</v>
      </c>
      <c r="E778" s="5">
        <f t="shared" si="1"/>
        <v>362887443.5</v>
      </c>
      <c r="F778" s="14" t="s">
        <v>24</v>
      </c>
      <c r="G778" s="14" t="s">
        <v>125</v>
      </c>
      <c r="H778" s="14" t="s">
        <v>922</v>
      </c>
      <c r="I778" s="16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8">
        <v>46253.0</v>
      </c>
      <c r="B779" s="14" t="s">
        <v>2161</v>
      </c>
      <c r="C779" s="5">
        <v>7500000.0</v>
      </c>
      <c r="D779" s="5">
        <v>0.0</v>
      </c>
      <c r="E779" s="5">
        <f t="shared" si="1"/>
        <v>355387443.5</v>
      </c>
      <c r="F779" s="14" t="s">
        <v>24</v>
      </c>
      <c r="G779" s="14" t="s">
        <v>125</v>
      </c>
      <c r="H779" s="14" t="s">
        <v>946</v>
      </c>
      <c r="I779" s="16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8">
        <v>46253.0</v>
      </c>
      <c r="B780" s="14" t="s">
        <v>2163</v>
      </c>
      <c r="C780" s="5">
        <v>3.5E7</v>
      </c>
      <c r="D780" s="5">
        <v>0.0</v>
      </c>
      <c r="E780" s="5">
        <f t="shared" si="1"/>
        <v>320387443.5</v>
      </c>
      <c r="F780" s="14" t="s">
        <v>24</v>
      </c>
      <c r="G780" s="14" t="s">
        <v>125</v>
      </c>
      <c r="H780" s="14" t="s">
        <v>946</v>
      </c>
      <c r="I780" s="16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8">
        <v>46253.0</v>
      </c>
      <c r="B781" s="14" t="s">
        <v>2165</v>
      </c>
      <c r="C781" s="5">
        <v>925000.0</v>
      </c>
      <c r="D781" s="5">
        <v>0.0</v>
      </c>
      <c r="E781" s="5">
        <f t="shared" si="1"/>
        <v>319462443.5</v>
      </c>
      <c r="F781" s="14" t="s">
        <v>24</v>
      </c>
      <c r="G781" s="14" t="s">
        <v>125</v>
      </c>
      <c r="H781" s="14" t="s">
        <v>946</v>
      </c>
      <c r="I781" s="16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8">
        <v>46253.0</v>
      </c>
      <c r="B782" s="14" t="s">
        <v>2168</v>
      </c>
      <c r="C782" s="5">
        <v>3320860.0</v>
      </c>
      <c r="D782" s="5">
        <v>0.0</v>
      </c>
      <c r="E782" s="5">
        <f t="shared" si="1"/>
        <v>316141583.5</v>
      </c>
      <c r="F782" s="14" t="s">
        <v>58</v>
      </c>
      <c r="G782" s="14" t="s">
        <v>59</v>
      </c>
      <c r="H782" s="14" t="s">
        <v>722</v>
      </c>
      <c r="I782" s="16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8">
        <v>46253.0</v>
      </c>
      <c r="B783" s="14" t="s">
        <v>2169</v>
      </c>
      <c r="C783" s="5">
        <v>865590.0</v>
      </c>
      <c r="D783" s="5">
        <v>0.0</v>
      </c>
      <c r="E783" s="5">
        <f t="shared" si="1"/>
        <v>315275993.5</v>
      </c>
      <c r="F783" s="14" t="s">
        <v>58</v>
      </c>
      <c r="G783" s="14" t="s">
        <v>59</v>
      </c>
      <c r="H783" s="14" t="s">
        <v>722</v>
      </c>
      <c r="I783" s="16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8">
        <v>46253.0</v>
      </c>
      <c r="B784" s="14" t="s">
        <v>2172</v>
      </c>
      <c r="C784" s="5">
        <f>27468000-C785+D786</f>
        <v>25200000</v>
      </c>
      <c r="D784" s="5">
        <v>0.0</v>
      </c>
      <c r="E784" s="5">
        <f t="shared" si="1"/>
        <v>290075993.5</v>
      </c>
      <c r="F784" s="14" t="s">
        <v>24</v>
      </c>
      <c r="G784" s="14" t="s">
        <v>125</v>
      </c>
      <c r="H784" s="14" t="s">
        <v>922</v>
      </c>
      <c r="I784" s="16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8">
        <v>46253.0</v>
      </c>
      <c r="B785" s="14" t="s">
        <v>2172</v>
      </c>
      <c r="C785" s="5">
        <v>2772000.0</v>
      </c>
      <c r="D785" s="5">
        <v>0.0</v>
      </c>
      <c r="E785" s="5">
        <f t="shared" si="1"/>
        <v>287303993.5</v>
      </c>
      <c r="F785" s="14" t="s">
        <v>24</v>
      </c>
      <c r="G785" s="14" t="s">
        <v>1787</v>
      </c>
      <c r="H785" s="14" t="s">
        <v>1788</v>
      </c>
      <c r="I785" s="16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8">
        <v>46253.0</v>
      </c>
      <c r="B786" s="14" t="s">
        <v>2172</v>
      </c>
      <c r="C786" s="5">
        <v>0.0</v>
      </c>
      <c r="D786" s="5">
        <v>504000.0</v>
      </c>
      <c r="E786" s="5">
        <f t="shared" si="1"/>
        <v>287807993.5</v>
      </c>
      <c r="F786" s="14" t="s">
        <v>18</v>
      </c>
      <c r="G786" s="14" t="s">
        <v>194</v>
      </c>
      <c r="H786" s="4" t="s">
        <v>191</v>
      </c>
      <c r="I786" s="16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8">
        <v>46253.0</v>
      </c>
      <c r="B787" s="14" t="s">
        <v>2183</v>
      </c>
      <c r="C787" s="5">
        <v>1.1579804E7</v>
      </c>
      <c r="D787" s="5">
        <v>0.0</v>
      </c>
      <c r="E787" s="5">
        <f t="shared" si="1"/>
        <v>276228189.5</v>
      </c>
      <c r="F787" s="14" t="s">
        <v>58</v>
      </c>
      <c r="G787" s="14" t="s">
        <v>59</v>
      </c>
      <c r="H787" s="14" t="s">
        <v>722</v>
      </c>
      <c r="I787" s="16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8">
        <v>46253.0</v>
      </c>
      <c r="B788" s="14" t="s">
        <v>2187</v>
      </c>
      <c r="C788" s="5">
        <v>9471500.0</v>
      </c>
      <c r="D788" s="5">
        <v>0.0</v>
      </c>
      <c r="E788" s="5">
        <f t="shared" si="1"/>
        <v>266756689.5</v>
      </c>
      <c r="F788" s="14" t="s">
        <v>50</v>
      </c>
      <c r="G788" s="14" t="s">
        <v>2188</v>
      </c>
      <c r="H788" s="14"/>
      <c r="I788" s="16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8">
        <v>46253.0</v>
      </c>
      <c r="B789" s="14" t="s">
        <v>2192</v>
      </c>
      <c r="C789" s="5">
        <v>2.255E7</v>
      </c>
      <c r="D789" s="5">
        <v>0.0</v>
      </c>
      <c r="E789" s="5">
        <f t="shared" si="1"/>
        <v>244206689.5</v>
      </c>
      <c r="F789" s="14" t="s">
        <v>24</v>
      </c>
      <c r="G789" s="14" t="s">
        <v>125</v>
      </c>
      <c r="H789" s="14" t="s">
        <v>946</v>
      </c>
      <c r="I789" s="16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8">
        <v>46253.0</v>
      </c>
      <c r="B790" s="14" t="s">
        <v>2196</v>
      </c>
      <c r="C790" s="5">
        <v>1.1E7</v>
      </c>
      <c r="D790" s="5">
        <v>0.0</v>
      </c>
      <c r="E790" s="5">
        <f t="shared" si="1"/>
        <v>233206689.5</v>
      </c>
      <c r="F790" s="14" t="s">
        <v>24</v>
      </c>
      <c r="G790" s="14" t="s">
        <v>125</v>
      </c>
      <c r="H790" s="14" t="s">
        <v>946</v>
      </c>
      <c r="I790" s="16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8">
        <v>46254.0</v>
      </c>
      <c r="B791" s="14" t="s">
        <v>2200</v>
      </c>
      <c r="C791" s="5">
        <v>0.0</v>
      </c>
      <c r="D791" s="5">
        <v>9769181.0</v>
      </c>
      <c r="E791" s="5">
        <f t="shared" si="1"/>
        <v>242975870.5</v>
      </c>
      <c r="F791" s="14" t="s">
        <v>75</v>
      </c>
      <c r="G791" s="14" t="s">
        <v>76</v>
      </c>
      <c r="H791" s="14" t="s">
        <v>2202</v>
      </c>
      <c r="I791" s="16" t="s">
        <v>2203</v>
      </c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8">
        <v>46258.0</v>
      </c>
      <c r="B792" s="14" t="s">
        <v>2205</v>
      </c>
      <c r="C792" s="5">
        <v>3252500.0</v>
      </c>
      <c r="D792" s="5">
        <v>0.0</v>
      </c>
      <c r="E792" s="5">
        <f t="shared" si="1"/>
        <v>239723370.5</v>
      </c>
      <c r="F792" s="14" t="s">
        <v>24</v>
      </c>
      <c r="G792" s="14" t="s">
        <v>125</v>
      </c>
      <c r="H792" s="14" t="s">
        <v>2207</v>
      </c>
      <c r="I792" s="16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8">
        <v>46258.0</v>
      </c>
      <c r="B793" s="14" t="s">
        <v>2210</v>
      </c>
      <c r="C793" s="5">
        <v>4500000.0</v>
      </c>
      <c r="D793" s="5">
        <v>0.0</v>
      </c>
      <c r="E793" s="5">
        <f t="shared" si="1"/>
        <v>235223370.5</v>
      </c>
      <c r="F793" s="14" t="s">
        <v>58</v>
      </c>
      <c r="G793" s="14" t="s">
        <v>59</v>
      </c>
      <c r="H793" s="14" t="s">
        <v>1250</v>
      </c>
      <c r="I793" s="16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8">
        <v>46258.0</v>
      </c>
      <c r="B794" s="14" t="s">
        <v>2215</v>
      </c>
      <c r="C794" s="5">
        <v>1700000.0</v>
      </c>
      <c r="D794" s="5">
        <v>0.0</v>
      </c>
      <c r="E794" s="5">
        <f t="shared" si="1"/>
        <v>233523370.5</v>
      </c>
      <c r="F794" s="14" t="s">
        <v>24</v>
      </c>
      <c r="G794" s="14" t="s">
        <v>125</v>
      </c>
      <c r="H794" s="14" t="s">
        <v>922</v>
      </c>
      <c r="I794" s="16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8">
        <v>46258.0</v>
      </c>
      <c r="B795" s="14" t="s">
        <v>2218</v>
      </c>
      <c r="C795" s="5">
        <v>1.525E7</v>
      </c>
      <c r="D795" s="5">
        <v>0.0</v>
      </c>
      <c r="E795" s="5">
        <f t="shared" si="1"/>
        <v>218273370.5</v>
      </c>
      <c r="F795" s="14" t="s">
        <v>24</v>
      </c>
      <c r="G795" s="14" t="s">
        <v>125</v>
      </c>
      <c r="H795" s="14" t="s">
        <v>946</v>
      </c>
      <c r="I795" s="16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8">
        <v>46258.0</v>
      </c>
      <c r="B796" s="14" t="s">
        <v>2220</v>
      </c>
      <c r="C796" s="5">
        <v>2.0E7</v>
      </c>
      <c r="D796" s="5">
        <v>0.0</v>
      </c>
      <c r="E796" s="5">
        <f t="shared" si="1"/>
        <v>198273370.5</v>
      </c>
      <c r="F796" s="14" t="s">
        <v>58</v>
      </c>
      <c r="G796" s="14" t="s">
        <v>59</v>
      </c>
      <c r="H796" s="14" t="s">
        <v>931</v>
      </c>
      <c r="I796" s="16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8">
        <v>46258.0</v>
      </c>
      <c r="B797" s="14" t="s">
        <v>2223</v>
      </c>
      <c r="C797" s="5">
        <v>6500000.0</v>
      </c>
      <c r="D797" s="5">
        <v>0.0</v>
      </c>
      <c r="E797" s="5">
        <f t="shared" si="1"/>
        <v>191773370.5</v>
      </c>
      <c r="F797" s="14" t="s">
        <v>58</v>
      </c>
      <c r="G797" s="14" t="s">
        <v>59</v>
      </c>
      <c r="H797" s="14" t="s">
        <v>1250</v>
      </c>
      <c r="I797" s="16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8">
        <v>46258.0</v>
      </c>
      <c r="B798" s="14" t="s">
        <v>2225</v>
      </c>
      <c r="C798" s="5">
        <v>2.52E7</v>
      </c>
      <c r="D798" s="5">
        <v>0.0</v>
      </c>
      <c r="E798" s="5">
        <f t="shared" si="1"/>
        <v>166573370.5</v>
      </c>
      <c r="F798" s="14" t="s">
        <v>58</v>
      </c>
      <c r="G798" s="14" t="s">
        <v>59</v>
      </c>
      <c r="H798" s="14" t="s">
        <v>1250</v>
      </c>
      <c r="I798" s="16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8">
        <v>46258.0</v>
      </c>
      <c r="B799" s="14" t="s">
        <v>2230</v>
      </c>
      <c r="C799" s="5">
        <v>6617500.0</v>
      </c>
      <c r="D799" s="5">
        <v>0.0</v>
      </c>
      <c r="E799" s="5">
        <f t="shared" si="1"/>
        <v>159955870.5</v>
      </c>
      <c r="F799" s="14" t="s">
        <v>58</v>
      </c>
      <c r="G799" s="14" t="s">
        <v>59</v>
      </c>
      <c r="H799" s="14" t="s">
        <v>1250</v>
      </c>
      <c r="I799" s="16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8">
        <v>46258.0</v>
      </c>
      <c r="B800" s="14" t="s">
        <v>2237</v>
      </c>
      <c r="C800" s="5">
        <v>6617500.0</v>
      </c>
      <c r="D800" s="5">
        <v>0.0</v>
      </c>
      <c r="E800" s="5">
        <f t="shared" si="1"/>
        <v>153338370.5</v>
      </c>
      <c r="F800" s="14" t="s">
        <v>58</v>
      </c>
      <c r="G800" s="14" t="s">
        <v>59</v>
      </c>
      <c r="H800" s="14" t="s">
        <v>1250</v>
      </c>
      <c r="I800" s="16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8">
        <v>46258.0</v>
      </c>
      <c r="B801" s="14" t="s">
        <v>2240</v>
      </c>
      <c r="C801" s="5">
        <v>6617500.0</v>
      </c>
      <c r="D801" s="5">
        <v>0.0</v>
      </c>
      <c r="E801" s="5">
        <f t="shared" si="1"/>
        <v>146720870.5</v>
      </c>
      <c r="F801" s="14" t="s">
        <v>58</v>
      </c>
      <c r="G801" s="14" t="s">
        <v>59</v>
      </c>
      <c r="H801" s="14" t="s">
        <v>1250</v>
      </c>
      <c r="I801" s="16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8">
        <v>46258.0</v>
      </c>
      <c r="B802" s="14" t="s">
        <v>2246</v>
      </c>
      <c r="C802" s="5">
        <v>4440180.0</v>
      </c>
      <c r="D802" s="5">
        <v>0.0</v>
      </c>
      <c r="E802" s="5">
        <f t="shared" si="1"/>
        <v>142280690.5</v>
      </c>
      <c r="F802" s="14" t="s">
        <v>24</v>
      </c>
      <c r="G802" s="14" t="s">
        <v>125</v>
      </c>
      <c r="H802" s="14" t="s">
        <v>922</v>
      </c>
      <c r="I802" s="16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8">
        <v>46258.0</v>
      </c>
      <c r="B803" s="14" t="s">
        <v>2250</v>
      </c>
      <c r="C803" s="5">
        <v>1500000.0</v>
      </c>
      <c r="D803" s="5">
        <v>0.0</v>
      </c>
      <c r="E803" s="5">
        <f t="shared" si="1"/>
        <v>140780690.5</v>
      </c>
      <c r="F803" s="14" t="s">
        <v>24</v>
      </c>
      <c r="G803" s="14" t="s">
        <v>125</v>
      </c>
      <c r="H803" s="14" t="s">
        <v>946</v>
      </c>
      <c r="I803" s="16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8">
        <v>46258.0</v>
      </c>
      <c r="B804" s="14" t="s">
        <v>1161</v>
      </c>
      <c r="C804" s="5">
        <v>0.0</v>
      </c>
      <c r="D804" s="5">
        <v>1.14740228E8</v>
      </c>
      <c r="E804" s="5">
        <f t="shared" si="1"/>
        <v>255520918.5</v>
      </c>
      <c r="F804" s="14" t="s">
        <v>21</v>
      </c>
      <c r="G804" s="14" t="s">
        <v>169</v>
      </c>
      <c r="H804" s="14"/>
      <c r="I804" s="16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8">
        <v>46258.0</v>
      </c>
      <c r="B805" s="14" t="s">
        <v>2258</v>
      </c>
      <c r="C805" s="5">
        <v>71936.0</v>
      </c>
      <c r="D805" s="5">
        <v>0.0</v>
      </c>
      <c r="E805" s="5">
        <f t="shared" si="1"/>
        <v>255448982.5</v>
      </c>
      <c r="F805" s="14" t="s">
        <v>50</v>
      </c>
      <c r="G805" s="14" t="s">
        <v>51</v>
      </c>
      <c r="H805" s="4" t="s">
        <v>53</v>
      </c>
      <c r="I805" s="16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8">
        <v>46258.0</v>
      </c>
      <c r="B806" s="14" t="s">
        <v>2262</v>
      </c>
      <c r="C806" s="5">
        <v>49250.0</v>
      </c>
      <c r="D806" s="5">
        <v>0.0</v>
      </c>
      <c r="E806" s="5">
        <f t="shared" si="1"/>
        <v>255399732.5</v>
      </c>
      <c r="F806" s="14" t="s">
        <v>50</v>
      </c>
      <c r="G806" s="14" t="s">
        <v>51</v>
      </c>
      <c r="H806" s="4" t="s">
        <v>53</v>
      </c>
      <c r="I806" s="16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8">
        <v>46258.0</v>
      </c>
      <c r="B807" s="14" t="s">
        <v>2267</v>
      </c>
      <c r="C807" s="5">
        <v>49250.0</v>
      </c>
      <c r="D807" s="5">
        <v>0.0</v>
      </c>
      <c r="E807" s="5">
        <f t="shared" si="1"/>
        <v>255350482.5</v>
      </c>
      <c r="F807" s="14" t="s">
        <v>50</v>
      </c>
      <c r="G807" s="14" t="s">
        <v>51</v>
      </c>
      <c r="H807" s="4" t="s">
        <v>53</v>
      </c>
      <c r="I807" s="16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8">
        <v>46258.0</v>
      </c>
      <c r="B808" s="14" t="s">
        <v>2269</v>
      </c>
      <c r="C808" s="5">
        <v>71936.0</v>
      </c>
      <c r="D808" s="5">
        <v>0.0</v>
      </c>
      <c r="E808" s="5">
        <f t="shared" si="1"/>
        <v>255278546.5</v>
      </c>
      <c r="F808" s="14" t="s">
        <v>50</v>
      </c>
      <c r="G808" s="14" t="s">
        <v>51</v>
      </c>
      <c r="H808" s="4" t="s">
        <v>53</v>
      </c>
      <c r="I808" s="16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8">
        <v>46258.0</v>
      </c>
      <c r="B809" s="14" t="s">
        <v>2272</v>
      </c>
      <c r="C809" s="5">
        <v>71936.0</v>
      </c>
      <c r="D809" s="5">
        <v>0.0</v>
      </c>
      <c r="E809" s="5">
        <f t="shared" si="1"/>
        <v>255206610.5</v>
      </c>
      <c r="F809" s="14" t="s">
        <v>50</v>
      </c>
      <c r="G809" s="14" t="s">
        <v>51</v>
      </c>
      <c r="H809" s="4" t="s">
        <v>53</v>
      </c>
      <c r="I809" s="16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8">
        <v>46258.0</v>
      </c>
      <c r="B810" s="14" t="s">
        <v>2277</v>
      </c>
      <c r="C810" s="5">
        <v>49250.0</v>
      </c>
      <c r="D810" s="5">
        <v>0.0</v>
      </c>
      <c r="E810" s="5">
        <f t="shared" si="1"/>
        <v>255157360.5</v>
      </c>
      <c r="F810" s="14" t="s">
        <v>50</v>
      </c>
      <c r="G810" s="14" t="s">
        <v>51</v>
      </c>
      <c r="H810" s="4" t="s">
        <v>53</v>
      </c>
      <c r="I810" s="16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8">
        <v>46258.0</v>
      </c>
      <c r="B811" s="14" t="s">
        <v>2281</v>
      </c>
      <c r="C811" s="5">
        <v>71936.0</v>
      </c>
      <c r="D811" s="5">
        <v>0.0</v>
      </c>
      <c r="E811" s="5">
        <f t="shared" si="1"/>
        <v>255085424.5</v>
      </c>
      <c r="F811" s="14" t="s">
        <v>50</v>
      </c>
      <c r="G811" s="14" t="s">
        <v>51</v>
      </c>
      <c r="H811" s="4" t="s">
        <v>53</v>
      </c>
      <c r="I811" s="16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8">
        <v>46258.0</v>
      </c>
      <c r="B812" s="14" t="s">
        <v>2285</v>
      </c>
      <c r="C812" s="5">
        <f>3815000-C813+D814</f>
        <v>3500000</v>
      </c>
      <c r="D812" s="5">
        <v>0.0</v>
      </c>
      <c r="E812" s="5">
        <f t="shared" si="1"/>
        <v>251585424.5</v>
      </c>
      <c r="F812" s="14" t="s">
        <v>50</v>
      </c>
      <c r="G812" s="14" t="s">
        <v>178</v>
      </c>
      <c r="H812" s="14"/>
      <c r="I812" s="16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8">
        <v>46258.0</v>
      </c>
      <c r="B813" s="14" t="s">
        <v>2285</v>
      </c>
      <c r="C813" s="5">
        <v>385000.0</v>
      </c>
      <c r="D813" s="5">
        <v>0.0</v>
      </c>
      <c r="E813" s="5">
        <f t="shared" si="1"/>
        <v>251200424.5</v>
      </c>
      <c r="F813" s="4" t="s">
        <v>21</v>
      </c>
      <c r="G813" s="4" t="s">
        <v>184</v>
      </c>
      <c r="H813" s="4" t="s">
        <v>1808</v>
      </c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8">
        <v>46258.0</v>
      </c>
      <c r="B814" s="14" t="s">
        <v>2285</v>
      </c>
      <c r="C814" s="5">
        <v>0.0</v>
      </c>
      <c r="D814" s="5">
        <v>70000.0</v>
      </c>
      <c r="E814" s="5">
        <f t="shared" si="1"/>
        <v>251270424.5</v>
      </c>
      <c r="F814" s="15" t="s">
        <v>21</v>
      </c>
      <c r="G814" s="15" t="s">
        <v>190</v>
      </c>
      <c r="H814" s="4" t="s">
        <v>191</v>
      </c>
      <c r="I814" s="4" t="s">
        <v>192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8">
        <v>46258.0</v>
      </c>
      <c r="B815" s="14" t="s">
        <v>2294</v>
      </c>
      <c r="C815" s="5">
        <v>4800000.0</v>
      </c>
      <c r="D815" s="5">
        <v>0.0</v>
      </c>
      <c r="E815" s="5">
        <f t="shared" si="1"/>
        <v>246470424.5</v>
      </c>
      <c r="F815" s="14" t="s">
        <v>58</v>
      </c>
      <c r="G815" s="14" t="s">
        <v>59</v>
      </c>
      <c r="H815" s="14" t="s">
        <v>1250</v>
      </c>
      <c r="I815" s="16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8">
        <v>46258.0</v>
      </c>
      <c r="B816" s="14" t="s">
        <v>2298</v>
      </c>
      <c r="C816" s="5">
        <v>1185061.0</v>
      </c>
      <c r="D816" s="5">
        <v>0.0</v>
      </c>
      <c r="E816" s="5">
        <f t="shared" si="1"/>
        <v>245285363.5</v>
      </c>
      <c r="F816" s="14" t="s">
        <v>58</v>
      </c>
      <c r="G816" s="14" t="s">
        <v>59</v>
      </c>
      <c r="H816" s="14" t="s">
        <v>722</v>
      </c>
      <c r="I816" s="16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8">
        <v>46258.0</v>
      </c>
      <c r="B817" s="14" t="s">
        <v>2302</v>
      </c>
      <c r="C817" s="5">
        <v>6342593.0</v>
      </c>
      <c r="D817" s="5">
        <v>0.0</v>
      </c>
      <c r="E817" s="5">
        <f t="shared" si="1"/>
        <v>238942770.5</v>
      </c>
      <c r="F817" s="14" t="s">
        <v>58</v>
      </c>
      <c r="G817" s="14" t="s">
        <v>59</v>
      </c>
      <c r="H817" s="14" t="s">
        <v>722</v>
      </c>
      <c r="I817" s="16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8">
        <v>46258.0</v>
      </c>
      <c r="B818" s="14" t="s">
        <v>2306</v>
      </c>
      <c r="C818" s="5">
        <v>6022716.0</v>
      </c>
      <c r="D818" s="5">
        <v>0.0</v>
      </c>
      <c r="E818" s="5">
        <f t="shared" si="1"/>
        <v>232920054.5</v>
      </c>
      <c r="F818" s="14" t="s">
        <v>58</v>
      </c>
      <c r="G818" s="14" t="s">
        <v>59</v>
      </c>
      <c r="H818" s="14" t="s">
        <v>722</v>
      </c>
      <c r="I818" s="16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8">
        <v>46258.0</v>
      </c>
      <c r="B819" s="14" t="s">
        <v>2310</v>
      </c>
      <c r="C819" s="5">
        <v>950000.0</v>
      </c>
      <c r="D819" s="5">
        <v>0.0</v>
      </c>
      <c r="E819" s="5">
        <f t="shared" si="1"/>
        <v>231970054.5</v>
      </c>
      <c r="F819" s="14" t="s">
        <v>24</v>
      </c>
      <c r="G819" s="14" t="s">
        <v>125</v>
      </c>
      <c r="H819" s="4" t="s">
        <v>2096</v>
      </c>
      <c r="I819" s="16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8">
        <v>46258.0</v>
      </c>
      <c r="B820" s="14" t="s">
        <v>2314</v>
      </c>
      <c r="C820" s="5">
        <v>1000000.0</v>
      </c>
      <c r="D820" s="5">
        <v>0.0</v>
      </c>
      <c r="E820" s="5">
        <f t="shared" si="1"/>
        <v>230970054.5</v>
      </c>
      <c r="F820" s="14" t="s">
        <v>24</v>
      </c>
      <c r="G820" s="14" t="s">
        <v>125</v>
      </c>
      <c r="H820" s="4" t="s">
        <v>2096</v>
      </c>
      <c r="I820" s="16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8">
        <v>46258.0</v>
      </c>
      <c r="B821" s="14" t="s">
        <v>2318</v>
      </c>
      <c r="C821" s="5">
        <v>1750000.0</v>
      </c>
      <c r="D821" s="5">
        <v>0.0</v>
      </c>
      <c r="E821" s="5">
        <f t="shared" si="1"/>
        <v>229220054.5</v>
      </c>
      <c r="F821" s="14" t="s">
        <v>24</v>
      </c>
      <c r="G821" s="14" t="s">
        <v>125</v>
      </c>
      <c r="H821" s="4" t="s">
        <v>2096</v>
      </c>
      <c r="I821" s="16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8">
        <v>46258.0</v>
      </c>
      <c r="B822" s="14" t="s">
        <v>2319</v>
      </c>
      <c r="C822" s="5">
        <v>1.045E7</v>
      </c>
      <c r="D822" s="5">
        <v>0.0</v>
      </c>
      <c r="E822" s="5">
        <f t="shared" si="1"/>
        <v>218770054.5</v>
      </c>
      <c r="F822" s="14" t="s">
        <v>58</v>
      </c>
      <c r="G822" s="14" t="s">
        <v>59</v>
      </c>
      <c r="H822" s="14" t="s">
        <v>1250</v>
      </c>
      <c r="I822" s="16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8">
        <v>46260.0</v>
      </c>
      <c r="B823" s="14" t="s">
        <v>2323</v>
      </c>
      <c r="C823" s="5">
        <v>0.0</v>
      </c>
      <c r="D823" s="5">
        <v>1309500.0</v>
      </c>
      <c r="E823" s="5">
        <f t="shared" si="1"/>
        <v>220079554.5</v>
      </c>
      <c r="F823" s="14" t="s">
        <v>50</v>
      </c>
      <c r="G823" s="14" t="s">
        <v>708</v>
      </c>
      <c r="H823" s="14" t="s">
        <v>346</v>
      </c>
      <c r="I823" s="16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8">
        <v>46260.0</v>
      </c>
      <c r="B824" s="14" t="s">
        <v>2324</v>
      </c>
      <c r="C824" s="5">
        <v>0.0</v>
      </c>
      <c r="D824" s="5">
        <v>1309500.0</v>
      </c>
      <c r="E824" s="5">
        <f t="shared" si="1"/>
        <v>221389054.5</v>
      </c>
      <c r="F824" s="14" t="s">
        <v>50</v>
      </c>
      <c r="G824" s="14" t="s">
        <v>708</v>
      </c>
      <c r="H824" s="14" t="s">
        <v>346</v>
      </c>
      <c r="I824" s="16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8">
        <v>46260.0</v>
      </c>
      <c r="B825" s="14" t="s">
        <v>2326</v>
      </c>
      <c r="C825" s="5">
        <v>0.0</v>
      </c>
      <c r="D825" s="5">
        <v>1.2997123E7</v>
      </c>
      <c r="E825" s="5">
        <f t="shared" si="1"/>
        <v>234386177.5</v>
      </c>
      <c r="F825" s="14" t="s">
        <v>21</v>
      </c>
      <c r="G825" s="14" t="s">
        <v>41</v>
      </c>
      <c r="H825" s="14" t="s">
        <v>1930</v>
      </c>
      <c r="I825" s="16" t="s">
        <v>44</v>
      </c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8">
        <v>46260.0</v>
      </c>
      <c r="B826" s="14" t="s">
        <v>1050</v>
      </c>
      <c r="C826" s="5">
        <v>6.2371285E7</v>
      </c>
      <c r="D826" s="5">
        <v>0.0</v>
      </c>
      <c r="E826" s="5">
        <f t="shared" si="1"/>
        <v>172014892.5</v>
      </c>
      <c r="F826" s="14" t="s">
        <v>21</v>
      </c>
      <c r="G826" s="14" t="s">
        <v>842</v>
      </c>
      <c r="H826" s="14"/>
      <c r="I826" s="16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8">
        <v>46260.0</v>
      </c>
      <c r="B827" s="14" t="s">
        <v>1053</v>
      </c>
      <c r="C827" s="5">
        <v>2500.0</v>
      </c>
      <c r="D827" s="5">
        <v>0.0</v>
      </c>
      <c r="E827" s="5">
        <f t="shared" si="1"/>
        <v>172012392.5</v>
      </c>
      <c r="F827" s="14" t="s">
        <v>43</v>
      </c>
      <c r="G827" s="14" t="s">
        <v>45</v>
      </c>
      <c r="H827" s="14"/>
      <c r="I827" s="16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8">
        <v>46260.0</v>
      </c>
      <c r="B828" s="14" t="s">
        <v>2332</v>
      </c>
      <c r="C828" s="5">
        <f>1880250-C829+D830</f>
        <v>1725000</v>
      </c>
      <c r="D828" s="5">
        <v>0.0</v>
      </c>
      <c r="E828" s="5">
        <f t="shared" si="1"/>
        <v>170287392.5</v>
      </c>
      <c r="F828" s="14" t="s">
        <v>105</v>
      </c>
      <c r="G828" s="14" t="s">
        <v>380</v>
      </c>
      <c r="H828" s="14"/>
      <c r="I828" s="16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8">
        <v>46260.0</v>
      </c>
      <c r="B829" s="14" t="s">
        <v>2332</v>
      </c>
      <c r="C829" s="5">
        <v>189750.0</v>
      </c>
      <c r="D829" s="5">
        <v>0.0</v>
      </c>
      <c r="E829" s="5">
        <f t="shared" si="1"/>
        <v>170097642.5</v>
      </c>
      <c r="F829" s="4" t="s">
        <v>21</v>
      </c>
      <c r="G829" s="4" t="s">
        <v>184</v>
      </c>
      <c r="H829" s="4" t="s">
        <v>2115</v>
      </c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26">
        <v>46260.0</v>
      </c>
      <c r="B830" s="27" t="s">
        <v>2332</v>
      </c>
      <c r="C830" s="28">
        <v>0.0</v>
      </c>
      <c r="D830" s="28">
        <v>34500.0</v>
      </c>
      <c r="E830" s="5">
        <f t="shared" si="1"/>
        <v>170132142.5</v>
      </c>
      <c r="F830" s="27" t="s">
        <v>18</v>
      </c>
      <c r="G830" s="27" t="s">
        <v>194</v>
      </c>
      <c r="H830" s="27" t="s">
        <v>191</v>
      </c>
      <c r="I830" s="29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8">
        <v>46260.0</v>
      </c>
      <c r="B831" s="14" t="s">
        <v>2349</v>
      </c>
      <c r="C831" s="5">
        <v>1600000.0</v>
      </c>
      <c r="D831" s="5">
        <v>0.0</v>
      </c>
      <c r="E831" s="5">
        <f t="shared" si="1"/>
        <v>168532142.5</v>
      </c>
      <c r="F831" s="14" t="s">
        <v>24</v>
      </c>
      <c r="G831" s="14" t="s">
        <v>125</v>
      </c>
      <c r="H831" s="14" t="s">
        <v>2351</v>
      </c>
      <c r="I831" s="16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8">
        <v>46261.0</v>
      </c>
      <c r="B832" s="14" t="s">
        <v>2354</v>
      </c>
      <c r="C832" s="5">
        <v>1500000.0</v>
      </c>
      <c r="D832" s="5">
        <v>0.0</v>
      </c>
      <c r="E832" s="5">
        <f t="shared" si="1"/>
        <v>167032142.5</v>
      </c>
      <c r="F832" s="14" t="s">
        <v>24</v>
      </c>
      <c r="G832" s="14" t="s">
        <v>125</v>
      </c>
      <c r="H832" s="14" t="s">
        <v>946</v>
      </c>
      <c r="I832" s="16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8">
        <v>46262.0</v>
      </c>
      <c r="B833" s="14" t="s">
        <v>2360</v>
      </c>
      <c r="C833" s="5">
        <v>0.0</v>
      </c>
      <c r="D833" s="5">
        <v>1201108.0</v>
      </c>
      <c r="E833" s="5">
        <f t="shared" si="1"/>
        <v>168233250.5</v>
      </c>
      <c r="F833" s="14" t="s">
        <v>21</v>
      </c>
      <c r="G833" s="14" t="s">
        <v>41</v>
      </c>
      <c r="H833" s="14" t="s">
        <v>2068</v>
      </c>
      <c r="I833" s="16" t="s">
        <v>539</v>
      </c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8">
        <v>46262.0</v>
      </c>
      <c r="B834" s="14" t="s">
        <v>2362</v>
      </c>
      <c r="C834" s="5">
        <v>0.0</v>
      </c>
      <c r="D834" s="5">
        <v>359949.0</v>
      </c>
      <c r="E834" s="5">
        <f t="shared" si="1"/>
        <v>168593199.5</v>
      </c>
      <c r="F834" s="14" t="s">
        <v>21</v>
      </c>
      <c r="G834" s="14" t="s">
        <v>23</v>
      </c>
      <c r="H834" s="14"/>
      <c r="I834" s="16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8">
        <v>46265.0</v>
      </c>
      <c r="B835" s="14" t="s">
        <v>2364</v>
      </c>
      <c r="C835" s="5">
        <v>1.32E8</v>
      </c>
      <c r="D835" s="5">
        <v>0.0</v>
      </c>
      <c r="E835" s="5">
        <f t="shared" si="1"/>
        <v>36593199.48</v>
      </c>
      <c r="F835" s="14" t="s">
        <v>24</v>
      </c>
      <c r="G835" s="14" t="s">
        <v>2366</v>
      </c>
      <c r="H835" s="14" t="s">
        <v>1085</v>
      </c>
      <c r="I835" s="16" t="s">
        <v>2367</v>
      </c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8">
        <v>46265.0</v>
      </c>
      <c r="B836" s="14" t="s">
        <v>2371</v>
      </c>
      <c r="C836" s="5">
        <v>2500.0</v>
      </c>
      <c r="D836" s="5">
        <v>0.0</v>
      </c>
      <c r="E836" s="5">
        <f t="shared" si="1"/>
        <v>36590699.48</v>
      </c>
      <c r="F836" s="14" t="s">
        <v>43</v>
      </c>
      <c r="G836" s="14" t="s">
        <v>45</v>
      </c>
      <c r="H836" s="14"/>
      <c r="I836" s="16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8">
        <v>46265.0</v>
      </c>
      <c r="B837" s="14" t="s">
        <v>2375</v>
      </c>
      <c r="C837" s="5">
        <v>1.0E7</v>
      </c>
      <c r="D837" s="5">
        <v>0.0</v>
      </c>
      <c r="E837" s="5">
        <f t="shared" si="1"/>
        <v>26590699.48</v>
      </c>
      <c r="F837" s="14" t="s">
        <v>21</v>
      </c>
      <c r="G837" s="14" t="s">
        <v>116</v>
      </c>
      <c r="H837" s="14"/>
      <c r="I837" s="16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8">
        <v>46266.0</v>
      </c>
      <c r="B838" s="14" t="s">
        <v>1232</v>
      </c>
      <c r="C838" s="5">
        <v>0.0</v>
      </c>
      <c r="D838" s="5">
        <v>7.58105E7</v>
      </c>
      <c r="E838" s="5">
        <f t="shared" si="1"/>
        <v>102401199.5</v>
      </c>
      <c r="F838" s="14" t="s">
        <v>21</v>
      </c>
      <c r="G838" s="14" t="s">
        <v>826</v>
      </c>
      <c r="H838" s="14"/>
      <c r="I838" s="16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8">
        <v>46266.0</v>
      </c>
      <c r="B839" s="14" t="s">
        <v>2380</v>
      </c>
      <c r="C839" s="5">
        <v>8.3079E7</v>
      </c>
      <c r="D839" s="5">
        <v>0.0</v>
      </c>
      <c r="E839" s="5">
        <f t="shared" si="1"/>
        <v>19322199.48</v>
      </c>
      <c r="F839" s="14" t="s">
        <v>306</v>
      </c>
      <c r="G839" s="14" t="s">
        <v>307</v>
      </c>
      <c r="H839" s="14" t="s">
        <v>2382</v>
      </c>
      <c r="I839" s="16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8">
        <v>46266.0</v>
      </c>
      <c r="B840" s="14" t="s">
        <v>2384</v>
      </c>
      <c r="C840" s="5">
        <v>800000.0</v>
      </c>
      <c r="D840" s="5">
        <v>0.0</v>
      </c>
      <c r="E840" s="5">
        <f t="shared" si="1"/>
        <v>18522199.48</v>
      </c>
      <c r="F840" s="14" t="s">
        <v>24</v>
      </c>
      <c r="G840" s="14" t="s">
        <v>125</v>
      </c>
      <c r="H840" s="14" t="s">
        <v>922</v>
      </c>
      <c r="I840" s="16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8">
        <v>46266.0</v>
      </c>
      <c r="B841" s="14" t="s">
        <v>2392</v>
      </c>
      <c r="C841" s="5">
        <v>1.8E7</v>
      </c>
      <c r="D841" s="5">
        <v>0.0</v>
      </c>
      <c r="E841" s="5">
        <f t="shared" si="1"/>
        <v>522199.48</v>
      </c>
      <c r="F841" s="14" t="s">
        <v>24</v>
      </c>
      <c r="G841" s="14" t="s">
        <v>125</v>
      </c>
      <c r="H841" s="14" t="s">
        <v>2398</v>
      </c>
      <c r="I841" s="16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8">
        <v>46266.0</v>
      </c>
      <c r="B842" s="14" t="s">
        <v>786</v>
      </c>
      <c r="C842" s="5">
        <v>0.0</v>
      </c>
      <c r="D842" s="5">
        <v>1.0E7</v>
      </c>
      <c r="E842" s="5">
        <f t="shared" si="1"/>
        <v>10522199.48</v>
      </c>
      <c r="F842" s="14" t="s">
        <v>21</v>
      </c>
      <c r="G842" s="14" t="s">
        <v>190</v>
      </c>
      <c r="H842" s="14"/>
      <c r="I842" s="16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8">
        <v>46266.0</v>
      </c>
      <c r="B843" s="14" t="s">
        <v>2403</v>
      </c>
      <c r="C843" s="5">
        <v>1.0E7</v>
      </c>
      <c r="D843" s="5">
        <v>0.0</v>
      </c>
      <c r="E843" s="5">
        <f t="shared" si="1"/>
        <v>522199.48</v>
      </c>
      <c r="F843" s="14" t="s">
        <v>24</v>
      </c>
      <c r="G843" s="14" t="s">
        <v>669</v>
      </c>
      <c r="H843" s="14" t="s">
        <v>2406</v>
      </c>
      <c r="I843" s="16" t="s">
        <v>539</v>
      </c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8">
        <v>46266.0</v>
      </c>
      <c r="B844" s="14" t="s">
        <v>2408</v>
      </c>
      <c r="C844" s="5">
        <v>0.0</v>
      </c>
      <c r="D844" s="5">
        <v>2.5E8</v>
      </c>
      <c r="E844" s="5">
        <f t="shared" si="1"/>
        <v>250522199.5</v>
      </c>
      <c r="F844" s="14" t="s">
        <v>21</v>
      </c>
      <c r="G844" s="14" t="s">
        <v>1075</v>
      </c>
      <c r="H844" s="14"/>
      <c r="I844" s="16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8">
        <v>46267.0</v>
      </c>
      <c r="B845" s="14" t="s">
        <v>2413</v>
      </c>
      <c r="C845" s="5">
        <v>1.88988535E8</v>
      </c>
      <c r="D845" s="5">
        <v>0.0</v>
      </c>
      <c r="E845" s="5">
        <f t="shared" si="1"/>
        <v>61533664.48</v>
      </c>
      <c r="F845" s="14" t="s">
        <v>24</v>
      </c>
      <c r="G845" s="14" t="s">
        <v>125</v>
      </c>
      <c r="H845" s="14" t="s">
        <v>946</v>
      </c>
      <c r="I845" s="16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8">
        <v>46267.0</v>
      </c>
      <c r="B846" s="14" t="s">
        <v>2408</v>
      </c>
      <c r="C846" s="5">
        <v>0.0</v>
      </c>
      <c r="D846" s="5">
        <v>3.1456676E7</v>
      </c>
      <c r="E846" s="5">
        <f t="shared" si="1"/>
        <v>92990340.48</v>
      </c>
      <c r="F846" s="14" t="s">
        <v>21</v>
      </c>
      <c r="G846" s="14" t="s">
        <v>1075</v>
      </c>
      <c r="H846" s="14"/>
      <c r="I846" s="16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8">
        <v>46267.0</v>
      </c>
      <c r="B847" s="14" t="s">
        <v>168</v>
      </c>
      <c r="C847" s="5">
        <v>30000.0</v>
      </c>
      <c r="D847" s="5">
        <v>0.0</v>
      </c>
      <c r="E847" s="5">
        <f t="shared" si="1"/>
        <v>92960340.48</v>
      </c>
      <c r="F847" s="14" t="s">
        <v>43</v>
      </c>
      <c r="G847" s="14" t="s">
        <v>45</v>
      </c>
      <c r="H847" s="14"/>
      <c r="I847" s="16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8">
        <v>46269.0</v>
      </c>
      <c r="B848" s="14" t="s">
        <v>2419</v>
      </c>
      <c r="C848" s="5">
        <v>4.8657E7</v>
      </c>
      <c r="D848" s="5">
        <v>0.0</v>
      </c>
      <c r="E848" s="5">
        <f t="shared" si="1"/>
        <v>44303340.48</v>
      </c>
      <c r="F848" s="14" t="s">
        <v>24</v>
      </c>
      <c r="G848" s="14" t="s">
        <v>125</v>
      </c>
      <c r="H848" s="4" t="s">
        <v>1012</v>
      </c>
      <c r="I848" s="16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8">
        <v>46269.0</v>
      </c>
      <c r="B849" s="14" t="s">
        <v>2422</v>
      </c>
      <c r="C849" s="5">
        <v>1.245E7</v>
      </c>
      <c r="D849" s="5">
        <v>0.0</v>
      </c>
      <c r="E849" s="5">
        <f t="shared" si="1"/>
        <v>31853340.48</v>
      </c>
      <c r="F849" s="14" t="s">
        <v>58</v>
      </c>
      <c r="G849" s="14" t="s">
        <v>59</v>
      </c>
      <c r="H849" s="14" t="s">
        <v>1250</v>
      </c>
      <c r="I849" s="16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8">
        <v>46269.0</v>
      </c>
      <c r="B850" s="14" t="s">
        <v>2424</v>
      </c>
      <c r="C850" s="5">
        <v>1.3463936E7</v>
      </c>
      <c r="D850" s="5">
        <v>0.0</v>
      </c>
      <c r="E850" s="5">
        <f t="shared" si="1"/>
        <v>18389404.48</v>
      </c>
      <c r="F850" s="14" t="s">
        <v>24</v>
      </c>
      <c r="G850" s="14" t="s">
        <v>125</v>
      </c>
      <c r="H850" s="14" t="s">
        <v>2351</v>
      </c>
      <c r="I850" s="16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8">
        <v>46269.0</v>
      </c>
      <c r="B851" s="14" t="s">
        <v>2426</v>
      </c>
      <c r="C851" s="5">
        <v>550000.0</v>
      </c>
      <c r="D851" s="5">
        <v>0.0</v>
      </c>
      <c r="E851" s="5">
        <f t="shared" si="1"/>
        <v>17839404.48</v>
      </c>
      <c r="F851" s="14" t="s">
        <v>58</v>
      </c>
      <c r="G851" s="14" t="s">
        <v>59</v>
      </c>
      <c r="H851" s="14" t="s">
        <v>1250</v>
      </c>
      <c r="I851" s="16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8">
        <v>46269.0</v>
      </c>
      <c r="B852" s="14" t="s">
        <v>2427</v>
      </c>
      <c r="C852" s="5">
        <v>1750000.0</v>
      </c>
      <c r="D852" s="5">
        <v>0.0</v>
      </c>
      <c r="E852" s="5">
        <f t="shared" si="1"/>
        <v>16089404.48</v>
      </c>
      <c r="F852" s="14" t="s">
        <v>24</v>
      </c>
      <c r="G852" s="14" t="s">
        <v>125</v>
      </c>
      <c r="H852" s="4" t="s">
        <v>1012</v>
      </c>
      <c r="I852" s="16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8">
        <v>46269.0</v>
      </c>
      <c r="B853" s="14" t="s">
        <v>2429</v>
      </c>
      <c r="C853" s="5">
        <v>1500000.0</v>
      </c>
      <c r="D853" s="5">
        <v>0.0</v>
      </c>
      <c r="E853" s="5">
        <f t="shared" si="1"/>
        <v>14589404.48</v>
      </c>
      <c r="F853" s="14" t="s">
        <v>24</v>
      </c>
      <c r="G853" s="14" t="s">
        <v>125</v>
      </c>
      <c r="H853" s="14" t="s">
        <v>2398</v>
      </c>
      <c r="I853" s="16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8">
        <v>46269.0</v>
      </c>
      <c r="B854" s="14" t="s">
        <v>2432</v>
      </c>
      <c r="C854" s="5">
        <v>6000000.0</v>
      </c>
      <c r="D854" s="5">
        <v>0.0</v>
      </c>
      <c r="E854" s="5">
        <f t="shared" si="1"/>
        <v>8589404.48</v>
      </c>
      <c r="F854" s="14" t="s">
        <v>24</v>
      </c>
      <c r="G854" s="14" t="s">
        <v>125</v>
      </c>
      <c r="H854" s="4" t="s">
        <v>1012</v>
      </c>
      <c r="I854" s="16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8">
        <v>46269.0</v>
      </c>
      <c r="B855" s="14" t="s">
        <v>2435</v>
      </c>
      <c r="C855" s="5">
        <v>4650000.0</v>
      </c>
      <c r="D855" s="5">
        <v>0.0</v>
      </c>
      <c r="E855" s="5">
        <f t="shared" si="1"/>
        <v>3939404.48</v>
      </c>
      <c r="F855" s="14" t="s">
        <v>24</v>
      </c>
      <c r="G855" s="14" t="s">
        <v>125</v>
      </c>
      <c r="H855" s="4" t="s">
        <v>1012</v>
      </c>
      <c r="I855" s="16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8">
        <v>46269.0</v>
      </c>
      <c r="B856" s="14" t="s">
        <v>457</v>
      </c>
      <c r="C856" s="5">
        <v>0.0</v>
      </c>
      <c r="D856" s="5">
        <v>3200000.0</v>
      </c>
      <c r="E856" s="5">
        <f t="shared" si="1"/>
        <v>7139404.48</v>
      </c>
      <c r="F856" s="14" t="s">
        <v>21</v>
      </c>
      <c r="G856" s="14" t="s">
        <v>190</v>
      </c>
      <c r="H856" s="14"/>
      <c r="I856" s="16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8">
        <v>46269.0</v>
      </c>
      <c r="B857" s="14" t="s">
        <v>1358</v>
      </c>
      <c r="C857" s="5">
        <v>0.0</v>
      </c>
      <c r="D857" s="5">
        <v>50000.0</v>
      </c>
      <c r="E857" s="5">
        <f t="shared" si="1"/>
        <v>7189404.48</v>
      </c>
      <c r="F857" s="14" t="s">
        <v>21</v>
      </c>
      <c r="G857" s="14" t="s">
        <v>1023</v>
      </c>
      <c r="H857" s="14"/>
      <c r="I857" s="16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8">
        <v>46269.0</v>
      </c>
      <c r="B858" s="14" t="s">
        <v>2443</v>
      </c>
      <c r="C858" s="5">
        <v>5131090.0</v>
      </c>
      <c r="D858" s="5">
        <v>0.0</v>
      </c>
      <c r="E858" s="5">
        <f t="shared" si="1"/>
        <v>2058314.48</v>
      </c>
      <c r="F858" s="14" t="s">
        <v>24</v>
      </c>
      <c r="G858" s="14" t="s">
        <v>125</v>
      </c>
      <c r="H858" s="14" t="s">
        <v>2351</v>
      </c>
      <c r="I858" s="16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8">
        <v>46269.0</v>
      </c>
      <c r="B859" s="14" t="s">
        <v>2075</v>
      </c>
      <c r="C859" s="5">
        <v>2043000.0</v>
      </c>
      <c r="D859" s="5">
        <v>0.0</v>
      </c>
      <c r="E859" s="5">
        <f t="shared" si="1"/>
        <v>15314.48</v>
      </c>
      <c r="F859" s="14" t="s">
        <v>21</v>
      </c>
      <c r="G859" s="14" t="s">
        <v>184</v>
      </c>
      <c r="H859" s="14" t="s">
        <v>2077</v>
      </c>
      <c r="I859" s="16" t="s">
        <v>451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8">
        <v>46275.0</v>
      </c>
      <c r="B860" s="14" t="s">
        <v>457</v>
      </c>
      <c r="C860" s="5">
        <v>0.0</v>
      </c>
      <c r="D860" s="5">
        <v>1.635378E8</v>
      </c>
      <c r="E860" s="5">
        <f t="shared" si="1"/>
        <v>163553114.5</v>
      </c>
      <c r="F860" s="14" t="s">
        <v>21</v>
      </c>
      <c r="G860" s="14" t="s">
        <v>190</v>
      </c>
      <c r="H860" s="14"/>
      <c r="I860" s="16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8">
        <v>46275.0</v>
      </c>
      <c r="B861" s="14" t="s">
        <v>2454</v>
      </c>
      <c r="C861" s="5">
        <v>2.0E7</v>
      </c>
      <c r="D861" s="5">
        <v>0.0</v>
      </c>
      <c r="E861" s="5">
        <f t="shared" si="1"/>
        <v>143553114.5</v>
      </c>
      <c r="F861" s="14" t="s">
        <v>58</v>
      </c>
      <c r="G861" s="14" t="s">
        <v>59</v>
      </c>
      <c r="H861" s="14" t="s">
        <v>931</v>
      </c>
      <c r="I861" s="16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8">
        <v>46275.0</v>
      </c>
      <c r="B862" s="14" t="s">
        <v>2457</v>
      </c>
      <c r="C862" s="5">
        <v>6494050.0</v>
      </c>
      <c r="D862" s="5">
        <v>0.0</v>
      </c>
      <c r="E862" s="5">
        <f t="shared" si="1"/>
        <v>137059064.5</v>
      </c>
      <c r="F862" s="14" t="s">
        <v>24</v>
      </c>
      <c r="G862" s="14" t="s">
        <v>125</v>
      </c>
      <c r="H862" s="14" t="s">
        <v>2459</v>
      </c>
      <c r="I862" s="16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8">
        <v>46275.0</v>
      </c>
      <c r="B863" s="14" t="s">
        <v>2463</v>
      </c>
      <c r="C863" s="5">
        <v>5610000.0</v>
      </c>
      <c r="D863" s="5">
        <v>0.0</v>
      </c>
      <c r="E863" s="5">
        <f t="shared" si="1"/>
        <v>131449064.5</v>
      </c>
      <c r="F863" s="14" t="s">
        <v>58</v>
      </c>
      <c r="G863" s="14" t="s">
        <v>59</v>
      </c>
      <c r="H863" s="14" t="s">
        <v>61</v>
      </c>
      <c r="I863" s="16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8">
        <v>46275.0</v>
      </c>
      <c r="B864" s="14" t="s">
        <v>2467</v>
      </c>
      <c r="C864" s="5">
        <v>3.4525E7</v>
      </c>
      <c r="D864" s="5">
        <v>0.0</v>
      </c>
      <c r="E864" s="5">
        <f t="shared" si="1"/>
        <v>96924064.48</v>
      </c>
      <c r="F864" s="14" t="s">
        <v>24</v>
      </c>
      <c r="G864" s="14" t="s">
        <v>125</v>
      </c>
      <c r="H864" s="14" t="s">
        <v>2459</v>
      </c>
      <c r="I864" s="16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8">
        <v>46275.0</v>
      </c>
      <c r="B865" s="14" t="s">
        <v>2472</v>
      </c>
      <c r="C865" s="5">
        <v>1999415.0</v>
      </c>
      <c r="D865" s="5">
        <v>0.0</v>
      </c>
      <c r="E865" s="5">
        <f t="shared" si="1"/>
        <v>94924649.48</v>
      </c>
      <c r="F865" s="14" t="s">
        <v>58</v>
      </c>
      <c r="G865" s="14" t="s">
        <v>59</v>
      </c>
      <c r="H865" s="14" t="s">
        <v>722</v>
      </c>
      <c r="I865" s="16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8">
        <v>46275.0</v>
      </c>
      <c r="B866" s="14" t="s">
        <v>2477</v>
      </c>
      <c r="C866" s="5">
        <v>5014000.0</v>
      </c>
      <c r="D866" s="5">
        <v>0.0</v>
      </c>
      <c r="E866" s="5">
        <f t="shared" si="1"/>
        <v>89910649.48</v>
      </c>
      <c r="F866" s="14" t="s">
        <v>50</v>
      </c>
      <c r="G866" s="14" t="s">
        <v>245</v>
      </c>
      <c r="H866" s="14" t="s">
        <v>246</v>
      </c>
      <c r="I866" s="16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8">
        <v>46275.0</v>
      </c>
      <c r="B867" s="14" t="s">
        <v>2481</v>
      </c>
      <c r="C867" s="5">
        <v>775766.0</v>
      </c>
      <c r="D867" s="5">
        <v>0.0</v>
      </c>
      <c r="E867" s="5">
        <f t="shared" si="1"/>
        <v>89134883.48</v>
      </c>
      <c r="F867" s="14" t="s">
        <v>50</v>
      </c>
      <c r="G867" s="14" t="s">
        <v>395</v>
      </c>
      <c r="H867" s="14" t="s">
        <v>981</v>
      </c>
      <c r="I867" s="16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8">
        <v>46275.0</v>
      </c>
      <c r="B868" s="14" t="s">
        <v>2488</v>
      </c>
      <c r="C868" s="5">
        <v>2100000.0</v>
      </c>
      <c r="D868" s="5">
        <v>0.0</v>
      </c>
      <c r="E868" s="5">
        <f t="shared" si="1"/>
        <v>87034883.48</v>
      </c>
      <c r="F868" s="14" t="s">
        <v>306</v>
      </c>
      <c r="G868" s="14" t="s">
        <v>307</v>
      </c>
      <c r="H868" s="14" t="s">
        <v>308</v>
      </c>
      <c r="I868" s="16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8">
        <v>46275.0</v>
      </c>
      <c r="B869" s="14" t="s">
        <v>2493</v>
      </c>
      <c r="C869" s="5">
        <v>6815000.0</v>
      </c>
      <c r="D869" s="5">
        <v>0.0</v>
      </c>
      <c r="E869" s="5">
        <f t="shared" si="1"/>
        <v>80219883.48</v>
      </c>
      <c r="F869" s="14" t="s">
        <v>24</v>
      </c>
      <c r="G869" s="14" t="s">
        <v>125</v>
      </c>
      <c r="H869" s="14" t="s">
        <v>946</v>
      </c>
      <c r="I869" s="16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8">
        <v>46275.0</v>
      </c>
      <c r="B870" s="14" t="s">
        <v>2497</v>
      </c>
      <c r="C870" s="5">
        <v>5.003E7</v>
      </c>
      <c r="D870" s="5">
        <v>0.0</v>
      </c>
      <c r="E870" s="5">
        <f t="shared" si="1"/>
        <v>30189883.48</v>
      </c>
      <c r="F870" s="14" t="s">
        <v>24</v>
      </c>
      <c r="G870" s="14" t="s">
        <v>125</v>
      </c>
      <c r="H870" s="14" t="s">
        <v>922</v>
      </c>
      <c r="I870" s="16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8">
        <v>46275.0</v>
      </c>
      <c r="B871" s="14" t="s">
        <v>2502</v>
      </c>
      <c r="C871" s="5">
        <v>5742845.0</v>
      </c>
      <c r="D871" s="5">
        <v>0.0</v>
      </c>
      <c r="E871" s="5">
        <f t="shared" si="1"/>
        <v>24447038.48</v>
      </c>
      <c r="F871" s="14" t="s">
        <v>58</v>
      </c>
      <c r="G871" s="14" t="s">
        <v>59</v>
      </c>
      <c r="H871" s="14" t="s">
        <v>722</v>
      </c>
      <c r="I871" s="16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8">
        <v>46275.0</v>
      </c>
      <c r="B872" s="14" t="s">
        <v>2506</v>
      </c>
      <c r="C872" s="5">
        <v>4332000.0</v>
      </c>
      <c r="D872" s="5">
        <v>0.0</v>
      </c>
      <c r="E872" s="5">
        <f t="shared" si="1"/>
        <v>20115038.48</v>
      </c>
      <c r="F872" s="14" t="s">
        <v>24</v>
      </c>
      <c r="G872" s="14" t="s">
        <v>125</v>
      </c>
      <c r="H872" s="14" t="s">
        <v>2509</v>
      </c>
      <c r="I872" s="16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8">
        <v>46279.0</v>
      </c>
      <c r="B873" s="14" t="s">
        <v>2512</v>
      </c>
      <c r="C873" s="5">
        <v>0.0</v>
      </c>
      <c r="D873" s="5">
        <v>477000.0</v>
      </c>
      <c r="E873" s="5">
        <f t="shared" si="1"/>
        <v>20592038.48</v>
      </c>
      <c r="F873" s="14" t="s">
        <v>93</v>
      </c>
      <c r="G873" s="14" t="s">
        <v>93</v>
      </c>
      <c r="H873" s="14" t="s">
        <v>346</v>
      </c>
      <c r="I873" s="16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8"/>
      <c r="C874" s="5"/>
      <c r="D874" s="5"/>
      <c r="E874" s="5"/>
    </row>
    <row r="875" ht="15.75" customHeight="1">
      <c r="A875" s="8"/>
      <c r="C875" s="5">
        <f t="shared" ref="C875:D875" si="2">SUBTOTAL(9,C5:C874)</f>
        <v>17074955345</v>
      </c>
      <c r="D875" s="5">
        <f t="shared" si="2"/>
        <v>16424166249</v>
      </c>
      <c r="E875" s="5"/>
    </row>
    <row r="876" ht="15.75" customHeight="1">
      <c r="A876" s="8"/>
      <c r="C876" s="5"/>
      <c r="D876" s="5">
        <f>D875-C875</f>
        <v>-650789096</v>
      </c>
      <c r="E876" s="5"/>
    </row>
    <row r="877" ht="15.75" customHeight="1">
      <c r="A877" s="8"/>
      <c r="C877" s="5"/>
      <c r="D877" s="5"/>
      <c r="E877" s="5"/>
    </row>
    <row r="878" ht="15.75" customHeight="1">
      <c r="A878" s="8"/>
      <c r="C878" s="5"/>
      <c r="D878" s="5"/>
      <c r="E878" s="5"/>
    </row>
    <row r="879" ht="15.75" customHeight="1">
      <c r="A879" s="8"/>
      <c r="C879" s="5"/>
      <c r="D879" s="5"/>
      <c r="E879" s="5"/>
    </row>
    <row r="880" ht="15.75" customHeight="1">
      <c r="A880" s="8"/>
      <c r="C880" s="5"/>
      <c r="D880" s="5"/>
      <c r="E880" s="5"/>
    </row>
    <row r="881" ht="15.75" customHeight="1">
      <c r="A881" s="8"/>
      <c r="C881" s="5"/>
      <c r="D881" s="5"/>
      <c r="E881" s="5"/>
    </row>
    <row r="882" ht="15.75" customHeight="1">
      <c r="A882" s="8"/>
      <c r="C882" s="5"/>
      <c r="D882" s="5"/>
      <c r="E882" s="5"/>
    </row>
    <row r="883" ht="15.75" customHeight="1">
      <c r="A883" s="8"/>
      <c r="C883" s="5"/>
      <c r="D883" s="5"/>
      <c r="E883" s="5"/>
    </row>
    <row r="884" ht="15.75" customHeight="1">
      <c r="A884" s="8"/>
      <c r="C884" s="5"/>
      <c r="D884" s="5"/>
      <c r="E884" s="5"/>
    </row>
    <row r="885" ht="15.75" customHeight="1">
      <c r="A885" s="8"/>
      <c r="C885" s="5"/>
      <c r="D885" s="5"/>
      <c r="E885" s="5"/>
    </row>
    <row r="886" ht="15.75" customHeight="1">
      <c r="A886" s="8"/>
      <c r="C886" s="5"/>
      <c r="D886" s="5"/>
      <c r="E886" s="5"/>
    </row>
    <row r="887" ht="15.75" customHeight="1">
      <c r="A887" s="8"/>
      <c r="C887" s="5"/>
      <c r="D887" s="5"/>
      <c r="E887" s="5"/>
    </row>
    <row r="888" ht="15.75" customHeight="1">
      <c r="A888" s="8"/>
      <c r="C888" s="5"/>
      <c r="D888" s="5"/>
      <c r="E888" s="5"/>
    </row>
    <row r="889" ht="15.75" customHeight="1">
      <c r="A889" s="8"/>
      <c r="C889" s="5"/>
      <c r="D889" s="5"/>
      <c r="E889" s="5"/>
    </row>
    <row r="890" ht="15.75" customHeight="1">
      <c r="A890" s="8"/>
      <c r="C890" s="5"/>
      <c r="D890" s="5"/>
      <c r="E890" s="5"/>
    </row>
    <row r="891" ht="15.75" customHeight="1">
      <c r="A891" s="8"/>
      <c r="C891" s="5"/>
      <c r="D891" s="5"/>
      <c r="E891" s="5"/>
    </row>
    <row r="892" ht="15.75" customHeight="1">
      <c r="A892" s="8"/>
      <c r="C892" s="5"/>
      <c r="D892" s="5"/>
      <c r="E892" s="5"/>
    </row>
    <row r="893" ht="15.75" customHeight="1">
      <c r="A893" s="8"/>
      <c r="C893" s="5"/>
      <c r="D893" s="5"/>
      <c r="E893" s="5"/>
    </row>
    <row r="894" ht="15.75" customHeight="1">
      <c r="A894" s="8"/>
      <c r="C894" s="5"/>
      <c r="D894" s="5"/>
      <c r="E894" s="5"/>
    </row>
    <row r="895" ht="15.75" customHeight="1">
      <c r="A895" s="8"/>
      <c r="C895" s="5"/>
      <c r="D895" s="5"/>
      <c r="E895" s="5"/>
    </row>
    <row r="896" ht="15.75" customHeight="1">
      <c r="A896" s="8"/>
      <c r="C896" s="5"/>
      <c r="D896" s="5"/>
      <c r="E896" s="5"/>
    </row>
    <row r="897" ht="15.75" customHeight="1">
      <c r="A897" s="8"/>
      <c r="C897" s="5"/>
      <c r="D897" s="5"/>
      <c r="E897" s="5"/>
    </row>
    <row r="898" ht="15.75" customHeight="1">
      <c r="A898" s="8"/>
      <c r="C898" s="5"/>
      <c r="D898" s="5"/>
      <c r="E898" s="5"/>
    </row>
    <row r="899" ht="15.75" customHeight="1">
      <c r="A899" s="8"/>
      <c r="C899" s="5"/>
      <c r="D899" s="5"/>
      <c r="E899" s="5"/>
    </row>
    <row r="900" ht="15.75" customHeight="1">
      <c r="A900" s="8"/>
      <c r="C900" s="5"/>
      <c r="D900" s="5"/>
      <c r="E900" s="5"/>
    </row>
    <row r="901" ht="15.75" customHeight="1">
      <c r="A901" s="8"/>
      <c r="C901" s="5"/>
      <c r="D901" s="5"/>
      <c r="E901" s="5"/>
    </row>
    <row r="902" ht="15.75" customHeight="1">
      <c r="A902" s="8"/>
      <c r="C902" s="5"/>
      <c r="D902" s="5"/>
      <c r="E902" s="5"/>
    </row>
    <row r="903" ht="15.75" customHeight="1">
      <c r="A903" s="8"/>
      <c r="C903" s="5"/>
      <c r="D903" s="5"/>
      <c r="E903" s="5"/>
    </row>
    <row r="904" ht="15.75" customHeight="1">
      <c r="A904" s="8"/>
      <c r="C904" s="5"/>
      <c r="D904" s="5"/>
      <c r="E904" s="5"/>
    </row>
    <row r="905" ht="15.75" customHeight="1">
      <c r="A905" s="8"/>
      <c r="C905" s="5"/>
      <c r="D905" s="5"/>
      <c r="E905" s="5"/>
    </row>
    <row r="906" ht="15.75" customHeight="1">
      <c r="A906" s="8"/>
      <c r="C906" s="5"/>
      <c r="D906" s="5"/>
      <c r="E906" s="5"/>
    </row>
    <row r="907" ht="15.75" customHeight="1">
      <c r="A907" s="8"/>
      <c r="C907" s="5"/>
      <c r="D907" s="5"/>
      <c r="E907" s="5"/>
    </row>
    <row r="908" ht="15.75" customHeight="1">
      <c r="A908" s="8"/>
      <c r="C908" s="5"/>
      <c r="D908" s="5"/>
      <c r="E908" s="5"/>
    </row>
    <row r="909" ht="15.75" customHeight="1">
      <c r="A909" s="8"/>
      <c r="C909" s="5"/>
      <c r="D909" s="5"/>
      <c r="E909" s="5"/>
    </row>
    <row r="910" ht="15.75" customHeight="1">
      <c r="A910" s="8"/>
      <c r="C910" s="5"/>
      <c r="D910" s="5"/>
      <c r="E910" s="5"/>
    </row>
    <row r="911" ht="15.75" customHeight="1">
      <c r="A911" s="8"/>
      <c r="C911" s="5"/>
      <c r="D911" s="5"/>
      <c r="E911" s="5"/>
    </row>
    <row r="912" ht="15.75" customHeight="1">
      <c r="A912" s="8"/>
      <c r="C912" s="5"/>
      <c r="D912" s="5"/>
      <c r="E912" s="5"/>
    </row>
    <row r="913" ht="15.75" customHeight="1">
      <c r="A913" s="8"/>
      <c r="C913" s="5"/>
      <c r="D913" s="5"/>
      <c r="E913" s="5"/>
    </row>
    <row r="914" ht="15.75" customHeight="1">
      <c r="A914" s="8"/>
      <c r="C914" s="5"/>
      <c r="D914" s="5"/>
      <c r="E914" s="5"/>
    </row>
    <row r="915" ht="15.75" customHeight="1">
      <c r="A915" s="8"/>
      <c r="C915" s="5"/>
      <c r="D915" s="5"/>
      <c r="E915" s="5"/>
    </row>
    <row r="916" ht="15.75" customHeight="1">
      <c r="A916" s="8"/>
      <c r="C916" s="5"/>
      <c r="D916" s="5"/>
      <c r="E916" s="5"/>
    </row>
    <row r="917" ht="15.75" customHeight="1">
      <c r="A917" s="8"/>
      <c r="C917" s="5"/>
      <c r="D917" s="5"/>
      <c r="E917" s="5"/>
    </row>
    <row r="918" ht="15.75" customHeight="1">
      <c r="A918" s="8"/>
      <c r="C918" s="5"/>
      <c r="D918" s="5"/>
      <c r="E918" s="5"/>
    </row>
    <row r="919" ht="15.75" customHeight="1">
      <c r="A919" s="8"/>
      <c r="C919" s="5"/>
      <c r="D919" s="5"/>
      <c r="E919" s="5"/>
    </row>
    <row r="920" ht="15.75" customHeight="1">
      <c r="A920" s="8"/>
      <c r="C920" s="5"/>
      <c r="D920" s="5"/>
      <c r="E920" s="5"/>
    </row>
    <row r="921" ht="15.75" customHeight="1">
      <c r="A921" s="8"/>
      <c r="C921" s="5"/>
      <c r="D921" s="5"/>
      <c r="E921" s="5"/>
    </row>
    <row r="922" ht="15.75" customHeight="1">
      <c r="A922" s="8"/>
      <c r="C922" s="5"/>
      <c r="D922" s="5"/>
      <c r="E922" s="5"/>
    </row>
    <row r="923" ht="15.75" customHeight="1">
      <c r="A923" s="8"/>
      <c r="C923" s="5"/>
      <c r="D923" s="5"/>
      <c r="E923" s="5"/>
    </row>
    <row r="924" ht="15.75" customHeight="1">
      <c r="A924" s="8"/>
      <c r="C924" s="5"/>
      <c r="D924" s="5"/>
      <c r="E924" s="5"/>
    </row>
    <row r="925" ht="15.75" customHeight="1">
      <c r="A925" s="8"/>
      <c r="C925" s="5"/>
      <c r="D925" s="5"/>
      <c r="E925" s="5"/>
    </row>
    <row r="926" ht="15.75" customHeight="1">
      <c r="A926" s="8"/>
      <c r="C926" s="5"/>
      <c r="D926" s="5"/>
      <c r="E926" s="5"/>
    </row>
    <row r="927" ht="15.75" customHeight="1">
      <c r="A927" s="8"/>
      <c r="C927" s="5"/>
      <c r="D927" s="5"/>
      <c r="E927" s="5"/>
    </row>
    <row r="928" ht="15.75" customHeight="1">
      <c r="A928" s="8"/>
      <c r="C928" s="5"/>
      <c r="D928" s="5"/>
      <c r="E928" s="5"/>
    </row>
    <row r="929" ht="15.75" customHeight="1">
      <c r="A929" s="8"/>
      <c r="C929" s="5"/>
      <c r="D929" s="5"/>
      <c r="E929" s="5"/>
    </row>
    <row r="930" ht="15.75" customHeight="1">
      <c r="A930" s="8"/>
      <c r="C930" s="5"/>
      <c r="D930" s="5"/>
      <c r="E930" s="5"/>
    </row>
    <row r="931" ht="15.75" customHeight="1">
      <c r="A931" s="8"/>
      <c r="C931" s="5"/>
      <c r="D931" s="5"/>
      <c r="E931" s="5"/>
    </row>
    <row r="932" ht="15.75" customHeight="1">
      <c r="A932" s="8"/>
      <c r="C932" s="5"/>
      <c r="D932" s="5"/>
      <c r="E932" s="5"/>
    </row>
    <row r="933" ht="15.75" customHeight="1">
      <c r="A933" s="8"/>
      <c r="C933" s="5"/>
      <c r="D933" s="5"/>
      <c r="E933" s="5"/>
    </row>
    <row r="934" ht="15.75" customHeight="1">
      <c r="A934" s="8"/>
      <c r="C934" s="5"/>
      <c r="D934" s="5"/>
      <c r="E934" s="5"/>
    </row>
    <row r="935" ht="15.75" customHeight="1">
      <c r="A935" s="8"/>
      <c r="C935" s="5"/>
      <c r="D935" s="5"/>
      <c r="E935" s="5"/>
    </row>
    <row r="936" ht="15.75" customHeight="1">
      <c r="A936" s="8"/>
      <c r="C936" s="5"/>
      <c r="D936" s="5"/>
      <c r="E936" s="5"/>
    </row>
    <row r="937" ht="15.75" customHeight="1">
      <c r="A937" s="8"/>
      <c r="C937" s="5"/>
      <c r="D937" s="5"/>
      <c r="E937" s="5"/>
    </row>
    <row r="938" ht="15.75" customHeight="1">
      <c r="A938" s="8"/>
      <c r="C938" s="5"/>
      <c r="D938" s="5"/>
      <c r="E938" s="5"/>
    </row>
    <row r="939" ht="15.75" customHeight="1">
      <c r="A939" s="8"/>
      <c r="C939" s="5"/>
      <c r="D939" s="5"/>
      <c r="E939" s="5"/>
    </row>
    <row r="940" ht="15.75" customHeight="1">
      <c r="A940" s="8"/>
      <c r="C940" s="5"/>
      <c r="D940" s="5"/>
      <c r="E940" s="5"/>
    </row>
    <row r="941" ht="15.75" customHeight="1">
      <c r="A941" s="8"/>
      <c r="C941" s="5"/>
      <c r="D941" s="5"/>
      <c r="E941" s="5"/>
    </row>
    <row r="942" ht="15.75" customHeight="1">
      <c r="A942" s="8"/>
      <c r="C942" s="5"/>
      <c r="D942" s="5"/>
      <c r="E942" s="5"/>
    </row>
    <row r="943" ht="15.75" customHeight="1">
      <c r="A943" s="8"/>
      <c r="C943" s="5"/>
      <c r="D943" s="5"/>
      <c r="E943" s="5"/>
    </row>
    <row r="944" ht="15.75" customHeight="1">
      <c r="A944" s="8"/>
      <c r="C944" s="5"/>
      <c r="D944" s="5"/>
      <c r="E944" s="5"/>
    </row>
    <row r="945" ht="15.75" customHeight="1">
      <c r="A945" s="8"/>
      <c r="C945" s="5"/>
      <c r="D945" s="5"/>
      <c r="E945" s="5"/>
    </row>
    <row r="946" ht="15.75" customHeight="1">
      <c r="A946" s="8"/>
      <c r="C946" s="5"/>
      <c r="D946" s="5"/>
      <c r="E946" s="5"/>
    </row>
    <row r="947" ht="15.75" customHeight="1">
      <c r="A947" s="8"/>
      <c r="C947" s="5"/>
      <c r="D947" s="5"/>
      <c r="E947" s="5"/>
    </row>
    <row r="948" ht="15.75" customHeight="1">
      <c r="A948" s="8"/>
      <c r="C948" s="5"/>
      <c r="D948" s="5"/>
      <c r="E948" s="5"/>
    </row>
    <row r="949" ht="15.75" customHeight="1">
      <c r="A949" s="8"/>
      <c r="C949" s="5"/>
      <c r="D949" s="5"/>
      <c r="E949" s="5"/>
    </row>
    <row r="950" ht="15.75" customHeight="1">
      <c r="A950" s="8"/>
      <c r="C950" s="5"/>
      <c r="D950" s="5"/>
      <c r="E950" s="5"/>
    </row>
    <row r="951" ht="15.75" customHeight="1">
      <c r="A951" s="8"/>
      <c r="C951" s="5"/>
      <c r="D951" s="5"/>
      <c r="E951" s="5"/>
    </row>
    <row r="952" ht="15.75" customHeight="1">
      <c r="A952" s="8"/>
      <c r="C952" s="5"/>
      <c r="D952" s="5"/>
      <c r="E952" s="5"/>
    </row>
    <row r="953" ht="15.75" customHeight="1">
      <c r="A953" s="8"/>
      <c r="C953" s="5"/>
      <c r="D953" s="5"/>
      <c r="E953" s="5"/>
    </row>
    <row r="954" ht="15.75" customHeight="1">
      <c r="A954" s="8"/>
      <c r="C954" s="5"/>
      <c r="D954" s="5"/>
      <c r="E954" s="5"/>
    </row>
    <row r="955" ht="15.75" customHeight="1">
      <c r="A955" s="8"/>
      <c r="C955" s="5"/>
      <c r="D955" s="5"/>
      <c r="E955" s="5"/>
    </row>
    <row r="956" ht="15.75" customHeight="1">
      <c r="A956" s="8"/>
      <c r="C956" s="5"/>
      <c r="D956" s="5"/>
      <c r="E956" s="5"/>
    </row>
    <row r="957" ht="15.75" customHeight="1">
      <c r="A957" s="8"/>
      <c r="C957" s="5"/>
      <c r="D957" s="5"/>
      <c r="E957" s="5"/>
    </row>
    <row r="958" ht="15.75" customHeight="1">
      <c r="A958" s="8"/>
      <c r="C958" s="5"/>
      <c r="D958" s="5"/>
      <c r="E958" s="5"/>
    </row>
    <row r="959" ht="15.75" customHeight="1">
      <c r="A959" s="8"/>
      <c r="C959" s="5"/>
      <c r="D959" s="5"/>
      <c r="E959" s="5"/>
    </row>
    <row r="960" ht="15.75" customHeight="1">
      <c r="A960" s="8"/>
      <c r="C960" s="5"/>
      <c r="D960" s="5"/>
      <c r="E960" s="5"/>
    </row>
    <row r="961" ht="15.75" customHeight="1">
      <c r="A961" s="8"/>
      <c r="C961" s="5"/>
      <c r="D961" s="5"/>
      <c r="E961" s="5"/>
    </row>
    <row r="962" ht="15.75" customHeight="1">
      <c r="A962" s="8"/>
      <c r="C962" s="5"/>
      <c r="D962" s="5"/>
      <c r="E962" s="5"/>
    </row>
    <row r="963" ht="15.75" customHeight="1">
      <c r="A963" s="8"/>
      <c r="C963" s="5"/>
      <c r="D963" s="5"/>
      <c r="E963" s="5"/>
    </row>
    <row r="964" ht="15.75" customHeight="1">
      <c r="A964" s="8"/>
      <c r="C964" s="5"/>
      <c r="D964" s="5"/>
      <c r="E964" s="5"/>
    </row>
    <row r="965" ht="15.75" customHeight="1">
      <c r="A965" s="8"/>
      <c r="C965" s="5"/>
      <c r="D965" s="5"/>
      <c r="E965" s="5"/>
    </row>
    <row r="966" ht="15.75" customHeight="1">
      <c r="A966" s="8"/>
      <c r="C966" s="5"/>
      <c r="D966" s="5"/>
      <c r="E966" s="5"/>
    </row>
    <row r="967" ht="15.75" customHeight="1">
      <c r="A967" s="8"/>
      <c r="C967" s="5"/>
      <c r="D967" s="5"/>
      <c r="E967" s="5"/>
    </row>
    <row r="968" ht="15.75" customHeight="1">
      <c r="A968" s="8"/>
      <c r="C968" s="5"/>
      <c r="D968" s="5"/>
      <c r="E968" s="5"/>
    </row>
    <row r="969" ht="15.75" customHeight="1">
      <c r="A969" s="8"/>
      <c r="C969" s="5"/>
      <c r="D969" s="5"/>
      <c r="E969" s="5"/>
    </row>
    <row r="970" ht="15.75" customHeight="1">
      <c r="A970" s="8"/>
      <c r="C970" s="5"/>
      <c r="D970" s="5"/>
      <c r="E970" s="5"/>
    </row>
    <row r="971" ht="15.75" customHeight="1">
      <c r="A971" s="8"/>
      <c r="C971" s="5"/>
      <c r="D971" s="5"/>
      <c r="E971" s="5"/>
    </row>
    <row r="972" ht="15.75" customHeight="1">
      <c r="A972" s="8"/>
      <c r="C972" s="5"/>
      <c r="D972" s="5"/>
      <c r="E972" s="5"/>
    </row>
    <row r="973" ht="15.75" customHeight="1">
      <c r="A973" s="8"/>
      <c r="C973" s="5"/>
      <c r="D973" s="5"/>
      <c r="E973" s="5"/>
    </row>
    <row r="974" ht="15.75" customHeight="1">
      <c r="A974" s="8"/>
      <c r="C974" s="5"/>
      <c r="D974" s="5"/>
      <c r="E974" s="5"/>
    </row>
    <row r="975" ht="15.75" customHeight="1">
      <c r="A975" s="8"/>
      <c r="C975" s="5"/>
      <c r="D975" s="5"/>
      <c r="E975" s="5"/>
    </row>
    <row r="976" ht="15.75" customHeight="1">
      <c r="A976" s="8"/>
      <c r="C976" s="5"/>
      <c r="D976" s="5"/>
      <c r="E976" s="5"/>
    </row>
    <row r="977" ht="15.75" customHeight="1">
      <c r="A977" s="8"/>
      <c r="C977" s="5"/>
      <c r="D977" s="5"/>
      <c r="E977" s="5"/>
    </row>
    <row r="978" ht="15.75" customHeight="1">
      <c r="A978" s="8"/>
      <c r="C978" s="5"/>
      <c r="D978" s="5"/>
      <c r="E978" s="5"/>
    </row>
    <row r="979" ht="15.75" customHeight="1">
      <c r="A979" s="8"/>
      <c r="C979" s="5"/>
      <c r="D979" s="5"/>
      <c r="E979" s="5"/>
    </row>
    <row r="980" ht="15.75" customHeight="1">
      <c r="A980" s="8"/>
      <c r="C980" s="5"/>
      <c r="D980" s="5"/>
      <c r="E980" s="5"/>
    </row>
    <row r="981" ht="15.75" customHeight="1">
      <c r="A981" s="8"/>
      <c r="C981" s="5"/>
      <c r="D981" s="5"/>
      <c r="E981" s="5"/>
    </row>
    <row r="982" ht="15.75" customHeight="1">
      <c r="A982" s="8"/>
      <c r="C982" s="5"/>
      <c r="D982" s="5"/>
      <c r="E982" s="5"/>
    </row>
    <row r="983" ht="15.75" customHeight="1">
      <c r="A983" s="8"/>
      <c r="C983" s="5"/>
      <c r="D983" s="5"/>
      <c r="E983" s="5"/>
    </row>
    <row r="984" ht="15.75" customHeight="1">
      <c r="A984" s="8"/>
      <c r="C984" s="5"/>
      <c r="D984" s="5"/>
      <c r="E984" s="5"/>
    </row>
    <row r="985" ht="15.75" customHeight="1">
      <c r="A985" s="8"/>
      <c r="C985" s="5"/>
      <c r="D985" s="5"/>
      <c r="E985" s="5"/>
    </row>
    <row r="986" ht="15.75" customHeight="1">
      <c r="A986" s="8"/>
      <c r="C986" s="5"/>
      <c r="D986" s="5"/>
      <c r="E986" s="5"/>
    </row>
    <row r="987" ht="15.75" customHeight="1">
      <c r="A987" s="8"/>
      <c r="C987" s="5"/>
      <c r="D987" s="5"/>
      <c r="E987" s="5"/>
    </row>
    <row r="988" ht="15.75" customHeight="1">
      <c r="A988" s="8"/>
      <c r="C988" s="5"/>
      <c r="D988" s="5"/>
      <c r="E988" s="5"/>
    </row>
    <row r="989" ht="15.75" customHeight="1">
      <c r="A989" s="8"/>
      <c r="C989" s="5"/>
      <c r="D989" s="5"/>
      <c r="E989" s="5"/>
    </row>
    <row r="990" ht="15.75" customHeight="1">
      <c r="A990" s="8"/>
      <c r="C990" s="5"/>
      <c r="D990" s="5"/>
      <c r="E990" s="5"/>
    </row>
    <row r="991" ht="15.75" customHeight="1">
      <c r="A991" s="8"/>
      <c r="C991" s="5"/>
      <c r="D991" s="5"/>
      <c r="E991" s="5"/>
    </row>
    <row r="992" ht="15.75" customHeight="1">
      <c r="A992" s="8"/>
      <c r="C992" s="5"/>
      <c r="D992" s="5"/>
      <c r="E992" s="5"/>
    </row>
    <row r="993" ht="15.75" customHeight="1">
      <c r="A993" s="8"/>
      <c r="C993" s="5"/>
      <c r="D993" s="5"/>
      <c r="E993" s="5"/>
    </row>
    <row r="994" ht="15.75" customHeight="1">
      <c r="A994" s="8"/>
      <c r="C994" s="5"/>
      <c r="D994" s="5"/>
      <c r="E994" s="5"/>
    </row>
    <row r="995" ht="15.75" customHeight="1">
      <c r="A995" s="8"/>
      <c r="C995" s="5"/>
      <c r="D995" s="5"/>
      <c r="E995" s="5"/>
    </row>
    <row r="996" ht="15.75" customHeight="1">
      <c r="A996" s="8"/>
      <c r="C996" s="5"/>
      <c r="D996" s="5"/>
      <c r="E996" s="5"/>
    </row>
    <row r="997" ht="15.75" customHeight="1">
      <c r="A997" s="8"/>
      <c r="C997" s="5"/>
      <c r="D997" s="5"/>
      <c r="E997" s="5"/>
    </row>
    <row r="998" ht="15.75" customHeight="1">
      <c r="A998" s="8"/>
      <c r="C998" s="5"/>
      <c r="D998" s="5"/>
      <c r="E998" s="5"/>
    </row>
    <row r="999" ht="15.75" customHeight="1">
      <c r="A999" s="8"/>
      <c r="C999" s="5"/>
      <c r="D999" s="5"/>
      <c r="E999" s="5"/>
    </row>
    <row r="1000" ht="15.75" customHeight="1">
      <c r="A1000" s="8"/>
      <c r="C1000" s="5"/>
      <c r="D1000" s="5"/>
      <c r="E1000" s="5"/>
    </row>
  </sheetData>
  <autoFilter ref="$A$4:$I$873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80.78"/>
    <col customWidth="1" min="3" max="4" width="21.11"/>
    <col customWidth="1" min="5" max="5" width="19.11"/>
    <col customWidth="1" min="6" max="6" width="26.44"/>
    <col customWidth="1" min="7" max="7" width="38.33"/>
    <col customWidth="1" min="8" max="8" width="58.67"/>
    <col customWidth="1" min="9" max="9" width="49.11"/>
    <col customWidth="1" min="10" max="26" width="10.56"/>
  </cols>
  <sheetData>
    <row r="1" ht="15.75" customHeight="1">
      <c r="A1" s="2" t="s">
        <v>2</v>
      </c>
      <c r="B1" s="3" t="s">
        <v>4</v>
      </c>
      <c r="C1" s="5" t="s">
        <v>6</v>
      </c>
      <c r="D1" s="5" t="s">
        <v>6</v>
      </c>
      <c r="E1" s="5" t="s">
        <v>6</v>
      </c>
      <c r="F1" s="6" t="s">
        <v>6</v>
      </c>
      <c r="G1" s="6" t="s">
        <v>6</v>
      </c>
    </row>
    <row r="2" ht="15.75" customHeight="1">
      <c r="A2" s="2" t="s">
        <v>8</v>
      </c>
      <c r="C2" s="5" t="s">
        <v>6</v>
      </c>
      <c r="D2" s="5" t="s">
        <v>6</v>
      </c>
      <c r="E2" s="5" t="s">
        <v>6</v>
      </c>
      <c r="F2" s="6" t="s">
        <v>6</v>
      </c>
    </row>
    <row r="3" ht="15.75" customHeight="1">
      <c r="A3" s="8"/>
      <c r="C3" s="5"/>
      <c r="D3" s="5"/>
      <c r="E3" s="5"/>
    </row>
    <row r="4" ht="15.75" customHeight="1">
      <c r="A4" s="1" t="s">
        <v>10</v>
      </c>
      <c r="B4" s="9" t="s">
        <v>12</v>
      </c>
      <c r="C4" s="10"/>
      <c r="D4" s="10"/>
      <c r="E4" s="10">
        <v>3.4777610434099994E9</v>
      </c>
    </row>
    <row r="5" ht="15.75" hidden="1" customHeight="1">
      <c r="A5" s="8">
        <v>46024.0</v>
      </c>
      <c r="B5" s="4" t="s">
        <v>14</v>
      </c>
      <c r="C5" s="5">
        <v>0.0</v>
      </c>
      <c r="D5" s="5">
        <v>2.7489E7</v>
      </c>
      <c r="E5" s="5">
        <f t="shared" ref="E5:E1068" si="1">E4-C5+D5</f>
        <v>3505250043</v>
      </c>
      <c r="F5" s="14" t="s">
        <v>24</v>
      </c>
      <c r="G5" s="14" t="s">
        <v>26</v>
      </c>
      <c r="H5" s="14" t="s">
        <v>27</v>
      </c>
      <c r="I5" s="16" t="s">
        <v>29</v>
      </c>
    </row>
    <row r="6" ht="15.75" hidden="1" customHeight="1">
      <c r="A6" s="8">
        <v>46026.0</v>
      </c>
      <c r="B6" s="4" t="s">
        <v>34</v>
      </c>
      <c r="C6" s="5">
        <v>1.09792173E8</v>
      </c>
      <c r="D6" s="5">
        <v>0.0</v>
      </c>
      <c r="E6" s="5">
        <f t="shared" si="1"/>
        <v>3395457870</v>
      </c>
      <c r="F6" s="14" t="s">
        <v>18</v>
      </c>
      <c r="G6" s="14" t="s">
        <v>25</v>
      </c>
      <c r="H6" s="14" t="s">
        <v>38</v>
      </c>
      <c r="I6" s="16"/>
    </row>
    <row r="7" ht="15.75" hidden="1" customHeight="1">
      <c r="A7" s="8">
        <v>46026.0</v>
      </c>
      <c r="B7" s="4" t="s">
        <v>40</v>
      </c>
      <c r="C7" s="5">
        <v>2500.0</v>
      </c>
      <c r="D7" s="5">
        <v>0.0</v>
      </c>
      <c r="E7" s="5">
        <f t="shared" si="1"/>
        <v>3395455370</v>
      </c>
      <c r="F7" s="14" t="s">
        <v>43</v>
      </c>
      <c r="G7" s="14" t="s">
        <v>45</v>
      </c>
      <c r="H7" s="14"/>
      <c r="I7" s="16"/>
    </row>
    <row r="8" ht="15.75" hidden="1" customHeight="1">
      <c r="A8" s="8">
        <v>46027.0</v>
      </c>
      <c r="B8" s="4" t="s">
        <v>49</v>
      </c>
      <c r="C8" s="5">
        <v>1.8003677E8</v>
      </c>
      <c r="D8" s="5">
        <v>0.0</v>
      </c>
      <c r="E8" s="5">
        <f t="shared" si="1"/>
        <v>3215418600</v>
      </c>
      <c r="F8" s="14" t="s">
        <v>18</v>
      </c>
      <c r="G8" s="14" t="s">
        <v>25</v>
      </c>
      <c r="H8" s="14" t="s">
        <v>55</v>
      </c>
      <c r="I8" s="16"/>
    </row>
    <row r="9" ht="15.75" hidden="1" customHeight="1">
      <c r="A9" s="8">
        <v>46027.0</v>
      </c>
      <c r="B9" s="4" t="s">
        <v>57</v>
      </c>
      <c r="C9" s="5">
        <v>2500.0</v>
      </c>
      <c r="D9" s="5">
        <v>0.0</v>
      </c>
      <c r="E9" s="5">
        <f t="shared" si="1"/>
        <v>3215416100</v>
      </c>
      <c r="F9" s="14" t="s">
        <v>43</v>
      </c>
      <c r="G9" s="14" t="s">
        <v>45</v>
      </c>
      <c r="H9" s="14"/>
      <c r="I9" s="16"/>
    </row>
    <row r="10" ht="15.75" hidden="1" customHeight="1">
      <c r="A10" s="8">
        <v>46027.0</v>
      </c>
      <c r="B10" s="4" t="s">
        <v>66</v>
      </c>
      <c r="C10" s="5">
        <v>2.5221305E7</v>
      </c>
      <c r="D10" s="5">
        <v>0.0</v>
      </c>
      <c r="E10" s="5">
        <f t="shared" si="1"/>
        <v>3190194795</v>
      </c>
      <c r="F10" s="14" t="s">
        <v>18</v>
      </c>
      <c r="G10" s="14" t="s">
        <v>25</v>
      </c>
      <c r="H10" s="14" t="s">
        <v>70</v>
      </c>
      <c r="I10" s="16"/>
    </row>
    <row r="11" ht="15.75" hidden="1" customHeight="1">
      <c r="A11" s="8">
        <v>46027.0</v>
      </c>
      <c r="B11" s="4" t="s">
        <v>73</v>
      </c>
      <c r="C11" s="5">
        <v>2500.0</v>
      </c>
      <c r="D11" s="5">
        <v>0.0</v>
      </c>
      <c r="E11" s="5">
        <f t="shared" si="1"/>
        <v>3190192295</v>
      </c>
      <c r="F11" s="14" t="s">
        <v>43</v>
      </c>
      <c r="G11" s="14" t="s">
        <v>45</v>
      </c>
      <c r="H11" s="14"/>
      <c r="I11" s="16"/>
    </row>
    <row r="12" ht="15.75" hidden="1" customHeight="1">
      <c r="A12" s="8">
        <v>46029.0</v>
      </c>
      <c r="B12" s="4" t="s">
        <v>83</v>
      </c>
      <c r="C12" s="5">
        <v>0.0</v>
      </c>
      <c r="D12" s="5">
        <v>8.555796E7</v>
      </c>
      <c r="E12" s="5">
        <f t="shared" si="1"/>
        <v>3275750255</v>
      </c>
      <c r="F12" s="14" t="s">
        <v>24</v>
      </c>
      <c r="G12" s="14" t="s">
        <v>26</v>
      </c>
      <c r="H12" s="14" t="s">
        <v>87</v>
      </c>
      <c r="I12" s="14" t="s">
        <v>88</v>
      </c>
    </row>
    <row r="13" ht="15.75" hidden="1" customHeight="1">
      <c r="A13" s="8">
        <v>46029.0</v>
      </c>
      <c r="B13" s="4" t="s">
        <v>83</v>
      </c>
      <c r="C13" s="5">
        <v>0.0</v>
      </c>
      <c r="D13" s="5">
        <v>8.77492E7</v>
      </c>
      <c r="E13" s="5">
        <f t="shared" si="1"/>
        <v>3363499455</v>
      </c>
      <c r="F13" s="14" t="s">
        <v>24</v>
      </c>
      <c r="G13" s="14" t="s">
        <v>26</v>
      </c>
      <c r="H13" s="14" t="s">
        <v>87</v>
      </c>
      <c r="I13" s="14" t="s">
        <v>95</v>
      </c>
    </row>
    <row r="14" ht="15.75" hidden="1" customHeight="1">
      <c r="A14" s="8">
        <v>46030.0</v>
      </c>
      <c r="B14" s="4" t="s">
        <v>98</v>
      </c>
      <c r="C14" s="5">
        <v>6060000.0</v>
      </c>
      <c r="D14" s="5">
        <v>0.0</v>
      </c>
      <c r="E14" s="5">
        <f t="shared" si="1"/>
        <v>3357439455</v>
      </c>
      <c r="F14" s="14" t="s">
        <v>58</v>
      </c>
      <c r="G14" s="14" t="s">
        <v>59</v>
      </c>
      <c r="H14" s="14" t="s">
        <v>100</v>
      </c>
      <c r="I14" s="16"/>
    </row>
    <row r="15" ht="15.75" hidden="1" customHeight="1">
      <c r="A15" s="8">
        <v>46030.0</v>
      </c>
      <c r="B15" s="4" t="s">
        <v>102</v>
      </c>
      <c r="C15" s="5">
        <v>2500.0</v>
      </c>
      <c r="D15" s="5">
        <v>0.0</v>
      </c>
      <c r="E15" s="5">
        <f t="shared" si="1"/>
        <v>3357436955</v>
      </c>
      <c r="F15" s="14" t="s">
        <v>43</v>
      </c>
      <c r="G15" s="14" t="s">
        <v>45</v>
      </c>
      <c r="H15" s="14"/>
      <c r="I15" s="16"/>
    </row>
    <row r="16" ht="15.75" hidden="1" customHeight="1">
      <c r="A16" s="8">
        <v>46030.0</v>
      </c>
      <c r="B16" s="4" t="s">
        <v>107</v>
      </c>
      <c r="C16" s="5">
        <v>3300000.0</v>
      </c>
      <c r="D16" s="5">
        <v>0.0</v>
      </c>
      <c r="E16" s="5">
        <f t="shared" si="1"/>
        <v>3354136955</v>
      </c>
      <c r="F16" s="14" t="s">
        <v>58</v>
      </c>
      <c r="G16" s="14" t="s">
        <v>59</v>
      </c>
      <c r="H16" s="14" t="s">
        <v>111</v>
      </c>
      <c r="I16" s="16"/>
    </row>
    <row r="17" ht="15.75" hidden="1" customHeight="1">
      <c r="A17" s="8">
        <v>46030.0</v>
      </c>
      <c r="B17" s="4" t="s">
        <v>113</v>
      </c>
      <c r="C17" s="5">
        <v>2500.0</v>
      </c>
      <c r="D17" s="5">
        <v>0.0</v>
      </c>
      <c r="E17" s="5">
        <f t="shared" si="1"/>
        <v>3354134455</v>
      </c>
      <c r="F17" s="14" t="s">
        <v>43</v>
      </c>
      <c r="G17" s="14" t="s">
        <v>45</v>
      </c>
      <c r="H17" s="14"/>
      <c r="I17" s="16"/>
    </row>
    <row r="18" ht="15.75" hidden="1" customHeight="1">
      <c r="A18" s="8">
        <v>46030.0</v>
      </c>
      <c r="B18" s="4" t="s">
        <v>120</v>
      </c>
      <c r="C18" s="5">
        <v>5.4839E7</v>
      </c>
      <c r="D18" s="5">
        <v>0.0</v>
      </c>
      <c r="E18" s="5">
        <f t="shared" si="1"/>
        <v>3299295455</v>
      </c>
      <c r="F18" s="14" t="s">
        <v>24</v>
      </c>
      <c r="G18" s="14" t="s">
        <v>125</v>
      </c>
      <c r="H18" s="14" t="s">
        <v>126</v>
      </c>
      <c r="I18" s="16"/>
    </row>
    <row r="19" ht="15.75" hidden="1" customHeight="1">
      <c r="A19" s="8">
        <v>46030.0</v>
      </c>
      <c r="B19" s="4" t="s">
        <v>128</v>
      </c>
      <c r="C19" s="5">
        <v>2500.0</v>
      </c>
      <c r="D19" s="5">
        <v>0.0</v>
      </c>
      <c r="E19" s="5">
        <f t="shared" si="1"/>
        <v>3299292955</v>
      </c>
      <c r="F19" s="14" t="s">
        <v>43</v>
      </c>
      <c r="G19" s="14" t="s">
        <v>45</v>
      </c>
      <c r="H19" s="14"/>
      <c r="I19" s="16"/>
    </row>
    <row r="20" ht="15.75" hidden="1" customHeight="1">
      <c r="A20" s="8">
        <v>46031.0</v>
      </c>
      <c r="B20" s="4" t="s">
        <v>140</v>
      </c>
      <c r="C20" s="5">
        <v>0.0</v>
      </c>
      <c r="D20" s="5">
        <v>5.9682299E7</v>
      </c>
      <c r="E20" s="5">
        <f t="shared" si="1"/>
        <v>3358975254</v>
      </c>
      <c r="F20" s="14" t="s">
        <v>24</v>
      </c>
      <c r="G20" s="14" t="s">
        <v>26</v>
      </c>
      <c r="H20" s="14" t="s">
        <v>142</v>
      </c>
      <c r="I20" s="16" t="s">
        <v>143</v>
      </c>
    </row>
    <row r="21" ht="15.75" hidden="1" customHeight="1">
      <c r="A21" s="8">
        <v>46031.0</v>
      </c>
      <c r="B21" s="4" t="s">
        <v>146</v>
      </c>
      <c r="C21" s="5">
        <v>0.0</v>
      </c>
      <c r="D21" s="5">
        <v>4.21914696E7</v>
      </c>
      <c r="E21" s="5">
        <f t="shared" si="1"/>
        <v>3401166724</v>
      </c>
      <c r="F21" s="14" t="s">
        <v>24</v>
      </c>
      <c r="G21" s="14" t="s">
        <v>26</v>
      </c>
      <c r="H21" s="14" t="s">
        <v>149</v>
      </c>
      <c r="I21" s="16" t="s">
        <v>150</v>
      </c>
    </row>
    <row r="22" ht="15.75" hidden="1" customHeight="1">
      <c r="A22" s="8">
        <v>46031.0</v>
      </c>
      <c r="B22" s="4" t="s">
        <v>146</v>
      </c>
      <c r="C22" s="5">
        <v>0.0</v>
      </c>
      <c r="D22" s="5">
        <v>7.267744582E7</v>
      </c>
      <c r="E22" s="5">
        <f t="shared" si="1"/>
        <v>3473844170</v>
      </c>
      <c r="F22" s="14" t="s">
        <v>24</v>
      </c>
      <c r="G22" s="14" t="s">
        <v>26</v>
      </c>
      <c r="H22" s="14" t="s">
        <v>152</v>
      </c>
      <c r="I22" s="16" t="s">
        <v>154</v>
      </c>
    </row>
    <row r="23" ht="15.75" hidden="1" customHeight="1">
      <c r="A23" s="8">
        <v>46031.0</v>
      </c>
      <c r="B23" s="4" t="s">
        <v>146</v>
      </c>
      <c r="C23" s="5">
        <v>0.0</v>
      </c>
      <c r="D23" s="5">
        <f>218359111-D21-D22</f>
        <v>103490195.6</v>
      </c>
      <c r="E23" s="5">
        <f t="shared" si="1"/>
        <v>3577334365</v>
      </c>
      <c r="F23" s="14" t="s">
        <v>24</v>
      </c>
      <c r="G23" s="14" t="s">
        <v>26</v>
      </c>
      <c r="H23" s="14" t="s">
        <v>162</v>
      </c>
      <c r="I23" s="16" t="s">
        <v>163</v>
      </c>
    </row>
    <row r="24" ht="15.75" hidden="1" customHeight="1">
      <c r="A24" s="8">
        <v>46033.0</v>
      </c>
      <c r="B24" s="4" t="s">
        <v>166</v>
      </c>
      <c r="C24" s="5">
        <v>4.82E7</v>
      </c>
      <c r="D24" s="5">
        <v>0.0</v>
      </c>
      <c r="E24" s="5">
        <f t="shared" si="1"/>
        <v>3529134365</v>
      </c>
      <c r="F24" s="14" t="s">
        <v>18</v>
      </c>
      <c r="G24" s="14" t="s">
        <v>25</v>
      </c>
      <c r="H24" s="14" t="s">
        <v>170</v>
      </c>
      <c r="I24" s="16"/>
    </row>
    <row r="25" ht="15.75" hidden="1" customHeight="1">
      <c r="A25" s="8">
        <v>46034.0</v>
      </c>
      <c r="B25" s="4" t="s">
        <v>172</v>
      </c>
      <c r="C25" s="5">
        <v>0.0</v>
      </c>
      <c r="D25" s="5">
        <v>6.8575268E7</v>
      </c>
      <c r="E25" s="5">
        <f t="shared" si="1"/>
        <v>3597709633</v>
      </c>
      <c r="F25" s="14" t="s">
        <v>24</v>
      </c>
      <c r="G25" s="14" t="s">
        <v>26</v>
      </c>
      <c r="H25" s="14" t="s">
        <v>174</v>
      </c>
      <c r="I25" s="16" t="s">
        <v>175</v>
      </c>
    </row>
    <row r="26" ht="15.75" hidden="1" customHeight="1">
      <c r="A26" s="8">
        <v>46034.0</v>
      </c>
      <c r="B26" s="4" t="s">
        <v>177</v>
      </c>
      <c r="C26" s="5">
        <v>0.0</v>
      </c>
      <c r="D26" s="5">
        <v>3.09412558E8</v>
      </c>
      <c r="E26" s="5">
        <f t="shared" si="1"/>
        <v>3907122191</v>
      </c>
      <c r="F26" s="14" t="s">
        <v>24</v>
      </c>
      <c r="G26" s="14" t="s">
        <v>26</v>
      </c>
      <c r="H26" s="14" t="s">
        <v>179</v>
      </c>
      <c r="I26" s="16" t="s">
        <v>181</v>
      </c>
    </row>
    <row r="27" ht="15.75" hidden="1" customHeight="1">
      <c r="A27" s="8">
        <v>46036.0</v>
      </c>
      <c r="B27" s="4" t="s">
        <v>182</v>
      </c>
      <c r="C27" s="5">
        <f>2350000-C28</f>
        <v>2324150</v>
      </c>
      <c r="D27" s="5">
        <v>0.0</v>
      </c>
      <c r="E27" s="5">
        <f t="shared" si="1"/>
        <v>3904798041</v>
      </c>
      <c r="F27" s="14" t="s">
        <v>18</v>
      </c>
      <c r="G27" s="14" t="s">
        <v>80</v>
      </c>
      <c r="H27" s="14" t="s">
        <v>90</v>
      </c>
      <c r="I27" s="16"/>
    </row>
    <row r="28" ht="15.75" hidden="1" customHeight="1">
      <c r="A28" s="8">
        <v>46036.0</v>
      </c>
      <c r="B28" s="4" t="s">
        <v>182</v>
      </c>
      <c r="C28" s="5">
        <v>25850.0</v>
      </c>
      <c r="D28" s="5">
        <v>0.0</v>
      </c>
      <c r="E28" s="5">
        <f t="shared" si="1"/>
        <v>3904772191</v>
      </c>
      <c r="F28" s="14" t="s">
        <v>18</v>
      </c>
      <c r="G28" s="14" t="s">
        <v>194</v>
      </c>
      <c r="H28" s="14" t="s">
        <v>195</v>
      </c>
      <c r="I28" s="16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hidden="1" customHeight="1">
      <c r="A29" s="8">
        <v>46036.0</v>
      </c>
      <c r="B29" s="4" t="s">
        <v>202</v>
      </c>
      <c r="C29" s="5">
        <v>4186152.0</v>
      </c>
      <c r="D29" s="5">
        <v>0.0</v>
      </c>
      <c r="E29" s="5">
        <f t="shared" si="1"/>
        <v>3900586039</v>
      </c>
      <c r="F29" s="14" t="s">
        <v>24</v>
      </c>
      <c r="G29" s="14" t="s">
        <v>125</v>
      </c>
      <c r="H29" s="14" t="s">
        <v>204</v>
      </c>
      <c r="I29" s="16"/>
    </row>
    <row r="30" ht="15.75" hidden="1" customHeight="1">
      <c r="A30" s="8">
        <v>46036.0</v>
      </c>
      <c r="B30" s="4" t="s">
        <v>206</v>
      </c>
      <c r="C30" s="5">
        <v>2500.0</v>
      </c>
      <c r="D30" s="5">
        <v>0.0</v>
      </c>
      <c r="E30" s="5">
        <f t="shared" si="1"/>
        <v>3900583539</v>
      </c>
      <c r="F30" s="14" t="s">
        <v>43</v>
      </c>
      <c r="G30" s="14" t="s">
        <v>45</v>
      </c>
      <c r="H30" s="14"/>
      <c r="I30" s="16"/>
    </row>
    <row r="31" ht="15.75" hidden="1" customHeight="1">
      <c r="A31" s="8">
        <v>46036.0</v>
      </c>
      <c r="B31" s="14" t="s">
        <v>209</v>
      </c>
      <c r="C31" s="5">
        <v>2.6477285E7</v>
      </c>
      <c r="D31" s="5">
        <v>0.0</v>
      </c>
      <c r="E31" s="5">
        <f t="shared" si="1"/>
        <v>3874106254</v>
      </c>
      <c r="F31" s="14" t="s">
        <v>58</v>
      </c>
      <c r="G31" s="14" t="s">
        <v>59</v>
      </c>
      <c r="H31" s="14" t="s">
        <v>211</v>
      </c>
      <c r="I31" s="1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hidden="1" customHeight="1">
      <c r="A32" s="8">
        <v>46036.0</v>
      </c>
      <c r="B32" s="4" t="s">
        <v>214</v>
      </c>
      <c r="C32" s="5">
        <v>2.9891425E7</v>
      </c>
      <c r="D32" s="5">
        <v>0.0</v>
      </c>
      <c r="E32" s="5">
        <f t="shared" si="1"/>
        <v>3844214829</v>
      </c>
      <c r="F32" s="14" t="s">
        <v>24</v>
      </c>
      <c r="G32" s="14" t="s">
        <v>125</v>
      </c>
      <c r="H32" s="14" t="s">
        <v>204</v>
      </c>
      <c r="I32" s="16"/>
    </row>
    <row r="33" ht="15.75" hidden="1" customHeight="1">
      <c r="A33" s="8">
        <v>46036.0</v>
      </c>
      <c r="B33" s="4" t="s">
        <v>218</v>
      </c>
      <c r="C33" s="5">
        <v>2500.0</v>
      </c>
      <c r="D33" s="5">
        <v>0.0</v>
      </c>
      <c r="E33" s="5">
        <f t="shared" si="1"/>
        <v>3844212329</v>
      </c>
      <c r="F33" s="14" t="s">
        <v>43</v>
      </c>
      <c r="G33" s="14" t="s">
        <v>45</v>
      </c>
      <c r="H33" s="14"/>
      <c r="I33" s="16"/>
    </row>
    <row r="34" ht="15.75" hidden="1" customHeight="1">
      <c r="A34" s="8">
        <v>46036.0</v>
      </c>
      <c r="B34" s="4" t="s">
        <v>224</v>
      </c>
      <c r="C34" s="5">
        <v>2313850.0</v>
      </c>
      <c r="D34" s="5">
        <v>0.0</v>
      </c>
      <c r="E34" s="5">
        <f t="shared" si="1"/>
        <v>3841898479</v>
      </c>
      <c r="F34" s="14" t="s">
        <v>50</v>
      </c>
      <c r="G34" s="14" t="s">
        <v>225</v>
      </c>
      <c r="H34" s="14" t="s">
        <v>180</v>
      </c>
      <c r="I34" s="16"/>
    </row>
    <row r="35" ht="15.75" hidden="1" customHeight="1">
      <c r="A35" s="8">
        <v>46036.0</v>
      </c>
      <c r="B35" s="4" t="s">
        <v>229</v>
      </c>
      <c r="C35" s="5">
        <v>1.4254853E7</v>
      </c>
      <c r="D35" s="5">
        <v>0.0</v>
      </c>
      <c r="E35" s="5">
        <f t="shared" si="1"/>
        <v>3827643626</v>
      </c>
      <c r="F35" s="14" t="s">
        <v>58</v>
      </c>
      <c r="G35" s="14" t="s">
        <v>59</v>
      </c>
      <c r="H35" s="14" t="s">
        <v>230</v>
      </c>
      <c r="I35" s="16"/>
    </row>
    <row r="36" ht="15.75" hidden="1" customHeight="1">
      <c r="A36" s="8">
        <v>46036.0</v>
      </c>
      <c r="B36" s="4" t="s">
        <v>232</v>
      </c>
      <c r="C36" s="5">
        <v>2500.0</v>
      </c>
      <c r="D36" s="5">
        <v>0.0</v>
      </c>
      <c r="E36" s="5">
        <f t="shared" si="1"/>
        <v>3827641126</v>
      </c>
      <c r="F36" s="14" t="s">
        <v>43</v>
      </c>
      <c r="G36" s="14" t="s">
        <v>45</v>
      </c>
      <c r="H36" s="14"/>
      <c r="I36" s="16"/>
    </row>
    <row r="37" ht="15.75" hidden="1" customHeight="1">
      <c r="A37" s="8">
        <v>46036.0</v>
      </c>
      <c r="B37" s="14" t="s">
        <v>236</v>
      </c>
      <c r="C37" s="5">
        <v>1447288.0</v>
      </c>
      <c r="D37" s="5">
        <v>0.0</v>
      </c>
      <c r="E37" s="5">
        <f t="shared" si="1"/>
        <v>3826193838</v>
      </c>
      <c r="F37" s="14" t="s">
        <v>58</v>
      </c>
      <c r="G37" s="14" t="s">
        <v>59</v>
      </c>
      <c r="H37" s="14" t="s">
        <v>211</v>
      </c>
      <c r="I37" s="16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hidden="1" customHeight="1">
      <c r="A38" s="8">
        <v>46036.0</v>
      </c>
      <c r="B38" s="14" t="s">
        <v>242</v>
      </c>
      <c r="C38" s="5">
        <v>3800000.0</v>
      </c>
      <c r="D38" s="5">
        <v>0.0</v>
      </c>
      <c r="E38" s="5">
        <f t="shared" si="1"/>
        <v>3822393838</v>
      </c>
      <c r="F38" s="14" t="s">
        <v>63</v>
      </c>
      <c r="G38" s="14" t="s">
        <v>243</v>
      </c>
      <c r="H38" s="14" t="s">
        <v>6</v>
      </c>
      <c r="I38" s="16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hidden="1" customHeight="1">
      <c r="A39" s="8">
        <v>46036.0</v>
      </c>
      <c r="B39" s="4" t="s">
        <v>248</v>
      </c>
      <c r="C39" s="5">
        <v>2500.0</v>
      </c>
      <c r="D39" s="5">
        <v>0.0</v>
      </c>
      <c r="E39" s="5">
        <f t="shared" si="1"/>
        <v>3822391338</v>
      </c>
      <c r="F39" s="14" t="s">
        <v>43</v>
      </c>
      <c r="G39" s="14" t="s">
        <v>45</v>
      </c>
      <c r="H39" s="14"/>
      <c r="I39" s="16"/>
    </row>
    <row r="40" ht="15.75" hidden="1" customHeight="1">
      <c r="A40" s="8">
        <v>46036.0</v>
      </c>
      <c r="B40" s="4" t="s">
        <v>252</v>
      </c>
      <c r="C40" s="5">
        <v>4952878.0</v>
      </c>
      <c r="D40" s="5">
        <v>0.0</v>
      </c>
      <c r="E40" s="5">
        <f t="shared" si="1"/>
        <v>3817438460</v>
      </c>
      <c r="F40" s="14" t="s">
        <v>58</v>
      </c>
      <c r="G40" s="14" t="s">
        <v>59</v>
      </c>
      <c r="H40" s="4" t="s">
        <v>188</v>
      </c>
      <c r="I40" s="16"/>
    </row>
    <row r="41" ht="15.75" hidden="1" customHeight="1">
      <c r="A41" s="8">
        <v>46037.0</v>
      </c>
      <c r="B41" s="4" t="s">
        <v>258</v>
      </c>
      <c r="C41" s="5">
        <v>0.0</v>
      </c>
      <c r="D41" s="5">
        <v>1.10585106E8</v>
      </c>
      <c r="E41" s="5">
        <f t="shared" si="1"/>
        <v>3928023566</v>
      </c>
      <c r="F41" s="14" t="s">
        <v>24</v>
      </c>
      <c r="G41" s="14" t="s">
        <v>26</v>
      </c>
      <c r="H41" s="14" t="s">
        <v>263</v>
      </c>
      <c r="I41" s="16" t="s">
        <v>264</v>
      </c>
    </row>
    <row r="42" ht="15.75" hidden="1" customHeight="1">
      <c r="A42" s="8">
        <v>46037.0</v>
      </c>
      <c r="B42" s="4" t="s">
        <v>268</v>
      </c>
      <c r="C42" s="5">
        <v>0.0</v>
      </c>
      <c r="D42" s="5">
        <v>4.241888E7</v>
      </c>
      <c r="E42" s="5">
        <f t="shared" si="1"/>
        <v>3970442446</v>
      </c>
      <c r="F42" s="14" t="s">
        <v>24</v>
      </c>
      <c r="G42" s="14" t="s">
        <v>272</v>
      </c>
      <c r="H42" s="14"/>
      <c r="I42" s="16"/>
    </row>
    <row r="43" ht="15.75" hidden="1" customHeight="1">
      <c r="A43" s="8">
        <v>46037.0</v>
      </c>
      <c r="B43" s="4" t="s">
        <v>275</v>
      </c>
      <c r="C43" s="5">
        <v>367514.0</v>
      </c>
      <c r="D43" s="5">
        <v>0.0</v>
      </c>
      <c r="E43" s="5">
        <f t="shared" si="1"/>
        <v>3970074932</v>
      </c>
      <c r="F43" s="14" t="s">
        <v>58</v>
      </c>
      <c r="G43" s="14" t="s">
        <v>59</v>
      </c>
      <c r="H43" s="14" t="s">
        <v>100</v>
      </c>
      <c r="I43" s="16"/>
    </row>
    <row r="44" ht="15.75" hidden="1" customHeight="1">
      <c r="A44" s="8">
        <v>46037.0</v>
      </c>
      <c r="B44" s="4" t="s">
        <v>281</v>
      </c>
      <c r="C44" s="5">
        <v>2500.0</v>
      </c>
      <c r="D44" s="5">
        <v>0.0</v>
      </c>
      <c r="E44" s="5">
        <f t="shared" si="1"/>
        <v>3970072432</v>
      </c>
      <c r="F44" s="14" t="s">
        <v>43</v>
      </c>
      <c r="G44" s="14" t="s">
        <v>45</v>
      </c>
      <c r="H44" s="14"/>
      <c r="I44" s="16"/>
    </row>
    <row r="45" ht="15.75" hidden="1" customHeight="1">
      <c r="A45" s="8">
        <v>46037.0</v>
      </c>
      <c r="B45" s="4" t="s">
        <v>288</v>
      </c>
      <c r="C45" s="5">
        <v>2.8665E7</v>
      </c>
      <c r="D45" s="5">
        <v>0.0</v>
      </c>
      <c r="E45" s="5">
        <f t="shared" si="1"/>
        <v>3941407432</v>
      </c>
      <c r="F45" s="14" t="s">
        <v>58</v>
      </c>
      <c r="G45" s="14" t="s">
        <v>59</v>
      </c>
      <c r="H45" s="4" t="s">
        <v>68</v>
      </c>
      <c r="I45" s="16"/>
    </row>
    <row r="46" ht="15.75" hidden="1" customHeight="1">
      <c r="A46" s="8">
        <v>46037.0</v>
      </c>
      <c r="B46" s="4" t="s">
        <v>300</v>
      </c>
      <c r="C46" s="5">
        <v>2500.0</v>
      </c>
      <c r="D46" s="5">
        <v>0.0</v>
      </c>
      <c r="E46" s="5">
        <f t="shared" si="1"/>
        <v>3941404932</v>
      </c>
      <c r="F46" s="14" t="s">
        <v>43</v>
      </c>
      <c r="G46" s="14" t="s">
        <v>45</v>
      </c>
      <c r="H46" s="14"/>
      <c r="I46" s="16"/>
    </row>
    <row r="47" ht="15.75" hidden="1" customHeight="1">
      <c r="A47" s="8">
        <v>46037.0</v>
      </c>
      <c r="B47" s="4" t="s">
        <v>304</v>
      </c>
      <c r="C47" s="5">
        <v>7500000.0</v>
      </c>
      <c r="D47" s="5">
        <v>0.0</v>
      </c>
      <c r="E47" s="5">
        <f t="shared" si="1"/>
        <v>3933904932</v>
      </c>
      <c r="F47" s="14" t="s">
        <v>306</v>
      </c>
      <c r="G47" s="14" t="s">
        <v>307</v>
      </c>
      <c r="H47" s="14" t="s">
        <v>308</v>
      </c>
      <c r="I47" s="16"/>
    </row>
    <row r="48" ht="15.75" hidden="1" customHeight="1">
      <c r="A48" s="8">
        <v>46037.0</v>
      </c>
      <c r="B48" s="4" t="s">
        <v>310</v>
      </c>
      <c r="C48" s="5">
        <v>2500.0</v>
      </c>
      <c r="D48" s="5">
        <v>0.0</v>
      </c>
      <c r="E48" s="5">
        <f t="shared" si="1"/>
        <v>3933902432</v>
      </c>
      <c r="F48" s="14" t="s">
        <v>43</v>
      </c>
      <c r="G48" s="14" t="s">
        <v>45</v>
      </c>
      <c r="H48" s="14"/>
      <c r="I48" s="16"/>
    </row>
    <row r="49" ht="15.75" hidden="1" customHeight="1">
      <c r="A49" s="8">
        <v>46037.0</v>
      </c>
      <c r="B49" s="14" t="s">
        <v>313</v>
      </c>
      <c r="C49" s="5">
        <v>5.00535E7</v>
      </c>
      <c r="D49" s="5">
        <v>0.0</v>
      </c>
      <c r="E49" s="5">
        <f t="shared" si="1"/>
        <v>3883848932</v>
      </c>
      <c r="F49" s="14" t="s">
        <v>18</v>
      </c>
      <c r="G49" s="14" t="s">
        <v>80</v>
      </c>
      <c r="H49" s="14" t="s">
        <v>90</v>
      </c>
      <c r="I49" s="1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hidden="1" customHeight="1">
      <c r="A50" s="8">
        <v>46037.0</v>
      </c>
      <c r="B50" s="4" t="s">
        <v>321</v>
      </c>
      <c r="C50" s="5">
        <v>2500.0</v>
      </c>
      <c r="D50" s="5">
        <v>0.0</v>
      </c>
      <c r="E50" s="5">
        <f t="shared" si="1"/>
        <v>3883846432</v>
      </c>
      <c r="F50" s="14" t="s">
        <v>43</v>
      </c>
      <c r="G50" s="14" t="s">
        <v>45</v>
      </c>
      <c r="H50" s="14"/>
      <c r="I50" s="16"/>
    </row>
    <row r="51" ht="15.75" hidden="1" customHeight="1">
      <c r="A51" s="8">
        <v>46041.0</v>
      </c>
      <c r="B51" s="4" t="s">
        <v>325</v>
      </c>
      <c r="C51" s="5">
        <v>0.0</v>
      </c>
      <c r="D51" s="5">
        <v>3.1484818152E8</v>
      </c>
      <c r="E51" s="5">
        <f t="shared" si="1"/>
        <v>4198694614</v>
      </c>
      <c r="F51" s="14" t="s">
        <v>75</v>
      </c>
      <c r="G51" s="14" t="s">
        <v>76</v>
      </c>
      <c r="H51" s="14" t="s">
        <v>330</v>
      </c>
      <c r="I51" s="16" t="s">
        <v>331</v>
      </c>
    </row>
    <row r="52" ht="15.75" hidden="1" customHeight="1">
      <c r="A52" s="8">
        <v>46043.0</v>
      </c>
      <c r="B52" s="4" t="s">
        <v>334</v>
      </c>
      <c r="C52" s="5">
        <v>0.0</v>
      </c>
      <c r="D52" s="5">
        <v>1.1034363E7</v>
      </c>
      <c r="E52" s="5">
        <f t="shared" si="1"/>
        <v>4209728977</v>
      </c>
      <c r="F52" s="14" t="s">
        <v>24</v>
      </c>
      <c r="G52" s="14" t="s">
        <v>26</v>
      </c>
      <c r="H52" s="14" t="s">
        <v>336</v>
      </c>
      <c r="I52" s="16" t="s">
        <v>337</v>
      </c>
    </row>
    <row r="53" ht="15.75" hidden="1" customHeight="1">
      <c r="A53" s="8">
        <v>46043.0</v>
      </c>
      <c r="B53" s="4" t="s">
        <v>339</v>
      </c>
      <c r="C53" s="5">
        <v>0.0</v>
      </c>
      <c r="D53" s="5">
        <v>1.28444721E8</v>
      </c>
      <c r="E53" s="5">
        <f t="shared" si="1"/>
        <v>4338173698</v>
      </c>
      <c r="F53" s="14" t="s">
        <v>24</v>
      </c>
      <c r="G53" s="14" t="s">
        <v>26</v>
      </c>
      <c r="H53" s="14" t="s">
        <v>341</v>
      </c>
      <c r="I53" s="16" t="s">
        <v>342</v>
      </c>
    </row>
    <row r="54" ht="15.75" hidden="1" customHeight="1">
      <c r="A54" s="8">
        <v>46043.0</v>
      </c>
      <c r="B54" s="4" t="s">
        <v>339</v>
      </c>
      <c r="C54" s="5">
        <v>0.0</v>
      </c>
      <c r="D54" s="5">
        <f>150313985-D53</f>
        <v>21869264</v>
      </c>
      <c r="E54" s="5">
        <f t="shared" si="1"/>
        <v>4360042962</v>
      </c>
      <c r="F54" s="14" t="s">
        <v>24</v>
      </c>
      <c r="G54" s="14" t="s">
        <v>26</v>
      </c>
      <c r="H54" s="14" t="s">
        <v>349</v>
      </c>
      <c r="I54" s="16" t="s">
        <v>350</v>
      </c>
    </row>
    <row r="55" ht="15.75" hidden="1" customHeight="1">
      <c r="A55" s="8">
        <v>46045.0</v>
      </c>
      <c r="B55" s="14" t="s">
        <v>352</v>
      </c>
      <c r="C55" s="5">
        <v>5000000.0</v>
      </c>
      <c r="D55" s="5">
        <v>0.0</v>
      </c>
      <c r="E55" s="5">
        <f t="shared" si="1"/>
        <v>4355042962</v>
      </c>
      <c r="F55" s="14" t="s">
        <v>18</v>
      </c>
      <c r="G55" s="14" t="s">
        <v>80</v>
      </c>
      <c r="H55" s="14" t="s">
        <v>36</v>
      </c>
      <c r="I55" s="16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hidden="1" customHeight="1">
      <c r="A56" s="8">
        <v>46045.0</v>
      </c>
      <c r="B56" s="4" t="s">
        <v>360</v>
      </c>
      <c r="C56" s="5">
        <v>6500.0</v>
      </c>
      <c r="D56" s="5">
        <v>0.0</v>
      </c>
      <c r="E56" s="5">
        <f t="shared" si="1"/>
        <v>4355036462</v>
      </c>
      <c r="F56" s="14" t="s">
        <v>43</v>
      </c>
      <c r="G56" s="14" t="s">
        <v>45</v>
      </c>
      <c r="H56" s="14"/>
      <c r="I56" s="16"/>
    </row>
    <row r="57" ht="15.75" hidden="1" customHeight="1">
      <c r="A57" s="8">
        <v>46045.0</v>
      </c>
      <c r="B57" s="4" t="s">
        <v>364</v>
      </c>
      <c r="C57" s="5">
        <v>500000.0</v>
      </c>
      <c r="D57" s="5">
        <v>0.0</v>
      </c>
      <c r="E57" s="5">
        <f t="shared" si="1"/>
        <v>4354536462</v>
      </c>
      <c r="F57" s="14" t="s">
        <v>18</v>
      </c>
      <c r="G57" s="14" t="s">
        <v>147</v>
      </c>
      <c r="H57" s="14" t="s">
        <v>124</v>
      </c>
      <c r="I57" s="16"/>
    </row>
    <row r="58" ht="15.75" hidden="1" customHeight="1">
      <c r="A58" s="8">
        <v>46045.0</v>
      </c>
      <c r="B58" s="4" t="s">
        <v>369</v>
      </c>
      <c r="C58" s="5">
        <v>546599.0</v>
      </c>
      <c r="D58" s="5">
        <v>0.0</v>
      </c>
      <c r="E58" s="5">
        <f t="shared" si="1"/>
        <v>4353989863</v>
      </c>
      <c r="F58" s="14" t="s">
        <v>18</v>
      </c>
      <c r="G58" s="14" t="s">
        <v>194</v>
      </c>
      <c r="H58" s="14" t="s">
        <v>371</v>
      </c>
      <c r="I58" s="16"/>
    </row>
    <row r="59" ht="15.75" hidden="1" customHeight="1">
      <c r="A59" s="8">
        <v>46045.0</v>
      </c>
      <c r="B59" s="4" t="s">
        <v>369</v>
      </c>
      <c r="C59" s="5">
        <v>115540.0</v>
      </c>
      <c r="D59" s="5">
        <v>0.0</v>
      </c>
      <c r="E59" s="5">
        <f t="shared" si="1"/>
        <v>4353874323</v>
      </c>
      <c r="F59" s="14" t="s">
        <v>18</v>
      </c>
      <c r="G59" s="14" t="s">
        <v>194</v>
      </c>
      <c r="H59" s="14" t="s">
        <v>371</v>
      </c>
      <c r="I59" s="16"/>
    </row>
    <row r="60" ht="15.75" hidden="1" customHeight="1">
      <c r="A60" s="8">
        <v>46045.0</v>
      </c>
      <c r="B60" s="4" t="s">
        <v>369</v>
      </c>
      <c r="C60" s="5">
        <v>1801802.0</v>
      </c>
      <c r="D60" s="5">
        <v>0.0</v>
      </c>
      <c r="E60" s="5">
        <f t="shared" si="1"/>
        <v>4352072521</v>
      </c>
      <c r="F60" s="14" t="s">
        <v>18</v>
      </c>
      <c r="G60" s="14" t="s">
        <v>194</v>
      </c>
      <c r="H60" s="14" t="s">
        <v>379</v>
      </c>
      <c r="I60" s="16"/>
    </row>
    <row r="61" ht="15.75" hidden="1" customHeight="1">
      <c r="A61" s="8">
        <v>46045.0</v>
      </c>
      <c r="B61" s="4" t="s">
        <v>369</v>
      </c>
      <c r="C61" s="5">
        <v>13514.0</v>
      </c>
      <c r="D61" s="5">
        <v>0.0</v>
      </c>
      <c r="E61" s="5">
        <f t="shared" si="1"/>
        <v>4352059007</v>
      </c>
      <c r="F61" s="14" t="s">
        <v>18</v>
      </c>
      <c r="G61" s="14" t="s">
        <v>194</v>
      </c>
      <c r="H61" s="14" t="s">
        <v>371</v>
      </c>
      <c r="I61" s="16"/>
    </row>
    <row r="62" ht="15.75" hidden="1" customHeight="1">
      <c r="A62" s="8">
        <v>46045.0</v>
      </c>
      <c r="B62" s="4" t="s">
        <v>369</v>
      </c>
      <c r="C62" s="5">
        <f>2569455-C58-C59-C60-C61</f>
        <v>92000</v>
      </c>
      <c r="D62" s="5">
        <v>0.0</v>
      </c>
      <c r="E62" s="5">
        <f t="shared" si="1"/>
        <v>4351967007</v>
      </c>
      <c r="F62" s="14" t="s">
        <v>18</v>
      </c>
      <c r="G62" s="14" t="s">
        <v>194</v>
      </c>
      <c r="H62" s="14" t="s">
        <v>371</v>
      </c>
      <c r="I62" s="16"/>
    </row>
    <row r="63" ht="15.75" hidden="1" customHeight="1">
      <c r="A63" s="8">
        <v>46045.0</v>
      </c>
      <c r="B63" s="4" t="s">
        <v>390</v>
      </c>
      <c r="C63" s="5">
        <v>13514.0</v>
      </c>
      <c r="D63" s="5">
        <v>0.0</v>
      </c>
      <c r="E63" s="5">
        <f t="shared" si="1"/>
        <v>4351953493</v>
      </c>
      <c r="F63" s="14" t="s">
        <v>18</v>
      </c>
      <c r="G63" s="14" t="s">
        <v>194</v>
      </c>
      <c r="H63" s="14" t="s">
        <v>371</v>
      </c>
      <c r="I63" s="16"/>
    </row>
    <row r="64" ht="15.75" hidden="1" customHeight="1">
      <c r="A64" s="8">
        <v>46045.0</v>
      </c>
      <c r="B64" s="4" t="s">
        <v>390</v>
      </c>
      <c r="C64" s="5">
        <v>92000.0</v>
      </c>
      <c r="D64" s="5">
        <v>0.0</v>
      </c>
      <c r="E64" s="5">
        <f t="shared" si="1"/>
        <v>4351861493</v>
      </c>
      <c r="F64" s="14" t="s">
        <v>18</v>
      </c>
      <c r="G64" s="14" t="s">
        <v>194</v>
      </c>
      <c r="H64" s="14" t="s">
        <v>371</v>
      </c>
      <c r="I64" s="16"/>
    </row>
    <row r="65" ht="15.75" hidden="1" customHeight="1">
      <c r="A65" s="8">
        <v>46045.0</v>
      </c>
      <c r="B65" s="4" t="s">
        <v>390</v>
      </c>
      <c r="C65" s="5">
        <v>1370000.0</v>
      </c>
      <c r="D65" s="5">
        <v>0.0</v>
      </c>
      <c r="E65" s="5">
        <f t="shared" si="1"/>
        <v>4350491493</v>
      </c>
      <c r="F65" s="14" t="s">
        <v>18</v>
      </c>
      <c r="G65" s="14" t="s">
        <v>194</v>
      </c>
      <c r="H65" s="14" t="s">
        <v>371</v>
      </c>
      <c r="I65" s="16"/>
    </row>
    <row r="66" ht="15.75" hidden="1" customHeight="1">
      <c r="A66" s="8">
        <v>46045.0</v>
      </c>
      <c r="B66" s="4" t="s">
        <v>390</v>
      </c>
      <c r="C66" s="5">
        <v>1801802.0</v>
      </c>
      <c r="D66" s="5">
        <v>0.0</v>
      </c>
      <c r="E66" s="5">
        <f t="shared" si="1"/>
        <v>4348689691</v>
      </c>
      <c r="F66" s="14" t="s">
        <v>18</v>
      </c>
      <c r="G66" s="14" t="s">
        <v>194</v>
      </c>
      <c r="H66" s="14" t="s">
        <v>379</v>
      </c>
      <c r="I66" s="16"/>
    </row>
    <row r="67" ht="15.75" hidden="1" customHeight="1">
      <c r="A67" s="8">
        <v>46045.0</v>
      </c>
      <c r="B67" s="4" t="s">
        <v>390</v>
      </c>
      <c r="C67" s="5">
        <v>115540.0</v>
      </c>
      <c r="D67" s="5">
        <v>0.0</v>
      </c>
      <c r="E67" s="5">
        <f t="shared" si="1"/>
        <v>4348574151</v>
      </c>
      <c r="F67" s="14" t="s">
        <v>18</v>
      </c>
      <c r="G67" s="14" t="s">
        <v>194</v>
      </c>
      <c r="H67" s="14" t="s">
        <v>371</v>
      </c>
      <c r="I67" s="16"/>
    </row>
    <row r="68" ht="15.75" hidden="1" customHeight="1">
      <c r="A68" s="8">
        <v>46045.0</v>
      </c>
      <c r="B68" s="4" t="s">
        <v>390</v>
      </c>
      <c r="C68" s="5">
        <v>2911224.0</v>
      </c>
      <c r="D68" s="5">
        <v>0.0</v>
      </c>
      <c r="E68" s="5">
        <f t="shared" si="1"/>
        <v>4345662927</v>
      </c>
      <c r="F68" s="14" t="s">
        <v>18</v>
      </c>
      <c r="G68" s="14" t="s">
        <v>194</v>
      </c>
      <c r="H68" s="14" t="s">
        <v>371</v>
      </c>
      <c r="I68" s="16"/>
    </row>
    <row r="69" ht="15.75" hidden="1" customHeight="1">
      <c r="A69" s="8">
        <v>46045.0</v>
      </c>
      <c r="B69" s="4" t="s">
        <v>390</v>
      </c>
      <c r="C69" s="5">
        <v>800000.0</v>
      </c>
      <c r="D69" s="5">
        <v>0.0</v>
      </c>
      <c r="E69" s="5">
        <f t="shared" si="1"/>
        <v>4344862927</v>
      </c>
      <c r="F69" s="14" t="s">
        <v>18</v>
      </c>
      <c r="G69" s="14" t="s">
        <v>194</v>
      </c>
      <c r="H69" s="14" t="s">
        <v>371</v>
      </c>
      <c r="I69" s="16"/>
    </row>
    <row r="70" ht="15.75" hidden="1" customHeight="1">
      <c r="A70" s="8">
        <v>46045.0</v>
      </c>
      <c r="B70" s="4" t="s">
        <v>390</v>
      </c>
      <c r="C70" s="5">
        <v>3924082.0</v>
      </c>
      <c r="D70" s="5">
        <v>0.0</v>
      </c>
      <c r="E70" s="5">
        <f t="shared" si="1"/>
        <v>4340938845</v>
      </c>
      <c r="F70" s="14" t="s">
        <v>18</v>
      </c>
      <c r="G70" s="14" t="s">
        <v>194</v>
      </c>
      <c r="H70" s="14" t="s">
        <v>371</v>
      </c>
      <c r="I70" s="16"/>
    </row>
    <row r="71" ht="15.75" hidden="1" customHeight="1">
      <c r="A71" s="8">
        <v>46045.0</v>
      </c>
      <c r="B71" s="4" t="s">
        <v>390</v>
      </c>
      <c r="C71" s="5">
        <v>17250.0</v>
      </c>
      <c r="D71" s="5">
        <v>0.0</v>
      </c>
      <c r="E71" s="5">
        <f t="shared" si="1"/>
        <v>4340921595</v>
      </c>
      <c r="F71" s="14" t="s">
        <v>18</v>
      </c>
      <c r="G71" s="14" t="s">
        <v>194</v>
      </c>
      <c r="H71" s="14" t="s">
        <v>371</v>
      </c>
      <c r="I71" s="16"/>
    </row>
    <row r="72" ht="15.75" hidden="1" customHeight="1">
      <c r="A72" s="8">
        <v>46045.0</v>
      </c>
      <c r="B72" s="4" t="s">
        <v>390</v>
      </c>
      <c r="C72" s="5">
        <v>539000.0</v>
      </c>
      <c r="D72" s="5">
        <v>0.0</v>
      </c>
      <c r="E72" s="5">
        <f t="shared" si="1"/>
        <v>4340382595</v>
      </c>
      <c r="F72" s="14" t="s">
        <v>18</v>
      </c>
      <c r="G72" s="14" t="s">
        <v>194</v>
      </c>
      <c r="H72" s="14" t="s">
        <v>371</v>
      </c>
      <c r="I72" s="16"/>
    </row>
    <row r="73" ht="15.75" hidden="1" customHeight="1">
      <c r="A73" s="8">
        <v>46045.0</v>
      </c>
      <c r="B73" s="4" t="s">
        <v>390</v>
      </c>
      <c r="C73" s="5">
        <v>200000.0</v>
      </c>
      <c r="D73" s="5">
        <v>0.0</v>
      </c>
      <c r="E73" s="5">
        <f t="shared" si="1"/>
        <v>4340182595</v>
      </c>
      <c r="F73" s="14" t="s">
        <v>18</v>
      </c>
      <c r="G73" s="14" t="s">
        <v>194</v>
      </c>
      <c r="H73" s="14" t="s">
        <v>371</v>
      </c>
      <c r="I73" s="16"/>
    </row>
    <row r="74" ht="15.75" hidden="1" customHeight="1">
      <c r="A74" s="8">
        <v>46045.0</v>
      </c>
      <c r="B74" s="4" t="s">
        <v>390</v>
      </c>
      <c r="C74" s="5">
        <f>12359412-C63-C64-C65-C66-C67-C68-C69-C70-C71-C72-C73</f>
        <v>575000</v>
      </c>
      <c r="D74" s="5">
        <v>0.0</v>
      </c>
      <c r="E74" s="5">
        <f t="shared" si="1"/>
        <v>4339607595</v>
      </c>
      <c r="F74" s="14" t="s">
        <v>18</v>
      </c>
      <c r="G74" s="14" t="s">
        <v>194</v>
      </c>
      <c r="H74" s="14" t="s">
        <v>371</v>
      </c>
      <c r="I74" s="16"/>
    </row>
    <row r="75" ht="15.75" hidden="1" customHeight="1">
      <c r="A75" s="8">
        <v>46045.0</v>
      </c>
      <c r="B75" s="4" t="s">
        <v>439</v>
      </c>
      <c r="C75" s="5">
        <v>1.6754255E7</v>
      </c>
      <c r="D75" s="5">
        <v>0.0</v>
      </c>
      <c r="E75" s="5">
        <f t="shared" si="1"/>
        <v>4322853340</v>
      </c>
      <c r="F75" s="14" t="s">
        <v>18</v>
      </c>
      <c r="G75" s="14" t="s">
        <v>194</v>
      </c>
      <c r="H75" s="14" t="s">
        <v>442</v>
      </c>
      <c r="I75" s="16"/>
    </row>
    <row r="76" ht="15.75" hidden="1" customHeight="1">
      <c r="A76" s="8">
        <v>46045.0</v>
      </c>
      <c r="B76" s="4" t="s">
        <v>445</v>
      </c>
      <c r="C76" s="5">
        <v>2.5E8</v>
      </c>
      <c r="D76" s="5">
        <v>0.0</v>
      </c>
      <c r="E76" s="5">
        <f t="shared" si="1"/>
        <v>4072853340</v>
      </c>
      <c r="F76" s="14" t="s">
        <v>21</v>
      </c>
      <c r="G76" s="14" t="s">
        <v>448</v>
      </c>
      <c r="H76" s="14" t="s">
        <v>449</v>
      </c>
      <c r="I76" s="16" t="s">
        <v>451</v>
      </c>
    </row>
    <row r="77" ht="15.75" hidden="1" customHeight="1">
      <c r="A77" s="8">
        <v>46045.0</v>
      </c>
      <c r="B77" s="4" t="s">
        <v>452</v>
      </c>
      <c r="C77" s="5">
        <v>2500.0</v>
      </c>
      <c r="D77" s="5">
        <v>0.0</v>
      </c>
      <c r="E77" s="5">
        <f t="shared" si="1"/>
        <v>4072850840</v>
      </c>
      <c r="F77" s="14" t="s">
        <v>43</v>
      </c>
      <c r="G77" s="14" t="s">
        <v>45</v>
      </c>
      <c r="H77" s="14"/>
      <c r="I77" s="16"/>
    </row>
    <row r="78" ht="15.75" hidden="1" customHeight="1">
      <c r="A78" s="8">
        <v>46045.0</v>
      </c>
      <c r="B78" s="4" t="s">
        <v>456</v>
      </c>
      <c r="C78" s="5">
        <v>1.5868847E7</v>
      </c>
      <c r="D78" s="5">
        <v>0.0</v>
      </c>
      <c r="E78" s="5">
        <f t="shared" si="1"/>
        <v>4056981993</v>
      </c>
      <c r="F78" s="14" t="s">
        <v>105</v>
      </c>
      <c r="G78" s="14" t="s">
        <v>460</v>
      </c>
      <c r="H78" s="14" t="s">
        <v>180</v>
      </c>
      <c r="I78" s="16"/>
    </row>
    <row r="79" ht="15.75" hidden="1" customHeight="1">
      <c r="A79" s="8">
        <v>46045.0</v>
      </c>
      <c r="B79" s="4" t="s">
        <v>462</v>
      </c>
      <c r="C79" s="5">
        <v>0.0</v>
      </c>
      <c r="D79" s="5">
        <v>7.463427E7</v>
      </c>
      <c r="E79" s="5">
        <f t="shared" si="1"/>
        <v>4131616263</v>
      </c>
      <c r="F79" s="14" t="s">
        <v>24</v>
      </c>
      <c r="G79" s="14" t="s">
        <v>272</v>
      </c>
      <c r="H79" s="14"/>
      <c r="I79" s="16"/>
    </row>
    <row r="80" ht="15.75" hidden="1" customHeight="1">
      <c r="A80" s="8">
        <v>46050.0</v>
      </c>
      <c r="B80" s="4" t="s">
        <v>465</v>
      </c>
      <c r="C80" s="5">
        <v>1178046.0</v>
      </c>
      <c r="D80" s="5">
        <v>0.0</v>
      </c>
      <c r="E80" s="5">
        <f t="shared" si="1"/>
        <v>4130438217</v>
      </c>
      <c r="F80" s="14" t="s">
        <v>18</v>
      </c>
      <c r="G80" s="14" t="s">
        <v>147</v>
      </c>
      <c r="H80" s="14" t="s">
        <v>124</v>
      </c>
      <c r="I80" s="16"/>
    </row>
    <row r="81" ht="15.75" hidden="1" customHeight="1">
      <c r="A81" s="8">
        <v>46050.0</v>
      </c>
      <c r="B81" s="4" t="s">
        <v>467</v>
      </c>
      <c r="C81" s="5">
        <v>1.4427195E7</v>
      </c>
      <c r="D81" s="5">
        <v>0.0</v>
      </c>
      <c r="E81" s="5">
        <f t="shared" si="1"/>
        <v>4116011022</v>
      </c>
      <c r="F81" s="14" t="s">
        <v>18</v>
      </c>
      <c r="G81" s="14" t="s">
        <v>194</v>
      </c>
      <c r="H81" s="14" t="s">
        <v>470</v>
      </c>
      <c r="I81" s="16"/>
    </row>
    <row r="82" ht="15.75" hidden="1" customHeight="1">
      <c r="A82" s="8">
        <v>46050.0</v>
      </c>
      <c r="B82" s="14" t="s">
        <v>472</v>
      </c>
      <c r="C82" s="5">
        <v>2.12E7</v>
      </c>
      <c r="D82" s="5">
        <v>0.0</v>
      </c>
      <c r="E82" s="5">
        <f t="shared" si="1"/>
        <v>4094811022</v>
      </c>
      <c r="F82" s="14" t="s">
        <v>58</v>
      </c>
      <c r="G82" s="14" t="s">
        <v>59</v>
      </c>
      <c r="H82" s="14" t="s">
        <v>475</v>
      </c>
      <c r="I82" s="16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hidden="1" customHeight="1">
      <c r="A83" s="8">
        <v>46050.0</v>
      </c>
      <c r="B83" s="4" t="s">
        <v>482</v>
      </c>
      <c r="C83" s="5">
        <v>7.2534E7</v>
      </c>
      <c r="D83" s="5">
        <v>0.0</v>
      </c>
      <c r="E83" s="5">
        <f t="shared" si="1"/>
        <v>4022277022</v>
      </c>
      <c r="F83" s="14" t="s">
        <v>58</v>
      </c>
      <c r="G83" s="14" t="s">
        <v>59</v>
      </c>
      <c r="H83" s="4" t="s">
        <v>458</v>
      </c>
      <c r="I83" s="16"/>
    </row>
    <row r="84" ht="15.75" hidden="1" customHeight="1">
      <c r="A84" s="8">
        <v>46050.0</v>
      </c>
      <c r="B84" s="4" t="s">
        <v>485</v>
      </c>
      <c r="C84" s="5">
        <v>2500.0</v>
      </c>
      <c r="D84" s="5">
        <v>0.0</v>
      </c>
      <c r="E84" s="5">
        <f t="shared" si="1"/>
        <v>4022274522</v>
      </c>
      <c r="F84" s="14" t="s">
        <v>43</v>
      </c>
      <c r="G84" s="14" t="s">
        <v>45</v>
      </c>
      <c r="H84" s="14"/>
      <c r="I84" s="16"/>
    </row>
    <row r="85" ht="15.75" hidden="1" customHeight="1">
      <c r="A85" s="8">
        <v>46050.0</v>
      </c>
      <c r="B85" s="4" t="s">
        <v>489</v>
      </c>
      <c r="C85" s="5">
        <v>800000.0</v>
      </c>
      <c r="D85" s="5">
        <v>0.0</v>
      </c>
      <c r="E85" s="5">
        <f t="shared" si="1"/>
        <v>4021474522</v>
      </c>
      <c r="F85" s="14" t="s">
        <v>24</v>
      </c>
      <c r="G85" s="14" t="s">
        <v>125</v>
      </c>
      <c r="H85" s="14" t="s">
        <v>493</v>
      </c>
      <c r="I85" s="16"/>
    </row>
    <row r="86" ht="15.75" hidden="1" customHeight="1">
      <c r="A86" s="8">
        <v>46050.0</v>
      </c>
      <c r="B86" s="14" t="s">
        <v>495</v>
      </c>
      <c r="C86" s="5">
        <v>3345000.0</v>
      </c>
      <c r="D86" s="5">
        <v>0.0</v>
      </c>
      <c r="E86" s="5">
        <f t="shared" si="1"/>
        <v>4018129522</v>
      </c>
      <c r="F86" s="14" t="s">
        <v>18</v>
      </c>
      <c r="G86" s="14" t="s">
        <v>80</v>
      </c>
      <c r="H86" s="14" t="s">
        <v>324</v>
      </c>
      <c r="I86" s="16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hidden="1" customHeight="1">
      <c r="A87" s="8">
        <v>46050.0</v>
      </c>
      <c r="B87" s="4" t="s">
        <v>501</v>
      </c>
      <c r="C87" s="5">
        <v>2500.0</v>
      </c>
      <c r="D87" s="5">
        <v>0.0</v>
      </c>
      <c r="E87" s="5">
        <f t="shared" si="1"/>
        <v>4018127022</v>
      </c>
      <c r="F87" s="14" t="s">
        <v>43</v>
      </c>
      <c r="G87" s="14" t="s">
        <v>45</v>
      </c>
      <c r="H87" s="14"/>
      <c r="I87" s="16"/>
    </row>
    <row r="88" ht="15.75" hidden="1" customHeight="1">
      <c r="A88" s="8">
        <v>46050.0</v>
      </c>
      <c r="B88" s="4" t="s">
        <v>504</v>
      </c>
      <c r="C88" s="5">
        <v>1200000.0</v>
      </c>
      <c r="D88" s="5">
        <v>0.0</v>
      </c>
      <c r="E88" s="5">
        <f t="shared" si="1"/>
        <v>4016927022</v>
      </c>
      <c r="F88" s="14" t="s">
        <v>24</v>
      </c>
      <c r="G88" s="14" t="s">
        <v>125</v>
      </c>
      <c r="H88" s="14" t="s">
        <v>493</v>
      </c>
      <c r="I88" s="16"/>
    </row>
    <row r="89" ht="15.75" hidden="1" customHeight="1">
      <c r="A89" s="8">
        <v>46050.0</v>
      </c>
      <c r="B89" s="4" t="s">
        <v>508</v>
      </c>
      <c r="C89" s="5">
        <v>2500.0</v>
      </c>
      <c r="D89" s="5">
        <v>0.0</v>
      </c>
      <c r="E89" s="5">
        <f t="shared" si="1"/>
        <v>4016924522</v>
      </c>
      <c r="F89" s="14" t="s">
        <v>43</v>
      </c>
      <c r="G89" s="14" t="s">
        <v>45</v>
      </c>
      <c r="H89" s="14"/>
      <c r="I89" s="16"/>
    </row>
    <row r="90" ht="15.75" hidden="1" customHeight="1">
      <c r="A90" s="8">
        <v>46050.0</v>
      </c>
      <c r="B90" s="4" t="s">
        <v>512</v>
      </c>
      <c r="C90" s="5">
        <v>2.5E8</v>
      </c>
      <c r="D90" s="5">
        <v>0.0</v>
      </c>
      <c r="E90" s="5">
        <f t="shared" si="1"/>
        <v>3766924522</v>
      </c>
      <c r="F90" s="14" t="s">
        <v>21</v>
      </c>
      <c r="G90" s="14" t="s">
        <v>190</v>
      </c>
      <c r="H90" s="14"/>
      <c r="I90" s="16"/>
    </row>
    <row r="91" ht="15.75" hidden="1" customHeight="1">
      <c r="A91" s="8">
        <v>46050.0</v>
      </c>
      <c r="B91" s="4" t="s">
        <v>517</v>
      </c>
      <c r="C91" s="5">
        <v>2500.0</v>
      </c>
      <c r="D91" s="5">
        <v>0.0</v>
      </c>
      <c r="E91" s="5">
        <f t="shared" si="1"/>
        <v>3766922022</v>
      </c>
      <c r="F91" s="14" t="s">
        <v>43</v>
      </c>
      <c r="G91" s="14" t="s">
        <v>45</v>
      </c>
      <c r="H91" s="14"/>
      <c r="I91" s="16"/>
    </row>
    <row r="92" ht="15.75" hidden="1" customHeight="1">
      <c r="A92" s="8">
        <v>46050.0</v>
      </c>
      <c r="B92" s="4" t="s">
        <v>521</v>
      </c>
      <c r="C92" s="5">
        <v>2.5E8</v>
      </c>
      <c r="D92" s="5">
        <v>0.0</v>
      </c>
      <c r="E92" s="5">
        <f t="shared" si="1"/>
        <v>3516922022</v>
      </c>
      <c r="F92" s="14" t="s">
        <v>21</v>
      </c>
      <c r="G92" s="14" t="s">
        <v>190</v>
      </c>
      <c r="H92" s="14"/>
      <c r="I92" s="16"/>
    </row>
    <row r="93" ht="15.75" hidden="1" customHeight="1">
      <c r="A93" s="8">
        <v>46050.0</v>
      </c>
      <c r="B93" s="4" t="s">
        <v>525</v>
      </c>
      <c r="C93" s="5">
        <v>2500.0</v>
      </c>
      <c r="D93" s="5">
        <v>0.0</v>
      </c>
      <c r="E93" s="5">
        <f t="shared" si="1"/>
        <v>3516919522</v>
      </c>
      <c r="F93" s="14" t="s">
        <v>43</v>
      </c>
      <c r="G93" s="14" t="s">
        <v>45</v>
      </c>
      <c r="H93" s="14"/>
      <c r="I93" s="16"/>
    </row>
    <row r="94" ht="15.75" hidden="1" customHeight="1">
      <c r="A94" s="8">
        <v>46051.0</v>
      </c>
      <c r="B94" s="4" t="s">
        <v>530</v>
      </c>
      <c r="C94" s="5">
        <v>3.0E8</v>
      </c>
      <c r="D94" s="5">
        <v>0.0</v>
      </c>
      <c r="E94" s="5">
        <f t="shared" si="1"/>
        <v>3216919522</v>
      </c>
      <c r="F94" s="14" t="s">
        <v>21</v>
      </c>
      <c r="G94" s="14" t="s">
        <v>448</v>
      </c>
      <c r="H94" s="14" t="s">
        <v>533</v>
      </c>
      <c r="I94" s="16" t="s">
        <v>451</v>
      </c>
    </row>
    <row r="95" ht="15.75" hidden="1" customHeight="1">
      <c r="A95" s="8">
        <v>46051.0</v>
      </c>
      <c r="B95" s="4" t="s">
        <v>535</v>
      </c>
      <c r="C95" s="5">
        <v>2900.0</v>
      </c>
      <c r="D95" s="5">
        <v>0.0</v>
      </c>
      <c r="E95" s="5">
        <f t="shared" si="1"/>
        <v>3216916622</v>
      </c>
      <c r="F95" s="14" t="s">
        <v>43</v>
      </c>
      <c r="G95" s="14" t="s">
        <v>45</v>
      </c>
      <c r="H95" s="14"/>
      <c r="I95" s="16"/>
    </row>
    <row r="96" ht="15.75" hidden="1" customHeight="1">
      <c r="A96" s="8">
        <v>46052.0</v>
      </c>
      <c r="B96" s="14" t="s">
        <v>542</v>
      </c>
      <c r="C96" s="5">
        <v>3.0590714E7</v>
      </c>
      <c r="D96" s="5">
        <v>0.0</v>
      </c>
      <c r="E96" s="5">
        <f t="shared" si="1"/>
        <v>3186325908</v>
      </c>
      <c r="F96" s="14" t="s">
        <v>21</v>
      </c>
      <c r="G96" s="14" t="s">
        <v>448</v>
      </c>
      <c r="H96" s="14" t="s">
        <v>38</v>
      </c>
      <c r="I96" s="16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hidden="1" customHeight="1">
      <c r="A97" s="8">
        <v>46052.0</v>
      </c>
      <c r="B97" s="4" t="s">
        <v>546</v>
      </c>
      <c r="C97" s="5">
        <v>2500.0</v>
      </c>
      <c r="D97" s="5">
        <v>0.0</v>
      </c>
      <c r="E97" s="5">
        <f t="shared" si="1"/>
        <v>3186323408</v>
      </c>
      <c r="F97" s="14" t="s">
        <v>43</v>
      </c>
      <c r="G97" s="14" t="s">
        <v>45</v>
      </c>
      <c r="H97" s="14"/>
      <c r="I97" s="16"/>
    </row>
    <row r="98" ht="15.75" hidden="1" customHeight="1">
      <c r="A98" s="8">
        <v>46052.0</v>
      </c>
      <c r="B98" s="14" t="s">
        <v>548</v>
      </c>
      <c r="C98" s="5">
        <v>4.0E7</v>
      </c>
      <c r="D98" s="5">
        <v>0.0</v>
      </c>
      <c r="E98" s="5">
        <f t="shared" si="1"/>
        <v>3146323408</v>
      </c>
      <c r="F98" s="14" t="s">
        <v>21</v>
      </c>
      <c r="G98" s="14" t="s">
        <v>448</v>
      </c>
      <c r="H98" s="14" t="s">
        <v>38</v>
      </c>
      <c r="I98" s="16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hidden="1" customHeight="1">
      <c r="A99" s="8">
        <v>46052.0</v>
      </c>
      <c r="B99" s="4" t="s">
        <v>553</v>
      </c>
      <c r="C99" s="5">
        <v>2500.0</v>
      </c>
      <c r="D99" s="5">
        <v>0.0</v>
      </c>
      <c r="E99" s="5">
        <f t="shared" si="1"/>
        <v>3146320908</v>
      </c>
      <c r="F99" s="14" t="s">
        <v>43</v>
      </c>
      <c r="G99" s="14" t="s">
        <v>45</v>
      </c>
      <c r="H99" s="14"/>
      <c r="I99" s="16"/>
    </row>
    <row r="100" ht="15.75" hidden="1" customHeight="1">
      <c r="A100" s="8">
        <v>46052.0</v>
      </c>
      <c r="B100" s="4" t="s">
        <v>556</v>
      </c>
      <c r="C100" s="5">
        <v>0.0</v>
      </c>
      <c r="D100" s="5">
        <v>6.8679807E7</v>
      </c>
      <c r="E100" s="5">
        <f t="shared" si="1"/>
        <v>3215000715</v>
      </c>
      <c r="F100" s="14" t="s">
        <v>24</v>
      </c>
      <c r="G100" s="14" t="s">
        <v>272</v>
      </c>
      <c r="H100" s="14"/>
      <c r="I100" s="16"/>
    </row>
    <row r="101" ht="15.75" hidden="1" customHeight="1">
      <c r="A101" s="8">
        <v>46053.0</v>
      </c>
      <c r="B101" s="4" t="s">
        <v>562</v>
      </c>
      <c r="C101" s="5">
        <v>25000.0</v>
      </c>
      <c r="D101" s="5">
        <v>0.0</v>
      </c>
      <c r="E101" s="5">
        <f t="shared" si="1"/>
        <v>3214975715</v>
      </c>
      <c r="F101" s="14" t="s">
        <v>43</v>
      </c>
      <c r="G101" s="14" t="s">
        <v>45</v>
      </c>
      <c r="H101" s="14"/>
      <c r="I101" s="16"/>
    </row>
    <row r="102" ht="15.75" hidden="1" customHeight="1">
      <c r="A102" s="8">
        <v>46053.0</v>
      </c>
      <c r="B102" s="4" t="s">
        <v>626</v>
      </c>
      <c r="C102" s="5">
        <v>0.0</v>
      </c>
      <c r="D102" s="5">
        <v>3170332.44</v>
      </c>
      <c r="E102" s="5">
        <f t="shared" si="1"/>
        <v>3218146047</v>
      </c>
      <c r="F102" s="14" t="s">
        <v>63</v>
      </c>
      <c r="G102" s="14" t="s">
        <v>65</v>
      </c>
      <c r="H102" s="14"/>
      <c r="I102" s="16"/>
    </row>
    <row r="103" ht="15.75" hidden="1" customHeight="1">
      <c r="A103" s="8">
        <v>46053.0</v>
      </c>
      <c r="B103" s="4" t="s">
        <v>630</v>
      </c>
      <c r="C103" s="5">
        <v>634066.49</v>
      </c>
      <c r="D103" s="5">
        <v>0.0</v>
      </c>
      <c r="E103" s="5">
        <f t="shared" si="1"/>
        <v>3217511981</v>
      </c>
      <c r="F103" s="14" t="s">
        <v>63</v>
      </c>
      <c r="G103" s="14" t="s">
        <v>65</v>
      </c>
      <c r="H103" s="14"/>
      <c r="I103" s="16"/>
    </row>
    <row r="104" ht="15.75" hidden="1" customHeight="1">
      <c r="A104" s="8">
        <v>46054.0</v>
      </c>
      <c r="B104" s="14" t="s">
        <v>632</v>
      </c>
      <c r="C104" s="5">
        <v>258691.0</v>
      </c>
      <c r="D104" s="5">
        <v>0.0</v>
      </c>
      <c r="E104" s="5">
        <f t="shared" si="1"/>
        <v>3217253290</v>
      </c>
      <c r="F104" s="14" t="s">
        <v>21</v>
      </c>
      <c r="G104" s="14" t="s">
        <v>448</v>
      </c>
      <c r="H104" s="14" t="s">
        <v>55</v>
      </c>
      <c r="I104" s="1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hidden="1" customHeight="1">
      <c r="A105" s="8">
        <v>46054.0</v>
      </c>
      <c r="B105" s="14" t="s">
        <v>641</v>
      </c>
      <c r="C105" s="5">
        <v>829200.0</v>
      </c>
      <c r="D105" s="5">
        <v>0.0</v>
      </c>
      <c r="E105" s="5">
        <f t="shared" si="1"/>
        <v>3216424090</v>
      </c>
      <c r="F105" s="14" t="s">
        <v>21</v>
      </c>
      <c r="G105" s="14" t="s">
        <v>448</v>
      </c>
      <c r="H105" s="14" t="s">
        <v>70</v>
      </c>
      <c r="I105" s="1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hidden="1" customHeight="1">
      <c r="A106" s="8">
        <v>46054.0</v>
      </c>
      <c r="B106" s="4" t="s">
        <v>645</v>
      </c>
      <c r="C106" s="5">
        <v>2500.0</v>
      </c>
      <c r="D106" s="5">
        <v>0.0</v>
      </c>
      <c r="E106" s="5">
        <f t="shared" si="1"/>
        <v>3216421590</v>
      </c>
      <c r="F106" s="14" t="s">
        <v>43</v>
      </c>
      <c r="G106" s="14" t="s">
        <v>45</v>
      </c>
      <c r="H106" s="14"/>
      <c r="I106" s="16"/>
    </row>
    <row r="107" ht="15.75" hidden="1" customHeight="1">
      <c r="A107" s="8">
        <v>46054.0</v>
      </c>
      <c r="B107" s="4" t="s">
        <v>647</v>
      </c>
      <c r="C107" s="5">
        <v>2500.0</v>
      </c>
      <c r="D107" s="5">
        <v>0.0</v>
      </c>
      <c r="E107" s="5">
        <f t="shared" si="1"/>
        <v>3216419090</v>
      </c>
      <c r="F107" s="14" t="s">
        <v>43</v>
      </c>
      <c r="G107" s="14" t="s">
        <v>45</v>
      </c>
      <c r="H107" s="14"/>
      <c r="I107" s="16"/>
    </row>
    <row r="108" ht="15.75" hidden="1" customHeight="1">
      <c r="A108" s="8">
        <v>46055.0</v>
      </c>
      <c r="B108" s="14" t="s">
        <v>649</v>
      </c>
      <c r="C108" s="5">
        <v>0.0</v>
      </c>
      <c r="D108" s="5">
        <v>546599.0</v>
      </c>
      <c r="E108" s="5">
        <f t="shared" si="1"/>
        <v>3216965689</v>
      </c>
      <c r="F108" s="14" t="s">
        <v>24</v>
      </c>
      <c r="G108" s="14" t="s">
        <v>272</v>
      </c>
      <c r="H108" s="16" t="s">
        <v>652</v>
      </c>
      <c r="I108" s="1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hidden="1" customHeight="1">
      <c r="A109" s="8">
        <v>46057.0</v>
      </c>
      <c r="B109" s="4" t="s">
        <v>655</v>
      </c>
      <c r="C109" s="5">
        <v>5000000.0</v>
      </c>
      <c r="D109" s="5">
        <v>0.0</v>
      </c>
      <c r="E109" s="5">
        <f t="shared" si="1"/>
        <v>3211965689</v>
      </c>
      <c r="F109" s="14" t="s">
        <v>21</v>
      </c>
      <c r="G109" s="14" t="s">
        <v>448</v>
      </c>
      <c r="H109" s="14" t="s">
        <v>657</v>
      </c>
      <c r="I109" s="16" t="s">
        <v>658</v>
      </c>
    </row>
    <row r="110" ht="15.75" hidden="1" customHeight="1">
      <c r="A110" s="8">
        <v>46057.0</v>
      </c>
      <c r="B110" s="4" t="s">
        <v>660</v>
      </c>
      <c r="C110" s="5">
        <v>2.5E8</v>
      </c>
      <c r="D110" s="5">
        <v>0.0</v>
      </c>
      <c r="E110" s="5">
        <f t="shared" si="1"/>
        <v>2961965689</v>
      </c>
      <c r="F110" s="14" t="s">
        <v>21</v>
      </c>
      <c r="G110" s="14" t="s">
        <v>190</v>
      </c>
      <c r="H110" s="14"/>
      <c r="I110" s="16"/>
    </row>
    <row r="111" ht="15.75" hidden="1" customHeight="1">
      <c r="A111" s="8">
        <v>46057.0</v>
      </c>
      <c r="B111" s="4" t="s">
        <v>663</v>
      </c>
      <c r="C111" s="5">
        <v>2500.0</v>
      </c>
      <c r="D111" s="5">
        <v>0.0</v>
      </c>
      <c r="E111" s="5">
        <f t="shared" si="1"/>
        <v>2961963189</v>
      </c>
      <c r="F111" s="14" t="s">
        <v>43</v>
      </c>
      <c r="G111" s="14" t="s">
        <v>45</v>
      </c>
      <c r="H111" s="14"/>
      <c r="I111" s="16"/>
    </row>
    <row r="112" ht="15.75" hidden="1" customHeight="1">
      <c r="A112" s="8">
        <v>46057.0</v>
      </c>
      <c r="B112" s="4" t="s">
        <v>512</v>
      </c>
      <c r="C112" s="5">
        <v>2.5E8</v>
      </c>
      <c r="D112" s="5">
        <v>0.0</v>
      </c>
      <c r="E112" s="5">
        <f t="shared" si="1"/>
        <v>2711963189</v>
      </c>
      <c r="F112" s="14" t="s">
        <v>21</v>
      </c>
      <c r="G112" s="14" t="s">
        <v>190</v>
      </c>
      <c r="H112" s="14"/>
      <c r="I112" s="16"/>
    </row>
    <row r="113" ht="15.75" hidden="1" customHeight="1">
      <c r="A113" s="8">
        <v>46057.0</v>
      </c>
      <c r="B113" s="4" t="s">
        <v>666</v>
      </c>
      <c r="C113" s="5">
        <v>2500.0</v>
      </c>
      <c r="D113" s="5">
        <v>0.0</v>
      </c>
      <c r="E113" s="5">
        <f t="shared" si="1"/>
        <v>2711960689</v>
      </c>
      <c r="F113" s="14" t="s">
        <v>43</v>
      </c>
      <c r="G113" s="14" t="s">
        <v>45</v>
      </c>
      <c r="H113" s="14"/>
      <c r="I113" s="16"/>
    </row>
    <row r="114" ht="15.75" hidden="1" customHeight="1">
      <c r="A114" s="8">
        <v>46058.0</v>
      </c>
      <c r="B114" s="4" t="s">
        <v>671</v>
      </c>
      <c r="C114" s="5">
        <v>1.3756604E7</v>
      </c>
      <c r="D114" s="5">
        <v>0.0</v>
      </c>
      <c r="E114" s="5">
        <f t="shared" si="1"/>
        <v>2698204085</v>
      </c>
      <c r="F114" s="14" t="s">
        <v>105</v>
      </c>
      <c r="G114" s="14" t="s">
        <v>674</v>
      </c>
      <c r="H114" s="14" t="s">
        <v>675</v>
      </c>
      <c r="I114" s="16"/>
    </row>
    <row r="115" ht="15.75" hidden="1" customHeight="1">
      <c r="A115" s="8">
        <v>46058.0</v>
      </c>
      <c r="B115" s="4" t="s">
        <v>456</v>
      </c>
      <c r="C115" s="5">
        <v>1.5868846E7</v>
      </c>
      <c r="D115" s="5">
        <v>0.0</v>
      </c>
      <c r="E115" s="5">
        <f t="shared" si="1"/>
        <v>2682335239</v>
      </c>
      <c r="F115" s="14" t="s">
        <v>105</v>
      </c>
      <c r="G115" s="14" t="s">
        <v>460</v>
      </c>
      <c r="H115" s="14" t="s">
        <v>363</v>
      </c>
      <c r="I115" s="16"/>
    </row>
    <row r="116" ht="15.75" hidden="1" customHeight="1">
      <c r="A116" s="8">
        <v>46059.0</v>
      </c>
      <c r="B116" s="4" t="s">
        <v>14</v>
      </c>
      <c r="C116" s="5">
        <v>0.0</v>
      </c>
      <c r="D116" s="5">
        <v>3.1924311E7</v>
      </c>
      <c r="E116" s="5">
        <f t="shared" si="1"/>
        <v>2714259550</v>
      </c>
      <c r="F116" s="14" t="s">
        <v>75</v>
      </c>
      <c r="G116" s="14" t="s">
        <v>76</v>
      </c>
      <c r="H116" s="14" t="s">
        <v>230</v>
      </c>
      <c r="I116" s="16" t="s">
        <v>681</v>
      </c>
    </row>
    <row r="117" ht="15.75" hidden="1" customHeight="1">
      <c r="A117" s="8">
        <v>46059.0</v>
      </c>
      <c r="B117" s="4" t="s">
        <v>682</v>
      </c>
      <c r="C117" s="5">
        <f>228225000-C118-C119</f>
        <v>197500000</v>
      </c>
      <c r="D117" s="5">
        <f>C117-197500000</f>
        <v>0</v>
      </c>
      <c r="E117" s="5">
        <f t="shared" si="1"/>
        <v>2516759550</v>
      </c>
      <c r="F117" s="14" t="s">
        <v>58</v>
      </c>
      <c r="G117" s="14" t="s">
        <v>59</v>
      </c>
      <c r="H117" s="14" t="s">
        <v>602</v>
      </c>
      <c r="I117" s="16"/>
    </row>
    <row r="118" ht="15.75" hidden="1" customHeight="1">
      <c r="A118" s="8">
        <v>46059.0</v>
      </c>
      <c r="B118" s="4" t="s">
        <v>682</v>
      </c>
      <c r="C118" s="5">
        <f>(869000*50)/2</f>
        <v>21725000</v>
      </c>
      <c r="D118" s="5">
        <v>0.0</v>
      </c>
      <c r="E118" s="5">
        <f t="shared" si="1"/>
        <v>2495034550</v>
      </c>
      <c r="F118" s="4" t="s">
        <v>21</v>
      </c>
      <c r="G118" s="4" t="s">
        <v>448</v>
      </c>
      <c r="H118" s="4" t="s">
        <v>613</v>
      </c>
      <c r="I118" s="16" t="s">
        <v>6</v>
      </c>
    </row>
    <row r="119" ht="15.75" hidden="1" customHeight="1">
      <c r="A119" s="8">
        <v>46059.0</v>
      </c>
      <c r="B119" s="4" t="s">
        <v>682</v>
      </c>
      <c r="C119" s="5">
        <v>9000000.0</v>
      </c>
      <c r="D119" s="5">
        <v>0.0</v>
      </c>
      <c r="E119" s="5">
        <f t="shared" si="1"/>
        <v>2486034550</v>
      </c>
      <c r="F119" s="14" t="s">
        <v>58</v>
      </c>
      <c r="G119" s="14" t="s">
        <v>59</v>
      </c>
      <c r="H119" s="14" t="s">
        <v>602</v>
      </c>
      <c r="I119" s="16"/>
    </row>
    <row r="120" ht="15.75" hidden="1" customHeight="1">
      <c r="A120" s="8">
        <v>46059.0</v>
      </c>
      <c r="B120" s="4" t="s">
        <v>697</v>
      </c>
      <c r="C120" s="5">
        <v>2500.0</v>
      </c>
      <c r="D120" s="5">
        <v>0.0</v>
      </c>
      <c r="E120" s="5">
        <f t="shared" si="1"/>
        <v>2486032050</v>
      </c>
      <c r="F120" s="14" t="s">
        <v>43</v>
      </c>
      <c r="G120" s="14" t="s">
        <v>45</v>
      </c>
      <c r="H120" s="14"/>
      <c r="I120" s="16"/>
    </row>
    <row r="121" ht="15.75" hidden="1" customHeight="1">
      <c r="A121" s="8">
        <v>46059.0</v>
      </c>
      <c r="B121" s="4" t="s">
        <v>699</v>
      </c>
      <c r="C121" s="5">
        <v>1231050.0</v>
      </c>
      <c r="D121" s="5">
        <v>0.0</v>
      </c>
      <c r="E121" s="5">
        <f t="shared" si="1"/>
        <v>2484801000</v>
      </c>
      <c r="F121" s="14" t="s">
        <v>18</v>
      </c>
      <c r="G121" s="14" t="s">
        <v>147</v>
      </c>
      <c r="H121" s="14" t="s">
        <v>193</v>
      </c>
      <c r="I121" s="16"/>
    </row>
    <row r="122" ht="15.75" hidden="1" customHeight="1">
      <c r="A122" s="8">
        <v>46059.0</v>
      </c>
      <c r="B122" s="4" t="s">
        <v>700</v>
      </c>
      <c r="C122" s="5">
        <v>1452300.0</v>
      </c>
      <c r="D122" s="5">
        <v>0.0</v>
      </c>
      <c r="E122" s="5">
        <f t="shared" si="1"/>
        <v>2483348700</v>
      </c>
      <c r="F122" s="14" t="s">
        <v>58</v>
      </c>
      <c r="G122" s="14" t="s">
        <v>59</v>
      </c>
      <c r="H122" s="14" t="s">
        <v>188</v>
      </c>
      <c r="I122" s="16"/>
    </row>
    <row r="123" ht="15.75" hidden="1" customHeight="1">
      <c r="A123" s="8">
        <v>46059.0</v>
      </c>
      <c r="B123" s="4" t="s">
        <v>703</v>
      </c>
      <c r="C123" s="5">
        <f>18198198-C124+D125</f>
        <v>18018018</v>
      </c>
      <c r="D123" s="5">
        <v>0.0</v>
      </c>
      <c r="E123" s="5">
        <f t="shared" si="1"/>
        <v>2465330682</v>
      </c>
      <c r="F123" s="14" t="s">
        <v>50</v>
      </c>
      <c r="G123" s="14" t="s">
        <v>708</v>
      </c>
      <c r="H123" s="14" t="s">
        <v>180</v>
      </c>
      <c r="I123" s="16"/>
    </row>
    <row r="124" ht="15.75" hidden="1" customHeight="1">
      <c r="A124" s="8">
        <v>46059.0</v>
      </c>
      <c r="B124" s="4" t="s">
        <v>703</v>
      </c>
      <c r="C124" s="5">
        <v>1981982.0</v>
      </c>
      <c r="D124" s="5">
        <v>0.0</v>
      </c>
      <c r="E124" s="5">
        <f t="shared" si="1"/>
        <v>2463348700</v>
      </c>
      <c r="F124" s="4" t="s">
        <v>21</v>
      </c>
      <c r="G124" s="4" t="s">
        <v>448</v>
      </c>
      <c r="H124" s="4" t="s">
        <v>185</v>
      </c>
    </row>
    <row r="125" ht="15.75" hidden="1" customHeight="1">
      <c r="A125" s="8">
        <v>46059.0</v>
      </c>
      <c r="B125" s="4" t="s">
        <v>703</v>
      </c>
      <c r="C125" s="5">
        <v>0.0</v>
      </c>
      <c r="D125" s="5">
        <v>1801802.0</v>
      </c>
      <c r="E125" s="5">
        <f t="shared" si="1"/>
        <v>2465150502</v>
      </c>
      <c r="F125" s="14" t="s">
        <v>93</v>
      </c>
      <c r="G125" s="14" t="s">
        <v>93</v>
      </c>
      <c r="H125" s="14" t="s">
        <v>711</v>
      </c>
      <c r="I125" s="16" t="s">
        <v>712</v>
      </c>
    </row>
    <row r="126" ht="15.75" hidden="1" customHeight="1">
      <c r="A126" s="8">
        <v>46059.0</v>
      </c>
      <c r="B126" s="4" t="s">
        <v>713</v>
      </c>
      <c r="C126" s="5">
        <v>1.3445231E7</v>
      </c>
      <c r="D126" s="5">
        <v>0.0</v>
      </c>
      <c r="E126" s="5">
        <f t="shared" si="1"/>
        <v>2451705271</v>
      </c>
      <c r="F126" s="14" t="s">
        <v>58</v>
      </c>
      <c r="G126" s="14" t="s">
        <v>59</v>
      </c>
      <c r="H126" s="14" t="s">
        <v>188</v>
      </c>
      <c r="I126" s="16"/>
    </row>
    <row r="127" ht="15.75" hidden="1" customHeight="1">
      <c r="A127" s="8">
        <v>46059.0</v>
      </c>
      <c r="B127" s="4" t="s">
        <v>714</v>
      </c>
      <c r="C127" s="5">
        <v>5188934.0</v>
      </c>
      <c r="D127" s="5">
        <v>0.0</v>
      </c>
      <c r="E127" s="5">
        <f t="shared" si="1"/>
        <v>2446516337</v>
      </c>
      <c r="F127" s="14" t="s">
        <v>24</v>
      </c>
      <c r="G127" s="14" t="s">
        <v>125</v>
      </c>
      <c r="H127" s="14" t="s">
        <v>493</v>
      </c>
      <c r="I127" s="16"/>
    </row>
    <row r="128" ht="15.75" hidden="1" customHeight="1">
      <c r="A128" s="8">
        <v>46059.0</v>
      </c>
      <c r="B128" s="14" t="s">
        <v>715</v>
      </c>
      <c r="C128" s="5">
        <v>1.5E8</v>
      </c>
      <c r="D128" s="5">
        <v>0.0</v>
      </c>
      <c r="E128" s="5">
        <f t="shared" si="1"/>
        <v>2296516337</v>
      </c>
      <c r="F128" s="14" t="s">
        <v>21</v>
      </c>
      <c r="G128" s="14" t="s">
        <v>448</v>
      </c>
      <c r="H128" s="14" t="s">
        <v>38</v>
      </c>
      <c r="I128" s="16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hidden="1" customHeight="1">
      <c r="A129" s="8">
        <v>46059.0</v>
      </c>
      <c r="B129" s="4" t="s">
        <v>717</v>
      </c>
      <c r="C129" s="5">
        <v>2500.0</v>
      </c>
      <c r="D129" s="5">
        <v>0.0</v>
      </c>
      <c r="E129" s="5">
        <f t="shared" si="1"/>
        <v>2296513837</v>
      </c>
      <c r="F129" s="14" t="s">
        <v>43</v>
      </c>
      <c r="G129" s="14" t="s">
        <v>45</v>
      </c>
      <c r="H129" s="14"/>
      <c r="I129" s="16"/>
    </row>
    <row r="130" ht="15.75" hidden="1" customHeight="1">
      <c r="A130" s="8">
        <v>46063.0</v>
      </c>
      <c r="B130" s="14" t="s">
        <v>719</v>
      </c>
      <c r="C130" s="5">
        <v>1801802.0</v>
      </c>
      <c r="D130" s="5">
        <v>0.0</v>
      </c>
      <c r="E130" s="5">
        <f t="shared" si="1"/>
        <v>2294712035</v>
      </c>
      <c r="F130" s="14" t="s">
        <v>93</v>
      </c>
      <c r="G130" s="14" t="s">
        <v>93</v>
      </c>
      <c r="H130" s="14" t="s">
        <v>711</v>
      </c>
      <c r="I130" s="16" t="s">
        <v>712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hidden="1" customHeight="1">
      <c r="A131" s="8">
        <v>46063.0</v>
      </c>
      <c r="B131" s="14" t="s">
        <v>719</v>
      </c>
      <c r="C131" s="5">
        <v>17250.0</v>
      </c>
      <c r="D131" s="5">
        <v>0.0</v>
      </c>
      <c r="E131" s="5">
        <f t="shared" si="1"/>
        <v>2294694785</v>
      </c>
      <c r="F131" s="15" t="s">
        <v>21</v>
      </c>
      <c r="G131" s="15" t="s">
        <v>190</v>
      </c>
      <c r="H131" s="4" t="s">
        <v>191</v>
      </c>
      <c r="I131" s="4" t="s">
        <v>385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hidden="1" customHeight="1">
      <c r="A132" s="8">
        <v>46063.0</v>
      </c>
      <c r="B132" s="14" t="s">
        <v>719</v>
      </c>
      <c r="C132" s="5">
        <v>13514.0</v>
      </c>
      <c r="D132" s="5">
        <v>0.0</v>
      </c>
      <c r="E132" s="5">
        <f t="shared" si="1"/>
        <v>2294681271</v>
      </c>
      <c r="F132" s="15" t="s">
        <v>21</v>
      </c>
      <c r="G132" s="15" t="s">
        <v>190</v>
      </c>
      <c r="H132" s="4" t="s">
        <v>191</v>
      </c>
      <c r="I132" s="4" t="s">
        <v>401</v>
      </c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hidden="1" customHeight="1">
      <c r="A133" s="8">
        <v>46063.0</v>
      </c>
      <c r="B133" s="14" t="s">
        <v>719</v>
      </c>
      <c r="C133" s="5">
        <v>92000.0</v>
      </c>
      <c r="D133" s="5">
        <v>0.0</v>
      </c>
      <c r="E133" s="5">
        <f t="shared" si="1"/>
        <v>2294589271</v>
      </c>
      <c r="F133" s="15" t="s">
        <v>21</v>
      </c>
      <c r="G133" s="15" t="s">
        <v>190</v>
      </c>
      <c r="H133" s="4" t="s">
        <v>191</v>
      </c>
      <c r="I133" s="4" t="s">
        <v>254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hidden="1" customHeight="1">
      <c r="A134" s="8">
        <v>46063.0</v>
      </c>
      <c r="B134" s="14" t="s">
        <v>719</v>
      </c>
      <c r="C134" s="5">
        <v>70000.0</v>
      </c>
      <c r="D134" s="5">
        <v>0.0</v>
      </c>
      <c r="E134" s="5">
        <f t="shared" si="1"/>
        <v>2294519271</v>
      </c>
      <c r="F134" s="15" t="s">
        <v>21</v>
      </c>
      <c r="G134" s="15" t="s">
        <v>190</v>
      </c>
      <c r="H134" s="4" t="s">
        <v>191</v>
      </c>
      <c r="I134" s="4" t="s">
        <v>192</v>
      </c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hidden="1" customHeight="1">
      <c r="A135" s="8">
        <v>46063.0</v>
      </c>
      <c r="B135" s="14" t="s">
        <v>719</v>
      </c>
      <c r="C135" s="5">
        <v>70000.0</v>
      </c>
      <c r="D135" s="5">
        <v>0.0</v>
      </c>
      <c r="E135" s="5">
        <f t="shared" si="1"/>
        <v>2294449271</v>
      </c>
      <c r="F135" s="15" t="s">
        <v>21</v>
      </c>
      <c r="G135" s="15" t="s">
        <v>190</v>
      </c>
      <c r="H135" s="4" t="s">
        <v>191</v>
      </c>
      <c r="I135" s="4" t="s">
        <v>192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hidden="1" customHeight="1">
      <c r="A136" s="8">
        <v>46063.0</v>
      </c>
      <c r="B136" s="14" t="s">
        <v>719</v>
      </c>
      <c r="C136" s="5">
        <v>70000.0</v>
      </c>
      <c r="D136" s="5">
        <v>0.0</v>
      </c>
      <c r="E136" s="5">
        <f t="shared" si="1"/>
        <v>2294379271</v>
      </c>
      <c r="F136" s="15" t="s">
        <v>21</v>
      </c>
      <c r="G136" s="15" t="s">
        <v>190</v>
      </c>
      <c r="H136" s="4" t="s">
        <v>191</v>
      </c>
      <c r="I136" s="4" t="s">
        <v>192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hidden="1" customHeight="1">
      <c r="A137" s="8">
        <v>46063.0</v>
      </c>
      <c r="B137" s="14" t="s">
        <v>719</v>
      </c>
      <c r="C137" s="5">
        <v>123250.0</v>
      </c>
      <c r="D137" s="5">
        <v>0.0</v>
      </c>
      <c r="E137" s="5">
        <f t="shared" si="1"/>
        <v>2294256021</v>
      </c>
      <c r="F137" s="14" t="s">
        <v>18</v>
      </c>
      <c r="G137" s="14" t="s">
        <v>194</v>
      </c>
      <c r="H137" s="16" t="s">
        <v>744</v>
      </c>
      <c r="I137" s="16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hidden="1" customHeight="1">
      <c r="A138" s="8">
        <v>46063.0</v>
      </c>
      <c r="B138" s="14" t="s">
        <v>719</v>
      </c>
      <c r="C138" s="5">
        <f>2262254-C130-C131-C132-C133-C134-C135-C136-C137</f>
        <v>4438</v>
      </c>
      <c r="D138" s="5">
        <v>0.0</v>
      </c>
      <c r="E138" s="5">
        <f t="shared" si="1"/>
        <v>2294251583</v>
      </c>
      <c r="F138" s="14" t="s">
        <v>18</v>
      </c>
      <c r="G138" s="14" t="s">
        <v>194</v>
      </c>
      <c r="H138" s="16" t="s">
        <v>744</v>
      </c>
      <c r="I138" s="16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hidden="1" customHeight="1">
      <c r="A139" s="8">
        <v>46063.0</v>
      </c>
      <c r="B139" s="4" t="s">
        <v>758</v>
      </c>
      <c r="C139" s="5">
        <v>3.0E7</v>
      </c>
      <c r="D139" s="5">
        <v>0.0</v>
      </c>
      <c r="E139" s="5">
        <f t="shared" si="1"/>
        <v>2264251583</v>
      </c>
      <c r="F139" s="14" t="s">
        <v>21</v>
      </c>
      <c r="G139" s="14" t="s">
        <v>448</v>
      </c>
      <c r="H139" s="14" t="s">
        <v>760</v>
      </c>
      <c r="I139" s="16" t="s">
        <v>658</v>
      </c>
    </row>
    <row r="140" ht="15.75" hidden="1" customHeight="1">
      <c r="A140" s="8">
        <v>46063.0</v>
      </c>
      <c r="B140" s="4" t="s">
        <v>763</v>
      </c>
      <c r="C140" s="5">
        <v>4500000.0</v>
      </c>
      <c r="D140" s="5">
        <v>0.0</v>
      </c>
      <c r="E140" s="5">
        <f t="shared" si="1"/>
        <v>2259751583</v>
      </c>
      <c r="F140" s="14" t="s">
        <v>58</v>
      </c>
      <c r="G140" s="14" t="s">
        <v>59</v>
      </c>
      <c r="H140" s="4" t="s">
        <v>326</v>
      </c>
      <c r="I140" s="16"/>
    </row>
    <row r="141" ht="15.75" hidden="1" customHeight="1">
      <c r="A141" s="8">
        <v>46063.0</v>
      </c>
      <c r="B141" s="4" t="s">
        <v>765</v>
      </c>
      <c r="C141" s="5">
        <v>2500.0</v>
      </c>
      <c r="D141" s="5">
        <v>0.0</v>
      </c>
      <c r="E141" s="5">
        <f t="shared" si="1"/>
        <v>2259749083</v>
      </c>
      <c r="F141" s="14" t="s">
        <v>43</v>
      </c>
      <c r="G141" s="14" t="s">
        <v>45</v>
      </c>
      <c r="H141" s="14"/>
      <c r="I141" s="16"/>
    </row>
    <row r="142" ht="15.75" hidden="1" customHeight="1">
      <c r="A142" s="8">
        <v>46063.0</v>
      </c>
      <c r="B142" s="4" t="s">
        <v>767</v>
      </c>
      <c r="C142" s="5">
        <f>219225000-C143</f>
        <v>197500000</v>
      </c>
      <c r="D142" s="5">
        <v>0.0</v>
      </c>
      <c r="E142" s="5">
        <f t="shared" si="1"/>
        <v>2062249083</v>
      </c>
      <c r="F142" s="14" t="s">
        <v>58</v>
      </c>
      <c r="G142" s="14" t="s">
        <v>59</v>
      </c>
      <c r="H142" s="14" t="s">
        <v>602</v>
      </c>
      <c r="I142" s="16"/>
    </row>
    <row r="143" ht="15.75" hidden="1" customHeight="1">
      <c r="A143" s="8">
        <v>46063.0</v>
      </c>
      <c r="B143" s="4" t="s">
        <v>767</v>
      </c>
      <c r="C143" s="5">
        <f>(869000*50)/2</f>
        <v>21725000</v>
      </c>
      <c r="D143" s="5">
        <v>0.0</v>
      </c>
      <c r="E143" s="5">
        <f t="shared" si="1"/>
        <v>2040524083</v>
      </c>
      <c r="F143" s="4" t="s">
        <v>21</v>
      </c>
      <c r="G143" s="4" t="s">
        <v>448</v>
      </c>
      <c r="H143" s="4" t="s">
        <v>613</v>
      </c>
      <c r="I143" s="16" t="s">
        <v>6</v>
      </c>
    </row>
    <row r="144" ht="15.75" hidden="1" customHeight="1">
      <c r="A144" s="8">
        <v>46063.0</v>
      </c>
      <c r="B144" s="4" t="s">
        <v>774</v>
      </c>
      <c r="C144" s="5">
        <v>2500.0</v>
      </c>
      <c r="D144" s="5">
        <v>0.0</v>
      </c>
      <c r="E144" s="5">
        <f t="shared" si="1"/>
        <v>2040521583</v>
      </c>
      <c r="F144" s="14" t="s">
        <v>43</v>
      </c>
      <c r="G144" s="14" t="s">
        <v>45</v>
      </c>
      <c r="H144" s="14"/>
      <c r="I144" s="16"/>
    </row>
    <row r="145" ht="15.75" hidden="1" customHeight="1">
      <c r="A145" s="8">
        <v>46063.0</v>
      </c>
      <c r="B145" s="4" t="s">
        <v>777</v>
      </c>
      <c r="C145" s="5">
        <v>5971799.0</v>
      </c>
      <c r="D145" s="5">
        <v>0.0</v>
      </c>
      <c r="E145" s="5">
        <f t="shared" si="1"/>
        <v>2034549784</v>
      </c>
      <c r="F145" s="14" t="s">
        <v>24</v>
      </c>
      <c r="G145" s="14" t="s">
        <v>125</v>
      </c>
      <c r="H145" s="4" t="s">
        <v>359</v>
      </c>
      <c r="I145" s="16"/>
    </row>
    <row r="146" ht="15.75" hidden="1" customHeight="1">
      <c r="A146" s="8">
        <v>46063.0</v>
      </c>
      <c r="B146" s="4" t="s">
        <v>779</v>
      </c>
      <c r="C146" s="5">
        <v>2500.0</v>
      </c>
      <c r="D146" s="5">
        <v>0.0</v>
      </c>
      <c r="E146" s="5">
        <f t="shared" si="1"/>
        <v>2034547284</v>
      </c>
      <c r="F146" s="14" t="s">
        <v>43</v>
      </c>
      <c r="G146" s="14" t="s">
        <v>45</v>
      </c>
      <c r="H146" s="14"/>
      <c r="I146" s="16"/>
    </row>
    <row r="147" ht="15.75" hidden="1" customHeight="1">
      <c r="A147" s="8">
        <v>46063.0</v>
      </c>
      <c r="B147" s="4" t="s">
        <v>660</v>
      </c>
      <c r="C147" s="5">
        <v>2.5E8</v>
      </c>
      <c r="D147" s="5">
        <v>0.0</v>
      </c>
      <c r="E147" s="5">
        <f t="shared" si="1"/>
        <v>1784547284</v>
      </c>
      <c r="F147" s="14" t="s">
        <v>21</v>
      </c>
      <c r="G147" s="14" t="s">
        <v>190</v>
      </c>
      <c r="H147" s="14"/>
      <c r="I147" s="16"/>
    </row>
    <row r="148" ht="15.75" hidden="1" customHeight="1">
      <c r="A148" s="8">
        <v>46063.0</v>
      </c>
      <c r="B148" s="4" t="s">
        <v>784</v>
      </c>
      <c r="C148" s="5">
        <v>2500.0</v>
      </c>
      <c r="D148" s="5">
        <v>0.0</v>
      </c>
      <c r="E148" s="5">
        <f t="shared" si="1"/>
        <v>1784544784</v>
      </c>
      <c r="F148" s="14" t="s">
        <v>43</v>
      </c>
      <c r="G148" s="14" t="s">
        <v>45</v>
      </c>
      <c r="H148" s="14"/>
      <c r="I148" s="16"/>
    </row>
    <row r="149" ht="15.75" hidden="1" customHeight="1">
      <c r="A149" s="8">
        <v>46065.0</v>
      </c>
      <c r="B149" s="4" t="s">
        <v>787</v>
      </c>
      <c r="C149" s="5">
        <v>2572643.0</v>
      </c>
      <c r="D149" s="5">
        <v>0.0</v>
      </c>
      <c r="E149" s="5">
        <f t="shared" si="1"/>
        <v>1781972141</v>
      </c>
      <c r="F149" s="14" t="s">
        <v>63</v>
      </c>
      <c r="G149" s="14" t="s">
        <v>243</v>
      </c>
      <c r="H149" s="14"/>
      <c r="I149" s="16"/>
    </row>
    <row r="150" ht="15.75" hidden="1" customHeight="1">
      <c r="A150" s="8">
        <v>46065.0</v>
      </c>
      <c r="B150" s="4" t="s">
        <v>791</v>
      </c>
      <c r="C150" s="5">
        <v>2500.0</v>
      </c>
      <c r="D150" s="5">
        <v>0.0</v>
      </c>
      <c r="E150" s="5">
        <f t="shared" si="1"/>
        <v>1781969641</v>
      </c>
      <c r="F150" s="14" t="s">
        <v>43</v>
      </c>
      <c r="G150" s="14" t="s">
        <v>45</v>
      </c>
      <c r="H150" s="14"/>
      <c r="I150" s="16"/>
    </row>
    <row r="151" ht="15.75" hidden="1" customHeight="1">
      <c r="A151" s="8">
        <v>46065.0</v>
      </c>
      <c r="B151" s="4" t="s">
        <v>521</v>
      </c>
      <c r="C151" s="5">
        <v>2.5E8</v>
      </c>
      <c r="D151" s="5">
        <v>0.0</v>
      </c>
      <c r="E151" s="5">
        <f t="shared" si="1"/>
        <v>1531969641</v>
      </c>
      <c r="F151" s="14" t="s">
        <v>21</v>
      </c>
      <c r="G151" s="14" t="s">
        <v>190</v>
      </c>
      <c r="H151" s="14"/>
      <c r="I151" s="16"/>
    </row>
    <row r="152" ht="15.75" hidden="1" customHeight="1">
      <c r="A152" s="8">
        <v>46065.0</v>
      </c>
      <c r="B152" s="4" t="s">
        <v>797</v>
      </c>
      <c r="C152" s="5">
        <v>2500.0</v>
      </c>
      <c r="D152" s="5">
        <v>0.0</v>
      </c>
      <c r="E152" s="5">
        <f t="shared" si="1"/>
        <v>1531967141</v>
      </c>
      <c r="F152" s="14" t="s">
        <v>43</v>
      </c>
      <c r="G152" s="14" t="s">
        <v>45</v>
      </c>
      <c r="H152" s="14"/>
      <c r="I152" s="16"/>
    </row>
    <row r="153" ht="15.75" hidden="1" customHeight="1">
      <c r="A153" s="8">
        <v>46065.0</v>
      </c>
      <c r="B153" s="4" t="s">
        <v>800</v>
      </c>
      <c r="C153" s="5">
        <v>2.5E8</v>
      </c>
      <c r="D153" s="5">
        <v>0.0</v>
      </c>
      <c r="E153" s="5">
        <f t="shared" si="1"/>
        <v>1281967141</v>
      </c>
      <c r="F153" s="14" t="s">
        <v>21</v>
      </c>
      <c r="G153" s="14" t="s">
        <v>190</v>
      </c>
      <c r="H153" s="14"/>
      <c r="I153" s="16"/>
    </row>
    <row r="154" ht="15.75" hidden="1" customHeight="1">
      <c r="A154" s="8">
        <v>46065.0</v>
      </c>
      <c r="B154" s="4" t="s">
        <v>803</v>
      </c>
      <c r="C154" s="5">
        <v>2500.0</v>
      </c>
      <c r="D154" s="5">
        <v>0.0</v>
      </c>
      <c r="E154" s="5">
        <f t="shared" si="1"/>
        <v>1281964641</v>
      </c>
      <c r="F154" s="14" t="s">
        <v>43</v>
      </c>
      <c r="G154" s="14" t="s">
        <v>45</v>
      </c>
      <c r="H154" s="14"/>
      <c r="I154" s="16"/>
    </row>
    <row r="155" ht="15.75" hidden="1" customHeight="1">
      <c r="A155" s="8">
        <v>46066.0</v>
      </c>
      <c r="B155" s="4" t="s">
        <v>807</v>
      </c>
      <c r="C155" s="5">
        <v>0.0</v>
      </c>
      <c r="D155" s="5">
        <v>8.8740938E7</v>
      </c>
      <c r="E155" s="5">
        <f t="shared" si="1"/>
        <v>1370705579</v>
      </c>
      <c r="F155" s="14" t="s">
        <v>75</v>
      </c>
      <c r="G155" s="14" t="s">
        <v>76</v>
      </c>
      <c r="H155" s="14" t="s">
        <v>809</v>
      </c>
      <c r="I155" s="16" t="s">
        <v>810</v>
      </c>
    </row>
    <row r="156" ht="15.75" hidden="1" customHeight="1">
      <c r="A156" s="8">
        <v>46069.0</v>
      </c>
      <c r="B156" s="4" t="s">
        <v>811</v>
      </c>
      <c r="C156" s="5">
        <v>3.4155E7</v>
      </c>
      <c r="D156" s="5">
        <v>0.0</v>
      </c>
      <c r="E156" s="5">
        <f t="shared" si="1"/>
        <v>1336550579</v>
      </c>
      <c r="F156" s="14" t="s">
        <v>18</v>
      </c>
      <c r="G156" s="14" t="s">
        <v>814</v>
      </c>
      <c r="H156" s="14"/>
      <c r="I156" s="16"/>
    </row>
    <row r="157" ht="15.75" hidden="1" customHeight="1">
      <c r="A157" s="8">
        <v>46069.0</v>
      </c>
      <c r="B157" s="4" t="s">
        <v>811</v>
      </c>
      <c r="C157" s="5">
        <v>1.35E8</v>
      </c>
      <c r="D157" s="5">
        <v>0.0</v>
      </c>
      <c r="E157" s="5">
        <f t="shared" si="1"/>
        <v>1201550579</v>
      </c>
      <c r="F157" s="14" t="s">
        <v>18</v>
      </c>
      <c r="G157" s="14" t="s">
        <v>814</v>
      </c>
      <c r="H157" s="14"/>
      <c r="I157" s="16"/>
    </row>
    <row r="158" ht="15.75" hidden="1" customHeight="1">
      <c r="A158" s="8">
        <v>46069.0</v>
      </c>
      <c r="B158" s="4" t="s">
        <v>817</v>
      </c>
      <c r="C158" s="5">
        <v>4.235E7</v>
      </c>
      <c r="D158" s="5">
        <v>0.0</v>
      </c>
      <c r="E158" s="5">
        <f t="shared" si="1"/>
        <v>1159200579</v>
      </c>
      <c r="F158" s="14" t="s">
        <v>18</v>
      </c>
      <c r="G158" s="14" t="s">
        <v>814</v>
      </c>
      <c r="H158" s="14"/>
      <c r="I158" s="16"/>
    </row>
    <row r="159" ht="15.75" hidden="1" customHeight="1">
      <c r="A159" s="8">
        <v>46069.0</v>
      </c>
      <c r="B159" s="4" t="s">
        <v>811</v>
      </c>
      <c r="C159" s="5">
        <v>2.5064E7</v>
      </c>
      <c r="D159" s="5">
        <v>0.0</v>
      </c>
      <c r="E159" s="5">
        <f t="shared" si="1"/>
        <v>1134136579</v>
      </c>
      <c r="F159" s="14" t="s">
        <v>18</v>
      </c>
      <c r="G159" s="14" t="s">
        <v>814</v>
      </c>
      <c r="H159" s="14"/>
      <c r="I159" s="16"/>
    </row>
    <row r="160" ht="15.75" hidden="1" customHeight="1">
      <c r="A160" s="8">
        <v>46069.0</v>
      </c>
      <c r="B160" s="4" t="s">
        <v>811</v>
      </c>
      <c r="C160" s="5">
        <v>1.35E8</v>
      </c>
      <c r="D160" s="5">
        <v>0.0</v>
      </c>
      <c r="E160" s="5">
        <f t="shared" si="1"/>
        <v>999136578.9</v>
      </c>
      <c r="F160" s="14" t="s">
        <v>18</v>
      </c>
      <c r="G160" s="14" t="s">
        <v>814</v>
      </c>
      <c r="H160" s="14"/>
      <c r="I160" s="16"/>
    </row>
    <row r="161" ht="15.75" hidden="1" customHeight="1">
      <c r="A161" s="8">
        <v>46069.0</v>
      </c>
      <c r="B161" s="4" t="s">
        <v>811</v>
      </c>
      <c r="C161" s="5">
        <v>1.3E7</v>
      </c>
      <c r="D161" s="5">
        <v>0.0</v>
      </c>
      <c r="E161" s="5">
        <f t="shared" si="1"/>
        <v>986136578.9</v>
      </c>
      <c r="F161" s="14" t="s">
        <v>18</v>
      </c>
      <c r="G161" s="14" t="s">
        <v>814</v>
      </c>
      <c r="H161" s="14"/>
      <c r="I161" s="16"/>
    </row>
    <row r="162" ht="15.75" hidden="1" customHeight="1">
      <c r="A162" s="8">
        <v>46069.0</v>
      </c>
      <c r="B162" s="4" t="s">
        <v>827</v>
      </c>
      <c r="C162" s="5">
        <v>1.35E8</v>
      </c>
      <c r="D162" s="5">
        <v>0.0</v>
      </c>
      <c r="E162" s="5">
        <f t="shared" si="1"/>
        <v>851136578.9</v>
      </c>
      <c r="F162" s="14" t="s">
        <v>18</v>
      </c>
      <c r="G162" s="14" t="s">
        <v>814</v>
      </c>
      <c r="H162" s="14"/>
      <c r="I162" s="16"/>
    </row>
    <row r="163" ht="15.75" hidden="1" customHeight="1">
      <c r="A163" s="8">
        <v>46069.0</v>
      </c>
      <c r="B163" s="4" t="s">
        <v>811</v>
      </c>
      <c r="C163" s="5">
        <v>1.34757E8</v>
      </c>
      <c r="D163" s="5">
        <v>0.0</v>
      </c>
      <c r="E163" s="5">
        <f t="shared" si="1"/>
        <v>716379578.9</v>
      </c>
      <c r="F163" s="14" t="s">
        <v>18</v>
      </c>
      <c r="G163" s="14" t="s">
        <v>814</v>
      </c>
      <c r="H163" s="14"/>
      <c r="I163" s="16"/>
    </row>
    <row r="164" ht="15.75" hidden="1" customHeight="1">
      <c r="A164" s="8">
        <v>46069.0</v>
      </c>
      <c r="B164" s="4" t="s">
        <v>811</v>
      </c>
      <c r="C164" s="5">
        <v>2.8431E7</v>
      </c>
      <c r="D164" s="5">
        <v>0.0</v>
      </c>
      <c r="E164" s="5">
        <f t="shared" si="1"/>
        <v>687948578.9</v>
      </c>
      <c r="F164" s="14" t="s">
        <v>18</v>
      </c>
      <c r="G164" s="14" t="s">
        <v>814</v>
      </c>
      <c r="H164" s="14"/>
      <c r="I164" s="16"/>
    </row>
    <row r="165" ht="15.75" hidden="1" customHeight="1">
      <c r="A165" s="8">
        <v>46069.0</v>
      </c>
      <c r="B165" s="4" t="s">
        <v>834</v>
      </c>
      <c r="C165" s="5">
        <v>1.00845E8</v>
      </c>
      <c r="D165" s="5">
        <v>0.0</v>
      </c>
      <c r="E165" s="5">
        <f t="shared" si="1"/>
        <v>587103578.9</v>
      </c>
      <c r="F165" s="14" t="s">
        <v>18</v>
      </c>
      <c r="G165" s="14" t="s">
        <v>814</v>
      </c>
      <c r="H165" s="14"/>
      <c r="I165" s="16"/>
    </row>
    <row r="166" ht="15.75" hidden="1" customHeight="1">
      <c r="A166" s="8">
        <v>46069.0</v>
      </c>
      <c r="B166" s="4" t="s">
        <v>834</v>
      </c>
      <c r="C166" s="5">
        <v>1.35E8</v>
      </c>
      <c r="D166" s="5">
        <v>0.0</v>
      </c>
      <c r="E166" s="5">
        <f t="shared" si="1"/>
        <v>452103578.9</v>
      </c>
      <c r="F166" s="14" t="s">
        <v>18</v>
      </c>
      <c r="G166" s="14" t="s">
        <v>814</v>
      </c>
      <c r="H166" s="14"/>
      <c r="I166" s="16"/>
    </row>
    <row r="167" ht="15.75" hidden="1" customHeight="1">
      <c r="A167" s="8">
        <v>46069.0</v>
      </c>
      <c r="B167" s="4" t="s">
        <v>834</v>
      </c>
      <c r="C167" s="5">
        <v>7.965E7</v>
      </c>
      <c r="D167" s="5">
        <v>0.0</v>
      </c>
      <c r="E167" s="5">
        <f t="shared" si="1"/>
        <v>372453578.9</v>
      </c>
      <c r="F167" s="14" t="s">
        <v>18</v>
      </c>
      <c r="G167" s="14" t="s">
        <v>814</v>
      </c>
      <c r="H167" s="14"/>
      <c r="I167" s="16"/>
    </row>
    <row r="168" ht="15.75" hidden="1" customHeight="1">
      <c r="A168" s="8">
        <v>46069.0</v>
      </c>
      <c r="B168" s="4" t="s">
        <v>834</v>
      </c>
      <c r="C168" s="5">
        <v>1.0606E8</v>
      </c>
      <c r="D168" s="5">
        <v>0.0</v>
      </c>
      <c r="E168" s="5">
        <f t="shared" si="1"/>
        <v>266393578.9</v>
      </c>
      <c r="F168" s="14" t="s">
        <v>18</v>
      </c>
      <c r="G168" s="14" t="s">
        <v>814</v>
      </c>
      <c r="H168" s="14"/>
      <c r="I168" s="16"/>
    </row>
    <row r="169" ht="15.75" hidden="1" customHeight="1">
      <c r="A169" s="8">
        <v>46069.0</v>
      </c>
      <c r="B169" s="4" t="s">
        <v>834</v>
      </c>
      <c r="C169" s="5">
        <v>1.06569E8</v>
      </c>
      <c r="D169" s="5">
        <v>0.0</v>
      </c>
      <c r="E169" s="5">
        <f t="shared" si="1"/>
        <v>159824578.9</v>
      </c>
      <c r="F169" s="14" t="s">
        <v>18</v>
      </c>
      <c r="G169" s="14" t="s">
        <v>814</v>
      </c>
      <c r="H169" s="14"/>
      <c r="I169" s="16"/>
    </row>
    <row r="170" ht="15.75" hidden="1" customHeight="1">
      <c r="A170" s="8">
        <v>46069.0</v>
      </c>
      <c r="B170" s="4" t="s">
        <v>811</v>
      </c>
      <c r="C170" s="5">
        <v>1.35E8</v>
      </c>
      <c r="D170" s="5">
        <v>0.0</v>
      </c>
      <c r="E170" s="5">
        <f t="shared" si="1"/>
        <v>24824578.88</v>
      </c>
      <c r="F170" s="14" t="s">
        <v>18</v>
      </c>
      <c r="G170" s="14" t="s">
        <v>814</v>
      </c>
      <c r="H170" s="14"/>
      <c r="I170" s="16"/>
    </row>
    <row r="171" ht="15.75" hidden="1" customHeight="1">
      <c r="A171" s="8">
        <v>46071.0</v>
      </c>
      <c r="B171" s="4" t="s">
        <v>847</v>
      </c>
      <c r="C171" s="5">
        <v>0.0</v>
      </c>
      <c r="D171" s="5">
        <v>2.2286655E7</v>
      </c>
      <c r="E171" s="5">
        <f t="shared" si="1"/>
        <v>47111233.88</v>
      </c>
      <c r="F171" s="14" t="s">
        <v>75</v>
      </c>
      <c r="G171" s="14" t="s">
        <v>76</v>
      </c>
      <c r="H171" s="14" t="s">
        <v>850</v>
      </c>
      <c r="I171" s="16" t="s">
        <v>852</v>
      </c>
    </row>
    <row r="172" ht="15.75" hidden="1" customHeight="1">
      <c r="A172" s="8">
        <v>46071.0</v>
      </c>
      <c r="B172" s="4" t="s">
        <v>847</v>
      </c>
      <c r="C172" s="5">
        <v>0.0</v>
      </c>
      <c r="D172" s="5">
        <v>3.3007163E7</v>
      </c>
      <c r="E172" s="5">
        <f t="shared" si="1"/>
        <v>80118396.88</v>
      </c>
      <c r="F172" s="14" t="s">
        <v>75</v>
      </c>
      <c r="G172" s="14" t="s">
        <v>76</v>
      </c>
      <c r="H172" s="14" t="s">
        <v>855</v>
      </c>
      <c r="I172" s="16" t="s">
        <v>856</v>
      </c>
    </row>
    <row r="173" ht="15.75" hidden="1" customHeight="1">
      <c r="A173" s="8">
        <v>46071.0</v>
      </c>
      <c r="B173" s="4" t="s">
        <v>847</v>
      </c>
      <c r="C173" s="5">
        <v>0.0</v>
      </c>
      <c r="D173" s="5">
        <f>134153575-D171-D172</f>
        <v>78859757</v>
      </c>
      <c r="E173" s="5">
        <f t="shared" si="1"/>
        <v>158978153.9</v>
      </c>
      <c r="F173" s="14" t="s">
        <v>75</v>
      </c>
      <c r="G173" s="14" t="s">
        <v>76</v>
      </c>
      <c r="H173" s="14" t="s">
        <v>860</v>
      </c>
      <c r="I173" s="16" t="s">
        <v>861</v>
      </c>
    </row>
    <row r="174" ht="15.75" hidden="1" customHeight="1">
      <c r="A174" s="8">
        <v>46073.0</v>
      </c>
      <c r="B174" s="4" t="s">
        <v>862</v>
      </c>
      <c r="C174" s="5">
        <v>0.0</v>
      </c>
      <c r="D174" s="5">
        <v>3.55854968E8</v>
      </c>
      <c r="E174" s="5">
        <f t="shared" si="1"/>
        <v>514833121.9</v>
      </c>
      <c r="F174" s="14" t="s">
        <v>24</v>
      </c>
      <c r="G174" s="14" t="s">
        <v>26</v>
      </c>
      <c r="H174" s="14" t="s">
        <v>864</v>
      </c>
      <c r="I174" s="16" t="s">
        <v>866</v>
      </c>
    </row>
    <row r="175" ht="15.75" hidden="1" customHeight="1">
      <c r="A175" s="8">
        <v>46073.0</v>
      </c>
      <c r="B175" s="4" t="s">
        <v>867</v>
      </c>
      <c r="C175" s="5">
        <v>0.0</v>
      </c>
      <c r="D175" s="5">
        <v>3.1719926E7</v>
      </c>
      <c r="E175" s="5">
        <f t="shared" si="1"/>
        <v>546553047.9</v>
      </c>
      <c r="F175" s="14" t="s">
        <v>75</v>
      </c>
      <c r="G175" s="14" t="s">
        <v>76</v>
      </c>
      <c r="H175" s="14" t="s">
        <v>871</v>
      </c>
      <c r="I175" s="16" t="s">
        <v>872</v>
      </c>
    </row>
    <row r="176" ht="15.75" customHeight="1">
      <c r="A176" s="8">
        <v>46073.0</v>
      </c>
      <c r="B176" s="4" t="s">
        <v>873</v>
      </c>
      <c r="C176" s="5">
        <v>0.0</v>
      </c>
      <c r="D176" s="5">
        <v>969600.0</v>
      </c>
      <c r="E176" s="5">
        <f t="shared" si="1"/>
        <v>547522647.9</v>
      </c>
      <c r="F176" s="14" t="s">
        <v>21</v>
      </c>
      <c r="G176" s="14" t="s">
        <v>876</v>
      </c>
      <c r="H176" s="14" t="s">
        <v>760</v>
      </c>
      <c r="I176" s="16" t="s">
        <v>658</v>
      </c>
    </row>
    <row r="177" ht="15.75" hidden="1" customHeight="1">
      <c r="A177" s="8">
        <v>46073.0</v>
      </c>
      <c r="B177" s="4" t="s">
        <v>877</v>
      </c>
      <c r="C177" s="5">
        <f>10866327-C178+D179</f>
        <v>11032654</v>
      </c>
      <c r="D177" s="5">
        <v>0.0</v>
      </c>
      <c r="E177" s="5">
        <f t="shared" si="1"/>
        <v>536489993.9</v>
      </c>
      <c r="F177" s="14" t="s">
        <v>58</v>
      </c>
      <c r="G177" s="14" t="s">
        <v>59</v>
      </c>
      <c r="H177" s="14" t="s">
        <v>602</v>
      </c>
      <c r="I177" s="16"/>
    </row>
    <row r="178" ht="15.75" hidden="1" customHeight="1">
      <c r="A178" s="8">
        <v>46073.0</v>
      </c>
      <c r="B178" s="4" t="s">
        <v>877</v>
      </c>
      <c r="C178" s="5">
        <v>50000.0</v>
      </c>
      <c r="D178" s="5">
        <v>0.0</v>
      </c>
      <c r="E178" s="5">
        <f t="shared" si="1"/>
        <v>536439993.9</v>
      </c>
      <c r="F178" s="14" t="s">
        <v>58</v>
      </c>
      <c r="G178" s="14" t="s">
        <v>59</v>
      </c>
      <c r="H178" s="14" t="s">
        <v>602</v>
      </c>
      <c r="I178" s="16"/>
    </row>
    <row r="179" ht="15.75" hidden="1" customHeight="1">
      <c r="A179" s="8">
        <v>46073.0</v>
      </c>
      <c r="B179" s="4" t="s">
        <v>877</v>
      </c>
      <c r="C179" s="5">
        <v>0.0</v>
      </c>
      <c r="D179" s="5">
        <v>216327.0</v>
      </c>
      <c r="E179" s="5">
        <f t="shared" si="1"/>
        <v>536656320.9</v>
      </c>
      <c r="F179" s="14" t="s">
        <v>93</v>
      </c>
      <c r="G179" s="14" t="s">
        <v>93</v>
      </c>
      <c r="H179" s="14" t="s">
        <v>191</v>
      </c>
      <c r="I179" s="16"/>
    </row>
    <row r="180" ht="15.75" hidden="1" customHeight="1">
      <c r="A180" s="8">
        <v>46073.0</v>
      </c>
      <c r="B180" s="4" t="s">
        <v>886</v>
      </c>
      <c r="C180" s="5">
        <v>2361901.0</v>
      </c>
      <c r="D180" s="5">
        <v>0.0</v>
      </c>
      <c r="E180" s="5">
        <f t="shared" si="1"/>
        <v>534294419.9</v>
      </c>
      <c r="F180" s="14" t="s">
        <v>24</v>
      </c>
      <c r="G180" s="14" t="s">
        <v>125</v>
      </c>
      <c r="H180" s="4" t="s">
        <v>359</v>
      </c>
      <c r="I180" s="16"/>
    </row>
    <row r="181" ht="15.75" hidden="1" customHeight="1">
      <c r="A181" s="8">
        <v>46073.0</v>
      </c>
      <c r="B181" s="4" t="s">
        <v>889</v>
      </c>
      <c r="C181" s="5">
        <v>2500.0</v>
      </c>
      <c r="D181" s="5">
        <v>0.0</v>
      </c>
      <c r="E181" s="5">
        <f t="shared" si="1"/>
        <v>534291919.9</v>
      </c>
      <c r="F181" s="14" t="s">
        <v>43</v>
      </c>
      <c r="G181" s="14" t="s">
        <v>45</v>
      </c>
      <c r="H181" s="14"/>
      <c r="I181" s="16"/>
    </row>
    <row r="182" ht="15.75" hidden="1" customHeight="1">
      <c r="A182" s="8">
        <v>46073.0</v>
      </c>
      <c r="B182" s="4" t="s">
        <v>891</v>
      </c>
      <c r="C182" s="5">
        <v>2178050.0</v>
      </c>
      <c r="D182" s="5">
        <v>0.0</v>
      </c>
      <c r="E182" s="5">
        <f t="shared" si="1"/>
        <v>532113869.9</v>
      </c>
      <c r="F182" s="14" t="s">
        <v>50</v>
      </c>
      <c r="G182" s="14" t="s">
        <v>225</v>
      </c>
      <c r="H182" s="14" t="s">
        <v>363</v>
      </c>
      <c r="I182" s="16"/>
    </row>
    <row r="183" ht="15.75" hidden="1" customHeight="1">
      <c r="A183" s="8">
        <v>46073.0</v>
      </c>
      <c r="B183" s="4" t="s">
        <v>893</v>
      </c>
      <c r="C183" s="5">
        <v>1494000.0</v>
      </c>
      <c r="D183" s="5">
        <v>0.0</v>
      </c>
      <c r="E183" s="5">
        <f t="shared" si="1"/>
        <v>530619869.9</v>
      </c>
      <c r="F183" s="14" t="s">
        <v>24</v>
      </c>
      <c r="G183" s="14" t="s">
        <v>125</v>
      </c>
      <c r="H183" s="4" t="s">
        <v>359</v>
      </c>
      <c r="I183" s="16"/>
    </row>
    <row r="184" ht="15.75" hidden="1" customHeight="1">
      <c r="A184" s="8">
        <v>46073.0</v>
      </c>
      <c r="B184" s="4" t="s">
        <v>895</v>
      </c>
      <c r="C184" s="5">
        <v>2500.0</v>
      </c>
      <c r="D184" s="5">
        <v>0.0</v>
      </c>
      <c r="E184" s="5">
        <f t="shared" si="1"/>
        <v>530617369.9</v>
      </c>
      <c r="F184" s="14" t="s">
        <v>43</v>
      </c>
      <c r="G184" s="14" t="s">
        <v>45</v>
      </c>
      <c r="H184" s="14"/>
      <c r="I184" s="16"/>
    </row>
    <row r="185" ht="15.75" hidden="1" customHeight="1">
      <c r="A185" s="8">
        <v>46073.0</v>
      </c>
      <c r="B185" s="4" t="s">
        <v>898</v>
      </c>
      <c r="C185" s="5">
        <v>4785600.0</v>
      </c>
      <c r="D185" s="5">
        <v>0.0</v>
      </c>
      <c r="E185" s="5">
        <f t="shared" si="1"/>
        <v>525831769.9</v>
      </c>
      <c r="F185" s="14" t="s">
        <v>24</v>
      </c>
      <c r="G185" s="14" t="s">
        <v>125</v>
      </c>
      <c r="H185" s="4" t="s">
        <v>359</v>
      </c>
      <c r="I185" s="16"/>
    </row>
    <row r="186" ht="15.75" hidden="1" customHeight="1">
      <c r="A186" s="8">
        <v>46073.0</v>
      </c>
      <c r="B186" s="4" t="s">
        <v>902</v>
      </c>
      <c r="C186" s="5">
        <v>2500.0</v>
      </c>
      <c r="D186" s="5">
        <v>0.0</v>
      </c>
      <c r="E186" s="5">
        <f t="shared" si="1"/>
        <v>525829269.9</v>
      </c>
      <c r="F186" s="14" t="s">
        <v>43</v>
      </c>
      <c r="G186" s="14" t="s">
        <v>45</v>
      </c>
      <c r="H186" s="14"/>
      <c r="I186" s="16"/>
    </row>
    <row r="187" ht="15.75" hidden="1" customHeight="1">
      <c r="A187" s="8">
        <v>46073.0</v>
      </c>
      <c r="B187" s="4" t="s">
        <v>908</v>
      </c>
      <c r="C187" s="5">
        <v>1390500.0</v>
      </c>
      <c r="D187" s="5">
        <v>0.0</v>
      </c>
      <c r="E187" s="5">
        <f t="shared" si="1"/>
        <v>524438769.9</v>
      </c>
      <c r="F187" s="14" t="s">
        <v>24</v>
      </c>
      <c r="G187" s="14" t="s">
        <v>125</v>
      </c>
      <c r="H187" s="4" t="s">
        <v>359</v>
      </c>
      <c r="I187" s="16"/>
    </row>
    <row r="188" ht="15.75" hidden="1" customHeight="1">
      <c r="A188" s="8">
        <v>46073.0</v>
      </c>
      <c r="B188" s="4" t="s">
        <v>911</v>
      </c>
      <c r="C188" s="5">
        <v>2500.0</v>
      </c>
      <c r="D188" s="5">
        <v>0.0</v>
      </c>
      <c r="E188" s="5">
        <f t="shared" si="1"/>
        <v>524436269.9</v>
      </c>
      <c r="F188" s="14" t="s">
        <v>43</v>
      </c>
      <c r="G188" s="14" t="s">
        <v>45</v>
      </c>
      <c r="H188" s="14"/>
      <c r="I188" s="16"/>
    </row>
    <row r="189" ht="15.75" hidden="1" customHeight="1">
      <c r="A189" s="8">
        <v>46073.0</v>
      </c>
      <c r="B189" s="4" t="s">
        <v>915</v>
      </c>
      <c r="C189" s="5">
        <v>9531700.0</v>
      </c>
      <c r="D189" s="5">
        <v>0.0</v>
      </c>
      <c r="E189" s="5">
        <f t="shared" si="1"/>
        <v>514904569.9</v>
      </c>
      <c r="F189" s="14" t="s">
        <v>24</v>
      </c>
      <c r="G189" s="14" t="s">
        <v>125</v>
      </c>
      <c r="H189" s="4" t="s">
        <v>359</v>
      </c>
      <c r="I189" s="16"/>
    </row>
    <row r="190" ht="15.75" hidden="1" customHeight="1">
      <c r="A190" s="8">
        <v>46073.0</v>
      </c>
      <c r="B190" s="4" t="s">
        <v>918</v>
      </c>
      <c r="C190" s="5">
        <v>2500.0</v>
      </c>
      <c r="D190" s="5">
        <v>0.0</v>
      </c>
      <c r="E190" s="5">
        <f t="shared" si="1"/>
        <v>514902069.9</v>
      </c>
      <c r="F190" s="14" t="s">
        <v>43</v>
      </c>
      <c r="G190" s="14" t="s">
        <v>45</v>
      </c>
      <c r="H190" s="14"/>
      <c r="I190" s="16"/>
    </row>
    <row r="191" ht="15.75" hidden="1" customHeight="1">
      <c r="A191" s="8">
        <v>46073.0</v>
      </c>
      <c r="B191" s="4" t="s">
        <v>921</v>
      </c>
      <c r="C191" s="5">
        <v>6408875.0</v>
      </c>
      <c r="D191" s="5">
        <v>0.0</v>
      </c>
      <c r="E191" s="5">
        <f t="shared" si="1"/>
        <v>508493194.9</v>
      </c>
      <c r="F191" s="14" t="s">
        <v>21</v>
      </c>
      <c r="G191" s="14" t="s">
        <v>448</v>
      </c>
      <c r="H191" s="14" t="s">
        <v>657</v>
      </c>
      <c r="I191" s="16" t="s">
        <v>658</v>
      </c>
    </row>
    <row r="192" ht="15.75" hidden="1" customHeight="1">
      <c r="A192" s="8">
        <v>46077.0</v>
      </c>
      <c r="B192" s="4" t="s">
        <v>925</v>
      </c>
      <c r="C192" s="5">
        <v>4.5372E7</v>
      </c>
      <c r="D192" s="5">
        <v>0.0</v>
      </c>
      <c r="E192" s="5">
        <f t="shared" si="1"/>
        <v>463121194.9</v>
      </c>
      <c r="F192" s="14" t="s">
        <v>58</v>
      </c>
      <c r="G192" s="14" t="s">
        <v>59</v>
      </c>
      <c r="H192" s="14" t="s">
        <v>111</v>
      </c>
      <c r="I192" s="16"/>
    </row>
    <row r="193" ht="15.75" hidden="1" customHeight="1">
      <c r="A193" s="8">
        <v>46078.0</v>
      </c>
      <c r="B193" s="4" t="s">
        <v>929</v>
      </c>
      <c r="C193" s="5">
        <v>4070757.0</v>
      </c>
      <c r="D193" s="5">
        <v>0.0</v>
      </c>
      <c r="E193" s="5">
        <f t="shared" si="1"/>
        <v>459050437.9</v>
      </c>
      <c r="F193" s="14" t="s">
        <v>24</v>
      </c>
      <c r="G193" s="14" t="s">
        <v>125</v>
      </c>
      <c r="H193" s="14" t="s">
        <v>493</v>
      </c>
      <c r="I193" s="16"/>
    </row>
    <row r="194" ht="15.75" hidden="1" customHeight="1">
      <c r="A194" s="8">
        <v>46078.0</v>
      </c>
      <c r="B194" s="4" t="s">
        <v>933</v>
      </c>
      <c r="C194" s="5">
        <v>837375.0</v>
      </c>
      <c r="D194" s="5">
        <v>0.0</v>
      </c>
      <c r="E194" s="5">
        <f t="shared" si="1"/>
        <v>458213062.9</v>
      </c>
      <c r="F194" s="14" t="s">
        <v>24</v>
      </c>
      <c r="G194" s="14" t="s">
        <v>125</v>
      </c>
      <c r="H194" s="4" t="s">
        <v>359</v>
      </c>
      <c r="I194" s="16"/>
    </row>
    <row r="195" ht="15.75" hidden="1" customHeight="1">
      <c r="A195" s="8">
        <v>46078.0</v>
      </c>
      <c r="B195" s="4" t="s">
        <v>935</v>
      </c>
      <c r="C195" s="5">
        <v>2500.0</v>
      </c>
      <c r="D195" s="5">
        <v>0.0</v>
      </c>
      <c r="E195" s="5">
        <f t="shared" si="1"/>
        <v>458210562.9</v>
      </c>
      <c r="F195" s="14" t="s">
        <v>43</v>
      </c>
      <c r="G195" s="14" t="s">
        <v>45</v>
      </c>
      <c r="H195" s="14"/>
      <c r="I195" s="16"/>
    </row>
    <row r="196" ht="15.75" hidden="1" customHeight="1">
      <c r="A196" s="8">
        <v>46078.0</v>
      </c>
      <c r="B196" s="4" t="s">
        <v>938</v>
      </c>
      <c r="C196" s="5">
        <f>47939726-C197+D198</f>
        <v>48066000</v>
      </c>
      <c r="D196" s="5">
        <v>0.0</v>
      </c>
      <c r="E196" s="5">
        <f t="shared" si="1"/>
        <v>410144562.9</v>
      </c>
      <c r="F196" s="14" t="s">
        <v>58</v>
      </c>
      <c r="G196" s="14" t="s">
        <v>59</v>
      </c>
      <c r="H196" s="14" t="s">
        <v>319</v>
      </c>
      <c r="I196" s="16"/>
    </row>
    <row r="197" ht="15.75" hidden="1" customHeight="1">
      <c r="A197" s="8">
        <v>46078.0</v>
      </c>
      <c r="B197" s="4" t="s">
        <v>938</v>
      </c>
      <c r="C197" s="5">
        <v>528726.0</v>
      </c>
      <c r="D197" s="5">
        <v>0.0</v>
      </c>
      <c r="E197" s="5">
        <f t="shared" si="1"/>
        <v>409615836.9</v>
      </c>
      <c r="F197" s="4" t="s">
        <v>21</v>
      </c>
      <c r="G197" s="4" t="s">
        <v>448</v>
      </c>
      <c r="H197" s="4" t="s">
        <v>613</v>
      </c>
      <c r="I197" s="16" t="s">
        <v>6</v>
      </c>
    </row>
    <row r="198" ht="15.75" hidden="1" customHeight="1">
      <c r="A198" s="8">
        <v>46078.0</v>
      </c>
      <c r="B198" s="4" t="s">
        <v>938</v>
      </c>
      <c r="C198" s="5">
        <v>0.0</v>
      </c>
      <c r="D198" s="5">
        <v>655000.0</v>
      </c>
      <c r="E198" s="5">
        <f t="shared" si="1"/>
        <v>410270836.9</v>
      </c>
      <c r="F198" s="14" t="s">
        <v>93</v>
      </c>
      <c r="G198" s="14" t="s">
        <v>93</v>
      </c>
      <c r="H198" s="14" t="s">
        <v>191</v>
      </c>
      <c r="I198" s="16" t="s">
        <v>953</v>
      </c>
    </row>
    <row r="199" ht="15.75" hidden="1" customHeight="1">
      <c r="A199" s="8">
        <v>46078.0</v>
      </c>
      <c r="B199" s="4" t="s">
        <v>956</v>
      </c>
      <c r="C199" s="5">
        <v>2500.0</v>
      </c>
      <c r="D199" s="5">
        <v>0.0</v>
      </c>
      <c r="E199" s="5">
        <f t="shared" si="1"/>
        <v>410268336.9</v>
      </c>
      <c r="F199" s="14" t="s">
        <v>43</v>
      </c>
      <c r="G199" s="14" t="s">
        <v>45</v>
      </c>
      <c r="H199" s="14"/>
      <c r="I199" s="16"/>
    </row>
    <row r="200" ht="15.75" hidden="1" customHeight="1">
      <c r="A200" s="8">
        <v>46078.0</v>
      </c>
      <c r="B200" s="4" t="s">
        <v>958</v>
      </c>
      <c r="C200" s="5">
        <v>5281395.0</v>
      </c>
      <c r="D200" s="5">
        <v>0.0</v>
      </c>
      <c r="E200" s="5">
        <f t="shared" si="1"/>
        <v>404986941.9</v>
      </c>
      <c r="F200" s="14" t="s">
        <v>58</v>
      </c>
      <c r="G200" s="14" t="s">
        <v>59</v>
      </c>
      <c r="H200" s="14" t="s">
        <v>326</v>
      </c>
      <c r="I200" s="16"/>
    </row>
    <row r="201" ht="15.75" hidden="1" customHeight="1">
      <c r="A201" s="8">
        <v>46078.0</v>
      </c>
      <c r="B201" s="4" t="s">
        <v>961</v>
      </c>
      <c r="C201" s="5">
        <v>2500.0</v>
      </c>
      <c r="D201" s="5">
        <v>0.0</v>
      </c>
      <c r="E201" s="5">
        <f t="shared" si="1"/>
        <v>404984441.9</v>
      </c>
      <c r="F201" s="14" t="s">
        <v>43</v>
      </c>
      <c r="G201" s="14" t="s">
        <v>45</v>
      </c>
      <c r="H201" s="14"/>
      <c r="I201" s="16"/>
    </row>
    <row r="202" ht="15.75" hidden="1" customHeight="1">
      <c r="A202" s="8">
        <v>46078.0</v>
      </c>
      <c r="B202" s="4" t="s">
        <v>967</v>
      </c>
      <c r="C202" s="5">
        <v>2384250.0</v>
      </c>
      <c r="D202" s="5">
        <v>0.0</v>
      </c>
      <c r="E202" s="5">
        <f t="shared" si="1"/>
        <v>402600191.9</v>
      </c>
      <c r="F202" s="14" t="s">
        <v>24</v>
      </c>
      <c r="G202" s="14" t="s">
        <v>125</v>
      </c>
      <c r="H202" s="4" t="s">
        <v>359</v>
      </c>
      <c r="I202" s="16"/>
    </row>
    <row r="203" ht="15.75" hidden="1" customHeight="1">
      <c r="A203" s="8">
        <v>46078.0</v>
      </c>
      <c r="B203" s="4" t="s">
        <v>969</v>
      </c>
      <c r="C203" s="5">
        <v>2500.0</v>
      </c>
      <c r="D203" s="5">
        <v>0.0</v>
      </c>
      <c r="E203" s="5">
        <f t="shared" si="1"/>
        <v>402597691.9</v>
      </c>
      <c r="F203" s="14" t="s">
        <v>43</v>
      </c>
      <c r="G203" s="14" t="s">
        <v>45</v>
      </c>
      <c r="H203" s="14"/>
      <c r="I203" s="16"/>
    </row>
    <row r="204" ht="15.75" hidden="1" customHeight="1">
      <c r="A204" s="8">
        <v>46078.0</v>
      </c>
      <c r="B204" s="4" t="s">
        <v>972</v>
      </c>
      <c r="C204" s="5">
        <v>1537850.0</v>
      </c>
      <c r="D204" s="5">
        <v>0.0</v>
      </c>
      <c r="E204" s="5">
        <f t="shared" si="1"/>
        <v>401059841.9</v>
      </c>
      <c r="F204" s="14" t="s">
        <v>24</v>
      </c>
      <c r="G204" s="14" t="s">
        <v>125</v>
      </c>
      <c r="H204" s="4" t="s">
        <v>359</v>
      </c>
      <c r="I204" s="16"/>
    </row>
    <row r="205" ht="15.75" hidden="1" customHeight="1">
      <c r="A205" s="8">
        <v>46078.0</v>
      </c>
      <c r="B205" s="4" t="s">
        <v>975</v>
      </c>
      <c r="C205" s="5">
        <v>2500.0</v>
      </c>
      <c r="D205" s="5">
        <v>0.0</v>
      </c>
      <c r="E205" s="5">
        <f t="shared" si="1"/>
        <v>401057341.9</v>
      </c>
      <c r="F205" s="14" t="s">
        <v>43</v>
      </c>
      <c r="G205" s="14" t="s">
        <v>45</v>
      </c>
      <c r="H205" s="14"/>
      <c r="I205" s="16"/>
    </row>
    <row r="206" ht="15.75" hidden="1" customHeight="1">
      <c r="A206" s="8">
        <v>46078.0</v>
      </c>
      <c r="B206" s="4" t="s">
        <v>977</v>
      </c>
      <c r="C206" s="5">
        <f>11500600-C207+D208</f>
        <v>11600000</v>
      </c>
      <c r="D206" s="5">
        <v>0.0</v>
      </c>
      <c r="E206" s="5">
        <f t="shared" si="1"/>
        <v>389457341.9</v>
      </c>
      <c r="F206" s="14" t="s">
        <v>58</v>
      </c>
      <c r="G206" s="14" t="s">
        <v>59</v>
      </c>
      <c r="H206" s="4" t="s">
        <v>332</v>
      </c>
      <c r="I206" s="16"/>
    </row>
    <row r="207" ht="15.75" hidden="1" customHeight="1">
      <c r="A207" s="8">
        <v>46078.0</v>
      </c>
      <c r="B207" s="4" t="s">
        <v>977</v>
      </c>
      <c r="C207" s="5">
        <v>127600.0</v>
      </c>
      <c r="D207" s="5">
        <v>0.0</v>
      </c>
      <c r="E207" s="5">
        <f t="shared" si="1"/>
        <v>389329741.9</v>
      </c>
      <c r="F207" s="4" t="s">
        <v>21</v>
      </c>
      <c r="G207" s="4" t="s">
        <v>448</v>
      </c>
      <c r="H207" s="4" t="s">
        <v>613</v>
      </c>
      <c r="I207" s="16" t="s">
        <v>6</v>
      </c>
    </row>
    <row r="208" ht="15.75" hidden="1" customHeight="1">
      <c r="A208" s="8">
        <v>46078.0</v>
      </c>
      <c r="B208" s="4" t="s">
        <v>977</v>
      </c>
      <c r="C208" s="5">
        <v>0.0</v>
      </c>
      <c r="D208" s="5">
        <v>227000.0</v>
      </c>
      <c r="E208" s="5">
        <f t="shared" si="1"/>
        <v>389556741.9</v>
      </c>
      <c r="F208" s="14" t="s">
        <v>93</v>
      </c>
      <c r="G208" s="14" t="s">
        <v>93</v>
      </c>
      <c r="H208" s="14" t="s">
        <v>191</v>
      </c>
      <c r="I208" s="16" t="s">
        <v>953</v>
      </c>
    </row>
    <row r="209" ht="15.75" hidden="1" customHeight="1">
      <c r="A209" s="8">
        <v>46078.0</v>
      </c>
      <c r="B209" s="4" t="s">
        <v>984</v>
      </c>
      <c r="C209" s="5">
        <v>2500.0</v>
      </c>
      <c r="D209" s="5">
        <v>0.0</v>
      </c>
      <c r="E209" s="5">
        <f t="shared" si="1"/>
        <v>389554241.9</v>
      </c>
      <c r="F209" s="14" t="s">
        <v>43</v>
      </c>
      <c r="G209" s="14" t="s">
        <v>45</v>
      </c>
      <c r="H209" s="14"/>
      <c r="I209" s="16"/>
    </row>
    <row r="210" ht="15.75" hidden="1" customHeight="1">
      <c r="A210" s="8">
        <v>46078.0</v>
      </c>
      <c r="B210" s="4" t="s">
        <v>987</v>
      </c>
      <c r="C210" s="5">
        <v>4463205.0</v>
      </c>
      <c r="D210" s="5">
        <v>0.0</v>
      </c>
      <c r="E210" s="5">
        <f t="shared" si="1"/>
        <v>385091036.9</v>
      </c>
      <c r="F210" s="14" t="s">
        <v>24</v>
      </c>
      <c r="G210" s="14" t="s">
        <v>125</v>
      </c>
      <c r="H210" s="4" t="s">
        <v>359</v>
      </c>
      <c r="I210" s="16"/>
    </row>
    <row r="211" ht="15.75" hidden="1" customHeight="1">
      <c r="A211" s="8">
        <v>46078.0</v>
      </c>
      <c r="B211" s="4" t="s">
        <v>990</v>
      </c>
      <c r="C211" s="5">
        <v>2500.0</v>
      </c>
      <c r="D211" s="5">
        <v>0.0</v>
      </c>
      <c r="E211" s="5">
        <f t="shared" si="1"/>
        <v>385088536.9</v>
      </c>
      <c r="F211" s="14" t="s">
        <v>43</v>
      </c>
      <c r="G211" s="14" t="s">
        <v>45</v>
      </c>
      <c r="H211" s="14"/>
      <c r="I211" s="16"/>
    </row>
    <row r="212" ht="15.75" hidden="1" customHeight="1">
      <c r="A212" s="8">
        <v>46078.0</v>
      </c>
      <c r="B212" s="4" t="s">
        <v>800</v>
      </c>
      <c r="C212" s="5">
        <v>2.5E8</v>
      </c>
      <c r="D212" s="5">
        <v>0.0</v>
      </c>
      <c r="E212" s="5">
        <f t="shared" si="1"/>
        <v>135088536.9</v>
      </c>
      <c r="F212" s="14" t="s">
        <v>21</v>
      </c>
      <c r="G212" s="14" t="s">
        <v>190</v>
      </c>
      <c r="H212" s="14"/>
      <c r="I212" s="16"/>
    </row>
    <row r="213" ht="15.75" hidden="1" customHeight="1">
      <c r="A213" s="8">
        <v>46078.0</v>
      </c>
      <c r="B213" s="4" t="s">
        <v>994</v>
      </c>
      <c r="C213" s="5">
        <v>2500.0</v>
      </c>
      <c r="D213" s="5">
        <v>0.0</v>
      </c>
      <c r="E213" s="5">
        <f t="shared" si="1"/>
        <v>135086036.9</v>
      </c>
      <c r="F213" s="14" t="s">
        <v>43</v>
      </c>
      <c r="G213" s="14" t="s">
        <v>45</v>
      </c>
      <c r="H213" s="14"/>
      <c r="I213" s="16"/>
    </row>
    <row r="214" ht="15.75" hidden="1" customHeight="1">
      <c r="A214" s="8">
        <v>46080.0</v>
      </c>
      <c r="B214" s="4" t="s">
        <v>995</v>
      </c>
      <c r="C214" s="5">
        <v>0.0</v>
      </c>
      <c r="D214" s="5">
        <v>2.5E8</v>
      </c>
      <c r="E214" s="5">
        <f t="shared" si="1"/>
        <v>385086036.9</v>
      </c>
      <c r="F214" s="14" t="s">
        <v>21</v>
      </c>
      <c r="G214" s="14" t="s">
        <v>187</v>
      </c>
      <c r="H214" s="14"/>
      <c r="I214" s="16"/>
    </row>
    <row r="215" ht="15.75" hidden="1" customHeight="1">
      <c r="A215" s="8">
        <v>46080.0</v>
      </c>
      <c r="B215" s="4" t="s">
        <v>997</v>
      </c>
      <c r="C215" s="5">
        <v>0.0</v>
      </c>
      <c r="D215" s="5">
        <v>2.5E8</v>
      </c>
      <c r="E215" s="5">
        <f t="shared" si="1"/>
        <v>635086036.9</v>
      </c>
      <c r="F215" s="14" t="s">
        <v>21</v>
      </c>
      <c r="G215" s="14" t="s">
        <v>187</v>
      </c>
      <c r="H215" s="14"/>
      <c r="I215" s="16"/>
    </row>
    <row r="216" ht="15.75" hidden="1" customHeight="1">
      <c r="A216" s="8">
        <v>46080.0</v>
      </c>
      <c r="B216" s="4" t="s">
        <v>1000</v>
      </c>
      <c r="C216" s="5">
        <v>2.1215E8</v>
      </c>
      <c r="D216" s="5">
        <v>0.0</v>
      </c>
      <c r="E216" s="5">
        <f t="shared" si="1"/>
        <v>422936036.9</v>
      </c>
      <c r="F216" s="14" t="s">
        <v>105</v>
      </c>
      <c r="G216" s="14" t="s">
        <v>193</v>
      </c>
      <c r="H216" s="14" t="s">
        <v>363</v>
      </c>
      <c r="I216" s="16"/>
    </row>
    <row r="217" ht="15.75" hidden="1" customHeight="1">
      <c r="A217" s="8">
        <v>46080.0</v>
      </c>
      <c r="B217" s="4" t="s">
        <v>1001</v>
      </c>
      <c r="C217" s="5">
        <v>2500.0</v>
      </c>
      <c r="D217" s="5">
        <v>0.0</v>
      </c>
      <c r="E217" s="5">
        <f t="shared" si="1"/>
        <v>422933536.9</v>
      </c>
      <c r="F217" s="14" t="s">
        <v>43</v>
      </c>
      <c r="G217" s="14" t="s">
        <v>45</v>
      </c>
      <c r="H217" s="14"/>
      <c r="I217" s="16"/>
    </row>
    <row r="218" ht="15.75" hidden="1" customHeight="1">
      <c r="A218" s="8">
        <v>46081.0</v>
      </c>
      <c r="B218" s="4" t="s">
        <v>1003</v>
      </c>
      <c r="C218" s="5">
        <v>0.0</v>
      </c>
      <c r="D218" s="5">
        <v>2.5E8</v>
      </c>
      <c r="E218" s="5">
        <f t="shared" si="1"/>
        <v>672933536.9</v>
      </c>
      <c r="F218" s="14" t="s">
        <v>21</v>
      </c>
      <c r="G218" s="14" t="s">
        <v>187</v>
      </c>
      <c r="H218" s="14"/>
      <c r="I218" s="16"/>
    </row>
    <row r="219" ht="15.75" hidden="1" customHeight="1">
      <c r="A219" s="8">
        <v>46081.0</v>
      </c>
      <c r="B219" s="4" t="s">
        <v>1005</v>
      </c>
      <c r="C219" s="5">
        <v>0.0</v>
      </c>
      <c r="D219" s="5">
        <v>2.5E8</v>
      </c>
      <c r="E219" s="5">
        <f t="shared" si="1"/>
        <v>922933536.9</v>
      </c>
      <c r="F219" s="14" t="s">
        <v>21</v>
      </c>
      <c r="G219" s="14" t="s">
        <v>187</v>
      </c>
      <c r="H219" s="14"/>
      <c r="I219" s="16"/>
    </row>
    <row r="220" ht="15.75" hidden="1" customHeight="1">
      <c r="A220" s="8">
        <v>46081.0</v>
      </c>
      <c r="B220" s="4" t="s">
        <v>1007</v>
      </c>
      <c r="C220" s="5">
        <v>8244409.0</v>
      </c>
      <c r="D220" s="5">
        <v>0.0</v>
      </c>
      <c r="E220" s="5">
        <f t="shared" si="1"/>
        <v>914689127.9</v>
      </c>
      <c r="F220" s="14" t="s">
        <v>58</v>
      </c>
      <c r="G220" s="14" t="s">
        <v>59</v>
      </c>
      <c r="H220" s="14" t="s">
        <v>1008</v>
      </c>
      <c r="I220" s="16"/>
    </row>
    <row r="221" ht="15.75" hidden="1" customHeight="1">
      <c r="A221" s="8">
        <v>46081.0</v>
      </c>
      <c r="B221" s="4" t="s">
        <v>1010</v>
      </c>
      <c r="C221" s="5">
        <v>1.03133289E8</v>
      </c>
      <c r="D221" s="5">
        <v>0.0</v>
      </c>
      <c r="E221" s="5">
        <f t="shared" si="1"/>
        <v>811555838.9</v>
      </c>
      <c r="F221" s="14" t="s">
        <v>24</v>
      </c>
      <c r="G221" s="14" t="s">
        <v>125</v>
      </c>
      <c r="H221" s="4" t="s">
        <v>359</v>
      </c>
      <c r="I221" s="16"/>
    </row>
    <row r="222" ht="15.75" hidden="1" customHeight="1">
      <c r="A222" s="8">
        <v>46081.0</v>
      </c>
      <c r="B222" s="4" t="s">
        <v>1015</v>
      </c>
      <c r="C222" s="5">
        <v>6849792.0</v>
      </c>
      <c r="D222" s="5">
        <v>0.0</v>
      </c>
      <c r="E222" s="5">
        <f t="shared" si="1"/>
        <v>804706046.9</v>
      </c>
      <c r="F222" s="14" t="s">
        <v>58</v>
      </c>
      <c r="G222" s="14" t="s">
        <v>59</v>
      </c>
      <c r="H222" s="14" t="s">
        <v>319</v>
      </c>
      <c r="I222" s="16"/>
    </row>
    <row r="223" ht="15.75" hidden="1" customHeight="1">
      <c r="A223" s="8">
        <v>46081.0</v>
      </c>
      <c r="B223" s="4" t="s">
        <v>1017</v>
      </c>
      <c r="C223" s="5">
        <v>4187498.0</v>
      </c>
      <c r="D223" s="5">
        <v>0.0</v>
      </c>
      <c r="E223" s="5">
        <f t="shared" si="1"/>
        <v>800518548.9</v>
      </c>
      <c r="F223" s="14" t="s">
        <v>58</v>
      </c>
      <c r="G223" s="14" t="s">
        <v>59</v>
      </c>
      <c r="H223" s="14" t="s">
        <v>332</v>
      </c>
      <c r="I223" s="16"/>
    </row>
    <row r="224" ht="15.75" hidden="1" customHeight="1">
      <c r="A224" s="8">
        <v>46081.0</v>
      </c>
      <c r="B224" s="4" t="s">
        <v>1019</v>
      </c>
      <c r="C224" s="5">
        <v>1.150895E7</v>
      </c>
      <c r="D224" s="5">
        <v>0.0</v>
      </c>
      <c r="E224" s="5">
        <f t="shared" si="1"/>
        <v>789009598.9</v>
      </c>
      <c r="F224" s="14" t="s">
        <v>58</v>
      </c>
      <c r="G224" s="14" t="s">
        <v>59</v>
      </c>
      <c r="H224" s="14" t="s">
        <v>1021</v>
      </c>
      <c r="I224" s="16"/>
    </row>
    <row r="225" ht="15.75" hidden="1" customHeight="1">
      <c r="A225" s="8">
        <v>46081.0</v>
      </c>
      <c r="B225" s="4" t="s">
        <v>1022</v>
      </c>
      <c r="C225" s="5">
        <v>3.74505806E8</v>
      </c>
      <c r="D225" s="5">
        <v>0.0</v>
      </c>
      <c r="E225" s="5">
        <f t="shared" si="1"/>
        <v>414503792.9</v>
      </c>
      <c r="F225" s="14" t="s">
        <v>58</v>
      </c>
      <c r="G225" s="14" t="s">
        <v>59</v>
      </c>
      <c r="H225" s="14" t="s">
        <v>326</v>
      </c>
      <c r="I225" s="16"/>
    </row>
    <row r="226" ht="15.75" hidden="1" customHeight="1">
      <c r="A226" s="8">
        <v>46081.0</v>
      </c>
      <c r="B226" s="4" t="s">
        <v>562</v>
      </c>
      <c r="C226" s="5">
        <v>25000.0</v>
      </c>
      <c r="D226" s="5">
        <v>0.0</v>
      </c>
      <c r="E226" s="5">
        <f t="shared" si="1"/>
        <v>414478792.9</v>
      </c>
      <c r="F226" s="14" t="s">
        <v>43</v>
      </c>
      <c r="G226" s="14" t="s">
        <v>45</v>
      </c>
      <c r="H226" s="14"/>
      <c r="I226" s="16"/>
    </row>
    <row r="227" ht="15.75" hidden="1" customHeight="1">
      <c r="A227" s="8">
        <v>46081.0</v>
      </c>
      <c r="B227" s="4" t="s">
        <v>626</v>
      </c>
      <c r="C227" s="5">
        <v>0.0</v>
      </c>
      <c r="D227" s="5">
        <v>977427.27</v>
      </c>
      <c r="E227" s="5">
        <f t="shared" si="1"/>
        <v>415456220.2</v>
      </c>
      <c r="F227" s="14" t="s">
        <v>63</v>
      </c>
      <c r="G227" s="14" t="s">
        <v>65</v>
      </c>
      <c r="H227" s="14"/>
      <c r="I227" s="16"/>
    </row>
    <row r="228" ht="15.75" hidden="1" customHeight="1">
      <c r="A228" s="8">
        <v>46081.0</v>
      </c>
      <c r="B228" s="4" t="s">
        <v>630</v>
      </c>
      <c r="C228" s="5">
        <v>195485.45</v>
      </c>
      <c r="D228" s="5">
        <v>0.0</v>
      </c>
      <c r="E228" s="5">
        <f t="shared" si="1"/>
        <v>415260734.7</v>
      </c>
      <c r="F228" s="14" t="s">
        <v>63</v>
      </c>
      <c r="G228" s="14" t="s">
        <v>65</v>
      </c>
      <c r="H228" s="14"/>
      <c r="I228" s="16"/>
    </row>
    <row r="229" ht="15.75" hidden="1" customHeight="1">
      <c r="A229" s="8">
        <v>46083.0</v>
      </c>
      <c r="B229" s="4" t="s">
        <v>1028</v>
      </c>
      <c r="C229" s="5">
        <v>0.0</v>
      </c>
      <c r="D229" s="5">
        <v>3473980.0</v>
      </c>
      <c r="E229" s="5">
        <f t="shared" si="1"/>
        <v>418734714.7</v>
      </c>
      <c r="F229" s="14" t="s">
        <v>24</v>
      </c>
      <c r="G229" s="14" t="s">
        <v>26</v>
      </c>
      <c r="H229" s="14" t="s">
        <v>263</v>
      </c>
      <c r="I229" s="16" t="s">
        <v>1030</v>
      </c>
    </row>
    <row r="230" ht="15.75" hidden="1" customHeight="1">
      <c r="A230" s="8">
        <v>46084.0</v>
      </c>
      <c r="B230" s="4" t="s">
        <v>1031</v>
      </c>
      <c r="C230" s="5">
        <v>1.0E7</v>
      </c>
      <c r="D230" s="5">
        <v>0.0</v>
      </c>
      <c r="E230" s="5">
        <f t="shared" si="1"/>
        <v>408734714.7</v>
      </c>
      <c r="F230" s="14" t="s">
        <v>58</v>
      </c>
      <c r="G230" s="14" t="s">
        <v>59</v>
      </c>
      <c r="H230" s="14" t="s">
        <v>326</v>
      </c>
      <c r="I230" s="16"/>
    </row>
    <row r="231" ht="15.75" hidden="1" customHeight="1">
      <c r="A231" s="8">
        <v>46084.0</v>
      </c>
      <c r="B231" s="4" t="s">
        <v>1036</v>
      </c>
      <c r="C231" s="5">
        <v>1.9975036E7</v>
      </c>
      <c r="D231" s="5">
        <v>0.0</v>
      </c>
      <c r="E231" s="5">
        <f t="shared" si="1"/>
        <v>388759678.7</v>
      </c>
      <c r="F231" s="14" t="s">
        <v>58</v>
      </c>
      <c r="G231" s="14" t="s">
        <v>59</v>
      </c>
      <c r="H231" s="14" t="s">
        <v>1038</v>
      </c>
      <c r="I231" s="16"/>
    </row>
    <row r="232" ht="15.75" hidden="1" customHeight="1">
      <c r="A232" s="8">
        <v>46084.0</v>
      </c>
      <c r="B232" s="4" t="s">
        <v>1040</v>
      </c>
      <c r="C232" s="5">
        <v>2500.0</v>
      </c>
      <c r="D232" s="5">
        <v>0.0</v>
      </c>
      <c r="E232" s="5">
        <f t="shared" si="1"/>
        <v>388757178.7</v>
      </c>
      <c r="F232" s="14" t="s">
        <v>43</v>
      </c>
      <c r="G232" s="14" t="s">
        <v>45</v>
      </c>
      <c r="H232" s="14"/>
      <c r="I232" s="16"/>
    </row>
    <row r="233" ht="15.75" hidden="1" customHeight="1">
      <c r="A233" s="8">
        <v>46084.0</v>
      </c>
      <c r="B233" s="4" t="s">
        <v>1042</v>
      </c>
      <c r="C233" s="5">
        <v>2500.0</v>
      </c>
      <c r="D233" s="5">
        <v>0.0</v>
      </c>
      <c r="E233" s="5">
        <f t="shared" si="1"/>
        <v>388754678.7</v>
      </c>
      <c r="F233" s="14" t="s">
        <v>43</v>
      </c>
      <c r="G233" s="14" t="s">
        <v>45</v>
      </c>
      <c r="H233" s="14"/>
      <c r="I233" s="16"/>
    </row>
    <row r="234" ht="15.75" hidden="1" customHeight="1">
      <c r="A234" s="8">
        <v>46084.0</v>
      </c>
      <c r="B234" s="4" t="s">
        <v>1043</v>
      </c>
      <c r="C234" s="5">
        <f>148050000-C235-C236</f>
        <v>105000000</v>
      </c>
      <c r="D234" s="5">
        <v>0.0</v>
      </c>
      <c r="E234" s="5">
        <f t="shared" si="1"/>
        <v>283754678.7</v>
      </c>
      <c r="F234" s="14" t="s">
        <v>58</v>
      </c>
      <c r="G234" s="14" t="s">
        <v>59</v>
      </c>
      <c r="H234" s="14" t="s">
        <v>408</v>
      </c>
      <c r="I234" s="16"/>
    </row>
    <row r="235" ht="15.75" hidden="1" customHeight="1">
      <c r="A235" s="8">
        <v>46084.0</v>
      </c>
      <c r="B235" s="4" t="s">
        <v>1043</v>
      </c>
      <c r="C235" s="5">
        <v>1.155E7</v>
      </c>
      <c r="D235" s="5">
        <v>0.0</v>
      </c>
      <c r="E235" s="5">
        <f t="shared" si="1"/>
        <v>272204678.7</v>
      </c>
      <c r="F235" s="4" t="s">
        <v>21</v>
      </c>
      <c r="G235" s="4" t="s">
        <v>448</v>
      </c>
      <c r="H235" s="4" t="s">
        <v>859</v>
      </c>
    </row>
    <row r="236" ht="15.75" hidden="1" customHeight="1">
      <c r="A236" s="8">
        <v>46084.0</v>
      </c>
      <c r="B236" s="4" t="s">
        <v>1043</v>
      </c>
      <c r="C236" s="5">
        <v>3.15E7</v>
      </c>
      <c r="D236" s="5">
        <v>0.0</v>
      </c>
      <c r="E236" s="5">
        <f t="shared" si="1"/>
        <v>240704678.7</v>
      </c>
      <c r="F236" s="14" t="s">
        <v>24</v>
      </c>
      <c r="G236" s="14" t="s">
        <v>125</v>
      </c>
      <c r="H236" s="14" t="s">
        <v>1048</v>
      </c>
      <c r="I236" s="16"/>
    </row>
    <row r="237" ht="15.75" hidden="1" customHeight="1">
      <c r="A237" s="8">
        <v>46087.0</v>
      </c>
      <c r="B237" s="4" t="s">
        <v>1049</v>
      </c>
      <c r="C237" s="5">
        <v>0.0</v>
      </c>
      <c r="D237" s="5">
        <v>5.3795815E7</v>
      </c>
      <c r="E237" s="5">
        <f t="shared" si="1"/>
        <v>294500493.7</v>
      </c>
      <c r="F237" s="14" t="s">
        <v>75</v>
      </c>
      <c r="G237" s="14" t="s">
        <v>76</v>
      </c>
      <c r="H237" s="14" t="s">
        <v>1051</v>
      </c>
      <c r="I237" s="16" t="s">
        <v>1052</v>
      </c>
    </row>
    <row r="238" ht="15.75" hidden="1" customHeight="1">
      <c r="A238" s="8">
        <v>46087.0</v>
      </c>
      <c r="B238" s="4" t="s">
        <v>1049</v>
      </c>
      <c r="C238" s="5">
        <v>0.0</v>
      </c>
      <c r="D238" s="5">
        <f>83376208-D237</f>
        <v>29580393</v>
      </c>
      <c r="E238" s="5">
        <f t="shared" si="1"/>
        <v>324080886.7</v>
      </c>
      <c r="F238" s="14" t="s">
        <v>75</v>
      </c>
      <c r="G238" s="14" t="s">
        <v>76</v>
      </c>
      <c r="H238" s="14" t="s">
        <v>1055</v>
      </c>
      <c r="I238" s="16" t="s">
        <v>1056</v>
      </c>
    </row>
    <row r="239" ht="15.75" hidden="1" customHeight="1">
      <c r="A239" s="8">
        <v>46087.0</v>
      </c>
      <c r="B239" s="14" t="s">
        <v>1057</v>
      </c>
      <c r="C239" s="5">
        <v>7.2101974E7</v>
      </c>
      <c r="D239" s="5">
        <v>0.0</v>
      </c>
      <c r="E239" s="5">
        <f t="shared" si="1"/>
        <v>251978912.7</v>
      </c>
      <c r="F239" s="14" t="s">
        <v>21</v>
      </c>
      <c r="G239" s="14" t="s">
        <v>448</v>
      </c>
      <c r="H239" s="14" t="s">
        <v>38</v>
      </c>
      <c r="I239" s="16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hidden="1" customHeight="1">
      <c r="A240" s="8">
        <v>46087.0</v>
      </c>
      <c r="B240" s="4" t="s">
        <v>1058</v>
      </c>
      <c r="C240" s="5">
        <v>2500.0</v>
      </c>
      <c r="D240" s="5">
        <v>0.0</v>
      </c>
      <c r="E240" s="5">
        <f t="shared" si="1"/>
        <v>251976412.7</v>
      </c>
      <c r="F240" s="14" t="s">
        <v>43</v>
      </c>
      <c r="G240" s="14" t="s">
        <v>45</v>
      </c>
      <c r="H240" s="14"/>
      <c r="I240" s="16"/>
    </row>
    <row r="241" ht="15.75" hidden="1" customHeight="1">
      <c r="A241" s="8">
        <v>46087.0</v>
      </c>
      <c r="B241" s="14" t="s">
        <v>1059</v>
      </c>
      <c r="C241" s="5">
        <v>2.40458056E8</v>
      </c>
      <c r="D241" s="5">
        <v>0.0</v>
      </c>
      <c r="E241" s="5">
        <f t="shared" si="1"/>
        <v>11518356.7</v>
      </c>
      <c r="F241" s="14" t="s">
        <v>21</v>
      </c>
      <c r="G241" s="14" t="s">
        <v>448</v>
      </c>
      <c r="H241" s="14" t="s">
        <v>55</v>
      </c>
      <c r="I241" s="16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hidden="1" customHeight="1">
      <c r="A242" s="8">
        <v>46087.0</v>
      </c>
      <c r="B242" s="4" t="s">
        <v>1061</v>
      </c>
      <c r="C242" s="5">
        <v>2500.0</v>
      </c>
      <c r="D242" s="5">
        <v>0.0</v>
      </c>
      <c r="E242" s="5">
        <f t="shared" si="1"/>
        <v>11515856.7</v>
      </c>
      <c r="F242" s="14" t="s">
        <v>43</v>
      </c>
      <c r="G242" s="14" t="s">
        <v>45</v>
      </c>
      <c r="H242" s="14"/>
      <c r="I242" s="16"/>
    </row>
    <row r="243" ht="15.75" hidden="1" customHeight="1">
      <c r="A243" s="8">
        <v>46088.0</v>
      </c>
      <c r="B243" s="4" t="s">
        <v>1063</v>
      </c>
      <c r="C243" s="5">
        <v>0.0</v>
      </c>
      <c r="D243" s="5">
        <v>6.6E7</v>
      </c>
      <c r="E243" s="5">
        <f t="shared" si="1"/>
        <v>77515856.7</v>
      </c>
      <c r="F243" s="14" t="s">
        <v>21</v>
      </c>
      <c r="G243" s="4" t="s">
        <v>187</v>
      </c>
      <c r="H243" s="14"/>
      <c r="I243" s="16"/>
    </row>
    <row r="244" ht="15.75" hidden="1" customHeight="1">
      <c r="A244" s="8">
        <v>46088.0</v>
      </c>
      <c r="B244" s="14" t="s">
        <v>1065</v>
      </c>
      <c r="C244" s="5">
        <v>5.4805209E7</v>
      </c>
      <c r="D244" s="5">
        <v>0.0</v>
      </c>
      <c r="E244" s="5">
        <f t="shared" si="1"/>
        <v>22710647.7</v>
      </c>
      <c r="F244" s="14" t="s">
        <v>21</v>
      </c>
      <c r="G244" s="14" t="s">
        <v>448</v>
      </c>
      <c r="H244" s="14" t="s">
        <v>70</v>
      </c>
      <c r="I244" s="16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hidden="1" customHeight="1">
      <c r="A245" s="8">
        <v>46088.0</v>
      </c>
      <c r="B245" s="4" t="s">
        <v>1068</v>
      </c>
      <c r="C245" s="5">
        <v>2500.0</v>
      </c>
      <c r="D245" s="5">
        <v>0.0</v>
      </c>
      <c r="E245" s="5">
        <f t="shared" si="1"/>
        <v>22708147.7</v>
      </c>
      <c r="F245" s="14" t="s">
        <v>43</v>
      </c>
      <c r="G245" s="14" t="s">
        <v>45</v>
      </c>
      <c r="H245" s="14"/>
      <c r="I245" s="16"/>
    </row>
    <row r="246" ht="15.75" hidden="1" customHeight="1">
      <c r="A246" s="8">
        <v>46092.0</v>
      </c>
      <c r="B246" s="4" t="s">
        <v>1069</v>
      </c>
      <c r="C246" s="5">
        <v>0.0</v>
      </c>
      <c r="D246" s="5">
        <v>2.5E8</v>
      </c>
      <c r="E246" s="5">
        <f t="shared" si="1"/>
        <v>272708147.7</v>
      </c>
      <c r="F246" s="14" t="s">
        <v>21</v>
      </c>
      <c r="G246" s="4" t="s">
        <v>1070</v>
      </c>
      <c r="H246" s="14"/>
      <c r="I246" s="16"/>
    </row>
    <row r="247" ht="15.75" hidden="1" customHeight="1">
      <c r="A247" s="8">
        <v>46092.0</v>
      </c>
      <c r="B247" s="14" t="s">
        <v>1072</v>
      </c>
      <c r="C247" s="5">
        <v>1812776.0</v>
      </c>
      <c r="D247" s="5">
        <v>0.0</v>
      </c>
      <c r="E247" s="5">
        <f t="shared" si="1"/>
        <v>270895371.7</v>
      </c>
      <c r="F247" s="14" t="s">
        <v>58</v>
      </c>
      <c r="G247" s="14" t="s">
        <v>59</v>
      </c>
      <c r="H247" s="14" t="s">
        <v>809</v>
      </c>
      <c r="I247" s="16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hidden="1" customHeight="1">
      <c r="A248" s="8">
        <v>46092.0</v>
      </c>
      <c r="B248" s="4" t="s">
        <v>1073</v>
      </c>
      <c r="C248" s="5">
        <v>2500.0</v>
      </c>
      <c r="D248" s="5">
        <v>0.0</v>
      </c>
      <c r="E248" s="5">
        <f t="shared" si="1"/>
        <v>270892871.7</v>
      </c>
      <c r="F248" s="14" t="s">
        <v>43</v>
      </c>
      <c r="G248" s="14" t="s">
        <v>45</v>
      </c>
      <c r="H248" s="14"/>
      <c r="I248" s="16"/>
    </row>
    <row r="249" ht="15.75" hidden="1" customHeight="1">
      <c r="A249" s="8">
        <v>46092.0</v>
      </c>
      <c r="B249" s="4" t="s">
        <v>1043</v>
      </c>
      <c r="C249" s="5">
        <f>148050000-C250-C251</f>
        <v>105000000</v>
      </c>
      <c r="D249" s="5">
        <v>0.0</v>
      </c>
      <c r="E249" s="5">
        <f t="shared" si="1"/>
        <v>165892871.7</v>
      </c>
      <c r="F249" s="14" t="s">
        <v>58</v>
      </c>
      <c r="G249" s="14" t="s">
        <v>59</v>
      </c>
      <c r="H249" s="14" t="s">
        <v>408</v>
      </c>
      <c r="I249" s="16"/>
    </row>
    <row r="250" ht="15.75" hidden="1" customHeight="1">
      <c r="A250" s="8">
        <v>46092.0</v>
      </c>
      <c r="B250" s="4" t="s">
        <v>1043</v>
      </c>
      <c r="C250" s="5">
        <v>1.155E7</v>
      </c>
      <c r="D250" s="5">
        <v>0.0</v>
      </c>
      <c r="E250" s="5">
        <f t="shared" si="1"/>
        <v>154342871.7</v>
      </c>
      <c r="F250" s="4" t="s">
        <v>21</v>
      </c>
      <c r="G250" s="4" t="s">
        <v>448</v>
      </c>
      <c r="H250" s="4" t="s">
        <v>859</v>
      </c>
    </row>
    <row r="251" ht="15.75" hidden="1" customHeight="1">
      <c r="A251" s="8">
        <v>46092.0</v>
      </c>
      <c r="B251" s="4" t="s">
        <v>1043</v>
      </c>
      <c r="C251" s="5">
        <v>3.15E7</v>
      </c>
      <c r="D251" s="5">
        <v>0.0</v>
      </c>
      <c r="E251" s="5">
        <f t="shared" si="1"/>
        <v>122842871.7</v>
      </c>
      <c r="F251" s="14" t="s">
        <v>58</v>
      </c>
      <c r="G251" s="14" t="s">
        <v>59</v>
      </c>
      <c r="H251" s="14" t="s">
        <v>408</v>
      </c>
      <c r="I251" s="16"/>
    </row>
    <row r="252" ht="15.75" hidden="1" customHeight="1">
      <c r="A252" s="8">
        <v>46092.0</v>
      </c>
      <c r="B252" s="4" t="s">
        <v>1079</v>
      </c>
      <c r="C252" s="5">
        <v>0.0</v>
      </c>
      <c r="D252" s="5">
        <v>1.0E8</v>
      </c>
      <c r="E252" s="5">
        <f t="shared" si="1"/>
        <v>222842871.7</v>
      </c>
      <c r="F252" s="14" t="s">
        <v>21</v>
      </c>
      <c r="G252" s="4" t="s">
        <v>842</v>
      </c>
      <c r="H252" s="14"/>
      <c r="I252" s="16"/>
    </row>
    <row r="253" ht="15.75" hidden="1" customHeight="1">
      <c r="A253" s="8">
        <v>46092.0</v>
      </c>
      <c r="B253" s="4" t="s">
        <v>1080</v>
      </c>
      <c r="C253" s="5">
        <v>2.1215E8</v>
      </c>
      <c r="D253" s="5">
        <v>0.0</v>
      </c>
      <c r="E253" s="5">
        <f t="shared" si="1"/>
        <v>10692871.7</v>
      </c>
      <c r="F253" s="14" t="s">
        <v>105</v>
      </c>
      <c r="G253" s="14" t="s">
        <v>193</v>
      </c>
      <c r="H253" s="14" t="s">
        <v>1081</v>
      </c>
      <c r="I253" s="16"/>
    </row>
    <row r="254" ht="15.75" hidden="1" customHeight="1">
      <c r="A254" s="8">
        <v>46092.0</v>
      </c>
      <c r="B254" s="4" t="s">
        <v>1082</v>
      </c>
      <c r="C254" s="5">
        <v>2500.0</v>
      </c>
      <c r="D254" s="5">
        <v>0.0</v>
      </c>
      <c r="E254" s="5">
        <f t="shared" si="1"/>
        <v>10690371.7</v>
      </c>
      <c r="F254" s="14" t="s">
        <v>43</v>
      </c>
      <c r="G254" s="14" t="s">
        <v>45</v>
      </c>
      <c r="H254" s="14"/>
      <c r="I254" s="16"/>
    </row>
    <row r="255" ht="15.75" hidden="1" customHeight="1">
      <c r="A255" s="8">
        <v>46094.0</v>
      </c>
      <c r="B255" s="4" t="s">
        <v>1083</v>
      </c>
      <c r="C255" s="5">
        <v>0.0</v>
      </c>
      <c r="D255" s="5">
        <v>3.5E9</v>
      </c>
      <c r="E255" s="5">
        <f t="shared" si="1"/>
        <v>3510690372</v>
      </c>
      <c r="F255" s="14" t="s">
        <v>93</v>
      </c>
      <c r="G255" s="14" t="s">
        <v>93</v>
      </c>
      <c r="H255" s="14" t="s">
        <v>1085</v>
      </c>
      <c r="I255" s="16"/>
    </row>
    <row r="256" ht="15.75" hidden="1" customHeight="1">
      <c r="A256" s="8">
        <v>46094.0</v>
      </c>
      <c r="B256" s="4" t="s">
        <v>1086</v>
      </c>
      <c r="C256" s="5">
        <v>0.0</v>
      </c>
      <c r="D256" s="5">
        <v>1.433859E8</v>
      </c>
      <c r="E256" s="5">
        <f t="shared" si="1"/>
        <v>3654076272</v>
      </c>
      <c r="F256" s="14" t="s">
        <v>75</v>
      </c>
      <c r="G256" s="14" t="s">
        <v>76</v>
      </c>
      <c r="H256" s="14" t="s">
        <v>111</v>
      </c>
      <c r="I256" s="16" t="s">
        <v>1087</v>
      </c>
    </row>
    <row r="257" ht="15.75" hidden="1" customHeight="1">
      <c r="A257" s="8">
        <v>46094.0</v>
      </c>
      <c r="B257" s="14" t="s">
        <v>1088</v>
      </c>
      <c r="C257" s="5">
        <v>1.08569157E8</v>
      </c>
      <c r="D257" s="5">
        <v>0.0</v>
      </c>
      <c r="E257" s="5">
        <f t="shared" si="1"/>
        <v>3545507115</v>
      </c>
      <c r="F257" s="14" t="s">
        <v>21</v>
      </c>
      <c r="G257" s="14" t="s">
        <v>448</v>
      </c>
      <c r="H257" s="14" t="s">
        <v>170</v>
      </c>
      <c r="I257" s="16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hidden="1" customHeight="1">
      <c r="A258" s="8">
        <v>46094.0</v>
      </c>
      <c r="B258" s="4" t="s">
        <v>1089</v>
      </c>
      <c r="C258" s="5">
        <v>1.94091E8</v>
      </c>
      <c r="D258" s="5">
        <v>0.0</v>
      </c>
      <c r="E258" s="5">
        <f t="shared" si="1"/>
        <v>3351416115</v>
      </c>
      <c r="F258" s="14" t="s">
        <v>58</v>
      </c>
      <c r="G258" s="14" t="s">
        <v>59</v>
      </c>
      <c r="H258" s="14" t="s">
        <v>458</v>
      </c>
      <c r="I258" s="16"/>
    </row>
    <row r="259" ht="15.75" hidden="1" customHeight="1">
      <c r="A259" s="8">
        <v>46094.0</v>
      </c>
      <c r="B259" s="4" t="s">
        <v>1090</v>
      </c>
      <c r="C259" s="5">
        <f>18198198-C260+D261</f>
        <v>18018018</v>
      </c>
      <c r="D259" s="5">
        <v>0.0</v>
      </c>
      <c r="E259" s="5">
        <f t="shared" si="1"/>
        <v>3333398097</v>
      </c>
      <c r="F259" s="14" t="s">
        <v>50</v>
      </c>
      <c r="G259" s="14" t="s">
        <v>708</v>
      </c>
      <c r="H259" s="14" t="s">
        <v>363</v>
      </c>
      <c r="I259" s="16"/>
    </row>
    <row r="260" ht="15.75" hidden="1" customHeight="1">
      <c r="A260" s="8">
        <v>46094.0</v>
      </c>
      <c r="B260" s="4" t="s">
        <v>1090</v>
      </c>
      <c r="C260" s="5">
        <v>1981982.0</v>
      </c>
      <c r="D260" s="5">
        <v>0.0</v>
      </c>
      <c r="E260" s="5">
        <f t="shared" si="1"/>
        <v>3331416115</v>
      </c>
      <c r="F260" s="4" t="s">
        <v>21</v>
      </c>
      <c r="G260" s="4" t="s">
        <v>448</v>
      </c>
      <c r="H260" s="4" t="s">
        <v>613</v>
      </c>
      <c r="I260" s="16" t="s">
        <v>6</v>
      </c>
    </row>
    <row r="261" ht="15.75" hidden="1" customHeight="1">
      <c r="A261" s="8">
        <v>46094.0</v>
      </c>
      <c r="B261" s="4" t="s">
        <v>1090</v>
      </c>
      <c r="C261" s="5">
        <v>0.0</v>
      </c>
      <c r="D261" s="5">
        <v>1801802.0</v>
      </c>
      <c r="E261" s="5">
        <f t="shared" si="1"/>
        <v>3333217917</v>
      </c>
      <c r="F261" s="14" t="s">
        <v>93</v>
      </c>
      <c r="G261" s="14" t="s">
        <v>93</v>
      </c>
      <c r="H261" s="14" t="s">
        <v>711</v>
      </c>
      <c r="I261" s="16" t="s">
        <v>712</v>
      </c>
    </row>
    <row r="262" ht="15.75" hidden="1" customHeight="1">
      <c r="A262" s="8">
        <v>46094.0</v>
      </c>
      <c r="B262" s="4" t="s">
        <v>1091</v>
      </c>
      <c r="C262" s="5">
        <v>5907665.0</v>
      </c>
      <c r="D262" s="5">
        <v>0.0</v>
      </c>
      <c r="E262" s="5">
        <f t="shared" si="1"/>
        <v>3327310252</v>
      </c>
      <c r="F262" s="14" t="s">
        <v>105</v>
      </c>
      <c r="G262" s="14" t="s">
        <v>674</v>
      </c>
      <c r="H262" s="14" t="s">
        <v>400</v>
      </c>
      <c r="I262" s="16"/>
    </row>
    <row r="263" ht="15.75" hidden="1" customHeight="1">
      <c r="A263" s="8">
        <v>46094.0</v>
      </c>
      <c r="B263" s="4" t="s">
        <v>1092</v>
      </c>
      <c r="C263" s="5">
        <v>1.5868846E7</v>
      </c>
      <c r="D263" s="5">
        <v>0.0</v>
      </c>
      <c r="E263" s="5">
        <f t="shared" si="1"/>
        <v>3311441406</v>
      </c>
      <c r="F263" s="14" t="s">
        <v>105</v>
      </c>
      <c r="G263" s="14" t="s">
        <v>460</v>
      </c>
      <c r="H263" s="14" t="s">
        <v>400</v>
      </c>
      <c r="I263" s="16"/>
    </row>
    <row r="264" ht="15.75" hidden="1" customHeight="1">
      <c r="A264" s="8">
        <v>46095.0</v>
      </c>
      <c r="B264" s="4" t="s">
        <v>1093</v>
      </c>
      <c r="C264" s="5">
        <v>6.48E7</v>
      </c>
      <c r="D264" s="5">
        <v>0.0</v>
      </c>
      <c r="E264" s="5">
        <f t="shared" si="1"/>
        <v>3246641406</v>
      </c>
      <c r="F264" s="14" t="s">
        <v>58</v>
      </c>
      <c r="G264" s="14" t="s">
        <v>59</v>
      </c>
      <c r="H264" s="14" t="s">
        <v>408</v>
      </c>
      <c r="I264" s="16"/>
    </row>
    <row r="265" ht="15.75" hidden="1" customHeight="1">
      <c r="A265" s="8">
        <v>46095.0</v>
      </c>
      <c r="B265" s="4" t="s">
        <v>1094</v>
      </c>
      <c r="C265" s="5">
        <v>2500.0</v>
      </c>
      <c r="D265" s="5">
        <v>0.0</v>
      </c>
      <c r="E265" s="5">
        <f t="shared" si="1"/>
        <v>3246638906</v>
      </c>
      <c r="F265" s="14" t="s">
        <v>43</v>
      </c>
      <c r="G265" s="14" t="s">
        <v>45</v>
      </c>
      <c r="H265" s="14"/>
      <c r="I265" s="16"/>
    </row>
    <row r="266" ht="15.75" hidden="1" customHeight="1">
      <c r="A266" s="8">
        <v>46096.0</v>
      </c>
      <c r="B266" s="14" t="s">
        <v>1095</v>
      </c>
      <c r="C266" s="5">
        <v>1.0E8</v>
      </c>
      <c r="D266" s="5">
        <v>0.0</v>
      </c>
      <c r="E266" s="5">
        <f t="shared" si="1"/>
        <v>3146638906</v>
      </c>
      <c r="F266" s="14" t="s">
        <v>21</v>
      </c>
      <c r="G266" s="14" t="s">
        <v>448</v>
      </c>
      <c r="H266" s="14" t="s">
        <v>55</v>
      </c>
      <c r="I266" s="16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hidden="1" customHeight="1">
      <c r="A267" s="8">
        <v>46096.0</v>
      </c>
      <c r="B267" s="4" t="s">
        <v>1096</v>
      </c>
      <c r="C267" s="5">
        <v>2500.0</v>
      </c>
      <c r="D267" s="5">
        <v>0.0</v>
      </c>
      <c r="E267" s="5">
        <f t="shared" si="1"/>
        <v>3146636406</v>
      </c>
      <c r="F267" s="14" t="s">
        <v>43</v>
      </c>
      <c r="G267" s="14" t="s">
        <v>45</v>
      </c>
      <c r="H267" s="14"/>
      <c r="I267" s="16"/>
    </row>
    <row r="268" ht="15.75" hidden="1" customHeight="1">
      <c r="A268" s="8">
        <v>46097.0</v>
      </c>
      <c r="B268" s="14" t="s">
        <v>715</v>
      </c>
      <c r="C268" s="5">
        <v>1.1E8</v>
      </c>
      <c r="D268" s="5">
        <v>0.0</v>
      </c>
      <c r="E268" s="5">
        <f t="shared" si="1"/>
        <v>3036636406</v>
      </c>
      <c r="F268" s="14" t="s">
        <v>21</v>
      </c>
      <c r="G268" s="14" t="s">
        <v>448</v>
      </c>
      <c r="H268" s="14" t="s">
        <v>38</v>
      </c>
      <c r="I268" s="16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hidden="1" customHeight="1">
      <c r="A269" s="8">
        <v>46097.0</v>
      </c>
      <c r="B269" s="4" t="s">
        <v>1097</v>
      </c>
      <c r="C269" s="5">
        <v>2500.0</v>
      </c>
      <c r="D269" s="5">
        <v>0.0</v>
      </c>
      <c r="E269" s="5">
        <f t="shared" si="1"/>
        <v>3036633906</v>
      </c>
      <c r="F269" s="14" t="s">
        <v>43</v>
      </c>
      <c r="G269" s="14" t="s">
        <v>45</v>
      </c>
      <c r="H269" s="14"/>
      <c r="I269" s="16"/>
    </row>
    <row r="270" ht="15.75" hidden="1" customHeight="1">
      <c r="A270" s="8">
        <v>46098.0</v>
      </c>
      <c r="B270" s="4" t="s">
        <v>1098</v>
      </c>
      <c r="C270" s="5">
        <v>0.0</v>
      </c>
      <c r="D270" s="5">
        <v>3700000.0</v>
      </c>
      <c r="E270" s="5">
        <f t="shared" si="1"/>
        <v>3040333906</v>
      </c>
      <c r="F270" s="14" t="s">
        <v>75</v>
      </c>
      <c r="G270" s="14" t="s">
        <v>76</v>
      </c>
      <c r="H270" s="14" t="s">
        <v>408</v>
      </c>
      <c r="I270" s="16" t="s">
        <v>1099</v>
      </c>
    </row>
    <row r="271" ht="15.75" hidden="1" customHeight="1">
      <c r="A271" s="8">
        <v>46098.0</v>
      </c>
      <c r="B271" s="4" t="s">
        <v>1100</v>
      </c>
      <c r="C271" s="5">
        <v>7500000.0</v>
      </c>
      <c r="D271" s="5">
        <v>0.0</v>
      </c>
      <c r="E271" s="5">
        <f t="shared" si="1"/>
        <v>3032833906</v>
      </c>
      <c r="F271" s="14" t="s">
        <v>58</v>
      </c>
      <c r="G271" s="14" t="s">
        <v>59</v>
      </c>
      <c r="H271" s="4" t="s">
        <v>61</v>
      </c>
      <c r="I271" s="16"/>
    </row>
    <row r="272" ht="15.75" hidden="1" customHeight="1">
      <c r="A272" s="8">
        <v>46098.0</v>
      </c>
      <c r="B272" s="4" t="s">
        <v>1101</v>
      </c>
      <c r="C272" s="5">
        <v>1.3489E7</v>
      </c>
      <c r="D272" s="5">
        <v>0.0</v>
      </c>
      <c r="E272" s="5">
        <f t="shared" si="1"/>
        <v>3019344906</v>
      </c>
      <c r="F272" s="14" t="s">
        <v>58</v>
      </c>
      <c r="G272" s="14" t="s">
        <v>59</v>
      </c>
      <c r="H272" s="4" t="s">
        <v>61</v>
      </c>
      <c r="I272" s="16"/>
    </row>
    <row r="273" ht="15.75" hidden="1" customHeight="1">
      <c r="A273" s="8">
        <v>46098.0</v>
      </c>
      <c r="B273" s="4" t="s">
        <v>1102</v>
      </c>
      <c r="C273" s="5">
        <v>2500.0</v>
      </c>
      <c r="D273" s="5">
        <v>0.0</v>
      </c>
      <c r="E273" s="5">
        <f t="shared" si="1"/>
        <v>3019342406</v>
      </c>
      <c r="F273" s="14" t="s">
        <v>43</v>
      </c>
      <c r="G273" s="14" t="s">
        <v>45</v>
      </c>
      <c r="H273" s="14"/>
      <c r="I273" s="16"/>
    </row>
    <row r="274" ht="15.75" hidden="1" customHeight="1">
      <c r="A274" s="8">
        <v>46098.0</v>
      </c>
      <c r="B274" s="14" t="s">
        <v>1103</v>
      </c>
      <c r="C274" s="5">
        <v>119000.0</v>
      </c>
      <c r="D274" s="5">
        <v>0.0</v>
      </c>
      <c r="E274" s="5">
        <f t="shared" si="1"/>
        <v>3019223406</v>
      </c>
      <c r="F274" s="14" t="s">
        <v>18</v>
      </c>
      <c r="G274" s="14" t="s">
        <v>80</v>
      </c>
      <c r="H274" s="14" t="s">
        <v>284</v>
      </c>
      <c r="I274" s="16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hidden="1" customHeight="1">
      <c r="A275" s="8">
        <v>46098.0</v>
      </c>
      <c r="B275" s="4" t="s">
        <v>1105</v>
      </c>
      <c r="C275" s="5">
        <v>2.15E7</v>
      </c>
      <c r="D275" s="5">
        <v>0.0</v>
      </c>
      <c r="E275" s="5">
        <f t="shared" si="1"/>
        <v>2997723406</v>
      </c>
      <c r="F275" s="14" t="s">
        <v>58</v>
      </c>
      <c r="G275" s="14" t="s">
        <v>59</v>
      </c>
      <c r="H275" s="14" t="s">
        <v>408</v>
      </c>
      <c r="I275" s="16"/>
    </row>
    <row r="276" ht="15.75" hidden="1" customHeight="1">
      <c r="A276" s="8">
        <v>46098.0</v>
      </c>
      <c r="B276" s="4" t="s">
        <v>1107</v>
      </c>
      <c r="C276" s="5">
        <v>2500.0</v>
      </c>
      <c r="D276" s="5">
        <v>0.0</v>
      </c>
      <c r="E276" s="5">
        <f t="shared" si="1"/>
        <v>2997720906</v>
      </c>
      <c r="F276" s="14" t="s">
        <v>43</v>
      </c>
      <c r="G276" s="14" t="s">
        <v>45</v>
      </c>
      <c r="H276" s="14"/>
      <c r="I276" s="16"/>
    </row>
    <row r="277" ht="15.75" hidden="1" customHeight="1">
      <c r="A277" s="8">
        <v>46098.0</v>
      </c>
      <c r="B277" s="4" t="s">
        <v>1108</v>
      </c>
      <c r="C277" s="5">
        <v>2.5E8</v>
      </c>
      <c r="D277" s="5">
        <v>0.0</v>
      </c>
      <c r="E277" s="5">
        <f t="shared" si="1"/>
        <v>2747720906</v>
      </c>
      <c r="F277" s="14" t="s">
        <v>21</v>
      </c>
      <c r="G277" s="14" t="s">
        <v>190</v>
      </c>
      <c r="H277" s="14"/>
      <c r="I277" s="16"/>
    </row>
    <row r="278" ht="15.75" hidden="1" customHeight="1">
      <c r="A278" s="8">
        <v>46098.0</v>
      </c>
      <c r="B278" s="4" t="s">
        <v>1110</v>
      </c>
      <c r="C278" s="5">
        <v>2500.0</v>
      </c>
      <c r="D278" s="5">
        <v>0.0</v>
      </c>
      <c r="E278" s="5">
        <f t="shared" si="1"/>
        <v>2747718406</v>
      </c>
      <c r="F278" s="14" t="s">
        <v>43</v>
      </c>
      <c r="G278" s="14" t="s">
        <v>45</v>
      </c>
      <c r="H278" s="14"/>
      <c r="I278" s="16"/>
    </row>
    <row r="279" ht="15.75" hidden="1" customHeight="1">
      <c r="A279" s="8">
        <v>46098.0</v>
      </c>
      <c r="B279" s="4" t="s">
        <v>1112</v>
      </c>
      <c r="C279" s="5">
        <v>1.04801E7</v>
      </c>
      <c r="D279" s="5">
        <v>0.0</v>
      </c>
      <c r="E279" s="5">
        <f t="shared" si="1"/>
        <v>2737238306</v>
      </c>
      <c r="F279" s="14" t="s">
        <v>24</v>
      </c>
      <c r="G279" s="14" t="s">
        <v>125</v>
      </c>
      <c r="H279" s="4" t="s">
        <v>359</v>
      </c>
      <c r="I279" s="16"/>
    </row>
    <row r="280" ht="15.75" hidden="1" customHeight="1">
      <c r="A280" s="8">
        <v>46098.0</v>
      </c>
      <c r="B280" s="4" t="s">
        <v>1114</v>
      </c>
      <c r="C280" s="5">
        <v>2500.0</v>
      </c>
      <c r="D280" s="5">
        <v>0.0</v>
      </c>
      <c r="E280" s="5">
        <f t="shared" si="1"/>
        <v>2737235806</v>
      </c>
      <c r="F280" s="14" t="s">
        <v>43</v>
      </c>
      <c r="G280" s="14" t="s">
        <v>45</v>
      </c>
      <c r="H280" s="14"/>
      <c r="I280" s="16"/>
    </row>
    <row r="281" ht="15.75" hidden="1" customHeight="1">
      <c r="A281" s="8">
        <v>46098.0</v>
      </c>
      <c r="B281" s="4" t="s">
        <v>521</v>
      </c>
      <c r="C281" s="5">
        <v>2.5E8</v>
      </c>
      <c r="D281" s="5">
        <v>0.0</v>
      </c>
      <c r="E281" s="5">
        <f t="shared" si="1"/>
        <v>2487235806</v>
      </c>
      <c r="F281" s="14" t="s">
        <v>21</v>
      </c>
      <c r="G281" s="14" t="s">
        <v>190</v>
      </c>
      <c r="H281" s="14"/>
      <c r="I281" s="16"/>
    </row>
    <row r="282" ht="15.75" hidden="1" customHeight="1">
      <c r="A282" s="8">
        <v>46098.0</v>
      </c>
      <c r="B282" s="4" t="s">
        <v>1117</v>
      </c>
      <c r="C282" s="5">
        <v>2500.0</v>
      </c>
      <c r="D282" s="5">
        <v>0.0</v>
      </c>
      <c r="E282" s="5">
        <f t="shared" si="1"/>
        <v>2487233306</v>
      </c>
      <c r="F282" s="14" t="s">
        <v>43</v>
      </c>
      <c r="G282" s="14" t="s">
        <v>45</v>
      </c>
      <c r="H282" s="14"/>
      <c r="I282" s="16"/>
    </row>
    <row r="283" ht="15.75" hidden="1" customHeight="1">
      <c r="A283" s="8">
        <v>46098.0</v>
      </c>
      <c r="B283" s="4" t="s">
        <v>1108</v>
      </c>
      <c r="C283" s="5">
        <v>2.5E8</v>
      </c>
      <c r="D283" s="5">
        <v>0.0</v>
      </c>
      <c r="E283" s="5">
        <f t="shared" si="1"/>
        <v>2237233306</v>
      </c>
      <c r="F283" s="14" t="s">
        <v>21</v>
      </c>
      <c r="G283" s="14" t="s">
        <v>190</v>
      </c>
      <c r="H283" s="14"/>
      <c r="I283" s="16"/>
    </row>
    <row r="284" ht="15.75" hidden="1" customHeight="1">
      <c r="A284" s="8">
        <v>46098.0</v>
      </c>
      <c r="B284" s="4" t="s">
        <v>1119</v>
      </c>
      <c r="C284" s="5">
        <v>2500.0</v>
      </c>
      <c r="D284" s="5">
        <v>0.0</v>
      </c>
      <c r="E284" s="5">
        <f t="shared" si="1"/>
        <v>2237230806</v>
      </c>
      <c r="F284" s="14" t="s">
        <v>43</v>
      </c>
      <c r="G284" s="14" t="s">
        <v>45</v>
      </c>
      <c r="H284" s="14"/>
      <c r="I284" s="16"/>
    </row>
    <row r="285" ht="15.75" hidden="1" customHeight="1">
      <c r="A285" s="8">
        <v>46098.0</v>
      </c>
      <c r="B285" s="4" t="s">
        <v>1120</v>
      </c>
      <c r="C285" s="5">
        <f>3716195-C286+D287</f>
        <v>3745000</v>
      </c>
      <c r="D285" s="5">
        <v>0.0</v>
      </c>
      <c r="E285" s="5">
        <f t="shared" si="1"/>
        <v>2233485806</v>
      </c>
      <c r="F285" s="14" t="s">
        <v>58</v>
      </c>
      <c r="G285" s="14" t="s">
        <v>59</v>
      </c>
      <c r="H285" s="14" t="s">
        <v>111</v>
      </c>
      <c r="I285" s="16"/>
    </row>
    <row r="286" ht="15.75" hidden="1" customHeight="1">
      <c r="A286" s="8">
        <v>46098.0</v>
      </c>
      <c r="B286" s="4" t="s">
        <v>1120</v>
      </c>
      <c r="C286" s="5">
        <v>41195.0</v>
      </c>
      <c r="D286" s="5">
        <v>0.0</v>
      </c>
      <c r="E286" s="5">
        <f t="shared" si="1"/>
        <v>2233444611</v>
      </c>
      <c r="F286" s="4" t="s">
        <v>21</v>
      </c>
      <c r="G286" s="4" t="s">
        <v>448</v>
      </c>
      <c r="H286" s="4" t="s">
        <v>613</v>
      </c>
      <c r="I286" s="16" t="s">
        <v>6</v>
      </c>
    </row>
    <row r="287" ht="15.75" hidden="1" customHeight="1">
      <c r="A287" s="8">
        <v>46098.0</v>
      </c>
      <c r="B287" s="4" t="s">
        <v>1120</v>
      </c>
      <c r="C287" s="5">
        <v>0.0</v>
      </c>
      <c r="D287" s="5">
        <v>70000.0</v>
      </c>
      <c r="E287" s="5">
        <f t="shared" si="1"/>
        <v>2233514611</v>
      </c>
      <c r="F287" s="14" t="s">
        <v>93</v>
      </c>
      <c r="G287" s="14" t="s">
        <v>93</v>
      </c>
      <c r="H287" s="14" t="s">
        <v>191</v>
      </c>
      <c r="I287" s="16" t="s">
        <v>953</v>
      </c>
    </row>
    <row r="288" ht="15.75" hidden="1" customHeight="1">
      <c r="A288" s="8">
        <v>46098.0</v>
      </c>
      <c r="B288" s="4" t="s">
        <v>1126</v>
      </c>
      <c r="C288" s="5">
        <v>2500.0</v>
      </c>
      <c r="D288" s="5">
        <v>0.0</v>
      </c>
      <c r="E288" s="5">
        <f t="shared" si="1"/>
        <v>2233512111</v>
      </c>
      <c r="F288" s="14" t="s">
        <v>43</v>
      </c>
      <c r="G288" s="14" t="s">
        <v>45</v>
      </c>
      <c r="H288" s="14"/>
      <c r="I288" s="16"/>
    </row>
    <row r="289" ht="15.75" hidden="1" customHeight="1">
      <c r="A289" s="8">
        <v>46098.0</v>
      </c>
      <c r="B289" s="4" t="s">
        <v>1128</v>
      </c>
      <c r="C289" s="5">
        <v>2.5E8</v>
      </c>
      <c r="D289" s="5">
        <v>0.0</v>
      </c>
      <c r="E289" s="5">
        <f t="shared" si="1"/>
        <v>1983512111</v>
      </c>
      <c r="F289" s="14" t="s">
        <v>21</v>
      </c>
      <c r="G289" s="14" t="s">
        <v>190</v>
      </c>
      <c r="H289" s="14"/>
      <c r="I289" s="16"/>
    </row>
    <row r="290" ht="15.75" hidden="1" customHeight="1">
      <c r="A290" s="8">
        <v>46098.0</v>
      </c>
      <c r="B290" s="4" t="s">
        <v>1130</v>
      </c>
      <c r="C290" s="5">
        <v>2500.0</v>
      </c>
      <c r="D290" s="5">
        <v>0.0</v>
      </c>
      <c r="E290" s="5">
        <f t="shared" si="1"/>
        <v>1983509611</v>
      </c>
      <c r="F290" s="14" t="s">
        <v>43</v>
      </c>
      <c r="G290" s="14" t="s">
        <v>45</v>
      </c>
      <c r="H290" s="14"/>
      <c r="I290" s="16"/>
    </row>
    <row r="291" ht="15.75" hidden="1" customHeight="1">
      <c r="A291" s="8">
        <v>46098.0</v>
      </c>
      <c r="B291" s="4" t="s">
        <v>1132</v>
      </c>
      <c r="C291" s="5">
        <v>750000.0</v>
      </c>
      <c r="D291" s="5">
        <v>0.0</v>
      </c>
      <c r="E291" s="5">
        <f t="shared" si="1"/>
        <v>1982759611</v>
      </c>
      <c r="F291" s="14" t="s">
        <v>24</v>
      </c>
      <c r="G291" s="14" t="s">
        <v>125</v>
      </c>
      <c r="H291" s="4" t="s">
        <v>359</v>
      </c>
      <c r="I291" s="16"/>
    </row>
    <row r="292" ht="15.75" hidden="1" customHeight="1">
      <c r="A292" s="8">
        <v>46098.0</v>
      </c>
      <c r="B292" s="4" t="s">
        <v>1134</v>
      </c>
      <c r="C292" s="5">
        <v>2500.0</v>
      </c>
      <c r="D292" s="5">
        <v>0.0</v>
      </c>
      <c r="E292" s="5">
        <f t="shared" si="1"/>
        <v>1982757111</v>
      </c>
      <c r="F292" s="14" t="s">
        <v>43</v>
      </c>
      <c r="G292" s="14" t="s">
        <v>45</v>
      </c>
      <c r="H292" s="14"/>
      <c r="I292" s="16"/>
    </row>
    <row r="293" ht="15.75" hidden="1" customHeight="1">
      <c r="A293" s="8">
        <v>46098.0</v>
      </c>
      <c r="B293" s="4" t="s">
        <v>1136</v>
      </c>
      <c r="C293" s="5">
        <v>3778200.0</v>
      </c>
      <c r="D293" s="5">
        <v>0.0</v>
      </c>
      <c r="E293" s="5">
        <f t="shared" si="1"/>
        <v>1978978911</v>
      </c>
      <c r="F293" s="14" t="s">
        <v>24</v>
      </c>
      <c r="G293" s="14" t="s">
        <v>125</v>
      </c>
      <c r="H293" s="4" t="s">
        <v>359</v>
      </c>
      <c r="I293" s="16"/>
    </row>
    <row r="294" ht="15.75" hidden="1" customHeight="1">
      <c r="A294" s="8">
        <v>46098.0</v>
      </c>
      <c r="B294" s="4" t="s">
        <v>1138</v>
      </c>
      <c r="C294" s="5">
        <v>2500.0</v>
      </c>
      <c r="D294" s="5">
        <v>0.0</v>
      </c>
      <c r="E294" s="5">
        <f t="shared" si="1"/>
        <v>1978976411</v>
      </c>
      <c r="F294" s="14" t="s">
        <v>43</v>
      </c>
      <c r="G294" s="14" t="s">
        <v>45</v>
      </c>
      <c r="H294" s="14"/>
      <c r="I294" s="16"/>
    </row>
    <row r="295" ht="15.75" hidden="1" customHeight="1">
      <c r="A295" s="8">
        <v>46098.0</v>
      </c>
      <c r="B295" s="4" t="s">
        <v>1140</v>
      </c>
      <c r="C295" s="5">
        <v>7.110507E7</v>
      </c>
      <c r="D295" s="5">
        <v>0.0</v>
      </c>
      <c r="E295" s="5">
        <f t="shared" si="1"/>
        <v>1907871341</v>
      </c>
      <c r="F295" s="14" t="s">
        <v>58</v>
      </c>
      <c r="G295" s="14" t="s">
        <v>59</v>
      </c>
      <c r="H295" s="14" t="s">
        <v>408</v>
      </c>
      <c r="I295" s="16"/>
    </row>
    <row r="296" ht="15.75" hidden="1" customHeight="1">
      <c r="A296" s="8">
        <v>46098.0</v>
      </c>
      <c r="B296" s="4" t="s">
        <v>1142</v>
      </c>
      <c r="C296" s="5">
        <v>2500.0</v>
      </c>
      <c r="D296" s="5">
        <v>0.0</v>
      </c>
      <c r="E296" s="5">
        <f t="shared" si="1"/>
        <v>1907868841</v>
      </c>
      <c r="F296" s="14" t="s">
        <v>43</v>
      </c>
      <c r="G296" s="14" t="s">
        <v>45</v>
      </c>
      <c r="H296" s="14"/>
      <c r="I296" s="16"/>
    </row>
    <row r="297" ht="15.75" hidden="1" customHeight="1">
      <c r="A297" s="8">
        <v>46098.0</v>
      </c>
      <c r="B297" s="4" t="s">
        <v>800</v>
      </c>
      <c r="C297" s="5">
        <v>2.5E8</v>
      </c>
      <c r="D297" s="5">
        <v>0.0</v>
      </c>
      <c r="E297" s="5">
        <f t="shared" si="1"/>
        <v>1657868841</v>
      </c>
      <c r="F297" s="14" t="s">
        <v>21</v>
      </c>
      <c r="G297" s="14" t="s">
        <v>190</v>
      </c>
      <c r="H297" s="14"/>
      <c r="I297" s="16"/>
    </row>
    <row r="298" ht="15.75" hidden="1" customHeight="1">
      <c r="A298" s="8">
        <v>46098.0</v>
      </c>
      <c r="B298" s="4" t="s">
        <v>1143</v>
      </c>
      <c r="C298" s="5">
        <v>2500.0</v>
      </c>
      <c r="D298" s="5">
        <v>0.0</v>
      </c>
      <c r="E298" s="5">
        <f t="shared" si="1"/>
        <v>1657866341</v>
      </c>
      <c r="F298" s="14" t="s">
        <v>43</v>
      </c>
      <c r="G298" s="14" t="s">
        <v>45</v>
      </c>
      <c r="H298" s="14"/>
      <c r="I298" s="16"/>
    </row>
    <row r="299" ht="15.75" hidden="1" customHeight="1">
      <c r="A299" s="8">
        <v>46098.0</v>
      </c>
      <c r="B299" s="4" t="s">
        <v>1144</v>
      </c>
      <c r="C299" s="5">
        <v>3.6E7</v>
      </c>
      <c r="D299" s="5">
        <v>0.0</v>
      </c>
      <c r="E299" s="5">
        <f t="shared" si="1"/>
        <v>1621866341</v>
      </c>
      <c r="F299" s="14" t="s">
        <v>58</v>
      </c>
      <c r="G299" s="14" t="s">
        <v>59</v>
      </c>
      <c r="H299" s="14" t="s">
        <v>443</v>
      </c>
      <c r="I299" s="16"/>
    </row>
    <row r="300" ht="15.75" hidden="1" customHeight="1">
      <c r="A300" s="8">
        <v>46098.0</v>
      </c>
      <c r="B300" s="4" t="s">
        <v>1145</v>
      </c>
      <c r="C300" s="5">
        <v>2500.0</v>
      </c>
      <c r="D300" s="5">
        <v>0.0</v>
      </c>
      <c r="E300" s="5">
        <f t="shared" si="1"/>
        <v>1621863841</v>
      </c>
      <c r="F300" s="14" t="s">
        <v>43</v>
      </c>
      <c r="G300" s="14" t="s">
        <v>45</v>
      </c>
      <c r="H300" s="14"/>
      <c r="I300" s="16"/>
    </row>
    <row r="301" ht="15.75" hidden="1" customHeight="1">
      <c r="A301" s="8">
        <v>46098.0</v>
      </c>
      <c r="B301" s="4" t="s">
        <v>1146</v>
      </c>
      <c r="C301" s="5">
        <f>53407910-C302+D303</f>
        <v>53810000</v>
      </c>
      <c r="D301" s="5">
        <v>0.0</v>
      </c>
      <c r="E301" s="5">
        <f t="shared" si="1"/>
        <v>1568053841</v>
      </c>
      <c r="F301" s="14" t="s">
        <v>58</v>
      </c>
      <c r="G301" s="14" t="s">
        <v>59</v>
      </c>
      <c r="H301" s="4" t="s">
        <v>476</v>
      </c>
      <c r="I301" s="16"/>
    </row>
    <row r="302" ht="15.75" hidden="1" customHeight="1">
      <c r="A302" s="8">
        <v>46098.0</v>
      </c>
      <c r="B302" s="4" t="s">
        <v>1146</v>
      </c>
      <c r="C302" s="5">
        <v>591910.0</v>
      </c>
      <c r="D302" s="5">
        <v>0.0</v>
      </c>
      <c r="E302" s="5">
        <f t="shared" si="1"/>
        <v>1567461931</v>
      </c>
      <c r="F302" s="4" t="s">
        <v>21</v>
      </c>
      <c r="G302" s="4" t="s">
        <v>448</v>
      </c>
      <c r="H302" s="4" t="s">
        <v>613</v>
      </c>
      <c r="I302" s="16" t="s">
        <v>6</v>
      </c>
    </row>
    <row r="303" ht="15.75" hidden="1" customHeight="1">
      <c r="A303" s="8">
        <v>46098.0</v>
      </c>
      <c r="B303" s="4" t="s">
        <v>1146</v>
      </c>
      <c r="C303" s="5">
        <v>0.0</v>
      </c>
      <c r="D303" s="5">
        <v>994000.0</v>
      </c>
      <c r="E303" s="5">
        <f t="shared" si="1"/>
        <v>1568455931</v>
      </c>
      <c r="F303" s="14" t="s">
        <v>93</v>
      </c>
      <c r="G303" s="14" t="s">
        <v>93</v>
      </c>
      <c r="H303" s="14" t="s">
        <v>191</v>
      </c>
      <c r="I303" s="16" t="s">
        <v>953</v>
      </c>
    </row>
    <row r="304" ht="15.75" hidden="1" customHeight="1">
      <c r="A304" s="8">
        <v>46098.0</v>
      </c>
      <c r="B304" s="4" t="s">
        <v>1147</v>
      </c>
      <c r="C304" s="5">
        <v>2500.0</v>
      </c>
      <c r="D304" s="5">
        <v>0.0</v>
      </c>
      <c r="E304" s="5">
        <f t="shared" si="1"/>
        <v>1568453431</v>
      </c>
      <c r="F304" s="14" t="s">
        <v>43</v>
      </c>
      <c r="G304" s="14" t="s">
        <v>45</v>
      </c>
      <c r="H304" s="14"/>
      <c r="I304" s="16"/>
    </row>
    <row r="305" ht="15.75" hidden="1" customHeight="1">
      <c r="A305" s="8">
        <v>46098.0</v>
      </c>
      <c r="B305" s="4" t="s">
        <v>1148</v>
      </c>
      <c r="C305" s="5">
        <v>1500000.0</v>
      </c>
      <c r="D305" s="5">
        <v>0.0</v>
      </c>
      <c r="E305" s="5">
        <f t="shared" si="1"/>
        <v>1566953431</v>
      </c>
      <c r="F305" s="14" t="s">
        <v>58</v>
      </c>
      <c r="G305" s="14" t="s">
        <v>59</v>
      </c>
      <c r="H305" s="14" t="s">
        <v>408</v>
      </c>
      <c r="I305" s="16"/>
    </row>
    <row r="306" ht="15.75" hidden="1" customHeight="1">
      <c r="A306" s="8">
        <v>46098.0</v>
      </c>
      <c r="B306" s="4" t="s">
        <v>800</v>
      </c>
      <c r="C306" s="5">
        <v>2.5E8</v>
      </c>
      <c r="D306" s="5">
        <v>0.0</v>
      </c>
      <c r="E306" s="5">
        <f t="shared" si="1"/>
        <v>1316953431</v>
      </c>
      <c r="F306" s="14" t="s">
        <v>21</v>
      </c>
      <c r="G306" s="14" t="s">
        <v>190</v>
      </c>
      <c r="H306" s="14"/>
      <c r="I306" s="16"/>
    </row>
    <row r="307" ht="15.75" hidden="1" customHeight="1">
      <c r="A307" s="8">
        <v>46098.0</v>
      </c>
      <c r="B307" s="4" t="s">
        <v>1149</v>
      </c>
      <c r="C307" s="5">
        <v>2500.0</v>
      </c>
      <c r="D307" s="5">
        <v>0.0</v>
      </c>
      <c r="E307" s="5">
        <f t="shared" si="1"/>
        <v>1316950931</v>
      </c>
      <c r="F307" s="14" t="s">
        <v>43</v>
      </c>
      <c r="G307" s="14" t="s">
        <v>45</v>
      </c>
      <c r="H307" s="14"/>
      <c r="I307" s="16"/>
    </row>
    <row r="308" ht="15.75" hidden="1" customHeight="1">
      <c r="A308" s="8">
        <v>46098.0</v>
      </c>
      <c r="B308" s="4" t="s">
        <v>1150</v>
      </c>
      <c r="C308" s="5">
        <v>6.296E7</v>
      </c>
      <c r="D308" s="5">
        <v>0.0</v>
      </c>
      <c r="E308" s="5">
        <f t="shared" si="1"/>
        <v>1253990931</v>
      </c>
      <c r="F308" s="14" t="s">
        <v>58</v>
      </c>
      <c r="G308" s="14" t="s">
        <v>59</v>
      </c>
      <c r="H308" s="14" t="s">
        <v>408</v>
      </c>
      <c r="I308" s="16"/>
    </row>
    <row r="309" ht="15.75" hidden="1" customHeight="1">
      <c r="A309" s="8">
        <v>46098.0</v>
      </c>
      <c r="B309" s="4" t="s">
        <v>1152</v>
      </c>
      <c r="C309" s="5">
        <v>2500.0</v>
      </c>
      <c r="D309" s="5">
        <v>0.0</v>
      </c>
      <c r="E309" s="5">
        <f t="shared" si="1"/>
        <v>1253988431</v>
      </c>
      <c r="F309" s="14" t="s">
        <v>43</v>
      </c>
      <c r="G309" s="14" t="s">
        <v>45</v>
      </c>
      <c r="H309" s="14"/>
      <c r="I309" s="16"/>
    </row>
    <row r="310" ht="15.75" hidden="1" customHeight="1">
      <c r="A310" s="8">
        <v>46098.0</v>
      </c>
      <c r="B310" s="4" t="s">
        <v>521</v>
      </c>
      <c r="C310" s="5">
        <v>2.5E8</v>
      </c>
      <c r="D310" s="5">
        <v>0.0</v>
      </c>
      <c r="E310" s="5">
        <f t="shared" si="1"/>
        <v>1003988431</v>
      </c>
      <c r="F310" s="14" t="s">
        <v>21</v>
      </c>
      <c r="G310" s="14" t="s">
        <v>190</v>
      </c>
      <c r="H310" s="14"/>
      <c r="I310" s="16"/>
    </row>
    <row r="311" ht="15.75" hidden="1" customHeight="1">
      <c r="A311" s="8">
        <v>46098.0</v>
      </c>
      <c r="B311" s="4" t="s">
        <v>1154</v>
      </c>
      <c r="C311" s="5">
        <v>2500.0</v>
      </c>
      <c r="D311" s="5">
        <v>0.0</v>
      </c>
      <c r="E311" s="5">
        <f t="shared" si="1"/>
        <v>1003985931</v>
      </c>
      <c r="F311" s="14" t="s">
        <v>43</v>
      </c>
      <c r="G311" s="14" t="s">
        <v>45</v>
      </c>
      <c r="H311" s="14"/>
      <c r="I311" s="16"/>
    </row>
    <row r="312" ht="15.75" hidden="1" customHeight="1">
      <c r="A312" s="8">
        <v>46098.0</v>
      </c>
      <c r="B312" s="4" t="s">
        <v>1108</v>
      </c>
      <c r="C312" s="5">
        <v>2.5E8</v>
      </c>
      <c r="D312" s="5">
        <v>0.0</v>
      </c>
      <c r="E312" s="5">
        <f t="shared" si="1"/>
        <v>753985930.7</v>
      </c>
      <c r="F312" s="14" t="s">
        <v>21</v>
      </c>
      <c r="G312" s="14" t="s">
        <v>190</v>
      </c>
      <c r="H312" s="14"/>
      <c r="I312" s="16"/>
    </row>
    <row r="313" ht="15.75" hidden="1" customHeight="1">
      <c r="A313" s="8">
        <v>46098.0</v>
      </c>
      <c r="B313" s="4" t="s">
        <v>1156</v>
      </c>
      <c r="C313" s="5">
        <v>2500.0</v>
      </c>
      <c r="D313" s="5">
        <v>0.0</v>
      </c>
      <c r="E313" s="5">
        <f t="shared" si="1"/>
        <v>753983430.7</v>
      </c>
      <c r="F313" s="14" t="s">
        <v>43</v>
      </c>
      <c r="G313" s="14" t="s">
        <v>45</v>
      </c>
      <c r="H313" s="14"/>
      <c r="I313" s="16"/>
    </row>
    <row r="314" ht="15.75" hidden="1" customHeight="1">
      <c r="A314" s="8">
        <v>46098.0</v>
      </c>
      <c r="B314" s="4" t="s">
        <v>1157</v>
      </c>
      <c r="C314" s="5">
        <v>5000000.0</v>
      </c>
      <c r="D314" s="5">
        <v>0.0</v>
      </c>
      <c r="E314" s="5">
        <f t="shared" si="1"/>
        <v>748983430.7</v>
      </c>
      <c r="F314" s="14" t="s">
        <v>58</v>
      </c>
      <c r="G314" s="14" t="s">
        <v>59</v>
      </c>
      <c r="H314" s="14" t="s">
        <v>408</v>
      </c>
      <c r="I314" s="16"/>
    </row>
    <row r="315" ht="15.75" hidden="1" customHeight="1">
      <c r="A315" s="8">
        <v>46106.0</v>
      </c>
      <c r="B315" s="4" t="s">
        <v>1079</v>
      </c>
      <c r="C315" s="5">
        <v>0.0</v>
      </c>
      <c r="D315" s="5">
        <v>1.0E7</v>
      </c>
      <c r="E315" s="5">
        <f t="shared" si="1"/>
        <v>758983430.7</v>
      </c>
      <c r="F315" s="14" t="s">
        <v>21</v>
      </c>
      <c r="G315" s="14" t="s">
        <v>842</v>
      </c>
      <c r="H315" s="14"/>
      <c r="I315" s="16"/>
    </row>
    <row r="316" ht="15.75" hidden="1" customHeight="1">
      <c r="A316" s="8">
        <v>46106.0</v>
      </c>
      <c r="B316" s="4" t="s">
        <v>1160</v>
      </c>
      <c r="C316" s="5">
        <v>2.5E8</v>
      </c>
      <c r="D316" s="5">
        <v>0.0</v>
      </c>
      <c r="E316" s="5">
        <f t="shared" si="1"/>
        <v>508983430.7</v>
      </c>
      <c r="F316" s="14" t="s">
        <v>21</v>
      </c>
      <c r="G316" s="14" t="s">
        <v>298</v>
      </c>
      <c r="H316" s="14"/>
      <c r="I316" s="16"/>
    </row>
    <row r="317" ht="15.75" hidden="1" customHeight="1">
      <c r="A317" s="8">
        <v>46106.0</v>
      </c>
      <c r="B317" s="4" t="s">
        <v>1162</v>
      </c>
      <c r="C317" s="5">
        <v>2500.0</v>
      </c>
      <c r="D317" s="5">
        <v>0.0</v>
      </c>
      <c r="E317" s="5">
        <f t="shared" si="1"/>
        <v>508980930.7</v>
      </c>
      <c r="F317" s="14" t="s">
        <v>43</v>
      </c>
      <c r="G317" s="14" t="s">
        <v>45</v>
      </c>
      <c r="H317" s="14"/>
      <c r="I317" s="16"/>
    </row>
    <row r="318" ht="15.75" hidden="1" customHeight="1">
      <c r="A318" s="8">
        <v>46106.0</v>
      </c>
      <c r="B318" s="4" t="s">
        <v>1160</v>
      </c>
      <c r="C318" s="5">
        <v>2.5E8</v>
      </c>
      <c r="D318" s="5">
        <v>0.0</v>
      </c>
      <c r="E318" s="5">
        <f t="shared" si="1"/>
        <v>258980930.7</v>
      </c>
      <c r="F318" s="14" t="s">
        <v>21</v>
      </c>
      <c r="G318" s="14" t="s">
        <v>298</v>
      </c>
      <c r="H318" s="14"/>
      <c r="I318" s="16"/>
    </row>
    <row r="319" ht="15.75" hidden="1" customHeight="1">
      <c r="A319" s="8">
        <v>46106.0</v>
      </c>
      <c r="B319" s="4" t="s">
        <v>1165</v>
      </c>
      <c r="C319" s="5">
        <v>2500.0</v>
      </c>
      <c r="D319" s="5">
        <v>0.0</v>
      </c>
      <c r="E319" s="5">
        <f t="shared" si="1"/>
        <v>258978430.7</v>
      </c>
      <c r="F319" s="14" t="s">
        <v>43</v>
      </c>
      <c r="G319" s="14" t="s">
        <v>45</v>
      </c>
      <c r="H319" s="14"/>
      <c r="I319" s="16"/>
    </row>
    <row r="320" ht="15.75" hidden="1" customHeight="1">
      <c r="A320" s="8">
        <v>46106.0</v>
      </c>
      <c r="B320" s="4" t="s">
        <v>1160</v>
      </c>
      <c r="C320" s="5">
        <v>2.5E8</v>
      </c>
      <c r="D320" s="5">
        <v>0.0</v>
      </c>
      <c r="E320" s="5">
        <f t="shared" si="1"/>
        <v>8978430.7</v>
      </c>
      <c r="F320" s="14" t="s">
        <v>21</v>
      </c>
      <c r="G320" s="14" t="s">
        <v>298</v>
      </c>
      <c r="H320" s="14"/>
      <c r="I320" s="16"/>
    </row>
    <row r="321" ht="15.75" hidden="1" customHeight="1">
      <c r="A321" s="8">
        <v>46106.0</v>
      </c>
      <c r="B321" s="4" t="s">
        <v>1166</v>
      </c>
      <c r="C321" s="5">
        <v>2500.0</v>
      </c>
      <c r="D321" s="5">
        <v>0.0</v>
      </c>
      <c r="E321" s="5">
        <f t="shared" si="1"/>
        <v>8975930.7</v>
      </c>
      <c r="F321" s="14" t="s">
        <v>43</v>
      </c>
      <c r="G321" s="14" t="s">
        <v>45</v>
      </c>
      <c r="H321" s="14"/>
      <c r="I321" s="16"/>
    </row>
    <row r="322" ht="15.75" hidden="1" customHeight="1">
      <c r="A322" s="8">
        <v>46108.0</v>
      </c>
      <c r="B322" s="4" t="s">
        <v>1079</v>
      </c>
      <c r="C322" s="5">
        <v>0.0</v>
      </c>
      <c r="D322" s="5">
        <v>3.5E7</v>
      </c>
      <c r="E322" s="5">
        <f t="shared" si="1"/>
        <v>43975930.7</v>
      </c>
      <c r="F322" s="14" t="s">
        <v>21</v>
      </c>
      <c r="G322" s="14" t="s">
        <v>842</v>
      </c>
      <c r="H322" s="14"/>
      <c r="I322" s="16"/>
    </row>
    <row r="323" ht="15.75" hidden="1" customHeight="1">
      <c r="A323" s="8">
        <v>46108.0</v>
      </c>
      <c r="B323" s="4" t="s">
        <v>1167</v>
      </c>
      <c r="C323" s="5">
        <v>4776000.0</v>
      </c>
      <c r="D323" s="5">
        <v>0.0</v>
      </c>
      <c r="E323" s="5">
        <f t="shared" si="1"/>
        <v>39199930.7</v>
      </c>
      <c r="F323" s="14" t="s">
        <v>58</v>
      </c>
      <c r="G323" s="14" t="s">
        <v>59</v>
      </c>
      <c r="H323" s="14" t="s">
        <v>111</v>
      </c>
      <c r="I323" s="16"/>
    </row>
    <row r="324" ht="15.75" hidden="1" customHeight="1">
      <c r="A324" s="8">
        <v>46108.0</v>
      </c>
      <c r="B324" s="4" t="s">
        <v>1168</v>
      </c>
      <c r="C324" s="5">
        <f>1716495-C325+D326</f>
        <v>1699500</v>
      </c>
      <c r="D324" s="5">
        <v>0.0</v>
      </c>
      <c r="E324" s="5">
        <f t="shared" si="1"/>
        <v>37500430.7</v>
      </c>
      <c r="F324" s="14" t="s">
        <v>50</v>
      </c>
      <c r="G324" s="14" t="s">
        <v>708</v>
      </c>
      <c r="H324" s="14"/>
      <c r="I324" s="16"/>
    </row>
    <row r="325" ht="15.75" hidden="1" customHeight="1">
      <c r="A325" s="8">
        <v>46108.0</v>
      </c>
      <c r="B325" s="4" t="s">
        <v>1168</v>
      </c>
      <c r="C325" s="5">
        <v>186945.0</v>
      </c>
      <c r="D325" s="5">
        <v>0.0</v>
      </c>
      <c r="E325" s="5">
        <f t="shared" si="1"/>
        <v>37313485.7</v>
      </c>
      <c r="F325" s="4" t="s">
        <v>21</v>
      </c>
      <c r="G325" s="4" t="s">
        <v>448</v>
      </c>
      <c r="H325" s="4" t="s">
        <v>1121</v>
      </c>
    </row>
    <row r="326" ht="15.75" hidden="1" customHeight="1">
      <c r="A326" s="8">
        <v>46108.0</v>
      </c>
      <c r="B326" s="4" t="s">
        <v>1168</v>
      </c>
      <c r="C326" s="5">
        <v>0.0</v>
      </c>
      <c r="D326" s="5">
        <v>169950.0</v>
      </c>
      <c r="E326" s="5">
        <f t="shared" si="1"/>
        <v>37483435.7</v>
      </c>
      <c r="F326" s="14" t="s">
        <v>93</v>
      </c>
      <c r="G326" s="14" t="s">
        <v>93</v>
      </c>
      <c r="H326" s="14" t="s">
        <v>711</v>
      </c>
      <c r="I326" s="4" t="s">
        <v>1169</v>
      </c>
    </row>
    <row r="327" ht="15.75" hidden="1" customHeight="1">
      <c r="A327" s="8">
        <v>46108.0</v>
      </c>
      <c r="B327" s="4" t="s">
        <v>1170</v>
      </c>
      <c r="C327" s="5">
        <v>2500.0</v>
      </c>
      <c r="D327" s="5">
        <v>0.0</v>
      </c>
      <c r="E327" s="5">
        <f t="shared" si="1"/>
        <v>37480935.7</v>
      </c>
      <c r="F327" s="14" t="s">
        <v>43</v>
      </c>
      <c r="G327" s="14" t="s">
        <v>45</v>
      </c>
      <c r="H327" s="14"/>
      <c r="I327" s="16"/>
    </row>
    <row r="328" ht="15.75" hidden="1" customHeight="1">
      <c r="A328" s="8">
        <v>46108.0</v>
      </c>
      <c r="B328" s="4" t="s">
        <v>1172</v>
      </c>
      <c r="C328" s="5">
        <f>8729430-C329-C331-C332-C334-C335-C337-C338-C340-C341+D330+D333+D336+D339+D342</f>
        <v>1699500</v>
      </c>
      <c r="D328" s="5">
        <v>0.0</v>
      </c>
      <c r="E328" s="5">
        <f t="shared" si="1"/>
        <v>35781435.7</v>
      </c>
      <c r="F328" s="14" t="s">
        <v>50</v>
      </c>
      <c r="G328" s="14" t="s">
        <v>708</v>
      </c>
      <c r="H328" s="14"/>
      <c r="I328" s="16"/>
    </row>
    <row r="329" ht="15.75" hidden="1" customHeight="1">
      <c r="A329" s="8">
        <v>46108.0</v>
      </c>
      <c r="B329" s="4" t="s">
        <v>1172</v>
      </c>
      <c r="C329" s="5">
        <v>186945.0</v>
      </c>
      <c r="D329" s="5">
        <v>0.0</v>
      </c>
      <c r="E329" s="5">
        <f t="shared" si="1"/>
        <v>35594490.7</v>
      </c>
      <c r="F329" s="4" t="s">
        <v>21</v>
      </c>
      <c r="G329" s="4" t="s">
        <v>448</v>
      </c>
      <c r="H329" s="4" t="s">
        <v>1121</v>
      </c>
    </row>
    <row r="330" ht="15.75" hidden="1" customHeight="1">
      <c r="A330" s="8">
        <v>46108.0</v>
      </c>
      <c r="B330" s="4" t="s">
        <v>1172</v>
      </c>
      <c r="C330" s="5">
        <v>0.0</v>
      </c>
      <c r="D330" s="5">
        <v>169950.0</v>
      </c>
      <c r="E330" s="5">
        <f t="shared" si="1"/>
        <v>35764440.7</v>
      </c>
      <c r="F330" s="14" t="s">
        <v>93</v>
      </c>
      <c r="G330" s="14" t="s">
        <v>93</v>
      </c>
      <c r="H330" s="14" t="s">
        <v>711</v>
      </c>
      <c r="I330" s="4" t="s">
        <v>1169</v>
      </c>
    </row>
    <row r="331" ht="15.75" hidden="1" customHeight="1">
      <c r="A331" s="8">
        <v>46108.0</v>
      </c>
      <c r="B331" s="15" t="s">
        <v>1172</v>
      </c>
      <c r="C331" s="5">
        <v>1699500.0</v>
      </c>
      <c r="D331" s="5">
        <v>0.0</v>
      </c>
      <c r="E331" s="5">
        <f t="shared" si="1"/>
        <v>34064940.7</v>
      </c>
      <c r="F331" s="14" t="s">
        <v>50</v>
      </c>
      <c r="G331" s="14" t="s">
        <v>708</v>
      </c>
      <c r="H331" s="14"/>
      <c r="I331" s="16"/>
    </row>
    <row r="332" ht="15.75" hidden="1" customHeight="1">
      <c r="A332" s="8">
        <v>46108.0</v>
      </c>
      <c r="B332" s="15" t="s">
        <v>1172</v>
      </c>
      <c r="C332" s="5">
        <v>186945.0</v>
      </c>
      <c r="D332" s="5">
        <v>0.0</v>
      </c>
      <c r="E332" s="5">
        <f t="shared" si="1"/>
        <v>33877995.7</v>
      </c>
      <c r="F332" s="4" t="s">
        <v>21</v>
      </c>
      <c r="G332" s="4" t="s">
        <v>448</v>
      </c>
      <c r="H332" s="4" t="s">
        <v>1121</v>
      </c>
    </row>
    <row r="333" ht="15.75" hidden="1" customHeight="1">
      <c r="A333" s="8">
        <v>46108.0</v>
      </c>
      <c r="B333" s="15" t="s">
        <v>1172</v>
      </c>
      <c r="C333" s="5">
        <v>0.0</v>
      </c>
      <c r="D333" s="5">
        <v>169950.0</v>
      </c>
      <c r="E333" s="5">
        <f t="shared" si="1"/>
        <v>34047945.7</v>
      </c>
      <c r="F333" s="14" t="s">
        <v>93</v>
      </c>
      <c r="G333" s="14" t="s">
        <v>93</v>
      </c>
      <c r="H333" s="14" t="s">
        <v>711</v>
      </c>
      <c r="I333" s="4" t="s">
        <v>1169</v>
      </c>
    </row>
    <row r="334" ht="15.75" hidden="1" customHeight="1">
      <c r="A334" s="8">
        <v>46108.0</v>
      </c>
      <c r="B334" s="15" t="s">
        <v>1172</v>
      </c>
      <c r="C334" s="5">
        <v>1845000.0</v>
      </c>
      <c r="D334" s="5">
        <v>0.0</v>
      </c>
      <c r="E334" s="5">
        <f t="shared" si="1"/>
        <v>32202945.7</v>
      </c>
      <c r="F334" s="14" t="s">
        <v>50</v>
      </c>
      <c r="G334" s="14" t="s">
        <v>708</v>
      </c>
      <c r="H334" s="14"/>
      <c r="I334" s="16"/>
    </row>
    <row r="335" ht="15.75" hidden="1" customHeight="1">
      <c r="A335" s="8">
        <v>46108.0</v>
      </c>
      <c r="B335" s="15" t="s">
        <v>1172</v>
      </c>
      <c r="C335" s="5">
        <v>202950.0</v>
      </c>
      <c r="D335" s="5">
        <v>0.0</v>
      </c>
      <c r="E335" s="5">
        <f t="shared" si="1"/>
        <v>31999995.7</v>
      </c>
      <c r="F335" s="4" t="s">
        <v>21</v>
      </c>
      <c r="G335" s="4" t="s">
        <v>448</v>
      </c>
      <c r="H335" s="4" t="s">
        <v>1121</v>
      </c>
    </row>
    <row r="336" ht="15.75" hidden="1" customHeight="1">
      <c r="A336" s="8">
        <v>46108.0</v>
      </c>
      <c r="B336" s="15" t="s">
        <v>1172</v>
      </c>
      <c r="C336" s="5">
        <v>0.0</v>
      </c>
      <c r="D336" s="5">
        <v>184500.0</v>
      </c>
      <c r="E336" s="5">
        <f t="shared" si="1"/>
        <v>32184495.7</v>
      </c>
      <c r="F336" s="14" t="s">
        <v>93</v>
      </c>
      <c r="G336" s="14" t="s">
        <v>93</v>
      </c>
      <c r="H336" s="14" t="s">
        <v>711</v>
      </c>
      <c r="I336" s="4" t="s">
        <v>1169</v>
      </c>
    </row>
    <row r="337" ht="15.75" hidden="1" customHeight="1">
      <c r="A337" s="8">
        <v>46108.0</v>
      </c>
      <c r="B337" s="15" t="s">
        <v>1172</v>
      </c>
      <c r="C337" s="5">
        <v>1699500.0</v>
      </c>
      <c r="D337" s="5">
        <v>0.0</v>
      </c>
      <c r="E337" s="5">
        <f t="shared" si="1"/>
        <v>30484995.7</v>
      </c>
      <c r="F337" s="14" t="s">
        <v>50</v>
      </c>
      <c r="G337" s="14" t="s">
        <v>708</v>
      </c>
      <c r="H337" s="14"/>
      <c r="I337" s="16"/>
    </row>
    <row r="338" ht="15.75" hidden="1" customHeight="1">
      <c r="A338" s="8">
        <v>46108.0</v>
      </c>
      <c r="B338" s="15" t="s">
        <v>1172</v>
      </c>
      <c r="C338" s="5">
        <v>186945.0</v>
      </c>
      <c r="D338" s="5">
        <v>0.0</v>
      </c>
      <c r="E338" s="5">
        <f t="shared" si="1"/>
        <v>30298050.7</v>
      </c>
      <c r="F338" s="4" t="s">
        <v>21</v>
      </c>
      <c r="G338" s="4" t="s">
        <v>448</v>
      </c>
      <c r="H338" s="4" t="s">
        <v>1121</v>
      </c>
    </row>
    <row r="339" ht="15.75" hidden="1" customHeight="1">
      <c r="A339" s="8">
        <v>46108.0</v>
      </c>
      <c r="B339" s="15" t="s">
        <v>1172</v>
      </c>
      <c r="C339" s="5">
        <v>0.0</v>
      </c>
      <c r="D339" s="5">
        <v>169950.0</v>
      </c>
      <c r="E339" s="5">
        <f t="shared" si="1"/>
        <v>30468000.7</v>
      </c>
      <c r="F339" s="14" t="s">
        <v>93</v>
      </c>
      <c r="G339" s="14" t="s">
        <v>93</v>
      </c>
      <c r="H339" s="14" t="s">
        <v>711</v>
      </c>
      <c r="I339" s="4" t="s">
        <v>1169</v>
      </c>
    </row>
    <row r="340" ht="15.75" hidden="1" customHeight="1">
      <c r="A340" s="8">
        <v>46108.0</v>
      </c>
      <c r="B340" s="15" t="s">
        <v>1172</v>
      </c>
      <c r="C340" s="5">
        <v>1699500.0</v>
      </c>
      <c r="D340" s="5">
        <v>0.0</v>
      </c>
      <c r="E340" s="5">
        <f t="shared" si="1"/>
        <v>28768500.7</v>
      </c>
      <c r="F340" s="14" t="s">
        <v>50</v>
      </c>
      <c r="G340" s="14" t="s">
        <v>708</v>
      </c>
      <c r="H340" s="14"/>
      <c r="I340" s="16"/>
    </row>
    <row r="341" ht="15.75" hidden="1" customHeight="1">
      <c r="A341" s="8">
        <v>46108.0</v>
      </c>
      <c r="B341" s="15" t="s">
        <v>1172</v>
      </c>
      <c r="C341" s="5">
        <v>186945.0</v>
      </c>
      <c r="D341" s="5">
        <v>0.0</v>
      </c>
      <c r="E341" s="5">
        <f t="shared" si="1"/>
        <v>28581555.7</v>
      </c>
      <c r="F341" s="4" t="s">
        <v>21</v>
      </c>
      <c r="G341" s="4" t="s">
        <v>448</v>
      </c>
      <c r="H341" s="4" t="s">
        <v>1121</v>
      </c>
    </row>
    <row r="342" ht="15.75" hidden="1" customHeight="1">
      <c r="A342" s="8">
        <v>46108.0</v>
      </c>
      <c r="B342" s="15" t="s">
        <v>1172</v>
      </c>
      <c r="C342" s="5">
        <v>0.0</v>
      </c>
      <c r="D342" s="5">
        <v>169950.0</v>
      </c>
      <c r="E342" s="5">
        <f t="shared" si="1"/>
        <v>28751505.7</v>
      </c>
      <c r="F342" s="14" t="s">
        <v>93</v>
      </c>
      <c r="G342" s="14" t="s">
        <v>93</v>
      </c>
      <c r="H342" s="14" t="s">
        <v>711</v>
      </c>
      <c r="I342" s="4" t="s">
        <v>1169</v>
      </c>
    </row>
    <row r="343" ht="15.75" hidden="1" customHeight="1">
      <c r="A343" s="8">
        <v>46108.0</v>
      </c>
      <c r="B343" s="4" t="s">
        <v>1183</v>
      </c>
      <c r="C343" s="5">
        <v>2500.0</v>
      </c>
      <c r="D343" s="5">
        <v>0.0</v>
      </c>
      <c r="E343" s="5">
        <f t="shared" si="1"/>
        <v>28749005.7</v>
      </c>
      <c r="F343" s="14" t="s">
        <v>43</v>
      </c>
      <c r="G343" s="14" t="s">
        <v>45</v>
      </c>
      <c r="H343" s="14"/>
      <c r="I343" s="16"/>
    </row>
    <row r="344" ht="15.75" hidden="1" customHeight="1">
      <c r="A344" s="8">
        <v>46108.0</v>
      </c>
      <c r="B344" s="4" t="s">
        <v>1186</v>
      </c>
      <c r="C344" s="5">
        <f>15270594-C345+D346</f>
        <v>15119400</v>
      </c>
      <c r="D344" s="5">
        <v>0.0</v>
      </c>
      <c r="E344" s="5">
        <f t="shared" si="1"/>
        <v>13629605.7</v>
      </c>
      <c r="F344" s="14" t="s">
        <v>50</v>
      </c>
      <c r="G344" s="14" t="s">
        <v>708</v>
      </c>
      <c r="H344" s="14"/>
      <c r="I344" s="16"/>
    </row>
    <row r="345" ht="15.75" hidden="1" customHeight="1">
      <c r="A345" s="8">
        <v>46108.0</v>
      </c>
      <c r="B345" s="4" t="s">
        <v>1186</v>
      </c>
      <c r="C345" s="5">
        <v>1663134.0</v>
      </c>
      <c r="D345" s="5">
        <v>0.0</v>
      </c>
      <c r="E345" s="5">
        <f t="shared" si="1"/>
        <v>11966471.7</v>
      </c>
      <c r="F345" s="4" t="s">
        <v>21</v>
      </c>
      <c r="G345" s="4" t="s">
        <v>448</v>
      </c>
      <c r="H345" s="4" t="s">
        <v>859</v>
      </c>
    </row>
    <row r="346" ht="15.75" hidden="1" customHeight="1">
      <c r="A346" s="8">
        <v>46108.0</v>
      </c>
      <c r="B346" s="4" t="s">
        <v>1186</v>
      </c>
      <c r="C346" s="5">
        <v>0.0</v>
      </c>
      <c r="D346" s="5">
        <v>1511940.0</v>
      </c>
      <c r="E346" s="5">
        <f t="shared" si="1"/>
        <v>13478411.7</v>
      </c>
      <c r="F346" s="14" t="s">
        <v>93</v>
      </c>
      <c r="G346" s="14" t="s">
        <v>93</v>
      </c>
      <c r="H346" s="14" t="s">
        <v>711</v>
      </c>
      <c r="I346" s="15" t="s">
        <v>1169</v>
      </c>
    </row>
    <row r="347" ht="15.75" hidden="1" customHeight="1">
      <c r="A347" s="8">
        <v>46108.0</v>
      </c>
      <c r="B347" s="4" t="s">
        <v>1192</v>
      </c>
      <c r="C347" s="5">
        <v>2500.0</v>
      </c>
      <c r="D347" s="5">
        <v>0.0</v>
      </c>
      <c r="E347" s="5">
        <f t="shared" si="1"/>
        <v>13475911.7</v>
      </c>
      <c r="F347" s="14" t="s">
        <v>43</v>
      </c>
      <c r="G347" s="14" t="s">
        <v>45</v>
      </c>
      <c r="H347" s="14"/>
      <c r="I347" s="16"/>
    </row>
    <row r="348" ht="15.75" hidden="1" customHeight="1">
      <c r="A348" s="8">
        <v>46108.0</v>
      </c>
      <c r="B348" s="4" t="s">
        <v>1063</v>
      </c>
      <c r="C348" s="5">
        <v>0.0</v>
      </c>
      <c r="D348" s="5">
        <v>1.32E8</v>
      </c>
      <c r="E348" s="5">
        <f t="shared" si="1"/>
        <v>145475911.7</v>
      </c>
      <c r="F348" s="14" t="s">
        <v>21</v>
      </c>
      <c r="G348" s="4" t="s">
        <v>187</v>
      </c>
      <c r="H348" s="14"/>
      <c r="I348" s="16"/>
    </row>
    <row r="349" ht="15.75" hidden="1" customHeight="1">
      <c r="A349" s="8">
        <v>46108.0</v>
      </c>
      <c r="B349" s="4" t="s">
        <v>1069</v>
      </c>
      <c r="C349" s="5">
        <v>0.0</v>
      </c>
      <c r="D349" s="5">
        <v>1.1E8</v>
      </c>
      <c r="E349" s="5">
        <f t="shared" si="1"/>
        <v>255475911.7</v>
      </c>
      <c r="F349" s="14" t="s">
        <v>21</v>
      </c>
      <c r="G349" s="4" t="s">
        <v>1070</v>
      </c>
      <c r="H349" s="14"/>
      <c r="I349" s="16"/>
    </row>
    <row r="350" ht="15.75" hidden="1" customHeight="1">
      <c r="A350" s="8">
        <v>46108.0</v>
      </c>
      <c r="B350" s="4" t="s">
        <v>1198</v>
      </c>
      <c r="C350" s="5">
        <v>2.1215E8</v>
      </c>
      <c r="D350" s="5">
        <v>0.0</v>
      </c>
      <c r="E350" s="5">
        <f t="shared" si="1"/>
        <v>43325911.7</v>
      </c>
      <c r="F350" s="14" t="s">
        <v>105</v>
      </c>
      <c r="G350" s="14" t="s">
        <v>193</v>
      </c>
      <c r="H350" s="14" t="s">
        <v>400</v>
      </c>
      <c r="I350" s="16"/>
    </row>
    <row r="351" ht="15.75" hidden="1" customHeight="1">
      <c r="A351" s="8">
        <v>46108.0</v>
      </c>
      <c r="B351" s="4" t="s">
        <v>1203</v>
      </c>
      <c r="C351" s="5">
        <v>2500.0</v>
      </c>
      <c r="D351" s="5">
        <v>0.0</v>
      </c>
      <c r="E351" s="5">
        <f t="shared" si="1"/>
        <v>43323411.7</v>
      </c>
      <c r="F351" s="14" t="s">
        <v>43</v>
      </c>
      <c r="G351" s="14" t="s">
        <v>45</v>
      </c>
      <c r="H351" s="14"/>
      <c r="I351" s="16"/>
    </row>
    <row r="352" ht="15.75" hidden="1" customHeight="1">
      <c r="A352" s="8">
        <v>46110.0</v>
      </c>
      <c r="B352" s="4" t="s">
        <v>1206</v>
      </c>
      <c r="C352" s="5">
        <v>4.0E7</v>
      </c>
      <c r="D352" s="5">
        <v>0.0</v>
      </c>
      <c r="E352" s="5">
        <f t="shared" si="1"/>
        <v>3323411.7</v>
      </c>
      <c r="F352" s="14" t="s">
        <v>21</v>
      </c>
      <c r="G352" s="14" t="s">
        <v>448</v>
      </c>
      <c r="H352" s="14" t="s">
        <v>55</v>
      </c>
      <c r="I352" s="16"/>
    </row>
    <row r="353" ht="15.75" hidden="1" customHeight="1">
      <c r="A353" s="8">
        <v>46110.0</v>
      </c>
      <c r="B353" s="4" t="s">
        <v>1208</v>
      </c>
      <c r="C353" s="5">
        <v>2500.0</v>
      </c>
      <c r="D353" s="5">
        <v>0.0</v>
      </c>
      <c r="E353" s="5">
        <f t="shared" si="1"/>
        <v>3320911.7</v>
      </c>
      <c r="F353" s="14" t="s">
        <v>43</v>
      </c>
      <c r="G353" s="14" t="s">
        <v>45</v>
      </c>
      <c r="H353" s="14"/>
      <c r="I353" s="16"/>
    </row>
    <row r="354" ht="15.75" hidden="1" customHeight="1">
      <c r="A354" s="8">
        <v>46112.0</v>
      </c>
      <c r="B354" s="4" t="s">
        <v>1211</v>
      </c>
      <c r="C354" s="5">
        <v>2000000.0</v>
      </c>
      <c r="D354" s="5">
        <v>0.0</v>
      </c>
      <c r="E354" s="5">
        <f t="shared" si="1"/>
        <v>1320911.7</v>
      </c>
      <c r="F354" s="14" t="s">
        <v>21</v>
      </c>
      <c r="G354" s="15" t="s">
        <v>190</v>
      </c>
      <c r="H354" s="14"/>
      <c r="I354" s="16"/>
    </row>
    <row r="355" ht="15.75" hidden="1" customHeight="1">
      <c r="A355" s="8">
        <v>46112.0</v>
      </c>
      <c r="B355" s="4" t="s">
        <v>1213</v>
      </c>
      <c r="C355" s="5">
        <v>2500.0</v>
      </c>
      <c r="D355" s="5">
        <v>0.0</v>
      </c>
      <c r="E355" s="5">
        <f t="shared" si="1"/>
        <v>1318411.7</v>
      </c>
      <c r="F355" s="14" t="s">
        <v>43</v>
      </c>
      <c r="G355" s="14" t="s">
        <v>45</v>
      </c>
      <c r="H355" s="14"/>
      <c r="I355" s="16"/>
    </row>
    <row r="356" ht="15.75" hidden="1" customHeight="1">
      <c r="A356" s="8">
        <v>46112.0</v>
      </c>
      <c r="B356" s="4" t="s">
        <v>562</v>
      </c>
      <c r="C356" s="5">
        <v>25000.0</v>
      </c>
      <c r="D356" s="5">
        <v>0.0</v>
      </c>
      <c r="E356" s="5">
        <f t="shared" si="1"/>
        <v>1293411.7</v>
      </c>
      <c r="F356" s="14" t="s">
        <v>43</v>
      </c>
      <c r="G356" s="14" t="s">
        <v>45</v>
      </c>
      <c r="H356" s="14"/>
      <c r="I356" s="16"/>
    </row>
    <row r="357" ht="15.75" hidden="1" customHeight="1">
      <c r="A357" s="8">
        <v>46112.0</v>
      </c>
      <c r="B357" s="4" t="s">
        <v>626</v>
      </c>
      <c r="C357" s="5">
        <v>0.0</v>
      </c>
      <c r="D357" s="5">
        <v>361908.19</v>
      </c>
      <c r="E357" s="5">
        <f t="shared" si="1"/>
        <v>1655319.89</v>
      </c>
      <c r="F357" s="14" t="s">
        <v>63</v>
      </c>
      <c r="G357" s="14" t="s">
        <v>65</v>
      </c>
      <c r="H357" s="14"/>
      <c r="I357" s="16"/>
    </row>
    <row r="358" ht="15.75" hidden="1" customHeight="1">
      <c r="A358" s="8">
        <v>46112.0</v>
      </c>
      <c r="B358" s="4" t="s">
        <v>630</v>
      </c>
      <c r="C358" s="5">
        <v>72381.64</v>
      </c>
      <c r="D358" s="5">
        <v>0.0</v>
      </c>
      <c r="E358" s="5">
        <f t="shared" si="1"/>
        <v>1582938.25</v>
      </c>
      <c r="F358" s="14" t="s">
        <v>63</v>
      </c>
      <c r="G358" s="14" t="s">
        <v>65</v>
      </c>
      <c r="H358" s="14"/>
      <c r="I358" s="16"/>
    </row>
    <row r="359" ht="15.75" hidden="1" customHeight="1">
      <c r="A359" s="8">
        <v>46113.0</v>
      </c>
      <c r="B359" s="4" t="s">
        <v>1222</v>
      </c>
      <c r="C359" s="5">
        <v>0.0</v>
      </c>
      <c r="D359" s="5">
        <v>3.0E7</v>
      </c>
      <c r="E359" s="5">
        <f t="shared" si="1"/>
        <v>31582938.25</v>
      </c>
      <c r="F359" s="14" t="s">
        <v>21</v>
      </c>
      <c r="G359" s="4" t="s">
        <v>842</v>
      </c>
      <c r="H359" s="14"/>
      <c r="I359" s="16"/>
    </row>
    <row r="360" ht="15.75" hidden="1" customHeight="1">
      <c r="A360" s="8">
        <v>46113.0</v>
      </c>
      <c r="B360" s="4" t="s">
        <v>1223</v>
      </c>
      <c r="C360" s="5">
        <v>1.75E7</v>
      </c>
      <c r="D360" s="5">
        <v>0.0</v>
      </c>
      <c r="E360" s="5">
        <f t="shared" si="1"/>
        <v>14082938.25</v>
      </c>
      <c r="F360" s="14" t="s">
        <v>58</v>
      </c>
      <c r="G360" s="14" t="s">
        <v>59</v>
      </c>
      <c r="H360" s="14" t="s">
        <v>61</v>
      </c>
      <c r="I360" s="16"/>
    </row>
    <row r="361" ht="15.75" hidden="1" customHeight="1">
      <c r="A361" s="8">
        <v>46113.0</v>
      </c>
      <c r="B361" s="4" t="s">
        <v>1225</v>
      </c>
      <c r="C361" s="5">
        <v>2500.0</v>
      </c>
      <c r="D361" s="5">
        <v>0.0</v>
      </c>
      <c r="E361" s="5">
        <f t="shared" si="1"/>
        <v>14080438.25</v>
      </c>
      <c r="F361" s="14" t="s">
        <v>43</v>
      </c>
      <c r="G361" s="14" t="s">
        <v>45</v>
      </c>
      <c r="H361" s="14"/>
      <c r="I361" s="16"/>
    </row>
    <row r="362" ht="15.75" hidden="1" customHeight="1">
      <c r="A362" s="8">
        <v>46113.0</v>
      </c>
      <c r="B362" s="4" t="s">
        <v>1226</v>
      </c>
      <c r="C362" s="5">
        <v>1.24E7</v>
      </c>
      <c r="D362" s="5">
        <v>0.0</v>
      </c>
      <c r="E362" s="5">
        <f t="shared" si="1"/>
        <v>1680438.25</v>
      </c>
      <c r="F362" s="14" t="s">
        <v>58</v>
      </c>
      <c r="G362" s="14" t="s">
        <v>59</v>
      </c>
      <c r="H362" s="14" t="s">
        <v>61</v>
      </c>
      <c r="I362" s="16"/>
    </row>
    <row r="363" ht="15.75" hidden="1" customHeight="1">
      <c r="A363" s="8">
        <v>46113.0</v>
      </c>
      <c r="B363" s="4" t="s">
        <v>1222</v>
      </c>
      <c r="C363" s="5">
        <v>0.0</v>
      </c>
      <c r="D363" s="5">
        <v>2.0E7</v>
      </c>
      <c r="E363" s="5">
        <f t="shared" si="1"/>
        <v>21680438.25</v>
      </c>
      <c r="F363" s="4" t="s">
        <v>21</v>
      </c>
      <c r="G363" s="4" t="s">
        <v>842</v>
      </c>
      <c r="H363" s="14"/>
      <c r="I363" s="16"/>
    </row>
    <row r="364" ht="15.75" hidden="1" customHeight="1">
      <c r="A364" s="8">
        <v>46113.0</v>
      </c>
      <c r="B364" s="14" t="s">
        <v>1230</v>
      </c>
      <c r="C364" s="5">
        <v>1.8E7</v>
      </c>
      <c r="D364" s="5">
        <v>0.0</v>
      </c>
      <c r="E364" s="5">
        <f t="shared" si="1"/>
        <v>3680438.25</v>
      </c>
      <c r="F364" s="14" t="s">
        <v>18</v>
      </c>
      <c r="G364" s="14" t="s">
        <v>80</v>
      </c>
      <c r="H364" s="14" t="s">
        <v>263</v>
      </c>
      <c r="I364" s="16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hidden="1" customHeight="1">
      <c r="A365" s="8">
        <v>46113.0</v>
      </c>
      <c r="B365" s="4" t="s">
        <v>1235</v>
      </c>
      <c r="C365" s="5">
        <v>2500.0</v>
      </c>
      <c r="D365" s="5">
        <v>0.0</v>
      </c>
      <c r="E365" s="5">
        <f t="shared" si="1"/>
        <v>3677938.25</v>
      </c>
      <c r="F365" s="14" t="s">
        <v>43</v>
      </c>
      <c r="G365" s="14" t="s">
        <v>45</v>
      </c>
      <c r="H365" s="14"/>
      <c r="I365" s="16"/>
    </row>
    <row r="366" ht="15.75" hidden="1" customHeight="1">
      <c r="A366" s="8">
        <v>46115.0</v>
      </c>
      <c r="B366" s="4" t="s">
        <v>1238</v>
      </c>
      <c r="C366" s="5">
        <v>0.0</v>
      </c>
      <c r="D366" s="5">
        <v>7.3E7</v>
      </c>
      <c r="E366" s="5">
        <f t="shared" si="1"/>
        <v>76677938.25</v>
      </c>
      <c r="F366" s="14" t="s">
        <v>21</v>
      </c>
      <c r="G366" s="15" t="s">
        <v>842</v>
      </c>
      <c r="H366" s="14"/>
      <c r="I366" s="16"/>
    </row>
    <row r="367" ht="15.75" hidden="1" customHeight="1">
      <c r="A367" s="8">
        <v>46115.0</v>
      </c>
      <c r="B367" s="4" t="s">
        <v>1241</v>
      </c>
      <c r="C367" s="5">
        <v>0.0</v>
      </c>
      <c r="D367" s="5">
        <v>5.0E7</v>
      </c>
      <c r="E367" s="5">
        <f t="shared" si="1"/>
        <v>126677938.3</v>
      </c>
      <c r="F367" s="14" t="s">
        <v>93</v>
      </c>
      <c r="G367" s="14" t="s">
        <v>93</v>
      </c>
      <c r="H367" s="14" t="s">
        <v>20</v>
      </c>
      <c r="I367" s="16"/>
    </row>
    <row r="368" ht="15.75" hidden="1" customHeight="1">
      <c r="A368" s="8">
        <v>46115.0</v>
      </c>
      <c r="B368" s="4" t="s">
        <v>1244</v>
      </c>
      <c r="C368" s="5">
        <v>0.0</v>
      </c>
      <c r="D368" s="5">
        <v>5.0E7</v>
      </c>
      <c r="E368" s="5">
        <f t="shared" si="1"/>
        <v>176677938.3</v>
      </c>
      <c r="F368" s="14" t="s">
        <v>93</v>
      </c>
      <c r="G368" s="14" t="s">
        <v>93</v>
      </c>
      <c r="H368" s="14" t="s">
        <v>20</v>
      </c>
      <c r="I368" s="16"/>
    </row>
    <row r="369" ht="15.75" hidden="1" customHeight="1">
      <c r="A369" s="8">
        <v>46115.0</v>
      </c>
      <c r="B369" s="4" t="s">
        <v>1247</v>
      </c>
      <c r="C369" s="5">
        <v>0.0</v>
      </c>
      <c r="D369" s="5">
        <v>2.1E7</v>
      </c>
      <c r="E369" s="5">
        <f t="shared" si="1"/>
        <v>197677938.3</v>
      </c>
      <c r="F369" s="14" t="s">
        <v>93</v>
      </c>
      <c r="G369" s="14" t="s">
        <v>93</v>
      </c>
      <c r="H369" s="14" t="s">
        <v>20</v>
      </c>
      <c r="I369" s="16"/>
    </row>
    <row r="370" ht="15.75" hidden="1" customHeight="1">
      <c r="A370" s="8">
        <v>46115.0</v>
      </c>
      <c r="B370" s="4" t="s">
        <v>1247</v>
      </c>
      <c r="C370" s="5">
        <v>0.0</v>
      </c>
      <c r="D370" s="5">
        <v>1000000.0</v>
      </c>
      <c r="E370" s="5">
        <f t="shared" si="1"/>
        <v>198677938.3</v>
      </c>
      <c r="F370" s="14" t="s">
        <v>93</v>
      </c>
      <c r="G370" s="14" t="s">
        <v>93</v>
      </c>
      <c r="H370" s="14" t="s">
        <v>20</v>
      </c>
      <c r="I370" s="16"/>
    </row>
    <row r="371" ht="15.75" hidden="1" customHeight="1">
      <c r="A371" s="8">
        <v>46115.0</v>
      </c>
      <c r="B371" s="14" t="s">
        <v>1251</v>
      </c>
      <c r="C371" s="5">
        <v>1.97464448E8</v>
      </c>
      <c r="D371" s="5">
        <v>0.0</v>
      </c>
      <c r="E371" s="5">
        <f t="shared" si="1"/>
        <v>1213490.25</v>
      </c>
      <c r="F371" s="14" t="s">
        <v>21</v>
      </c>
      <c r="G371" s="14" t="s">
        <v>448</v>
      </c>
      <c r="H371" s="14" t="s">
        <v>38</v>
      </c>
      <c r="I371" s="16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hidden="1" customHeight="1">
      <c r="A372" s="8">
        <v>46115.0</v>
      </c>
      <c r="B372" s="4" t="s">
        <v>1253</v>
      </c>
      <c r="C372" s="5">
        <v>2500.0</v>
      </c>
      <c r="D372" s="5">
        <v>0.0</v>
      </c>
      <c r="E372" s="5">
        <f t="shared" si="1"/>
        <v>1210990.25</v>
      </c>
      <c r="F372" s="14" t="s">
        <v>43</v>
      </c>
      <c r="G372" s="14" t="s">
        <v>45</v>
      </c>
      <c r="H372" s="14"/>
      <c r="I372" s="16"/>
    </row>
    <row r="373" ht="15.75" hidden="1" customHeight="1">
      <c r="A373" s="8">
        <v>46119.0</v>
      </c>
      <c r="B373" s="4" t="s">
        <v>1254</v>
      </c>
      <c r="C373" s="5">
        <v>0.0</v>
      </c>
      <c r="D373" s="5">
        <v>2.5E8</v>
      </c>
      <c r="E373" s="5">
        <f t="shared" si="1"/>
        <v>251210990.3</v>
      </c>
      <c r="F373" s="14" t="s">
        <v>93</v>
      </c>
      <c r="G373" s="14" t="s">
        <v>93</v>
      </c>
      <c r="H373" s="14" t="s">
        <v>20</v>
      </c>
      <c r="I373" s="16"/>
    </row>
    <row r="374" ht="15.75" hidden="1" customHeight="1">
      <c r="A374" s="8">
        <v>46119.0</v>
      </c>
      <c r="B374" s="4" t="s">
        <v>1255</v>
      </c>
      <c r="C374" s="5">
        <v>0.0</v>
      </c>
      <c r="D374" s="5">
        <v>2.5E8</v>
      </c>
      <c r="E374" s="5">
        <f t="shared" si="1"/>
        <v>501210990.3</v>
      </c>
      <c r="F374" s="14" t="s">
        <v>21</v>
      </c>
      <c r="G374" s="14" t="s">
        <v>187</v>
      </c>
      <c r="H374" s="14"/>
      <c r="I374" s="16"/>
    </row>
    <row r="375" ht="15.75" hidden="1" customHeight="1">
      <c r="A375" s="8">
        <v>46119.0</v>
      </c>
      <c r="B375" s="4" t="s">
        <v>1259</v>
      </c>
      <c r="C375" s="5">
        <v>0.0</v>
      </c>
      <c r="D375" s="5">
        <v>2.5E8</v>
      </c>
      <c r="E375" s="5">
        <f t="shared" si="1"/>
        <v>751210990.3</v>
      </c>
      <c r="F375" s="14" t="s">
        <v>21</v>
      </c>
      <c r="G375" s="14" t="s">
        <v>187</v>
      </c>
      <c r="H375" s="14"/>
      <c r="I375" s="16"/>
    </row>
    <row r="376" ht="15.75" hidden="1" customHeight="1">
      <c r="A376" s="8">
        <v>46119.0</v>
      </c>
      <c r="B376" s="14" t="s">
        <v>1261</v>
      </c>
      <c r="C376" s="5">
        <v>227000.0</v>
      </c>
      <c r="D376" s="5">
        <v>0.0</v>
      </c>
      <c r="E376" s="5">
        <f t="shared" si="1"/>
        <v>750983990.3</v>
      </c>
      <c r="F376" s="14" t="s">
        <v>93</v>
      </c>
      <c r="G376" s="14" t="s">
        <v>93</v>
      </c>
      <c r="H376" s="14" t="s">
        <v>191</v>
      </c>
      <c r="I376" s="16" t="s">
        <v>953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hidden="1" customHeight="1">
      <c r="A377" s="8">
        <v>46119.0</v>
      </c>
      <c r="B377" s="14" t="s">
        <v>1261</v>
      </c>
      <c r="C377" s="5">
        <v>185000.0</v>
      </c>
      <c r="D377" s="5">
        <v>0.0</v>
      </c>
      <c r="E377" s="5">
        <f t="shared" si="1"/>
        <v>750798990.3</v>
      </c>
      <c r="F377" s="14" t="s">
        <v>21</v>
      </c>
      <c r="G377" s="14" t="s">
        <v>190</v>
      </c>
      <c r="H377" s="16" t="s">
        <v>191</v>
      </c>
      <c r="I377" s="16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hidden="1" customHeight="1">
      <c r="A378" s="8">
        <v>46119.0</v>
      </c>
      <c r="B378" s="14" t="s">
        <v>1261</v>
      </c>
      <c r="C378" s="5">
        <v>265600.0</v>
      </c>
      <c r="D378" s="5">
        <v>0.0</v>
      </c>
      <c r="E378" s="5">
        <f t="shared" si="1"/>
        <v>750533390.3</v>
      </c>
      <c r="F378" s="14" t="s">
        <v>21</v>
      </c>
      <c r="G378" s="14" t="s">
        <v>190</v>
      </c>
      <c r="H378" s="16" t="s">
        <v>191</v>
      </c>
      <c r="I378" s="16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hidden="1" customHeight="1">
      <c r="A379" s="8">
        <v>46119.0</v>
      </c>
      <c r="B379" s="14" t="s">
        <v>1261</v>
      </c>
      <c r="C379" s="5">
        <v>655000.0</v>
      </c>
      <c r="D379" s="5">
        <v>0.0</v>
      </c>
      <c r="E379" s="5">
        <f t="shared" si="1"/>
        <v>749878390.3</v>
      </c>
      <c r="F379" s="14" t="s">
        <v>93</v>
      </c>
      <c r="G379" s="14" t="s">
        <v>93</v>
      </c>
      <c r="H379" s="16" t="s">
        <v>191</v>
      </c>
      <c r="I379" s="16" t="s">
        <v>953</v>
      </c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hidden="1" customHeight="1">
      <c r="A380" s="8">
        <v>46119.0</v>
      </c>
      <c r="B380" s="14" t="s">
        <v>1261</v>
      </c>
      <c r="C380" s="5">
        <v>216327.0</v>
      </c>
      <c r="D380" s="5">
        <v>0.0</v>
      </c>
      <c r="E380" s="5">
        <f t="shared" si="1"/>
        <v>749662063.3</v>
      </c>
      <c r="F380" s="14" t="s">
        <v>93</v>
      </c>
      <c r="G380" s="14" t="s">
        <v>93</v>
      </c>
      <c r="H380" s="14" t="s">
        <v>191</v>
      </c>
      <c r="I380" s="16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hidden="1" customHeight="1">
      <c r="A381" s="8">
        <v>46119.0</v>
      </c>
      <c r="B381" s="14" t="s">
        <v>1261</v>
      </c>
      <c r="C381" s="5">
        <v>70000.0</v>
      </c>
      <c r="D381" s="5">
        <v>0.0</v>
      </c>
      <c r="E381" s="5">
        <f t="shared" si="1"/>
        <v>749592063.3</v>
      </c>
      <c r="F381" s="15" t="s">
        <v>21</v>
      </c>
      <c r="G381" s="15" t="s">
        <v>190</v>
      </c>
      <c r="H381" s="4" t="s">
        <v>191</v>
      </c>
      <c r="I381" s="4" t="s">
        <v>192</v>
      </c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hidden="1" customHeight="1">
      <c r="A382" s="8">
        <v>46119.0</v>
      </c>
      <c r="B382" s="14" t="s">
        <v>1261</v>
      </c>
      <c r="C382" s="5">
        <v>92000.0</v>
      </c>
      <c r="D382" s="5">
        <v>0.0</v>
      </c>
      <c r="E382" s="5">
        <f t="shared" si="1"/>
        <v>749500063.3</v>
      </c>
      <c r="F382" s="15" t="s">
        <v>21</v>
      </c>
      <c r="G382" s="15" t="s">
        <v>190</v>
      </c>
      <c r="H382" s="4" t="s">
        <v>191</v>
      </c>
      <c r="I382" s="4" t="s">
        <v>254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hidden="1" customHeight="1">
      <c r="A383" s="8">
        <v>46119.0</v>
      </c>
      <c r="B383" s="14" t="s">
        <v>1261</v>
      </c>
      <c r="C383" s="5">
        <f>1724441-C376-C377-C378-C379-C380-C381-C382</f>
        <v>13514</v>
      </c>
      <c r="D383" s="5">
        <v>0.0</v>
      </c>
      <c r="E383" s="5">
        <f t="shared" si="1"/>
        <v>749486549.3</v>
      </c>
      <c r="F383" s="15" t="s">
        <v>21</v>
      </c>
      <c r="G383" s="15" t="s">
        <v>190</v>
      </c>
      <c r="H383" s="4" t="s">
        <v>191</v>
      </c>
      <c r="I383" s="4" t="s">
        <v>401</v>
      </c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hidden="1" customHeight="1">
      <c r="A384" s="8">
        <v>46119.0</v>
      </c>
      <c r="B384" s="4" t="s">
        <v>1277</v>
      </c>
      <c r="C384" s="5">
        <v>2038750.0</v>
      </c>
      <c r="D384" s="5">
        <v>0.0</v>
      </c>
      <c r="E384" s="5">
        <f t="shared" si="1"/>
        <v>747447799.3</v>
      </c>
      <c r="F384" s="14" t="s">
        <v>50</v>
      </c>
      <c r="G384" s="14" t="s">
        <v>225</v>
      </c>
      <c r="H384" s="14" t="s">
        <v>400</v>
      </c>
      <c r="I384" s="16"/>
    </row>
    <row r="385" ht="15.75" hidden="1" customHeight="1">
      <c r="A385" s="8">
        <v>46119.0</v>
      </c>
      <c r="B385" s="4" t="s">
        <v>1278</v>
      </c>
      <c r="C385" s="5">
        <v>1.0E8</v>
      </c>
      <c r="D385" s="5">
        <v>0.0</v>
      </c>
      <c r="E385" s="5">
        <f t="shared" si="1"/>
        <v>647447799.3</v>
      </c>
      <c r="F385" s="14" t="s">
        <v>21</v>
      </c>
      <c r="G385" s="14" t="s">
        <v>190</v>
      </c>
      <c r="H385" s="14"/>
      <c r="I385" s="16"/>
    </row>
    <row r="386" ht="15.75" hidden="1" customHeight="1">
      <c r="A386" s="8">
        <v>46119.0</v>
      </c>
      <c r="B386" s="20" t="s">
        <v>1283</v>
      </c>
      <c r="C386" s="5">
        <v>2500.0</v>
      </c>
      <c r="D386" s="5">
        <v>0.0</v>
      </c>
      <c r="E386" s="5">
        <f t="shared" si="1"/>
        <v>647445299.3</v>
      </c>
      <c r="F386" s="14" t="s">
        <v>43</v>
      </c>
      <c r="G386" s="14" t="s">
        <v>45</v>
      </c>
      <c r="H386" s="14"/>
      <c r="I386" s="16"/>
    </row>
    <row r="387" ht="15.75" hidden="1" customHeight="1">
      <c r="A387" s="8">
        <v>46119.0</v>
      </c>
      <c r="B387" s="14" t="s">
        <v>1284</v>
      </c>
      <c r="C387" s="5">
        <v>3307943.0</v>
      </c>
      <c r="D387" s="5">
        <v>0.0</v>
      </c>
      <c r="E387" s="5">
        <f t="shared" si="1"/>
        <v>644137356.3</v>
      </c>
      <c r="F387" s="14" t="s">
        <v>21</v>
      </c>
      <c r="G387" s="14" t="s">
        <v>448</v>
      </c>
      <c r="H387" s="14" t="s">
        <v>70</v>
      </c>
      <c r="I387" s="16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hidden="1" customHeight="1">
      <c r="A388" s="8">
        <v>46119.0</v>
      </c>
      <c r="B388" s="4" t="s">
        <v>1285</v>
      </c>
      <c r="C388" s="5">
        <v>2500.0</v>
      </c>
      <c r="D388" s="5">
        <v>0.0</v>
      </c>
      <c r="E388" s="5">
        <f t="shared" si="1"/>
        <v>644134856.3</v>
      </c>
      <c r="F388" s="14" t="s">
        <v>43</v>
      </c>
      <c r="G388" s="14" t="s">
        <v>45</v>
      </c>
      <c r="H388" s="14"/>
      <c r="I388" s="16"/>
    </row>
    <row r="389" ht="15.75" hidden="1" customHeight="1">
      <c r="A389" s="8">
        <v>46119.0</v>
      </c>
      <c r="B389" s="4" t="s">
        <v>1286</v>
      </c>
      <c r="C389" s="5">
        <v>6.073603E7</v>
      </c>
      <c r="D389" s="5">
        <v>0.0</v>
      </c>
      <c r="E389" s="5">
        <f t="shared" si="1"/>
        <v>583398826.3</v>
      </c>
      <c r="F389" s="14" t="s">
        <v>21</v>
      </c>
      <c r="G389" s="14" t="s">
        <v>448</v>
      </c>
      <c r="H389" s="14" t="s">
        <v>170</v>
      </c>
      <c r="I389" s="16"/>
    </row>
    <row r="390" ht="15.75" hidden="1" customHeight="1">
      <c r="A390" s="8">
        <v>46119.0</v>
      </c>
      <c r="B390" s="4" t="s">
        <v>1287</v>
      </c>
      <c r="C390" s="5">
        <v>4.34869E7</v>
      </c>
      <c r="D390" s="5">
        <v>0.0</v>
      </c>
      <c r="E390" s="5">
        <f t="shared" si="1"/>
        <v>539911926.3</v>
      </c>
      <c r="F390" s="14" t="s">
        <v>21</v>
      </c>
      <c r="G390" s="14" t="s">
        <v>448</v>
      </c>
      <c r="H390" s="14" t="s">
        <v>55</v>
      </c>
      <c r="I390" s="16"/>
    </row>
    <row r="391" ht="15.75" hidden="1" customHeight="1">
      <c r="A391" s="8">
        <v>46119.0</v>
      </c>
      <c r="B391" s="4" t="s">
        <v>1289</v>
      </c>
      <c r="C391" s="5">
        <v>2500.0</v>
      </c>
      <c r="D391" s="5">
        <v>0.0</v>
      </c>
      <c r="E391" s="5">
        <f t="shared" si="1"/>
        <v>539909426.3</v>
      </c>
      <c r="F391" s="14" t="s">
        <v>43</v>
      </c>
      <c r="G391" s="14" t="s">
        <v>45</v>
      </c>
      <c r="H391" s="14"/>
      <c r="I391" s="16"/>
    </row>
    <row r="392" ht="15.75" hidden="1" customHeight="1">
      <c r="A392" s="8">
        <v>46119.0</v>
      </c>
      <c r="B392" s="4" t="s">
        <v>1292</v>
      </c>
      <c r="C392" s="5">
        <v>3000000.0</v>
      </c>
      <c r="D392" s="5">
        <v>0.0</v>
      </c>
      <c r="E392" s="5">
        <f t="shared" si="1"/>
        <v>536909426.3</v>
      </c>
      <c r="F392" s="4" t="s">
        <v>58</v>
      </c>
      <c r="G392" s="14" t="s">
        <v>59</v>
      </c>
      <c r="H392" s="4" t="s">
        <v>638</v>
      </c>
      <c r="I392" s="16"/>
    </row>
    <row r="393" ht="15.75" hidden="1" customHeight="1">
      <c r="A393" s="8">
        <v>46119.0</v>
      </c>
      <c r="B393" s="4" t="s">
        <v>1294</v>
      </c>
      <c r="C393" s="5">
        <v>2500.0</v>
      </c>
      <c r="D393" s="5">
        <v>0.0</v>
      </c>
      <c r="E393" s="5">
        <f t="shared" si="1"/>
        <v>536906926.3</v>
      </c>
      <c r="F393" s="14" t="s">
        <v>43</v>
      </c>
      <c r="G393" s="14" t="s">
        <v>45</v>
      </c>
      <c r="H393" s="14"/>
      <c r="I393" s="16"/>
    </row>
    <row r="394" ht="15.75" hidden="1" customHeight="1">
      <c r="A394" s="8">
        <v>46119.0</v>
      </c>
      <c r="B394" s="4" t="s">
        <v>1287</v>
      </c>
      <c r="C394" s="5">
        <v>2.5E8</v>
      </c>
      <c r="D394" s="5">
        <v>0.0</v>
      </c>
      <c r="E394" s="5">
        <f t="shared" si="1"/>
        <v>286906926.3</v>
      </c>
      <c r="F394" s="14" t="s">
        <v>21</v>
      </c>
      <c r="G394" s="14" t="s">
        <v>448</v>
      </c>
      <c r="H394" s="14" t="s">
        <v>55</v>
      </c>
      <c r="I394" s="16"/>
    </row>
    <row r="395" ht="15.75" hidden="1" customHeight="1">
      <c r="A395" s="8">
        <v>46119.0</v>
      </c>
      <c r="B395" s="4" t="s">
        <v>1295</v>
      </c>
      <c r="C395" s="5">
        <v>2500.0</v>
      </c>
      <c r="D395" s="5">
        <v>0.0</v>
      </c>
      <c r="E395" s="5">
        <f t="shared" si="1"/>
        <v>286904426.3</v>
      </c>
      <c r="F395" s="14" t="s">
        <v>43</v>
      </c>
      <c r="G395" s="14" t="s">
        <v>45</v>
      </c>
      <c r="H395" s="14"/>
      <c r="I395" s="16"/>
    </row>
    <row r="396" ht="15.75" hidden="1" customHeight="1">
      <c r="A396" s="8">
        <v>46119.0</v>
      </c>
      <c r="B396" s="4" t="s">
        <v>1296</v>
      </c>
      <c r="C396" s="5">
        <v>5.0E7</v>
      </c>
      <c r="D396" s="5">
        <v>0.0</v>
      </c>
      <c r="E396" s="5">
        <f t="shared" si="1"/>
        <v>236904426.3</v>
      </c>
      <c r="F396" s="14" t="s">
        <v>93</v>
      </c>
      <c r="G396" s="14" t="s">
        <v>93</v>
      </c>
      <c r="H396" s="14" t="s">
        <v>20</v>
      </c>
      <c r="I396" s="16"/>
    </row>
    <row r="397" ht="15.75" hidden="1" customHeight="1">
      <c r="A397" s="8">
        <v>46119.0</v>
      </c>
      <c r="B397" s="4" t="s">
        <v>1298</v>
      </c>
      <c r="C397" s="5">
        <v>2500.0</v>
      </c>
      <c r="D397" s="5">
        <v>0.0</v>
      </c>
      <c r="E397" s="5">
        <f t="shared" si="1"/>
        <v>236901926.3</v>
      </c>
      <c r="F397" s="14" t="s">
        <v>43</v>
      </c>
      <c r="G397" s="14" t="s">
        <v>45</v>
      </c>
      <c r="H397" s="14"/>
      <c r="I397" s="16"/>
    </row>
    <row r="398" ht="15.75" hidden="1" customHeight="1">
      <c r="A398" s="8">
        <v>46119.0</v>
      </c>
      <c r="B398" s="4" t="s">
        <v>1301</v>
      </c>
      <c r="C398" s="5">
        <v>1000000.0</v>
      </c>
      <c r="D398" s="5">
        <v>0.0</v>
      </c>
      <c r="E398" s="5">
        <f t="shared" si="1"/>
        <v>235901926.3</v>
      </c>
      <c r="F398" s="14" t="s">
        <v>93</v>
      </c>
      <c r="G398" s="14" t="s">
        <v>93</v>
      </c>
      <c r="H398" s="14" t="s">
        <v>20</v>
      </c>
      <c r="I398" s="16"/>
    </row>
    <row r="399" ht="15.75" hidden="1" customHeight="1">
      <c r="A399" s="8">
        <v>46119.0</v>
      </c>
      <c r="B399" s="4" t="s">
        <v>1301</v>
      </c>
      <c r="C399" s="5">
        <v>2.1E7</v>
      </c>
      <c r="D399" s="5">
        <v>0.0</v>
      </c>
      <c r="E399" s="5">
        <f t="shared" si="1"/>
        <v>214901926.3</v>
      </c>
      <c r="F399" s="14" t="s">
        <v>93</v>
      </c>
      <c r="G399" s="14" t="s">
        <v>93</v>
      </c>
      <c r="H399" s="14" t="s">
        <v>20</v>
      </c>
      <c r="I399" s="16"/>
    </row>
    <row r="400" ht="15.75" hidden="1" customHeight="1">
      <c r="A400" s="8">
        <v>46119.0</v>
      </c>
      <c r="B400" s="4" t="s">
        <v>1296</v>
      </c>
      <c r="C400" s="5">
        <v>5.0E7</v>
      </c>
      <c r="D400" s="5">
        <v>0.0</v>
      </c>
      <c r="E400" s="5">
        <f t="shared" si="1"/>
        <v>164901926.3</v>
      </c>
      <c r="F400" s="14" t="s">
        <v>93</v>
      </c>
      <c r="G400" s="14" t="s">
        <v>93</v>
      </c>
      <c r="H400" s="14" t="s">
        <v>20</v>
      </c>
      <c r="I400" s="16"/>
    </row>
    <row r="401" ht="15.75" hidden="1" customHeight="1">
      <c r="A401" s="8">
        <v>46119.0</v>
      </c>
      <c r="B401" s="4" t="s">
        <v>1304</v>
      </c>
      <c r="C401" s="5">
        <v>2500.0</v>
      </c>
      <c r="D401" s="5">
        <v>0.0</v>
      </c>
      <c r="E401" s="5">
        <f t="shared" si="1"/>
        <v>164899426.3</v>
      </c>
      <c r="F401" s="14" t="s">
        <v>43</v>
      </c>
      <c r="G401" s="14" t="s">
        <v>45</v>
      </c>
      <c r="H401" s="14"/>
      <c r="I401" s="16"/>
    </row>
    <row r="402" ht="15.75" hidden="1" customHeight="1">
      <c r="A402" s="8">
        <v>46119.0</v>
      </c>
      <c r="B402" s="4" t="s">
        <v>1305</v>
      </c>
      <c r="C402" s="5">
        <v>6300000.0</v>
      </c>
      <c r="D402" s="5">
        <v>0.0</v>
      </c>
      <c r="E402" s="5">
        <f t="shared" si="1"/>
        <v>158599426.3</v>
      </c>
      <c r="F402" s="14" t="s">
        <v>58</v>
      </c>
      <c r="G402" s="14" t="s">
        <v>59</v>
      </c>
      <c r="H402" s="14" t="s">
        <v>408</v>
      </c>
      <c r="I402" s="16"/>
    </row>
    <row r="403" ht="15.75" hidden="1" customHeight="1">
      <c r="A403" s="8">
        <v>46119.0</v>
      </c>
      <c r="B403" s="4" t="s">
        <v>1307</v>
      </c>
      <c r="C403" s="5">
        <v>2500.0</v>
      </c>
      <c r="D403" s="5">
        <v>0.0</v>
      </c>
      <c r="E403" s="5">
        <f t="shared" si="1"/>
        <v>158596926.3</v>
      </c>
      <c r="F403" s="14" t="s">
        <v>43</v>
      </c>
      <c r="G403" s="14" t="s">
        <v>45</v>
      </c>
      <c r="H403" s="14"/>
      <c r="I403" s="16"/>
    </row>
    <row r="404" ht="15.75" hidden="1" customHeight="1">
      <c r="A404" s="8">
        <v>46121.0</v>
      </c>
      <c r="B404" s="14" t="s">
        <v>1309</v>
      </c>
      <c r="C404" s="5">
        <v>0.0</v>
      </c>
      <c r="D404" s="5">
        <v>1.433859E8</v>
      </c>
      <c r="E404" s="5">
        <f t="shared" si="1"/>
        <v>301982826.3</v>
      </c>
      <c r="F404" s="14" t="s">
        <v>75</v>
      </c>
      <c r="G404" s="14" t="s">
        <v>76</v>
      </c>
      <c r="H404" s="14" t="s">
        <v>111</v>
      </c>
      <c r="I404" s="16" t="s">
        <v>1310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hidden="1" customHeight="1">
      <c r="A405" s="8">
        <v>46121.0</v>
      </c>
      <c r="B405" s="4" t="s">
        <v>1311</v>
      </c>
      <c r="C405" s="5">
        <v>0.0</v>
      </c>
      <c r="D405" s="5">
        <v>2.69471E7</v>
      </c>
      <c r="E405" s="5">
        <f t="shared" si="1"/>
        <v>328929926.3</v>
      </c>
      <c r="F405" s="14" t="s">
        <v>75</v>
      </c>
      <c r="G405" s="14" t="s">
        <v>76</v>
      </c>
      <c r="H405" s="14" t="s">
        <v>266</v>
      </c>
      <c r="I405" s="16" t="s">
        <v>1313</v>
      </c>
    </row>
    <row r="406" ht="15.75" hidden="1" customHeight="1">
      <c r="A406" s="8">
        <v>46121.0</v>
      </c>
      <c r="B406" s="4" t="s">
        <v>1314</v>
      </c>
      <c r="C406" s="5">
        <v>2738720.0</v>
      </c>
      <c r="D406" s="5">
        <v>0.0</v>
      </c>
      <c r="E406" s="5">
        <f t="shared" si="1"/>
        <v>326191206.3</v>
      </c>
      <c r="F406" s="14" t="s">
        <v>63</v>
      </c>
      <c r="G406" s="14" t="s">
        <v>65</v>
      </c>
      <c r="H406" s="14"/>
      <c r="I406" s="16"/>
    </row>
    <row r="407" ht="15.75" hidden="1" customHeight="1">
      <c r="A407" s="8">
        <v>46121.0</v>
      </c>
      <c r="B407" s="4" t="s">
        <v>1315</v>
      </c>
      <c r="C407" s="5">
        <v>2500.0</v>
      </c>
      <c r="D407" s="5">
        <v>0.0</v>
      </c>
      <c r="E407" s="5">
        <f t="shared" si="1"/>
        <v>326188706.3</v>
      </c>
      <c r="F407" s="14" t="s">
        <v>43</v>
      </c>
      <c r="G407" s="14" t="s">
        <v>45</v>
      </c>
      <c r="H407" s="14"/>
      <c r="I407" s="16"/>
    </row>
    <row r="408" ht="15.75" hidden="1" customHeight="1">
      <c r="A408" s="8">
        <v>46122.0</v>
      </c>
      <c r="B408" s="4" t="s">
        <v>800</v>
      </c>
      <c r="C408" s="5">
        <v>1.0E8</v>
      </c>
      <c r="D408" s="5">
        <v>0.0</v>
      </c>
      <c r="E408" s="5">
        <f t="shared" si="1"/>
        <v>226188706.3</v>
      </c>
      <c r="F408" s="14" t="s">
        <v>21</v>
      </c>
      <c r="G408" s="14" t="s">
        <v>190</v>
      </c>
      <c r="H408" s="14"/>
      <c r="I408" s="16"/>
    </row>
    <row r="409" ht="15.75" hidden="1" customHeight="1">
      <c r="A409" s="8">
        <v>46122.0</v>
      </c>
      <c r="B409" s="4" t="s">
        <v>1317</v>
      </c>
      <c r="C409" s="5">
        <v>2500.0</v>
      </c>
      <c r="D409" s="5">
        <v>0.0</v>
      </c>
      <c r="E409" s="5">
        <f t="shared" si="1"/>
        <v>226186206.3</v>
      </c>
      <c r="F409" s="14" t="s">
        <v>43</v>
      </c>
      <c r="G409" s="14" t="s">
        <v>45</v>
      </c>
      <c r="H409" s="14"/>
      <c r="I409" s="16"/>
    </row>
    <row r="410" ht="15.75" hidden="1" customHeight="1">
      <c r="A410" s="8">
        <v>46125.0</v>
      </c>
      <c r="B410" s="4" t="s">
        <v>800</v>
      </c>
      <c r="C410" s="5">
        <v>2.25E8</v>
      </c>
      <c r="D410" s="5">
        <v>0.0</v>
      </c>
      <c r="E410" s="5">
        <f t="shared" si="1"/>
        <v>1186206.25</v>
      </c>
      <c r="F410" s="14" t="s">
        <v>21</v>
      </c>
      <c r="G410" s="14" t="s">
        <v>190</v>
      </c>
      <c r="H410" s="14"/>
      <c r="I410" s="16"/>
    </row>
    <row r="411" ht="15.75" hidden="1" customHeight="1">
      <c r="A411" s="8">
        <v>46125.0</v>
      </c>
      <c r="B411" s="4" t="s">
        <v>1317</v>
      </c>
      <c r="C411" s="5">
        <v>2500.0</v>
      </c>
      <c r="D411" s="5">
        <v>0.0</v>
      </c>
      <c r="E411" s="5">
        <f t="shared" si="1"/>
        <v>1183706.25</v>
      </c>
      <c r="F411" s="14" t="s">
        <v>43</v>
      </c>
      <c r="G411" s="14" t="s">
        <v>45</v>
      </c>
      <c r="H411" s="14"/>
      <c r="I411" s="16"/>
    </row>
    <row r="412" ht="15.75" hidden="1" customHeight="1">
      <c r="A412" s="8">
        <v>46126.0</v>
      </c>
      <c r="B412" s="4" t="s">
        <v>1320</v>
      </c>
      <c r="C412" s="5">
        <v>0.0</v>
      </c>
      <c r="D412" s="5">
        <v>7732640.0</v>
      </c>
      <c r="E412" s="5">
        <f t="shared" si="1"/>
        <v>8916346.25</v>
      </c>
      <c r="F412" s="14" t="s">
        <v>75</v>
      </c>
      <c r="G412" s="14" t="s">
        <v>76</v>
      </c>
      <c r="H412" s="14" t="s">
        <v>1322</v>
      </c>
      <c r="I412" s="16" t="s">
        <v>1323</v>
      </c>
    </row>
    <row r="413" ht="15.75" hidden="1" customHeight="1">
      <c r="A413" s="8">
        <v>46126.0</v>
      </c>
      <c r="B413" s="4" t="s">
        <v>1325</v>
      </c>
      <c r="C413" s="5">
        <v>0.0</v>
      </c>
      <c r="D413" s="5">
        <v>5.8234328E7</v>
      </c>
      <c r="E413" s="5">
        <f t="shared" si="1"/>
        <v>67150674.25</v>
      </c>
      <c r="F413" s="14" t="s">
        <v>75</v>
      </c>
      <c r="G413" s="14" t="s">
        <v>76</v>
      </c>
      <c r="H413" s="14" t="s">
        <v>1326</v>
      </c>
      <c r="I413" s="18" t="s">
        <v>1327</v>
      </c>
    </row>
    <row r="414" ht="15.75" hidden="1" customHeight="1">
      <c r="A414" s="8">
        <v>46127.0</v>
      </c>
      <c r="B414" s="4" t="s">
        <v>1329</v>
      </c>
      <c r="C414" s="5">
        <v>0.0</v>
      </c>
      <c r="D414" s="5">
        <v>1.95370405E8</v>
      </c>
      <c r="E414" s="5">
        <f t="shared" si="1"/>
        <v>262521079.3</v>
      </c>
      <c r="F414" s="14" t="s">
        <v>24</v>
      </c>
      <c r="G414" s="14" t="s">
        <v>26</v>
      </c>
      <c r="H414" s="16" t="s">
        <v>805</v>
      </c>
      <c r="I414" s="16" t="s">
        <v>1330</v>
      </c>
    </row>
    <row r="415" ht="15.75" hidden="1" customHeight="1">
      <c r="A415" s="8">
        <v>46127.0</v>
      </c>
      <c r="B415" s="4" t="s">
        <v>1329</v>
      </c>
      <c r="C415" s="5">
        <v>0.0</v>
      </c>
      <c r="D415" s="5">
        <f>242155605-D414</f>
        <v>46785200</v>
      </c>
      <c r="E415" s="5">
        <f t="shared" si="1"/>
        <v>309306279.3</v>
      </c>
      <c r="F415" s="14" t="s">
        <v>75</v>
      </c>
      <c r="G415" s="14" t="s">
        <v>76</v>
      </c>
      <c r="H415" s="14" t="s">
        <v>1331</v>
      </c>
      <c r="I415" s="16" t="s">
        <v>1332</v>
      </c>
    </row>
    <row r="416" ht="15.75" hidden="1" customHeight="1">
      <c r="A416" s="8">
        <v>46127.0</v>
      </c>
      <c r="B416" s="4" t="s">
        <v>800</v>
      </c>
      <c r="C416" s="5">
        <v>2.5E8</v>
      </c>
      <c r="D416" s="5">
        <v>0.0</v>
      </c>
      <c r="E416" s="5">
        <f t="shared" si="1"/>
        <v>59306279.25</v>
      </c>
      <c r="F416" s="14" t="s">
        <v>21</v>
      </c>
      <c r="G416" s="14" t="s">
        <v>190</v>
      </c>
      <c r="H416" s="14"/>
      <c r="I416" s="16"/>
    </row>
    <row r="417" ht="15.75" hidden="1" customHeight="1">
      <c r="A417" s="8">
        <v>46127.0</v>
      </c>
      <c r="B417" s="4" t="s">
        <v>1335</v>
      </c>
      <c r="C417" s="5">
        <v>2500.0</v>
      </c>
      <c r="D417" s="5">
        <v>0.0</v>
      </c>
      <c r="E417" s="5">
        <f t="shared" si="1"/>
        <v>59303779.25</v>
      </c>
      <c r="F417" s="14" t="s">
        <v>43</v>
      </c>
      <c r="G417" s="14" t="s">
        <v>45</v>
      </c>
      <c r="H417" s="14"/>
      <c r="I417" s="16"/>
    </row>
    <row r="418" ht="15.75" hidden="1" customHeight="1">
      <c r="A418" s="8">
        <v>46128.0</v>
      </c>
      <c r="B418" s="4" t="s">
        <v>1338</v>
      </c>
      <c r="C418" s="5">
        <v>1000000.0</v>
      </c>
      <c r="D418" s="5">
        <v>0.0</v>
      </c>
      <c r="E418" s="5">
        <f t="shared" si="1"/>
        <v>58303779.25</v>
      </c>
      <c r="F418" s="14" t="s">
        <v>58</v>
      </c>
      <c r="G418" s="14" t="s">
        <v>59</v>
      </c>
      <c r="H418" s="14" t="s">
        <v>458</v>
      </c>
      <c r="I418" s="16"/>
    </row>
    <row r="419" ht="15.75" hidden="1" customHeight="1">
      <c r="A419" s="8">
        <v>46129.0</v>
      </c>
      <c r="B419" s="14" t="s">
        <v>1340</v>
      </c>
      <c r="C419" s="5">
        <v>994000.0</v>
      </c>
      <c r="D419" s="5">
        <v>0.0</v>
      </c>
      <c r="E419" s="5">
        <f t="shared" si="1"/>
        <v>57309779.25</v>
      </c>
      <c r="F419" s="14" t="s">
        <v>93</v>
      </c>
      <c r="G419" s="14" t="s">
        <v>93</v>
      </c>
      <c r="H419" s="14" t="s">
        <v>191</v>
      </c>
      <c r="I419" s="16" t="s">
        <v>953</v>
      </c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hidden="1" customHeight="1">
      <c r="A420" s="8">
        <v>46129.0</v>
      </c>
      <c r="B420" s="14" t="s">
        <v>1340</v>
      </c>
      <c r="C420" s="5">
        <v>70000.0</v>
      </c>
      <c r="D420" s="5">
        <v>0.0</v>
      </c>
      <c r="E420" s="5">
        <f t="shared" si="1"/>
        <v>57239779.25</v>
      </c>
      <c r="F420" s="15" t="s">
        <v>21</v>
      </c>
      <c r="G420" s="15" t="s">
        <v>190</v>
      </c>
      <c r="H420" s="4" t="s">
        <v>191</v>
      </c>
      <c r="I420" s="4" t="s">
        <v>192</v>
      </c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hidden="1" customHeight="1">
      <c r="A421" s="8">
        <v>46129.0</v>
      </c>
      <c r="B421" s="14" t="s">
        <v>1340</v>
      </c>
      <c r="C421" s="5">
        <v>300000.0</v>
      </c>
      <c r="D421" s="5">
        <v>0.0</v>
      </c>
      <c r="E421" s="5">
        <f t="shared" si="1"/>
        <v>56939779.25</v>
      </c>
      <c r="F421" s="15" t="s">
        <v>21</v>
      </c>
      <c r="G421" s="4" t="s">
        <v>190</v>
      </c>
      <c r="H421" s="4" t="s">
        <v>191</v>
      </c>
      <c r="I421" s="16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hidden="1" customHeight="1">
      <c r="A422" s="8">
        <v>46129.0</v>
      </c>
      <c r="B422" s="14" t="s">
        <v>1340</v>
      </c>
      <c r="C422" s="5">
        <v>163200.0</v>
      </c>
      <c r="D422" s="5">
        <v>0.0</v>
      </c>
      <c r="E422" s="5">
        <f t="shared" si="1"/>
        <v>56776579.25</v>
      </c>
      <c r="F422" s="15" t="s">
        <v>21</v>
      </c>
      <c r="G422" s="4" t="s">
        <v>190</v>
      </c>
      <c r="H422" s="16" t="s">
        <v>191</v>
      </c>
      <c r="I422" s="16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hidden="1" customHeight="1">
      <c r="A423" s="8">
        <v>46129.0</v>
      </c>
      <c r="B423" s="14" t="s">
        <v>1340</v>
      </c>
      <c r="C423" s="5">
        <v>70000.0</v>
      </c>
      <c r="D423" s="5">
        <v>0.0</v>
      </c>
      <c r="E423" s="5">
        <f t="shared" si="1"/>
        <v>56706579.25</v>
      </c>
      <c r="F423" s="14" t="s">
        <v>93</v>
      </c>
      <c r="G423" s="14" t="s">
        <v>93</v>
      </c>
      <c r="H423" s="14" t="s">
        <v>191</v>
      </c>
      <c r="I423" s="16" t="s">
        <v>953</v>
      </c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hidden="1" customHeight="1">
      <c r="A424" s="8">
        <v>46129.0</v>
      </c>
      <c r="B424" s="14" t="s">
        <v>1340</v>
      </c>
      <c r="C424" s="5">
        <v>14234.0</v>
      </c>
      <c r="D424" s="5">
        <v>0.0</v>
      </c>
      <c r="E424" s="5">
        <f t="shared" si="1"/>
        <v>56692345.25</v>
      </c>
      <c r="F424" s="15" t="s">
        <v>21</v>
      </c>
      <c r="G424" s="15" t="s">
        <v>190</v>
      </c>
      <c r="H424" s="4" t="s">
        <v>191</v>
      </c>
      <c r="I424" s="4" t="s">
        <v>401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hidden="1" customHeight="1">
      <c r="A425" s="8">
        <v>46129.0</v>
      </c>
      <c r="B425" s="14" t="s">
        <v>1340</v>
      </c>
      <c r="C425" s="5">
        <v>1511940.0</v>
      </c>
      <c r="D425" s="5">
        <v>0.0</v>
      </c>
      <c r="E425" s="5">
        <f t="shared" si="1"/>
        <v>55180405.25</v>
      </c>
      <c r="F425" s="14" t="s">
        <v>93</v>
      </c>
      <c r="G425" s="14" t="s">
        <v>93</v>
      </c>
      <c r="H425" s="16" t="s">
        <v>711</v>
      </c>
      <c r="I425" s="15" t="s">
        <v>1169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hidden="1" customHeight="1">
      <c r="A426" s="8">
        <v>46129.0</v>
      </c>
      <c r="B426" s="14" t="s">
        <v>1340</v>
      </c>
      <c r="C426" s="5">
        <v>56000.0</v>
      </c>
      <c r="D426" s="5">
        <v>0.0</v>
      </c>
      <c r="E426" s="5">
        <f t="shared" si="1"/>
        <v>55124405.25</v>
      </c>
      <c r="F426" s="15" t="s">
        <v>21</v>
      </c>
      <c r="G426" s="4" t="s">
        <v>190</v>
      </c>
      <c r="H426" s="4" t="s">
        <v>191</v>
      </c>
      <c r="I426" s="16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hidden="1" customHeight="1">
      <c r="A427" s="8">
        <v>46129.0</v>
      </c>
      <c r="B427" s="14" t="s">
        <v>1340</v>
      </c>
      <c r="C427" s="5">
        <v>34000.0</v>
      </c>
      <c r="D427" s="5">
        <v>0.0</v>
      </c>
      <c r="E427" s="5">
        <f t="shared" si="1"/>
        <v>55090405.25</v>
      </c>
      <c r="F427" s="14" t="s">
        <v>21</v>
      </c>
      <c r="G427" s="14" t="s">
        <v>190</v>
      </c>
      <c r="H427" s="16" t="s">
        <v>191</v>
      </c>
      <c r="I427" s="16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hidden="1" customHeight="1">
      <c r="A428" s="8">
        <v>46129.0</v>
      </c>
      <c r="B428" s="14" t="s">
        <v>1340</v>
      </c>
      <c r="C428" s="5">
        <v>92000.0</v>
      </c>
      <c r="D428" s="5">
        <v>0.0</v>
      </c>
      <c r="E428" s="5">
        <f t="shared" si="1"/>
        <v>54998405.25</v>
      </c>
      <c r="F428" s="15" t="s">
        <v>21</v>
      </c>
      <c r="G428" s="15" t="s">
        <v>190</v>
      </c>
      <c r="H428" s="4" t="s">
        <v>191</v>
      </c>
      <c r="I428" s="4" t="s">
        <v>254</v>
      </c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hidden="1" customHeight="1">
      <c r="A429" s="8">
        <v>46129.0</v>
      </c>
      <c r="B429" s="14" t="s">
        <v>1340</v>
      </c>
      <c r="C429" s="5">
        <f>5107176-C419-C420-C421-C422-C423-C424-C425-C426-C427-C428</f>
        <v>1801802</v>
      </c>
      <c r="D429" s="5">
        <v>0.0</v>
      </c>
      <c r="E429" s="5">
        <f t="shared" si="1"/>
        <v>53196603.25</v>
      </c>
      <c r="F429" s="14" t="s">
        <v>93</v>
      </c>
      <c r="G429" s="14" t="s">
        <v>93</v>
      </c>
      <c r="H429" s="14" t="s">
        <v>711</v>
      </c>
      <c r="I429" s="16" t="s">
        <v>712</v>
      </c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hidden="1" customHeight="1">
      <c r="A430" s="8">
        <v>46129.0</v>
      </c>
      <c r="B430" s="4" t="s">
        <v>1357</v>
      </c>
      <c r="C430" s="5">
        <f>7167263-C431-C433-C434-C436-C437-C439-C440-C442-C443-C445-C446-C448-C449+D432+D435+D438+D441+D444+D447+D450</f>
        <v>5356300</v>
      </c>
      <c r="D430" s="5">
        <v>0.0</v>
      </c>
      <c r="E430" s="5">
        <f t="shared" si="1"/>
        <v>47840303.25</v>
      </c>
      <c r="F430" s="14" t="s">
        <v>50</v>
      </c>
      <c r="G430" s="14" t="s">
        <v>708</v>
      </c>
      <c r="H430" s="14"/>
      <c r="I430" s="16"/>
    </row>
    <row r="431" ht="15.75" hidden="1" customHeight="1">
      <c r="A431" s="8">
        <v>46129.0</v>
      </c>
      <c r="B431" s="4" t="s">
        <v>1357</v>
      </c>
      <c r="C431" s="5">
        <v>589193.0</v>
      </c>
      <c r="D431" s="5">
        <v>0.0</v>
      </c>
      <c r="E431" s="5">
        <f t="shared" si="1"/>
        <v>47251110.25</v>
      </c>
      <c r="F431" s="4" t="s">
        <v>21</v>
      </c>
      <c r="G431" s="4" t="s">
        <v>448</v>
      </c>
      <c r="H431" s="4" t="s">
        <v>1121</v>
      </c>
    </row>
    <row r="432" ht="15.75" hidden="1" customHeight="1">
      <c r="A432" s="8">
        <v>46129.0</v>
      </c>
      <c r="B432" s="4" t="s">
        <v>1357</v>
      </c>
      <c r="C432" s="5">
        <v>0.0</v>
      </c>
      <c r="D432" s="5">
        <v>535630.0</v>
      </c>
      <c r="E432" s="5">
        <f t="shared" si="1"/>
        <v>47786740.25</v>
      </c>
      <c r="F432" s="14" t="s">
        <v>93</v>
      </c>
      <c r="G432" s="14" t="s">
        <v>93</v>
      </c>
      <c r="H432" s="14" t="s">
        <v>711</v>
      </c>
      <c r="I432" s="15" t="s">
        <v>1169</v>
      </c>
    </row>
    <row r="433" ht="15.75" hidden="1" customHeight="1">
      <c r="A433" s="8">
        <v>46129.0</v>
      </c>
      <c r="B433" s="4" t="s">
        <v>1357</v>
      </c>
      <c r="C433" s="5">
        <v>290000.0</v>
      </c>
      <c r="D433" s="5">
        <v>0.0</v>
      </c>
      <c r="E433" s="5">
        <f t="shared" si="1"/>
        <v>47496740.25</v>
      </c>
      <c r="F433" s="14" t="s">
        <v>50</v>
      </c>
      <c r="G433" s="14" t="s">
        <v>708</v>
      </c>
      <c r="H433" s="14"/>
      <c r="I433" s="16"/>
    </row>
    <row r="434" ht="15.75" hidden="1" customHeight="1">
      <c r="A434" s="8">
        <v>46129.0</v>
      </c>
      <c r="B434" s="4" t="s">
        <v>1357</v>
      </c>
      <c r="C434" s="5">
        <v>31900.0</v>
      </c>
      <c r="D434" s="5">
        <v>0.0</v>
      </c>
      <c r="E434" s="5">
        <f t="shared" si="1"/>
        <v>47464840.25</v>
      </c>
      <c r="F434" s="4" t="s">
        <v>21</v>
      </c>
      <c r="G434" s="4" t="s">
        <v>448</v>
      </c>
      <c r="H434" s="4" t="s">
        <v>1121</v>
      </c>
    </row>
    <row r="435" ht="15.75" hidden="1" customHeight="1">
      <c r="A435" s="8">
        <v>46129.0</v>
      </c>
      <c r="B435" s="4" t="s">
        <v>1357</v>
      </c>
      <c r="C435" s="5">
        <v>0.0</v>
      </c>
      <c r="D435" s="5">
        <v>29000.0</v>
      </c>
      <c r="E435" s="5">
        <f t="shared" si="1"/>
        <v>47493840.25</v>
      </c>
      <c r="F435" s="14" t="s">
        <v>93</v>
      </c>
      <c r="G435" s="14" t="s">
        <v>93</v>
      </c>
      <c r="H435" s="14" t="s">
        <v>711</v>
      </c>
      <c r="I435" s="15" t="s">
        <v>1169</v>
      </c>
    </row>
    <row r="436" ht="15.75" hidden="1" customHeight="1">
      <c r="A436" s="8">
        <v>46129.0</v>
      </c>
      <c r="B436" s="4" t="s">
        <v>1357</v>
      </c>
      <c r="C436" s="5">
        <v>290000.0</v>
      </c>
      <c r="D436" s="5">
        <v>0.0</v>
      </c>
      <c r="E436" s="5">
        <f t="shared" si="1"/>
        <v>47203840.25</v>
      </c>
      <c r="F436" s="14" t="s">
        <v>50</v>
      </c>
      <c r="G436" s="14" t="s">
        <v>708</v>
      </c>
      <c r="H436" s="14"/>
      <c r="I436" s="16"/>
    </row>
    <row r="437" ht="15.75" hidden="1" customHeight="1">
      <c r="A437" s="8">
        <v>46129.0</v>
      </c>
      <c r="B437" s="4" t="s">
        <v>1357</v>
      </c>
      <c r="C437" s="5">
        <v>31900.0</v>
      </c>
      <c r="D437" s="5">
        <v>0.0</v>
      </c>
      <c r="E437" s="5">
        <f t="shared" si="1"/>
        <v>47171940.25</v>
      </c>
      <c r="F437" s="4" t="s">
        <v>21</v>
      </c>
      <c r="G437" s="4" t="s">
        <v>448</v>
      </c>
      <c r="H437" s="4" t="s">
        <v>1121</v>
      </c>
    </row>
    <row r="438" ht="15.75" hidden="1" customHeight="1">
      <c r="A438" s="8">
        <v>46129.0</v>
      </c>
      <c r="B438" s="4" t="s">
        <v>1357</v>
      </c>
      <c r="C438" s="5">
        <v>0.0</v>
      </c>
      <c r="D438" s="5">
        <v>29000.0</v>
      </c>
      <c r="E438" s="5">
        <f t="shared" si="1"/>
        <v>47200940.25</v>
      </c>
      <c r="F438" s="14" t="s">
        <v>93</v>
      </c>
      <c r="G438" s="14" t="s">
        <v>93</v>
      </c>
      <c r="H438" s="14" t="s">
        <v>711</v>
      </c>
      <c r="I438" s="15" t="s">
        <v>1169</v>
      </c>
    </row>
    <row r="439" ht="15.75" hidden="1" customHeight="1">
      <c r="A439" s="8">
        <v>46129.0</v>
      </c>
      <c r="B439" s="4" t="s">
        <v>1357</v>
      </c>
      <c r="C439" s="5">
        <v>290000.0</v>
      </c>
      <c r="D439" s="5">
        <v>0.0</v>
      </c>
      <c r="E439" s="5">
        <f t="shared" si="1"/>
        <v>46910940.25</v>
      </c>
      <c r="F439" s="14" t="s">
        <v>50</v>
      </c>
      <c r="G439" s="14" t="s">
        <v>708</v>
      </c>
      <c r="H439" s="14"/>
      <c r="I439" s="16"/>
    </row>
    <row r="440" ht="15.75" hidden="1" customHeight="1">
      <c r="A440" s="8">
        <v>46129.0</v>
      </c>
      <c r="B440" s="4" t="s">
        <v>1357</v>
      </c>
      <c r="C440" s="5">
        <v>31900.0</v>
      </c>
      <c r="D440" s="5">
        <v>0.0</v>
      </c>
      <c r="E440" s="5">
        <f t="shared" si="1"/>
        <v>46879040.25</v>
      </c>
      <c r="F440" s="4" t="s">
        <v>21</v>
      </c>
      <c r="G440" s="4" t="s">
        <v>448</v>
      </c>
      <c r="H440" s="4" t="s">
        <v>1121</v>
      </c>
    </row>
    <row r="441" ht="15.75" hidden="1" customHeight="1">
      <c r="A441" s="8">
        <v>46129.0</v>
      </c>
      <c r="B441" s="4" t="s">
        <v>1357</v>
      </c>
      <c r="C441" s="5">
        <v>0.0</v>
      </c>
      <c r="D441" s="5">
        <v>29000.0</v>
      </c>
      <c r="E441" s="5">
        <f t="shared" si="1"/>
        <v>46908040.25</v>
      </c>
      <c r="F441" s="14" t="s">
        <v>93</v>
      </c>
      <c r="G441" s="14" t="s">
        <v>93</v>
      </c>
      <c r="H441" s="14" t="s">
        <v>711</v>
      </c>
      <c r="I441" s="15" t="s">
        <v>1169</v>
      </c>
    </row>
    <row r="442" ht="15.75" hidden="1" customHeight="1">
      <c r="A442" s="8">
        <v>46129.0</v>
      </c>
      <c r="B442" s="4" t="s">
        <v>1357</v>
      </c>
      <c r="C442" s="5">
        <v>290000.0</v>
      </c>
      <c r="D442" s="5">
        <v>0.0</v>
      </c>
      <c r="E442" s="5">
        <f t="shared" si="1"/>
        <v>46618040.25</v>
      </c>
      <c r="F442" s="14" t="s">
        <v>50</v>
      </c>
      <c r="G442" s="14" t="s">
        <v>708</v>
      </c>
      <c r="H442" s="14"/>
      <c r="I442" s="16"/>
    </row>
    <row r="443" ht="15.75" hidden="1" customHeight="1">
      <c r="A443" s="8">
        <v>46129.0</v>
      </c>
      <c r="B443" s="4" t="s">
        <v>1357</v>
      </c>
      <c r="C443" s="5">
        <v>31900.0</v>
      </c>
      <c r="D443" s="5">
        <v>0.0</v>
      </c>
      <c r="E443" s="5">
        <f t="shared" si="1"/>
        <v>46586140.25</v>
      </c>
      <c r="F443" s="4" t="s">
        <v>21</v>
      </c>
      <c r="G443" s="4" t="s">
        <v>448</v>
      </c>
      <c r="H443" s="4" t="s">
        <v>1121</v>
      </c>
    </row>
    <row r="444" ht="15.75" hidden="1" customHeight="1">
      <c r="A444" s="8">
        <v>46129.0</v>
      </c>
      <c r="B444" s="4" t="s">
        <v>1357</v>
      </c>
      <c r="C444" s="5">
        <v>0.0</v>
      </c>
      <c r="D444" s="5">
        <v>29000.0</v>
      </c>
      <c r="E444" s="5">
        <f t="shared" si="1"/>
        <v>46615140.25</v>
      </c>
      <c r="F444" s="14" t="s">
        <v>93</v>
      </c>
      <c r="G444" s="14" t="s">
        <v>93</v>
      </c>
      <c r="H444" s="14" t="s">
        <v>711</v>
      </c>
      <c r="I444" s="15" t="s">
        <v>1169</v>
      </c>
    </row>
    <row r="445" ht="15.75" hidden="1" customHeight="1">
      <c r="A445" s="8">
        <v>46129.0</v>
      </c>
      <c r="B445" s="4" t="s">
        <v>1357</v>
      </c>
      <c r="C445" s="5">
        <v>290000.0</v>
      </c>
      <c r="D445" s="5">
        <v>0.0</v>
      </c>
      <c r="E445" s="5">
        <f t="shared" si="1"/>
        <v>46325140.25</v>
      </c>
      <c r="F445" s="14" t="s">
        <v>50</v>
      </c>
      <c r="G445" s="14" t="s">
        <v>708</v>
      </c>
      <c r="H445" s="14"/>
      <c r="I445" s="16"/>
    </row>
    <row r="446" ht="15.75" hidden="1" customHeight="1">
      <c r="A446" s="8">
        <v>46129.0</v>
      </c>
      <c r="B446" s="4" t="s">
        <v>1357</v>
      </c>
      <c r="C446" s="5">
        <v>31900.0</v>
      </c>
      <c r="D446" s="5">
        <v>0.0</v>
      </c>
      <c r="E446" s="5">
        <f t="shared" si="1"/>
        <v>46293240.25</v>
      </c>
      <c r="F446" s="4" t="s">
        <v>21</v>
      </c>
      <c r="G446" s="4" t="s">
        <v>448</v>
      </c>
      <c r="H446" s="4" t="s">
        <v>1121</v>
      </c>
    </row>
    <row r="447" ht="15.75" hidden="1" customHeight="1">
      <c r="A447" s="8">
        <v>46129.0</v>
      </c>
      <c r="B447" s="4" t="s">
        <v>1357</v>
      </c>
      <c r="C447" s="5">
        <v>0.0</v>
      </c>
      <c r="D447" s="5">
        <v>29000.0</v>
      </c>
      <c r="E447" s="5">
        <f t="shared" si="1"/>
        <v>46322240.25</v>
      </c>
      <c r="F447" s="14" t="s">
        <v>93</v>
      </c>
      <c r="G447" s="14" t="s">
        <v>93</v>
      </c>
      <c r="H447" s="14" t="s">
        <v>711</v>
      </c>
      <c r="I447" s="15" t="s">
        <v>1169</v>
      </c>
    </row>
    <row r="448" ht="15.75" hidden="1" customHeight="1">
      <c r="A448" s="8">
        <v>46129.0</v>
      </c>
      <c r="B448" s="4" t="s">
        <v>1357</v>
      </c>
      <c r="C448" s="5">
        <v>290000.0</v>
      </c>
      <c r="D448" s="5">
        <v>0.0</v>
      </c>
      <c r="E448" s="5">
        <f t="shared" si="1"/>
        <v>46032240.25</v>
      </c>
      <c r="F448" s="14" t="s">
        <v>50</v>
      </c>
      <c r="G448" s="14" t="s">
        <v>708</v>
      </c>
      <c r="H448" s="14"/>
      <c r="I448" s="16"/>
    </row>
    <row r="449" ht="15.75" hidden="1" customHeight="1">
      <c r="A449" s="8">
        <v>46129.0</v>
      </c>
      <c r="B449" s="4" t="s">
        <v>1357</v>
      </c>
      <c r="C449" s="5">
        <v>31900.0</v>
      </c>
      <c r="D449" s="5">
        <v>0.0</v>
      </c>
      <c r="E449" s="5">
        <f t="shared" si="1"/>
        <v>46000340.25</v>
      </c>
      <c r="F449" s="4" t="s">
        <v>21</v>
      </c>
      <c r="G449" s="4" t="s">
        <v>448</v>
      </c>
      <c r="H449" s="4" t="s">
        <v>1121</v>
      </c>
    </row>
    <row r="450" ht="15.75" hidden="1" customHeight="1">
      <c r="A450" s="8">
        <v>46129.0</v>
      </c>
      <c r="B450" s="4" t="s">
        <v>1357</v>
      </c>
      <c r="C450" s="5">
        <v>0.0</v>
      </c>
      <c r="D450" s="5">
        <v>29000.0</v>
      </c>
      <c r="E450" s="5">
        <f t="shared" si="1"/>
        <v>46029340.25</v>
      </c>
      <c r="F450" s="14" t="s">
        <v>93</v>
      </c>
      <c r="G450" s="14" t="s">
        <v>93</v>
      </c>
      <c r="H450" s="14" t="s">
        <v>711</v>
      </c>
      <c r="I450" s="15" t="s">
        <v>1169</v>
      </c>
    </row>
    <row r="451" ht="15.75" hidden="1" customHeight="1">
      <c r="A451" s="8">
        <v>46129.0</v>
      </c>
      <c r="B451" s="4" t="s">
        <v>1386</v>
      </c>
      <c r="C451" s="5">
        <v>2500.0</v>
      </c>
      <c r="D451" s="5">
        <v>0.0</v>
      </c>
      <c r="E451" s="5">
        <f t="shared" si="1"/>
        <v>46026840.25</v>
      </c>
      <c r="F451" s="14" t="s">
        <v>43</v>
      </c>
      <c r="G451" s="14" t="s">
        <v>45</v>
      </c>
      <c r="H451" s="14"/>
      <c r="I451" s="16"/>
    </row>
    <row r="452" ht="15.75" hidden="1" customHeight="1">
      <c r="A452" s="8">
        <v>46129.0</v>
      </c>
      <c r="B452" s="4" t="s">
        <v>800</v>
      </c>
      <c r="C452" s="5">
        <v>3.3E7</v>
      </c>
      <c r="D452" s="5">
        <v>0.0</v>
      </c>
      <c r="E452" s="5">
        <f t="shared" si="1"/>
        <v>13026840.25</v>
      </c>
      <c r="F452" s="14" t="s">
        <v>21</v>
      </c>
      <c r="G452" s="14" t="s">
        <v>190</v>
      </c>
      <c r="H452" s="14"/>
      <c r="I452" s="16"/>
    </row>
    <row r="453" ht="15.75" hidden="1" customHeight="1">
      <c r="A453" s="8">
        <v>46129.0</v>
      </c>
      <c r="B453" s="4" t="s">
        <v>1391</v>
      </c>
      <c r="C453" s="5">
        <v>2500.0</v>
      </c>
      <c r="D453" s="5">
        <v>0.0</v>
      </c>
      <c r="E453" s="5">
        <f t="shared" si="1"/>
        <v>13024340.25</v>
      </c>
      <c r="F453" s="14" t="s">
        <v>43</v>
      </c>
      <c r="G453" s="14" t="s">
        <v>45</v>
      </c>
      <c r="H453" s="14"/>
      <c r="I453" s="16"/>
    </row>
    <row r="454" ht="15.75" hidden="1" customHeight="1">
      <c r="A454" s="8">
        <v>46133.0</v>
      </c>
      <c r="B454" s="4" t="s">
        <v>1392</v>
      </c>
      <c r="C454" s="5">
        <f>1960000+D455</f>
        <v>2000000</v>
      </c>
      <c r="D454" s="5">
        <v>0.0</v>
      </c>
      <c r="E454" s="5">
        <f t="shared" si="1"/>
        <v>11024340.25</v>
      </c>
      <c r="F454" s="14" t="s">
        <v>58</v>
      </c>
      <c r="G454" s="14" t="s">
        <v>59</v>
      </c>
      <c r="H454" s="14" t="s">
        <v>111</v>
      </c>
      <c r="I454" s="16"/>
    </row>
    <row r="455" ht="15.75" hidden="1" customHeight="1">
      <c r="A455" s="8">
        <v>46133.0</v>
      </c>
      <c r="B455" s="4" t="s">
        <v>1392</v>
      </c>
      <c r="C455" s="5">
        <v>0.0</v>
      </c>
      <c r="D455" s="5">
        <v>40000.0</v>
      </c>
      <c r="E455" s="5">
        <f t="shared" si="1"/>
        <v>11064340.25</v>
      </c>
      <c r="F455" s="14" t="s">
        <v>93</v>
      </c>
      <c r="G455" s="14" t="s">
        <v>93</v>
      </c>
      <c r="H455" s="14" t="s">
        <v>191</v>
      </c>
      <c r="I455" s="16"/>
    </row>
    <row r="456" ht="15.75" hidden="1" customHeight="1">
      <c r="A456" s="8">
        <v>46133.0</v>
      </c>
      <c r="B456" s="4" t="s">
        <v>1398</v>
      </c>
      <c r="C456" s="5">
        <v>2500.0</v>
      </c>
      <c r="D456" s="5">
        <v>0.0</v>
      </c>
      <c r="E456" s="5">
        <f t="shared" si="1"/>
        <v>11061840.25</v>
      </c>
      <c r="F456" s="14" t="s">
        <v>43</v>
      </c>
      <c r="G456" s="14" t="s">
        <v>45</v>
      </c>
      <c r="H456" s="14"/>
      <c r="I456" s="16"/>
    </row>
    <row r="457" ht="15.75" hidden="1" customHeight="1">
      <c r="A457" s="8">
        <v>46133.0</v>
      </c>
      <c r="B457" s="4" t="s">
        <v>1401</v>
      </c>
      <c r="C457" s="5">
        <v>0.0</v>
      </c>
      <c r="D457" s="5">
        <v>1.15E8</v>
      </c>
      <c r="E457" s="5">
        <f t="shared" si="1"/>
        <v>126061840.3</v>
      </c>
      <c r="F457" s="14" t="s">
        <v>93</v>
      </c>
      <c r="G457" s="14" t="s">
        <v>93</v>
      </c>
      <c r="H457" s="14" t="s">
        <v>134</v>
      </c>
      <c r="I457" s="16"/>
    </row>
    <row r="458" ht="15.75" hidden="1" customHeight="1">
      <c r="A458" s="8">
        <v>46133.0</v>
      </c>
      <c r="B458" s="4" t="s">
        <v>1404</v>
      </c>
      <c r="C458" s="5">
        <v>4.0E7</v>
      </c>
      <c r="D458" s="5">
        <v>0.0</v>
      </c>
      <c r="E458" s="5">
        <f t="shared" si="1"/>
        <v>86061840.25</v>
      </c>
      <c r="F458" s="14" t="s">
        <v>58</v>
      </c>
      <c r="G458" s="14" t="s">
        <v>59</v>
      </c>
      <c r="H458" s="14" t="s">
        <v>111</v>
      </c>
      <c r="I458" s="16"/>
    </row>
    <row r="459" ht="15.75" hidden="1" customHeight="1">
      <c r="A459" s="8">
        <v>46133.0</v>
      </c>
      <c r="B459" s="4" t="s">
        <v>1408</v>
      </c>
      <c r="C459" s="5">
        <v>4.750092E7</v>
      </c>
      <c r="D459" s="5">
        <v>0.0</v>
      </c>
      <c r="E459" s="5">
        <f t="shared" si="1"/>
        <v>38560920.25</v>
      </c>
      <c r="F459" s="14" t="s">
        <v>58</v>
      </c>
      <c r="G459" s="14" t="s">
        <v>59</v>
      </c>
      <c r="H459" s="14" t="s">
        <v>111</v>
      </c>
      <c r="I459" s="16"/>
    </row>
    <row r="460" ht="15.75" hidden="1" customHeight="1">
      <c r="A460" s="8">
        <v>46133.0</v>
      </c>
      <c r="B460" s="4" t="s">
        <v>1410</v>
      </c>
      <c r="C460" s="5">
        <v>2500.0</v>
      </c>
      <c r="D460" s="5">
        <v>0.0</v>
      </c>
      <c r="E460" s="5">
        <f t="shared" si="1"/>
        <v>38558420.25</v>
      </c>
      <c r="F460" s="14" t="s">
        <v>43</v>
      </c>
      <c r="G460" s="14" t="s">
        <v>45</v>
      </c>
      <c r="H460" s="14"/>
      <c r="I460" s="16"/>
    </row>
    <row r="461" ht="15.75" hidden="1" customHeight="1">
      <c r="A461" s="8">
        <v>46133.0</v>
      </c>
      <c r="B461" s="4" t="s">
        <v>1412</v>
      </c>
      <c r="C461" s="5">
        <v>2.0E7</v>
      </c>
      <c r="D461" s="5">
        <v>0.0</v>
      </c>
      <c r="E461" s="5">
        <f t="shared" si="1"/>
        <v>18558420.25</v>
      </c>
      <c r="F461" s="14" t="s">
        <v>58</v>
      </c>
      <c r="G461" s="14" t="s">
        <v>59</v>
      </c>
      <c r="H461" s="14" t="s">
        <v>111</v>
      </c>
      <c r="I461" s="16"/>
    </row>
    <row r="462" ht="15.75" hidden="1" customHeight="1">
      <c r="A462" s="8">
        <v>46133.0</v>
      </c>
      <c r="B462" s="4" t="s">
        <v>1414</v>
      </c>
      <c r="C462" s="5">
        <v>2500.0</v>
      </c>
      <c r="D462" s="5">
        <v>0.0</v>
      </c>
      <c r="E462" s="5">
        <f t="shared" si="1"/>
        <v>18555920.25</v>
      </c>
      <c r="F462" s="14" t="s">
        <v>43</v>
      </c>
      <c r="G462" s="14" t="s">
        <v>45</v>
      </c>
      <c r="H462" s="14"/>
      <c r="I462" s="16"/>
    </row>
    <row r="463" ht="15.75" hidden="1" customHeight="1">
      <c r="A463" s="8">
        <v>46133.0</v>
      </c>
      <c r="B463" s="4" t="s">
        <v>1416</v>
      </c>
      <c r="C463" s="5">
        <v>1.639E7</v>
      </c>
      <c r="D463" s="5">
        <v>0.0</v>
      </c>
      <c r="E463" s="5">
        <f t="shared" si="1"/>
        <v>2165920.25</v>
      </c>
      <c r="F463" s="14" t="s">
        <v>58</v>
      </c>
      <c r="G463" s="14" t="s">
        <v>59</v>
      </c>
      <c r="H463" s="4" t="s">
        <v>476</v>
      </c>
      <c r="I463" s="16"/>
    </row>
    <row r="464" ht="15.75" hidden="1" customHeight="1">
      <c r="A464" s="8">
        <v>46133.0</v>
      </c>
      <c r="B464" s="4" t="s">
        <v>1417</v>
      </c>
      <c r="C464" s="5">
        <v>2500.0</v>
      </c>
      <c r="D464" s="5">
        <v>0.0</v>
      </c>
      <c r="E464" s="5">
        <f t="shared" si="1"/>
        <v>2163420.25</v>
      </c>
      <c r="F464" s="14" t="s">
        <v>43</v>
      </c>
      <c r="G464" s="14" t="s">
        <v>45</v>
      </c>
      <c r="H464" s="14"/>
      <c r="I464" s="16"/>
    </row>
    <row r="465" ht="15.75" hidden="1" customHeight="1">
      <c r="A465" s="8">
        <v>46135.0</v>
      </c>
      <c r="B465" s="4" t="s">
        <v>1419</v>
      </c>
      <c r="C465" s="5">
        <v>0.0</v>
      </c>
      <c r="D465" s="5">
        <v>4.2261108E7</v>
      </c>
      <c r="E465" s="5">
        <f t="shared" si="1"/>
        <v>44424528.25</v>
      </c>
      <c r="F465" s="14" t="s">
        <v>75</v>
      </c>
      <c r="G465" s="14" t="s">
        <v>76</v>
      </c>
      <c r="H465" s="14" t="s">
        <v>111</v>
      </c>
      <c r="I465" s="16" t="s">
        <v>1420</v>
      </c>
    </row>
    <row r="466" ht="15.75" hidden="1" customHeight="1">
      <c r="A466" s="8">
        <v>46135.0</v>
      </c>
      <c r="B466" s="4" t="s">
        <v>1419</v>
      </c>
      <c r="C466" s="5">
        <v>0.0</v>
      </c>
      <c r="D466" s="5">
        <v>2.2917067004E7</v>
      </c>
      <c r="E466" s="5">
        <f t="shared" si="1"/>
        <v>67341595.25</v>
      </c>
      <c r="F466" s="14" t="s">
        <v>75</v>
      </c>
      <c r="G466" s="14" t="s">
        <v>76</v>
      </c>
      <c r="H466" s="14" t="s">
        <v>111</v>
      </c>
      <c r="I466" s="16" t="s">
        <v>1422</v>
      </c>
    </row>
    <row r="467" ht="15.75" hidden="1" customHeight="1">
      <c r="A467" s="8">
        <v>46135.0</v>
      </c>
      <c r="B467" s="4" t="s">
        <v>1419</v>
      </c>
      <c r="C467" s="5">
        <v>0.0</v>
      </c>
      <c r="D467" s="5">
        <f>99790709-D465-D466</f>
        <v>34612534</v>
      </c>
      <c r="E467" s="5">
        <f t="shared" si="1"/>
        <v>101954129.3</v>
      </c>
      <c r="F467" s="14" t="s">
        <v>75</v>
      </c>
      <c r="G467" s="14" t="s">
        <v>76</v>
      </c>
      <c r="H467" s="14" t="s">
        <v>111</v>
      </c>
      <c r="I467" s="16" t="s">
        <v>1426</v>
      </c>
    </row>
    <row r="468" ht="15.75" hidden="1" customHeight="1">
      <c r="A468" s="8">
        <v>46136.0</v>
      </c>
      <c r="B468" s="4" t="s">
        <v>1427</v>
      </c>
      <c r="C468" s="5">
        <v>0.0</v>
      </c>
      <c r="D468" s="5">
        <v>2.8E7</v>
      </c>
      <c r="E468" s="5">
        <f t="shared" si="1"/>
        <v>129954129.3</v>
      </c>
      <c r="F468" s="14" t="s">
        <v>93</v>
      </c>
      <c r="G468" s="14" t="s">
        <v>93</v>
      </c>
      <c r="H468" s="14" t="s">
        <v>20</v>
      </c>
      <c r="I468" s="16"/>
    </row>
    <row r="469" ht="15.75" hidden="1" customHeight="1">
      <c r="A469" s="8">
        <v>46136.0</v>
      </c>
      <c r="B469" s="4" t="s">
        <v>1429</v>
      </c>
      <c r="C469" s="5">
        <v>0.0</v>
      </c>
      <c r="D469" s="5">
        <v>4.4E7</v>
      </c>
      <c r="E469" s="5">
        <f t="shared" si="1"/>
        <v>173954129.3</v>
      </c>
      <c r="F469" s="14" t="s">
        <v>93</v>
      </c>
      <c r="G469" s="14" t="s">
        <v>93</v>
      </c>
      <c r="H469" s="14" t="s">
        <v>20</v>
      </c>
      <c r="I469" s="16"/>
    </row>
    <row r="470" ht="15.75" hidden="1" customHeight="1">
      <c r="A470" s="8">
        <v>46136.0</v>
      </c>
      <c r="B470" s="4" t="s">
        <v>1432</v>
      </c>
      <c r="C470" s="5">
        <v>8.586E7</v>
      </c>
      <c r="D470" s="5">
        <v>0.0</v>
      </c>
      <c r="E470" s="5">
        <f t="shared" si="1"/>
        <v>88094129.25</v>
      </c>
      <c r="F470" s="14" t="s">
        <v>58</v>
      </c>
      <c r="G470" s="14" t="s">
        <v>59</v>
      </c>
      <c r="H470" s="14" t="s">
        <v>1250</v>
      </c>
      <c r="I470" s="16"/>
    </row>
    <row r="471" ht="15.75" hidden="1" customHeight="1">
      <c r="A471" s="8">
        <v>46136.0</v>
      </c>
      <c r="B471" s="4" t="s">
        <v>1433</v>
      </c>
      <c r="C471" s="5">
        <v>9444600.0</v>
      </c>
      <c r="D471" s="5">
        <v>0.0</v>
      </c>
      <c r="E471" s="5">
        <f t="shared" si="1"/>
        <v>78649529.25</v>
      </c>
      <c r="F471" s="14" t="s">
        <v>58</v>
      </c>
      <c r="G471" s="14" t="s">
        <v>59</v>
      </c>
      <c r="H471" s="14" t="s">
        <v>677</v>
      </c>
      <c r="I471" s="16"/>
    </row>
    <row r="472" ht="15.75" hidden="1" customHeight="1">
      <c r="A472" s="8">
        <v>46136.0</v>
      </c>
      <c r="B472" s="4" t="s">
        <v>1435</v>
      </c>
      <c r="C472" s="5">
        <v>2400000.0</v>
      </c>
      <c r="D472" s="5">
        <v>0.0</v>
      </c>
      <c r="E472" s="5">
        <f t="shared" si="1"/>
        <v>76249529.25</v>
      </c>
      <c r="F472" s="14" t="s">
        <v>58</v>
      </c>
      <c r="G472" s="14" t="s">
        <v>59</v>
      </c>
      <c r="H472" s="14" t="s">
        <v>1250</v>
      </c>
      <c r="I472" s="16"/>
    </row>
    <row r="473" ht="15.75" hidden="1" customHeight="1">
      <c r="A473" s="8">
        <v>46136.0</v>
      </c>
      <c r="B473" s="4" t="s">
        <v>1437</v>
      </c>
      <c r="C473" s="5">
        <v>5907665.0</v>
      </c>
      <c r="D473" s="5">
        <v>0.0</v>
      </c>
      <c r="E473" s="5">
        <f t="shared" si="1"/>
        <v>70341864.25</v>
      </c>
      <c r="F473" s="14" t="s">
        <v>105</v>
      </c>
      <c r="G473" s="14" t="s">
        <v>674</v>
      </c>
      <c r="H473" s="14" t="s">
        <v>425</v>
      </c>
      <c r="I473" s="16"/>
    </row>
    <row r="474" ht="15.75" hidden="1" customHeight="1">
      <c r="A474" s="8">
        <v>46136.0</v>
      </c>
      <c r="B474" s="4" t="s">
        <v>1438</v>
      </c>
      <c r="C474" s="5">
        <v>1.5868846E7</v>
      </c>
      <c r="D474" s="5">
        <v>0.0</v>
      </c>
      <c r="E474" s="5">
        <f t="shared" si="1"/>
        <v>54473018.25</v>
      </c>
      <c r="F474" s="14" t="s">
        <v>105</v>
      </c>
      <c r="G474" s="14" t="s">
        <v>460</v>
      </c>
      <c r="H474" s="14" t="s">
        <v>425</v>
      </c>
      <c r="I474" s="16"/>
    </row>
    <row r="475" ht="15.75" hidden="1" customHeight="1">
      <c r="A475" s="8">
        <v>46136.0</v>
      </c>
      <c r="B475" s="4" t="s">
        <v>1439</v>
      </c>
      <c r="C475" s="5">
        <v>6200000.0</v>
      </c>
      <c r="D475" s="5">
        <v>0.0</v>
      </c>
      <c r="E475" s="5">
        <f t="shared" si="1"/>
        <v>48273018.25</v>
      </c>
      <c r="F475" s="14" t="s">
        <v>58</v>
      </c>
      <c r="G475" s="14" t="s">
        <v>59</v>
      </c>
      <c r="H475" s="14" t="s">
        <v>677</v>
      </c>
      <c r="I475" s="16"/>
    </row>
    <row r="476" ht="15.75" hidden="1" customHeight="1">
      <c r="A476" s="8">
        <v>46136.0</v>
      </c>
      <c r="B476" s="4" t="s">
        <v>1440</v>
      </c>
      <c r="C476" s="5">
        <v>4.4E7</v>
      </c>
      <c r="D476" s="5">
        <v>0.0</v>
      </c>
      <c r="E476" s="5">
        <f t="shared" si="1"/>
        <v>4273018.25</v>
      </c>
      <c r="F476" s="14" t="s">
        <v>58</v>
      </c>
      <c r="G476" s="14" t="s">
        <v>59</v>
      </c>
      <c r="H476" s="14" t="s">
        <v>677</v>
      </c>
      <c r="I476" s="16"/>
    </row>
    <row r="477" ht="15.75" hidden="1" customHeight="1">
      <c r="A477" s="8">
        <v>46136.0</v>
      </c>
      <c r="B477" s="4" t="s">
        <v>1442</v>
      </c>
      <c r="C477" s="5">
        <v>2500.0</v>
      </c>
      <c r="D477" s="5">
        <v>0.0</v>
      </c>
      <c r="E477" s="5">
        <f t="shared" si="1"/>
        <v>4270518.25</v>
      </c>
      <c r="F477" s="14" t="s">
        <v>43</v>
      </c>
      <c r="G477" s="14" t="s">
        <v>45</v>
      </c>
      <c r="H477" s="14"/>
      <c r="I477" s="16"/>
    </row>
    <row r="478" ht="15.75" hidden="1" customHeight="1">
      <c r="A478" s="8">
        <v>46136.0</v>
      </c>
      <c r="B478" s="4" t="s">
        <v>1444</v>
      </c>
      <c r="C478" s="5">
        <v>3000000.0</v>
      </c>
      <c r="D478" s="5">
        <v>0.0</v>
      </c>
      <c r="E478" s="5">
        <f t="shared" si="1"/>
        <v>1270518.25</v>
      </c>
      <c r="F478" s="14" t="s">
        <v>21</v>
      </c>
      <c r="G478" s="14" t="s">
        <v>190</v>
      </c>
      <c r="H478" s="14"/>
      <c r="I478" s="16"/>
    </row>
    <row r="479" ht="15.75" hidden="1" customHeight="1">
      <c r="A479" s="8">
        <v>46136.0</v>
      </c>
      <c r="B479" s="4" t="s">
        <v>1445</v>
      </c>
      <c r="C479" s="5">
        <v>2500.0</v>
      </c>
      <c r="D479" s="5">
        <v>0.0</v>
      </c>
      <c r="E479" s="5">
        <f t="shared" si="1"/>
        <v>1268018.25</v>
      </c>
      <c r="F479" s="14" t="s">
        <v>43</v>
      </c>
      <c r="G479" s="14" t="s">
        <v>45</v>
      </c>
      <c r="H479" s="14"/>
      <c r="I479" s="16"/>
    </row>
    <row r="480" ht="15.75" hidden="1" customHeight="1">
      <c r="A480" s="8">
        <v>46136.0</v>
      </c>
      <c r="B480" s="4" t="s">
        <v>1446</v>
      </c>
      <c r="C480" s="5">
        <v>0.0</v>
      </c>
      <c r="D480" s="5">
        <v>4.0E7</v>
      </c>
      <c r="E480" s="5">
        <f t="shared" si="1"/>
        <v>41268018.25</v>
      </c>
      <c r="F480" s="14" t="s">
        <v>21</v>
      </c>
      <c r="G480" s="14" t="s">
        <v>842</v>
      </c>
      <c r="H480" s="14"/>
      <c r="I480" s="16"/>
    </row>
    <row r="481" ht="15.75" hidden="1" customHeight="1">
      <c r="A481" s="8">
        <v>46136.0</v>
      </c>
      <c r="B481" s="4" t="s">
        <v>1448</v>
      </c>
      <c r="C481" s="5">
        <v>4.0E7</v>
      </c>
      <c r="D481" s="5">
        <v>0.0</v>
      </c>
      <c r="E481" s="5">
        <f t="shared" si="1"/>
        <v>1268018.25</v>
      </c>
      <c r="F481" s="14" t="s">
        <v>58</v>
      </c>
      <c r="G481" s="14" t="s">
        <v>59</v>
      </c>
      <c r="H481" s="14" t="s">
        <v>111</v>
      </c>
      <c r="I481" s="16"/>
    </row>
    <row r="482" ht="15.75" hidden="1" customHeight="1">
      <c r="A482" s="8">
        <v>46136.0</v>
      </c>
      <c r="B482" s="4" t="s">
        <v>1451</v>
      </c>
      <c r="C482" s="5">
        <v>2500.0</v>
      </c>
      <c r="D482" s="5">
        <v>0.0</v>
      </c>
      <c r="E482" s="5">
        <f t="shared" si="1"/>
        <v>1265518.25</v>
      </c>
      <c r="F482" s="14" t="s">
        <v>43</v>
      </c>
      <c r="G482" s="14" t="s">
        <v>45</v>
      </c>
      <c r="H482" s="14"/>
      <c r="I482" s="16"/>
    </row>
    <row r="483" ht="15.75" hidden="1" customHeight="1">
      <c r="A483" s="8">
        <v>46140.0</v>
      </c>
      <c r="B483" s="4" t="s">
        <v>800</v>
      </c>
      <c r="C483" s="5">
        <v>263018.0</v>
      </c>
      <c r="D483" s="5">
        <v>0.0</v>
      </c>
      <c r="E483" s="5">
        <f t="shared" si="1"/>
        <v>1002500.25</v>
      </c>
      <c r="F483" s="14" t="s">
        <v>21</v>
      </c>
      <c r="G483" s="14" t="s">
        <v>190</v>
      </c>
      <c r="H483" s="14"/>
      <c r="I483" s="16"/>
    </row>
    <row r="484" ht="15.75" hidden="1" customHeight="1">
      <c r="A484" s="8">
        <v>46140.0</v>
      </c>
      <c r="B484" s="4" t="s">
        <v>1456</v>
      </c>
      <c r="C484" s="5">
        <v>2500.0</v>
      </c>
      <c r="D484" s="5">
        <v>0.0</v>
      </c>
      <c r="E484" s="5">
        <f t="shared" si="1"/>
        <v>1000000.25</v>
      </c>
      <c r="F484" s="14" t="s">
        <v>43</v>
      </c>
      <c r="G484" s="14" t="s">
        <v>45</v>
      </c>
      <c r="H484" s="14"/>
      <c r="I484" s="16"/>
    </row>
    <row r="485" ht="15.75" hidden="1" customHeight="1">
      <c r="A485" s="8">
        <v>46141.0</v>
      </c>
      <c r="B485" s="4" t="s">
        <v>1063</v>
      </c>
      <c r="C485" s="5">
        <v>0.0</v>
      </c>
      <c r="D485" s="5">
        <v>4.40025E7</v>
      </c>
      <c r="E485" s="5">
        <f t="shared" si="1"/>
        <v>45002500.25</v>
      </c>
      <c r="F485" s="14" t="s">
        <v>21</v>
      </c>
      <c r="G485" s="14" t="s">
        <v>187</v>
      </c>
      <c r="H485" s="14"/>
      <c r="I485" s="16"/>
    </row>
    <row r="486" ht="15.75" hidden="1" customHeight="1">
      <c r="A486" s="8">
        <v>46141.0</v>
      </c>
      <c r="B486" s="4" t="s">
        <v>1459</v>
      </c>
      <c r="C486" s="5">
        <v>4.4E7</v>
      </c>
      <c r="D486" s="5">
        <v>0.0</v>
      </c>
      <c r="E486" s="5">
        <f t="shared" si="1"/>
        <v>1002500.25</v>
      </c>
      <c r="F486" s="14" t="s">
        <v>93</v>
      </c>
      <c r="G486" s="14" t="s">
        <v>93</v>
      </c>
      <c r="H486" s="14" t="s">
        <v>20</v>
      </c>
      <c r="I486" s="16"/>
    </row>
    <row r="487" ht="15.75" hidden="1" customHeight="1">
      <c r="A487" s="8">
        <v>46141.0</v>
      </c>
      <c r="B487" s="4" t="s">
        <v>1462</v>
      </c>
      <c r="C487" s="5">
        <v>2500.0</v>
      </c>
      <c r="D487" s="5">
        <v>0.0</v>
      </c>
      <c r="E487" s="5">
        <f t="shared" si="1"/>
        <v>1000000.25</v>
      </c>
      <c r="F487" s="14" t="s">
        <v>43</v>
      </c>
      <c r="G487" s="14" t="s">
        <v>45</v>
      </c>
      <c r="H487" s="14"/>
      <c r="I487" s="16"/>
    </row>
    <row r="488" ht="15.75" hidden="1" customHeight="1">
      <c r="A488" s="8">
        <v>46141.0</v>
      </c>
      <c r="B488" s="4" t="s">
        <v>1464</v>
      </c>
      <c r="C488" s="5">
        <v>0.0</v>
      </c>
      <c r="D488" s="5">
        <v>2.5E8</v>
      </c>
      <c r="E488" s="5">
        <f t="shared" si="1"/>
        <v>251000000.3</v>
      </c>
      <c r="F488" s="14" t="s">
        <v>21</v>
      </c>
      <c r="G488" s="14" t="s">
        <v>1411</v>
      </c>
      <c r="H488" s="14"/>
      <c r="I488" s="16"/>
    </row>
    <row r="489" ht="15.75" hidden="1" customHeight="1">
      <c r="A489" s="8">
        <v>46141.0</v>
      </c>
      <c r="B489" s="4" t="s">
        <v>1464</v>
      </c>
      <c r="C489" s="5">
        <v>0.0</v>
      </c>
      <c r="D489" s="5">
        <v>2.7842376E7</v>
      </c>
      <c r="E489" s="5">
        <f t="shared" si="1"/>
        <v>278842376.3</v>
      </c>
      <c r="F489" s="14" t="s">
        <v>21</v>
      </c>
      <c r="G489" s="14" t="s">
        <v>1411</v>
      </c>
      <c r="H489" s="14"/>
      <c r="I489" s="16"/>
    </row>
    <row r="490" ht="15.75" hidden="1" customHeight="1">
      <c r="A490" s="8">
        <v>46141.0</v>
      </c>
      <c r="B490" s="4" t="s">
        <v>1468</v>
      </c>
      <c r="C490" s="5">
        <v>2.5E8</v>
      </c>
      <c r="D490" s="5">
        <v>0.0</v>
      </c>
      <c r="E490" s="5">
        <f t="shared" si="1"/>
        <v>28842376.25</v>
      </c>
      <c r="F490" s="14" t="s">
        <v>93</v>
      </c>
      <c r="G490" s="14" t="s">
        <v>93</v>
      </c>
      <c r="H490" s="14" t="s">
        <v>20</v>
      </c>
      <c r="I490" s="16"/>
    </row>
    <row r="491" ht="15.75" hidden="1" customHeight="1">
      <c r="A491" s="8">
        <v>46141.0</v>
      </c>
      <c r="B491" s="4" t="s">
        <v>1470</v>
      </c>
      <c r="C491" s="5">
        <v>2500.0</v>
      </c>
      <c r="D491" s="5">
        <v>0.0</v>
      </c>
      <c r="E491" s="5">
        <f t="shared" si="1"/>
        <v>28839876.25</v>
      </c>
      <c r="F491" s="14" t="s">
        <v>43</v>
      </c>
      <c r="G491" s="14" t="s">
        <v>45</v>
      </c>
      <c r="H491" s="14"/>
      <c r="I491" s="16"/>
    </row>
    <row r="492" ht="15.75" hidden="1" customHeight="1">
      <c r="A492" s="8">
        <v>46141.0</v>
      </c>
      <c r="B492" s="4" t="s">
        <v>1211</v>
      </c>
      <c r="C492" s="5">
        <v>0.0</v>
      </c>
      <c r="D492" s="5">
        <v>1.85E8</v>
      </c>
      <c r="E492" s="5">
        <f t="shared" si="1"/>
        <v>213839876.3</v>
      </c>
      <c r="F492" s="14" t="s">
        <v>21</v>
      </c>
      <c r="G492" s="14" t="s">
        <v>842</v>
      </c>
      <c r="H492" s="14"/>
      <c r="I492" s="16"/>
    </row>
    <row r="493" ht="15.75" hidden="1" customHeight="1">
      <c r="A493" s="8">
        <v>46141.0</v>
      </c>
      <c r="B493" s="4" t="s">
        <v>1474</v>
      </c>
      <c r="C493" s="5">
        <v>2.1215E8</v>
      </c>
      <c r="D493" s="5">
        <v>0.0</v>
      </c>
      <c r="E493" s="5">
        <f t="shared" si="1"/>
        <v>1689876.25</v>
      </c>
      <c r="F493" s="14" t="s">
        <v>105</v>
      </c>
      <c r="G493" s="14" t="s">
        <v>193</v>
      </c>
      <c r="H493" s="14" t="s">
        <v>425</v>
      </c>
      <c r="I493" s="16"/>
    </row>
    <row r="494" ht="15.75" hidden="1" customHeight="1">
      <c r="A494" s="8">
        <v>46141.0</v>
      </c>
      <c r="B494" s="4" t="s">
        <v>1476</v>
      </c>
      <c r="C494" s="5">
        <v>2500.0</v>
      </c>
      <c r="D494" s="5">
        <v>0.0</v>
      </c>
      <c r="E494" s="5">
        <f t="shared" si="1"/>
        <v>1687376.25</v>
      </c>
      <c r="F494" s="14" t="s">
        <v>43</v>
      </c>
      <c r="G494" s="14" t="s">
        <v>45</v>
      </c>
      <c r="H494" s="14"/>
      <c r="I494" s="16"/>
    </row>
    <row r="495" ht="15.75" hidden="1" customHeight="1">
      <c r="A495" s="8">
        <v>46141.0</v>
      </c>
      <c r="B495" s="4" t="s">
        <v>1211</v>
      </c>
      <c r="C495" s="5">
        <v>0.0</v>
      </c>
      <c r="D495" s="5">
        <v>2.8E7</v>
      </c>
      <c r="E495" s="5">
        <f t="shared" si="1"/>
        <v>29687376.25</v>
      </c>
      <c r="F495" s="14" t="s">
        <v>21</v>
      </c>
      <c r="G495" s="14" t="s">
        <v>842</v>
      </c>
      <c r="H495" s="14"/>
      <c r="I495" s="16"/>
    </row>
    <row r="496" ht="15.75" hidden="1" customHeight="1">
      <c r="A496" s="8">
        <v>46141.0</v>
      </c>
      <c r="B496" s="4" t="s">
        <v>1477</v>
      </c>
      <c r="C496" s="5">
        <v>2.8E7</v>
      </c>
      <c r="D496" s="5">
        <v>0.0</v>
      </c>
      <c r="E496" s="5">
        <f t="shared" si="1"/>
        <v>1687376.25</v>
      </c>
      <c r="F496" s="14" t="s">
        <v>93</v>
      </c>
      <c r="G496" s="14" t="s">
        <v>93</v>
      </c>
      <c r="H496" s="14" t="s">
        <v>20</v>
      </c>
      <c r="I496" s="16"/>
    </row>
    <row r="497" ht="15.75" hidden="1" customHeight="1">
      <c r="A497" s="8">
        <v>46141.0</v>
      </c>
      <c r="B497" s="4" t="s">
        <v>1479</v>
      </c>
      <c r="C497" s="5">
        <v>2500.0</v>
      </c>
      <c r="D497" s="5">
        <v>0.0</v>
      </c>
      <c r="E497" s="5">
        <f t="shared" si="1"/>
        <v>1684876.25</v>
      </c>
      <c r="F497" s="14" t="s">
        <v>43</v>
      </c>
      <c r="G497" s="14" t="s">
        <v>45</v>
      </c>
      <c r="H497" s="14"/>
      <c r="I497" s="16"/>
    </row>
    <row r="498" ht="15.75" hidden="1" customHeight="1">
      <c r="A498" s="8">
        <v>46142.0</v>
      </c>
      <c r="B498" s="4" t="s">
        <v>1480</v>
      </c>
      <c r="C498" s="5">
        <v>0.0</v>
      </c>
      <c r="D498" s="5">
        <v>1.55841027E8</v>
      </c>
      <c r="E498" s="5">
        <f t="shared" si="1"/>
        <v>157525903.3</v>
      </c>
      <c r="F498" s="14" t="s">
        <v>75</v>
      </c>
      <c r="G498" s="14" t="s">
        <v>76</v>
      </c>
      <c r="H498" s="14" t="s">
        <v>1481</v>
      </c>
      <c r="I498" s="16" t="s">
        <v>1482</v>
      </c>
    </row>
    <row r="499" ht="15.75" hidden="1" customHeight="1">
      <c r="A499" s="8">
        <v>46142.0</v>
      </c>
      <c r="B499" s="4" t="s">
        <v>562</v>
      </c>
      <c r="C499" s="5">
        <v>25000.0</v>
      </c>
      <c r="D499" s="5">
        <v>0.0</v>
      </c>
      <c r="E499" s="5">
        <f t="shared" si="1"/>
        <v>157500903.3</v>
      </c>
      <c r="F499" s="14" t="s">
        <v>43</v>
      </c>
      <c r="G499" s="14" t="s">
        <v>45</v>
      </c>
      <c r="H499" s="14"/>
      <c r="I499" s="16"/>
    </row>
    <row r="500" ht="15.75" hidden="1" customHeight="1">
      <c r="A500" s="8">
        <v>46142.0</v>
      </c>
      <c r="B500" s="4" t="s">
        <v>626</v>
      </c>
      <c r="C500" s="5">
        <v>0.0</v>
      </c>
      <c r="D500" s="5">
        <v>10831.48</v>
      </c>
      <c r="E500" s="5">
        <f t="shared" si="1"/>
        <v>157511734.7</v>
      </c>
      <c r="F500" s="14" t="s">
        <v>63</v>
      </c>
      <c r="G500" s="14" t="s">
        <v>65</v>
      </c>
      <c r="H500" s="14"/>
      <c r="I500" s="16"/>
    </row>
    <row r="501" ht="15.75" hidden="1" customHeight="1">
      <c r="A501" s="8">
        <v>46142.0</v>
      </c>
      <c r="B501" s="4" t="s">
        <v>630</v>
      </c>
      <c r="C501" s="5">
        <v>2166.3</v>
      </c>
      <c r="D501" s="5">
        <v>0.0</v>
      </c>
      <c r="E501" s="5">
        <f t="shared" si="1"/>
        <v>157509568.4</v>
      </c>
      <c r="F501" s="14" t="s">
        <v>63</v>
      </c>
      <c r="G501" s="14" t="s">
        <v>65</v>
      </c>
      <c r="H501" s="14"/>
      <c r="I501" s="16"/>
    </row>
    <row r="502" ht="15.75" hidden="1" customHeight="1">
      <c r="A502" s="8">
        <v>46146.0</v>
      </c>
      <c r="B502" s="4" t="s">
        <v>1484</v>
      </c>
      <c r="C502" s="5">
        <v>1.5681071E7</v>
      </c>
      <c r="D502" s="5">
        <v>0.0</v>
      </c>
      <c r="E502" s="5">
        <f t="shared" si="1"/>
        <v>141828497.4</v>
      </c>
      <c r="F502" s="14" t="s">
        <v>93</v>
      </c>
      <c r="G502" s="14" t="s">
        <v>93</v>
      </c>
      <c r="H502" s="14" t="s">
        <v>1486</v>
      </c>
      <c r="I502" s="16"/>
    </row>
    <row r="503" ht="15.75" hidden="1" customHeight="1">
      <c r="A503" s="8">
        <v>46146.0</v>
      </c>
      <c r="B503" s="4" t="s">
        <v>1487</v>
      </c>
      <c r="C503" s="5">
        <v>2500.0</v>
      </c>
      <c r="D503" s="5">
        <v>0.0</v>
      </c>
      <c r="E503" s="5">
        <f t="shared" si="1"/>
        <v>141825997.4</v>
      </c>
      <c r="F503" s="14" t="s">
        <v>43</v>
      </c>
      <c r="G503" s="14" t="s">
        <v>45</v>
      </c>
      <c r="H503" s="14"/>
      <c r="I503" s="16"/>
    </row>
    <row r="504" ht="15.75" hidden="1" customHeight="1">
      <c r="A504" s="8">
        <v>46146.0</v>
      </c>
      <c r="B504" s="4" t="s">
        <v>1489</v>
      </c>
      <c r="C504" s="5">
        <v>5.031885E7</v>
      </c>
      <c r="D504" s="5">
        <v>0.0</v>
      </c>
      <c r="E504" s="5">
        <f t="shared" si="1"/>
        <v>91507147.43</v>
      </c>
      <c r="F504" s="14" t="s">
        <v>18</v>
      </c>
      <c r="G504" s="14" t="s">
        <v>147</v>
      </c>
      <c r="H504" s="14" t="s">
        <v>193</v>
      </c>
      <c r="I504" s="16"/>
    </row>
    <row r="505" ht="15.75" hidden="1" customHeight="1">
      <c r="A505" s="8">
        <v>46147.0</v>
      </c>
      <c r="B505" s="4" t="s">
        <v>1491</v>
      </c>
      <c r="C505" s="5">
        <v>0.0</v>
      </c>
      <c r="D505" s="5">
        <v>1.5681071E7</v>
      </c>
      <c r="E505" s="5">
        <f t="shared" si="1"/>
        <v>107188218.4</v>
      </c>
      <c r="F505" s="14" t="s">
        <v>93</v>
      </c>
      <c r="G505" s="14" t="s">
        <v>93</v>
      </c>
      <c r="H505" s="14" t="s">
        <v>1486</v>
      </c>
      <c r="I505" s="16"/>
    </row>
    <row r="506" ht="15.75" hidden="1" customHeight="1">
      <c r="A506" s="8">
        <v>46147.0</v>
      </c>
      <c r="B506" s="4" t="s">
        <v>1493</v>
      </c>
      <c r="C506" s="5">
        <v>1.05E8</v>
      </c>
      <c r="D506" s="5">
        <v>0.0</v>
      </c>
      <c r="E506" s="5">
        <f t="shared" si="1"/>
        <v>2188218.43</v>
      </c>
      <c r="F506" s="14" t="s">
        <v>21</v>
      </c>
      <c r="G506" s="14" t="s">
        <v>190</v>
      </c>
      <c r="H506" s="14"/>
      <c r="I506" s="16"/>
    </row>
    <row r="507" ht="15.75" hidden="1" customHeight="1">
      <c r="A507" s="8">
        <v>46147.0</v>
      </c>
      <c r="B507" s="4" t="s">
        <v>1495</v>
      </c>
      <c r="C507" s="5">
        <v>2500.0</v>
      </c>
      <c r="D507" s="5">
        <v>0.0</v>
      </c>
      <c r="E507" s="5">
        <f t="shared" si="1"/>
        <v>2185718.43</v>
      </c>
      <c r="F507" s="14" t="s">
        <v>43</v>
      </c>
      <c r="G507" s="14" t="s">
        <v>45</v>
      </c>
      <c r="H507" s="14"/>
      <c r="I507" s="16"/>
    </row>
    <row r="508" ht="15.75" hidden="1" customHeight="1">
      <c r="A508" s="8">
        <v>46148.0</v>
      </c>
      <c r="B508" s="4" t="s">
        <v>1497</v>
      </c>
      <c r="C508" s="5">
        <v>0.0</v>
      </c>
      <c r="D508" s="5">
        <v>1.62029821E8</v>
      </c>
      <c r="E508" s="5">
        <f t="shared" si="1"/>
        <v>164215539.4</v>
      </c>
      <c r="F508" s="14" t="s">
        <v>93</v>
      </c>
      <c r="G508" s="14" t="s">
        <v>93</v>
      </c>
      <c r="H508" s="14" t="s">
        <v>20</v>
      </c>
      <c r="I508" s="16"/>
    </row>
    <row r="509" ht="15.75" hidden="1" customHeight="1">
      <c r="A509" s="8">
        <v>46148.0</v>
      </c>
      <c r="B509" s="4" t="s">
        <v>1499</v>
      </c>
      <c r="C509" s="5">
        <v>1.62029821E8</v>
      </c>
      <c r="D509" s="5">
        <v>0.0</v>
      </c>
      <c r="E509" s="5">
        <f t="shared" si="1"/>
        <v>2185718.43</v>
      </c>
      <c r="F509" s="14" t="s">
        <v>21</v>
      </c>
      <c r="G509" s="14" t="s">
        <v>448</v>
      </c>
      <c r="H509" s="14" t="s">
        <v>70</v>
      </c>
      <c r="I509" s="16"/>
    </row>
    <row r="510" ht="15.75" hidden="1" customHeight="1">
      <c r="A510" s="8">
        <v>46148.0</v>
      </c>
      <c r="B510" s="4" t="s">
        <v>1501</v>
      </c>
      <c r="C510" s="5">
        <v>2500.0</v>
      </c>
      <c r="D510" s="5">
        <v>0.0</v>
      </c>
      <c r="E510" s="5">
        <f t="shared" si="1"/>
        <v>2183218.43</v>
      </c>
      <c r="F510" s="14" t="s">
        <v>43</v>
      </c>
      <c r="G510" s="14" t="s">
        <v>45</v>
      </c>
      <c r="H510" s="14"/>
      <c r="I510" s="16"/>
    </row>
    <row r="511" ht="15.75" hidden="1" customHeight="1">
      <c r="A511" s="8">
        <v>46148.0</v>
      </c>
      <c r="B511" s="4" t="s">
        <v>1502</v>
      </c>
      <c r="C511" s="5">
        <v>0.0</v>
      </c>
      <c r="D511" s="5">
        <v>2.5E8</v>
      </c>
      <c r="E511" s="5">
        <f t="shared" si="1"/>
        <v>252183218.4</v>
      </c>
      <c r="F511" s="14" t="s">
        <v>93</v>
      </c>
      <c r="G511" s="14" t="s">
        <v>93</v>
      </c>
      <c r="H511" s="14" t="s">
        <v>20</v>
      </c>
      <c r="I511" s="16"/>
    </row>
    <row r="512" ht="15.75" hidden="1" customHeight="1">
      <c r="A512" s="8">
        <v>46148.0</v>
      </c>
      <c r="B512" s="4" t="s">
        <v>1504</v>
      </c>
      <c r="C512" s="5">
        <v>0.0</v>
      </c>
      <c r="D512" s="5">
        <v>2.5E8</v>
      </c>
      <c r="E512" s="5">
        <f t="shared" si="1"/>
        <v>502183218.4</v>
      </c>
      <c r="F512" s="14" t="s">
        <v>93</v>
      </c>
      <c r="G512" s="14" t="s">
        <v>93</v>
      </c>
      <c r="H512" s="14" t="s">
        <v>20</v>
      </c>
      <c r="I512" s="16"/>
    </row>
    <row r="513" ht="15.75" hidden="1" customHeight="1">
      <c r="A513" s="8">
        <v>46148.0</v>
      </c>
      <c r="B513" s="4" t="s">
        <v>1506</v>
      </c>
      <c r="C513" s="5">
        <v>2.5E8</v>
      </c>
      <c r="D513" s="5">
        <v>0.0</v>
      </c>
      <c r="E513" s="5">
        <f t="shared" si="1"/>
        <v>252183218.4</v>
      </c>
      <c r="F513" s="14" t="s">
        <v>21</v>
      </c>
      <c r="G513" s="14" t="s">
        <v>448</v>
      </c>
      <c r="H513" s="14" t="s">
        <v>1507</v>
      </c>
      <c r="I513" s="16" t="s">
        <v>451</v>
      </c>
    </row>
    <row r="514" ht="15.75" hidden="1" customHeight="1">
      <c r="A514" s="8">
        <v>46148.0</v>
      </c>
      <c r="B514" s="4" t="s">
        <v>1508</v>
      </c>
      <c r="C514" s="5">
        <v>2500.0</v>
      </c>
      <c r="D514" s="5">
        <v>0.0</v>
      </c>
      <c r="E514" s="5">
        <f t="shared" si="1"/>
        <v>252180718.4</v>
      </c>
      <c r="F514" s="14" t="s">
        <v>43</v>
      </c>
      <c r="G514" s="14" t="s">
        <v>45</v>
      </c>
      <c r="H514" s="14"/>
      <c r="I514" s="16"/>
    </row>
    <row r="515" ht="15.75" hidden="1" customHeight="1">
      <c r="A515" s="8">
        <v>46148.0</v>
      </c>
      <c r="B515" s="4" t="s">
        <v>1510</v>
      </c>
      <c r="C515" s="5">
        <v>2.5E8</v>
      </c>
      <c r="D515" s="5">
        <v>0.0</v>
      </c>
      <c r="E515" s="5">
        <f t="shared" si="1"/>
        <v>2180718.43</v>
      </c>
      <c r="F515" s="14" t="s">
        <v>21</v>
      </c>
      <c r="G515" s="14" t="s">
        <v>448</v>
      </c>
      <c r="H515" s="14" t="s">
        <v>1511</v>
      </c>
      <c r="I515" s="16" t="s">
        <v>451</v>
      </c>
    </row>
    <row r="516" ht="15.75" hidden="1" customHeight="1">
      <c r="A516" s="8">
        <v>46148.0</v>
      </c>
      <c r="B516" s="4" t="s">
        <v>1513</v>
      </c>
      <c r="C516" s="5">
        <v>2500.0</v>
      </c>
      <c r="D516" s="5">
        <v>0.0</v>
      </c>
      <c r="E516" s="5">
        <f t="shared" si="1"/>
        <v>2178218.43</v>
      </c>
      <c r="F516" s="14" t="s">
        <v>43</v>
      </c>
      <c r="G516" s="14" t="s">
        <v>45</v>
      </c>
      <c r="H516" s="14"/>
      <c r="I516" s="16"/>
    </row>
    <row r="517" ht="15.75" hidden="1" customHeight="1">
      <c r="A517" s="8">
        <v>46148.0</v>
      </c>
      <c r="B517" s="4" t="s">
        <v>1514</v>
      </c>
      <c r="C517" s="5">
        <v>0.0</v>
      </c>
      <c r="D517" s="5">
        <v>2.5E8</v>
      </c>
      <c r="E517" s="5">
        <f t="shared" si="1"/>
        <v>252178218.4</v>
      </c>
      <c r="F517" s="14" t="s">
        <v>93</v>
      </c>
      <c r="G517" s="14" t="s">
        <v>93</v>
      </c>
      <c r="H517" s="14" t="s">
        <v>20</v>
      </c>
      <c r="I517" s="16"/>
    </row>
    <row r="518" ht="15.75" hidden="1" customHeight="1">
      <c r="A518" s="8">
        <v>46148.0</v>
      </c>
      <c r="B518" s="4" t="s">
        <v>1514</v>
      </c>
      <c r="C518" s="5">
        <v>0.0</v>
      </c>
      <c r="D518" s="5">
        <v>5.0E7</v>
      </c>
      <c r="E518" s="5">
        <f t="shared" si="1"/>
        <v>302178218.4</v>
      </c>
      <c r="F518" s="14" t="s">
        <v>93</v>
      </c>
      <c r="G518" s="14" t="s">
        <v>93</v>
      </c>
      <c r="H518" s="14" t="s">
        <v>20</v>
      </c>
      <c r="I518" s="16"/>
    </row>
    <row r="519" ht="15.75" hidden="1" customHeight="1">
      <c r="A519" s="8">
        <v>46148.0</v>
      </c>
      <c r="B519" s="4" t="s">
        <v>1515</v>
      </c>
      <c r="C519" s="5">
        <v>3.0E8</v>
      </c>
      <c r="D519" s="5">
        <v>0.0</v>
      </c>
      <c r="E519" s="5">
        <f t="shared" si="1"/>
        <v>2178218.43</v>
      </c>
      <c r="F519" s="14" t="s">
        <v>21</v>
      </c>
      <c r="G519" s="14" t="s">
        <v>448</v>
      </c>
      <c r="H519" s="14" t="s">
        <v>1516</v>
      </c>
      <c r="I519" s="16" t="s">
        <v>658</v>
      </c>
    </row>
    <row r="520" ht="15.75" hidden="1" customHeight="1">
      <c r="A520" s="8">
        <v>46149.0</v>
      </c>
      <c r="B520" s="4" t="s">
        <v>1517</v>
      </c>
      <c r="C520" s="5">
        <v>0.0</v>
      </c>
      <c r="D520" s="5">
        <v>6.7432277E7</v>
      </c>
      <c r="E520" s="5">
        <f t="shared" si="1"/>
        <v>69610495.43</v>
      </c>
      <c r="F520" s="4" t="s">
        <v>21</v>
      </c>
      <c r="G520" s="4" t="s">
        <v>187</v>
      </c>
      <c r="H520" s="14"/>
      <c r="I520" s="16"/>
    </row>
    <row r="521" ht="15.75" hidden="1" customHeight="1">
      <c r="A521" s="8">
        <v>46149.0</v>
      </c>
      <c r="B521" s="4" t="s">
        <v>1519</v>
      </c>
      <c r="C521" s="5">
        <v>5.0E7</v>
      </c>
      <c r="D521" s="5">
        <v>0.0</v>
      </c>
      <c r="E521" s="5">
        <f t="shared" si="1"/>
        <v>19610495.43</v>
      </c>
      <c r="F521" s="14" t="s">
        <v>93</v>
      </c>
      <c r="G521" s="14" t="s">
        <v>93</v>
      </c>
      <c r="H521" s="14" t="s">
        <v>20</v>
      </c>
      <c r="I521" s="16"/>
    </row>
    <row r="522" ht="15.75" hidden="1" customHeight="1">
      <c r="A522" s="8">
        <v>46149.0</v>
      </c>
      <c r="B522" s="4" t="s">
        <v>1520</v>
      </c>
      <c r="C522" s="5">
        <v>2500.0</v>
      </c>
      <c r="D522" s="5">
        <v>0.0</v>
      </c>
      <c r="E522" s="5">
        <f t="shared" si="1"/>
        <v>19607995.43</v>
      </c>
      <c r="F522" s="14" t="s">
        <v>43</v>
      </c>
      <c r="G522" s="14" t="s">
        <v>45</v>
      </c>
      <c r="H522" s="14"/>
      <c r="I522" s="16"/>
    </row>
    <row r="523" ht="15.75" hidden="1" customHeight="1">
      <c r="A523" s="8">
        <v>46149.0</v>
      </c>
      <c r="B523" s="4" t="s">
        <v>1522</v>
      </c>
      <c r="C523" s="5">
        <v>155814.0</v>
      </c>
      <c r="D523" s="5">
        <v>0.0</v>
      </c>
      <c r="E523" s="5">
        <f t="shared" si="1"/>
        <v>19452181.43</v>
      </c>
      <c r="F523" s="14" t="s">
        <v>18</v>
      </c>
      <c r="G523" s="14" t="s">
        <v>147</v>
      </c>
      <c r="H523" s="14" t="s">
        <v>124</v>
      </c>
      <c r="I523" s="16"/>
    </row>
    <row r="524" ht="15.75" hidden="1" customHeight="1">
      <c r="A524" s="8">
        <v>46149.0</v>
      </c>
      <c r="B524" s="4" t="s">
        <v>1523</v>
      </c>
      <c r="C524" s="5">
        <v>1.5681071E7</v>
      </c>
      <c r="D524" s="5">
        <v>0.0</v>
      </c>
      <c r="E524" s="5">
        <f t="shared" si="1"/>
        <v>3771110.43</v>
      </c>
      <c r="F524" s="14" t="s">
        <v>21</v>
      </c>
      <c r="G524" s="14" t="s">
        <v>448</v>
      </c>
      <c r="H524" s="14" t="s">
        <v>38</v>
      </c>
      <c r="I524" s="16"/>
    </row>
    <row r="525" ht="15.75" hidden="1" customHeight="1">
      <c r="A525" s="8">
        <v>46149.0</v>
      </c>
      <c r="B525" s="4" t="s">
        <v>1524</v>
      </c>
      <c r="C525" s="5">
        <v>0.0</v>
      </c>
      <c r="D525" s="5">
        <v>3.85906741E8</v>
      </c>
      <c r="E525" s="5">
        <f t="shared" si="1"/>
        <v>389677851.4</v>
      </c>
      <c r="F525" s="14" t="s">
        <v>75</v>
      </c>
      <c r="G525" s="14" t="s">
        <v>76</v>
      </c>
      <c r="H525" s="14" t="s">
        <v>111</v>
      </c>
      <c r="I525" s="16" t="s">
        <v>1525</v>
      </c>
    </row>
    <row r="526" ht="15.75" hidden="1" customHeight="1">
      <c r="A526" s="8">
        <v>46149.0</v>
      </c>
      <c r="B526" s="4" t="s">
        <v>1524</v>
      </c>
      <c r="C526" s="5">
        <v>0.0</v>
      </c>
      <c r="D526" s="5">
        <v>2.7510274E7</v>
      </c>
      <c r="E526" s="5">
        <f t="shared" si="1"/>
        <v>417188125.4</v>
      </c>
      <c r="F526" s="14" t="s">
        <v>75</v>
      </c>
      <c r="G526" s="14" t="s">
        <v>76</v>
      </c>
      <c r="H526" s="14" t="s">
        <v>111</v>
      </c>
      <c r="I526" s="16" t="s">
        <v>1526</v>
      </c>
    </row>
    <row r="527" ht="15.75" hidden="1" customHeight="1">
      <c r="A527" s="8">
        <v>46149.0</v>
      </c>
      <c r="B527" s="4" t="s">
        <v>1524</v>
      </c>
      <c r="C527" s="5">
        <v>0.0</v>
      </c>
      <c r="D527" s="5">
        <v>1.5991783E7</v>
      </c>
      <c r="E527" s="5">
        <f t="shared" si="1"/>
        <v>433179908.4</v>
      </c>
      <c r="F527" s="14" t="s">
        <v>75</v>
      </c>
      <c r="G527" s="14" t="s">
        <v>76</v>
      </c>
      <c r="H527" s="14" t="s">
        <v>111</v>
      </c>
      <c r="I527" s="16" t="s">
        <v>1527</v>
      </c>
    </row>
    <row r="528" ht="15.75" hidden="1" customHeight="1">
      <c r="A528" s="8">
        <v>46149.0</v>
      </c>
      <c r="B528" s="4" t="s">
        <v>1524</v>
      </c>
      <c r="C528" s="5">
        <v>0.0</v>
      </c>
      <c r="D528" s="5">
        <v>9619302.0</v>
      </c>
      <c r="E528" s="5">
        <f t="shared" si="1"/>
        <v>442799210.4</v>
      </c>
      <c r="F528" s="14" t="s">
        <v>75</v>
      </c>
      <c r="G528" s="14" t="s">
        <v>76</v>
      </c>
      <c r="H528" s="14" t="s">
        <v>111</v>
      </c>
      <c r="I528" s="16" t="s">
        <v>1528</v>
      </c>
    </row>
    <row r="529" ht="15.75" hidden="1" customHeight="1">
      <c r="A529" s="8">
        <v>46149.0</v>
      </c>
      <c r="B529" s="4" t="s">
        <v>1524</v>
      </c>
      <c r="C529" s="5">
        <v>0.0</v>
      </c>
      <c r="D529" s="5">
        <f>455122548-D525-D526-D527-D528</f>
        <v>16094448</v>
      </c>
      <c r="E529" s="5">
        <f t="shared" si="1"/>
        <v>458893658.4</v>
      </c>
      <c r="F529" s="14" t="s">
        <v>75</v>
      </c>
      <c r="G529" s="14" t="s">
        <v>76</v>
      </c>
      <c r="H529" s="14" t="s">
        <v>111</v>
      </c>
      <c r="I529" s="16" t="s">
        <v>1529</v>
      </c>
    </row>
    <row r="530" ht="15.75" hidden="1" customHeight="1">
      <c r="A530" s="8">
        <v>46149.0</v>
      </c>
      <c r="B530" s="4" t="s">
        <v>1530</v>
      </c>
      <c r="C530" s="5">
        <v>5407382.0</v>
      </c>
      <c r="D530" s="5">
        <v>0.0</v>
      </c>
      <c r="E530" s="5">
        <f t="shared" si="1"/>
        <v>453486276.4</v>
      </c>
      <c r="F530" s="14" t="s">
        <v>21</v>
      </c>
      <c r="G530" s="14" t="s">
        <v>448</v>
      </c>
      <c r="H530" s="14" t="s">
        <v>55</v>
      </c>
      <c r="I530" s="16"/>
    </row>
    <row r="531" ht="15.75" hidden="1" customHeight="1">
      <c r="A531" s="8">
        <v>46149.0</v>
      </c>
      <c r="B531" s="4" t="s">
        <v>1531</v>
      </c>
      <c r="C531" s="5">
        <v>2500.0</v>
      </c>
      <c r="D531" s="5">
        <v>0.0</v>
      </c>
      <c r="E531" s="5">
        <f t="shared" si="1"/>
        <v>453483776.4</v>
      </c>
      <c r="F531" s="14" t="s">
        <v>43</v>
      </c>
      <c r="G531" s="14" t="s">
        <v>45</v>
      </c>
      <c r="H531" s="14"/>
      <c r="I531" s="16"/>
    </row>
    <row r="532" ht="15.75" hidden="1" customHeight="1">
      <c r="A532" s="8">
        <v>46150.0</v>
      </c>
      <c r="B532" s="4" t="s">
        <v>1533</v>
      </c>
      <c r="C532" s="5">
        <v>2.5E8</v>
      </c>
      <c r="D532" s="5">
        <v>0.0</v>
      </c>
      <c r="E532" s="5">
        <f t="shared" si="1"/>
        <v>203483776.4</v>
      </c>
      <c r="F532" s="14" t="s">
        <v>93</v>
      </c>
      <c r="G532" s="14" t="s">
        <v>93</v>
      </c>
      <c r="H532" s="14" t="s">
        <v>20</v>
      </c>
      <c r="I532" s="16"/>
    </row>
    <row r="533" ht="15.75" hidden="1" customHeight="1">
      <c r="A533" s="8">
        <v>46150.0</v>
      </c>
      <c r="B533" s="4" t="s">
        <v>1535</v>
      </c>
      <c r="C533" s="5">
        <v>2500.0</v>
      </c>
      <c r="D533" s="5">
        <v>0.0</v>
      </c>
      <c r="E533" s="5">
        <f t="shared" si="1"/>
        <v>203481276.4</v>
      </c>
      <c r="F533" s="14" t="s">
        <v>43</v>
      </c>
      <c r="G533" s="14" t="s">
        <v>45</v>
      </c>
      <c r="H533" s="14"/>
      <c r="I533" s="16"/>
    </row>
    <row r="534" ht="15.75" hidden="1" customHeight="1">
      <c r="A534" s="8">
        <v>46150.0</v>
      </c>
      <c r="B534" s="4" t="s">
        <v>1537</v>
      </c>
      <c r="C534" s="5">
        <v>1.62029821E8</v>
      </c>
      <c r="D534" s="5">
        <v>0.0</v>
      </c>
      <c r="E534" s="5">
        <f t="shared" si="1"/>
        <v>41451455.43</v>
      </c>
      <c r="F534" s="14" t="s">
        <v>93</v>
      </c>
      <c r="G534" s="14" t="s">
        <v>93</v>
      </c>
      <c r="H534" s="14" t="s">
        <v>20</v>
      </c>
      <c r="I534" s="16"/>
    </row>
    <row r="535" ht="15.75" hidden="1" customHeight="1">
      <c r="A535" s="8">
        <v>46150.0</v>
      </c>
      <c r="B535" s="4" t="s">
        <v>1539</v>
      </c>
      <c r="C535" s="5">
        <v>2500.0</v>
      </c>
      <c r="D535" s="5">
        <v>0.0</v>
      </c>
      <c r="E535" s="5">
        <f t="shared" si="1"/>
        <v>41448955.43</v>
      </c>
      <c r="F535" s="14" t="s">
        <v>43</v>
      </c>
      <c r="G535" s="14" t="s">
        <v>45</v>
      </c>
      <c r="H535" s="14"/>
      <c r="I535" s="16"/>
    </row>
    <row r="536" ht="15.75" hidden="1" customHeight="1">
      <c r="A536" s="8">
        <v>46150.0</v>
      </c>
      <c r="B536" s="4" t="s">
        <v>1540</v>
      </c>
      <c r="C536" s="5">
        <v>0.0</v>
      </c>
      <c r="D536" s="5">
        <v>2.8469316E7</v>
      </c>
      <c r="E536" s="5">
        <f t="shared" si="1"/>
        <v>69918271.43</v>
      </c>
      <c r="F536" s="14" t="s">
        <v>75</v>
      </c>
      <c r="G536" s="14" t="s">
        <v>76</v>
      </c>
      <c r="H536" s="14" t="s">
        <v>1541</v>
      </c>
      <c r="I536" s="16" t="s">
        <v>1542</v>
      </c>
    </row>
    <row r="537" ht="15.75" hidden="1" customHeight="1">
      <c r="A537" s="8">
        <v>46150.0</v>
      </c>
      <c r="B537" s="4" t="s">
        <v>1540</v>
      </c>
      <c r="C537" s="5">
        <v>0.0</v>
      </c>
      <c r="D537" s="5">
        <v>1.19952774E8</v>
      </c>
      <c r="E537" s="5">
        <f t="shared" si="1"/>
        <v>189871045.4</v>
      </c>
      <c r="F537" s="14" t="s">
        <v>75</v>
      </c>
      <c r="G537" s="14" t="s">
        <v>76</v>
      </c>
      <c r="H537" s="14" t="s">
        <v>1543</v>
      </c>
      <c r="I537" s="16" t="s">
        <v>1544</v>
      </c>
    </row>
    <row r="538" ht="15.75" hidden="1" customHeight="1">
      <c r="A538" s="8">
        <v>46150.0</v>
      </c>
      <c r="B538" s="4" t="s">
        <v>1540</v>
      </c>
      <c r="C538" s="5">
        <v>0.0</v>
      </c>
      <c r="D538" s="5">
        <v>1.02397913E8</v>
      </c>
      <c r="E538" s="5">
        <f t="shared" si="1"/>
        <v>292268958.4</v>
      </c>
      <c r="F538" s="14" t="s">
        <v>75</v>
      </c>
      <c r="G538" s="14" t="s">
        <v>76</v>
      </c>
      <c r="H538" s="14" t="s">
        <v>1546</v>
      </c>
      <c r="I538" s="16" t="s">
        <v>1547</v>
      </c>
    </row>
    <row r="539" ht="15.75" hidden="1" customHeight="1">
      <c r="A539" s="8">
        <v>46150.0</v>
      </c>
      <c r="B539" s="4" t="s">
        <v>1540</v>
      </c>
      <c r="C539" s="5">
        <v>0.0</v>
      </c>
      <c r="D539" s="5">
        <f>318513787-D536-D537-D538</f>
        <v>67693784</v>
      </c>
      <c r="E539" s="5">
        <f t="shared" si="1"/>
        <v>359962742.4</v>
      </c>
      <c r="F539" s="14" t="s">
        <v>75</v>
      </c>
      <c r="G539" s="14" t="s">
        <v>76</v>
      </c>
      <c r="H539" s="14" t="s">
        <v>1551</v>
      </c>
      <c r="I539" s="16" t="s">
        <v>1552</v>
      </c>
    </row>
    <row r="540" ht="15.75" hidden="1" customHeight="1">
      <c r="A540" s="8">
        <v>46150.0</v>
      </c>
      <c r="B540" s="4" t="s">
        <v>800</v>
      </c>
      <c r="C540" s="5">
        <v>1.3E8</v>
      </c>
      <c r="D540" s="5">
        <v>0.0</v>
      </c>
      <c r="E540" s="5">
        <f t="shared" si="1"/>
        <v>229962742.4</v>
      </c>
      <c r="F540" s="14" t="s">
        <v>21</v>
      </c>
      <c r="G540" s="14" t="s">
        <v>190</v>
      </c>
      <c r="H540" s="14"/>
      <c r="I540" s="16"/>
    </row>
    <row r="541" ht="15.75" hidden="1" customHeight="1">
      <c r="A541" s="8">
        <v>46150.0</v>
      </c>
      <c r="B541" s="4" t="s">
        <v>1555</v>
      </c>
      <c r="C541" s="5">
        <v>2500.0</v>
      </c>
      <c r="D541" s="5">
        <v>0.0</v>
      </c>
      <c r="E541" s="5">
        <f t="shared" si="1"/>
        <v>229960242.4</v>
      </c>
      <c r="F541" s="14" t="s">
        <v>43</v>
      </c>
      <c r="G541" s="14" t="s">
        <v>45</v>
      </c>
      <c r="H541" s="14"/>
      <c r="I541" s="16"/>
    </row>
    <row r="542" ht="15.75" hidden="1" customHeight="1">
      <c r="A542" s="8">
        <v>46150.0</v>
      </c>
      <c r="B542" s="4" t="s">
        <v>1557</v>
      </c>
      <c r="C542" s="5">
        <v>0.0</v>
      </c>
      <c r="D542" s="5">
        <v>2.65E7</v>
      </c>
      <c r="E542" s="5">
        <f t="shared" si="1"/>
        <v>256460242.4</v>
      </c>
      <c r="F542" s="14" t="s">
        <v>93</v>
      </c>
      <c r="G542" s="14" t="s">
        <v>93</v>
      </c>
      <c r="H542" s="14" t="s">
        <v>1558</v>
      </c>
      <c r="I542" s="16"/>
    </row>
    <row r="543" ht="15.75" hidden="1" customHeight="1">
      <c r="A543" s="8">
        <v>46150.0</v>
      </c>
      <c r="B543" s="4" t="s">
        <v>1560</v>
      </c>
      <c r="C543" s="5">
        <v>7.2E7</v>
      </c>
      <c r="D543" s="5">
        <v>0.0</v>
      </c>
      <c r="E543" s="5">
        <f t="shared" si="1"/>
        <v>184460242.4</v>
      </c>
      <c r="F543" s="14" t="s">
        <v>58</v>
      </c>
      <c r="G543" s="14" t="s">
        <v>59</v>
      </c>
      <c r="H543" s="14" t="s">
        <v>1250</v>
      </c>
      <c r="I543" s="16"/>
    </row>
    <row r="544" ht="15.75" hidden="1" customHeight="1">
      <c r="A544" s="8">
        <v>46150.0</v>
      </c>
      <c r="B544" s="4" t="s">
        <v>1563</v>
      </c>
      <c r="C544" s="5">
        <v>1.743763E8</v>
      </c>
      <c r="D544" s="5">
        <v>0.0</v>
      </c>
      <c r="E544" s="5">
        <f t="shared" si="1"/>
        <v>10083942.43</v>
      </c>
      <c r="F544" s="14" t="s">
        <v>58</v>
      </c>
      <c r="G544" s="14" t="s">
        <v>59</v>
      </c>
      <c r="H544" s="14" t="s">
        <v>111</v>
      </c>
      <c r="I544" s="16"/>
    </row>
    <row r="545" ht="15.75" hidden="1" customHeight="1">
      <c r="A545" s="8">
        <v>46153.0</v>
      </c>
      <c r="B545" s="4" t="s">
        <v>1238</v>
      </c>
      <c r="C545" s="5">
        <v>0.0</v>
      </c>
      <c r="D545" s="5">
        <v>4000000.0</v>
      </c>
      <c r="E545" s="5">
        <f t="shared" si="1"/>
        <v>14083942.43</v>
      </c>
      <c r="F545" s="14" t="s">
        <v>21</v>
      </c>
      <c r="G545" s="14" t="s">
        <v>842</v>
      </c>
      <c r="H545" s="14"/>
      <c r="I545" s="16"/>
    </row>
    <row r="546" ht="15.75" hidden="1" customHeight="1">
      <c r="A546" s="8">
        <v>46153.0</v>
      </c>
      <c r="B546" s="4" t="s">
        <v>1567</v>
      </c>
      <c r="C546" s="5">
        <v>0.0</v>
      </c>
      <c r="D546" s="5">
        <v>8000000.0</v>
      </c>
      <c r="E546" s="5">
        <f t="shared" si="1"/>
        <v>22083942.43</v>
      </c>
      <c r="F546" s="14" t="s">
        <v>93</v>
      </c>
      <c r="G546" s="14" t="s">
        <v>93</v>
      </c>
      <c r="H546" s="14" t="s">
        <v>1558</v>
      </c>
      <c r="I546" s="16"/>
    </row>
    <row r="547" ht="15.75" hidden="1" customHeight="1">
      <c r="A547" s="8">
        <v>46153.0</v>
      </c>
      <c r="B547" s="4" t="s">
        <v>1569</v>
      </c>
      <c r="C547" s="5">
        <v>2.0985E7</v>
      </c>
      <c r="D547" s="5">
        <v>0.0</v>
      </c>
      <c r="E547" s="5">
        <f t="shared" si="1"/>
        <v>1098942.43</v>
      </c>
      <c r="F547" s="14" t="s">
        <v>21</v>
      </c>
      <c r="G547" s="14" t="s">
        <v>448</v>
      </c>
      <c r="H547" s="14" t="s">
        <v>170</v>
      </c>
      <c r="I547" s="16"/>
    </row>
    <row r="548" ht="15.75" hidden="1" customHeight="1">
      <c r="A548" s="8">
        <v>46153.0</v>
      </c>
      <c r="B548" s="4" t="s">
        <v>1570</v>
      </c>
      <c r="C548" s="5">
        <v>0.0</v>
      </c>
      <c r="D548" s="5">
        <v>3.98978536E8</v>
      </c>
      <c r="E548" s="5">
        <f t="shared" si="1"/>
        <v>400077478.4</v>
      </c>
      <c r="F548" s="14" t="s">
        <v>75</v>
      </c>
      <c r="G548" s="14" t="s">
        <v>76</v>
      </c>
      <c r="H548" s="14" t="s">
        <v>1250</v>
      </c>
      <c r="I548" s="16" t="s">
        <v>1571</v>
      </c>
    </row>
    <row r="549" ht="15.75" hidden="1" customHeight="1">
      <c r="A549" s="8">
        <v>46153.0</v>
      </c>
      <c r="B549" s="4" t="s">
        <v>1572</v>
      </c>
      <c r="C549" s="5">
        <v>4.2823E7</v>
      </c>
      <c r="D549" s="5">
        <v>0.0</v>
      </c>
      <c r="E549" s="5">
        <f t="shared" si="1"/>
        <v>357254478.4</v>
      </c>
      <c r="F549" s="14" t="s">
        <v>58</v>
      </c>
      <c r="G549" s="14" t="s">
        <v>59</v>
      </c>
      <c r="H549" s="14" t="s">
        <v>677</v>
      </c>
      <c r="I549" s="16"/>
    </row>
    <row r="550" ht="15.75" hidden="1" customHeight="1">
      <c r="A550" s="8">
        <v>46153.0</v>
      </c>
      <c r="B550" s="4" t="s">
        <v>1574</v>
      </c>
      <c r="C550" s="5">
        <v>4.681E7</v>
      </c>
      <c r="D550" s="5">
        <v>0.0</v>
      </c>
      <c r="E550" s="5">
        <f t="shared" si="1"/>
        <v>310444478.4</v>
      </c>
      <c r="F550" s="14" t="s">
        <v>58</v>
      </c>
      <c r="G550" s="14" t="s">
        <v>59</v>
      </c>
      <c r="H550" s="14" t="s">
        <v>111</v>
      </c>
      <c r="I550" s="16"/>
    </row>
    <row r="551" ht="15.75" hidden="1" customHeight="1">
      <c r="A551" s="8">
        <v>46153.0</v>
      </c>
      <c r="B551" s="4" t="s">
        <v>1576</v>
      </c>
      <c r="C551" s="5">
        <v>2500.0</v>
      </c>
      <c r="D551" s="5">
        <v>0.0</v>
      </c>
      <c r="E551" s="5">
        <f t="shared" si="1"/>
        <v>310441978.4</v>
      </c>
      <c r="F551" s="14" t="s">
        <v>43</v>
      </c>
      <c r="G551" s="14" t="s">
        <v>45</v>
      </c>
      <c r="H551" s="14"/>
      <c r="I551" s="16"/>
    </row>
    <row r="552" ht="15.75" hidden="1" customHeight="1">
      <c r="A552" s="8">
        <v>46153.0</v>
      </c>
      <c r="B552" s="4" t="s">
        <v>1578</v>
      </c>
      <c r="C552" s="5">
        <v>1.1535002E7</v>
      </c>
      <c r="D552" s="5">
        <v>0.0</v>
      </c>
      <c r="E552" s="5">
        <f t="shared" si="1"/>
        <v>298906976.4</v>
      </c>
      <c r="F552" s="14" t="s">
        <v>24</v>
      </c>
      <c r="G552" s="14" t="s">
        <v>125</v>
      </c>
      <c r="H552" s="14" t="s">
        <v>1580</v>
      </c>
      <c r="I552" s="16"/>
    </row>
    <row r="553" ht="15.75" hidden="1" customHeight="1">
      <c r="A553" s="8">
        <v>46153.0</v>
      </c>
      <c r="B553" s="4" t="s">
        <v>1581</v>
      </c>
      <c r="C553" s="5">
        <v>2500.0</v>
      </c>
      <c r="D553" s="5">
        <v>0.0</v>
      </c>
      <c r="E553" s="5">
        <f t="shared" si="1"/>
        <v>298904476.4</v>
      </c>
      <c r="F553" s="14" t="s">
        <v>43</v>
      </c>
      <c r="G553" s="14" t="s">
        <v>45</v>
      </c>
      <c r="H553" s="14"/>
      <c r="I553" s="16"/>
    </row>
    <row r="554" ht="15.75" hidden="1" customHeight="1">
      <c r="A554" s="8">
        <v>46153.0</v>
      </c>
      <c r="B554" s="4" t="s">
        <v>1583</v>
      </c>
      <c r="C554" s="5">
        <v>3320675.0</v>
      </c>
      <c r="D554" s="5">
        <v>0.0</v>
      </c>
      <c r="E554" s="5">
        <f t="shared" si="1"/>
        <v>295583801.4</v>
      </c>
      <c r="F554" s="14" t="s">
        <v>24</v>
      </c>
      <c r="G554" s="14" t="s">
        <v>125</v>
      </c>
      <c r="H554" s="14" t="s">
        <v>1585</v>
      </c>
      <c r="I554" s="16"/>
    </row>
    <row r="555" ht="15.75" hidden="1" customHeight="1">
      <c r="A555" s="8">
        <v>46153.0</v>
      </c>
      <c r="B555" s="4" t="s">
        <v>1586</v>
      </c>
      <c r="C555" s="5">
        <v>2500.0</v>
      </c>
      <c r="D555" s="5">
        <v>0.0</v>
      </c>
      <c r="E555" s="5">
        <f t="shared" si="1"/>
        <v>295581301.4</v>
      </c>
      <c r="F555" s="14" t="s">
        <v>43</v>
      </c>
      <c r="G555" s="14" t="s">
        <v>45</v>
      </c>
      <c r="H555" s="14"/>
      <c r="I555" s="16"/>
    </row>
    <row r="556" ht="15.75" hidden="1" customHeight="1">
      <c r="A556" s="8">
        <v>46153.0</v>
      </c>
      <c r="B556" s="4" t="s">
        <v>1588</v>
      </c>
      <c r="C556" s="5">
        <v>550000.0</v>
      </c>
      <c r="D556" s="5">
        <v>0.0</v>
      </c>
      <c r="E556" s="5">
        <f t="shared" si="1"/>
        <v>295031301.4</v>
      </c>
      <c r="F556" s="14" t="s">
        <v>58</v>
      </c>
      <c r="G556" s="14" t="s">
        <v>59</v>
      </c>
      <c r="H556" s="14" t="s">
        <v>61</v>
      </c>
      <c r="I556" s="16"/>
    </row>
    <row r="557" ht="15.75" hidden="1" customHeight="1">
      <c r="A557" s="8">
        <v>46153.0</v>
      </c>
      <c r="B557" s="4" t="s">
        <v>1589</v>
      </c>
      <c r="C557" s="5">
        <v>2500.0</v>
      </c>
      <c r="D557" s="5">
        <v>0.0</v>
      </c>
      <c r="E557" s="5">
        <f t="shared" si="1"/>
        <v>295028801.4</v>
      </c>
      <c r="F557" s="14" t="s">
        <v>43</v>
      </c>
      <c r="G557" s="14" t="s">
        <v>45</v>
      </c>
      <c r="H557" s="14"/>
      <c r="I557" s="16"/>
    </row>
    <row r="558" ht="15.75" hidden="1" customHeight="1">
      <c r="A558" s="8">
        <v>46153.0</v>
      </c>
      <c r="B558" s="4" t="s">
        <v>1591</v>
      </c>
      <c r="C558" s="5">
        <v>1050000.0</v>
      </c>
      <c r="D558" s="5">
        <v>0.0</v>
      </c>
      <c r="E558" s="5">
        <f t="shared" si="1"/>
        <v>293978801.4</v>
      </c>
      <c r="F558" s="14" t="s">
        <v>58</v>
      </c>
      <c r="G558" s="14" t="s">
        <v>59</v>
      </c>
      <c r="H558" s="14" t="s">
        <v>677</v>
      </c>
      <c r="I558" s="16"/>
    </row>
    <row r="559" ht="15.75" hidden="1" customHeight="1">
      <c r="A559" s="8">
        <v>46153.0</v>
      </c>
      <c r="B559" s="4" t="s">
        <v>1592</v>
      </c>
      <c r="C559" s="5">
        <v>7.110507E7</v>
      </c>
      <c r="D559" s="5">
        <v>0.0</v>
      </c>
      <c r="E559" s="5">
        <f t="shared" si="1"/>
        <v>222873731.4</v>
      </c>
      <c r="F559" s="14" t="s">
        <v>58</v>
      </c>
      <c r="G559" s="14" t="s">
        <v>59</v>
      </c>
      <c r="H559" s="14" t="s">
        <v>408</v>
      </c>
      <c r="I559" s="16"/>
    </row>
    <row r="560" ht="15.75" hidden="1" customHeight="1">
      <c r="A560" s="8">
        <v>46153.0</v>
      </c>
      <c r="B560" s="4" t="s">
        <v>1593</v>
      </c>
      <c r="C560" s="5">
        <v>2500.0</v>
      </c>
      <c r="D560" s="5">
        <v>0.0</v>
      </c>
      <c r="E560" s="5">
        <f t="shared" si="1"/>
        <v>222871231.4</v>
      </c>
      <c r="F560" s="14" t="s">
        <v>43</v>
      </c>
      <c r="G560" s="14" t="s">
        <v>45</v>
      </c>
      <c r="H560" s="14"/>
      <c r="I560" s="16"/>
    </row>
    <row r="561" ht="15.75" hidden="1" customHeight="1">
      <c r="A561" s="8">
        <v>46153.0</v>
      </c>
      <c r="B561" s="4" t="s">
        <v>1594</v>
      </c>
      <c r="C561" s="5">
        <v>1.8310574E7</v>
      </c>
      <c r="D561" s="5">
        <v>0.0</v>
      </c>
      <c r="E561" s="5">
        <f t="shared" si="1"/>
        <v>204560657.4</v>
      </c>
      <c r="F561" s="14" t="s">
        <v>58</v>
      </c>
      <c r="G561" s="14" t="s">
        <v>59</v>
      </c>
      <c r="H561" s="14" t="s">
        <v>61</v>
      </c>
      <c r="I561" s="16"/>
    </row>
    <row r="562" ht="15.75" hidden="1" customHeight="1">
      <c r="A562" s="8">
        <v>46153.0</v>
      </c>
      <c r="B562" s="4" t="s">
        <v>1595</v>
      </c>
      <c r="C562" s="5">
        <v>1653400.0</v>
      </c>
      <c r="D562" s="5">
        <v>0.0</v>
      </c>
      <c r="E562" s="5">
        <f t="shared" si="1"/>
        <v>202907257.4</v>
      </c>
      <c r="F562" s="14" t="s">
        <v>50</v>
      </c>
      <c r="G562" s="14" t="s">
        <v>225</v>
      </c>
      <c r="H562" s="14" t="s">
        <v>425</v>
      </c>
      <c r="I562" s="16"/>
    </row>
    <row r="563" ht="15.75" hidden="1" customHeight="1">
      <c r="A563" s="8">
        <v>46153.0</v>
      </c>
      <c r="B563" s="4" t="s">
        <v>1597</v>
      </c>
      <c r="C563" s="5">
        <v>5000062.0</v>
      </c>
      <c r="D563" s="5">
        <v>0.0</v>
      </c>
      <c r="E563" s="5">
        <f t="shared" si="1"/>
        <v>197907195.4</v>
      </c>
      <c r="F563" s="14" t="s">
        <v>24</v>
      </c>
      <c r="G563" s="14" t="s">
        <v>125</v>
      </c>
      <c r="H563" s="14" t="s">
        <v>1580</v>
      </c>
      <c r="I563" s="16"/>
    </row>
    <row r="564" ht="15.75" hidden="1" customHeight="1">
      <c r="A564" s="8">
        <v>46153.0</v>
      </c>
      <c r="B564" s="4" t="s">
        <v>1599</v>
      </c>
      <c r="C564" s="5">
        <v>8454857.0</v>
      </c>
      <c r="D564" s="5">
        <v>0.0</v>
      </c>
      <c r="E564" s="5">
        <f t="shared" si="1"/>
        <v>189452338.4</v>
      </c>
      <c r="F564" s="14" t="s">
        <v>24</v>
      </c>
      <c r="G564" s="14" t="s">
        <v>125</v>
      </c>
      <c r="H564" s="14" t="s">
        <v>1580</v>
      </c>
      <c r="I564" s="16"/>
    </row>
    <row r="565" ht="15.75" hidden="1" customHeight="1">
      <c r="A565" s="8">
        <v>46153.0</v>
      </c>
      <c r="B565" s="4" t="s">
        <v>1601</v>
      </c>
      <c r="C565" s="5">
        <v>1.2726847E7</v>
      </c>
      <c r="D565" s="5">
        <v>0.0</v>
      </c>
      <c r="E565" s="5">
        <f t="shared" si="1"/>
        <v>176725491.4</v>
      </c>
      <c r="F565" s="14" t="s">
        <v>58</v>
      </c>
      <c r="G565" s="14" t="s">
        <v>59</v>
      </c>
      <c r="H565" s="14" t="s">
        <v>61</v>
      </c>
      <c r="I565" s="16"/>
    </row>
    <row r="566" ht="15.75" hidden="1" customHeight="1">
      <c r="A566" s="8">
        <v>46153.0</v>
      </c>
      <c r="B566" s="4" t="s">
        <v>1602</v>
      </c>
      <c r="C566" s="5">
        <v>2.0005272E7</v>
      </c>
      <c r="D566" s="5">
        <v>0.0</v>
      </c>
      <c r="E566" s="5">
        <f t="shared" si="1"/>
        <v>156720219.4</v>
      </c>
      <c r="F566" s="14" t="s">
        <v>58</v>
      </c>
      <c r="G566" s="14" t="s">
        <v>59</v>
      </c>
      <c r="H566" s="4" t="s">
        <v>722</v>
      </c>
      <c r="I566" s="16"/>
    </row>
    <row r="567" ht="15.75" hidden="1" customHeight="1">
      <c r="A567" s="8">
        <v>46153.0</v>
      </c>
      <c r="B567" s="4" t="s">
        <v>1603</v>
      </c>
      <c r="C567" s="5">
        <v>2.8857285E7</v>
      </c>
      <c r="D567" s="5">
        <v>0.0</v>
      </c>
      <c r="E567" s="5">
        <f t="shared" si="1"/>
        <v>127862934.4</v>
      </c>
      <c r="F567" s="14" t="s">
        <v>58</v>
      </c>
      <c r="G567" s="14" t="s">
        <v>59</v>
      </c>
      <c r="H567" s="14" t="s">
        <v>61</v>
      </c>
      <c r="I567" s="16"/>
    </row>
    <row r="568" ht="15.75" hidden="1" customHeight="1">
      <c r="A568" s="8">
        <v>46153.0</v>
      </c>
      <c r="B568" s="4" t="s">
        <v>1605</v>
      </c>
      <c r="C568" s="5">
        <v>1487384.0</v>
      </c>
      <c r="D568" s="5">
        <v>0.0</v>
      </c>
      <c r="E568" s="5">
        <f t="shared" si="1"/>
        <v>126375550.4</v>
      </c>
      <c r="F568" s="14" t="s">
        <v>58</v>
      </c>
      <c r="G568" s="14" t="s">
        <v>59</v>
      </c>
      <c r="H568" s="14" t="s">
        <v>61</v>
      </c>
      <c r="I568" s="16"/>
    </row>
    <row r="569" ht="15.75" hidden="1" customHeight="1">
      <c r="A569" s="8">
        <v>46153.0</v>
      </c>
      <c r="B569" s="4" t="s">
        <v>1606</v>
      </c>
      <c r="C569" s="5">
        <v>3.2390093E7</v>
      </c>
      <c r="D569" s="5">
        <v>0.0</v>
      </c>
      <c r="E569" s="5">
        <f t="shared" si="1"/>
        <v>93985457.43</v>
      </c>
      <c r="F569" s="14" t="s">
        <v>58</v>
      </c>
      <c r="G569" s="14" t="s">
        <v>59</v>
      </c>
      <c r="H569" s="14" t="s">
        <v>61</v>
      </c>
      <c r="I569" s="16"/>
    </row>
    <row r="570" ht="15.75" hidden="1" customHeight="1">
      <c r="A570" s="8">
        <v>46153.0</v>
      </c>
      <c r="B570" s="4" t="s">
        <v>1607</v>
      </c>
      <c r="C570" s="5">
        <v>6922102.0</v>
      </c>
      <c r="D570" s="5">
        <v>0.0</v>
      </c>
      <c r="E570" s="5">
        <f t="shared" si="1"/>
        <v>87063355.43</v>
      </c>
      <c r="F570" s="14" t="s">
        <v>24</v>
      </c>
      <c r="G570" s="14" t="s">
        <v>125</v>
      </c>
      <c r="H570" s="14" t="s">
        <v>1580</v>
      </c>
      <c r="I570" s="16"/>
    </row>
    <row r="571" ht="15.75" hidden="1" customHeight="1">
      <c r="A571" s="8">
        <v>46153.0</v>
      </c>
      <c r="B571" s="4" t="s">
        <v>1609</v>
      </c>
      <c r="C571" s="5">
        <v>5804029.0</v>
      </c>
      <c r="D571" s="5">
        <v>0.0</v>
      </c>
      <c r="E571" s="5">
        <f t="shared" si="1"/>
        <v>81259326.43</v>
      </c>
      <c r="F571" s="14" t="s">
        <v>58</v>
      </c>
      <c r="G571" s="14" t="s">
        <v>59</v>
      </c>
      <c r="H571" s="14" t="s">
        <v>1610</v>
      </c>
      <c r="I571" s="16"/>
    </row>
    <row r="572" ht="15.75" hidden="1" customHeight="1">
      <c r="A572" s="8">
        <v>46153.0</v>
      </c>
      <c r="B572" s="4" t="s">
        <v>1611</v>
      </c>
      <c r="C572" s="5">
        <v>2.6493102E7</v>
      </c>
      <c r="D572" s="5">
        <v>0.0</v>
      </c>
      <c r="E572" s="5">
        <f t="shared" si="1"/>
        <v>54766224.43</v>
      </c>
      <c r="F572" s="14" t="s">
        <v>58</v>
      </c>
      <c r="G572" s="14" t="s">
        <v>59</v>
      </c>
      <c r="H572" s="14" t="s">
        <v>61</v>
      </c>
      <c r="I572" s="16"/>
    </row>
    <row r="573" ht="15.75" hidden="1" customHeight="1">
      <c r="A573" s="8">
        <v>46153.0</v>
      </c>
      <c r="B573" s="4" t="s">
        <v>1613</v>
      </c>
      <c r="C573" s="5">
        <v>1.9863125E7</v>
      </c>
      <c r="D573" s="5">
        <v>0.0</v>
      </c>
      <c r="E573" s="5">
        <f t="shared" si="1"/>
        <v>34903099.43</v>
      </c>
      <c r="F573" s="14" t="s">
        <v>58</v>
      </c>
      <c r="G573" s="14" t="s">
        <v>59</v>
      </c>
      <c r="H573" s="14" t="s">
        <v>61</v>
      </c>
      <c r="I573" s="16"/>
    </row>
    <row r="574" ht="15.75" hidden="1" customHeight="1">
      <c r="A574" s="8">
        <v>46154.0</v>
      </c>
      <c r="B574" s="4" t="s">
        <v>521</v>
      </c>
      <c r="C574" s="5">
        <v>5000000.0</v>
      </c>
      <c r="D574" s="5">
        <v>0.0</v>
      </c>
      <c r="E574" s="5">
        <f t="shared" si="1"/>
        <v>29903099.43</v>
      </c>
      <c r="F574" s="14" t="s">
        <v>21</v>
      </c>
      <c r="G574" s="14" t="s">
        <v>190</v>
      </c>
      <c r="H574" s="14"/>
      <c r="I574" s="16"/>
    </row>
    <row r="575" ht="15.75" hidden="1" customHeight="1">
      <c r="A575" s="8">
        <v>46154.0</v>
      </c>
      <c r="B575" s="4" t="s">
        <v>1615</v>
      </c>
      <c r="C575" s="5">
        <v>2500.0</v>
      </c>
      <c r="D575" s="5">
        <v>0.0</v>
      </c>
      <c r="E575" s="5">
        <f t="shared" si="1"/>
        <v>29900599.43</v>
      </c>
      <c r="F575" s="14" t="s">
        <v>43</v>
      </c>
      <c r="G575" s="14" t="s">
        <v>45</v>
      </c>
      <c r="H575" s="14"/>
      <c r="I575" s="16"/>
    </row>
    <row r="576" ht="15.75" hidden="1" customHeight="1">
      <c r="A576" s="8">
        <v>46154.0</v>
      </c>
      <c r="B576" s="4" t="s">
        <v>1108</v>
      </c>
      <c r="C576" s="5">
        <v>1.9E7</v>
      </c>
      <c r="D576" s="5">
        <v>0.0</v>
      </c>
      <c r="E576" s="5">
        <f t="shared" si="1"/>
        <v>10900599.43</v>
      </c>
      <c r="F576" s="14" t="s">
        <v>21</v>
      </c>
      <c r="G576" s="14" t="s">
        <v>190</v>
      </c>
      <c r="H576" s="14"/>
      <c r="I576" s="16"/>
    </row>
    <row r="577" ht="15.75" hidden="1" customHeight="1">
      <c r="A577" s="8">
        <v>46154.0</v>
      </c>
      <c r="B577" s="4" t="s">
        <v>1616</v>
      </c>
      <c r="C577" s="5">
        <v>2500.0</v>
      </c>
      <c r="D577" s="5">
        <v>0.0</v>
      </c>
      <c r="E577" s="5">
        <f t="shared" si="1"/>
        <v>10898099.43</v>
      </c>
      <c r="F577" s="14" t="s">
        <v>43</v>
      </c>
      <c r="G577" s="14" t="s">
        <v>45</v>
      </c>
      <c r="H577" s="14"/>
      <c r="I577" s="16"/>
    </row>
    <row r="578" ht="15.75" hidden="1" customHeight="1">
      <c r="A578" s="8">
        <v>46155.0</v>
      </c>
      <c r="B578" s="4" t="s">
        <v>1618</v>
      </c>
      <c r="C578" s="5">
        <v>0.0</v>
      </c>
      <c r="D578" s="5">
        <v>2.0229993E7</v>
      </c>
      <c r="E578" s="5">
        <f t="shared" si="1"/>
        <v>31128092.43</v>
      </c>
      <c r="F578" s="14" t="s">
        <v>75</v>
      </c>
      <c r="G578" s="14" t="s">
        <v>76</v>
      </c>
      <c r="H578" s="14" t="s">
        <v>1610</v>
      </c>
      <c r="I578" s="16" t="s">
        <v>1620</v>
      </c>
    </row>
    <row r="579" ht="15.75" hidden="1" customHeight="1">
      <c r="A579" s="8">
        <v>46155.0</v>
      </c>
      <c r="B579" s="4" t="s">
        <v>1618</v>
      </c>
      <c r="C579" s="5">
        <v>0.0</v>
      </c>
      <c r="D579" s="5">
        <f>98848816-D578</f>
        <v>78618823</v>
      </c>
      <c r="E579" s="5">
        <f t="shared" si="1"/>
        <v>109746915.4</v>
      </c>
      <c r="F579" s="14" t="s">
        <v>75</v>
      </c>
      <c r="G579" s="14" t="s">
        <v>76</v>
      </c>
      <c r="H579" s="14" t="s">
        <v>1038</v>
      </c>
      <c r="I579" s="16" t="s">
        <v>1621</v>
      </c>
    </row>
    <row r="580" ht="15.75" hidden="1" customHeight="1">
      <c r="A580" s="8">
        <v>46155.0</v>
      </c>
      <c r="B580" s="4" t="s">
        <v>1622</v>
      </c>
      <c r="C580" s="5">
        <v>4.184533E7</v>
      </c>
      <c r="D580" s="5">
        <v>0.0</v>
      </c>
      <c r="E580" s="5">
        <f t="shared" si="1"/>
        <v>67901585.43</v>
      </c>
      <c r="F580" s="14" t="s">
        <v>21</v>
      </c>
      <c r="G580" s="14" t="s">
        <v>298</v>
      </c>
      <c r="H580" s="14"/>
      <c r="I580" s="16"/>
    </row>
    <row r="581" ht="15.75" hidden="1" customHeight="1">
      <c r="A581" s="8">
        <v>46155.0</v>
      </c>
      <c r="B581" s="4" t="s">
        <v>1623</v>
      </c>
      <c r="C581" s="5">
        <v>2500.0</v>
      </c>
      <c r="D581" s="5">
        <v>0.0</v>
      </c>
      <c r="E581" s="5">
        <f t="shared" si="1"/>
        <v>67899085.43</v>
      </c>
      <c r="F581" s="14" t="s">
        <v>43</v>
      </c>
      <c r="G581" s="14" t="s">
        <v>45</v>
      </c>
      <c r="H581" s="14"/>
      <c r="I581" s="16"/>
    </row>
    <row r="582" ht="15.75" hidden="1" customHeight="1">
      <c r="A582" s="8">
        <v>46155.0</v>
      </c>
      <c r="B582" s="4" t="s">
        <v>140</v>
      </c>
      <c r="C582" s="5">
        <v>0.0</v>
      </c>
      <c r="D582" s="5">
        <v>1.2943412E7</v>
      </c>
      <c r="E582" s="5">
        <f t="shared" si="1"/>
        <v>80842497.43</v>
      </c>
      <c r="F582" s="14" t="s">
        <v>75</v>
      </c>
      <c r="G582" s="14" t="s">
        <v>76</v>
      </c>
      <c r="H582" s="14" t="s">
        <v>230</v>
      </c>
      <c r="I582" s="18" t="s">
        <v>1624</v>
      </c>
    </row>
    <row r="583" ht="15.75" hidden="1" customHeight="1">
      <c r="A583" s="8">
        <v>46155.0</v>
      </c>
      <c r="B583" s="14" t="s">
        <v>1625</v>
      </c>
      <c r="C583" s="5">
        <v>0.0</v>
      </c>
      <c r="D583" s="5">
        <v>1.65388603E8</v>
      </c>
      <c r="E583" s="5">
        <f t="shared" si="1"/>
        <v>246231100.4</v>
      </c>
      <c r="F583" s="14" t="s">
        <v>75</v>
      </c>
      <c r="G583" s="14" t="s">
        <v>76</v>
      </c>
      <c r="H583" s="14" t="s">
        <v>111</v>
      </c>
      <c r="I583" s="16" t="s">
        <v>1627</v>
      </c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8">
        <v>46157.0</v>
      </c>
      <c r="B584" s="4" t="s">
        <v>1628</v>
      </c>
      <c r="C584" s="5">
        <v>0.0</v>
      </c>
      <c r="D584" s="5">
        <v>3431425.0</v>
      </c>
      <c r="E584" s="5">
        <f t="shared" si="1"/>
        <v>249662525.4</v>
      </c>
      <c r="F584" s="14" t="s">
        <v>21</v>
      </c>
      <c r="G584" s="14" t="s">
        <v>876</v>
      </c>
      <c r="H584" s="14" t="s">
        <v>1516</v>
      </c>
      <c r="I584" s="16" t="s">
        <v>658</v>
      </c>
    </row>
    <row r="585" ht="15.75" hidden="1" customHeight="1">
      <c r="A585" s="8">
        <v>46157.0</v>
      </c>
      <c r="B585" s="4" t="s">
        <v>1630</v>
      </c>
      <c r="C585" s="5">
        <v>8000000.0</v>
      </c>
      <c r="D585" s="5">
        <v>0.0</v>
      </c>
      <c r="E585" s="5">
        <f t="shared" si="1"/>
        <v>241662525.4</v>
      </c>
      <c r="F585" s="14" t="s">
        <v>93</v>
      </c>
      <c r="G585" s="14" t="s">
        <v>93</v>
      </c>
      <c r="H585" s="14" t="s">
        <v>1558</v>
      </c>
      <c r="I585" s="16"/>
    </row>
    <row r="586" ht="15.75" hidden="1" customHeight="1">
      <c r="A586" s="8">
        <v>46157.0</v>
      </c>
      <c r="B586" s="4" t="s">
        <v>1632</v>
      </c>
      <c r="C586" s="5">
        <v>2500.0</v>
      </c>
      <c r="D586" s="5">
        <v>0.0</v>
      </c>
      <c r="E586" s="5">
        <f t="shared" si="1"/>
        <v>241660025.4</v>
      </c>
      <c r="F586" s="14" t="s">
        <v>43</v>
      </c>
      <c r="G586" s="14" t="s">
        <v>45</v>
      </c>
      <c r="H586" s="14"/>
      <c r="I586" s="16"/>
    </row>
    <row r="587" ht="15.75" hidden="1" customHeight="1">
      <c r="A587" s="8">
        <v>46157.0</v>
      </c>
      <c r="B587" s="4" t="s">
        <v>1633</v>
      </c>
      <c r="C587" s="5">
        <v>2.65E7</v>
      </c>
      <c r="D587" s="5">
        <v>0.0</v>
      </c>
      <c r="E587" s="5">
        <f t="shared" si="1"/>
        <v>215160025.4</v>
      </c>
      <c r="F587" s="14" t="s">
        <v>93</v>
      </c>
      <c r="G587" s="14" t="s">
        <v>93</v>
      </c>
      <c r="H587" s="14" t="s">
        <v>1558</v>
      </c>
      <c r="I587" s="16"/>
    </row>
    <row r="588" ht="15.75" hidden="1" customHeight="1">
      <c r="A588" s="8">
        <v>46157.0</v>
      </c>
      <c r="B588" s="4" t="s">
        <v>1635</v>
      </c>
      <c r="C588" s="5">
        <v>2500.0</v>
      </c>
      <c r="D588" s="5">
        <v>0.0</v>
      </c>
      <c r="E588" s="5">
        <f t="shared" si="1"/>
        <v>215157525.4</v>
      </c>
      <c r="F588" s="14" t="s">
        <v>43</v>
      </c>
      <c r="G588" s="14" t="s">
        <v>45</v>
      </c>
      <c r="H588" s="14"/>
      <c r="I588" s="16"/>
    </row>
    <row r="589" ht="15.75" hidden="1" customHeight="1">
      <c r="A589" s="8">
        <v>46157.0</v>
      </c>
      <c r="B589" s="4" t="s">
        <v>800</v>
      </c>
      <c r="C589" s="5">
        <v>7.811125E7</v>
      </c>
      <c r="D589" s="5">
        <v>0.0</v>
      </c>
      <c r="E589" s="5">
        <f t="shared" si="1"/>
        <v>137046275.4</v>
      </c>
      <c r="F589" s="14" t="s">
        <v>21</v>
      </c>
      <c r="G589" s="14" t="s">
        <v>190</v>
      </c>
      <c r="H589" s="14"/>
      <c r="I589" s="16"/>
    </row>
    <row r="590" ht="15.75" hidden="1" customHeight="1">
      <c r="A590" s="8">
        <v>46157.0</v>
      </c>
      <c r="B590" s="4" t="s">
        <v>1636</v>
      </c>
      <c r="C590" s="5">
        <v>2500.0</v>
      </c>
      <c r="D590" s="5">
        <v>0.0</v>
      </c>
      <c r="E590" s="5">
        <f t="shared" si="1"/>
        <v>137043775.4</v>
      </c>
      <c r="F590" s="14" t="s">
        <v>43</v>
      </c>
      <c r="G590" s="14" t="s">
        <v>45</v>
      </c>
      <c r="H590" s="14"/>
      <c r="I590" s="16"/>
    </row>
    <row r="591" ht="15.75" hidden="1" customHeight="1">
      <c r="A591" s="8">
        <v>46158.0</v>
      </c>
      <c r="B591" s="4" t="s">
        <v>1637</v>
      </c>
      <c r="C591" s="5">
        <v>4.617493E7</v>
      </c>
      <c r="D591" s="5">
        <v>0.0</v>
      </c>
      <c r="E591" s="5">
        <f t="shared" si="1"/>
        <v>90868845.43</v>
      </c>
      <c r="F591" s="14" t="s">
        <v>58</v>
      </c>
      <c r="G591" s="14" t="s">
        <v>59</v>
      </c>
      <c r="H591" s="14" t="s">
        <v>61</v>
      </c>
      <c r="I591" s="16"/>
    </row>
    <row r="592" ht="15.75" hidden="1" customHeight="1">
      <c r="A592" s="8">
        <v>46158.0</v>
      </c>
      <c r="B592" s="4" t="s">
        <v>1639</v>
      </c>
      <c r="C592" s="5">
        <v>6.830529E7</v>
      </c>
      <c r="D592" s="5">
        <v>0.0</v>
      </c>
      <c r="E592" s="5">
        <f t="shared" si="1"/>
        <v>22563555.43</v>
      </c>
      <c r="F592" s="14" t="s">
        <v>58</v>
      </c>
      <c r="G592" s="14" t="s">
        <v>59</v>
      </c>
      <c r="H592" s="4" t="s">
        <v>722</v>
      </c>
      <c r="I592" s="16"/>
    </row>
    <row r="593" ht="15.75" hidden="1" customHeight="1">
      <c r="A593" s="8">
        <v>46158.0</v>
      </c>
      <c r="B593" s="14" t="s">
        <v>1640</v>
      </c>
      <c r="C593" s="5">
        <v>60000.0</v>
      </c>
      <c r="D593" s="5">
        <v>0.0</v>
      </c>
      <c r="E593" s="5">
        <f t="shared" si="1"/>
        <v>22503555.43</v>
      </c>
      <c r="F593" s="15" t="s">
        <v>21</v>
      </c>
      <c r="G593" s="15" t="s">
        <v>190</v>
      </c>
      <c r="H593" s="16" t="s">
        <v>191</v>
      </c>
      <c r="I593" s="16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hidden="1" customHeight="1">
      <c r="A594" s="8">
        <v>46158.0</v>
      </c>
      <c r="B594" s="14" t="s">
        <v>1640</v>
      </c>
      <c r="C594" s="5">
        <v>70000.0</v>
      </c>
      <c r="D594" s="5">
        <v>0.0</v>
      </c>
      <c r="E594" s="5">
        <f t="shared" si="1"/>
        <v>22433555.43</v>
      </c>
      <c r="F594" s="15" t="s">
        <v>21</v>
      </c>
      <c r="G594" s="15" t="s">
        <v>190</v>
      </c>
      <c r="H594" s="4" t="s">
        <v>191</v>
      </c>
      <c r="I594" s="4" t="s">
        <v>192</v>
      </c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hidden="1" customHeight="1">
      <c r="A595" s="8">
        <v>46158.0</v>
      </c>
      <c r="B595" s="14" t="s">
        <v>1640</v>
      </c>
      <c r="C595" s="5">
        <v>40000.0</v>
      </c>
      <c r="D595" s="5">
        <v>0.0</v>
      </c>
      <c r="E595" s="5">
        <f t="shared" si="1"/>
        <v>22393555.43</v>
      </c>
      <c r="F595" s="14" t="s">
        <v>93</v>
      </c>
      <c r="G595" s="14" t="s">
        <v>93</v>
      </c>
      <c r="H595" s="16" t="s">
        <v>191</v>
      </c>
      <c r="I595" s="16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hidden="1" customHeight="1">
      <c r="A596" s="8">
        <v>46158.0</v>
      </c>
      <c r="B596" s="14" t="s">
        <v>1640</v>
      </c>
      <c r="C596" s="5">
        <v>92000.0</v>
      </c>
      <c r="D596" s="5">
        <v>0.0</v>
      </c>
      <c r="E596" s="5">
        <f t="shared" si="1"/>
        <v>22301555.43</v>
      </c>
      <c r="F596" s="15" t="s">
        <v>21</v>
      </c>
      <c r="G596" s="15" t="s">
        <v>190</v>
      </c>
      <c r="H596" s="4" t="s">
        <v>191</v>
      </c>
      <c r="I596" s="4" t="s">
        <v>254</v>
      </c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hidden="1" customHeight="1">
      <c r="A597" s="8">
        <v>46158.0</v>
      </c>
      <c r="B597" s="14" t="s">
        <v>1640</v>
      </c>
      <c r="C597" s="5">
        <v>59920.0</v>
      </c>
      <c r="D597" s="5">
        <v>0.0</v>
      </c>
      <c r="E597" s="5">
        <f t="shared" si="1"/>
        <v>22241635.43</v>
      </c>
      <c r="F597" s="14" t="s">
        <v>21</v>
      </c>
      <c r="G597" s="14" t="s">
        <v>190</v>
      </c>
      <c r="H597" s="16" t="s">
        <v>191</v>
      </c>
      <c r="I597" s="16" t="s">
        <v>1122</v>
      </c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hidden="1" customHeight="1">
      <c r="A598" s="8">
        <v>46158.0</v>
      </c>
      <c r="B598" s="14" t="s">
        <v>1640</v>
      </c>
      <c r="C598" s="5">
        <v>29000.0</v>
      </c>
      <c r="D598" s="5">
        <v>0.0</v>
      </c>
      <c r="E598" s="5">
        <f t="shared" si="1"/>
        <v>22212635.43</v>
      </c>
      <c r="F598" s="14" t="s">
        <v>93</v>
      </c>
      <c r="G598" s="14" t="s">
        <v>93</v>
      </c>
      <c r="H598" s="16" t="s">
        <v>711</v>
      </c>
      <c r="I598" s="15" t="s">
        <v>1169</v>
      </c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hidden="1" customHeight="1">
      <c r="A599" s="8">
        <v>46158.0</v>
      </c>
      <c r="B599" s="14" t="s">
        <v>1640</v>
      </c>
      <c r="C599" s="5">
        <v>29000.0</v>
      </c>
      <c r="D599" s="5">
        <v>0.0</v>
      </c>
      <c r="E599" s="5">
        <f t="shared" si="1"/>
        <v>22183635.43</v>
      </c>
      <c r="F599" s="14" t="s">
        <v>93</v>
      </c>
      <c r="G599" s="14" t="s">
        <v>93</v>
      </c>
      <c r="H599" s="16" t="s">
        <v>711</v>
      </c>
      <c r="I599" s="15" t="s">
        <v>1169</v>
      </c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hidden="1" customHeight="1">
      <c r="A600" s="8">
        <v>46158.0</v>
      </c>
      <c r="B600" s="14" t="s">
        <v>1640</v>
      </c>
      <c r="C600" s="5">
        <v>29000.0</v>
      </c>
      <c r="D600" s="5">
        <v>0.0</v>
      </c>
      <c r="E600" s="5">
        <f t="shared" si="1"/>
        <v>22154635.43</v>
      </c>
      <c r="F600" s="14" t="s">
        <v>93</v>
      </c>
      <c r="G600" s="14" t="s">
        <v>93</v>
      </c>
      <c r="H600" s="16" t="s">
        <v>711</v>
      </c>
      <c r="I600" s="15" t="s">
        <v>1169</v>
      </c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hidden="1" customHeight="1">
      <c r="A601" s="8">
        <v>46158.0</v>
      </c>
      <c r="B601" s="14" t="s">
        <v>1640</v>
      </c>
      <c r="C601" s="5">
        <v>29000.0</v>
      </c>
      <c r="D601" s="5">
        <v>0.0</v>
      </c>
      <c r="E601" s="5">
        <f t="shared" si="1"/>
        <v>22125635.43</v>
      </c>
      <c r="F601" s="14" t="s">
        <v>93</v>
      </c>
      <c r="G601" s="14" t="s">
        <v>93</v>
      </c>
      <c r="H601" s="16" t="s">
        <v>711</v>
      </c>
      <c r="I601" s="15" t="s">
        <v>1169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hidden="1" customHeight="1">
      <c r="A602" s="8">
        <v>46158.0</v>
      </c>
      <c r="B602" s="14" t="s">
        <v>1640</v>
      </c>
      <c r="C602" s="5">
        <v>29000.0</v>
      </c>
      <c r="D602" s="5">
        <v>0.0</v>
      </c>
      <c r="E602" s="5">
        <f t="shared" si="1"/>
        <v>22096635.43</v>
      </c>
      <c r="F602" s="14" t="s">
        <v>93</v>
      </c>
      <c r="G602" s="14" t="s">
        <v>93</v>
      </c>
      <c r="H602" s="16" t="s">
        <v>711</v>
      </c>
      <c r="I602" s="15" t="s">
        <v>1169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hidden="1" customHeight="1">
      <c r="A603" s="8">
        <v>46158.0</v>
      </c>
      <c r="B603" s="14" t="s">
        <v>1640</v>
      </c>
      <c r="C603" s="5">
        <v>29000.0</v>
      </c>
      <c r="D603" s="5">
        <v>0.0</v>
      </c>
      <c r="E603" s="5">
        <f t="shared" si="1"/>
        <v>22067635.43</v>
      </c>
      <c r="F603" s="14" t="s">
        <v>93</v>
      </c>
      <c r="G603" s="14" t="s">
        <v>93</v>
      </c>
      <c r="H603" s="16" t="s">
        <v>711</v>
      </c>
      <c r="I603" s="15" t="s">
        <v>1169</v>
      </c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hidden="1" customHeight="1">
      <c r="A604" s="8">
        <v>46158.0</v>
      </c>
      <c r="B604" s="14" t="s">
        <v>1640</v>
      </c>
      <c r="C604" s="5">
        <v>535630.0</v>
      </c>
      <c r="D604" s="5">
        <v>0.0</v>
      </c>
      <c r="E604" s="5">
        <f t="shared" si="1"/>
        <v>21532005.43</v>
      </c>
      <c r="F604" s="14" t="s">
        <v>93</v>
      </c>
      <c r="G604" s="14" t="s">
        <v>93</v>
      </c>
      <c r="H604" s="16" t="s">
        <v>711</v>
      </c>
      <c r="I604" s="15" t="s">
        <v>1169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hidden="1" customHeight="1">
      <c r="A605" s="8">
        <v>46158.0</v>
      </c>
      <c r="B605" s="14" t="s">
        <v>1640</v>
      </c>
      <c r="C605" s="5">
        <v>169950.0</v>
      </c>
      <c r="D605" s="5">
        <v>0.0</v>
      </c>
      <c r="E605" s="5">
        <f t="shared" si="1"/>
        <v>21362055.43</v>
      </c>
      <c r="F605" s="14" t="s">
        <v>93</v>
      </c>
      <c r="G605" s="14" t="s">
        <v>93</v>
      </c>
      <c r="H605" s="16" t="s">
        <v>711</v>
      </c>
      <c r="I605" s="15" t="s">
        <v>1169</v>
      </c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hidden="1" customHeight="1">
      <c r="A606" s="8">
        <v>46158.0</v>
      </c>
      <c r="B606" s="14" t="s">
        <v>1640</v>
      </c>
      <c r="C606" s="5">
        <v>169950.0</v>
      </c>
      <c r="D606" s="5">
        <v>0.0</v>
      </c>
      <c r="E606" s="5">
        <f t="shared" si="1"/>
        <v>21192105.43</v>
      </c>
      <c r="F606" s="14" t="s">
        <v>93</v>
      </c>
      <c r="G606" s="14" t="s">
        <v>93</v>
      </c>
      <c r="H606" s="16" t="s">
        <v>711</v>
      </c>
      <c r="I606" s="15" t="s">
        <v>1169</v>
      </c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hidden="1" customHeight="1">
      <c r="A607" s="8">
        <v>46158.0</v>
      </c>
      <c r="B607" s="14" t="s">
        <v>1640</v>
      </c>
      <c r="C607" s="5">
        <v>169950.0</v>
      </c>
      <c r="D607" s="5">
        <v>0.0</v>
      </c>
      <c r="E607" s="5">
        <f t="shared" si="1"/>
        <v>21022155.43</v>
      </c>
      <c r="F607" s="14" t="s">
        <v>93</v>
      </c>
      <c r="G607" s="14" t="s">
        <v>93</v>
      </c>
      <c r="H607" s="16" t="s">
        <v>711</v>
      </c>
      <c r="I607" s="15" t="s">
        <v>1169</v>
      </c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hidden="1" customHeight="1">
      <c r="A608" s="8">
        <v>46158.0</v>
      </c>
      <c r="B608" s="14" t="s">
        <v>1640</v>
      </c>
      <c r="C608" s="5">
        <v>169950.0</v>
      </c>
      <c r="D608" s="5">
        <v>0.0</v>
      </c>
      <c r="E608" s="5">
        <f t="shared" si="1"/>
        <v>20852205.43</v>
      </c>
      <c r="F608" s="14" t="s">
        <v>93</v>
      </c>
      <c r="G608" s="14" t="s">
        <v>93</v>
      </c>
      <c r="H608" s="16" t="s">
        <v>711</v>
      </c>
      <c r="I608" s="15" t="s">
        <v>1169</v>
      </c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hidden="1" customHeight="1">
      <c r="A609" s="8">
        <v>46158.0</v>
      </c>
      <c r="B609" s="14" t="s">
        <v>1640</v>
      </c>
      <c r="C609" s="5">
        <v>169950.0</v>
      </c>
      <c r="D609" s="5">
        <v>0.0</v>
      </c>
      <c r="E609" s="5">
        <f t="shared" si="1"/>
        <v>20682255.43</v>
      </c>
      <c r="F609" s="14" t="s">
        <v>93</v>
      </c>
      <c r="G609" s="14" t="s">
        <v>93</v>
      </c>
      <c r="H609" s="16" t="s">
        <v>711</v>
      </c>
      <c r="I609" s="15" t="s">
        <v>1169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hidden="1" customHeight="1">
      <c r="A610" s="8">
        <v>46158.0</v>
      </c>
      <c r="B610" s="14" t="s">
        <v>1640</v>
      </c>
      <c r="C610" s="5">
        <f>2065800-C593-C594-C595-C596-C597-C598-C599-C600-C601-C602-C603-C604-C605-C606-C607-C608-C609</f>
        <v>184500</v>
      </c>
      <c r="D610" s="5">
        <v>0.0</v>
      </c>
      <c r="E610" s="5">
        <f t="shared" si="1"/>
        <v>20497755.43</v>
      </c>
      <c r="F610" s="14" t="s">
        <v>93</v>
      </c>
      <c r="G610" s="14" t="s">
        <v>93</v>
      </c>
      <c r="H610" s="16" t="s">
        <v>711</v>
      </c>
      <c r="I610" s="15" t="s">
        <v>1169</v>
      </c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hidden="1" customHeight="1">
      <c r="A611" s="8">
        <v>46158.0</v>
      </c>
      <c r="B611" s="4" t="s">
        <v>800</v>
      </c>
      <c r="C611" s="5">
        <v>1.2343E7</v>
      </c>
      <c r="D611" s="5">
        <v>0.0</v>
      </c>
      <c r="E611" s="5">
        <f t="shared" si="1"/>
        <v>8154755.43</v>
      </c>
      <c r="F611" s="15" t="s">
        <v>21</v>
      </c>
      <c r="G611" s="14" t="s">
        <v>190</v>
      </c>
      <c r="H611" s="14"/>
      <c r="I611" s="16"/>
    </row>
    <row r="612" ht="15.75" hidden="1" customHeight="1">
      <c r="A612" s="8">
        <v>46158.0</v>
      </c>
      <c r="B612" s="4" t="s">
        <v>1657</v>
      </c>
      <c r="C612" s="5">
        <v>2500.0</v>
      </c>
      <c r="D612" s="5">
        <v>0.0</v>
      </c>
      <c r="E612" s="5">
        <f t="shared" si="1"/>
        <v>8152255.43</v>
      </c>
      <c r="F612" s="14" t="s">
        <v>43</v>
      </c>
      <c r="G612" s="14" t="s">
        <v>45</v>
      </c>
      <c r="H612" s="14"/>
      <c r="I612" s="16"/>
    </row>
    <row r="613" ht="15.75" hidden="1" customHeight="1">
      <c r="A613" s="8">
        <v>46161.0</v>
      </c>
      <c r="B613" s="4" t="s">
        <v>1091</v>
      </c>
      <c r="C613" s="5">
        <v>5907665.0</v>
      </c>
      <c r="D613" s="5">
        <v>0.0</v>
      </c>
      <c r="E613" s="5">
        <f t="shared" si="1"/>
        <v>2244590.43</v>
      </c>
      <c r="F613" s="14" t="s">
        <v>105</v>
      </c>
      <c r="G613" s="14" t="s">
        <v>674</v>
      </c>
      <c r="H613" s="14" t="s">
        <v>707</v>
      </c>
      <c r="I613" s="16"/>
    </row>
    <row r="614" ht="15.75" hidden="1" customHeight="1">
      <c r="A614" s="8">
        <v>46161.0</v>
      </c>
      <c r="B614" s="4" t="s">
        <v>1659</v>
      </c>
      <c r="C614" s="5"/>
      <c r="D614" s="5">
        <v>2.5E8</v>
      </c>
      <c r="E614" s="5">
        <f t="shared" si="1"/>
        <v>252244590.4</v>
      </c>
      <c r="F614" s="14" t="s">
        <v>21</v>
      </c>
      <c r="G614" s="14" t="s">
        <v>1070</v>
      </c>
      <c r="H614" s="14"/>
      <c r="I614" s="16"/>
    </row>
    <row r="615" ht="15.75" hidden="1" customHeight="1">
      <c r="A615" s="8">
        <v>46161.0</v>
      </c>
      <c r="B615" s="4" t="s">
        <v>1660</v>
      </c>
      <c r="C615" s="5">
        <v>6.593154E7</v>
      </c>
      <c r="D615" s="5">
        <v>0.0</v>
      </c>
      <c r="E615" s="5">
        <f t="shared" si="1"/>
        <v>186313050.4</v>
      </c>
      <c r="F615" s="14" t="s">
        <v>58</v>
      </c>
      <c r="G615" s="14" t="s">
        <v>59</v>
      </c>
      <c r="H615" s="14" t="s">
        <v>61</v>
      </c>
      <c r="I615" s="16"/>
    </row>
    <row r="616" ht="15.75" hidden="1" customHeight="1">
      <c r="A616" s="8">
        <v>46162.0</v>
      </c>
      <c r="B616" s="4" t="s">
        <v>1662</v>
      </c>
      <c r="C616" s="5">
        <v>1.5868846E7</v>
      </c>
      <c r="D616" s="5">
        <v>0.0</v>
      </c>
      <c r="E616" s="5">
        <f t="shared" si="1"/>
        <v>170444204.4</v>
      </c>
      <c r="F616" s="14" t="s">
        <v>105</v>
      </c>
      <c r="G616" s="14" t="s">
        <v>460</v>
      </c>
      <c r="H616" s="14" t="s">
        <v>707</v>
      </c>
      <c r="I616" s="16"/>
    </row>
    <row r="617" ht="15.75" hidden="1" customHeight="1">
      <c r="A617" s="8">
        <v>46162.0</v>
      </c>
      <c r="B617" s="4" t="s">
        <v>1663</v>
      </c>
      <c r="C617" s="5">
        <v>1.2E8</v>
      </c>
      <c r="D617" s="5">
        <v>0.0</v>
      </c>
      <c r="E617" s="5">
        <f t="shared" si="1"/>
        <v>50444204.43</v>
      </c>
      <c r="F617" s="14" t="s">
        <v>58</v>
      </c>
      <c r="G617" s="14" t="s">
        <v>59</v>
      </c>
      <c r="H617" s="14" t="s">
        <v>111</v>
      </c>
      <c r="I617" s="16"/>
    </row>
    <row r="618" ht="15.75" hidden="1" customHeight="1">
      <c r="A618" s="8">
        <v>46162.0</v>
      </c>
      <c r="B618" s="4" t="s">
        <v>1665</v>
      </c>
      <c r="C618" s="5">
        <v>2500.0</v>
      </c>
      <c r="D618" s="5">
        <v>0.0</v>
      </c>
      <c r="E618" s="5">
        <f t="shared" si="1"/>
        <v>50441704.43</v>
      </c>
      <c r="F618" s="14" t="s">
        <v>43</v>
      </c>
      <c r="G618" s="14" t="s">
        <v>45</v>
      </c>
      <c r="H618" s="14"/>
      <c r="I618" s="16"/>
    </row>
    <row r="619" ht="15.75" hidden="1" customHeight="1">
      <c r="A619" s="8">
        <v>46163.0</v>
      </c>
      <c r="B619" s="4" t="s">
        <v>1666</v>
      </c>
      <c r="C619" s="5">
        <v>8000000.0</v>
      </c>
      <c r="D619" s="5">
        <v>0.0</v>
      </c>
      <c r="E619" s="5">
        <f t="shared" si="1"/>
        <v>42441704.43</v>
      </c>
      <c r="F619" s="14" t="s">
        <v>93</v>
      </c>
      <c r="G619" s="14" t="s">
        <v>93</v>
      </c>
      <c r="H619" s="14" t="s">
        <v>21</v>
      </c>
      <c r="I619" s="16"/>
    </row>
    <row r="620" ht="15.75" hidden="1" customHeight="1">
      <c r="A620" s="8">
        <v>46163.0</v>
      </c>
      <c r="B620" s="4" t="s">
        <v>1667</v>
      </c>
      <c r="C620" s="5">
        <v>2500.0</v>
      </c>
      <c r="D620" s="5">
        <v>0.0</v>
      </c>
      <c r="E620" s="5">
        <f t="shared" si="1"/>
        <v>42439204.43</v>
      </c>
      <c r="F620" s="14" t="s">
        <v>43</v>
      </c>
      <c r="G620" s="14" t="s">
        <v>45</v>
      </c>
      <c r="H620" s="14"/>
      <c r="I620" s="16"/>
    </row>
    <row r="621" ht="15.75" hidden="1" customHeight="1">
      <c r="A621" s="8">
        <v>46163.0</v>
      </c>
      <c r="B621" s="4" t="s">
        <v>1668</v>
      </c>
      <c r="C621" s="5">
        <v>2.65E7</v>
      </c>
      <c r="D621" s="5">
        <v>0.0</v>
      </c>
      <c r="E621" s="5">
        <f t="shared" si="1"/>
        <v>15939204.43</v>
      </c>
      <c r="F621" s="14" t="s">
        <v>93</v>
      </c>
      <c r="G621" s="14" t="s">
        <v>93</v>
      </c>
      <c r="H621" s="14" t="s">
        <v>1558</v>
      </c>
      <c r="I621" s="16"/>
    </row>
    <row r="622" ht="15.75" hidden="1" customHeight="1">
      <c r="A622" s="8">
        <v>46163.0</v>
      </c>
      <c r="B622" s="4" t="s">
        <v>1669</v>
      </c>
      <c r="C622" s="5">
        <v>2500.0</v>
      </c>
      <c r="D622" s="5">
        <v>0.0</v>
      </c>
      <c r="E622" s="5">
        <f t="shared" si="1"/>
        <v>15936704.43</v>
      </c>
      <c r="F622" s="14" t="s">
        <v>43</v>
      </c>
      <c r="G622" s="14" t="s">
        <v>45</v>
      </c>
      <c r="H622" s="14"/>
      <c r="I622" s="16"/>
    </row>
    <row r="623" ht="15.75" hidden="1" customHeight="1">
      <c r="A623" s="8">
        <v>46163.0</v>
      </c>
      <c r="B623" s="4" t="s">
        <v>1670</v>
      </c>
      <c r="C623" s="5">
        <v>0.0</v>
      </c>
      <c r="D623" s="5">
        <v>2.65E7</v>
      </c>
      <c r="E623" s="5">
        <f t="shared" si="1"/>
        <v>42436704.43</v>
      </c>
      <c r="F623" s="14" t="s">
        <v>93</v>
      </c>
      <c r="G623" s="14" t="s">
        <v>93</v>
      </c>
      <c r="H623" s="14" t="s">
        <v>1558</v>
      </c>
      <c r="I623" s="16"/>
    </row>
    <row r="624" ht="15.75" hidden="1" customHeight="1">
      <c r="A624" s="8">
        <v>46164.0</v>
      </c>
      <c r="B624" s="4" t="s">
        <v>1672</v>
      </c>
      <c r="C624" s="5">
        <v>0.0</v>
      </c>
      <c r="D624" s="5">
        <v>4.8404739E7</v>
      </c>
      <c r="E624" s="5">
        <f t="shared" si="1"/>
        <v>90841443.43</v>
      </c>
      <c r="F624" s="14" t="s">
        <v>75</v>
      </c>
      <c r="G624" s="14" t="s">
        <v>76</v>
      </c>
      <c r="H624" s="14" t="s">
        <v>1673</v>
      </c>
      <c r="I624" s="16" t="s">
        <v>1674</v>
      </c>
    </row>
    <row r="625" ht="15.75" hidden="1" customHeight="1">
      <c r="A625" s="8">
        <v>46167.0</v>
      </c>
      <c r="B625" s="4" t="s">
        <v>1675</v>
      </c>
      <c r="C625" s="5">
        <v>0.0</v>
      </c>
      <c r="D625" s="5">
        <v>3.18341452E8</v>
      </c>
      <c r="E625" s="5">
        <f t="shared" si="1"/>
        <v>409182895.4</v>
      </c>
      <c r="F625" s="14" t="s">
        <v>75</v>
      </c>
      <c r="G625" s="14" t="s">
        <v>76</v>
      </c>
      <c r="H625" s="14" t="s">
        <v>111</v>
      </c>
      <c r="I625" s="16" t="s">
        <v>1676</v>
      </c>
    </row>
    <row r="626" ht="15.75" hidden="1" customHeight="1">
      <c r="A626" s="8">
        <v>46167.0</v>
      </c>
      <c r="B626" s="4" t="s">
        <v>1675</v>
      </c>
      <c r="C626" s="5">
        <v>0.0</v>
      </c>
      <c r="D626" s="5">
        <f>554141452-D625</f>
        <v>235800000</v>
      </c>
      <c r="E626" s="5">
        <f t="shared" si="1"/>
        <v>644982895.4</v>
      </c>
      <c r="F626" s="14" t="s">
        <v>75</v>
      </c>
      <c r="G626" s="14" t="s">
        <v>76</v>
      </c>
      <c r="H626" s="14" t="s">
        <v>111</v>
      </c>
      <c r="I626" s="16" t="s">
        <v>1678</v>
      </c>
    </row>
    <row r="627" ht="15.75" hidden="1" customHeight="1">
      <c r="A627" s="8">
        <v>46167.0</v>
      </c>
      <c r="B627" s="4" t="s">
        <v>1679</v>
      </c>
      <c r="C627" s="5">
        <v>1.15E8</v>
      </c>
      <c r="D627" s="5">
        <v>0.0</v>
      </c>
      <c r="E627" s="5">
        <f t="shared" si="1"/>
        <v>529982895.4</v>
      </c>
      <c r="F627" s="14" t="s">
        <v>93</v>
      </c>
      <c r="G627" s="14" t="s">
        <v>93</v>
      </c>
      <c r="H627" s="14" t="s">
        <v>134</v>
      </c>
      <c r="I627" s="16"/>
    </row>
    <row r="628" ht="15.75" hidden="1" customHeight="1">
      <c r="A628" s="8">
        <v>46167.0</v>
      </c>
      <c r="B628" s="4" t="s">
        <v>1681</v>
      </c>
      <c r="C628" s="5">
        <v>2500.0</v>
      </c>
      <c r="D628" s="5">
        <v>0.0</v>
      </c>
      <c r="E628" s="5">
        <f t="shared" si="1"/>
        <v>529980395.4</v>
      </c>
      <c r="F628" s="14" t="s">
        <v>43</v>
      </c>
      <c r="G628" s="14" t="s">
        <v>45</v>
      </c>
      <c r="H628" s="14"/>
      <c r="I628" s="16"/>
    </row>
    <row r="629" ht="15.75" hidden="1" customHeight="1">
      <c r="A629" s="8">
        <v>46167.0</v>
      </c>
      <c r="B629" s="4" t="s">
        <v>1682</v>
      </c>
      <c r="C629" s="5">
        <v>2.5E8</v>
      </c>
      <c r="D629" s="5">
        <v>0.0</v>
      </c>
      <c r="E629" s="5">
        <f t="shared" si="1"/>
        <v>279980395.4</v>
      </c>
      <c r="F629" s="14" t="s">
        <v>93</v>
      </c>
      <c r="G629" s="14" t="s">
        <v>93</v>
      </c>
      <c r="H629" s="14" t="s">
        <v>20</v>
      </c>
      <c r="I629" s="16"/>
    </row>
    <row r="630" ht="15.75" hidden="1" customHeight="1">
      <c r="A630" s="8">
        <v>46167.0</v>
      </c>
      <c r="B630" s="4" t="s">
        <v>1684</v>
      </c>
      <c r="C630" s="5">
        <v>2500.0</v>
      </c>
      <c r="D630" s="5">
        <v>0.0</v>
      </c>
      <c r="E630" s="5">
        <f t="shared" si="1"/>
        <v>279977895.4</v>
      </c>
      <c r="F630" s="14" t="s">
        <v>43</v>
      </c>
      <c r="G630" s="14" t="s">
        <v>45</v>
      </c>
      <c r="H630" s="14"/>
      <c r="I630" s="16"/>
    </row>
    <row r="631" ht="15.75" hidden="1" customHeight="1">
      <c r="A631" s="8">
        <v>46167.0</v>
      </c>
      <c r="B631" s="4" t="s">
        <v>1688</v>
      </c>
      <c r="C631" s="5">
        <v>2.5E8</v>
      </c>
      <c r="D631" s="5">
        <v>0.0</v>
      </c>
      <c r="E631" s="5">
        <f t="shared" si="1"/>
        <v>29977895.43</v>
      </c>
      <c r="F631" s="14" t="s">
        <v>93</v>
      </c>
      <c r="G631" s="14" t="s">
        <v>93</v>
      </c>
      <c r="H631" s="14" t="s">
        <v>20</v>
      </c>
      <c r="I631" s="16"/>
    </row>
    <row r="632" ht="15.75" hidden="1" customHeight="1">
      <c r="A632" s="8">
        <v>46167.0</v>
      </c>
      <c r="B632" s="4" t="s">
        <v>1689</v>
      </c>
      <c r="C632" s="5">
        <v>2500.0</v>
      </c>
      <c r="D632" s="5">
        <v>0.0</v>
      </c>
      <c r="E632" s="5">
        <f t="shared" si="1"/>
        <v>29975395.43</v>
      </c>
      <c r="F632" s="14" t="s">
        <v>43</v>
      </c>
      <c r="G632" s="14" t="s">
        <v>45</v>
      </c>
      <c r="H632" s="14"/>
      <c r="I632" s="16"/>
    </row>
    <row r="633" ht="15.75" hidden="1" customHeight="1">
      <c r="A633" s="8">
        <v>46168.0</v>
      </c>
      <c r="B633" s="4" t="s">
        <v>1222</v>
      </c>
      <c r="C633" s="5">
        <v>0.0</v>
      </c>
      <c r="D633" s="5">
        <v>2.6E7</v>
      </c>
      <c r="E633" s="5">
        <f t="shared" si="1"/>
        <v>55975395.43</v>
      </c>
      <c r="F633" s="14" t="s">
        <v>21</v>
      </c>
      <c r="G633" s="14" t="s">
        <v>842</v>
      </c>
      <c r="H633" s="14"/>
      <c r="I633" s="16"/>
    </row>
    <row r="634" ht="15.75" hidden="1" customHeight="1">
      <c r="A634" s="8">
        <v>46168.0</v>
      </c>
      <c r="B634" s="4" t="s">
        <v>1691</v>
      </c>
      <c r="C634" s="5">
        <v>1.14897E7</v>
      </c>
      <c r="D634" s="5">
        <v>0.0</v>
      </c>
      <c r="E634" s="5">
        <f t="shared" si="1"/>
        <v>44485695.43</v>
      </c>
      <c r="F634" s="14" t="s">
        <v>24</v>
      </c>
      <c r="G634" s="14" t="s">
        <v>125</v>
      </c>
      <c r="H634" s="14" t="s">
        <v>359</v>
      </c>
      <c r="I634" s="16"/>
    </row>
    <row r="635" ht="15.75" hidden="1" customHeight="1">
      <c r="A635" s="8">
        <v>46168.0</v>
      </c>
      <c r="B635" s="4" t="s">
        <v>1692</v>
      </c>
      <c r="C635" s="5">
        <v>2500.0</v>
      </c>
      <c r="D635" s="5">
        <v>0.0</v>
      </c>
      <c r="E635" s="5">
        <f t="shared" si="1"/>
        <v>44483195.43</v>
      </c>
      <c r="F635" s="14" t="s">
        <v>43</v>
      </c>
      <c r="G635" s="14" t="s">
        <v>45</v>
      </c>
      <c r="H635" s="14"/>
      <c r="I635" s="16"/>
    </row>
    <row r="636" ht="15.75" hidden="1" customHeight="1">
      <c r="A636" s="8">
        <v>46168.0</v>
      </c>
      <c r="B636" s="4" t="s">
        <v>1695</v>
      </c>
      <c r="C636" s="5">
        <v>1.369957E7</v>
      </c>
      <c r="D636" s="5">
        <v>0.0</v>
      </c>
      <c r="E636" s="5">
        <f t="shared" si="1"/>
        <v>30783625.43</v>
      </c>
      <c r="F636" s="14" t="s">
        <v>58</v>
      </c>
      <c r="G636" s="14" t="s">
        <v>59</v>
      </c>
      <c r="H636" s="14" t="s">
        <v>61</v>
      </c>
      <c r="I636" s="16"/>
    </row>
    <row r="637" ht="15.75" hidden="1" customHeight="1">
      <c r="A637" s="8">
        <v>46168.0</v>
      </c>
      <c r="B637" s="4" t="s">
        <v>1696</v>
      </c>
      <c r="C637" s="5">
        <v>2500.0</v>
      </c>
      <c r="D637" s="5">
        <v>0.0</v>
      </c>
      <c r="E637" s="5">
        <f t="shared" si="1"/>
        <v>30781125.43</v>
      </c>
      <c r="F637" s="14" t="s">
        <v>43</v>
      </c>
      <c r="G637" s="14" t="s">
        <v>45</v>
      </c>
      <c r="H637" s="14"/>
      <c r="I637" s="16"/>
    </row>
    <row r="638" ht="15.75" hidden="1" customHeight="1">
      <c r="A638" s="8">
        <v>46168.0</v>
      </c>
      <c r="B638" s="4" t="s">
        <v>1698</v>
      </c>
      <c r="C638" s="5">
        <v>1.5036833E7</v>
      </c>
      <c r="D638" s="5">
        <v>0.0</v>
      </c>
      <c r="E638" s="5">
        <f t="shared" si="1"/>
        <v>15744292.43</v>
      </c>
      <c r="F638" s="14" t="s">
        <v>58</v>
      </c>
      <c r="G638" s="14" t="s">
        <v>59</v>
      </c>
      <c r="H638" s="14" t="s">
        <v>61</v>
      </c>
      <c r="I638" s="16"/>
    </row>
    <row r="639" ht="15.75" hidden="1" customHeight="1">
      <c r="A639" s="8">
        <v>46168.0</v>
      </c>
      <c r="B639" s="4" t="s">
        <v>1700</v>
      </c>
      <c r="C639" s="5">
        <v>2500.0</v>
      </c>
      <c r="D639" s="5">
        <v>0.0</v>
      </c>
      <c r="E639" s="5">
        <f t="shared" si="1"/>
        <v>15741792.43</v>
      </c>
      <c r="F639" s="14" t="s">
        <v>43</v>
      </c>
      <c r="G639" s="14" t="s">
        <v>45</v>
      </c>
      <c r="H639" s="14"/>
      <c r="I639" s="16"/>
    </row>
    <row r="640" ht="15.75" hidden="1" customHeight="1">
      <c r="A640" s="8">
        <v>46168.0</v>
      </c>
      <c r="B640" s="4" t="s">
        <v>1702</v>
      </c>
      <c r="C640" s="5">
        <v>1.04175E7</v>
      </c>
      <c r="D640" s="5">
        <v>0.0</v>
      </c>
      <c r="E640" s="5">
        <f t="shared" si="1"/>
        <v>5324292.43</v>
      </c>
      <c r="F640" s="14" t="s">
        <v>58</v>
      </c>
      <c r="G640" s="14" t="s">
        <v>59</v>
      </c>
      <c r="H640" s="14" t="s">
        <v>61</v>
      </c>
      <c r="I640" s="16"/>
    </row>
    <row r="641" ht="15.75" hidden="1" customHeight="1">
      <c r="A641" s="8">
        <v>46168.0</v>
      </c>
      <c r="B641" s="4" t="s">
        <v>1705</v>
      </c>
      <c r="C641" s="5">
        <v>2500.0</v>
      </c>
      <c r="D641" s="5">
        <v>0.0</v>
      </c>
      <c r="E641" s="5">
        <f t="shared" si="1"/>
        <v>5321792.43</v>
      </c>
      <c r="F641" s="14" t="s">
        <v>43</v>
      </c>
      <c r="G641" s="14" t="s">
        <v>45</v>
      </c>
      <c r="H641" s="14"/>
      <c r="I641" s="16"/>
    </row>
    <row r="642" ht="15.75" hidden="1" customHeight="1">
      <c r="A642" s="8">
        <v>46168.0</v>
      </c>
      <c r="B642" s="4" t="s">
        <v>1706</v>
      </c>
      <c r="C642" s="5">
        <v>2504800.0</v>
      </c>
      <c r="D642" s="5">
        <v>0.0</v>
      </c>
      <c r="E642" s="5">
        <f t="shared" si="1"/>
        <v>2816992.43</v>
      </c>
      <c r="F642" s="14" t="s">
        <v>58</v>
      </c>
      <c r="G642" s="14" t="s">
        <v>59</v>
      </c>
      <c r="H642" s="14" t="s">
        <v>61</v>
      </c>
      <c r="I642" s="16"/>
    </row>
    <row r="643" ht="15.75" hidden="1" customHeight="1">
      <c r="A643" s="8">
        <v>46168.0</v>
      </c>
      <c r="B643" s="4" t="s">
        <v>1707</v>
      </c>
      <c r="C643" s="5">
        <v>2500.0</v>
      </c>
      <c r="D643" s="5">
        <v>0.0</v>
      </c>
      <c r="E643" s="5">
        <f t="shared" si="1"/>
        <v>2814492.43</v>
      </c>
      <c r="F643" s="14" t="s">
        <v>43</v>
      </c>
      <c r="G643" s="14" t="s">
        <v>45</v>
      </c>
      <c r="H643" s="14"/>
      <c r="I643" s="16"/>
    </row>
    <row r="644" ht="15.75" hidden="1" customHeight="1">
      <c r="A644" s="8">
        <v>46168.0</v>
      </c>
      <c r="B644" s="4" t="s">
        <v>1708</v>
      </c>
      <c r="C644" s="5">
        <v>1140000.0</v>
      </c>
      <c r="D644" s="5">
        <v>0.0</v>
      </c>
      <c r="E644" s="5">
        <f t="shared" si="1"/>
        <v>1674492.43</v>
      </c>
      <c r="F644" s="14" t="s">
        <v>58</v>
      </c>
      <c r="G644" s="14" t="s">
        <v>59</v>
      </c>
      <c r="H644" s="14" t="s">
        <v>61</v>
      </c>
      <c r="I644" s="16"/>
    </row>
    <row r="645" ht="15.75" hidden="1" customHeight="1">
      <c r="A645" s="8">
        <v>46168.0</v>
      </c>
      <c r="B645" s="4" t="s">
        <v>1710</v>
      </c>
      <c r="C645" s="5">
        <v>2500.0</v>
      </c>
      <c r="D645" s="5">
        <v>0.0</v>
      </c>
      <c r="E645" s="5">
        <f t="shared" si="1"/>
        <v>1671992.43</v>
      </c>
      <c r="F645" s="14" t="s">
        <v>43</v>
      </c>
      <c r="G645" s="14" t="s">
        <v>45</v>
      </c>
      <c r="H645" s="14"/>
      <c r="I645" s="16"/>
    </row>
    <row r="646" ht="15.75" hidden="1" customHeight="1">
      <c r="A646" s="8">
        <v>46168.0</v>
      </c>
      <c r="B646" s="4" t="s">
        <v>1222</v>
      </c>
      <c r="C646" s="5">
        <v>0.0</v>
      </c>
      <c r="D646" s="5">
        <v>5750000.0</v>
      </c>
      <c r="E646" s="5">
        <f t="shared" si="1"/>
        <v>7421992.43</v>
      </c>
      <c r="F646" s="14" t="s">
        <v>21</v>
      </c>
      <c r="G646" s="14" t="s">
        <v>842</v>
      </c>
      <c r="H646" s="14"/>
      <c r="I646" s="16"/>
    </row>
    <row r="647" ht="15.75" hidden="1" customHeight="1">
      <c r="A647" s="8">
        <v>46168.0</v>
      </c>
      <c r="B647" s="4" t="s">
        <v>1714</v>
      </c>
      <c r="C647" s="5">
        <v>1395964.0</v>
      </c>
      <c r="D647" s="5">
        <v>0.0</v>
      </c>
      <c r="E647" s="5">
        <f t="shared" si="1"/>
        <v>6026028.43</v>
      </c>
      <c r="F647" s="14" t="s">
        <v>58</v>
      </c>
      <c r="G647" s="14" t="s">
        <v>59</v>
      </c>
      <c r="H647" s="14" t="s">
        <v>722</v>
      </c>
      <c r="I647" s="16"/>
    </row>
    <row r="648" ht="15.75" hidden="1" customHeight="1">
      <c r="A648" s="8">
        <v>46168.0</v>
      </c>
      <c r="B648" s="4" t="s">
        <v>1716</v>
      </c>
      <c r="C648" s="5">
        <v>2500.0</v>
      </c>
      <c r="D648" s="5">
        <v>0.0</v>
      </c>
      <c r="E648" s="5">
        <f t="shared" si="1"/>
        <v>6023528.43</v>
      </c>
      <c r="F648" s="14" t="s">
        <v>43</v>
      </c>
      <c r="G648" s="14" t="s">
        <v>45</v>
      </c>
      <c r="H648" s="14"/>
      <c r="I648" s="16"/>
    </row>
    <row r="649" ht="15.75" hidden="1" customHeight="1">
      <c r="A649" s="8">
        <v>46168.0</v>
      </c>
      <c r="B649" s="4" t="s">
        <v>1718</v>
      </c>
      <c r="C649" s="5">
        <v>4986808.0</v>
      </c>
      <c r="D649" s="5">
        <v>0.0</v>
      </c>
      <c r="E649" s="5">
        <f t="shared" si="1"/>
        <v>1036720.43</v>
      </c>
      <c r="F649" s="14" t="s">
        <v>58</v>
      </c>
      <c r="G649" s="14" t="s">
        <v>59</v>
      </c>
      <c r="H649" s="14" t="s">
        <v>61</v>
      </c>
      <c r="I649" s="16"/>
    </row>
    <row r="650" ht="15.75" hidden="1" customHeight="1">
      <c r="A650" s="8">
        <v>46168.0</v>
      </c>
      <c r="B650" s="4" t="s">
        <v>1720</v>
      </c>
      <c r="C650" s="5">
        <v>2500.0</v>
      </c>
      <c r="D650" s="5">
        <v>0.0</v>
      </c>
      <c r="E650" s="5">
        <f t="shared" si="1"/>
        <v>1034220.43</v>
      </c>
      <c r="F650" s="14" t="s">
        <v>43</v>
      </c>
      <c r="G650" s="14" t="s">
        <v>45</v>
      </c>
      <c r="H650" s="14"/>
      <c r="I650" s="16"/>
    </row>
    <row r="651" ht="15.75" hidden="1" customHeight="1">
      <c r="A651" s="8">
        <v>46168.0</v>
      </c>
      <c r="B651" s="4" t="s">
        <v>1721</v>
      </c>
      <c r="C651" s="5">
        <v>22000.0</v>
      </c>
      <c r="D651" s="5">
        <v>0.0</v>
      </c>
      <c r="E651" s="5">
        <f t="shared" si="1"/>
        <v>1012220.43</v>
      </c>
      <c r="F651" s="4" t="s">
        <v>21</v>
      </c>
      <c r="G651" s="4" t="s">
        <v>448</v>
      </c>
      <c r="H651" s="4" t="s">
        <v>613</v>
      </c>
      <c r="I651" s="16" t="s">
        <v>6</v>
      </c>
    </row>
    <row r="652" ht="15.75" hidden="1" customHeight="1">
      <c r="A652" s="8">
        <v>46168.0</v>
      </c>
      <c r="B652" s="4" t="s">
        <v>1723</v>
      </c>
      <c r="C652" s="5">
        <v>2500.0</v>
      </c>
      <c r="D652" s="5">
        <v>0.0</v>
      </c>
      <c r="E652" s="5">
        <f t="shared" si="1"/>
        <v>1009720.43</v>
      </c>
      <c r="F652" s="14" t="s">
        <v>43</v>
      </c>
      <c r="G652" s="14" t="s">
        <v>45</v>
      </c>
      <c r="H652" s="14"/>
      <c r="I652" s="16"/>
    </row>
    <row r="653" ht="15.75" hidden="1" customHeight="1">
      <c r="A653" s="8">
        <v>46168.0</v>
      </c>
      <c r="B653" s="4" t="s">
        <v>1724</v>
      </c>
      <c r="C653" s="5">
        <v>0.0</v>
      </c>
      <c r="D653" s="5">
        <v>4850000.0</v>
      </c>
      <c r="E653" s="5">
        <f t="shared" si="1"/>
        <v>5859720.43</v>
      </c>
      <c r="F653" s="14" t="s">
        <v>93</v>
      </c>
      <c r="G653" s="14" t="s">
        <v>93</v>
      </c>
      <c r="H653" s="14" t="s">
        <v>20</v>
      </c>
      <c r="I653" s="16"/>
    </row>
    <row r="654" ht="15.75" hidden="1" customHeight="1">
      <c r="A654" s="8">
        <v>46168.0</v>
      </c>
      <c r="B654" s="4" t="s">
        <v>1726</v>
      </c>
      <c r="C654" s="5">
        <v>4850000.0</v>
      </c>
      <c r="D654" s="5">
        <v>0.0</v>
      </c>
      <c r="E654" s="5">
        <f t="shared" si="1"/>
        <v>1009720.43</v>
      </c>
      <c r="F654" s="14" t="s">
        <v>58</v>
      </c>
      <c r="G654" s="14" t="s">
        <v>59</v>
      </c>
      <c r="H654" s="14" t="s">
        <v>111</v>
      </c>
      <c r="I654" s="16"/>
    </row>
    <row r="655" ht="15.75" hidden="1" customHeight="1">
      <c r="A655" s="8">
        <v>46171.0</v>
      </c>
      <c r="B655" s="4" t="s">
        <v>1728</v>
      </c>
      <c r="C655" s="5">
        <v>0.0</v>
      </c>
      <c r="D655" s="5">
        <v>2.1215E8</v>
      </c>
      <c r="E655" s="5">
        <f t="shared" si="1"/>
        <v>213159720.4</v>
      </c>
      <c r="F655" s="14" t="s">
        <v>93</v>
      </c>
      <c r="G655" s="14" t="s">
        <v>93</v>
      </c>
      <c r="H655" s="14" t="s">
        <v>134</v>
      </c>
      <c r="I655" s="16"/>
    </row>
    <row r="656" ht="15.75" hidden="1" customHeight="1">
      <c r="A656" s="8">
        <v>46171.0</v>
      </c>
      <c r="B656" s="4" t="s">
        <v>1730</v>
      </c>
      <c r="C656" s="5">
        <v>2.1215E8</v>
      </c>
      <c r="D656" s="5">
        <v>0.0</v>
      </c>
      <c r="E656" s="5">
        <f t="shared" si="1"/>
        <v>1009720.43</v>
      </c>
      <c r="F656" s="14" t="s">
        <v>105</v>
      </c>
      <c r="G656" s="14" t="s">
        <v>193</v>
      </c>
      <c r="H656" s="14" t="s">
        <v>707</v>
      </c>
      <c r="I656" s="16"/>
    </row>
    <row r="657" ht="15.75" hidden="1" customHeight="1">
      <c r="A657" s="8">
        <v>46171.0</v>
      </c>
      <c r="B657" s="4" t="s">
        <v>1731</v>
      </c>
      <c r="C657" s="5">
        <v>2500.0</v>
      </c>
      <c r="D657" s="5">
        <v>0.0</v>
      </c>
      <c r="E657" s="5">
        <f t="shared" si="1"/>
        <v>1007220.43</v>
      </c>
      <c r="F657" s="14" t="s">
        <v>43</v>
      </c>
      <c r="G657" s="14" t="s">
        <v>45</v>
      </c>
      <c r="H657" s="14"/>
      <c r="I657" s="16"/>
    </row>
    <row r="658" ht="15.75" hidden="1" customHeight="1">
      <c r="A658" s="8">
        <v>46173.0</v>
      </c>
      <c r="B658" s="4" t="s">
        <v>562</v>
      </c>
      <c r="C658" s="5">
        <v>25000.0</v>
      </c>
      <c r="D658" s="5">
        <v>0.0</v>
      </c>
      <c r="E658" s="5">
        <f t="shared" si="1"/>
        <v>982220.43</v>
      </c>
      <c r="F658" s="14" t="s">
        <v>43</v>
      </c>
      <c r="G658" s="14" t="s">
        <v>45</v>
      </c>
      <c r="H658" s="14"/>
      <c r="I658" s="16"/>
    </row>
    <row r="659" ht="15.75" hidden="1" customHeight="1">
      <c r="A659" s="8">
        <v>46173.0</v>
      </c>
      <c r="B659" s="4" t="s">
        <v>1734</v>
      </c>
      <c r="C659" s="5">
        <v>25000.0</v>
      </c>
      <c r="D659" s="5">
        <v>0.0</v>
      </c>
      <c r="E659" s="5">
        <f t="shared" si="1"/>
        <v>957220.43</v>
      </c>
      <c r="F659" s="14" t="s">
        <v>43</v>
      </c>
      <c r="G659" s="14" t="s">
        <v>45</v>
      </c>
      <c r="H659" s="14"/>
      <c r="I659" s="16"/>
    </row>
    <row r="660" ht="15.75" hidden="1" customHeight="1">
      <c r="A660" s="8">
        <v>46173.0</v>
      </c>
      <c r="B660" s="4" t="s">
        <v>626</v>
      </c>
      <c r="C660" s="5">
        <v>0.0</v>
      </c>
      <c r="D660" s="5">
        <v>11930.35</v>
      </c>
      <c r="E660" s="5">
        <f t="shared" si="1"/>
        <v>969150.78</v>
      </c>
      <c r="F660" s="14" t="s">
        <v>63</v>
      </c>
      <c r="G660" s="14" t="s">
        <v>65</v>
      </c>
      <c r="H660" s="14"/>
      <c r="I660" s="16"/>
    </row>
    <row r="661" ht="15.75" hidden="1" customHeight="1">
      <c r="A661" s="8">
        <v>46173.0</v>
      </c>
      <c r="B661" s="4" t="s">
        <v>1199</v>
      </c>
      <c r="C661" s="5">
        <v>2386.07</v>
      </c>
      <c r="D661" s="5">
        <v>0.0</v>
      </c>
      <c r="E661" s="5">
        <f t="shared" si="1"/>
        <v>966764.71</v>
      </c>
      <c r="F661" s="14" t="s">
        <v>63</v>
      </c>
      <c r="G661" s="14" t="s">
        <v>65</v>
      </c>
      <c r="H661" s="14"/>
      <c r="I661" s="16"/>
    </row>
    <row r="662" ht="15.75" hidden="1" customHeight="1">
      <c r="A662" s="8">
        <v>46176.0</v>
      </c>
      <c r="B662" s="4" t="s">
        <v>1222</v>
      </c>
      <c r="C662" s="5">
        <v>0.0</v>
      </c>
      <c r="D662" s="5">
        <v>1.878E8</v>
      </c>
      <c r="E662" s="5">
        <f t="shared" si="1"/>
        <v>188766764.7</v>
      </c>
      <c r="F662" s="15" t="s">
        <v>21</v>
      </c>
      <c r="G662" s="15" t="s">
        <v>842</v>
      </c>
      <c r="H662" s="14"/>
      <c r="I662" s="16"/>
    </row>
    <row r="663" ht="15.75" hidden="1" customHeight="1">
      <c r="A663" s="8">
        <v>46177.0</v>
      </c>
      <c r="B663" s="4" t="s">
        <v>1738</v>
      </c>
      <c r="C663" s="5">
        <v>4.643289E7</v>
      </c>
      <c r="D663" s="5">
        <v>0.0</v>
      </c>
      <c r="E663" s="5">
        <f t="shared" si="1"/>
        <v>142333874.7</v>
      </c>
      <c r="F663" s="14" t="s">
        <v>21</v>
      </c>
      <c r="G663" s="14" t="s">
        <v>448</v>
      </c>
      <c r="H663" s="14" t="s">
        <v>70</v>
      </c>
      <c r="I663" s="16"/>
    </row>
    <row r="664" ht="15.75" hidden="1" customHeight="1">
      <c r="A664" s="8">
        <v>46177.0</v>
      </c>
      <c r="B664" s="4" t="s">
        <v>1739</v>
      </c>
      <c r="C664" s="5">
        <v>1.41302019E8</v>
      </c>
      <c r="D664" s="5">
        <v>0.0</v>
      </c>
      <c r="E664" s="5">
        <f t="shared" si="1"/>
        <v>1031855.71</v>
      </c>
      <c r="F664" s="14" t="s">
        <v>21</v>
      </c>
      <c r="G664" s="14" t="s">
        <v>448</v>
      </c>
      <c r="H664" s="14" t="s">
        <v>38</v>
      </c>
      <c r="I664" s="16"/>
    </row>
    <row r="665" ht="15.75" hidden="1" customHeight="1">
      <c r="A665" s="8">
        <v>46177.0</v>
      </c>
      <c r="B665" s="4" t="s">
        <v>1740</v>
      </c>
      <c r="C665" s="5">
        <v>2500.0</v>
      </c>
      <c r="D665" s="5">
        <v>0.0</v>
      </c>
      <c r="E665" s="5">
        <f t="shared" si="1"/>
        <v>1029355.71</v>
      </c>
      <c r="F665" s="14" t="s">
        <v>43</v>
      </c>
      <c r="G665" s="14" t="s">
        <v>45</v>
      </c>
      <c r="H665" s="14"/>
      <c r="I665" s="16"/>
    </row>
    <row r="666" ht="15.75" hidden="1" customHeight="1">
      <c r="A666" s="8">
        <v>46177.0</v>
      </c>
      <c r="B666" s="4" t="s">
        <v>1742</v>
      </c>
      <c r="C666" s="5">
        <v>2500.0</v>
      </c>
      <c r="D666" s="5">
        <v>0.0</v>
      </c>
      <c r="E666" s="5">
        <f t="shared" si="1"/>
        <v>1026855.71</v>
      </c>
      <c r="F666" s="14" t="s">
        <v>43</v>
      </c>
      <c r="G666" s="14" t="s">
        <v>45</v>
      </c>
      <c r="H666" s="14"/>
      <c r="I666" s="16"/>
    </row>
    <row r="667" ht="15.75" hidden="1" customHeight="1">
      <c r="A667" s="8">
        <v>46177.0</v>
      </c>
      <c r="B667" s="4" t="s">
        <v>1744</v>
      </c>
      <c r="C667" s="5">
        <v>0.0</v>
      </c>
      <c r="D667" s="5">
        <v>1.64115479E8</v>
      </c>
      <c r="E667" s="5">
        <f t="shared" si="1"/>
        <v>165142334.7</v>
      </c>
      <c r="F667" s="15" t="s">
        <v>21</v>
      </c>
      <c r="G667" s="15" t="s">
        <v>842</v>
      </c>
      <c r="H667" s="14"/>
      <c r="I667" s="16"/>
    </row>
    <row r="668" ht="15.75" hidden="1" customHeight="1">
      <c r="A668" s="8">
        <v>46177.0</v>
      </c>
      <c r="B668" s="4" t="s">
        <v>1746</v>
      </c>
      <c r="C668" s="5">
        <v>1.64115479E8</v>
      </c>
      <c r="D668" s="5">
        <v>0.0</v>
      </c>
      <c r="E668" s="5">
        <f t="shared" si="1"/>
        <v>1026855.71</v>
      </c>
      <c r="F668" s="14" t="s">
        <v>21</v>
      </c>
      <c r="G668" s="14" t="s">
        <v>448</v>
      </c>
      <c r="H668" s="14" t="s">
        <v>55</v>
      </c>
      <c r="I668" s="16"/>
    </row>
    <row r="669" ht="15.75" hidden="1" customHeight="1">
      <c r="A669" s="8">
        <v>46177.0</v>
      </c>
      <c r="B669" s="4" t="s">
        <v>1747</v>
      </c>
      <c r="C669" s="5">
        <v>2500.0</v>
      </c>
      <c r="D669" s="5">
        <v>0.0</v>
      </c>
      <c r="E669" s="5">
        <f t="shared" si="1"/>
        <v>1024355.71</v>
      </c>
      <c r="F669" s="14" t="s">
        <v>43</v>
      </c>
      <c r="G669" s="14" t="s">
        <v>45</v>
      </c>
      <c r="H669" s="14"/>
      <c r="I669" s="16"/>
    </row>
    <row r="670" ht="15.75" hidden="1" customHeight="1">
      <c r="A670" s="8">
        <v>46177.0</v>
      </c>
      <c r="B670" s="4" t="s">
        <v>1749</v>
      </c>
      <c r="C670" s="5">
        <v>0.0</v>
      </c>
      <c r="D670" s="5">
        <v>5.0E8</v>
      </c>
      <c r="E670" s="5">
        <f t="shared" si="1"/>
        <v>501024355.7</v>
      </c>
      <c r="F670" s="14" t="s">
        <v>93</v>
      </c>
      <c r="G670" s="14" t="s">
        <v>93</v>
      </c>
      <c r="H670" s="14" t="s">
        <v>20</v>
      </c>
      <c r="I670" s="16"/>
    </row>
    <row r="671" ht="15.75" hidden="1" customHeight="1">
      <c r="A671" s="8">
        <v>46179.0</v>
      </c>
      <c r="B671" s="4" t="s">
        <v>1750</v>
      </c>
      <c r="C671" s="5">
        <v>1.4858042E7</v>
      </c>
      <c r="D671" s="5">
        <v>0.0</v>
      </c>
      <c r="E671" s="5">
        <f t="shared" si="1"/>
        <v>486166313.7</v>
      </c>
      <c r="F671" s="14" t="s">
        <v>58</v>
      </c>
      <c r="G671" s="14" t="s">
        <v>59</v>
      </c>
      <c r="H671" s="14" t="s">
        <v>722</v>
      </c>
      <c r="I671" s="16"/>
    </row>
    <row r="672" ht="15.75" hidden="1" customHeight="1">
      <c r="A672" s="8">
        <v>46182.0</v>
      </c>
      <c r="B672" s="4" t="s">
        <v>1752</v>
      </c>
      <c r="C672" s="5">
        <v>2.5E8</v>
      </c>
      <c r="D672" s="5">
        <v>0.0</v>
      </c>
      <c r="E672" s="5">
        <f t="shared" si="1"/>
        <v>236166313.7</v>
      </c>
      <c r="F672" s="14" t="s">
        <v>21</v>
      </c>
      <c r="G672" s="14" t="s">
        <v>448</v>
      </c>
      <c r="H672" s="14" t="s">
        <v>1754</v>
      </c>
      <c r="I672" s="16" t="s">
        <v>451</v>
      </c>
    </row>
    <row r="673" ht="15.75" hidden="1" customHeight="1">
      <c r="A673" s="8">
        <v>46182.0</v>
      </c>
      <c r="B673" s="4" t="s">
        <v>1755</v>
      </c>
      <c r="C673" s="5">
        <v>2500.0</v>
      </c>
      <c r="D673" s="5">
        <v>0.0</v>
      </c>
      <c r="E673" s="5">
        <f t="shared" si="1"/>
        <v>236163813.7</v>
      </c>
      <c r="F673" s="14" t="s">
        <v>43</v>
      </c>
      <c r="G673" s="14" t="s">
        <v>45</v>
      </c>
      <c r="H673" s="14"/>
      <c r="I673" s="16"/>
    </row>
    <row r="674" ht="15.75" hidden="1" customHeight="1">
      <c r="A674" s="8">
        <v>46182.0</v>
      </c>
      <c r="B674" s="4" t="s">
        <v>1757</v>
      </c>
      <c r="C674" s="5">
        <v>2.0E8</v>
      </c>
      <c r="D674" s="5">
        <v>0.0</v>
      </c>
      <c r="E674" s="5">
        <f t="shared" si="1"/>
        <v>36163813.71</v>
      </c>
      <c r="F674" s="14" t="s">
        <v>21</v>
      </c>
      <c r="G674" s="14" t="s">
        <v>448</v>
      </c>
      <c r="H674" s="14" t="s">
        <v>1754</v>
      </c>
      <c r="I674" s="16" t="s">
        <v>451</v>
      </c>
    </row>
    <row r="675" ht="15.75" hidden="1" customHeight="1">
      <c r="A675" s="8">
        <v>46182.0</v>
      </c>
      <c r="B675" s="4" t="s">
        <v>1758</v>
      </c>
      <c r="C675" s="5">
        <v>2500.0</v>
      </c>
      <c r="D675" s="5">
        <v>0.0</v>
      </c>
      <c r="E675" s="5">
        <f t="shared" si="1"/>
        <v>36161313.71</v>
      </c>
      <c r="F675" s="14" t="s">
        <v>43</v>
      </c>
      <c r="G675" s="14" t="s">
        <v>45</v>
      </c>
      <c r="H675" s="14"/>
      <c r="I675" s="16"/>
    </row>
    <row r="676" ht="15.75" hidden="1" customHeight="1">
      <c r="A676" s="8">
        <v>46185.0</v>
      </c>
      <c r="B676" s="4" t="s">
        <v>14</v>
      </c>
      <c r="C676" s="5">
        <v>0.0</v>
      </c>
      <c r="D676" s="5">
        <v>1.8596317E7</v>
      </c>
      <c r="E676" s="5">
        <f t="shared" si="1"/>
        <v>54757630.71</v>
      </c>
      <c r="F676" s="14" t="s">
        <v>75</v>
      </c>
      <c r="G676" s="14" t="s">
        <v>76</v>
      </c>
      <c r="H676" s="14" t="s">
        <v>1760</v>
      </c>
      <c r="I676" s="16" t="s">
        <v>1762</v>
      </c>
    </row>
    <row r="677" ht="15.75" hidden="1" customHeight="1">
      <c r="A677" s="8">
        <v>46188.0</v>
      </c>
      <c r="B677" s="4" t="s">
        <v>1069</v>
      </c>
      <c r="C677" s="5">
        <v>0.0</v>
      </c>
      <c r="D677" s="5">
        <v>2.5E8</v>
      </c>
      <c r="E677" s="5">
        <f t="shared" si="1"/>
        <v>304757630.7</v>
      </c>
      <c r="F677" s="4" t="s">
        <v>21</v>
      </c>
      <c r="G677" s="4" t="s">
        <v>1070</v>
      </c>
      <c r="H677" s="14"/>
      <c r="I677" s="16"/>
    </row>
    <row r="678" ht="15.75" customHeight="1">
      <c r="A678" s="8">
        <v>46188.0</v>
      </c>
      <c r="B678" s="4" t="s">
        <v>1763</v>
      </c>
      <c r="C678" s="5">
        <v>0.0</v>
      </c>
      <c r="D678" s="5">
        <v>1.636455E8</v>
      </c>
      <c r="E678" s="5">
        <f t="shared" si="1"/>
        <v>468403130.7</v>
      </c>
      <c r="F678" s="14" t="s">
        <v>21</v>
      </c>
      <c r="G678" s="14" t="s">
        <v>876</v>
      </c>
      <c r="H678" s="14" t="s">
        <v>1764</v>
      </c>
      <c r="I678" s="16" t="s">
        <v>451</v>
      </c>
    </row>
    <row r="679" ht="15.75" hidden="1" customHeight="1">
      <c r="A679" s="8">
        <v>46188.0</v>
      </c>
      <c r="B679" s="4" t="s">
        <v>1765</v>
      </c>
      <c r="C679" s="5">
        <v>1.007519E7</v>
      </c>
      <c r="D679" s="5">
        <v>0.0</v>
      </c>
      <c r="E679" s="5">
        <f t="shared" si="1"/>
        <v>458327940.7</v>
      </c>
      <c r="F679" s="14" t="s">
        <v>24</v>
      </c>
      <c r="G679" s="14" t="s">
        <v>125</v>
      </c>
      <c r="H679" s="14" t="s">
        <v>1580</v>
      </c>
      <c r="I679" s="16"/>
    </row>
    <row r="680" ht="15.75" hidden="1" customHeight="1">
      <c r="A680" s="8">
        <v>46188.0</v>
      </c>
      <c r="B680" s="4" t="s">
        <v>1766</v>
      </c>
      <c r="C680" s="5">
        <v>7263840.0</v>
      </c>
      <c r="D680" s="5">
        <v>0.0</v>
      </c>
      <c r="E680" s="5">
        <f t="shared" si="1"/>
        <v>451064100.7</v>
      </c>
      <c r="F680" s="14" t="s">
        <v>24</v>
      </c>
      <c r="G680" s="14" t="s">
        <v>125</v>
      </c>
      <c r="H680" s="14" t="s">
        <v>359</v>
      </c>
      <c r="I680" s="16"/>
    </row>
    <row r="681" ht="15.75" hidden="1" customHeight="1">
      <c r="A681" s="8">
        <v>46188.0</v>
      </c>
      <c r="B681" s="4" t="s">
        <v>1767</v>
      </c>
      <c r="C681" s="5">
        <v>2500.0</v>
      </c>
      <c r="D681" s="5">
        <v>0.0</v>
      </c>
      <c r="E681" s="5">
        <f t="shared" si="1"/>
        <v>451061600.7</v>
      </c>
      <c r="F681" s="14" t="s">
        <v>43</v>
      </c>
      <c r="G681" s="14" t="s">
        <v>45</v>
      </c>
      <c r="H681" s="14"/>
      <c r="I681" s="16"/>
    </row>
    <row r="682" ht="15.75" hidden="1" customHeight="1">
      <c r="A682" s="8">
        <v>46188.0</v>
      </c>
      <c r="B682" s="4" t="s">
        <v>1768</v>
      </c>
      <c r="C682" s="5">
        <v>1.7421237E7</v>
      </c>
      <c r="D682" s="5">
        <v>0.0</v>
      </c>
      <c r="E682" s="5">
        <f t="shared" si="1"/>
        <v>433640363.7</v>
      </c>
      <c r="F682" s="14" t="s">
        <v>58</v>
      </c>
      <c r="G682" s="14" t="s">
        <v>59</v>
      </c>
      <c r="H682" s="14" t="s">
        <v>677</v>
      </c>
      <c r="I682" s="16"/>
    </row>
    <row r="683" ht="15.75" hidden="1" customHeight="1">
      <c r="A683" s="8">
        <v>46188.0</v>
      </c>
      <c r="B683" s="4" t="s">
        <v>1769</v>
      </c>
      <c r="C683" s="5">
        <v>1.38996E8</v>
      </c>
      <c r="D683" s="5">
        <v>0.0</v>
      </c>
      <c r="E683" s="5">
        <f t="shared" si="1"/>
        <v>294644363.7</v>
      </c>
      <c r="F683" s="14" t="s">
        <v>58</v>
      </c>
      <c r="G683" s="14" t="s">
        <v>59</v>
      </c>
      <c r="H683" s="14" t="s">
        <v>683</v>
      </c>
      <c r="I683" s="16"/>
    </row>
    <row r="684" ht="15.75" hidden="1" customHeight="1">
      <c r="A684" s="8">
        <v>46188.0</v>
      </c>
      <c r="B684" s="4" t="s">
        <v>1771</v>
      </c>
      <c r="C684" s="5">
        <v>2500.0</v>
      </c>
      <c r="D684" s="5">
        <v>0.0</v>
      </c>
      <c r="E684" s="5">
        <f t="shared" si="1"/>
        <v>294641863.7</v>
      </c>
      <c r="F684" s="14" t="s">
        <v>43</v>
      </c>
      <c r="G684" s="14" t="s">
        <v>45</v>
      </c>
      <c r="H684" s="14"/>
      <c r="I684" s="16"/>
    </row>
    <row r="685" ht="15.75" hidden="1" customHeight="1">
      <c r="A685" s="8">
        <v>46188.0</v>
      </c>
      <c r="B685" s="4" t="s">
        <v>1772</v>
      </c>
      <c r="C685" s="5">
        <v>5056678.0</v>
      </c>
      <c r="D685" s="5">
        <v>0.0</v>
      </c>
      <c r="E685" s="5">
        <f t="shared" si="1"/>
        <v>289585185.7</v>
      </c>
      <c r="F685" s="14" t="s">
        <v>58</v>
      </c>
      <c r="G685" s="14" t="s">
        <v>59</v>
      </c>
      <c r="H685" s="14" t="s">
        <v>111</v>
      </c>
      <c r="I685" s="16"/>
    </row>
    <row r="686" ht="15.75" hidden="1" customHeight="1">
      <c r="A686" s="8">
        <v>46188.0</v>
      </c>
      <c r="B686" s="4" t="s">
        <v>1773</v>
      </c>
      <c r="C686" s="5">
        <v>5980850.0</v>
      </c>
      <c r="D686" s="5">
        <v>0.0</v>
      </c>
      <c r="E686" s="5">
        <f t="shared" si="1"/>
        <v>283604335.7</v>
      </c>
      <c r="F686" s="14" t="s">
        <v>24</v>
      </c>
      <c r="G686" s="14" t="s">
        <v>125</v>
      </c>
      <c r="H686" s="14" t="s">
        <v>359</v>
      </c>
      <c r="I686" s="16"/>
    </row>
    <row r="687" ht="15.75" hidden="1" customHeight="1">
      <c r="A687" s="8">
        <v>46188.0</v>
      </c>
      <c r="B687" s="4" t="s">
        <v>1774</v>
      </c>
      <c r="C687" s="5">
        <v>2500.0</v>
      </c>
      <c r="D687" s="5">
        <v>0.0</v>
      </c>
      <c r="E687" s="5">
        <f t="shared" si="1"/>
        <v>283601835.7</v>
      </c>
      <c r="F687" s="14" t="s">
        <v>43</v>
      </c>
      <c r="G687" s="14" t="s">
        <v>45</v>
      </c>
      <c r="H687" s="14"/>
      <c r="I687" s="16"/>
    </row>
    <row r="688" ht="15.75" hidden="1" customHeight="1">
      <c r="A688" s="8">
        <v>46188.0</v>
      </c>
      <c r="B688" s="4" t="s">
        <v>1775</v>
      </c>
      <c r="C688" s="5">
        <v>7105600.0</v>
      </c>
      <c r="D688" s="5">
        <v>0.0</v>
      </c>
      <c r="E688" s="5">
        <f t="shared" si="1"/>
        <v>276496235.7</v>
      </c>
      <c r="F688" s="14" t="s">
        <v>24</v>
      </c>
      <c r="G688" s="14" t="s">
        <v>125</v>
      </c>
      <c r="H688" s="14" t="s">
        <v>359</v>
      </c>
      <c r="I688" s="16"/>
    </row>
    <row r="689" ht="15.75" hidden="1" customHeight="1">
      <c r="A689" s="8">
        <v>46188.0</v>
      </c>
      <c r="B689" s="4" t="s">
        <v>1776</v>
      </c>
      <c r="C689" s="5">
        <v>2.431698E7</v>
      </c>
      <c r="D689" s="5">
        <v>0.0</v>
      </c>
      <c r="E689" s="5">
        <f t="shared" si="1"/>
        <v>252179255.7</v>
      </c>
      <c r="F689" s="14" t="s">
        <v>58</v>
      </c>
      <c r="G689" s="14" t="s">
        <v>59</v>
      </c>
      <c r="H689" s="14" t="s">
        <v>111</v>
      </c>
      <c r="I689" s="16"/>
    </row>
    <row r="690" ht="15.75" hidden="1" customHeight="1">
      <c r="A690" s="8">
        <v>46188.0</v>
      </c>
      <c r="B690" s="4" t="s">
        <v>1777</v>
      </c>
      <c r="C690" s="5">
        <v>2500.0</v>
      </c>
      <c r="D690" s="5">
        <v>0.0</v>
      </c>
      <c r="E690" s="5">
        <f t="shared" si="1"/>
        <v>252176755.7</v>
      </c>
      <c r="F690" s="14" t="s">
        <v>43</v>
      </c>
      <c r="G690" s="14" t="s">
        <v>45</v>
      </c>
      <c r="H690" s="14"/>
      <c r="I690" s="16"/>
    </row>
    <row r="691" ht="15.75" hidden="1" customHeight="1">
      <c r="A691" s="8">
        <v>46188.0</v>
      </c>
      <c r="B691" s="4" t="s">
        <v>1778</v>
      </c>
      <c r="C691" s="5">
        <v>3.311719E7</v>
      </c>
      <c r="D691" s="5">
        <v>0.0</v>
      </c>
      <c r="E691" s="5">
        <f t="shared" si="1"/>
        <v>219059565.7</v>
      </c>
      <c r="F691" s="14" t="s">
        <v>58</v>
      </c>
      <c r="G691" s="14" t="s">
        <v>59</v>
      </c>
      <c r="H691" s="14" t="s">
        <v>111</v>
      </c>
      <c r="I691" s="16"/>
    </row>
    <row r="692" ht="15.75" hidden="1" customHeight="1">
      <c r="A692" s="8">
        <v>46188.0</v>
      </c>
      <c r="B692" s="4" t="s">
        <v>1779</v>
      </c>
      <c r="C692" s="5">
        <v>1.8472342E7</v>
      </c>
      <c r="D692" s="5">
        <v>0.0</v>
      </c>
      <c r="E692" s="5">
        <f t="shared" si="1"/>
        <v>200587223.7</v>
      </c>
      <c r="F692" s="14" t="s">
        <v>58</v>
      </c>
      <c r="G692" s="14" t="s">
        <v>59</v>
      </c>
      <c r="H692" s="14" t="s">
        <v>1250</v>
      </c>
      <c r="I692" s="16"/>
    </row>
    <row r="693" ht="15.75" hidden="1" customHeight="1">
      <c r="A693" s="8">
        <v>46188.0</v>
      </c>
      <c r="B693" s="4" t="s">
        <v>1781</v>
      </c>
      <c r="C693" s="5">
        <v>1.8946689E7</v>
      </c>
      <c r="D693" s="5">
        <v>0.0</v>
      </c>
      <c r="E693" s="5">
        <f t="shared" si="1"/>
        <v>181640534.7</v>
      </c>
      <c r="F693" s="14" t="s">
        <v>58</v>
      </c>
      <c r="G693" s="14" t="s">
        <v>59</v>
      </c>
      <c r="H693" s="14" t="s">
        <v>61</v>
      </c>
      <c r="I693" s="16"/>
    </row>
    <row r="694" ht="15.75" hidden="1" customHeight="1">
      <c r="A694" s="8">
        <v>46188.0</v>
      </c>
      <c r="B694" s="4" t="s">
        <v>1783</v>
      </c>
      <c r="C694" s="5">
        <v>1.235573E7</v>
      </c>
      <c r="D694" s="5">
        <v>0.0</v>
      </c>
      <c r="E694" s="5">
        <f t="shared" si="1"/>
        <v>169284804.7</v>
      </c>
      <c r="F694" s="14" t="s">
        <v>58</v>
      </c>
      <c r="G694" s="14" t="s">
        <v>59</v>
      </c>
      <c r="H694" s="14" t="s">
        <v>111</v>
      </c>
      <c r="I694" s="16"/>
    </row>
    <row r="695" ht="15.75" hidden="1" customHeight="1">
      <c r="A695" s="8">
        <v>46188.0</v>
      </c>
      <c r="B695" s="4" t="s">
        <v>1784</v>
      </c>
      <c r="C695" s="5">
        <v>2360070.0</v>
      </c>
      <c r="D695" s="5">
        <v>0.0</v>
      </c>
      <c r="E695" s="5">
        <f t="shared" si="1"/>
        <v>166924734.7</v>
      </c>
      <c r="F695" s="14" t="s">
        <v>58</v>
      </c>
      <c r="G695" s="14" t="s">
        <v>59</v>
      </c>
      <c r="H695" s="14" t="s">
        <v>1785</v>
      </c>
      <c r="I695" s="16"/>
    </row>
    <row r="696" ht="15.75" hidden="1" customHeight="1">
      <c r="A696" s="8">
        <v>46188.0</v>
      </c>
      <c r="B696" s="4" t="s">
        <v>1786</v>
      </c>
      <c r="C696" s="5">
        <v>5060020.0</v>
      </c>
      <c r="D696" s="5">
        <v>0.0</v>
      </c>
      <c r="E696" s="5">
        <f t="shared" si="1"/>
        <v>161864714.7</v>
      </c>
      <c r="F696" s="14" t="s">
        <v>58</v>
      </c>
      <c r="G696" s="14" t="s">
        <v>59</v>
      </c>
      <c r="H696" s="14" t="s">
        <v>111</v>
      </c>
      <c r="I696" s="16"/>
    </row>
    <row r="697" ht="15.75" hidden="1" customHeight="1">
      <c r="A697" s="8">
        <v>46188.0</v>
      </c>
      <c r="B697" s="4" t="s">
        <v>512</v>
      </c>
      <c r="C697" s="5">
        <v>1.11615E7</v>
      </c>
      <c r="D697" s="5">
        <v>0.0</v>
      </c>
      <c r="E697" s="5">
        <f t="shared" si="1"/>
        <v>150703214.7</v>
      </c>
      <c r="F697" s="14" t="s">
        <v>21</v>
      </c>
      <c r="G697" s="14" t="s">
        <v>190</v>
      </c>
      <c r="H697" s="14"/>
      <c r="I697" s="16"/>
    </row>
    <row r="698" ht="15.75" hidden="1" customHeight="1">
      <c r="A698" s="8">
        <v>46188.0</v>
      </c>
      <c r="B698" s="4" t="s">
        <v>1789</v>
      </c>
      <c r="C698" s="5">
        <v>2500.0</v>
      </c>
      <c r="D698" s="5">
        <v>0.0</v>
      </c>
      <c r="E698" s="5">
        <f t="shared" si="1"/>
        <v>150700714.7</v>
      </c>
      <c r="F698" s="14" t="s">
        <v>43</v>
      </c>
      <c r="G698" s="14" t="s">
        <v>45</v>
      </c>
      <c r="H698" s="14"/>
      <c r="I698" s="16"/>
    </row>
    <row r="699" ht="15.75" hidden="1" customHeight="1">
      <c r="A699" s="8">
        <v>46188.0</v>
      </c>
      <c r="B699" s="4" t="s">
        <v>1792</v>
      </c>
      <c r="C699" s="5">
        <v>7550000.0</v>
      </c>
      <c r="D699" s="5">
        <v>0.0</v>
      </c>
      <c r="E699" s="5">
        <f t="shared" si="1"/>
        <v>143150714.7</v>
      </c>
      <c r="F699" s="14" t="s">
        <v>93</v>
      </c>
      <c r="G699" s="14" t="s">
        <v>93</v>
      </c>
      <c r="H699" s="14" t="s">
        <v>21</v>
      </c>
      <c r="I699" s="16"/>
    </row>
    <row r="700" ht="15.75" hidden="1" customHeight="1">
      <c r="A700" s="8">
        <v>46188.0</v>
      </c>
      <c r="B700" s="4" t="s">
        <v>1793</v>
      </c>
      <c r="C700" s="5">
        <v>2500.0</v>
      </c>
      <c r="D700" s="5">
        <v>0.0</v>
      </c>
      <c r="E700" s="5">
        <f t="shared" si="1"/>
        <v>143148214.7</v>
      </c>
      <c r="F700" s="14" t="s">
        <v>43</v>
      </c>
      <c r="G700" s="14" t="s">
        <v>45</v>
      </c>
      <c r="H700" s="14"/>
      <c r="I700" s="16"/>
    </row>
    <row r="701" ht="15.75" hidden="1" customHeight="1">
      <c r="A701" s="8">
        <v>46188.0</v>
      </c>
      <c r="B701" s="4" t="s">
        <v>1795</v>
      </c>
      <c r="C701" s="5">
        <v>1.5868846E7</v>
      </c>
      <c r="D701" s="5">
        <v>0.0</v>
      </c>
      <c r="E701" s="5">
        <f t="shared" si="1"/>
        <v>127279368.7</v>
      </c>
      <c r="F701" s="14" t="s">
        <v>105</v>
      </c>
      <c r="G701" s="14" t="s">
        <v>460</v>
      </c>
      <c r="H701" s="14" t="s">
        <v>769</v>
      </c>
      <c r="I701" s="16"/>
    </row>
    <row r="702" ht="15.75" hidden="1" customHeight="1">
      <c r="A702" s="8">
        <v>46190.0</v>
      </c>
      <c r="B702" s="4" t="s">
        <v>1797</v>
      </c>
      <c r="C702" s="5">
        <v>4850000.0</v>
      </c>
      <c r="D702" s="5">
        <v>0.0</v>
      </c>
      <c r="E702" s="5">
        <f t="shared" si="1"/>
        <v>122429368.7</v>
      </c>
      <c r="F702" s="14" t="s">
        <v>93</v>
      </c>
      <c r="G702" s="14" t="s">
        <v>93</v>
      </c>
      <c r="H702" s="14" t="s">
        <v>20</v>
      </c>
      <c r="I702" s="16"/>
    </row>
    <row r="703" ht="15.75" hidden="1" customHeight="1">
      <c r="A703" s="8">
        <v>46190.0</v>
      </c>
      <c r="B703" s="4" t="s">
        <v>1799</v>
      </c>
      <c r="C703" s="5">
        <v>0.0</v>
      </c>
      <c r="D703" s="5">
        <v>1.29E8</v>
      </c>
      <c r="E703" s="5">
        <f t="shared" si="1"/>
        <v>251429368.7</v>
      </c>
      <c r="F703" s="14" t="s">
        <v>93</v>
      </c>
      <c r="G703" s="14" t="s">
        <v>93</v>
      </c>
      <c r="H703" s="14" t="s">
        <v>20</v>
      </c>
      <c r="I703" s="16"/>
    </row>
    <row r="704" ht="15.75" hidden="1" customHeight="1">
      <c r="A704" s="8">
        <v>46190.0</v>
      </c>
      <c r="B704" s="4" t="s">
        <v>1800</v>
      </c>
      <c r="C704" s="5">
        <v>2.5E8</v>
      </c>
      <c r="D704" s="5">
        <v>0.0</v>
      </c>
      <c r="E704" s="5">
        <f t="shared" si="1"/>
        <v>1429368.71</v>
      </c>
      <c r="F704" s="14" t="s">
        <v>21</v>
      </c>
      <c r="G704" s="14" t="s">
        <v>448</v>
      </c>
      <c r="H704" s="14" t="s">
        <v>1802</v>
      </c>
      <c r="I704" s="16" t="s">
        <v>451</v>
      </c>
    </row>
    <row r="705" ht="15.75" hidden="1" customHeight="1">
      <c r="A705" s="8">
        <v>46190.0</v>
      </c>
      <c r="B705" s="4" t="s">
        <v>1451</v>
      </c>
      <c r="C705" s="5">
        <v>2500.0</v>
      </c>
      <c r="D705" s="5">
        <v>0.0</v>
      </c>
      <c r="E705" s="5">
        <f t="shared" si="1"/>
        <v>1426868.71</v>
      </c>
      <c r="F705" s="14" t="s">
        <v>43</v>
      </c>
      <c r="G705" s="14" t="s">
        <v>45</v>
      </c>
      <c r="H705" s="14"/>
      <c r="I705" s="16"/>
    </row>
    <row r="706" ht="15.75" hidden="1" customHeight="1">
      <c r="A706" s="8">
        <v>46190.0</v>
      </c>
      <c r="B706" s="4" t="s">
        <v>1517</v>
      </c>
      <c r="C706" s="5">
        <v>0.0</v>
      </c>
      <c r="D706" s="5">
        <v>1.18E8</v>
      </c>
      <c r="E706" s="5">
        <f t="shared" si="1"/>
        <v>119426868.7</v>
      </c>
      <c r="F706" s="4" t="s">
        <v>21</v>
      </c>
      <c r="G706" s="4" t="s">
        <v>187</v>
      </c>
      <c r="H706" s="14"/>
      <c r="I706" s="16"/>
    </row>
    <row r="707" ht="15.75" hidden="1" customHeight="1">
      <c r="A707" s="8">
        <v>46190.0</v>
      </c>
      <c r="B707" s="4" t="s">
        <v>1517</v>
      </c>
      <c r="C707" s="5">
        <v>0.0</v>
      </c>
      <c r="D707" s="5">
        <v>2.5E8</v>
      </c>
      <c r="E707" s="5">
        <f t="shared" si="1"/>
        <v>369426868.7</v>
      </c>
      <c r="F707" s="4" t="s">
        <v>21</v>
      </c>
      <c r="G707" s="4" t="s">
        <v>187</v>
      </c>
      <c r="H707" s="14"/>
      <c r="I707" s="16"/>
    </row>
    <row r="708" ht="15.75" hidden="1" customHeight="1">
      <c r="A708" s="8">
        <v>46190.0</v>
      </c>
      <c r="B708" s="4" t="s">
        <v>1805</v>
      </c>
      <c r="C708" s="5">
        <v>2.1215E8</v>
      </c>
      <c r="D708" s="5">
        <v>0.0</v>
      </c>
      <c r="E708" s="5">
        <f t="shared" si="1"/>
        <v>157276868.7</v>
      </c>
      <c r="F708" s="14" t="s">
        <v>93</v>
      </c>
      <c r="G708" s="14" t="s">
        <v>93</v>
      </c>
      <c r="H708" s="14" t="s">
        <v>134</v>
      </c>
      <c r="I708" s="16"/>
    </row>
    <row r="709" ht="15.75" hidden="1" customHeight="1">
      <c r="A709" s="8">
        <v>46190.0</v>
      </c>
      <c r="B709" s="4" t="s">
        <v>1451</v>
      </c>
      <c r="C709" s="5">
        <v>2500.0</v>
      </c>
      <c r="D709" s="5">
        <v>0.0</v>
      </c>
      <c r="E709" s="5">
        <f t="shared" si="1"/>
        <v>157274368.7</v>
      </c>
      <c r="F709" s="14" t="s">
        <v>43</v>
      </c>
      <c r="G709" s="14" t="s">
        <v>45</v>
      </c>
      <c r="H709" s="14"/>
      <c r="I709" s="16"/>
    </row>
    <row r="710" ht="15.75" hidden="1" customHeight="1">
      <c r="A710" s="8">
        <v>46190.0</v>
      </c>
      <c r="B710" s="4" t="s">
        <v>1807</v>
      </c>
      <c r="C710" s="5">
        <v>1.0E8</v>
      </c>
      <c r="D710" s="5">
        <v>0.0</v>
      </c>
      <c r="E710" s="5">
        <f t="shared" si="1"/>
        <v>57274368.71</v>
      </c>
      <c r="F710" s="14" t="s">
        <v>21</v>
      </c>
      <c r="G710" s="14" t="s">
        <v>448</v>
      </c>
      <c r="H710" s="14" t="s">
        <v>1802</v>
      </c>
      <c r="I710" s="16" t="s">
        <v>451</v>
      </c>
    </row>
    <row r="711" ht="15.75" hidden="1" customHeight="1">
      <c r="A711" s="8">
        <v>46190.0</v>
      </c>
      <c r="B711" s="4" t="s">
        <v>1451</v>
      </c>
      <c r="C711" s="5">
        <v>2500.0</v>
      </c>
      <c r="D711" s="5">
        <v>0.0</v>
      </c>
      <c r="E711" s="5">
        <f t="shared" si="1"/>
        <v>57271868.71</v>
      </c>
      <c r="F711" s="14" t="s">
        <v>43</v>
      </c>
      <c r="G711" s="14" t="s">
        <v>45</v>
      </c>
      <c r="H711" s="14"/>
      <c r="I711" s="16"/>
    </row>
    <row r="712" ht="15.75" hidden="1" customHeight="1">
      <c r="A712" s="8">
        <v>46190.0</v>
      </c>
      <c r="B712" s="4" t="s">
        <v>1091</v>
      </c>
      <c r="C712" s="5">
        <v>5907665.0</v>
      </c>
      <c r="D712" s="5">
        <v>0.0</v>
      </c>
      <c r="E712" s="5">
        <f t="shared" si="1"/>
        <v>51364203.71</v>
      </c>
      <c r="F712" s="14" t="s">
        <v>105</v>
      </c>
      <c r="G712" s="14" t="s">
        <v>674</v>
      </c>
      <c r="H712" s="14" t="s">
        <v>769</v>
      </c>
      <c r="I712" s="16"/>
    </row>
    <row r="713" ht="15.75" hidden="1" customHeight="1">
      <c r="A713" s="8">
        <v>46190.0</v>
      </c>
      <c r="B713" s="4" t="s">
        <v>1809</v>
      </c>
      <c r="C713" s="5">
        <v>0.0</v>
      </c>
      <c r="D713" s="5">
        <v>7.2257753E8</v>
      </c>
      <c r="E713" s="5">
        <f t="shared" si="1"/>
        <v>773941733.7</v>
      </c>
      <c r="F713" s="14" t="s">
        <v>75</v>
      </c>
      <c r="G713" s="14" t="s">
        <v>76</v>
      </c>
      <c r="H713" s="14" t="s">
        <v>319</v>
      </c>
      <c r="I713" s="16" t="s">
        <v>1811</v>
      </c>
    </row>
    <row r="714" ht="15.75" hidden="1" customHeight="1">
      <c r="A714" s="8">
        <v>46191.0</v>
      </c>
      <c r="B714" s="4" t="s">
        <v>1812</v>
      </c>
      <c r="C714" s="5">
        <v>1.29E8</v>
      </c>
      <c r="D714" s="5">
        <v>0.0</v>
      </c>
      <c r="E714" s="5">
        <f t="shared" si="1"/>
        <v>644941733.7</v>
      </c>
      <c r="F714" s="14" t="s">
        <v>93</v>
      </c>
      <c r="G714" s="14" t="s">
        <v>93</v>
      </c>
      <c r="H714" s="14" t="s">
        <v>20</v>
      </c>
      <c r="I714" s="16"/>
    </row>
    <row r="715" ht="15.75" hidden="1" customHeight="1">
      <c r="A715" s="8">
        <v>46191.0</v>
      </c>
      <c r="B715" s="4" t="s">
        <v>1814</v>
      </c>
      <c r="C715" s="5">
        <v>2500.0</v>
      </c>
      <c r="D715" s="5">
        <v>0.0</v>
      </c>
      <c r="E715" s="5">
        <f t="shared" si="1"/>
        <v>644939233.7</v>
      </c>
      <c r="F715" s="14" t="s">
        <v>43</v>
      </c>
      <c r="G715" s="14" t="s">
        <v>45</v>
      </c>
      <c r="H715" s="14"/>
      <c r="I715" s="16"/>
    </row>
    <row r="716" ht="15.75" hidden="1" customHeight="1">
      <c r="A716" s="8">
        <v>46191.0</v>
      </c>
      <c r="B716" s="4" t="s">
        <v>1816</v>
      </c>
      <c r="C716" s="5">
        <v>5.0E8</v>
      </c>
      <c r="D716" s="5">
        <v>0.0</v>
      </c>
      <c r="E716" s="5">
        <f t="shared" si="1"/>
        <v>144939233.7</v>
      </c>
      <c r="F716" s="14" t="s">
        <v>93</v>
      </c>
      <c r="G716" s="14" t="s">
        <v>93</v>
      </c>
      <c r="H716" s="14" t="s">
        <v>20</v>
      </c>
      <c r="I716" s="16"/>
    </row>
    <row r="717" ht="15.75" hidden="1" customHeight="1">
      <c r="A717" s="8">
        <v>46191.0</v>
      </c>
      <c r="B717" s="4" t="s">
        <v>1818</v>
      </c>
      <c r="C717" s="5">
        <v>2900.0</v>
      </c>
      <c r="D717" s="5">
        <v>0.0</v>
      </c>
      <c r="E717" s="5">
        <f t="shared" si="1"/>
        <v>144936333.7</v>
      </c>
      <c r="F717" s="14" t="s">
        <v>43</v>
      </c>
      <c r="G717" s="14" t="s">
        <v>45</v>
      </c>
      <c r="H717" s="14"/>
      <c r="I717" s="16"/>
    </row>
    <row r="718" ht="15.75" hidden="1" customHeight="1">
      <c r="A718" s="8">
        <v>46191.0</v>
      </c>
      <c r="B718" s="14" t="s">
        <v>1820</v>
      </c>
      <c r="C718" s="5">
        <v>140000.0</v>
      </c>
      <c r="D718" s="5">
        <v>0.0</v>
      </c>
      <c r="E718" s="5">
        <f t="shared" si="1"/>
        <v>144796333.7</v>
      </c>
      <c r="F718" s="14" t="s">
        <v>21</v>
      </c>
      <c r="G718" s="14" t="s">
        <v>190</v>
      </c>
      <c r="H718" s="16" t="s">
        <v>191</v>
      </c>
      <c r="I718" s="16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hidden="1" customHeight="1">
      <c r="A719" s="8">
        <v>46191.0</v>
      </c>
      <c r="B719" s="14" t="s">
        <v>1820</v>
      </c>
      <c r="C719" s="5">
        <v>773000.0</v>
      </c>
      <c r="D719" s="5">
        <v>0.0</v>
      </c>
      <c r="E719" s="5">
        <f t="shared" si="1"/>
        <v>144023333.7</v>
      </c>
      <c r="F719" s="14" t="s">
        <v>21</v>
      </c>
      <c r="G719" s="14" t="s">
        <v>190</v>
      </c>
      <c r="H719" s="16" t="s">
        <v>191</v>
      </c>
      <c r="I719" s="16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hidden="1" customHeight="1">
      <c r="A720" s="8">
        <v>46191.0</v>
      </c>
      <c r="B720" s="14" t="s">
        <v>1820</v>
      </c>
      <c r="C720" s="5">
        <v>70000.0</v>
      </c>
      <c r="D720" s="5">
        <v>0.0</v>
      </c>
      <c r="E720" s="5">
        <f t="shared" si="1"/>
        <v>143953333.7</v>
      </c>
      <c r="F720" s="15" t="s">
        <v>21</v>
      </c>
      <c r="G720" s="15" t="s">
        <v>190</v>
      </c>
      <c r="H720" s="4" t="s">
        <v>191</v>
      </c>
      <c r="I720" s="4" t="s">
        <v>192</v>
      </c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hidden="1" customHeight="1">
      <c r="A721" s="8">
        <v>46191.0</v>
      </c>
      <c r="B721" s="14" t="s">
        <v>1820</v>
      </c>
      <c r="C721" s="5">
        <v>14234.0</v>
      </c>
      <c r="D721" s="5">
        <v>0.0</v>
      </c>
      <c r="E721" s="5">
        <f t="shared" si="1"/>
        <v>143939099.7</v>
      </c>
      <c r="F721" s="15" t="s">
        <v>21</v>
      </c>
      <c r="G721" s="15" t="s">
        <v>190</v>
      </c>
      <c r="H721" s="4" t="s">
        <v>191</v>
      </c>
      <c r="I721" s="4" t="s">
        <v>401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hidden="1" customHeight="1">
      <c r="A722" s="8">
        <v>46191.0</v>
      </c>
      <c r="B722" s="14" t="s">
        <v>1820</v>
      </c>
      <c r="C722" s="5">
        <v>100000.0</v>
      </c>
      <c r="D722" s="5">
        <v>0.0</v>
      </c>
      <c r="E722" s="5">
        <f t="shared" si="1"/>
        <v>143839099.7</v>
      </c>
      <c r="F722" s="15" t="s">
        <v>21</v>
      </c>
      <c r="G722" s="15" t="s">
        <v>190</v>
      </c>
      <c r="H722" s="4" t="s">
        <v>191</v>
      </c>
      <c r="I722" s="16" t="s">
        <v>1823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hidden="1" customHeight="1">
      <c r="A723" s="8">
        <v>46191.0</v>
      </c>
      <c r="B723" s="14" t="s">
        <v>1820</v>
      </c>
      <c r="C723" s="5">
        <f>1256859-C718-C719-C720-C721-C722</f>
        <v>159625</v>
      </c>
      <c r="D723" s="5">
        <v>0.0</v>
      </c>
      <c r="E723" s="5">
        <f t="shared" si="1"/>
        <v>143679474.7</v>
      </c>
      <c r="F723" s="14" t="s">
        <v>21</v>
      </c>
      <c r="G723" s="14" t="s">
        <v>190</v>
      </c>
      <c r="H723" s="16" t="s">
        <v>191</v>
      </c>
      <c r="I723" s="16" t="s">
        <v>1122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hidden="1" customHeight="1">
      <c r="A724" s="8">
        <v>46191.0</v>
      </c>
      <c r="B724" s="4" t="s">
        <v>1827</v>
      </c>
      <c r="C724" s="5">
        <v>4655485.0</v>
      </c>
      <c r="D724" s="5">
        <v>0.0</v>
      </c>
      <c r="E724" s="5">
        <f t="shared" si="1"/>
        <v>139023989.7</v>
      </c>
      <c r="F724" s="14" t="s">
        <v>58</v>
      </c>
      <c r="G724" s="14" t="s">
        <v>59</v>
      </c>
      <c r="H724" s="14" t="s">
        <v>722</v>
      </c>
      <c r="I724" s="16"/>
    </row>
    <row r="725" ht="15.75" hidden="1" customHeight="1">
      <c r="A725" s="8">
        <v>46191.0</v>
      </c>
      <c r="B725" s="4" t="s">
        <v>1830</v>
      </c>
      <c r="C725" s="5">
        <v>2.766129E7</v>
      </c>
      <c r="D725" s="5">
        <v>0.0</v>
      </c>
      <c r="E725" s="5">
        <f t="shared" si="1"/>
        <v>111362699.7</v>
      </c>
      <c r="F725" s="14" t="s">
        <v>58</v>
      </c>
      <c r="G725" s="14" t="s">
        <v>59</v>
      </c>
      <c r="H725" s="14" t="s">
        <v>1831</v>
      </c>
      <c r="I725" s="16"/>
    </row>
    <row r="726" ht="15.75" hidden="1" customHeight="1">
      <c r="A726" s="8">
        <v>46191.0</v>
      </c>
      <c r="B726" s="4" t="s">
        <v>1832</v>
      </c>
      <c r="C726" s="5">
        <v>2500.0</v>
      </c>
      <c r="D726" s="5">
        <v>0.0</v>
      </c>
      <c r="E726" s="5">
        <f t="shared" si="1"/>
        <v>111360199.7</v>
      </c>
      <c r="F726" s="14" t="s">
        <v>43</v>
      </c>
      <c r="G726" s="14" t="s">
        <v>45</v>
      </c>
      <c r="H726" s="14"/>
      <c r="I726" s="16"/>
    </row>
    <row r="727" ht="15.75" hidden="1" customHeight="1">
      <c r="A727" s="8">
        <v>46191.0</v>
      </c>
      <c r="B727" s="4" t="s">
        <v>1834</v>
      </c>
      <c r="C727" s="5">
        <v>1905026.0</v>
      </c>
      <c r="D727" s="5">
        <v>0.0</v>
      </c>
      <c r="E727" s="5">
        <f t="shared" si="1"/>
        <v>109455173.7</v>
      </c>
      <c r="F727" s="14" t="s">
        <v>58</v>
      </c>
      <c r="G727" s="14" t="s">
        <v>59</v>
      </c>
      <c r="H727" s="14" t="s">
        <v>722</v>
      </c>
      <c r="I727" s="16"/>
    </row>
    <row r="728" ht="15.75" hidden="1" customHeight="1">
      <c r="A728" s="8">
        <v>46191.0</v>
      </c>
      <c r="B728" s="4" t="s">
        <v>1835</v>
      </c>
      <c r="C728" s="5">
        <v>8879577.0</v>
      </c>
      <c r="D728" s="5">
        <v>0.0</v>
      </c>
      <c r="E728" s="5">
        <f t="shared" si="1"/>
        <v>100575596.7</v>
      </c>
      <c r="F728" s="14" t="s">
        <v>58</v>
      </c>
      <c r="G728" s="14" t="s">
        <v>59</v>
      </c>
      <c r="H728" s="14" t="s">
        <v>694</v>
      </c>
      <c r="I728" s="16"/>
    </row>
    <row r="729" ht="15.75" hidden="1" customHeight="1">
      <c r="A729" s="8">
        <v>46191.0</v>
      </c>
      <c r="B729" s="4" t="s">
        <v>1837</v>
      </c>
      <c r="C729" s="5">
        <v>2500.0</v>
      </c>
      <c r="D729" s="5">
        <v>0.0</v>
      </c>
      <c r="E729" s="5">
        <f t="shared" si="1"/>
        <v>100573096.7</v>
      </c>
      <c r="F729" s="14" t="s">
        <v>43</v>
      </c>
      <c r="G729" s="14" t="s">
        <v>45</v>
      </c>
      <c r="H729" s="14"/>
      <c r="I729" s="16"/>
    </row>
    <row r="730" ht="15.75" hidden="1" customHeight="1">
      <c r="A730" s="8">
        <v>46191.0</v>
      </c>
      <c r="B730" s="4" t="s">
        <v>1838</v>
      </c>
      <c r="C730" s="5">
        <f>941450-C731+D732</f>
        <v>950000</v>
      </c>
      <c r="D730" s="5">
        <v>0.0</v>
      </c>
      <c r="E730" s="5">
        <f t="shared" si="1"/>
        <v>99623096.71</v>
      </c>
      <c r="F730" s="14" t="s">
        <v>58</v>
      </c>
      <c r="G730" s="14" t="s">
        <v>59</v>
      </c>
      <c r="H730" s="14" t="s">
        <v>111</v>
      </c>
      <c r="I730" s="16"/>
    </row>
    <row r="731" ht="15.75" hidden="1" customHeight="1">
      <c r="A731" s="8">
        <v>46191.0</v>
      </c>
      <c r="B731" s="4" t="s">
        <v>1838</v>
      </c>
      <c r="C731" s="5">
        <v>10450.0</v>
      </c>
      <c r="D731" s="5">
        <v>0.0</v>
      </c>
      <c r="E731" s="5">
        <f t="shared" si="1"/>
        <v>99612646.71</v>
      </c>
      <c r="F731" s="4" t="s">
        <v>21</v>
      </c>
      <c r="G731" s="4" t="s">
        <v>448</v>
      </c>
      <c r="H731" s="4" t="s">
        <v>859</v>
      </c>
    </row>
    <row r="732" ht="15.75" hidden="1" customHeight="1">
      <c r="A732" s="8">
        <v>46191.0</v>
      </c>
      <c r="B732" s="4" t="s">
        <v>1838</v>
      </c>
      <c r="C732" s="5">
        <v>0.0</v>
      </c>
      <c r="D732" s="5">
        <v>19000.0</v>
      </c>
      <c r="E732" s="5">
        <f t="shared" si="1"/>
        <v>99631646.71</v>
      </c>
      <c r="F732" s="14" t="s">
        <v>93</v>
      </c>
      <c r="G732" s="14" t="s">
        <v>93</v>
      </c>
      <c r="H732" s="14" t="s">
        <v>191</v>
      </c>
      <c r="I732" s="16" t="s">
        <v>953</v>
      </c>
    </row>
    <row r="733" ht="15.75" hidden="1" customHeight="1">
      <c r="A733" s="8">
        <v>46191.0</v>
      </c>
      <c r="B733" s="4" t="s">
        <v>1842</v>
      </c>
      <c r="C733" s="5">
        <v>1770031.0</v>
      </c>
      <c r="D733" s="5">
        <v>0.0</v>
      </c>
      <c r="E733" s="5">
        <f t="shared" si="1"/>
        <v>97861615.71</v>
      </c>
      <c r="F733" s="14" t="s">
        <v>58</v>
      </c>
      <c r="G733" s="14" t="s">
        <v>59</v>
      </c>
      <c r="H733" s="14" t="s">
        <v>677</v>
      </c>
      <c r="I733" s="16"/>
    </row>
    <row r="734" ht="15.75" hidden="1" customHeight="1">
      <c r="A734" s="8">
        <v>46191.0</v>
      </c>
      <c r="B734" s="4" t="s">
        <v>1844</v>
      </c>
      <c r="C734" s="5">
        <v>2500.0</v>
      </c>
      <c r="D734" s="5">
        <v>0.0</v>
      </c>
      <c r="E734" s="5">
        <f t="shared" si="1"/>
        <v>97859115.71</v>
      </c>
      <c r="F734" s="14" t="s">
        <v>43</v>
      </c>
      <c r="G734" s="14" t="s">
        <v>45</v>
      </c>
      <c r="H734" s="14"/>
      <c r="I734" s="16"/>
    </row>
    <row r="735" ht="15.75" hidden="1" customHeight="1">
      <c r="A735" s="8">
        <v>46191.0</v>
      </c>
      <c r="B735" s="4" t="s">
        <v>1845</v>
      </c>
      <c r="C735" s="5">
        <f>1585600-C736+D737</f>
        <v>1600000</v>
      </c>
      <c r="D735" s="5">
        <v>0.0</v>
      </c>
      <c r="E735" s="5">
        <f t="shared" si="1"/>
        <v>96259115.71</v>
      </c>
      <c r="F735" s="14" t="s">
        <v>58</v>
      </c>
      <c r="G735" s="14" t="s">
        <v>59</v>
      </c>
      <c r="H735" s="14" t="s">
        <v>111</v>
      </c>
      <c r="I735" s="16"/>
    </row>
    <row r="736" ht="15.75" hidden="1" customHeight="1">
      <c r="A736" s="8">
        <v>46191.0</v>
      </c>
      <c r="B736" s="4" t="s">
        <v>1845</v>
      </c>
      <c r="C736" s="5">
        <v>17600.0</v>
      </c>
      <c r="D736" s="5">
        <v>0.0</v>
      </c>
      <c r="E736" s="5">
        <f t="shared" si="1"/>
        <v>96241515.71</v>
      </c>
      <c r="F736" s="4" t="s">
        <v>21</v>
      </c>
      <c r="G736" s="4" t="s">
        <v>448</v>
      </c>
      <c r="H736" s="4" t="s">
        <v>1121</v>
      </c>
    </row>
    <row r="737" ht="15.75" hidden="1" customHeight="1">
      <c r="A737" s="8">
        <v>46191.0</v>
      </c>
      <c r="B737" s="4" t="s">
        <v>1845</v>
      </c>
      <c r="C737" s="5">
        <v>0.0</v>
      </c>
      <c r="D737" s="5">
        <v>32000.0</v>
      </c>
      <c r="E737" s="5">
        <f t="shared" si="1"/>
        <v>96273515.71</v>
      </c>
      <c r="F737" s="14" t="s">
        <v>93</v>
      </c>
      <c r="G737" s="14" t="s">
        <v>93</v>
      </c>
      <c r="H737" s="14" t="s">
        <v>191</v>
      </c>
      <c r="I737" s="16" t="s">
        <v>953</v>
      </c>
    </row>
    <row r="738" ht="15.75" hidden="1" customHeight="1">
      <c r="A738" s="8">
        <v>46191.0</v>
      </c>
      <c r="B738" s="4" t="s">
        <v>1848</v>
      </c>
      <c r="C738" s="5">
        <v>2500.0</v>
      </c>
      <c r="D738" s="5">
        <v>0.0</v>
      </c>
      <c r="E738" s="5">
        <f t="shared" si="1"/>
        <v>96271015.71</v>
      </c>
      <c r="F738" s="14" t="s">
        <v>43</v>
      </c>
      <c r="G738" s="14" t="s">
        <v>45</v>
      </c>
      <c r="H738" s="14"/>
      <c r="I738" s="16"/>
    </row>
    <row r="739" ht="15.75" hidden="1" customHeight="1">
      <c r="A739" s="8">
        <v>46191.0</v>
      </c>
      <c r="B739" s="4" t="s">
        <v>1850</v>
      </c>
      <c r="C739" s="5">
        <v>1812776.0</v>
      </c>
      <c r="D739" s="5">
        <v>0.0</v>
      </c>
      <c r="E739" s="5">
        <f t="shared" si="1"/>
        <v>94458239.71</v>
      </c>
      <c r="F739" s="14" t="s">
        <v>58</v>
      </c>
      <c r="G739" s="14" t="s">
        <v>59</v>
      </c>
      <c r="H739" s="14" t="s">
        <v>809</v>
      </c>
      <c r="I739" s="16"/>
    </row>
    <row r="740" ht="15.75" hidden="1" customHeight="1">
      <c r="A740" s="8">
        <v>46191.0</v>
      </c>
      <c r="B740" s="4" t="s">
        <v>1851</v>
      </c>
      <c r="C740" s="5">
        <f>7928000-C741+D742</f>
        <v>8000000</v>
      </c>
      <c r="D740" s="5">
        <v>0.0</v>
      </c>
      <c r="E740" s="5">
        <f t="shared" si="1"/>
        <v>86458239.71</v>
      </c>
      <c r="F740" s="14" t="s">
        <v>58</v>
      </c>
      <c r="G740" s="14" t="s">
        <v>59</v>
      </c>
      <c r="H740" s="14" t="s">
        <v>683</v>
      </c>
      <c r="I740" s="16"/>
    </row>
    <row r="741" ht="15.75" hidden="1" customHeight="1">
      <c r="A741" s="8">
        <v>46191.0</v>
      </c>
      <c r="B741" s="4" t="s">
        <v>1851</v>
      </c>
      <c r="C741" s="5">
        <v>88000.0</v>
      </c>
      <c r="D741" s="5">
        <v>0.0</v>
      </c>
      <c r="E741" s="5">
        <f t="shared" si="1"/>
        <v>86370239.71</v>
      </c>
      <c r="F741" s="4" t="s">
        <v>21</v>
      </c>
      <c r="G741" s="4" t="s">
        <v>448</v>
      </c>
      <c r="H741" s="4" t="s">
        <v>1121</v>
      </c>
    </row>
    <row r="742" ht="15.75" hidden="1" customHeight="1">
      <c r="A742" s="8">
        <v>46191.0</v>
      </c>
      <c r="B742" s="4" t="s">
        <v>1851</v>
      </c>
      <c r="C742" s="5">
        <v>0.0</v>
      </c>
      <c r="D742" s="5">
        <v>160000.0</v>
      </c>
      <c r="E742" s="5">
        <f t="shared" si="1"/>
        <v>86530239.71</v>
      </c>
      <c r="F742" s="14" t="s">
        <v>93</v>
      </c>
      <c r="G742" s="14" t="s">
        <v>93</v>
      </c>
      <c r="H742" s="14" t="s">
        <v>191</v>
      </c>
      <c r="I742" s="16" t="s">
        <v>953</v>
      </c>
    </row>
    <row r="743" ht="15.75" hidden="1" customHeight="1">
      <c r="A743" s="8">
        <v>46191.0</v>
      </c>
      <c r="B743" s="4" t="s">
        <v>1854</v>
      </c>
      <c r="C743" s="5">
        <v>1.3696009E7</v>
      </c>
      <c r="D743" s="5">
        <v>0.0</v>
      </c>
      <c r="E743" s="5">
        <f t="shared" si="1"/>
        <v>72834230.71</v>
      </c>
      <c r="F743" s="14" t="s">
        <v>58</v>
      </c>
      <c r="G743" s="14" t="s">
        <v>59</v>
      </c>
      <c r="H743" s="14" t="s">
        <v>683</v>
      </c>
      <c r="I743" s="16"/>
    </row>
    <row r="744" ht="15.75" hidden="1" customHeight="1">
      <c r="A744" s="8">
        <v>46191.0</v>
      </c>
      <c r="B744" s="4" t="s">
        <v>1855</v>
      </c>
      <c r="C744" s="5">
        <v>2500.0</v>
      </c>
      <c r="D744" s="5">
        <v>0.0</v>
      </c>
      <c r="E744" s="5">
        <f t="shared" si="1"/>
        <v>72831730.71</v>
      </c>
      <c r="F744" s="14" t="s">
        <v>43</v>
      </c>
      <c r="G744" s="14" t="s">
        <v>45</v>
      </c>
      <c r="H744" s="14"/>
      <c r="I744" s="16"/>
    </row>
    <row r="745" ht="15.75" hidden="1" customHeight="1">
      <c r="A745" s="8">
        <v>46191.0</v>
      </c>
      <c r="B745" s="4" t="s">
        <v>1857</v>
      </c>
      <c r="C745" s="5">
        <v>1277400.0</v>
      </c>
      <c r="D745" s="5">
        <v>0.0</v>
      </c>
      <c r="E745" s="5">
        <f t="shared" si="1"/>
        <v>71554330.71</v>
      </c>
      <c r="F745" s="14" t="s">
        <v>24</v>
      </c>
      <c r="G745" s="14" t="s">
        <v>125</v>
      </c>
      <c r="H745" s="14" t="s">
        <v>1859</v>
      </c>
      <c r="I745" s="16"/>
    </row>
    <row r="746" ht="15.75" hidden="1" customHeight="1">
      <c r="A746" s="8">
        <v>46191.0</v>
      </c>
      <c r="B746" s="4" t="s">
        <v>1860</v>
      </c>
      <c r="C746" s="5">
        <v>4070757.0</v>
      </c>
      <c r="D746" s="5">
        <v>0.0</v>
      </c>
      <c r="E746" s="5">
        <f t="shared" si="1"/>
        <v>67483573.71</v>
      </c>
      <c r="F746" s="14" t="s">
        <v>24</v>
      </c>
      <c r="G746" s="14" t="s">
        <v>125</v>
      </c>
      <c r="H746" s="14" t="s">
        <v>493</v>
      </c>
      <c r="I746" s="16"/>
    </row>
    <row r="747" ht="15.75" hidden="1" customHeight="1">
      <c r="A747" s="8">
        <v>46191.0</v>
      </c>
      <c r="B747" s="4" t="s">
        <v>1861</v>
      </c>
      <c r="C747" s="5">
        <v>2.0079485E7</v>
      </c>
      <c r="D747" s="5">
        <v>0.0</v>
      </c>
      <c r="E747" s="5">
        <f t="shared" si="1"/>
        <v>47404088.71</v>
      </c>
      <c r="F747" s="4" t="s">
        <v>58</v>
      </c>
      <c r="G747" s="14" t="s">
        <v>59</v>
      </c>
      <c r="H747" s="4" t="s">
        <v>739</v>
      </c>
      <c r="I747" s="16"/>
    </row>
    <row r="748" ht="15.75" hidden="1" customHeight="1">
      <c r="A748" s="8">
        <v>46191.0</v>
      </c>
      <c r="B748" s="4" t="s">
        <v>1863</v>
      </c>
      <c r="C748" s="5">
        <v>1842870.0</v>
      </c>
      <c r="D748" s="5">
        <v>0.0</v>
      </c>
      <c r="E748" s="5">
        <f t="shared" si="1"/>
        <v>45561218.71</v>
      </c>
      <c r="F748" s="14" t="s">
        <v>24</v>
      </c>
      <c r="G748" s="14" t="s">
        <v>125</v>
      </c>
      <c r="H748" s="14" t="s">
        <v>1859</v>
      </c>
      <c r="I748" s="16"/>
    </row>
    <row r="749" ht="15.75" hidden="1" customHeight="1">
      <c r="A749" s="8">
        <v>46191.0</v>
      </c>
      <c r="B749" s="4" t="s">
        <v>1865</v>
      </c>
      <c r="C749" s="5">
        <v>1.0412781E7</v>
      </c>
      <c r="D749" s="5">
        <v>0.0</v>
      </c>
      <c r="E749" s="5">
        <f t="shared" si="1"/>
        <v>35148437.71</v>
      </c>
      <c r="F749" s="14" t="s">
        <v>58</v>
      </c>
      <c r="G749" s="14" t="s">
        <v>59</v>
      </c>
      <c r="H749" s="14" t="s">
        <v>111</v>
      </c>
      <c r="I749" s="16"/>
    </row>
    <row r="750" ht="15.75" hidden="1" customHeight="1">
      <c r="A750" s="8">
        <v>46191.0</v>
      </c>
      <c r="B750" s="4" t="s">
        <v>1866</v>
      </c>
      <c r="C750" s="5">
        <v>2039647.0</v>
      </c>
      <c r="D750" s="5">
        <v>0.0</v>
      </c>
      <c r="E750" s="5">
        <f t="shared" si="1"/>
        <v>33108790.71</v>
      </c>
      <c r="F750" s="14" t="s">
        <v>24</v>
      </c>
      <c r="G750" s="14" t="s">
        <v>125</v>
      </c>
      <c r="H750" s="14" t="s">
        <v>1859</v>
      </c>
      <c r="I750" s="16"/>
    </row>
    <row r="751" ht="15.75" hidden="1" customHeight="1">
      <c r="A751" s="8">
        <v>46191.0</v>
      </c>
      <c r="B751" s="4" t="s">
        <v>1867</v>
      </c>
      <c r="C751" s="5">
        <v>5271217.0</v>
      </c>
      <c r="D751" s="5">
        <v>0.0</v>
      </c>
      <c r="E751" s="5">
        <f t="shared" si="1"/>
        <v>27837573.71</v>
      </c>
      <c r="F751" s="14" t="s">
        <v>58</v>
      </c>
      <c r="G751" s="14" t="s">
        <v>59</v>
      </c>
      <c r="H751" s="14" t="s">
        <v>111</v>
      </c>
      <c r="I751" s="16"/>
    </row>
    <row r="752" ht="15.75" hidden="1" customHeight="1">
      <c r="A752" s="8">
        <v>46191.0</v>
      </c>
      <c r="B752" s="4" t="s">
        <v>1869</v>
      </c>
      <c r="C752" s="5">
        <v>1501500.0</v>
      </c>
      <c r="D752" s="5">
        <v>0.0</v>
      </c>
      <c r="E752" s="5">
        <f t="shared" si="1"/>
        <v>26336073.71</v>
      </c>
      <c r="F752" s="14" t="s">
        <v>50</v>
      </c>
      <c r="G752" s="14" t="s">
        <v>225</v>
      </c>
      <c r="H752" s="14" t="s">
        <v>769</v>
      </c>
      <c r="I752" s="16"/>
    </row>
    <row r="753" ht="15.75" hidden="1" customHeight="1">
      <c r="A753" s="8">
        <v>46191.0</v>
      </c>
      <c r="B753" s="4" t="s">
        <v>1871</v>
      </c>
      <c r="C753" s="5">
        <v>1.0129182E7</v>
      </c>
      <c r="D753" s="5">
        <v>0.0</v>
      </c>
      <c r="E753" s="5">
        <f t="shared" si="1"/>
        <v>16206891.71</v>
      </c>
      <c r="F753" s="14" t="s">
        <v>58</v>
      </c>
      <c r="G753" s="14" t="s">
        <v>59</v>
      </c>
      <c r="H753" s="14" t="s">
        <v>111</v>
      </c>
      <c r="I753" s="16"/>
    </row>
    <row r="754" ht="15.75" hidden="1" customHeight="1">
      <c r="A754" s="8">
        <v>46191.0</v>
      </c>
      <c r="B754" s="4" t="s">
        <v>1873</v>
      </c>
      <c r="C754" s="5">
        <v>2751750.0</v>
      </c>
      <c r="D754" s="5">
        <v>0.0</v>
      </c>
      <c r="E754" s="5">
        <f t="shared" si="1"/>
        <v>13455141.71</v>
      </c>
      <c r="F754" s="14" t="s">
        <v>58</v>
      </c>
      <c r="G754" s="14" t="s">
        <v>59</v>
      </c>
      <c r="H754" s="14" t="s">
        <v>111</v>
      </c>
      <c r="I754" s="16"/>
    </row>
    <row r="755" ht="15.75" hidden="1" customHeight="1">
      <c r="A755" s="8">
        <v>46191.0</v>
      </c>
      <c r="B755" s="4" t="s">
        <v>1108</v>
      </c>
      <c r="C755" s="5">
        <v>1.245E7</v>
      </c>
      <c r="D755" s="5">
        <v>0.0</v>
      </c>
      <c r="E755" s="5">
        <f t="shared" si="1"/>
        <v>1005141.71</v>
      </c>
      <c r="F755" s="14" t="s">
        <v>21</v>
      </c>
      <c r="G755" s="14" t="s">
        <v>190</v>
      </c>
      <c r="H755" s="14"/>
      <c r="I755" s="16"/>
    </row>
    <row r="756" ht="15.75" hidden="1" customHeight="1">
      <c r="A756" s="8">
        <v>46191.0</v>
      </c>
      <c r="B756" s="4" t="s">
        <v>1874</v>
      </c>
      <c r="C756" s="5">
        <v>2500.0</v>
      </c>
      <c r="D756" s="5">
        <v>0.0</v>
      </c>
      <c r="E756" s="5">
        <f t="shared" si="1"/>
        <v>1002641.71</v>
      </c>
      <c r="F756" s="14" t="s">
        <v>43</v>
      </c>
      <c r="G756" s="14" t="s">
        <v>45</v>
      </c>
      <c r="H756" s="14"/>
      <c r="I756" s="16"/>
    </row>
    <row r="757" ht="15.75" hidden="1" customHeight="1">
      <c r="A757" s="8">
        <v>46192.0</v>
      </c>
      <c r="B757" s="4" t="s">
        <v>807</v>
      </c>
      <c r="C757" s="5">
        <v>0.0</v>
      </c>
      <c r="D757" s="5">
        <v>3.423875E7</v>
      </c>
      <c r="E757" s="5">
        <f t="shared" si="1"/>
        <v>35241391.71</v>
      </c>
      <c r="F757" s="14" t="s">
        <v>75</v>
      </c>
      <c r="G757" s="14" t="s">
        <v>76</v>
      </c>
      <c r="H757" s="14" t="s">
        <v>1876</v>
      </c>
      <c r="I757" s="16" t="s">
        <v>1877</v>
      </c>
    </row>
    <row r="758" ht="15.75" hidden="1" customHeight="1">
      <c r="A758" s="8">
        <v>46192.0</v>
      </c>
      <c r="B758" s="4" t="s">
        <v>1108</v>
      </c>
      <c r="C758" s="5">
        <v>1.0259951E7</v>
      </c>
      <c r="D758" s="5">
        <v>0.0</v>
      </c>
      <c r="E758" s="5">
        <f t="shared" si="1"/>
        <v>24981440.71</v>
      </c>
      <c r="F758" s="14" t="s">
        <v>21</v>
      </c>
      <c r="G758" s="14" t="s">
        <v>190</v>
      </c>
      <c r="H758" s="14"/>
      <c r="I758" s="16"/>
    </row>
    <row r="759" ht="15.75" hidden="1" customHeight="1">
      <c r="A759" s="8">
        <v>46192.0</v>
      </c>
      <c r="B759" s="4" t="s">
        <v>1879</v>
      </c>
      <c r="C759" s="5">
        <v>2500.0</v>
      </c>
      <c r="D759" s="5">
        <v>0.0</v>
      </c>
      <c r="E759" s="5">
        <f t="shared" si="1"/>
        <v>24978940.71</v>
      </c>
      <c r="F759" s="14" t="s">
        <v>43</v>
      </c>
      <c r="G759" s="14" t="s">
        <v>45</v>
      </c>
      <c r="H759" s="14"/>
      <c r="I759" s="16"/>
    </row>
    <row r="760" ht="15.75" hidden="1" customHeight="1">
      <c r="A760" s="8">
        <v>46192.0</v>
      </c>
      <c r="B760" s="4" t="s">
        <v>1880</v>
      </c>
      <c r="C760" s="5">
        <v>5705000.0</v>
      </c>
      <c r="D760" s="5">
        <v>0.0</v>
      </c>
      <c r="E760" s="5">
        <f t="shared" si="1"/>
        <v>19273940.71</v>
      </c>
      <c r="F760" s="14" t="s">
        <v>93</v>
      </c>
      <c r="G760" s="14" t="s">
        <v>93</v>
      </c>
      <c r="H760" s="14" t="s">
        <v>21</v>
      </c>
      <c r="I760" s="16"/>
    </row>
    <row r="761" ht="15.75" hidden="1" customHeight="1">
      <c r="A761" s="8">
        <v>46192.0</v>
      </c>
      <c r="B761" s="4" t="s">
        <v>1881</v>
      </c>
      <c r="C761" s="5">
        <v>2500.0</v>
      </c>
      <c r="D761" s="5">
        <v>0.0</v>
      </c>
      <c r="E761" s="5">
        <f t="shared" si="1"/>
        <v>19271440.71</v>
      </c>
      <c r="F761" s="14" t="s">
        <v>43</v>
      </c>
      <c r="G761" s="14" t="s">
        <v>45</v>
      </c>
      <c r="H761" s="14"/>
      <c r="I761" s="16"/>
    </row>
    <row r="762" ht="15.75" hidden="1" customHeight="1">
      <c r="A762" s="8">
        <v>46192.0</v>
      </c>
      <c r="B762" s="4" t="s">
        <v>1883</v>
      </c>
      <c r="C762" s="5">
        <v>0.0</v>
      </c>
      <c r="D762" s="5">
        <v>125583.0</v>
      </c>
      <c r="E762" s="5">
        <f t="shared" si="1"/>
        <v>19397023.71</v>
      </c>
      <c r="F762" s="14" t="s">
        <v>21</v>
      </c>
      <c r="G762" s="14" t="s">
        <v>187</v>
      </c>
      <c r="H762" s="14"/>
      <c r="I762" s="16"/>
    </row>
    <row r="763" ht="15.75" hidden="1" customHeight="1">
      <c r="A763" s="8">
        <v>46195.0</v>
      </c>
      <c r="B763" s="4" t="s">
        <v>1885</v>
      </c>
      <c r="C763" s="5">
        <v>0.0</v>
      </c>
      <c r="D763" s="5">
        <v>3.1533499E7</v>
      </c>
      <c r="E763" s="5">
        <f t="shared" si="1"/>
        <v>50930522.71</v>
      </c>
      <c r="F763" s="14" t="s">
        <v>75</v>
      </c>
      <c r="G763" s="14" t="s">
        <v>76</v>
      </c>
      <c r="H763" s="14" t="s">
        <v>1886</v>
      </c>
      <c r="I763" s="16" t="s">
        <v>1887</v>
      </c>
    </row>
    <row r="764" ht="15.75" hidden="1" customHeight="1">
      <c r="A764" s="8">
        <v>46195.0</v>
      </c>
      <c r="B764" s="4" t="s">
        <v>1885</v>
      </c>
      <c r="C764" s="5">
        <v>0.0</v>
      </c>
      <c r="D764" s="5">
        <v>4.6696886E7</v>
      </c>
      <c r="E764" s="5">
        <f t="shared" si="1"/>
        <v>97627408.71</v>
      </c>
      <c r="F764" s="14" t="s">
        <v>75</v>
      </c>
      <c r="G764" s="14" t="s">
        <v>76</v>
      </c>
      <c r="H764" s="14" t="s">
        <v>1888</v>
      </c>
      <c r="I764" s="16" t="s">
        <v>1889</v>
      </c>
    </row>
    <row r="765" ht="15.75" hidden="1" customHeight="1">
      <c r="A765" s="8">
        <v>46195.0</v>
      </c>
      <c r="B765" s="4" t="s">
        <v>1885</v>
      </c>
      <c r="C765" s="5">
        <v>0.0</v>
      </c>
      <c r="D765" s="5">
        <v>6.2721667E7</v>
      </c>
      <c r="E765" s="5">
        <f t="shared" si="1"/>
        <v>160349075.7</v>
      </c>
      <c r="F765" s="14" t="s">
        <v>75</v>
      </c>
      <c r="G765" s="14" t="s">
        <v>76</v>
      </c>
      <c r="H765" s="14" t="s">
        <v>1890</v>
      </c>
      <c r="I765" s="16" t="s">
        <v>1891</v>
      </c>
    </row>
    <row r="766" ht="15.75" hidden="1" customHeight="1">
      <c r="A766" s="8">
        <v>46195.0</v>
      </c>
      <c r="B766" s="4" t="s">
        <v>1885</v>
      </c>
      <c r="C766" s="5">
        <v>0.0</v>
      </c>
      <c r="D766" s="5">
        <f>290785991-D763-D764-D765</f>
        <v>149833939</v>
      </c>
      <c r="E766" s="5">
        <f t="shared" si="1"/>
        <v>310183014.7</v>
      </c>
      <c r="F766" s="14" t="s">
        <v>75</v>
      </c>
      <c r="G766" s="14" t="s">
        <v>76</v>
      </c>
      <c r="H766" s="14" t="s">
        <v>1894</v>
      </c>
      <c r="I766" s="16" t="s">
        <v>1895</v>
      </c>
    </row>
    <row r="767" ht="15.75" hidden="1" customHeight="1">
      <c r="A767" s="8">
        <v>46195.0</v>
      </c>
      <c r="B767" s="4" t="s">
        <v>1896</v>
      </c>
      <c r="C767" s="5">
        <v>0.0</v>
      </c>
      <c r="D767" s="5">
        <v>1.33674277E8</v>
      </c>
      <c r="E767" s="5">
        <f t="shared" si="1"/>
        <v>443857291.7</v>
      </c>
      <c r="F767" s="14" t="s">
        <v>75</v>
      </c>
      <c r="G767" s="14" t="s">
        <v>76</v>
      </c>
      <c r="H767" s="14" t="s">
        <v>1897</v>
      </c>
      <c r="I767" s="16" t="s">
        <v>1898</v>
      </c>
    </row>
    <row r="768" ht="15.75" hidden="1" customHeight="1">
      <c r="A768" s="8">
        <v>46195.0</v>
      </c>
      <c r="B768" s="4" t="s">
        <v>1900</v>
      </c>
      <c r="C768" s="5">
        <v>2.13557188E8</v>
      </c>
      <c r="D768" s="5">
        <v>0.0</v>
      </c>
      <c r="E768" s="5">
        <f t="shared" si="1"/>
        <v>230300103.7</v>
      </c>
      <c r="F768" s="14" t="s">
        <v>58</v>
      </c>
      <c r="G768" s="14" t="s">
        <v>59</v>
      </c>
      <c r="H768" s="14" t="s">
        <v>1250</v>
      </c>
      <c r="I768" s="16"/>
    </row>
    <row r="769" ht="15.75" hidden="1" customHeight="1">
      <c r="A769" s="8">
        <v>46195.0</v>
      </c>
      <c r="B769" s="4" t="s">
        <v>1160</v>
      </c>
      <c r="C769" s="5">
        <v>1258409.0</v>
      </c>
      <c r="D769" s="5">
        <v>0.0</v>
      </c>
      <c r="E769" s="5">
        <f t="shared" si="1"/>
        <v>229041694.7</v>
      </c>
      <c r="F769" s="14" t="s">
        <v>21</v>
      </c>
      <c r="G769" s="14" t="s">
        <v>298</v>
      </c>
      <c r="H769" s="14"/>
      <c r="I769" s="16"/>
    </row>
    <row r="770" ht="15.75" hidden="1" customHeight="1">
      <c r="A770" s="8">
        <v>46195.0</v>
      </c>
      <c r="B770" s="4" t="s">
        <v>1902</v>
      </c>
      <c r="C770" s="5">
        <v>2500.0</v>
      </c>
      <c r="D770" s="5">
        <v>0.0</v>
      </c>
      <c r="E770" s="5">
        <f t="shared" si="1"/>
        <v>229039194.7</v>
      </c>
      <c r="F770" s="14" t="s">
        <v>43</v>
      </c>
      <c r="G770" s="14" t="s">
        <v>45</v>
      </c>
      <c r="H770" s="14"/>
      <c r="I770" s="16"/>
    </row>
    <row r="771" ht="15.75" hidden="1" customHeight="1">
      <c r="A771" s="8">
        <v>46195.0</v>
      </c>
      <c r="B771" s="4" t="s">
        <v>521</v>
      </c>
      <c r="C771" s="5">
        <v>4.9211688E7</v>
      </c>
      <c r="D771" s="5">
        <v>0.0</v>
      </c>
      <c r="E771" s="5">
        <f t="shared" si="1"/>
        <v>179827506.7</v>
      </c>
      <c r="F771" s="14" t="s">
        <v>21</v>
      </c>
      <c r="G771" s="14" t="s">
        <v>190</v>
      </c>
      <c r="H771" s="14"/>
      <c r="I771" s="16"/>
    </row>
    <row r="772" ht="15.75" hidden="1" customHeight="1">
      <c r="A772" s="8">
        <v>46195.0</v>
      </c>
      <c r="B772" s="4" t="s">
        <v>1904</v>
      </c>
      <c r="C772" s="5">
        <v>2500.0</v>
      </c>
      <c r="D772" s="5">
        <v>0.0</v>
      </c>
      <c r="E772" s="5">
        <f t="shared" si="1"/>
        <v>179825006.7</v>
      </c>
      <c r="F772" s="14" t="s">
        <v>43</v>
      </c>
      <c r="G772" s="14" t="s">
        <v>45</v>
      </c>
      <c r="H772" s="14"/>
      <c r="I772" s="16"/>
    </row>
    <row r="773" ht="15.75" hidden="1" customHeight="1">
      <c r="A773" s="8">
        <v>46195.0</v>
      </c>
      <c r="B773" s="4" t="s">
        <v>1905</v>
      </c>
      <c r="C773" s="5">
        <v>2854720.0</v>
      </c>
      <c r="D773" s="5">
        <v>0.0</v>
      </c>
      <c r="E773" s="5">
        <f t="shared" si="1"/>
        <v>176970286.7</v>
      </c>
      <c r="F773" s="14" t="s">
        <v>43</v>
      </c>
      <c r="G773" s="14" t="s">
        <v>1356</v>
      </c>
      <c r="H773" s="14"/>
      <c r="I773" s="16"/>
    </row>
    <row r="774" ht="15.75" hidden="1" customHeight="1">
      <c r="A774" s="8">
        <v>46195.0</v>
      </c>
      <c r="B774" s="4" t="s">
        <v>1907</v>
      </c>
      <c r="C774" s="5">
        <v>2500.0</v>
      </c>
      <c r="D774" s="5">
        <v>0.0</v>
      </c>
      <c r="E774" s="5">
        <f t="shared" si="1"/>
        <v>176967786.7</v>
      </c>
      <c r="F774" s="14" t="s">
        <v>43</v>
      </c>
      <c r="G774" s="14" t="s">
        <v>45</v>
      </c>
      <c r="H774" s="14"/>
      <c r="I774" s="16"/>
    </row>
    <row r="775" ht="15.75" hidden="1" customHeight="1">
      <c r="A775" s="8">
        <v>46195.0</v>
      </c>
      <c r="B775" s="4" t="s">
        <v>512</v>
      </c>
      <c r="C775" s="5">
        <v>3.253295E7</v>
      </c>
      <c r="D775" s="5">
        <v>0.0</v>
      </c>
      <c r="E775" s="5">
        <f t="shared" si="1"/>
        <v>144434836.7</v>
      </c>
      <c r="F775" s="14" t="s">
        <v>21</v>
      </c>
      <c r="G775" s="14" t="s">
        <v>190</v>
      </c>
      <c r="H775" s="14"/>
      <c r="I775" s="16"/>
    </row>
    <row r="776" ht="15.75" hidden="1" customHeight="1">
      <c r="A776" s="8">
        <v>46195.0</v>
      </c>
      <c r="B776" s="4" t="s">
        <v>1908</v>
      </c>
      <c r="C776" s="5">
        <v>2500.0</v>
      </c>
      <c r="D776" s="5">
        <v>0.0</v>
      </c>
      <c r="E776" s="5">
        <f t="shared" si="1"/>
        <v>144432336.7</v>
      </c>
      <c r="F776" s="14" t="s">
        <v>43</v>
      </c>
      <c r="G776" s="14" t="s">
        <v>45</v>
      </c>
      <c r="H776" s="14"/>
      <c r="I776" s="16"/>
    </row>
    <row r="777" ht="15.75" hidden="1" customHeight="1">
      <c r="A777" s="8">
        <v>46195.0</v>
      </c>
      <c r="B777" s="4" t="s">
        <v>521</v>
      </c>
      <c r="C777" s="5">
        <v>3.5359261E7</v>
      </c>
      <c r="D777" s="5">
        <v>0.0</v>
      </c>
      <c r="E777" s="5">
        <f t="shared" si="1"/>
        <v>109073075.7</v>
      </c>
      <c r="F777" s="14" t="s">
        <v>21</v>
      </c>
      <c r="G777" s="14" t="s">
        <v>190</v>
      </c>
      <c r="H777" s="14"/>
      <c r="I777" s="16"/>
    </row>
    <row r="778" ht="15.75" hidden="1" customHeight="1">
      <c r="A778" s="8">
        <v>46195.0</v>
      </c>
      <c r="B778" s="4" t="s">
        <v>1910</v>
      </c>
      <c r="C778" s="5">
        <v>2500.0</v>
      </c>
      <c r="D778" s="5">
        <v>0.0</v>
      </c>
      <c r="E778" s="5">
        <f t="shared" si="1"/>
        <v>109070575.7</v>
      </c>
      <c r="F778" s="14" t="s">
        <v>43</v>
      </c>
      <c r="G778" s="14" t="s">
        <v>45</v>
      </c>
      <c r="H778" s="14"/>
      <c r="I778" s="16"/>
    </row>
    <row r="779" ht="15.75" customHeight="1">
      <c r="A779" s="8">
        <v>46196.0</v>
      </c>
      <c r="B779" s="4" t="s">
        <v>1911</v>
      </c>
      <c r="C779" s="5">
        <v>0.0</v>
      </c>
      <c r="D779" s="5">
        <v>1.452E7</v>
      </c>
      <c r="E779" s="5">
        <f t="shared" si="1"/>
        <v>123590575.7</v>
      </c>
      <c r="F779" s="14" t="s">
        <v>21</v>
      </c>
      <c r="G779" s="14" t="s">
        <v>876</v>
      </c>
      <c r="H779" s="14" t="s">
        <v>1802</v>
      </c>
      <c r="I779" s="16"/>
    </row>
    <row r="780" ht="15.75" customHeight="1">
      <c r="A780" s="8">
        <v>46196.0</v>
      </c>
      <c r="B780" s="4" t="s">
        <v>1913</v>
      </c>
      <c r="C780" s="5">
        <v>0.0</v>
      </c>
      <c r="D780" s="5">
        <v>2.9964E7</v>
      </c>
      <c r="E780" s="5">
        <f t="shared" si="1"/>
        <v>153554575.7</v>
      </c>
      <c r="F780" s="14" t="s">
        <v>21</v>
      </c>
      <c r="G780" s="14" t="s">
        <v>876</v>
      </c>
      <c r="H780" s="14" t="s">
        <v>1914</v>
      </c>
      <c r="I780" s="16"/>
    </row>
    <row r="781" ht="15.75" hidden="1" customHeight="1">
      <c r="A781" s="8">
        <v>46200.0</v>
      </c>
      <c r="B781" s="4" t="s">
        <v>1728</v>
      </c>
      <c r="C781" s="5">
        <v>0.0</v>
      </c>
      <c r="D781" s="5">
        <v>5.9595425E7</v>
      </c>
      <c r="E781" s="5">
        <f t="shared" si="1"/>
        <v>213150000.7</v>
      </c>
      <c r="F781" s="14" t="s">
        <v>93</v>
      </c>
      <c r="G781" s="14" t="s">
        <v>93</v>
      </c>
      <c r="H781" s="14" t="s">
        <v>20</v>
      </c>
      <c r="I781" s="16"/>
    </row>
    <row r="782" ht="15.75" hidden="1" customHeight="1">
      <c r="A782" s="8">
        <v>46200.0</v>
      </c>
      <c r="B782" s="4" t="s">
        <v>1916</v>
      </c>
      <c r="C782" s="5">
        <v>0.0</v>
      </c>
      <c r="D782" s="5">
        <v>2500.0</v>
      </c>
      <c r="E782" s="5">
        <f t="shared" si="1"/>
        <v>213152500.7</v>
      </c>
      <c r="F782" s="14" t="s">
        <v>93</v>
      </c>
      <c r="G782" s="14" t="s">
        <v>93</v>
      </c>
      <c r="H782" s="14" t="s">
        <v>20</v>
      </c>
      <c r="I782" s="16"/>
    </row>
    <row r="783" ht="15.75" hidden="1" customHeight="1">
      <c r="A783" s="8">
        <v>46200.0</v>
      </c>
      <c r="B783" s="4" t="s">
        <v>1917</v>
      </c>
      <c r="C783" s="5">
        <v>2.1215E8</v>
      </c>
      <c r="D783" s="5">
        <v>0.0</v>
      </c>
      <c r="E783" s="5">
        <f t="shared" si="1"/>
        <v>1002500.71</v>
      </c>
      <c r="F783" s="14" t="s">
        <v>105</v>
      </c>
      <c r="G783" s="14" t="s">
        <v>193</v>
      </c>
      <c r="H783" s="14" t="s">
        <v>769</v>
      </c>
      <c r="I783" s="16"/>
    </row>
    <row r="784" ht="15.75" hidden="1" customHeight="1">
      <c r="A784" s="8">
        <v>46200.0</v>
      </c>
      <c r="B784" s="4" t="s">
        <v>1919</v>
      </c>
      <c r="C784" s="5">
        <v>2500.0</v>
      </c>
      <c r="D784" s="5">
        <v>0.0</v>
      </c>
      <c r="E784" s="5">
        <f t="shared" si="1"/>
        <v>1000000.71</v>
      </c>
      <c r="F784" s="14" t="s">
        <v>43</v>
      </c>
      <c r="G784" s="14" t="s">
        <v>45</v>
      </c>
      <c r="H784" s="14"/>
      <c r="I784" s="16"/>
    </row>
    <row r="785" ht="15.75" hidden="1" customHeight="1">
      <c r="A785" s="8">
        <v>46202.0</v>
      </c>
      <c r="B785" s="4" t="s">
        <v>1920</v>
      </c>
      <c r="C785" s="5">
        <v>0.0</v>
      </c>
      <c r="D785" s="5">
        <v>2.74371E7</v>
      </c>
      <c r="E785" s="5">
        <f t="shared" si="1"/>
        <v>28437100.71</v>
      </c>
      <c r="F785" s="14" t="s">
        <v>75</v>
      </c>
      <c r="G785" s="14" t="s">
        <v>76</v>
      </c>
      <c r="H785" s="13" t="s">
        <v>1348</v>
      </c>
      <c r="I785" s="18" t="s">
        <v>1921</v>
      </c>
    </row>
    <row r="786" ht="15.75" hidden="1" customHeight="1">
      <c r="A786" s="8">
        <v>46203.0</v>
      </c>
      <c r="B786" s="4" t="s">
        <v>1922</v>
      </c>
      <c r="C786" s="5">
        <v>1141499.0</v>
      </c>
      <c r="D786" s="5">
        <v>0.0</v>
      </c>
      <c r="E786" s="5">
        <f t="shared" si="1"/>
        <v>27295601.71</v>
      </c>
      <c r="F786" s="14" t="s">
        <v>58</v>
      </c>
      <c r="G786" s="14" t="s">
        <v>59</v>
      </c>
      <c r="H786" s="14" t="s">
        <v>722</v>
      </c>
      <c r="I786" s="16"/>
    </row>
    <row r="787" ht="15.75" hidden="1" customHeight="1">
      <c r="A787" s="8">
        <v>46203.0</v>
      </c>
      <c r="B787" s="4" t="s">
        <v>1924</v>
      </c>
      <c r="C787" s="5">
        <v>2500.0</v>
      </c>
      <c r="D787" s="5">
        <v>0.0</v>
      </c>
      <c r="E787" s="5">
        <f t="shared" si="1"/>
        <v>27293101.71</v>
      </c>
      <c r="F787" s="14" t="s">
        <v>43</v>
      </c>
      <c r="G787" s="14" t="s">
        <v>45</v>
      </c>
      <c r="H787" s="14"/>
      <c r="I787" s="16"/>
    </row>
    <row r="788" ht="15.75" hidden="1" customHeight="1">
      <c r="A788" s="8">
        <v>46203.0</v>
      </c>
      <c r="B788" s="4" t="s">
        <v>521</v>
      </c>
      <c r="C788" s="5">
        <v>2.5619491E7</v>
      </c>
      <c r="D788" s="5">
        <v>0.0</v>
      </c>
      <c r="E788" s="5">
        <f t="shared" si="1"/>
        <v>1673610.71</v>
      </c>
      <c r="F788" s="14" t="s">
        <v>21</v>
      </c>
      <c r="G788" s="14" t="s">
        <v>190</v>
      </c>
      <c r="H788" s="14"/>
      <c r="I788" s="16"/>
    </row>
    <row r="789" ht="15.75" hidden="1" customHeight="1">
      <c r="A789" s="8">
        <v>46203.0</v>
      </c>
      <c r="B789" s="4" t="s">
        <v>1927</v>
      </c>
      <c r="C789" s="5">
        <v>2500.0</v>
      </c>
      <c r="D789" s="5">
        <v>0.0</v>
      </c>
      <c r="E789" s="5">
        <f t="shared" si="1"/>
        <v>1671110.71</v>
      </c>
      <c r="F789" s="14" t="s">
        <v>43</v>
      </c>
      <c r="G789" s="14" t="s">
        <v>45</v>
      </c>
      <c r="H789" s="14"/>
      <c r="I789" s="16"/>
    </row>
    <row r="790" ht="15.75" hidden="1" customHeight="1">
      <c r="A790" s="8">
        <v>46203.0</v>
      </c>
      <c r="B790" s="4" t="s">
        <v>1928</v>
      </c>
      <c r="C790" s="5">
        <v>0.0</v>
      </c>
      <c r="D790" s="5">
        <v>2.5E8</v>
      </c>
      <c r="E790" s="5">
        <f t="shared" si="1"/>
        <v>251671110.7</v>
      </c>
      <c r="F790" s="14" t="s">
        <v>21</v>
      </c>
      <c r="G790" s="14" t="s">
        <v>187</v>
      </c>
      <c r="H790" s="14"/>
      <c r="I790" s="16"/>
    </row>
    <row r="791" ht="15.75" hidden="1" customHeight="1">
      <c r="A791" s="8">
        <v>46203.0</v>
      </c>
      <c r="B791" s="4" t="s">
        <v>562</v>
      </c>
      <c r="C791" s="5">
        <v>25000.0</v>
      </c>
      <c r="D791" s="5">
        <v>0.0</v>
      </c>
      <c r="E791" s="5">
        <f t="shared" si="1"/>
        <v>251646110.7</v>
      </c>
      <c r="F791" s="14" t="s">
        <v>43</v>
      </c>
      <c r="G791" s="14" t="s">
        <v>45</v>
      </c>
      <c r="H791" s="14"/>
      <c r="I791" s="16"/>
    </row>
    <row r="792" ht="15.75" hidden="1" customHeight="1">
      <c r="A792" s="8">
        <v>46203.0</v>
      </c>
      <c r="B792" s="4" t="s">
        <v>626</v>
      </c>
      <c r="C792" s="5">
        <v>0.0</v>
      </c>
      <c r="D792" s="5">
        <v>44032.47</v>
      </c>
      <c r="E792" s="5">
        <f t="shared" si="1"/>
        <v>251690143.2</v>
      </c>
      <c r="F792" s="14" t="s">
        <v>63</v>
      </c>
      <c r="G792" s="14" t="s">
        <v>65</v>
      </c>
      <c r="H792" s="14"/>
      <c r="I792" s="16"/>
    </row>
    <row r="793" ht="15.75" hidden="1" customHeight="1">
      <c r="A793" s="8">
        <v>46203.0</v>
      </c>
      <c r="B793" s="4" t="s">
        <v>1199</v>
      </c>
      <c r="C793" s="5">
        <v>8806.49</v>
      </c>
      <c r="D793" s="5">
        <v>0.0</v>
      </c>
      <c r="E793" s="5">
        <f t="shared" si="1"/>
        <v>251681336.7</v>
      </c>
      <c r="F793" s="14" t="s">
        <v>63</v>
      </c>
      <c r="G793" s="14" t="s">
        <v>65</v>
      </c>
      <c r="H793" s="14"/>
      <c r="I793" s="16"/>
    </row>
    <row r="794" ht="15.75" hidden="1" customHeight="1">
      <c r="A794" s="8">
        <v>46205.0</v>
      </c>
      <c r="B794" s="4" t="s">
        <v>1933</v>
      </c>
      <c r="C794" s="5">
        <v>8226803.0</v>
      </c>
      <c r="D794" s="5">
        <v>0.0</v>
      </c>
      <c r="E794" s="5">
        <f t="shared" si="1"/>
        <v>243454533.7</v>
      </c>
      <c r="F794" s="14" t="s">
        <v>58</v>
      </c>
      <c r="G794" s="14" t="s">
        <v>59</v>
      </c>
      <c r="H794" s="14" t="s">
        <v>722</v>
      </c>
      <c r="I794" s="16"/>
    </row>
    <row r="795" ht="15.75" hidden="1" customHeight="1">
      <c r="A795" s="8">
        <v>46205.0</v>
      </c>
      <c r="B795" s="4" t="s">
        <v>1934</v>
      </c>
      <c r="C795" s="5">
        <v>1.925E7</v>
      </c>
      <c r="D795" s="5">
        <v>0.0</v>
      </c>
      <c r="E795" s="5">
        <f t="shared" si="1"/>
        <v>224204533.7</v>
      </c>
      <c r="F795" s="4" t="s">
        <v>58</v>
      </c>
      <c r="G795" s="14" t="s">
        <v>59</v>
      </c>
      <c r="H795" s="4" t="s">
        <v>592</v>
      </c>
      <c r="I795" s="16"/>
    </row>
    <row r="796" ht="15.75" hidden="1" customHeight="1">
      <c r="A796" s="8">
        <v>46205.0</v>
      </c>
      <c r="B796" s="4" t="s">
        <v>1935</v>
      </c>
      <c r="C796" s="5">
        <v>2500.0</v>
      </c>
      <c r="D796" s="5">
        <v>0.0</v>
      </c>
      <c r="E796" s="5">
        <f t="shared" si="1"/>
        <v>224202033.7</v>
      </c>
      <c r="F796" s="14" t="s">
        <v>43</v>
      </c>
      <c r="G796" s="14" t="s">
        <v>45</v>
      </c>
      <c r="H796" s="14"/>
      <c r="I796" s="16"/>
    </row>
    <row r="797" ht="15.75" hidden="1" customHeight="1">
      <c r="A797" s="8">
        <v>46205.0</v>
      </c>
      <c r="B797" s="4" t="s">
        <v>1936</v>
      </c>
      <c r="C797" s="5">
        <v>1.24141133E8</v>
      </c>
      <c r="D797" s="5">
        <v>0.0</v>
      </c>
      <c r="E797" s="5">
        <f t="shared" si="1"/>
        <v>100060900.7</v>
      </c>
      <c r="F797" s="14" t="s">
        <v>21</v>
      </c>
      <c r="G797" s="14" t="s">
        <v>448</v>
      </c>
      <c r="H797" s="14" t="s">
        <v>38</v>
      </c>
      <c r="I797" s="16"/>
    </row>
    <row r="798" ht="15.75" hidden="1" customHeight="1">
      <c r="A798" s="8">
        <v>46205.0</v>
      </c>
      <c r="B798" s="4" t="s">
        <v>1938</v>
      </c>
      <c r="C798" s="5">
        <v>2500.0</v>
      </c>
      <c r="D798" s="5">
        <v>0.0</v>
      </c>
      <c r="E798" s="5">
        <f t="shared" si="1"/>
        <v>100058400.7</v>
      </c>
      <c r="F798" s="14" t="s">
        <v>43</v>
      </c>
      <c r="G798" s="14" t="s">
        <v>45</v>
      </c>
      <c r="H798" s="14"/>
      <c r="I798" s="16"/>
    </row>
    <row r="799" ht="15.75" hidden="1" customHeight="1">
      <c r="A799" s="8">
        <v>46205.0</v>
      </c>
      <c r="B799" s="4" t="s">
        <v>1940</v>
      </c>
      <c r="C799" s="5">
        <v>1.8724855E7</v>
      </c>
      <c r="D799" s="5">
        <v>0.0</v>
      </c>
      <c r="E799" s="5">
        <f t="shared" si="1"/>
        <v>81333545.69</v>
      </c>
      <c r="F799" s="14" t="s">
        <v>21</v>
      </c>
      <c r="G799" s="14" t="s">
        <v>190</v>
      </c>
      <c r="H799" s="14"/>
      <c r="I799" s="16"/>
    </row>
    <row r="800" ht="15.75" hidden="1" customHeight="1">
      <c r="A800" s="8">
        <v>46205.0</v>
      </c>
      <c r="B800" s="4" t="s">
        <v>1941</v>
      </c>
      <c r="C800" s="5">
        <v>2500.0</v>
      </c>
      <c r="D800" s="5">
        <v>0.0</v>
      </c>
      <c r="E800" s="5">
        <f t="shared" si="1"/>
        <v>81331045.69</v>
      </c>
      <c r="F800" s="14" t="s">
        <v>43</v>
      </c>
      <c r="G800" s="14" t="s">
        <v>45</v>
      </c>
      <c r="H800" s="14"/>
      <c r="I800" s="16"/>
    </row>
    <row r="801" ht="15.75" hidden="1" customHeight="1">
      <c r="A801" s="8">
        <v>46205.0</v>
      </c>
      <c r="B801" s="4" t="s">
        <v>1942</v>
      </c>
      <c r="C801" s="5">
        <v>150000.0</v>
      </c>
      <c r="D801" s="5">
        <v>0.0</v>
      </c>
      <c r="E801" s="5">
        <f t="shared" si="1"/>
        <v>81181045.69</v>
      </c>
      <c r="F801" s="14" t="s">
        <v>43</v>
      </c>
      <c r="G801" s="14" t="s">
        <v>45</v>
      </c>
      <c r="H801" s="14"/>
      <c r="I801" s="16"/>
    </row>
    <row r="802" ht="15.75" hidden="1" customHeight="1">
      <c r="A802" s="8">
        <v>46205.0</v>
      </c>
      <c r="B802" s="4" t="s">
        <v>1943</v>
      </c>
      <c r="C802" s="5">
        <v>0.0</v>
      </c>
      <c r="D802" s="5">
        <v>727900.0</v>
      </c>
      <c r="E802" s="5">
        <f t="shared" si="1"/>
        <v>81908945.69</v>
      </c>
      <c r="F802" s="14" t="s">
        <v>58</v>
      </c>
      <c r="G802" s="14" t="s">
        <v>59</v>
      </c>
      <c r="H802" s="14" t="s">
        <v>683</v>
      </c>
      <c r="I802" s="16"/>
    </row>
    <row r="803" ht="15.75" hidden="1" customHeight="1">
      <c r="A803" s="8">
        <v>46205.0</v>
      </c>
      <c r="B803" s="4" t="s">
        <v>1945</v>
      </c>
      <c r="C803" s="5">
        <v>0.0</v>
      </c>
      <c r="D803" s="5">
        <v>5.608743838E9</v>
      </c>
      <c r="E803" s="5">
        <f t="shared" si="1"/>
        <v>5690652784</v>
      </c>
      <c r="F803" s="14" t="s">
        <v>75</v>
      </c>
      <c r="G803" s="14" t="s">
        <v>76</v>
      </c>
      <c r="H803" s="14" t="s">
        <v>408</v>
      </c>
      <c r="I803" s="16" t="s">
        <v>1946</v>
      </c>
    </row>
    <row r="804" ht="15.75" hidden="1" customHeight="1">
      <c r="A804" s="8">
        <v>46206.0</v>
      </c>
      <c r="B804" s="4" t="s">
        <v>1948</v>
      </c>
      <c r="C804" s="5">
        <v>3.5E9</v>
      </c>
      <c r="D804" s="5">
        <v>0.0</v>
      </c>
      <c r="E804" s="5">
        <f t="shared" si="1"/>
        <v>2190652784</v>
      </c>
      <c r="F804" s="14" t="s">
        <v>93</v>
      </c>
      <c r="G804" s="14" t="s">
        <v>93</v>
      </c>
      <c r="H804" s="14" t="s">
        <v>1085</v>
      </c>
      <c r="I804" s="16"/>
    </row>
    <row r="805" ht="15.75" hidden="1" customHeight="1">
      <c r="A805" s="8">
        <v>46206.0</v>
      </c>
      <c r="B805" s="4" t="s">
        <v>1950</v>
      </c>
      <c r="C805" s="5">
        <v>15000.0</v>
      </c>
      <c r="D805" s="5">
        <v>0.0</v>
      </c>
      <c r="E805" s="5">
        <f t="shared" si="1"/>
        <v>2190637784</v>
      </c>
      <c r="F805" s="14" t="s">
        <v>43</v>
      </c>
      <c r="G805" s="14" t="s">
        <v>45</v>
      </c>
      <c r="H805" s="14"/>
      <c r="I805" s="16"/>
    </row>
    <row r="806" ht="15.75" hidden="1" customHeight="1">
      <c r="A806" s="8">
        <v>46206.0</v>
      </c>
      <c r="B806" s="4" t="s">
        <v>1952</v>
      </c>
      <c r="C806" s="5">
        <v>1.0088E9</v>
      </c>
      <c r="D806" s="5">
        <v>0.0</v>
      </c>
      <c r="E806" s="5">
        <f t="shared" si="1"/>
        <v>1181837784</v>
      </c>
      <c r="F806" s="14" t="s">
        <v>18</v>
      </c>
      <c r="G806" s="14" t="s">
        <v>19</v>
      </c>
      <c r="H806" s="14" t="s">
        <v>20</v>
      </c>
      <c r="I806" s="16"/>
    </row>
    <row r="807" ht="15.75" hidden="1" customHeight="1">
      <c r="A807" s="8">
        <v>46206.0</v>
      </c>
      <c r="B807" s="4" t="s">
        <v>1952</v>
      </c>
      <c r="C807" s="5">
        <f>1078800000-C806</f>
        <v>70000000</v>
      </c>
      <c r="D807" s="5">
        <v>0.0</v>
      </c>
      <c r="E807" s="5">
        <f t="shared" si="1"/>
        <v>1111837784</v>
      </c>
      <c r="F807" s="14" t="s">
        <v>43</v>
      </c>
      <c r="G807" s="14" t="s">
        <v>1356</v>
      </c>
      <c r="H807" s="14"/>
      <c r="I807" s="16"/>
    </row>
    <row r="808" ht="15.75" hidden="1" customHeight="1">
      <c r="A808" s="8">
        <v>46206.0</v>
      </c>
      <c r="B808" s="4" t="s">
        <v>1956</v>
      </c>
      <c r="C808" s="5">
        <v>2500.0</v>
      </c>
      <c r="D808" s="5">
        <v>0.0</v>
      </c>
      <c r="E808" s="5">
        <f t="shared" si="1"/>
        <v>1111835284</v>
      </c>
      <c r="F808" s="14" t="s">
        <v>43</v>
      </c>
      <c r="G808" s="14" t="s">
        <v>45</v>
      </c>
      <c r="H808" s="14"/>
      <c r="I808" s="16"/>
    </row>
    <row r="809" ht="15.75" hidden="1" customHeight="1">
      <c r="A809" s="8">
        <v>46206.0</v>
      </c>
      <c r="B809" s="4" t="s">
        <v>1959</v>
      </c>
      <c r="C809" s="5">
        <v>5.9595425E7</v>
      </c>
      <c r="D809" s="5">
        <v>0.0</v>
      </c>
      <c r="E809" s="5">
        <f t="shared" si="1"/>
        <v>1052239859</v>
      </c>
      <c r="F809" s="14" t="s">
        <v>93</v>
      </c>
      <c r="G809" s="14" t="s">
        <v>93</v>
      </c>
      <c r="H809" s="14" t="s">
        <v>20</v>
      </c>
      <c r="I809" s="16"/>
    </row>
    <row r="810" ht="15.75" hidden="1" customHeight="1">
      <c r="A810" s="8">
        <v>46206.0</v>
      </c>
      <c r="B810" s="4" t="s">
        <v>1961</v>
      </c>
      <c r="C810" s="5">
        <v>2500.0</v>
      </c>
      <c r="D810" s="5">
        <v>0.0</v>
      </c>
      <c r="E810" s="5">
        <f t="shared" si="1"/>
        <v>1052237359</v>
      </c>
      <c r="F810" s="14" t="s">
        <v>93</v>
      </c>
      <c r="G810" s="14" t="s">
        <v>93</v>
      </c>
      <c r="H810" s="14" t="s">
        <v>20</v>
      </c>
      <c r="I810" s="16"/>
    </row>
    <row r="811" ht="15.75" hidden="1" customHeight="1">
      <c r="A811" s="8">
        <v>46206.0</v>
      </c>
      <c r="B811" s="4" t="s">
        <v>140</v>
      </c>
      <c r="C811" s="5">
        <v>0.0</v>
      </c>
      <c r="D811" s="5">
        <v>6.27125714E8</v>
      </c>
      <c r="E811" s="5">
        <f t="shared" si="1"/>
        <v>1679363073</v>
      </c>
      <c r="F811" s="14" t="s">
        <v>75</v>
      </c>
      <c r="G811" s="14" t="s">
        <v>76</v>
      </c>
      <c r="H811" s="14" t="s">
        <v>722</v>
      </c>
      <c r="I811" s="18" t="s">
        <v>1963</v>
      </c>
    </row>
    <row r="812" ht="15.75" hidden="1" customHeight="1">
      <c r="A812" s="8">
        <v>46206.0</v>
      </c>
      <c r="B812" s="4" t="s">
        <v>1880</v>
      </c>
      <c r="C812" s="5">
        <v>1.33665739E8</v>
      </c>
      <c r="D812" s="5">
        <v>0.0</v>
      </c>
      <c r="E812" s="5">
        <f t="shared" si="1"/>
        <v>1545697334</v>
      </c>
      <c r="F812" s="14" t="s">
        <v>21</v>
      </c>
      <c r="G812" s="14" t="s">
        <v>788</v>
      </c>
      <c r="H812" s="14"/>
      <c r="I812" s="16"/>
    </row>
    <row r="813" ht="15.75" hidden="1" customHeight="1">
      <c r="A813" s="8">
        <v>46206.0</v>
      </c>
      <c r="B813" s="4" t="s">
        <v>1965</v>
      </c>
      <c r="C813" s="5">
        <v>2500.0</v>
      </c>
      <c r="D813" s="5">
        <v>0.0</v>
      </c>
      <c r="E813" s="5">
        <f t="shared" si="1"/>
        <v>1545694834</v>
      </c>
      <c r="F813" s="14" t="s">
        <v>43</v>
      </c>
      <c r="G813" s="14" t="s">
        <v>45</v>
      </c>
      <c r="H813" s="14"/>
      <c r="I813" s="16"/>
    </row>
    <row r="814" ht="15.75" hidden="1" customHeight="1">
      <c r="A814" s="8">
        <v>46206.0</v>
      </c>
      <c r="B814" s="4" t="s">
        <v>1968</v>
      </c>
      <c r="C814" s="5">
        <v>0.0</v>
      </c>
      <c r="D814" s="5">
        <v>3.84846581E8</v>
      </c>
      <c r="E814" s="5">
        <f t="shared" si="1"/>
        <v>1930541415</v>
      </c>
      <c r="F814" s="14" t="s">
        <v>75</v>
      </c>
      <c r="G814" s="14" t="s">
        <v>76</v>
      </c>
      <c r="H814" s="13" t="s">
        <v>1970</v>
      </c>
      <c r="I814" s="16" t="s">
        <v>1971</v>
      </c>
    </row>
    <row r="815" ht="15.75" hidden="1" customHeight="1">
      <c r="A815" s="8">
        <v>46206.0</v>
      </c>
      <c r="B815" s="4" t="s">
        <v>1974</v>
      </c>
      <c r="C815" s="5">
        <v>0.0</v>
      </c>
      <c r="D815" s="5">
        <v>7.7410714E7</v>
      </c>
      <c r="E815" s="5">
        <f t="shared" si="1"/>
        <v>2007952129</v>
      </c>
      <c r="F815" s="14" t="s">
        <v>75</v>
      </c>
      <c r="G815" s="14" t="s">
        <v>76</v>
      </c>
      <c r="H815" s="14" t="s">
        <v>408</v>
      </c>
      <c r="I815" s="16" t="s">
        <v>1976</v>
      </c>
    </row>
    <row r="816" ht="15.75" hidden="1" customHeight="1">
      <c r="A816" s="8">
        <v>46209.0</v>
      </c>
      <c r="B816" s="4" t="s">
        <v>521</v>
      </c>
      <c r="C816" s="5">
        <v>1.1004328E7</v>
      </c>
      <c r="D816" s="5">
        <v>0.0</v>
      </c>
      <c r="E816" s="5">
        <f t="shared" si="1"/>
        <v>1996947801</v>
      </c>
      <c r="F816" s="14" t="s">
        <v>21</v>
      </c>
      <c r="G816" s="14" t="s">
        <v>190</v>
      </c>
      <c r="H816" s="14"/>
      <c r="I816" s="16"/>
    </row>
    <row r="817" ht="15.75" hidden="1" customHeight="1">
      <c r="A817" s="8">
        <v>46209.0</v>
      </c>
      <c r="B817" s="4" t="s">
        <v>1979</v>
      </c>
      <c r="C817" s="5">
        <v>2500.0</v>
      </c>
      <c r="D817" s="5">
        <v>0.0</v>
      </c>
      <c r="E817" s="5">
        <f t="shared" si="1"/>
        <v>1996945301</v>
      </c>
      <c r="F817" s="14" t="s">
        <v>43</v>
      </c>
      <c r="G817" s="14" t="s">
        <v>45</v>
      </c>
      <c r="H817" s="14"/>
      <c r="I817" s="16"/>
    </row>
    <row r="818" ht="15.75" hidden="1" customHeight="1">
      <c r="A818" s="8">
        <v>46209.0</v>
      </c>
      <c r="B818" s="4" t="s">
        <v>1982</v>
      </c>
      <c r="C818" s="5">
        <v>5.7510375E7</v>
      </c>
      <c r="D818" s="5">
        <v>0.0</v>
      </c>
      <c r="E818" s="5">
        <f t="shared" si="1"/>
        <v>1939434926</v>
      </c>
      <c r="F818" s="14" t="s">
        <v>58</v>
      </c>
      <c r="G818" s="14" t="s">
        <v>59</v>
      </c>
      <c r="H818" s="4" t="s">
        <v>824</v>
      </c>
      <c r="I818" s="16"/>
    </row>
    <row r="819" ht="15.75" hidden="1" customHeight="1">
      <c r="A819" s="8">
        <v>46209.0</v>
      </c>
      <c r="B819" s="4" t="s">
        <v>1987</v>
      </c>
      <c r="C819" s="5">
        <v>2500.0</v>
      </c>
      <c r="D819" s="5">
        <v>0.0</v>
      </c>
      <c r="E819" s="5">
        <f t="shared" si="1"/>
        <v>1939432426</v>
      </c>
      <c r="F819" s="14" t="s">
        <v>43</v>
      </c>
      <c r="G819" s="14" t="s">
        <v>45</v>
      </c>
      <c r="H819" s="14"/>
      <c r="I819" s="16"/>
    </row>
    <row r="820" ht="15.75" hidden="1" customHeight="1">
      <c r="A820" s="8">
        <v>46209.0</v>
      </c>
      <c r="B820" s="4" t="s">
        <v>1990</v>
      </c>
      <c r="C820" s="5">
        <v>7.0E8</v>
      </c>
      <c r="D820" s="5">
        <v>0.0</v>
      </c>
      <c r="E820" s="5">
        <f t="shared" si="1"/>
        <v>1239432426</v>
      </c>
      <c r="F820" s="14" t="s">
        <v>21</v>
      </c>
      <c r="G820" s="14" t="s">
        <v>448</v>
      </c>
      <c r="H820" s="14" t="s">
        <v>1992</v>
      </c>
      <c r="I820" s="16" t="s">
        <v>451</v>
      </c>
    </row>
    <row r="821" ht="15.75" hidden="1" customHeight="1">
      <c r="A821" s="8">
        <v>46209.0</v>
      </c>
      <c r="B821" s="4" t="s">
        <v>535</v>
      </c>
      <c r="C821" s="5">
        <v>2900.0</v>
      </c>
      <c r="D821" s="5">
        <v>0.0</v>
      </c>
      <c r="E821" s="5">
        <f t="shared" si="1"/>
        <v>1239429526</v>
      </c>
      <c r="F821" s="14" t="s">
        <v>43</v>
      </c>
      <c r="G821" s="14" t="s">
        <v>45</v>
      </c>
      <c r="H821" s="14"/>
      <c r="I821" s="16"/>
    </row>
    <row r="822" ht="15.75" hidden="1" customHeight="1">
      <c r="A822" s="8">
        <v>46209.0</v>
      </c>
      <c r="B822" s="4" t="s">
        <v>512</v>
      </c>
      <c r="C822" s="5">
        <v>2.5E8</v>
      </c>
      <c r="D822" s="5">
        <v>0.0</v>
      </c>
      <c r="E822" s="5">
        <f t="shared" si="1"/>
        <v>989429525.7</v>
      </c>
      <c r="F822" s="14" t="s">
        <v>21</v>
      </c>
      <c r="G822" s="14" t="s">
        <v>190</v>
      </c>
      <c r="H822" s="14"/>
      <c r="I822" s="16"/>
    </row>
    <row r="823" ht="15.75" hidden="1" customHeight="1">
      <c r="A823" s="8">
        <v>46209.0</v>
      </c>
      <c r="B823" s="4" t="s">
        <v>1997</v>
      </c>
      <c r="C823" s="5">
        <v>2500.0</v>
      </c>
      <c r="D823" s="5">
        <v>0.0</v>
      </c>
      <c r="E823" s="5">
        <f t="shared" si="1"/>
        <v>989427025.7</v>
      </c>
      <c r="F823" s="14" t="s">
        <v>43</v>
      </c>
      <c r="G823" s="14" t="s">
        <v>45</v>
      </c>
      <c r="H823" s="14"/>
      <c r="I823" s="16"/>
    </row>
    <row r="824" ht="15.75" hidden="1" customHeight="1">
      <c r="A824" s="8">
        <v>46209.0</v>
      </c>
      <c r="B824" s="4" t="s">
        <v>800</v>
      </c>
      <c r="C824" s="5">
        <v>2.5E8</v>
      </c>
      <c r="D824" s="5">
        <v>0.0</v>
      </c>
      <c r="E824" s="5">
        <f t="shared" si="1"/>
        <v>739427025.7</v>
      </c>
      <c r="F824" s="14" t="s">
        <v>21</v>
      </c>
      <c r="G824" s="14" t="s">
        <v>190</v>
      </c>
      <c r="H824" s="14"/>
      <c r="I824" s="16"/>
    </row>
    <row r="825" ht="15.75" hidden="1" customHeight="1">
      <c r="A825" s="8">
        <v>46209.0</v>
      </c>
      <c r="B825" s="4" t="s">
        <v>2004</v>
      </c>
      <c r="C825" s="5">
        <v>2500.0</v>
      </c>
      <c r="D825" s="5">
        <v>0.0</v>
      </c>
      <c r="E825" s="5">
        <f t="shared" si="1"/>
        <v>739424525.7</v>
      </c>
      <c r="F825" s="14" t="s">
        <v>43</v>
      </c>
      <c r="G825" s="14" t="s">
        <v>45</v>
      </c>
      <c r="H825" s="14"/>
      <c r="I825" s="16"/>
    </row>
    <row r="826" ht="15.75" hidden="1" customHeight="1">
      <c r="A826" s="8">
        <v>46209.0</v>
      </c>
      <c r="B826" s="4" t="s">
        <v>512</v>
      </c>
      <c r="C826" s="5">
        <v>2.5E8</v>
      </c>
      <c r="D826" s="5">
        <v>0.0</v>
      </c>
      <c r="E826" s="5">
        <f t="shared" si="1"/>
        <v>489424525.7</v>
      </c>
      <c r="F826" s="14" t="s">
        <v>21</v>
      </c>
      <c r="G826" s="14" t="s">
        <v>190</v>
      </c>
      <c r="H826" s="14"/>
      <c r="I826" s="16"/>
    </row>
    <row r="827" ht="15.75" hidden="1" customHeight="1">
      <c r="A827" s="8">
        <v>46209.0</v>
      </c>
      <c r="B827" s="4" t="s">
        <v>2008</v>
      </c>
      <c r="C827" s="5">
        <v>2500.0</v>
      </c>
      <c r="D827" s="5">
        <v>0.0</v>
      </c>
      <c r="E827" s="5">
        <f t="shared" si="1"/>
        <v>489422025.7</v>
      </c>
      <c r="F827" s="14" t="s">
        <v>43</v>
      </c>
      <c r="G827" s="14" t="s">
        <v>45</v>
      </c>
      <c r="H827" s="14"/>
      <c r="I827" s="16"/>
    </row>
    <row r="828" ht="15.75" hidden="1" customHeight="1">
      <c r="A828" s="8">
        <v>46210.0</v>
      </c>
      <c r="B828" s="14" t="s">
        <v>83</v>
      </c>
      <c r="C828" s="5">
        <v>0.0</v>
      </c>
      <c r="D828" s="5">
        <v>2.462471E8</v>
      </c>
      <c r="E828" s="5">
        <f t="shared" si="1"/>
        <v>735669125.7</v>
      </c>
      <c r="F828" s="14" t="s">
        <v>24</v>
      </c>
      <c r="G828" s="14" t="s">
        <v>26</v>
      </c>
      <c r="H828" s="14" t="s">
        <v>179</v>
      </c>
      <c r="I828" s="16" t="s">
        <v>2011</v>
      </c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hidden="1" customHeight="1">
      <c r="A829" s="8">
        <v>46210.0</v>
      </c>
      <c r="B829" s="4" t="s">
        <v>2014</v>
      </c>
      <c r="C829" s="5">
        <v>2.5E8</v>
      </c>
      <c r="D829" s="5">
        <v>0.0</v>
      </c>
      <c r="E829" s="5">
        <f t="shared" si="1"/>
        <v>485669125.7</v>
      </c>
      <c r="F829" s="14" t="s">
        <v>21</v>
      </c>
      <c r="G829" s="14" t="s">
        <v>298</v>
      </c>
      <c r="H829" s="14"/>
      <c r="I829" s="16"/>
    </row>
    <row r="830" ht="15.75" hidden="1" customHeight="1">
      <c r="A830" s="8">
        <v>46210.0</v>
      </c>
      <c r="B830" s="4" t="s">
        <v>2017</v>
      </c>
      <c r="C830" s="5">
        <v>2500.0</v>
      </c>
      <c r="D830" s="5">
        <v>0.0</v>
      </c>
      <c r="E830" s="5">
        <f t="shared" si="1"/>
        <v>485666625.7</v>
      </c>
      <c r="F830" s="14" t="s">
        <v>43</v>
      </c>
      <c r="G830" s="14" t="s">
        <v>45</v>
      </c>
      <c r="H830" s="14"/>
      <c r="I830" s="16"/>
    </row>
    <row r="831" ht="15.75" hidden="1" customHeight="1">
      <c r="A831" s="8">
        <v>46210.0</v>
      </c>
      <c r="B831" s="4" t="s">
        <v>2019</v>
      </c>
      <c r="C831" s="5">
        <v>5.2506193E7</v>
      </c>
      <c r="D831" s="5">
        <v>0.0</v>
      </c>
      <c r="E831" s="5">
        <f t="shared" si="1"/>
        <v>433160432.7</v>
      </c>
      <c r="F831" s="14" t="s">
        <v>21</v>
      </c>
      <c r="G831" s="14" t="s">
        <v>298</v>
      </c>
      <c r="H831" s="14"/>
      <c r="I831" s="16"/>
    </row>
    <row r="832" ht="15.75" hidden="1" customHeight="1">
      <c r="A832" s="8">
        <v>46210.0</v>
      </c>
      <c r="B832" s="4" t="s">
        <v>2020</v>
      </c>
      <c r="C832" s="5">
        <v>2500.0</v>
      </c>
      <c r="D832" s="5">
        <v>0.0</v>
      </c>
      <c r="E832" s="5">
        <f t="shared" si="1"/>
        <v>433157932.7</v>
      </c>
      <c r="F832" s="14" t="s">
        <v>43</v>
      </c>
      <c r="G832" s="14" t="s">
        <v>45</v>
      </c>
      <c r="H832" s="14"/>
      <c r="I832" s="16"/>
    </row>
    <row r="833" ht="15.75" hidden="1" customHeight="1">
      <c r="A833" s="8">
        <v>46211.0</v>
      </c>
      <c r="B833" s="4" t="s">
        <v>2022</v>
      </c>
      <c r="C833" s="5">
        <v>1.24483586E8</v>
      </c>
      <c r="D833" s="5">
        <v>0.0</v>
      </c>
      <c r="E833" s="5">
        <f t="shared" si="1"/>
        <v>308674346.7</v>
      </c>
      <c r="F833" s="14" t="s">
        <v>21</v>
      </c>
      <c r="G833" s="14" t="s">
        <v>448</v>
      </c>
      <c r="H833" s="14" t="s">
        <v>55</v>
      </c>
      <c r="I833" s="16"/>
    </row>
    <row r="834" ht="15.75" hidden="1" customHeight="1">
      <c r="A834" s="8">
        <v>46211.0</v>
      </c>
      <c r="B834" s="4" t="s">
        <v>2024</v>
      </c>
      <c r="C834" s="5">
        <v>2500.0</v>
      </c>
      <c r="D834" s="5">
        <v>0.0</v>
      </c>
      <c r="E834" s="5">
        <f t="shared" si="1"/>
        <v>308671846.7</v>
      </c>
      <c r="F834" s="14" t="s">
        <v>43</v>
      </c>
      <c r="G834" s="14" t="s">
        <v>45</v>
      </c>
      <c r="H834" s="14"/>
      <c r="I834" s="16"/>
    </row>
    <row r="835" ht="15.75" hidden="1" customHeight="1">
      <c r="A835" s="8">
        <v>46211.0</v>
      </c>
      <c r="B835" s="4" t="s">
        <v>2027</v>
      </c>
      <c r="C835" s="5">
        <v>7413800.0</v>
      </c>
      <c r="D835" s="5">
        <v>0.0</v>
      </c>
      <c r="E835" s="5">
        <f t="shared" si="1"/>
        <v>301258046.7</v>
      </c>
      <c r="F835" s="14" t="s">
        <v>24</v>
      </c>
      <c r="G835" s="14" t="s">
        <v>125</v>
      </c>
      <c r="H835" s="14" t="s">
        <v>359</v>
      </c>
      <c r="I835" s="16"/>
    </row>
    <row r="836" ht="15.75" hidden="1" customHeight="1">
      <c r="A836" s="8">
        <v>46211.0</v>
      </c>
      <c r="B836" s="4" t="s">
        <v>2028</v>
      </c>
      <c r="C836" s="5">
        <v>2053138.0</v>
      </c>
      <c r="D836" s="5">
        <v>0.0</v>
      </c>
      <c r="E836" s="5">
        <f t="shared" si="1"/>
        <v>299204908.7</v>
      </c>
      <c r="F836" s="14" t="s">
        <v>21</v>
      </c>
      <c r="G836" s="14" t="s">
        <v>448</v>
      </c>
      <c r="H836" s="14" t="s">
        <v>70</v>
      </c>
      <c r="I836" s="16"/>
    </row>
    <row r="837" ht="15.75" hidden="1" customHeight="1">
      <c r="A837" s="8">
        <v>46211.0</v>
      </c>
      <c r="B837" s="4" t="s">
        <v>2030</v>
      </c>
      <c r="C837" s="5">
        <v>2500.0</v>
      </c>
      <c r="D837" s="5">
        <v>0.0</v>
      </c>
      <c r="E837" s="5">
        <f t="shared" si="1"/>
        <v>299202408.7</v>
      </c>
      <c r="F837" s="14" t="s">
        <v>43</v>
      </c>
      <c r="G837" s="14" t="s">
        <v>45</v>
      </c>
      <c r="H837" s="14"/>
      <c r="I837" s="16"/>
    </row>
    <row r="838" ht="15.75" hidden="1" customHeight="1">
      <c r="A838" s="8">
        <v>46211.0</v>
      </c>
      <c r="B838" s="4" t="s">
        <v>2031</v>
      </c>
      <c r="C838" s="5">
        <f>228859423-C839+D840</f>
        <v>228460517</v>
      </c>
      <c r="D838" s="5">
        <v>0.0</v>
      </c>
      <c r="E838" s="5">
        <f t="shared" si="1"/>
        <v>70741891.69</v>
      </c>
      <c r="F838" s="14" t="s">
        <v>58</v>
      </c>
      <c r="G838" s="14" t="s">
        <v>59</v>
      </c>
      <c r="H838" s="14" t="s">
        <v>111</v>
      </c>
      <c r="I838" s="16"/>
    </row>
    <row r="839" ht="15.75" hidden="1" customHeight="1">
      <c r="A839" s="8">
        <v>46211.0</v>
      </c>
      <c r="B839" s="4" t="s">
        <v>2031</v>
      </c>
      <c r="C839" s="5">
        <v>3833066.0</v>
      </c>
      <c r="D839" s="5">
        <v>0.0</v>
      </c>
      <c r="E839" s="5">
        <f t="shared" si="1"/>
        <v>66908825.69</v>
      </c>
      <c r="F839" s="4" t="s">
        <v>21</v>
      </c>
      <c r="G839" s="4" t="s">
        <v>448</v>
      </c>
      <c r="H839" s="4" t="s">
        <v>1430</v>
      </c>
    </row>
    <row r="840" ht="15.75" hidden="1" customHeight="1">
      <c r="A840" s="8">
        <v>46211.0</v>
      </c>
      <c r="B840" s="4" t="s">
        <v>2031</v>
      </c>
      <c r="C840" s="5">
        <v>0.0</v>
      </c>
      <c r="D840" s="5">
        <v>3434160.0</v>
      </c>
      <c r="E840" s="5">
        <f t="shared" si="1"/>
        <v>70342985.69</v>
      </c>
      <c r="F840" s="14" t="s">
        <v>93</v>
      </c>
      <c r="G840" s="14" t="s">
        <v>93</v>
      </c>
      <c r="H840" s="14" t="s">
        <v>191</v>
      </c>
      <c r="I840" s="16" t="s">
        <v>953</v>
      </c>
    </row>
    <row r="841" ht="15.75" hidden="1" customHeight="1">
      <c r="A841" s="8">
        <v>46211.0</v>
      </c>
      <c r="B841" s="4" t="s">
        <v>2037</v>
      </c>
      <c r="C841" s="5">
        <v>2500.0</v>
      </c>
      <c r="D841" s="5">
        <v>0.0</v>
      </c>
      <c r="E841" s="5">
        <f t="shared" si="1"/>
        <v>70340485.69</v>
      </c>
      <c r="F841" s="14" t="s">
        <v>43</v>
      </c>
      <c r="G841" s="14" t="s">
        <v>45</v>
      </c>
      <c r="H841" s="14"/>
      <c r="I841" s="16"/>
    </row>
    <row r="842" ht="15.75" hidden="1" customHeight="1">
      <c r="A842" s="8">
        <v>46211.0</v>
      </c>
      <c r="B842" s="4" t="s">
        <v>2040</v>
      </c>
      <c r="C842" s="5">
        <v>1803000.0</v>
      </c>
      <c r="D842" s="5">
        <v>0.0</v>
      </c>
      <c r="E842" s="5">
        <f t="shared" si="1"/>
        <v>68537485.69</v>
      </c>
      <c r="F842" s="14" t="s">
        <v>58</v>
      </c>
      <c r="G842" s="14" t="s">
        <v>59</v>
      </c>
      <c r="H842" s="14" t="s">
        <v>2042</v>
      </c>
      <c r="I842" s="16"/>
    </row>
    <row r="843" ht="15.75" hidden="1" customHeight="1">
      <c r="A843" s="8">
        <v>46211.0</v>
      </c>
      <c r="B843" s="4" t="s">
        <v>1444</v>
      </c>
      <c r="C843" s="5">
        <v>6.7534985E7</v>
      </c>
      <c r="D843" s="5">
        <v>0.0</v>
      </c>
      <c r="E843" s="5">
        <f t="shared" si="1"/>
        <v>1002500.69</v>
      </c>
      <c r="F843" s="14" t="s">
        <v>21</v>
      </c>
      <c r="G843" s="14" t="s">
        <v>190</v>
      </c>
      <c r="H843" s="14"/>
      <c r="I843" s="16"/>
    </row>
    <row r="844" ht="15.75" hidden="1" customHeight="1">
      <c r="A844" s="8">
        <v>46211.0</v>
      </c>
      <c r="B844" s="4" t="s">
        <v>2045</v>
      </c>
      <c r="C844" s="5">
        <v>2500.0</v>
      </c>
      <c r="D844" s="5">
        <v>0.0</v>
      </c>
      <c r="E844" s="5">
        <f t="shared" si="1"/>
        <v>1000000.69</v>
      </c>
      <c r="F844" s="14" t="s">
        <v>43</v>
      </c>
      <c r="G844" s="14" t="s">
        <v>45</v>
      </c>
      <c r="H844" s="14"/>
      <c r="I844" s="16"/>
    </row>
    <row r="845" ht="15.75" hidden="1" customHeight="1">
      <c r="A845" s="8">
        <v>46211.0</v>
      </c>
      <c r="B845" s="4" t="s">
        <v>2046</v>
      </c>
      <c r="C845" s="5">
        <v>0.0</v>
      </c>
      <c r="D845" s="5">
        <v>2.5E8</v>
      </c>
      <c r="E845" s="5">
        <f t="shared" si="1"/>
        <v>251000000.7</v>
      </c>
      <c r="F845" s="4" t="s">
        <v>21</v>
      </c>
      <c r="G845" s="4" t="s">
        <v>1070</v>
      </c>
      <c r="H845" s="14"/>
      <c r="I845" s="16"/>
    </row>
    <row r="846" ht="15.75" hidden="1" customHeight="1">
      <c r="A846" s="8">
        <v>46212.0</v>
      </c>
      <c r="B846" s="4" t="s">
        <v>2048</v>
      </c>
      <c r="C846" s="5">
        <f>18198198-C847+D848</f>
        <v>18018018</v>
      </c>
      <c r="D846" s="5">
        <v>0.0</v>
      </c>
      <c r="E846" s="5">
        <f t="shared" si="1"/>
        <v>232981982.7</v>
      </c>
      <c r="F846" s="14" t="s">
        <v>50</v>
      </c>
      <c r="G846" s="14" t="s">
        <v>708</v>
      </c>
      <c r="H846" s="14" t="s">
        <v>707</v>
      </c>
      <c r="I846" s="16"/>
    </row>
    <row r="847" ht="15.75" hidden="1" customHeight="1">
      <c r="A847" s="8">
        <v>46212.0</v>
      </c>
      <c r="B847" s="4" t="s">
        <v>2048</v>
      </c>
      <c r="C847" s="5">
        <v>1981982.0</v>
      </c>
      <c r="D847" s="5">
        <v>0.0</v>
      </c>
      <c r="E847" s="5">
        <f t="shared" si="1"/>
        <v>231000000.7</v>
      </c>
      <c r="F847" s="4" t="s">
        <v>21</v>
      </c>
      <c r="G847" s="4" t="s">
        <v>448</v>
      </c>
      <c r="H847" s="4" t="s">
        <v>1430</v>
      </c>
    </row>
    <row r="848" ht="15.75" hidden="1" customHeight="1">
      <c r="A848" s="8">
        <v>46212.0</v>
      </c>
      <c r="B848" s="4" t="s">
        <v>2048</v>
      </c>
      <c r="C848" s="5">
        <v>0.0</v>
      </c>
      <c r="D848" s="5">
        <v>1801802.0</v>
      </c>
      <c r="E848" s="5">
        <f t="shared" si="1"/>
        <v>232801802.7</v>
      </c>
      <c r="F848" s="14" t="s">
        <v>93</v>
      </c>
      <c r="G848" s="14" t="s">
        <v>93</v>
      </c>
      <c r="H848" s="14" t="s">
        <v>711</v>
      </c>
      <c r="I848" s="16" t="s">
        <v>712</v>
      </c>
    </row>
    <row r="849" ht="15.75" hidden="1" customHeight="1">
      <c r="A849" s="8">
        <v>46212.0</v>
      </c>
      <c r="B849" s="4" t="s">
        <v>2054</v>
      </c>
      <c r="C849" s="5">
        <v>2319020.0</v>
      </c>
      <c r="D849" s="5">
        <v>0.0</v>
      </c>
      <c r="E849" s="5">
        <f t="shared" si="1"/>
        <v>230482782.7</v>
      </c>
      <c r="F849" s="14" t="s">
        <v>58</v>
      </c>
      <c r="G849" s="14" t="s">
        <v>59</v>
      </c>
      <c r="H849" s="14" t="s">
        <v>722</v>
      </c>
      <c r="I849" s="16"/>
    </row>
    <row r="850" ht="15.75" hidden="1" customHeight="1">
      <c r="A850" s="8">
        <v>46212.0</v>
      </c>
      <c r="B850" s="4" t="s">
        <v>2055</v>
      </c>
      <c r="C850" s="5">
        <v>2500.0</v>
      </c>
      <c r="D850" s="5">
        <v>0.0</v>
      </c>
      <c r="E850" s="5">
        <f t="shared" si="1"/>
        <v>230480282.7</v>
      </c>
      <c r="F850" s="14" t="s">
        <v>43</v>
      </c>
      <c r="G850" s="14" t="s">
        <v>45</v>
      </c>
      <c r="H850" s="14"/>
      <c r="I850" s="16"/>
    </row>
    <row r="851" ht="15.75" hidden="1" customHeight="1">
      <c r="A851" s="8">
        <v>46212.0</v>
      </c>
      <c r="B851" s="4" t="s">
        <v>2057</v>
      </c>
      <c r="C851" s="5">
        <v>5403200.0</v>
      </c>
      <c r="D851" s="5">
        <v>0.0</v>
      </c>
      <c r="E851" s="5">
        <f t="shared" si="1"/>
        <v>225077082.7</v>
      </c>
      <c r="F851" s="14" t="s">
        <v>58</v>
      </c>
      <c r="G851" s="14" t="s">
        <v>59</v>
      </c>
      <c r="H851" s="14" t="s">
        <v>2058</v>
      </c>
      <c r="I851" s="16"/>
    </row>
    <row r="852" ht="15.75" hidden="1" customHeight="1">
      <c r="A852" s="8">
        <v>46212.0</v>
      </c>
      <c r="B852" s="4" t="s">
        <v>2059</v>
      </c>
      <c r="C852" s="5">
        <f>18198198-C853+D854</f>
        <v>18018018</v>
      </c>
      <c r="D852" s="5">
        <v>0.0</v>
      </c>
      <c r="E852" s="5">
        <f t="shared" si="1"/>
        <v>207059064.7</v>
      </c>
      <c r="F852" s="14" t="s">
        <v>50</v>
      </c>
      <c r="G852" s="14" t="s">
        <v>708</v>
      </c>
      <c r="H852" s="14" t="s">
        <v>400</v>
      </c>
      <c r="I852" s="16"/>
    </row>
    <row r="853" ht="15.75" hidden="1" customHeight="1">
      <c r="A853" s="8">
        <v>46212.0</v>
      </c>
      <c r="B853" s="4" t="s">
        <v>2059</v>
      </c>
      <c r="C853" s="5">
        <v>1981982.0</v>
      </c>
      <c r="D853" s="5">
        <v>0.0</v>
      </c>
      <c r="E853" s="5">
        <f t="shared" si="1"/>
        <v>205077082.7</v>
      </c>
      <c r="F853" s="4" t="s">
        <v>21</v>
      </c>
      <c r="G853" s="4" t="s">
        <v>448</v>
      </c>
      <c r="H853" s="4" t="s">
        <v>859</v>
      </c>
    </row>
    <row r="854" ht="15.75" hidden="1" customHeight="1">
      <c r="A854" s="8">
        <v>46212.0</v>
      </c>
      <c r="B854" s="4" t="s">
        <v>2059</v>
      </c>
      <c r="C854" s="5">
        <v>0.0</v>
      </c>
      <c r="D854" s="5">
        <v>1801802.0</v>
      </c>
      <c r="E854" s="5">
        <f t="shared" si="1"/>
        <v>206878884.7</v>
      </c>
      <c r="F854" s="14" t="s">
        <v>18</v>
      </c>
      <c r="G854" s="14" t="s">
        <v>194</v>
      </c>
      <c r="H854" s="14" t="s">
        <v>711</v>
      </c>
      <c r="I854" s="16"/>
    </row>
    <row r="855" ht="15.75" hidden="1" customHeight="1">
      <c r="A855" s="8">
        <v>46212.0</v>
      </c>
      <c r="B855" s="4" t="s">
        <v>2071</v>
      </c>
      <c r="C855" s="5">
        <v>2500.0</v>
      </c>
      <c r="D855" s="5">
        <v>0.0</v>
      </c>
      <c r="E855" s="5">
        <f t="shared" si="1"/>
        <v>206876384.7</v>
      </c>
      <c r="F855" s="14" t="s">
        <v>43</v>
      </c>
      <c r="G855" s="14" t="s">
        <v>45</v>
      </c>
      <c r="H855" s="14"/>
      <c r="I855" s="16"/>
    </row>
    <row r="856" ht="15.75" hidden="1" customHeight="1">
      <c r="A856" s="8">
        <v>46213.0</v>
      </c>
      <c r="B856" s="4" t="s">
        <v>2074</v>
      </c>
      <c r="C856" s="5">
        <v>1199000.0</v>
      </c>
      <c r="D856" s="5">
        <v>0.0</v>
      </c>
      <c r="E856" s="5">
        <f t="shared" si="1"/>
        <v>205677384.7</v>
      </c>
      <c r="F856" s="14" t="s">
        <v>58</v>
      </c>
      <c r="G856" s="14" t="s">
        <v>59</v>
      </c>
      <c r="H856" s="14" t="s">
        <v>1785</v>
      </c>
      <c r="I856" s="16"/>
    </row>
    <row r="857" ht="15.75" hidden="1" customHeight="1">
      <c r="A857" s="8">
        <v>46213.0</v>
      </c>
      <c r="B857" s="4" t="s">
        <v>2079</v>
      </c>
      <c r="C857" s="5">
        <v>1.1823E7</v>
      </c>
      <c r="D857" s="5">
        <v>0.0</v>
      </c>
      <c r="E857" s="5">
        <f t="shared" si="1"/>
        <v>193854384.7</v>
      </c>
      <c r="F857" s="14" t="s">
        <v>58</v>
      </c>
      <c r="G857" s="14" t="s">
        <v>59</v>
      </c>
      <c r="H857" s="14" t="s">
        <v>404</v>
      </c>
      <c r="I857" s="16"/>
    </row>
    <row r="858" ht="15.75" hidden="1" customHeight="1">
      <c r="A858" s="8">
        <v>46213.0</v>
      </c>
      <c r="B858" s="4" t="s">
        <v>2082</v>
      </c>
      <c r="C858" s="5">
        <v>1.60662E7</v>
      </c>
      <c r="D858" s="5">
        <v>0.0</v>
      </c>
      <c r="E858" s="5">
        <f t="shared" si="1"/>
        <v>177788184.7</v>
      </c>
      <c r="F858" s="14" t="s">
        <v>58</v>
      </c>
      <c r="G858" s="14" t="s">
        <v>59</v>
      </c>
      <c r="H858" s="14" t="s">
        <v>404</v>
      </c>
      <c r="I858" s="16"/>
    </row>
    <row r="859" ht="15.75" hidden="1" customHeight="1">
      <c r="A859" s="8">
        <v>46213.0</v>
      </c>
      <c r="B859" s="4" t="s">
        <v>2084</v>
      </c>
      <c r="C859" s="5">
        <v>1.409928E7</v>
      </c>
      <c r="D859" s="5">
        <v>0.0</v>
      </c>
      <c r="E859" s="5">
        <f t="shared" si="1"/>
        <v>163688904.7</v>
      </c>
      <c r="F859" s="14" t="s">
        <v>24</v>
      </c>
      <c r="G859" s="14" t="s">
        <v>125</v>
      </c>
      <c r="H859" s="14" t="s">
        <v>359</v>
      </c>
      <c r="I859" s="16"/>
    </row>
    <row r="860" ht="15.75" hidden="1" customHeight="1">
      <c r="A860" s="8">
        <v>46213.0</v>
      </c>
      <c r="B860" s="4" t="s">
        <v>1222</v>
      </c>
      <c r="C860" s="5">
        <v>0.0</v>
      </c>
      <c r="D860" s="5">
        <v>1.71308196E8</v>
      </c>
      <c r="E860" s="5">
        <f t="shared" si="1"/>
        <v>334997100.7</v>
      </c>
      <c r="F860" s="14" t="s">
        <v>21</v>
      </c>
      <c r="G860" s="14" t="s">
        <v>842</v>
      </c>
      <c r="H860" s="14"/>
      <c r="I860" s="16"/>
    </row>
    <row r="861" ht="15.75" hidden="1" customHeight="1">
      <c r="A861" s="8">
        <v>46213.0</v>
      </c>
      <c r="B861" s="14" t="s">
        <v>1916</v>
      </c>
      <c r="C861" s="5">
        <v>0.0</v>
      </c>
      <c r="D861" s="5">
        <v>2900.0</v>
      </c>
      <c r="E861" s="5">
        <f t="shared" si="1"/>
        <v>335000000.7</v>
      </c>
      <c r="F861" s="14" t="s">
        <v>18</v>
      </c>
      <c r="G861" s="14" t="s">
        <v>19</v>
      </c>
      <c r="H861" s="14" t="s">
        <v>20</v>
      </c>
      <c r="I861" s="16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hidden="1" customHeight="1">
      <c r="A862" s="8">
        <v>46213.0</v>
      </c>
      <c r="B862" s="14" t="s">
        <v>2093</v>
      </c>
      <c r="C862" s="5">
        <v>0.0</v>
      </c>
      <c r="D862" s="5">
        <v>2900.0</v>
      </c>
      <c r="E862" s="5">
        <f t="shared" si="1"/>
        <v>335002900.7</v>
      </c>
      <c r="F862" s="14" t="s">
        <v>18</v>
      </c>
      <c r="G862" s="14" t="s">
        <v>19</v>
      </c>
      <c r="H862" s="14" t="s">
        <v>20</v>
      </c>
      <c r="I862" s="16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hidden="1" customHeight="1">
      <c r="A863" s="8">
        <v>46213.0</v>
      </c>
      <c r="B863" s="4" t="s">
        <v>2099</v>
      </c>
      <c r="C863" s="5">
        <v>3.34E8</v>
      </c>
      <c r="D863" s="5">
        <v>0.0</v>
      </c>
      <c r="E863" s="5">
        <f t="shared" si="1"/>
        <v>1002900.69</v>
      </c>
      <c r="F863" s="14" t="s">
        <v>21</v>
      </c>
      <c r="G863" s="14" t="s">
        <v>448</v>
      </c>
      <c r="H863" s="14" t="s">
        <v>2101</v>
      </c>
      <c r="I863" s="16" t="s">
        <v>451</v>
      </c>
    </row>
    <row r="864" ht="15.75" hidden="1" customHeight="1">
      <c r="A864" s="8">
        <v>46213.0</v>
      </c>
      <c r="B864" s="4" t="s">
        <v>1818</v>
      </c>
      <c r="C864" s="5">
        <v>2900.0</v>
      </c>
      <c r="D864" s="5">
        <v>0.0</v>
      </c>
      <c r="E864" s="5">
        <f t="shared" si="1"/>
        <v>1000000.69</v>
      </c>
      <c r="F864" s="14" t="s">
        <v>43</v>
      </c>
      <c r="G864" s="14" t="s">
        <v>45</v>
      </c>
      <c r="H864" s="14"/>
      <c r="I864" s="16"/>
    </row>
    <row r="865" ht="15.75" hidden="1" customHeight="1">
      <c r="A865" s="8">
        <v>46213.0</v>
      </c>
      <c r="B865" s="4" t="s">
        <v>2104</v>
      </c>
      <c r="C865" s="5">
        <v>0.0</v>
      </c>
      <c r="D865" s="5">
        <v>3.98978536E8</v>
      </c>
      <c r="E865" s="5">
        <f t="shared" si="1"/>
        <v>399978536.7</v>
      </c>
      <c r="F865" s="14" t="s">
        <v>75</v>
      </c>
      <c r="G865" s="14" t="s">
        <v>76</v>
      </c>
      <c r="H865" s="14" t="s">
        <v>1250</v>
      </c>
      <c r="I865" s="16" t="s">
        <v>2106</v>
      </c>
    </row>
    <row r="866" ht="15.75" hidden="1" customHeight="1">
      <c r="A866" s="8">
        <v>46213.0</v>
      </c>
      <c r="B866" s="4" t="s">
        <v>2104</v>
      </c>
      <c r="C866" s="5">
        <v>0.0</v>
      </c>
      <c r="D866" s="5">
        <v>2.3389403E8</v>
      </c>
      <c r="E866" s="5">
        <f t="shared" si="1"/>
        <v>633872566.7</v>
      </c>
      <c r="F866" s="14" t="s">
        <v>75</v>
      </c>
      <c r="G866" s="14" t="s">
        <v>76</v>
      </c>
      <c r="H866" s="14" t="s">
        <v>1250</v>
      </c>
      <c r="I866" s="16" t="s">
        <v>2109</v>
      </c>
    </row>
    <row r="867" ht="15.75" hidden="1" customHeight="1">
      <c r="A867" s="8">
        <v>46213.0</v>
      </c>
      <c r="B867" s="4" t="s">
        <v>2104</v>
      </c>
      <c r="C867" s="5">
        <v>0.0</v>
      </c>
      <c r="D867" s="5">
        <f>656931423-D865-D866</f>
        <v>24058857</v>
      </c>
      <c r="E867" s="5">
        <f t="shared" si="1"/>
        <v>657931423.7</v>
      </c>
      <c r="F867" s="14" t="s">
        <v>75</v>
      </c>
      <c r="G867" s="14" t="s">
        <v>76</v>
      </c>
      <c r="H867" s="14" t="s">
        <v>1250</v>
      </c>
      <c r="I867" s="16" t="s">
        <v>2113</v>
      </c>
    </row>
    <row r="868" ht="15.75" customHeight="1">
      <c r="A868" s="8">
        <v>46217.0</v>
      </c>
      <c r="B868" s="4" t="s">
        <v>1763</v>
      </c>
      <c r="C868" s="5">
        <v>0.0</v>
      </c>
      <c r="D868" s="5">
        <v>5232250.0</v>
      </c>
      <c r="E868" s="5">
        <f t="shared" si="1"/>
        <v>663163673.7</v>
      </c>
      <c r="F868" s="14" t="s">
        <v>21</v>
      </c>
      <c r="G868" s="14" t="s">
        <v>876</v>
      </c>
      <c r="H868" s="14" t="s">
        <v>1992</v>
      </c>
      <c r="I868" s="16" t="s">
        <v>451</v>
      </c>
    </row>
    <row r="869" ht="15.75" hidden="1" customHeight="1">
      <c r="A869" s="8">
        <v>46217.0</v>
      </c>
      <c r="B869" s="4" t="s">
        <v>2117</v>
      </c>
      <c r="C869" s="5">
        <v>2601350.0</v>
      </c>
      <c r="D869" s="5">
        <v>0.0</v>
      </c>
      <c r="E869" s="5">
        <f t="shared" si="1"/>
        <v>660562323.7</v>
      </c>
      <c r="F869" s="14" t="s">
        <v>58</v>
      </c>
      <c r="G869" s="14" t="s">
        <v>59</v>
      </c>
      <c r="H869" s="14" t="s">
        <v>722</v>
      </c>
      <c r="I869" s="16"/>
    </row>
    <row r="870" ht="15.75" hidden="1" customHeight="1">
      <c r="A870" s="8">
        <v>46218.0</v>
      </c>
      <c r="B870" s="4" t="s">
        <v>2119</v>
      </c>
      <c r="C870" s="5">
        <v>4013395.0</v>
      </c>
      <c r="D870" s="5">
        <v>0.0</v>
      </c>
      <c r="E870" s="5">
        <f t="shared" si="1"/>
        <v>656548928.7</v>
      </c>
      <c r="F870" s="14" t="s">
        <v>58</v>
      </c>
      <c r="G870" s="14" t="s">
        <v>59</v>
      </c>
      <c r="H870" s="14" t="s">
        <v>2058</v>
      </c>
      <c r="I870" s="16"/>
    </row>
    <row r="871" ht="15.75" hidden="1" customHeight="1">
      <c r="A871" s="8">
        <v>46218.0</v>
      </c>
      <c r="B871" s="4" t="s">
        <v>2122</v>
      </c>
      <c r="C871" s="5">
        <v>4729570.0</v>
      </c>
      <c r="D871" s="5">
        <v>0.0</v>
      </c>
      <c r="E871" s="5">
        <f t="shared" si="1"/>
        <v>651819358.7</v>
      </c>
      <c r="F871" s="14" t="s">
        <v>58</v>
      </c>
      <c r="G871" s="14" t="s">
        <v>59</v>
      </c>
      <c r="H871" s="14" t="s">
        <v>1610</v>
      </c>
      <c r="I871" s="16"/>
    </row>
    <row r="872" ht="15.75" hidden="1" customHeight="1">
      <c r="A872" s="8">
        <v>46218.0</v>
      </c>
      <c r="B872" s="4" t="s">
        <v>2124</v>
      </c>
      <c r="C872" s="5">
        <v>3.9619472E7</v>
      </c>
      <c r="D872" s="5">
        <v>0.0</v>
      </c>
      <c r="E872" s="5">
        <f t="shared" si="1"/>
        <v>612199886.7</v>
      </c>
      <c r="F872" s="14" t="s">
        <v>58</v>
      </c>
      <c r="G872" s="14" t="s">
        <v>59</v>
      </c>
      <c r="H872" s="14" t="s">
        <v>458</v>
      </c>
      <c r="I872" s="16"/>
    </row>
    <row r="873" ht="15.75" hidden="1" customHeight="1">
      <c r="A873" s="8">
        <v>46218.0</v>
      </c>
      <c r="B873" s="4" t="s">
        <v>2125</v>
      </c>
      <c r="C873" s="5">
        <v>5.2511556E7</v>
      </c>
      <c r="D873" s="5">
        <v>0.0</v>
      </c>
      <c r="E873" s="5">
        <f t="shared" si="1"/>
        <v>559688330.7</v>
      </c>
      <c r="F873" s="14" t="s">
        <v>58</v>
      </c>
      <c r="G873" s="14" t="s">
        <v>59</v>
      </c>
      <c r="H873" s="14" t="s">
        <v>1250</v>
      </c>
      <c r="I873" s="16"/>
    </row>
    <row r="874" ht="15.75" hidden="1" customHeight="1">
      <c r="A874" s="8">
        <v>46218.0</v>
      </c>
      <c r="B874" s="4" t="s">
        <v>2127</v>
      </c>
      <c r="C874" s="5">
        <v>2.23747002E8</v>
      </c>
      <c r="D874" s="5">
        <v>0.0</v>
      </c>
      <c r="E874" s="5">
        <f t="shared" si="1"/>
        <v>335941328.7</v>
      </c>
      <c r="F874" s="14" t="s">
        <v>58</v>
      </c>
      <c r="G874" s="14" t="s">
        <v>59</v>
      </c>
      <c r="H874" s="14" t="s">
        <v>1250</v>
      </c>
      <c r="I874" s="16"/>
    </row>
    <row r="875" ht="15.75" hidden="1" customHeight="1">
      <c r="A875" s="8">
        <v>46218.0</v>
      </c>
      <c r="B875" s="4" t="s">
        <v>2129</v>
      </c>
      <c r="C875" s="5">
        <v>2500.0</v>
      </c>
      <c r="D875" s="5">
        <v>0.0</v>
      </c>
      <c r="E875" s="5">
        <f t="shared" si="1"/>
        <v>335938828.7</v>
      </c>
      <c r="F875" s="14" t="s">
        <v>43</v>
      </c>
      <c r="G875" s="14" t="s">
        <v>45</v>
      </c>
      <c r="H875" s="14"/>
      <c r="I875" s="16"/>
    </row>
    <row r="876" ht="15.75" hidden="1" customHeight="1">
      <c r="A876" s="8">
        <v>46218.0</v>
      </c>
      <c r="B876" s="4" t="s">
        <v>1662</v>
      </c>
      <c r="C876" s="5">
        <v>1.5868846E7</v>
      </c>
      <c r="D876" s="5">
        <v>0.0</v>
      </c>
      <c r="E876" s="5">
        <f t="shared" si="1"/>
        <v>320069982.7</v>
      </c>
      <c r="F876" s="14" t="s">
        <v>105</v>
      </c>
      <c r="G876" s="14" t="s">
        <v>460</v>
      </c>
      <c r="H876" s="14" t="s">
        <v>858</v>
      </c>
      <c r="I876" s="16"/>
    </row>
    <row r="877" ht="15.75" hidden="1" customHeight="1">
      <c r="A877" s="8">
        <v>46218.0</v>
      </c>
      <c r="B877" s="4" t="s">
        <v>2132</v>
      </c>
      <c r="C877" s="5">
        <v>1.0625622E7</v>
      </c>
      <c r="D877" s="5">
        <v>0.0</v>
      </c>
      <c r="E877" s="5">
        <f t="shared" si="1"/>
        <v>309444360.7</v>
      </c>
      <c r="F877" s="14" t="s">
        <v>58</v>
      </c>
      <c r="G877" s="14" t="s">
        <v>59</v>
      </c>
      <c r="H877" s="14" t="s">
        <v>1250</v>
      </c>
      <c r="I877" s="16"/>
    </row>
    <row r="878" ht="15.75" hidden="1" customHeight="1">
      <c r="A878" s="8">
        <v>46218.0</v>
      </c>
      <c r="B878" s="4" t="s">
        <v>2135</v>
      </c>
      <c r="C878" s="5">
        <v>1391789.0</v>
      </c>
      <c r="D878" s="5">
        <v>0.0</v>
      </c>
      <c r="E878" s="5">
        <f t="shared" si="1"/>
        <v>308052571.7</v>
      </c>
      <c r="F878" s="14" t="s">
        <v>21</v>
      </c>
      <c r="G878" s="14" t="s">
        <v>298</v>
      </c>
      <c r="H878" s="14"/>
      <c r="I878" s="16"/>
    </row>
    <row r="879" ht="15.75" hidden="1" customHeight="1">
      <c r="A879" s="8">
        <v>46218.0</v>
      </c>
      <c r="B879" s="4" t="s">
        <v>2138</v>
      </c>
      <c r="C879" s="5">
        <v>2500.0</v>
      </c>
      <c r="D879" s="5">
        <v>0.0</v>
      </c>
      <c r="E879" s="5">
        <f t="shared" si="1"/>
        <v>308050071.7</v>
      </c>
      <c r="F879" s="14" t="s">
        <v>43</v>
      </c>
      <c r="G879" s="14" t="s">
        <v>45</v>
      </c>
      <c r="H879" s="14"/>
      <c r="I879" s="16"/>
    </row>
    <row r="880" ht="15.75" hidden="1" customHeight="1">
      <c r="A880" s="8">
        <v>46223.0</v>
      </c>
      <c r="B880" s="14" t="s">
        <v>2141</v>
      </c>
      <c r="C880" s="5">
        <v>640000.0</v>
      </c>
      <c r="D880" s="5">
        <v>0.0</v>
      </c>
      <c r="E880" s="5">
        <f t="shared" si="1"/>
        <v>307410071.7</v>
      </c>
      <c r="F880" s="15" t="s">
        <v>21</v>
      </c>
      <c r="G880" s="15" t="s">
        <v>190</v>
      </c>
      <c r="H880" s="4" t="s">
        <v>191</v>
      </c>
      <c r="I880" s="16" t="s">
        <v>1395</v>
      </c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hidden="1" customHeight="1">
      <c r="A881" s="8">
        <v>46223.0</v>
      </c>
      <c r="B881" s="14" t="s">
        <v>2141</v>
      </c>
      <c r="C881" s="5">
        <v>19000.0</v>
      </c>
      <c r="D881" s="5">
        <v>0.0</v>
      </c>
      <c r="E881" s="5">
        <f t="shared" si="1"/>
        <v>307391071.7</v>
      </c>
      <c r="F881" s="14" t="s">
        <v>93</v>
      </c>
      <c r="G881" s="14" t="s">
        <v>93</v>
      </c>
      <c r="H881" s="14" t="s">
        <v>191</v>
      </c>
      <c r="I881" s="16" t="s">
        <v>953</v>
      </c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hidden="1" customHeight="1">
      <c r="A882" s="8">
        <v>46223.0</v>
      </c>
      <c r="B882" s="14" t="s">
        <v>2141</v>
      </c>
      <c r="C882" s="5">
        <v>160000.0</v>
      </c>
      <c r="D882" s="5">
        <v>0.0</v>
      </c>
      <c r="E882" s="5">
        <f t="shared" si="1"/>
        <v>307231071.7</v>
      </c>
      <c r="F882" s="14" t="s">
        <v>93</v>
      </c>
      <c r="G882" s="14" t="s">
        <v>93</v>
      </c>
      <c r="H882" s="14" t="s">
        <v>191</v>
      </c>
      <c r="I882" s="16" t="s">
        <v>953</v>
      </c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hidden="1" customHeight="1">
      <c r="A883" s="8">
        <v>46223.0</v>
      </c>
      <c r="B883" s="14" t="s">
        <v>2141</v>
      </c>
      <c r="C883" s="5">
        <v>32000.0</v>
      </c>
      <c r="D883" s="5">
        <v>0.0</v>
      </c>
      <c r="E883" s="5">
        <f t="shared" si="1"/>
        <v>307199071.7</v>
      </c>
      <c r="F883" s="14" t="s">
        <v>93</v>
      </c>
      <c r="G883" s="14" t="s">
        <v>93</v>
      </c>
      <c r="H883" s="14" t="s">
        <v>191</v>
      </c>
      <c r="I883" s="16" t="s">
        <v>953</v>
      </c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hidden="1" customHeight="1">
      <c r="A884" s="8">
        <v>46223.0</v>
      </c>
      <c r="B884" s="14" t="s">
        <v>2141</v>
      </c>
      <c r="C884" s="5">
        <v>638700.0</v>
      </c>
      <c r="D884" s="5">
        <v>0.0</v>
      </c>
      <c r="E884" s="5">
        <f t="shared" si="1"/>
        <v>306560371.7</v>
      </c>
      <c r="F884" s="15" t="s">
        <v>21</v>
      </c>
      <c r="G884" s="15" t="s">
        <v>190</v>
      </c>
      <c r="H884" s="16" t="s">
        <v>191</v>
      </c>
      <c r="I884" s="16" t="s">
        <v>1518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hidden="1" customHeight="1">
      <c r="A885" s="8">
        <v>46223.0</v>
      </c>
      <c r="B885" s="14" t="s">
        <v>2141</v>
      </c>
      <c r="C885" s="5">
        <v>93000.0</v>
      </c>
      <c r="D885" s="5">
        <v>0.0</v>
      </c>
      <c r="E885" s="5">
        <f t="shared" si="1"/>
        <v>306467371.7</v>
      </c>
      <c r="F885" s="14" t="s">
        <v>21</v>
      </c>
      <c r="G885" s="14" t="s">
        <v>190</v>
      </c>
      <c r="H885" s="4" t="s">
        <v>191</v>
      </c>
      <c r="I885" s="16" t="s">
        <v>1518</v>
      </c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hidden="1" customHeight="1">
      <c r="A886" s="8">
        <v>46223.0</v>
      </c>
      <c r="B886" s="14" t="s">
        <v>2141</v>
      </c>
      <c r="C886" s="5">
        <v>70000.0</v>
      </c>
      <c r="D886" s="5">
        <v>0.0</v>
      </c>
      <c r="E886" s="5">
        <f t="shared" si="1"/>
        <v>306397371.7</v>
      </c>
      <c r="F886" s="15" t="s">
        <v>21</v>
      </c>
      <c r="G886" s="15" t="s">
        <v>190</v>
      </c>
      <c r="H886" s="4" t="s">
        <v>191</v>
      </c>
      <c r="I886" s="4" t="s">
        <v>192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hidden="1" customHeight="1">
      <c r="A887" s="8">
        <v>46223.0</v>
      </c>
      <c r="B887" s="14" t="s">
        <v>2141</v>
      </c>
      <c r="C887" s="5">
        <v>14234.0</v>
      </c>
      <c r="D887" s="5">
        <v>0.0</v>
      </c>
      <c r="E887" s="5">
        <f t="shared" si="1"/>
        <v>306383137.7</v>
      </c>
      <c r="F887" s="15" t="s">
        <v>21</v>
      </c>
      <c r="G887" s="15" t="s">
        <v>190</v>
      </c>
      <c r="H887" s="4" t="s">
        <v>191</v>
      </c>
      <c r="I887" s="4" t="s">
        <v>401</v>
      </c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hidden="1" customHeight="1">
      <c r="A888" s="8">
        <v>46223.0</v>
      </c>
      <c r="B888" s="14" t="s">
        <v>2141</v>
      </c>
      <c r="C888" s="5">
        <v>92000.0</v>
      </c>
      <c r="D888" s="5">
        <v>0.0</v>
      </c>
      <c r="E888" s="5">
        <f t="shared" si="1"/>
        <v>306291137.7</v>
      </c>
      <c r="F888" s="15" t="s">
        <v>21</v>
      </c>
      <c r="G888" s="15" t="s">
        <v>190</v>
      </c>
      <c r="H888" s="4" t="s">
        <v>191</v>
      </c>
      <c r="I888" s="4" t="s">
        <v>254</v>
      </c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hidden="1" customHeight="1">
      <c r="A889" s="8">
        <v>46223.0</v>
      </c>
      <c r="B889" s="14" t="s">
        <v>2141</v>
      </c>
      <c r="C889" s="5">
        <v>279200.0</v>
      </c>
      <c r="D889" s="5">
        <v>0.0</v>
      </c>
      <c r="E889" s="5">
        <f t="shared" si="1"/>
        <v>306011937.7</v>
      </c>
      <c r="F889" s="15" t="s">
        <v>21</v>
      </c>
      <c r="G889" s="15" t="s">
        <v>190</v>
      </c>
      <c r="H889" s="4" t="s">
        <v>191</v>
      </c>
      <c r="I889" s="16" t="s">
        <v>1518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hidden="1" customHeight="1">
      <c r="A890" s="8">
        <v>46223.0</v>
      </c>
      <c r="B890" s="14" t="s">
        <v>2141</v>
      </c>
      <c r="C890" s="5">
        <f>3191434-C880-C881-C882-C883-C884-C885-C886-C887-C888-C889</f>
        <v>1153300</v>
      </c>
      <c r="D890" s="5">
        <v>0.0</v>
      </c>
      <c r="E890" s="5">
        <f t="shared" si="1"/>
        <v>304858637.7</v>
      </c>
      <c r="F890" s="15" t="s">
        <v>21</v>
      </c>
      <c r="G890" s="15" t="s">
        <v>190</v>
      </c>
      <c r="H890" s="4" t="s">
        <v>191</v>
      </c>
      <c r="I890" s="16" t="s">
        <v>1518</v>
      </c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hidden="1" customHeight="1">
      <c r="A891" s="8">
        <v>46223.0</v>
      </c>
      <c r="B891" s="4" t="s">
        <v>2170</v>
      </c>
      <c r="C891" s="5">
        <v>1283320.0</v>
      </c>
      <c r="D891" s="5">
        <v>0.0</v>
      </c>
      <c r="E891" s="5">
        <f t="shared" si="1"/>
        <v>303575317.7</v>
      </c>
      <c r="F891" s="14" t="s">
        <v>58</v>
      </c>
      <c r="G891" s="14" t="s">
        <v>59</v>
      </c>
      <c r="H891" s="14" t="s">
        <v>2058</v>
      </c>
      <c r="I891" s="16"/>
    </row>
    <row r="892" ht="15.75" hidden="1" customHeight="1">
      <c r="A892" s="8">
        <v>46223.0</v>
      </c>
      <c r="B892" s="4" t="s">
        <v>2171</v>
      </c>
      <c r="C892" s="5">
        <v>1.164E8</v>
      </c>
      <c r="D892" s="5">
        <v>0.0</v>
      </c>
      <c r="E892" s="5">
        <f t="shared" si="1"/>
        <v>187175317.7</v>
      </c>
      <c r="F892" s="14" t="s">
        <v>58</v>
      </c>
      <c r="G892" s="14" t="s">
        <v>59</v>
      </c>
      <c r="H892" s="14" t="s">
        <v>739</v>
      </c>
      <c r="I892" s="16"/>
    </row>
    <row r="893" ht="15.75" hidden="1" customHeight="1">
      <c r="A893" s="8">
        <v>46223.0</v>
      </c>
      <c r="B893" s="4" t="s">
        <v>2173</v>
      </c>
      <c r="C893" s="5">
        <v>2500.0</v>
      </c>
      <c r="D893" s="5">
        <v>0.0</v>
      </c>
      <c r="E893" s="5">
        <f t="shared" si="1"/>
        <v>187172817.7</v>
      </c>
      <c r="F893" s="14" t="s">
        <v>43</v>
      </c>
      <c r="G893" s="14" t="s">
        <v>45</v>
      </c>
      <c r="H893" s="14"/>
      <c r="I893" s="16"/>
    </row>
    <row r="894" ht="15.75" hidden="1" customHeight="1">
      <c r="A894" s="8">
        <v>46224.0</v>
      </c>
      <c r="B894" s="4" t="s">
        <v>1160</v>
      </c>
      <c r="C894" s="5">
        <v>4.07012E7</v>
      </c>
      <c r="D894" s="5">
        <v>0.0</v>
      </c>
      <c r="E894" s="5">
        <f t="shared" si="1"/>
        <v>146471617.7</v>
      </c>
      <c r="F894" s="14" t="s">
        <v>21</v>
      </c>
      <c r="G894" s="14" t="s">
        <v>298</v>
      </c>
      <c r="H894" s="14"/>
      <c r="I894" s="16"/>
    </row>
    <row r="895" ht="15.75" hidden="1" customHeight="1">
      <c r="A895" s="8">
        <v>46224.0</v>
      </c>
      <c r="B895" s="4" t="s">
        <v>2177</v>
      </c>
      <c r="C895" s="5">
        <v>2500.0</v>
      </c>
      <c r="D895" s="5">
        <v>0.0</v>
      </c>
      <c r="E895" s="5">
        <f t="shared" si="1"/>
        <v>146469117.7</v>
      </c>
      <c r="F895" s="14" t="s">
        <v>43</v>
      </c>
      <c r="G895" s="14" t="s">
        <v>45</v>
      </c>
      <c r="H895" s="14"/>
      <c r="I895" s="16"/>
    </row>
    <row r="896" ht="15.75" hidden="1" customHeight="1">
      <c r="A896" s="8">
        <v>46225.0</v>
      </c>
      <c r="B896" s="4" t="s">
        <v>2179</v>
      </c>
      <c r="C896" s="5">
        <v>0.0</v>
      </c>
      <c r="D896" s="5">
        <v>2.1177936E7</v>
      </c>
      <c r="E896" s="5">
        <f t="shared" si="1"/>
        <v>167647053.7</v>
      </c>
      <c r="F896" s="14" t="s">
        <v>75</v>
      </c>
      <c r="G896" s="14" t="s">
        <v>76</v>
      </c>
      <c r="H896" s="14" t="s">
        <v>165</v>
      </c>
      <c r="I896" s="16" t="s">
        <v>2181</v>
      </c>
    </row>
    <row r="897" ht="15.75" hidden="1" customHeight="1">
      <c r="A897" s="8">
        <v>46225.0</v>
      </c>
      <c r="B897" s="4" t="s">
        <v>2179</v>
      </c>
      <c r="C897" s="5">
        <v>0.0</v>
      </c>
      <c r="D897" s="5">
        <v>6.6513864E7</v>
      </c>
      <c r="E897" s="5">
        <f t="shared" si="1"/>
        <v>234160917.7</v>
      </c>
      <c r="F897" s="14" t="s">
        <v>75</v>
      </c>
      <c r="G897" s="14" t="s">
        <v>76</v>
      </c>
      <c r="H897" s="14" t="s">
        <v>2184</v>
      </c>
      <c r="I897" s="16" t="s">
        <v>2185</v>
      </c>
    </row>
    <row r="898" ht="15.75" hidden="1" customHeight="1">
      <c r="A898" s="8">
        <v>46225.0</v>
      </c>
      <c r="B898" s="4" t="s">
        <v>2179</v>
      </c>
      <c r="C898" s="5">
        <v>0.0</v>
      </c>
      <c r="D898" s="5">
        <f>128188286-D896-D897</f>
        <v>40496486</v>
      </c>
      <c r="E898" s="5">
        <f t="shared" si="1"/>
        <v>274657403.7</v>
      </c>
      <c r="F898" s="14" t="s">
        <v>75</v>
      </c>
      <c r="G898" s="14" t="s">
        <v>76</v>
      </c>
      <c r="H898" s="14" t="s">
        <v>1785</v>
      </c>
      <c r="I898" s="16" t="s">
        <v>2190</v>
      </c>
    </row>
    <row r="899" ht="15.75" hidden="1" customHeight="1">
      <c r="A899" s="8">
        <v>46226.0</v>
      </c>
      <c r="B899" s="4" t="s">
        <v>2191</v>
      </c>
      <c r="C899" s="5">
        <v>2.48609396E8</v>
      </c>
      <c r="D899" s="5">
        <v>0.0</v>
      </c>
      <c r="E899" s="5">
        <f t="shared" si="1"/>
        <v>26048007.69</v>
      </c>
      <c r="F899" s="14" t="s">
        <v>58</v>
      </c>
      <c r="G899" s="14" t="s">
        <v>59</v>
      </c>
      <c r="H899" s="14" t="s">
        <v>1250</v>
      </c>
      <c r="I899" s="16"/>
    </row>
    <row r="900" ht="15.75" hidden="1" customHeight="1">
      <c r="A900" s="8">
        <v>46226.0</v>
      </c>
      <c r="B900" s="4" t="s">
        <v>2194</v>
      </c>
      <c r="C900" s="5">
        <v>0.0</v>
      </c>
      <c r="D900" s="5">
        <v>6.621621622E8</v>
      </c>
      <c r="E900" s="5">
        <f t="shared" si="1"/>
        <v>688210169.9</v>
      </c>
      <c r="F900" s="14" t="s">
        <v>75</v>
      </c>
      <c r="G900" s="14" t="s">
        <v>76</v>
      </c>
      <c r="H900" s="14" t="s">
        <v>931</v>
      </c>
      <c r="I900" s="16" t="s">
        <v>2197</v>
      </c>
    </row>
    <row r="901" ht="15.75" hidden="1" customHeight="1">
      <c r="A901" s="8">
        <v>46227.0</v>
      </c>
      <c r="B901" s="4" t="s">
        <v>2199</v>
      </c>
      <c r="C901" s="5">
        <v>8091000.0</v>
      </c>
      <c r="D901" s="5">
        <v>0.0</v>
      </c>
      <c r="E901" s="5">
        <f t="shared" si="1"/>
        <v>680119169.9</v>
      </c>
      <c r="F901" s="14" t="s">
        <v>58</v>
      </c>
      <c r="G901" s="14" t="s">
        <v>59</v>
      </c>
      <c r="H901" s="14" t="s">
        <v>111</v>
      </c>
      <c r="I901" s="16"/>
    </row>
    <row r="902" ht="15.75" hidden="1" customHeight="1">
      <c r="A902" s="8">
        <v>46227.0</v>
      </c>
      <c r="B902" s="4" t="s">
        <v>2201</v>
      </c>
      <c r="C902" s="5">
        <v>3.38383848E8</v>
      </c>
      <c r="D902" s="5">
        <v>0.0</v>
      </c>
      <c r="E902" s="5">
        <f t="shared" si="1"/>
        <v>341735321.9</v>
      </c>
      <c r="F902" s="14" t="s">
        <v>58</v>
      </c>
      <c r="G902" s="14" t="s">
        <v>59</v>
      </c>
      <c r="H902" s="14" t="s">
        <v>1250</v>
      </c>
      <c r="I902" s="16"/>
    </row>
    <row r="903" ht="15.75" hidden="1" customHeight="1">
      <c r="A903" s="8">
        <v>46227.0</v>
      </c>
      <c r="B903" s="4" t="s">
        <v>2204</v>
      </c>
      <c r="C903" s="5">
        <v>2500.0</v>
      </c>
      <c r="D903" s="5">
        <v>0.0</v>
      </c>
      <c r="E903" s="5">
        <f t="shared" si="1"/>
        <v>341732821.9</v>
      </c>
      <c r="F903" s="14" t="s">
        <v>43</v>
      </c>
      <c r="G903" s="14" t="s">
        <v>45</v>
      </c>
      <c r="H903" s="14"/>
      <c r="I903" s="16"/>
    </row>
    <row r="904" ht="15.75" hidden="1" customHeight="1">
      <c r="A904" s="8">
        <v>46227.0</v>
      </c>
      <c r="B904" s="4" t="s">
        <v>2208</v>
      </c>
      <c r="C904" s="5">
        <v>5907665.0</v>
      </c>
      <c r="D904" s="5">
        <v>0.0</v>
      </c>
      <c r="E904" s="5">
        <f t="shared" si="1"/>
        <v>335825156.9</v>
      </c>
      <c r="F904" s="14" t="s">
        <v>105</v>
      </c>
      <c r="G904" s="14" t="s">
        <v>674</v>
      </c>
      <c r="H904" s="14" t="s">
        <v>858</v>
      </c>
      <c r="I904" s="16"/>
    </row>
    <row r="905" ht="15.75" hidden="1" customHeight="1">
      <c r="A905" s="8">
        <v>46227.0</v>
      </c>
      <c r="B905" s="14" t="s">
        <v>2211</v>
      </c>
      <c r="C905" s="5">
        <v>7011490.0</v>
      </c>
      <c r="D905" s="5">
        <v>0.0</v>
      </c>
      <c r="E905" s="5">
        <f t="shared" si="1"/>
        <v>328813666.9</v>
      </c>
      <c r="F905" s="14" t="s">
        <v>63</v>
      </c>
      <c r="G905" s="14" t="s">
        <v>243</v>
      </c>
      <c r="H905" s="14" t="s">
        <v>2214</v>
      </c>
      <c r="I905" s="16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hidden="1" customHeight="1">
      <c r="A906" s="8">
        <v>46227.0</v>
      </c>
      <c r="B906" s="4" t="s">
        <v>521</v>
      </c>
      <c r="C906" s="5">
        <v>6500000.0</v>
      </c>
      <c r="D906" s="5">
        <v>0.0</v>
      </c>
      <c r="E906" s="5">
        <f t="shared" si="1"/>
        <v>322313666.9</v>
      </c>
      <c r="F906" s="14" t="s">
        <v>21</v>
      </c>
      <c r="G906" s="14" t="s">
        <v>190</v>
      </c>
      <c r="H906" s="14"/>
      <c r="I906" s="16"/>
    </row>
    <row r="907" ht="15.75" hidden="1" customHeight="1">
      <c r="A907" s="8">
        <v>46227.0</v>
      </c>
      <c r="B907" s="4" t="s">
        <v>2219</v>
      </c>
      <c r="C907" s="5">
        <v>9.174343E7</v>
      </c>
      <c r="D907" s="5">
        <v>0.0</v>
      </c>
      <c r="E907" s="5">
        <f t="shared" si="1"/>
        <v>230570236.9</v>
      </c>
      <c r="F907" s="14" t="s">
        <v>58</v>
      </c>
      <c r="G907" s="14" t="s">
        <v>59</v>
      </c>
      <c r="H907" s="14" t="s">
        <v>1250</v>
      </c>
      <c r="I907" s="16"/>
    </row>
    <row r="908" ht="15.75" hidden="1" customHeight="1">
      <c r="A908" s="8">
        <v>46227.0</v>
      </c>
      <c r="B908" s="4" t="s">
        <v>2221</v>
      </c>
      <c r="C908" s="5">
        <v>2500.0</v>
      </c>
      <c r="D908" s="5">
        <v>0.0</v>
      </c>
      <c r="E908" s="5">
        <f t="shared" si="1"/>
        <v>230567736.9</v>
      </c>
      <c r="F908" s="14" t="s">
        <v>43</v>
      </c>
      <c r="G908" s="14" t="s">
        <v>45</v>
      </c>
      <c r="H908" s="14"/>
      <c r="I908" s="16"/>
    </row>
    <row r="909" ht="15.75" hidden="1" customHeight="1">
      <c r="A909" s="8">
        <v>46227.0</v>
      </c>
      <c r="B909" s="4" t="s">
        <v>521</v>
      </c>
      <c r="C909" s="5">
        <v>8000000.0</v>
      </c>
      <c r="D909" s="5">
        <v>0.0</v>
      </c>
      <c r="E909" s="5">
        <f t="shared" si="1"/>
        <v>222567736.9</v>
      </c>
      <c r="F909" s="14" t="s">
        <v>21</v>
      </c>
      <c r="G909" s="14" t="s">
        <v>190</v>
      </c>
      <c r="H909" s="14"/>
      <c r="I909" s="16"/>
    </row>
    <row r="910" ht="15.75" hidden="1" customHeight="1">
      <c r="A910" s="8">
        <v>46227.0</v>
      </c>
      <c r="B910" s="4" t="s">
        <v>2226</v>
      </c>
      <c r="C910" s="5">
        <v>2500.0</v>
      </c>
      <c r="D910" s="5">
        <v>0.0</v>
      </c>
      <c r="E910" s="5">
        <f t="shared" si="1"/>
        <v>222565236.9</v>
      </c>
      <c r="F910" s="14" t="s">
        <v>43</v>
      </c>
      <c r="G910" s="14" t="s">
        <v>45</v>
      </c>
      <c r="H910" s="14"/>
      <c r="I910" s="16"/>
    </row>
    <row r="911" ht="15.75" hidden="1" customHeight="1">
      <c r="A911" s="8">
        <v>46229.0</v>
      </c>
      <c r="B911" s="4" t="s">
        <v>2228</v>
      </c>
      <c r="C911" s="5">
        <v>232819.0</v>
      </c>
      <c r="D911" s="5">
        <v>0.0</v>
      </c>
      <c r="E911" s="5">
        <f t="shared" si="1"/>
        <v>222332417.9</v>
      </c>
      <c r="F911" s="14" t="s">
        <v>21</v>
      </c>
      <c r="G911" s="14" t="s">
        <v>298</v>
      </c>
      <c r="H911" s="14"/>
      <c r="I911" s="16"/>
    </row>
    <row r="912" ht="15.75" hidden="1" customHeight="1">
      <c r="A912" s="8">
        <v>46229.0</v>
      </c>
      <c r="B912" s="4" t="s">
        <v>2231</v>
      </c>
      <c r="C912" s="5">
        <v>2500.0</v>
      </c>
      <c r="D912" s="5">
        <v>0.0</v>
      </c>
      <c r="E912" s="5">
        <f t="shared" si="1"/>
        <v>222329917.9</v>
      </c>
      <c r="F912" s="14" t="s">
        <v>43</v>
      </c>
      <c r="G912" s="14" t="s">
        <v>45</v>
      </c>
      <c r="H912" s="14"/>
      <c r="I912" s="16"/>
    </row>
    <row r="913" ht="15.75" hidden="1" customHeight="1">
      <c r="A913" s="8">
        <v>46230.0</v>
      </c>
      <c r="B913" s="4" t="s">
        <v>2233</v>
      </c>
      <c r="C913" s="5">
        <v>0.0</v>
      </c>
      <c r="D913" s="5">
        <v>2.68153289E8</v>
      </c>
      <c r="E913" s="5">
        <f t="shared" si="1"/>
        <v>490483206.9</v>
      </c>
      <c r="F913" s="14" t="s">
        <v>75</v>
      </c>
      <c r="G913" s="14" t="s">
        <v>76</v>
      </c>
      <c r="H913" s="14" t="s">
        <v>2234</v>
      </c>
      <c r="I913" s="16" t="s">
        <v>2235</v>
      </c>
    </row>
    <row r="914" ht="15.75" hidden="1" customHeight="1">
      <c r="A914" s="8">
        <v>46230.0</v>
      </c>
      <c r="B914" s="4" t="s">
        <v>2233</v>
      </c>
      <c r="C914" s="5">
        <v>0.0</v>
      </c>
      <c r="D914" s="5">
        <f>1104144269-D913</f>
        <v>835990980</v>
      </c>
      <c r="E914" s="5">
        <f t="shared" si="1"/>
        <v>1326474187</v>
      </c>
      <c r="F914" s="14" t="s">
        <v>75</v>
      </c>
      <c r="G914" s="14" t="s">
        <v>76</v>
      </c>
      <c r="H914" s="14" t="s">
        <v>2241</v>
      </c>
      <c r="I914" s="16" t="s">
        <v>2242</v>
      </c>
    </row>
    <row r="915" ht="15.75" hidden="1" customHeight="1">
      <c r="A915" s="8">
        <v>46230.0</v>
      </c>
      <c r="B915" s="4" t="s">
        <v>2243</v>
      </c>
      <c r="C915" s="5">
        <v>0.0</v>
      </c>
      <c r="D915" s="5">
        <v>3.18341452E8</v>
      </c>
      <c r="E915" s="5">
        <f t="shared" si="1"/>
        <v>1644815639</v>
      </c>
      <c r="F915" s="14" t="s">
        <v>75</v>
      </c>
      <c r="G915" s="14" t="s">
        <v>76</v>
      </c>
      <c r="H915" s="14" t="s">
        <v>1250</v>
      </c>
      <c r="I915" s="16" t="s">
        <v>2245</v>
      </c>
    </row>
    <row r="916" ht="15.75" hidden="1" customHeight="1">
      <c r="A916" s="8">
        <v>46230.0</v>
      </c>
      <c r="B916" s="4" t="s">
        <v>2243</v>
      </c>
      <c r="C916" s="5">
        <v>0.0</v>
      </c>
      <c r="D916" s="5">
        <v>4.7067926E7</v>
      </c>
      <c r="E916" s="5">
        <f t="shared" si="1"/>
        <v>1691883565</v>
      </c>
      <c r="F916" s="14" t="s">
        <v>75</v>
      </c>
      <c r="G916" s="14" t="s">
        <v>76</v>
      </c>
      <c r="H916" s="14" t="s">
        <v>1250</v>
      </c>
      <c r="I916" s="16" t="s">
        <v>2248</v>
      </c>
    </row>
    <row r="917" ht="15.75" hidden="1" customHeight="1">
      <c r="A917" s="8">
        <v>46230.0</v>
      </c>
      <c r="B917" s="4" t="s">
        <v>2243</v>
      </c>
      <c r="C917" s="5">
        <v>0.0</v>
      </c>
      <c r="D917" s="5">
        <f>444009378-D915-D916</f>
        <v>78600000</v>
      </c>
      <c r="E917" s="5">
        <f t="shared" si="1"/>
        <v>1770483565</v>
      </c>
      <c r="F917" s="14" t="s">
        <v>75</v>
      </c>
      <c r="G917" s="14" t="s">
        <v>76</v>
      </c>
      <c r="H917" s="14" t="s">
        <v>1250</v>
      </c>
      <c r="I917" s="16" t="s">
        <v>2252</v>
      </c>
    </row>
    <row r="918" ht="15.75" hidden="1" customHeight="1">
      <c r="A918" s="8">
        <v>46230.0</v>
      </c>
      <c r="B918" s="4" t="s">
        <v>2253</v>
      </c>
      <c r="C918" s="5">
        <v>2.1215E8</v>
      </c>
      <c r="D918" s="5">
        <v>0.0</v>
      </c>
      <c r="E918" s="5">
        <f t="shared" si="1"/>
        <v>1558333565</v>
      </c>
      <c r="F918" s="14" t="s">
        <v>105</v>
      </c>
      <c r="G918" s="14" t="s">
        <v>193</v>
      </c>
      <c r="H918" s="14" t="s">
        <v>858</v>
      </c>
      <c r="I918" s="16"/>
    </row>
    <row r="919" ht="15.75" hidden="1" customHeight="1">
      <c r="A919" s="8">
        <v>46230.0</v>
      </c>
      <c r="B919" s="4" t="s">
        <v>2255</v>
      </c>
      <c r="C919" s="5">
        <v>2500.0</v>
      </c>
      <c r="D919" s="5">
        <v>0.0</v>
      </c>
      <c r="E919" s="5">
        <f t="shared" si="1"/>
        <v>1558331065</v>
      </c>
      <c r="F919" s="14" t="s">
        <v>43</v>
      </c>
      <c r="G919" s="14" t="s">
        <v>45</v>
      </c>
      <c r="H919" s="14"/>
      <c r="I919" s="16"/>
    </row>
    <row r="920" ht="15.75" hidden="1" customHeight="1">
      <c r="A920" s="8">
        <v>46230.0</v>
      </c>
      <c r="B920" s="4" t="s">
        <v>1633</v>
      </c>
      <c r="C920" s="5">
        <v>8.14E7</v>
      </c>
      <c r="D920" s="5">
        <v>0.0</v>
      </c>
      <c r="E920" s="5">
        <f t="shared" si="1"/>
        <v>1476931065</v>
      </c>
      <c r="F920" s="14" t="s">
        <v>93</v>
      </c>
      <c r="G920" s="14" t="s">
        <v>93</v>
      </c>
      <c r="H920" s="14" t="s">
        <v>21</v>
      </c>
      <c r="I920" s="16"/>
    </row>
    <row r="921" ht="15.75" hidden="1" customHeight="1">
      <c r="A921" s="8">
        <v>46230.0</v>
      </c>
      <c r="B921" s="4" t="s">
        <v>2260</v>
      </c>
      <c r="C921" s="5">
        <v>2500.0</v>
      </c>
      <c r="D921" s="5">
        <v>0.0</v>
      </c>
      <c r="E921" s="5">
        <f t="shared" si="1"/>
        <v>1476928565</v>
      </c>
      <c r="F921" s="14" t="s">
        <v>43</v>
      </c>
      <c r="G921" s="14" t="s">
        <v>45</v>
      </c>
      <c r="H921" s="14"/>
      <c r="I921" s="16"/>
    </row>
    <row r="922" ht="15.75" hidden="1" customHeight="1">
      <c r="A922" s="8">
        <v>46230.0</v>
      </c>
      <c r="B922" s="4" t="s">
        <v>521</v>
      </c>
      <c r="C922" s="5">
        <v>2.5E8</v>
      </c>
      <c r="D922" s="5">
        <v>0.0</v>
      </c>
      <c r="E922" s="5">
        <f t="shared" si="1"/>
        <v>1226928565</v>
      </c>
      <c r="F922" s="14" t="s">
        <v>21</v>
      </c>
      <c r="G922" s="14" t="s">
        <v>190</v>
      </c>
      <c r="H922" s="14"/>
      <c r="I922" s="16"/>
    </row>
    <row r="923" ht="15.75" hidden="1" customHeight="1">
      <c r="A923" s="8">
        <v>46230.0</v>
      </c>
      <c r="B923" s="4" t="s">
        <v>2264</v>
      </c>
      <c r="C923" s="5">
        <v>2500.0</v>
      </c>
      <c r="D923" s="5">
        <v>0.0</v>
      </c>
      <c r="E923" s="5">
        <f t="shared" si="1"/>
        <v>1226926065</v>
      </c>
      <c r="F923" s="14" t="s">
        <v>43</v>
      </c>
      <c r="G923" s="14" t="s">
        <v>45</v>
      </c>
      <c r="H923" s="14"/>
      <c r="I923" s="16"/>
    </row>
    <row r="924" ht="15.75" hidden="1" customHeight="1">
      <c r="A924" s="8">
        <v>46230.0</v>
      </c>
      <c r="B924" s="4" t="s">
        <v>521</v>
      </c>
      <c r="C924" s="5">
        <v>2.5E8</v>
      </c>
      <c r="D924" s="5">
        <v>0.0</v>
      </c>
      <c r="E924" s="5">
        <f t="shared" si="1"/>
        <v>976926064.9</v>
      </c>
      <c r="F924" s="14" t="s">
        <v>21</v>
      </c>
      <c r="G924" s="14" t="s">
        <v>190</v>
      </c>
      <c r="H924" s="14"/>
      <c r="I924" s="16"/>
    </row>
    <row r="925" ht="15.75" hidden="1" customHeight="1">
      <c r="A925" s="8">
        <v>46230.0</v>
      </c>
      <c r="B925" s="4" t="s">
        <v>2268</v>
      </c>
      <c r="C925" s="5">
        <v>2500.0</v>
      </c>
      <c r="D925" s="5">
        <v>0.0</v>
      </c>
      <c r="E925" s="5">
        <f t="shared" si="1"/>
        <v>976923564.9</v>
      </c>
      <c r="F925" s="14" t="s">
        <v>43</v>
      </c>
      <c r="G925" s="14" t="s">
        <v>45</v>
      </c>
      <c r="H925" s="14"/>
      <c r="I925" s="16"/>
    </row>
    <row r="926" ht="15.75" hidden="1" customHeight="1">
      <c r="A926" s="8">
        <v>46230.0</v>
      </c>
      <c r="B926" s="4" t="s">
        <v>660</v>
      </c>
      <c r="C926" s="5">
        <v>2.5E8</v>
      </c>
      <c r="D926" s="5">
        <v>0.0</v>
      </c>
      <c r="E926" s="5">
        <f t="shared" si="1"/>
        <v>726923564.9</v>
      </c>
      <c r="F926" s="14" t="s">
        <v>21</v>
      </c>
      <c r="G926" s="14" t="s">
        <v>190</v>
      </c>
      <c r="H926" s="14"/>
      <c r="I926" s="16"/>
    </row>
    <row r="927" ht="15.75" hidden="1" customHeight="1">
      <c r="A927" s="8">
        <v>46230.0</v>
      </c>
      <c r="B927" s="4" t="s">
        <v>2270</v>
      </c>
      <c r="C927" s="5">
        <v>2500.0</v>
      </c>
      <c r="D927" s="5">
        <v>0.0</v>
      </c>
      <c r="E927" s="5">
        <f t="shared" si="1"/>
        <v>726921064.9</v>
      </c>
      <c r="F927" s="14" t="s">
        <v>43</v>
      </c>
      <c r="G927" s="14" t="s">
        <v>45</v>
      </c>
      <c r="H927" s="14"/>
      <c r="I927" s="16"/>
    </row>
    <row r="928" ht="15.75" hidden="1" customHeight="1">
      <c r="A928" s="8">
        <v>46233.0</v>
      </c>
      <c r="B928" s="4" t="s">
        <v>2273</v>
      </c>
      <c r="C928" s="5">
        <v>4.52625E8</v>
      </c>
      <c r="D928" s="5">
        <v>0.0</v>
      </c>
      <c r="E928" s="5">
        <f t="shared" si="1"/>
        <v>274296064.9</v>
      </c>
      <c r="F928" s="14" t="s">
        <v>24</v>
      </c>
      <c r="G928" s="14" t="s">
        <v>2275</v>
      </c>
      <c r="H928" s="14"/>
      <c r="I928" s="16"/>
    </row>
    <row r="929" ht="15.75" hidden="1" customHeight="1">
      <c r="A929" s="8">
        <v>46233.0</v>
      </c>
      <c r="B929" s="4" t="s">
        <v>2276</v>
      </c>
      <c r="C929" s="5">
        <v>15000.0</v>
      </c>
      <c r="D929" s="5">
        <v>0.0</v>
      </c>
      <c r="E929" s="5">
        <f t="shared" si="1"/>
        <v>274281064.9</v>
      </c>
      <c r="F929" s="14" t="s">
        <v>43</v>
      </c>
      <c r="G929" s="14" t="s">
        <v>45</v>
      </c>
      <c r="H929" s="14"/>
      <c r="I929" s="16"/>
    </row>
    <row r="930" ht="15.75" hidden="1" customHeight="1">
      <c r="A930" s="8">
        <v>46233.0</v>
      </c>
      <c r="B930" s="4" t="s">
        <v>2279</v>
      </c>
      <c r="C930" s="5">
        <v>2348500.0</v>
      </c>
      <c r="D930" s="5">
        <v>0.0</v>
      </c>
      <c r="E930" s="5">
        <f t="shared" si="1"/>
        <v>271932564.9</v>
      </c>
      <c r="F930" s="14" t="s">
        <v>50</v>
      </c>
      <c r="G930" s="14" t="s">
        <v>225</v>
      </c>
      <c r="H930" s="14" t="s">
        <v>858</v>
      </c>
      <c r="I930" s="16"/>
    </row>
    <row r="931" ht="15.75" hidden="1" customHeight="1">
      <c r="A931" s="8">
        <v>46233.0</v>
      </c>
      <c r="B931" s="4" t="s">
        <v>2282</v>
      </c>
      <c r="C931" s="5">
        <v>5085111.0</v>
      </c>
      <c r="D931" s="5">
        <v>0.0</v>
      </c>
      <c r="E931" s="5">
        <f t="shared" si="1"/>
        <v>266847453.9</v>
      </c>
      <c r="F931" s="14" t="s">
        <v>58</v>
      </c>
      <c r="G931" s="14" t="s">
        <v>59</v>
      </c>
      <c r="H931" s="14" t="s">
        <v>722</v>
      </c>
      <c r="I931" s="16"/>
    </row>
    <row r="932" ht="15.75" hidden="1" customHeight="1">
      <c r="A932" s="8">
        <v>46233.0</v>
      </c>
      <c r="B932" s="4" t="s">
        <v>2284</v>
      </c>
      <c r="C932" s="5">
        <v>1.6414742E7</v>
      </c>
      <c r="D932" s="5">
        <v>0.0</v>
      </c>
      <c r="E932" s="5">
        <f t="shared" si="1"/>
        <v>250432711.9</v>
      </c>
      <c r="F932" s="14" t="s">
        <v>58</v>
      </c>
      <c r="G932" s="14" t="s">
        <v>59</v>
      </c>
      <c r="H932" s="14" t="s">
        <v>1250</v>
      </c>
      <c r="I932" s="16"/>
    </row>
    <row r="933" ht="15.75" hidden="1" customHeight="1">
      <c r="A933" s="8">
        <v>46233.0</v>
      </c>
      <c r="B933" s="4" t="s">
        <v>2286</v>
      </c>
      <c r="C933" s="5">
        <v>1.3704375E7</v>
      </c>
      <c r="D933" s="5">
        <v>0.0</v>
      </c>
      <c r="E933" s="5">
        <f t="shared" si="1"/>
        <v>236728336.9</v>
      </c>
      <c r="F933" s="14" t="s">
        <v>58</v>
      </c>
      <c r="G933" s="14" t="s">
        <v>59</v>
      </c>
      <c r="H933" s="14" t="s">
        <v>722</v>
      </c>
      <c r="I933" s="16"/>
    </row>
    <row r="934" ht="15.75" hidden="1" customHeight="1">
      <c r="A934" s="8">
        <v>46234.0</v>
      </c>
      <c r="B934" s="4" t="s">
        <v>2288</v>
      </c>
      <c r="C934" s="5">
        <v>25000.0</v>
      </c>
      <c r="D934" s="5">
        <v>0.0</v>
      </c>
      <c r="E934" s="5">
        <f t="shared" si="1"/>
        <v>236703336.9</v>
      </c>
      <c r="F934" s="14" t="s">
        <v>43</v>
      </c>
      <c r="G934" s="14" t="s">
        <v>45</v>
      </c>
      <c r="H934" s="14"/>
      <c r="I934" s="16"/>
    </row>
    <row r="935" ht="15.75" hidden="1" customHeight="1">
      <c r="A935" s="8">
        <v>46234.0</v>
      </c>
      <c r="B935" s="4" t="s">
        <v>626</v>
      </c>
      <c r="C935" s="5">
        <v>0.0</v>
      </c>
      <c r="D935" s="5">
        <v>358855.02</v>
      </c>
      <c r="E935" s="5">
        <f t="shared" si="1"/>
        <v>237062191.9</v>
      </c>
      <c r="F935" s="14" t="s">
        <v>63</v>
      </c>
      <c r="G935" s="14" t="s">
        <v>65</v>
      </c>
      <c r="H935" s="14"/>
      <c r="I935" s="16"/>
    </row>
    <row r="936" ht="15.75" hidden="1" customHeight="1">
      <c r="A936" s="8">
        <v>46234.0</v>
      </c>
      <c r="B936" s="4" t="s">
        <v>1199</v>
      </c>
      <c r="C936" s="5">
        <v>71771.0</v>
      </c>
      <c r="D936" s="5">
        <v>0.0</v>
      </c>
      <c r="E936" s="5">
        <f t="shared" si="1"/>
        <v>236990420.9</v>
      </c>
      <c r="F936" s="14" t="s">
        <v>63</v>
      </c>
      <c r="G936" s="14" t="s">
        <v>65</v>
      </c>
      <c r="H936" s="14"/>
      <c r="I936" s="16"/>
    </row>
    <row r="937" ht="15.75" hidden="1" customHeight="1">
      <c r="A937" s="8">
        <v>46237.0</v>
      </c>
      <c r="B937" s="4" t="s">
        <v>2293</v>
      </c>
      <c r="C937" s="5">
        <v>1228385.0</v>
      </c>
      <c r="D937" s="5">
        <v>0.0</v>
      </c>
      <c r="E937" s="5">
        <f t="shared" si="1"/>
        <v>235762035.9</v>
      </c>
      <c r="F937" s="14" t="s">
        <v>58</v>
      </c>
      <c r="G937" s="14" t="s">
        <v>59</v>
      </c>
      <c r="H937" s="14" t="s">
        <v>722</v>
      </c>
      <c r="I937" s="16"/>
    </row>
    <row r="938" ht="15.75" hidden="1" customHeight="1">
      <c r="A938" s="8">
        <v>46237.0</v>
      </c>
      <c r="B938" s="4" t="s">
        <v>2295</v>
      </c>
      <c r="C938" s="5">
        <v>2500.0</v>
      </c>
      <c r="D938" s="5">
        <v>0.0</v>
      </c>
      <c r="E938" s="5">
        <f t="shared" si="1"/>
        <v>235759535.9</v>
      </c>
      <c r="F938" s="14" t="s">
        <v>43</v>
      </c>
      <c r="G938" s="14" t="s">
        <v>45</v>
      </c>
      <c r="H938" s="14"/>
      <c r="I938" s="16"/>
    </row>
    <row r="939" ht="15.75" hidden="1" customHeight="1">
      <c r="A939" s="8">
        <v>46237.0</v>
      </c>
      <c r="B939" s="4" t="s">
        <v>2297</v>
      </c>
      <c r="C939" s="5">
        <v>2.8504216E7</v>
      </c>
      <c r="D939" s="5">
        <v>0.0</v>
      </c>
      <c r="E939" s="5">
        <f t="shared" si="1"/>
        <v>207255319.9</v>
      </c>
      <c r="F939" s="14" t="s">
        <v>21</v>
      </c>
      <c r="G939" s="14" t="s">
        <v>448</v>
      </c>
      <c r="H939" s="14" t="s">
        <v>38</v>
      </c>
      <c r="I939" s="16"/>
    </row>
    <row r="940" ht="15.75" hidden="1" customHeight="1">
      <c r="A940" s="8">
        <v>46237.0</v>
      </c>
      <c r="B940" s="4" t="s">
        <v>2300</v>
      </c>
      <c r="C940" s="5">
        <v>2500.0</v>
      </c>
      <c r="D940" s="5">
        <v>0.0</v>
      </c>
      <c r="E940" s="5">
        <f t="shared" si="1"/>
        <v>207252819.9</v>
      </c>
      <c r="F940" s="14" t="s">
        <v>43</v>
      </c>
      <c r="G940" s="14" t="s">
        <v>45</v>
      </c>
      <c r="H940" s="14"/>
      <c r="I940" s="16"/>
    </row>
    <row r="941" ht="15.75" hidden="1" customHeight="1">
      <c r="A941" s="8">
        <v>46238.0</v>
      </c>
      <c r="B941" s="4" t="s">
        <v>2303</v>
      </c>
      <c r="C941" s="5">
        <v>3585662.0</v>
      </c>
      <c r="D941" s="5">
        <v>0.0</v>
      </c>
      <c r="E941" s="5">
        <f t="shared" si="1"/>
        <v>203667157.9</v>
      </c>
      <c r="F941" s="14" t="s">
        <v>93</v>
      </c>
      <c r="G941" s="14" t="s">
        <v>93</v>
      </c>
      <c r="H941" s="14" t="s">
        <v>346</v>
      </c>
      <c r="I941" s="16"/>
    </row>
    <row r="942" ht="15.75" hidden="1" customHeight="1">
      <c r="A942" s="8">
        <v>46238.0</v>
      </c>
      <c r="B942" s="4" t="s">
        <v>2307</v>
      </c>
      <c r="C942" s="5">
        <v>2500.0</v>
      </c>
      <c r="D942" s="5">
        <v>0.0</v>
      </c>
      <c r="E942" s="5">
        <f t="shared" si="1"/>
        <v>203664657.9</v>
      </c>
      <c r="F942" s="14" t="s">
        <v>43</v>
      </c>
      <c r="G942" s="14" t="s">
        <v>45</v>
      </c>
      <c r="H942" s="14"/>
      <c r="I942" s="16"/>
    </row>
    <row r="943" ht="15.75" hidden="1" customHeight="1">
      <c r="A943" s="8">
        <v>46238.0</v>
      </c>
      <c r="B943" s="4" t="s">
        <v>2309</v>
      </c>
      <c r="C943" s="5">
        <v>7.4884076E7</v>
      </c>
      <c r="D943" s="5">
        <v>0.0</v>
      </c>
      <c r="E943" s="5">
        <f t="shared" si="1"/>
        <v>128780581.9</v>
      </c>
      <c r="F943" s="14" t="s">
        <v>21</v>
      </c>
      <c r="G943" s="14" t="s">
        <v>448</v>
      </c>
      <c r="H943" s="14" t="s">
        <v>55</v>
      </c>
      <c r="I943" s="16"/>
    </row>
    <row r="944" ht="15.75" hidden="1" customHeight="1">
      <c r="A944" s="8">
        <v>46238.0</v>
      </c>
      <c r="B944" s="4" t="s">
        <v>2312</v>
      </c>
      <c r="C944" s="5">
        <v>2500.0</v>
      </c>
      <c r="D944" s="5">
        <v>0.0</v>
      </c>
      <c r="E944" s="5">
        <f t="shared" si="1"/>
        <v>128778081.9</v>
      </c>
      <c r="F944" s="14" t="s">
        <v>43</v>
      </c>
      <c r="G944" s="14" t="s">
        <v>45</v>
      </c>
      <c r="H944" s="14"/>
      <c r="I944" s="16"/>
    </row>
    <row r="945" ht="15.75" hidden="1" customHeight="1">
      <c r="A945" s="8">
        <v>46239.0</v>
      </c>
      <c r="B945" s="4" t="s">
        <v>2315</v>
      </c>
      <c r="C945" s="5">
        <v>0.0</v>
      </c>
      <c r="D945" s="5">
        <v>3585662.0</v>
      </c>
      <c r="E945" s="5">
        <f t="shared" si="1"/>
        <v>132363743.9</v>
      </c>
      <c r="F945" s="14" t="s">
        <v>93</v>
      </c>
      <c r="G945" s="14" t="s">
        <v>93</v>
      </c>
      <c r="H945" s="14" t="s">
        <v>346</v>
      </c>
      <c r="I945" s="16"/>
    </row>
    <row r="946" ht="15.75" hidden="1" customHeight="1">
      <c r="A946" s="8">
        <v>46240.0</v>
      </c>
      <c r="B946" s="4" t="s">
        <v>2317</v>
      </c>
      <c r="C946" s="5">
        <f>71262000-C947</f>
        <v>64200000</v>
      </c>
      <c r="D946" s="5">
        <v>0.0</v>
      </c>
      <c r="E946" s="5">
        <f t="shared" si="1"/>
        <v>68163743.91</v>
      </c>
      <c r="F946" s="14" t="s">
        <v>24</v>
      </c>
      <c r="G946" s="14" t="s">
        <v>125</v>
      </c>
      <c r="H946" s="15" t="s">
        <v>922</v>
      </c>
      <c r="I946" s="16"/>
    </row>
    <row r="947" ht="15.75" hidden="1" customHeight="1">
      <c r="A947" s="8">
        <v>46240.0</v>
      </c>
      <c r="B947" s="4" t="s">
        <v>2317</v>
      </c>
      <c r="C947" s="5">
        <v>7062000.0</v>
      </c>
      <c r="D947" s="5">
        <v>0.0</v>
      </c>
      <c r="E947" s="5">
        <f t="shared" si="1"/>
        <v>61101743.91</v>
      </c>
      <c r="F947" s="14" t="s">
        <v>24</v>
      </c>
      <c r="G947" s="14" t="s">
        <v>1787</v>
      </c>
      <c r="H947" s="15" t="s">
        <v>1788</v>
      </c>
      <c r="I947" s="16"/>
    </row>
    <row r="948" ht="15.75" hidden="1" customHeight="1">
      <c r="A948" s="8">
        <v>46240.0</v>
      </c>
      <c r="B948" s="4" t="s">
        <v>2322</v>
      </c>
      <c r="C948" s="5">
        <f>1054500-C949</f>
        <v>950000</v>
      </c>
      <c r="D948" s="5">
        <v>0.0</v>
      </c>
      <c r="E948" s="5">
        <f t="shared" si="1"/>
        <v>60151743.91</v>
      </c>
      <c r="F948" s="14" t="s">
        <v>24</v>
      </c>
      <c r="G948" s="14" t="s">
        <v>125</v>
      </c>
      <c r="H948" s="15" t="s">
        <v>922</v>
      </c>
      <c r="I948" s="16"/>
    </row>
    <row r="949" ht="15.75" hidden="1" customHeight="1">
      <c r="A949" s="8">
        <v>46240.0</v>
      </c>
      <c r="B949" s="4" t="s">
        <v>2322</v>
      </c>
      <c r="C949" s="5">
        <v>104500.0</v>
      </c>
      <c r="D949" s="5">
        <v>0.0</v>
      </c>
      <c r="E949" s="5">
        <f t="shared" si="1"/>
        <v>60047243.91</v>
      </c>
      <c r="F949" s="14" t="s">
        <v>24</v>
      </c>
      <c r="G949" s="14" t="s">
        <v>1787</v>
      </c>
      <c r="H949" s="15" t="s">
        <v>1788</v>
      </c>
      <c r="I949" s="16"/>
    </row>
    <row r="950" ht="15.75" hidden="1" customHeight="1">
      <c r="A950" s="8">
        <v>46241.0</v>
      </c>
      <c r="B950" s="4" t="s">
        <v>2328</v>
      </c>
      <c r="C950" s="5">
        <v>0.0</v>
      </c>
      <c r="D950" s="5">
        <v>1.35760366E8</v>
      </c>
      <c r="E950" s="5">
        <f t="shared" si="1"/>
        <v>195807609.9</v>
      </c>
      <c r="F950" s="14" t="s">
        <v>21</v>
      </c>
      <c r="G950" s="14" t="s">
        <v>187</v>
      </c>
      <c r="H950" s="14"/>
      <c r="I950" s="16"/>
    </row>
    <row r="951" ht="15.75" hidden="1" customHeight="1">
      <c r="A951" s="8">
        <v>46241.0</v>
      </c>
      <c r="B951" s="4" t="s">
        <v>2330</v>
      </c>
      <c r="C951" s="5">
        <f>59337495+D952</f>
        <v>69808818</v>
      </c>
      <c r="D951" s="5">
        <v>0.0</v>
      </c>
      <c r="E951" s="5">
        <f t="shared" si="1"/>
        <v>125998791.9</v>
      </c>
      <c r="F951" s="14" t="s">
        <v>43</v>
      </c>
      <c r="G951" s="14" t="s">
        <v>1356</v>
      </c>
      <c r="H951" s="14"/>
      <c r="I951" s="16"/>
    </row>
    <row r="952" ht="15.75" hidden="1" customHeight="1">
      <c r="A952" s="8">
        <v>46241.0</v>
      </c>
      <c r="B952" s="4" t="s">
        <v>2330</v>
      </c>
      <c r="C952" s="5">
        <v>0.0</v>
      </c>
      <c r="D952" s="5">
        <v>1.0471323E7</v>
      </c>
      <c r="E952" s="5">
        <f t="shared" si="1"/>
        <v>136470114.9</v>
      </c>
      <c r="F952" s="14" t="s">
        <v>18</v>
      </c>
      <c r="G952" s="14" t="s">
        <v>194</v>
      </c>
      <c r="H952" s="16" t="s">
        <v>191</v>
      </c>
      <c r="I952" s="16"/>
    </row>
    <row r="953" ht="15.75" hidden="1" customHeight="1">
      <c r="A953" s="8">
        <v>46241.0</v>
      </c>
      <c r="B953" s="4" t="s">
        <v>2331</v>
      </c>
      <c r="C953" s="5">
        <v>2500.0</v>
      </c>
      <c r="D953" s="5">
        <v>0.0</v>
      </c>
      <c r="E953" s="5">
        <f t="shared" si="1"/>
        <v>136467614.9</v>
      </c>
      <c r="F953" s="14" t="s">
        <v>43</v>
      </c>
      <c r="G953" s="14" t="s">
        <v>45</v>
      </c>
      <c r="H953" s="14"/>
      <c r="I953" s="16"/>
    </row>
    <row r="954" ht="15.75" hidden="1" customHeight="1">
      <c r="A954" s="8">
        <v>46243.0</v>
      </c>
      <c r="B954" s="4" t="s">
        <v>2334</v>
      </c>
      <c r="C954" s="5">
        <v>858600.0</v>
      </c>
      <c r="D954" s="5">
        <v>0.0</v>
      </c>
      <c r="E954" s="5">
        <f t="shared" si="1"/>
        <v>135609014.9</v>
      </c>
      <c r="F954" s="14" t="s">
        <v>58</v>
      </c>
      <c r="G954" s="14" t="s">
        <v>59</v>
      </c>
      <c r="H954" s="14" t="s">
        <v>1250</v>
      </c>
      <c r="I954" s="16"/>
    </row>
    <row r="955" ht="15.75" hidden="1" customHeight="1">
      <c r="A955" s="8">
        <v>46244.0</v>
      </c>
      <c r="B955" s="4" t="s">
        <v>2336</v>
      </c>
      <c r="C955" s="5">
        <v>0.0</v>
      </c>
      <c r="D955" s="5">
        <v>7.7045104E7</v>
      </c>
      <c r="E955" s="5">
        <f t="shared" si="1"/>
        <v>212654118.9</v>
      </c>
      <c r="F955" s="14" t="s">
        <v>75</v>
      </c>
      <c r="G955" s="14" t="s">
        <v>76</v>
      </c>
      <c r="H955" s="14" t="s">
        <v>1250</v>
      </c>
      <c r="I955" s="16" t="s">
        <v>2337</v>
      </c>
    </row>
    <row r="956" ht="15.75" hidden="1" customHeight="1">
      <c r="A956" s="8">
        <v>46245.0</v>
      </c>
      <c r="B956" s="4" t="s">
        <v>2338</v>
      </c>
      <c r="C956" s="5">
        <v>9000000.0</v>
      </c>
      <c r="D956" s="5">
        <v>0.0</v>
      </c>
      <c r="E956" s="5">
        <f t="shared" si="1"/>
        <v>203654118.9</v>
      </c>
      <c r="F956" s="14" t="s">
        <v>58</v>
      </c>
      <c r="G956" s="14" t="s">
        <v>59</v>
      </c>
      <c r="H956" s="14" t="s">
        <v>694</v>
      </c>
      <c r="I956" s="16"/>
    </row>
    <row r="957" ht="15.75" hidden="1" customHeight="1">
      <c r="A957" s="8">
        <v>46245.0</v>
      </c>
      <c r="B957" s="4" t="s">
        <v>2340</v>
      </c>
      <c r="C957" s="5">
        <f>18198198-C958+D959</f>
        <v>18018018</v>
      </c>
      <c r="D957" s="5">
        <v>0.0</v>
      </c>
      <c r="E957" s="5">
        <f t="shared" si="1"/>
        <v>185636100.9</v>
      </c>
      <c r="F957" s="14" t="s">
        <v>50</v>
      </c>
      <c r="G957" s="14" t="s">
        <v>708</v>
      </c>
      <c r="H957" s="14" t="s">
        <v>858</v>
      </c>
      <c r="I957" s="16"/>
    </row>
    <row r="958" ht="15.75" hidden="1" customHeight="1">
      <c r="A958" s="8">
        <v>46245.0</v>
      </c>
      <c r="B958" s="4" t="s">
        <v>2340</v>
      </c>
      <c r="C958" s="5">
        <v>1981982.0</v>
      </c>
      <c r="D958" s="5">
        <v>0.0</v>
      </c>
      <c r="E958" s="5">
        <f t="shared" si="1"/>
        <v>183654118.9</v>
      </c>
      <c r="F958" s="4" t="s">
        <v>21</v>
      </c>
      <c r="G958" s="4" t="s">
        <v>448</v>
      </c>
      <c r="H958" s="4" t="s">
        <v>1638</v>
      </c>
    </row>
    <row r="959" ht="15.75" hidden="1" customHeight="1">
      <c r="A959" s="8">
        <v>46245.0</v>
      </c>
      <c r="B959" s="4" t="s">
        <v>2340</v>
      </c>
      <c r="C959" s="5">
        <v>0.0</v>
      </c>
      <c r="D959" s="5">
        <v>1801802.0</v>
      </c>
      <c r="E959" s="5">
        <f t="shared" si="1"/>
        <v>185455920.9</v>
      </c>
      <c r="F959" s="14" t="s">
        <v>93</v>
      </c>
      <c r="G959" s="14" t="s">
        <v>93</v>
      </c>
      <c r="H959" s="14" t="s">
        <v>711</v>
      </c>
      <c r="I959" s="16" t="s">
        <v>712</v>
      </c>
    </row>
    <row r="960" ht="15.75" hidden="1" customHeight="1">
      <c r="A960" s="8">
        <v>46245.0</v>
      </c>
      <c r="B960" s="4" t="s">
        <v>2346</v>
      </c>
      <c r="C960" s="5">
        <v>2500.0</v>
      </c>
      <c r="D960" s="5">
        <v>0.0</v>
      </c>
      <c r="E960" s="5">
        <f t="shared" si="1"/>
        <v>185453420.9</v>
      </c>
      <c r="F960" s="14" t="s">
        <v>43</v>
      </c>
      <c r="G960" s="14" t="s">
        <v>45</v>
      </c>
      <c r="H960" s="14"/>
      <c r="I960" s="16"/>
    </row>
    <row r="961" ht="15.75" hidden="1" customHeight="1">
      <c r="A961" s="8">
        <v>46245.0</v>
      </c>
      <c r="B961" s="4" t="s">
        <v>2347</v>
      </c>
      <c r="C961" s="5">
        <f>18198198-C962+D963</f>
        <v>18018018</v>
      </c>
      <c r="D961" s="5">
        <v>0.0</v>
      </c>
      <c r="E961" s="5">
        <f t="shared" si="1"/>
        <v>167435402.9</v>
      </c>
      <c r="F961" s="14" t="s">
        <v>50</v>
      </c>
      <c r="G961" s="14" t="s">
        <v>708</v>
      </c>
      <c r="H961" s="14" t="s">
        <v>769</v>
      </c>
      <c r="I961" s="16"/>
    </row>
    <row r="962" ht="15.75" hidden="1" customHeight="1">
      <c r="A962" s="8">
        <v>46245.0</v>
      </c>
      <c r="B962" s="4" t="s">
        <v>2347</v>
      </c>
      <c r="C962" s="5">
        <v>1981982.0</v>
      </c>
      <c r="D962" s="5">
        <v>0.0</v>
      </c>
      <c r="E962" s="5">
        <f t="shared" si="1"/>
        <v>165453420.9</v>
      </c>
      <c r="F962" s="4" t="s">
        <v>21</v>
      </c>
      <c r="G962" s="4" t="s">
        <v>448</v>
      </c>
      <c r="H962" s="4" t="s">
        <v>1808</v>
      </c>
    </row>
    <row r="963" ht="15.75" hidden="1" customHeight="1">
      <c r="A963" s="8">
        <v>46245.0</v>
      </c>
      <c r="B963" s="4" t="s">
        <v>2347</v>
      </c>
      <c r="C963" s="5">
        <v>0.0</v>
      </c>
      <c r="D963" s="5">
        <v>1801802.0</v>
      </c>
      <c r="E963" s="5">
        <f t="shared" si="1"/>
        <v>167255222.9</v>
      </c>
      <c r="F963" s="14" t="s">
        <v>18</v>
      </c>
      <c r="G963" s="14" t="s">
        <v>194</v>
      </c>
      <c r="H963" s="14" t="s">
        <v>711</v>
      </c>
      <c r="I963" s="16"/>
    </row>
    <row r="964" ht="15.75" hidden="1" customHeight="1">
      <c r="A964" s="8">
        <v>46245.0</v>
      </c>
      <c r="B964" s="4" t="s">
        <v>2355</v>
      </c>
      <c r="C964" s="5">
        <v>2.3986172E7</v>
      </c>
      <c r="D964" s="5">
        <v>0.0</v>
      </c>
      <c r="E964" s="5">
        <f t="shared" si="1"/>
        <v>143269050.9</v>
      </c>
      <c r="F964" s="14" t="s">
        <v>58</v>
      </c>
      <c r="G964" s="14" t="s">
        <v>59</v>
      </c>
      <c r="H964" s="14" t="s">
        <v>2357</v>
      </c>
      <c r="I964" s="16"/>
    </row>
    <row r="965" ht="15.75" hidden="1" customHeight="1">
      <c r="A965" s="8">
        <v>46245.0</v>
      </c>
      <c r="B965" s="4" t="s">
        <v>2359</v>
      </c>
      <c r="C965" s="5">
        <v>2500.0</v>
      </c>
      <c r="D965" s="5">
        <v>0.0</v>
      </c>
      <c r="E965" s="5">
        <f t="shared" si="1"/>
        <v>143266550.9</v>
      </c>
      <c r="F965" s="14" t="s">
        <v>43</v>
      </c>
      <c r="G965" s="14" t="s">
        <v>45</v>
      </c>
      <c r="H965" s="14"/>
      <c r="I965" s="16"/>
    </row>
    <row r="966" ht="15.75" hidden="1" customHeight="1">
      <c r="A966" s="8">
        <v>46245.0</v>
      </c>
      <c r="B966" s="4" t="s">
        <v>2361</v>
      </c>
      <c r="C966" s="5">
        <v>2587550.0</v>
      </c>
      <c r="D966" s="5">
        <v>0.0</v>
      </c>
      <c r="E966" s="5">
        <f t="shared" si="1"/>
        <v>140679000.9</v>
      </c>
      <c r="F966" s="14" t="s">
        <v>50</v>
      </c>
      <c r="G966" s="14" t="s">
        <v>225</v>
      </c>
      <c r="H966" s="14" t="s">
        <v>981</v>
      </c>
      <c r="I966" s="16"/>
    </row>
    <row r="967" ht="15.75" hidden="1" customHeight="1">
      <c r="A967" s="8">
        <v>46245.0</v>
      </c>
      <c r="B967" s="4" t="s">
        <v>1940</v>
      </c>
      <c r="C967" s="5">
        <v>1.0E8</v>
      </c>
      <c r="D967" s="5">
        <v>0.0</v>
      </c>
      <c r="E967" s="5">
        <f t="shared" si="1"/>
        <v>40679000.91</v>
      </c>
      <c r="F967" s="14" t="s">
        <v>21</v>
      </c>
      <c r="G967" s="14" t="s">
        <v>190</v>
      </c>
      <c r="H967" s="14"/>
      <c r="I967" s="16"/>
    </row>
    <row r="968" ht="15.75" hidden="1" customHeight="1">
      <c r="A968" s="8">
        <v>46245.0</v>
      </c>
      <c r="B968" s="4" t="s">
        <v>2363</v>
      </c>
      <c r="C968" s="5">
        <v>2500.0</v>
      </c>
      <c r="D968" s="5">
        <v>0.0</v>
      </c>
      <c r="E968" s="5">
        <f t="shared" si="1"/>
        <v>40676500.91</v>
      </c>
      <c r="F968" s="14" t="s">
        <v>43</v>
      </c>
      <c r="G968" s="14" t="s">
        <v>45</v>
      </c>
      <c r="H968" s="14"/>
      <c r="I968" s="16"/>
    </row>
    <row r="969" ht="15.75" hidden="1" customHeight="1">
      <c r="A969" s="8">
        <v>46245.0</v>
      </c>
      <c r="B969" s="4" t="s">
        <v>521</v>
      </c>
      <c r="C969" s="5">
        <v>1.0E7</v>
      </c>
      <c r="D969" s="5">
        <v>0.0</v>
      </c>
      <c r="E969" s="5">
        <f t="shared" si="1"/>
        <v>30676500.91</v>
      </c>
      <c r="F969" s="14" t="s">
        <v>21</v>
      </c>
      <c r="G969" s="14" t="s">
        <v>190</v>
      </c>
      <c r="H969" s="14"/>
      <c r="I969" s="16"/>
    </row>
    <row r="970" ht="15.75" hidden="1" customHeight="1">
      <c r="A970" s="8">
        <v>46245.0</v>
      </c>
      <c r="B970" s="4" t="s">
        <v>2365</v>
      </c>
      <c r="C970" s="5">
        <v>2500.0</v>
      </c>
      <c r="D970" s="5">
        <v>0.0</v>
      </c>
      <c r="E970" s="5">
        <f t="shared" si="1"/>
        <v>30674000.91</v>
      </c>
      <c r="F970" s="14" t="s">
        <v>43</v>
      </c>
      <c r="G970" s="14" t="s">
        <v>45</v>
      </c>
      <c r="H970" s="14"/>
      <c r="I970" s="16"/>
    </row>
    <row r="971" ht="15.75" hidden="1" customHeight="1">
      <c r="A971" s="8">
        <v>46245.0</v>
      </c>
      <c r="B971" s="4" t="s">
        <v>2368</v>
      </c>
      <c r="C971" s="5">
        <v>1250000.0</v>
      </c>
      <c r="D971" s="5">
        <v>0.0</v>
      </c>
      <c r="E971" s="5">
        <f t="shared" si="1"/>
        <v>29424000.91</v>
      </c>
      <c r="F971" s="14" t="s">
        <v>24</v>
      </c>
      <c r="G971" s="14" t="s">
        <v>125</v>
      </c>
      <c r="H971" s="14" t="s">
        <v>2370</v>
      </c>
      <c r="I971" s="16"/>
    </row>
    <row r="972" ht="15.75" hidden="1" customHeight="1">
      <c r="A972" s="8">
        <v>46245.0</v>
      </c>
      <c r="B972" s="4" t="s">
        <v>2373</v>
      </c>
      <c r="C972" s="5">
        <v>2500.0</v>
      </c>
      <c r="D972" s="5">
        <v>0.0</v>
      </c>
      <c r="E972" s="5">
        <f t="shared" si="1"/>
        <v>29421500.91</v>
      </c>
      <c r="F972" s="14" t="s">
        <v>43</v>
      </c>
      <c r="G972" s="14" t="s">
        <v>45</v>
      </c>
      <c r="H972" s="14"/>
      <c r="I972" s="16"/>
    </row>
    <row r="973" ht="15.75" hidden="1" customHeight="1">
      <c r="A973" s="8">
        <v>46248.0</v>
      </c>
      <c r="B973" s="4" t="s">
        <v>140</v>
      </c>
      <c r="C973" s="5">
        <v>0.0</v>
      </c>
      <c r="D973" s="5">
        <v>2.97773E7</v>
      </c>
      <c r="E973" s="5">
        <f t="shared" si="1"/>
        <v>59198800.91</v>
      </c>
      <c r="F973" s="14" t="s">
        <v>75</v>
      </c>
      <c r="G973" s="14" t="s">
        <v>76</v>
      </c>
      <c r="H973" s="14" t="s">
        <v>2042</v>
      </c>
      <c r="I973" s="16" t="s">
        <v>2377</v>
      </c>
    </row>
    <row r="974" ht="15.75" hidden="1" customHeight="1">
      <c r="A974" s="8">
        <v>46248.0</v>
      </c>
      <c r="B974" s="4" t="s">
        <v>140</v>
      </c>
      <c r="C974" s="5">
        <v>0.0</v>
      </c>
      <c r="D974" s="5">
        <f>53391165-D973</f>
        <v>23613865</v>
      </c>
      <c r="E974" s="5">
        <f t="shared" si="1"/>
        <v>82812665.91</v>
      </c>
      <c r="F974" s="14" t="s">
        <v>75</v>
      </c>
      <c r="G974" s="14" t="s">
        <v>76</v>
      </c>
      <c r="H974" s="14" t="s">
        <v>809</v>
      </c>
      <c r="I974" s="16" t="s">
        <v>2379</v>
      </c>
    </row>
    <row r="975" ht="15.75" hidden="1" customHeight="1">
      <c r="A975" s="8">
        <v>46248.0</v>
      </c>
      <c r="B975" s="4" t="s">
        <v>140</v>
      </c>
      <c r="C975" s="5">
        <v>0.0</v>
      </c>
      <c r="D975" s="5">
        <v>2.2114115E7</v>
      </c>
      <c r="E975" s="5">
        <f t="shared" si="1"/>
        <v>104926780.9</v>
      </c>
      <c r="F975" s="14" t="s">
        <v>75</v>
      </c>
      <c r="G975" s="14" t="s">
        <v>76</v>
      </c>
      <c r="H975" s="14" t="s">
        <v>2385</v>
      </c>
      <c r="I975" s="16" t="s">
        <v>2386</v>
      </c>
    </row>
    <row r="976" ht="15.75" hidden="1" customHeight="1">
      <c r="A976" s="8">
        <v>46252.0</v>
      </c>
      <c r="B976" s="4" t="s">
        <v>2388</v>
      </c>
      <c r="C976" s="5">
        <v>0.0</v>
      </c>
      <c r="D976" s="5">
        <v>8.33184967E8</v>
      </c>
      <c r="E976" s="5">
        <f t="shared" si="1"/>
        <v>938111747.9</v>
      </c>
      <c r="F976" s="14" t="s">
        <v>75</v>
      </c>
      <c r="G976" s="14" t="s">
        <v>76</v>
      </c>
      <c r="H976" s="14" t="s">
        <v>458</v>
      </c>
      <c r="I976" s="16" t="s">
        <v>2390</v>
      </c>
    </row>
    <row r="977" ht="15.75" hidden="1" customHeight="1">
      <c r="A977" s="8">
        <v>46252.0</v>
      </c>
      <c r="B977" s="4" t="s">
        <v>2391</v>
      </c>
      <c r="C977" s="5">
        <v>1700331.0</v>
      </c>
      <c r="D977" s="5">
        <v>0.0</v>
      </c>
      <c r="E977" s="5">
        <f t="shared" si="1"/>
        <v>936411416.9</v>
      </c>
      <c r="F977" s="14" t="s">
        <v>18</v>
      </c>
      <c r="G977" s="14" t="s">
        <v>194</v>
      </c>
      <c r="H977" s="14" t="s">
        <v>2394</v>
      </c>
      <c r="I977" s="16" t="s">
        <v>6</v>
      </c>
    </row>
    <row r="978" ht="15.75" hidden="1" customHeight="1">
      <c r="A978" s="8">
        <v>46252.0</v>
      </c>
      <c r="B978" s="4" t="s">
        <v>2396</v>
      </c>
      <c r="C978" s="5">
        <v>372000.0</v>
      </c>
      <c r="D978" s="5">
        <v>0.0</v>
      </c>
      <c r="E978" s="5">
        <f t="shared" si="1"/>
        <v>936039416.9</v>
      </c>
      <c r="F978" s="14" t="s">
        <v>24</v>
      </c>
      <c r="G978" s="14" t="s">
        <v>125</v>
      </c>
      <c r="H978" s="14" t="s">
        <v>2207</v>
      </c>
      <c r="I978" s="16"/>
    </row>
    <row r="979" ht="15.75" hidden="1" customHeight="1">
      <c r="A979" s="8">
        <v>46252.0</v>
      </c>
      <c r="B979" s="4" t="s">
        <v>2400</v>
      </c>
      <c r="C979" s="5">
        <v>1000000.0</v>
      </c>
      <c r="D979" s="5">
        <v>0.0</v>
      </c>
      <c r="E979" s="5">
        <f t="shared" si="1"/>
        <v>935039416.9</v>
      </c>
      <c r="F979" s="14" t="s">
        <v>63</v>
      </c>
      <c r="G979" s="14" t="s">
        <v>243</v>
      </c>
      <c r="H979" s="14"/>
      <c r="I979" s="16"/>
    </row>
    <row r="980" ht="15.75" hidden="1" customHeight="1">
      <c r="A980" s="8">
        <v>46252.0</v>
      </c>
      <c r="B980" s="4" t="s">
        <v>2402</v>
      </c>
      <c r="C980" s="5">
        <v>3879861.0</v>
      </c>
      <c r="D980" s="5">
        <v>0.0</v>
      </c>
      <c r="E980" s="5">
        <f t="shared" si="1"/>
        <v>931159555.9</v>
      </c>
      <c r="F980" s="14" t="s">
        <v>24</v>
      </c>
      <c r="G980" s="14" t="s">
        <v>125</v>
      </c>
      <c r="H980" s="14" t="s">
        <v>2207</v>
      </c>
      <c r="I980" s="16"/>
    </row>
    <row r="981" ht="15.75" hidden="1" customHeight="1">
      <c r="A981" s="8">
        <v>46252.0</v>
      </c>
      <c r="B981" s="4" t="s">
        <v>2405</v>
      </c>
      <c r="C981" s="5">
        <v>5907665.0</v>
      </c>
      <c r="D981" s="5">
        <v>0.0</v>
      </c>
      <c r="E981" s="5">
        <f t="shared" si="1"/>
        <v>925251890.9</v>
      </c>
      <c r="F981" s="14" t="s">
        <v>105</v>
      </c>
      <c r="G981" s="14" t="s">
        <v>674</v>
      </c>
      <c r="H981" s="14" t="s">
        <v>981</v>
      </c>
      <c r="I981" s="16"/>
    </row>
    <row r="982" ht="15.75" hidden="1" customHeight="1">
      <c r="A982" s="8">
        <v>46252.0</v>
      </c>
      <c r="B982" s="4" t="s">
        <v>2409</v>
      </c>
      <c r="C982" s="5">
        <v>399592.0</v>
      </c>
      <c r="D982" s="5">
        <v>0.0</v>
      </c>
      <c r="E982" s="5">
        <f t="shared" si="1"/>
        <v>924852298.9</v>
      </c>
      <c r="F982" s="14" t="s">
        <v>21</v>
      </c>
      <c r="G982" s="14" t="s">
        <v>190</v>
      </c>
      <c r="H982" s="4" t="s">
        <v>191</v>
      </c>
      <c r="I982" s="16" t="s">
        <v>1925</v>
      </c>
    </row>
    <row r="983" ht="15.75" hidden="1" customHeight="1">
      <c r="A983" s="8">
        <v>46252.0</v>
      </c>
      <c r="B983" s="4" t="s">
        <v>2409</v>
      </c>
      <c r="C983" s="5">
        <v>42857.0</v>
      </c>
      <c r="D983" s="5">
        <v>0.0</v>
      </c>
      <c r="E983" s="5">
        <f t="shared" si="1"/>
        <v>924809441.9</v>
      </c>
      <c r="F983" s="14" t="s">
        <v>21</v>
      </c>
      <c r="G983" s="14" t="s">
        <v>190</v>
      </c>
      <c r="H983" s="4" t="s">
        <v>191</v>
      </c>
      <c r="I983" s="16" t="s">
        <v>1741</v>
      </c>
    </row>
    <row r="984" ht="15.75" hidden="1" customHeight="1">
      <c r="A984" s="8">
        <v>46252.0</v>
      </c>
      <c r="B984" s="4" t="s">
        <v>2409</v>
      </c>
      <c r="C984" s="5">
        <v>70000.0</v>
      </c>
      <c r="D984" s="5">
        <v>0.0</v>
      </c>
      <c r="E984" s="5">
        <f t="shared" si="1"/>
        <v>924739441.9</v>
      </c>
      <c r="F984" s="15" t="s">
        <v>21</v>
      </c>
      <c r="G984" s="15" t="s">
        <v>190</v>
      </c>
      <c r="H984" s="4" t="s">
        <v>191</v>
      </c>
      <c r="I984" s="4" t="s">
        <v>192</v>
      </c>
    </row>
    <row r="985" ht="15.75" hidden="1" customHeight="1">
      <c r="A985" s="8">
        <v>46252.0</v>
      </c>
      <c r="B985" s="4" t="s">
        <v>2409</v>
      </c>
      <c r="C985" s="5">
        <v>92000.0</v>
      </c>
      <c r="D985" s="5">
        <v>0.0</v>
      </c>
      <c r="E985" s="5">
        <f t="shared" si="1"/>
        <v>924647441.9</v>
      </c>
      <c r="F985" s="15" t="s">
        <v>21</v>
      </c>
      <c r="G985" s="15" t="s">
        <v>190</v>
      </c>
      <c r="H985" s="4" t="s">
        <v>191</v>
      </c>
      <c r="I985" s="4" t="s">
        <v>254</v>
      </c>
    </row>
    <row r="986" ht="15.75" hidden="1" customHeight="1">
      <c r="A986" s="8">
        <v>46252.0</v>
      </c>
      <c r="B986" s="4" t="s">
        <v>2409</v>
      </c>
      <c r="C986" s="5">
        <v>14234.0</v>
      </c>
      <c r="D986" s="5">
        <v>0.0</v>
      </c>
      <c r="E986" s="5">
        <f t="shared" si="1"/>
        <v>924633207.9</v>
      </c>
      <c r="F986" s="15" t="s">
        <v>21</v>
      </c>
      <c r="G986" s="15" t="s">
        <v>190</v>
      </c>
      <c r="H986" s="4" t="s">
        <v>191</v>
      </c>
      <c r="I986" s="4" t="s">
        <v>401</v>
      </c>
    </row>
    <row r="987" ht="15.75" hidden="1" customHeight="1">
      <c r="A987" s="8">
        <v>46252.0</v>
      </c>
      <c r="B987" s="4" t="s">
        <v>2409</v>
      </c>
      <c r="C987" s="5">
        <v>387755.0</v>
      </c>
      <c r="D987" s="5">
        <v>0.0</v>
      </c>
      <c r="E987" s="5">
        <f t="shared" si="1"/>
        <v>924245452.9</v>
      </c>
      <c r="F987" s="14" t="s">
        <v>21</v>
      </c>
      <c r="G987" s="14" t="s">
        <v>190</v>
      </c>
      <c r="H987" s="4" t="s">
        <v>191</v>
      </c>
      <c r="I987" s="16" t="s">
        <v>1852</v>
      </c>
    </row>
    <row r="988" ht="15.75" hidden="1" customHeight="1">
      <c r="A988" s="8">
        <v>46252.0</v>
      </c>
      <c r="B988" s="4" t="s">
        <v>2409</v>
      </c>
      <c r="C988" s="5">
        <v>137750.0</v>
      </c>
      <c r="D988" s="5">
        <v>0.0</v>
      </c>
      <c r="E988" s="5">
        <f t="shared" si="1"/>
        <v>924107702.9</v>
      </c>
      <c r="F988" s="14" t="s">
        <v>21</v>
      </c>
      <c r="G988" s="14" t="s">
        <v>190</v>
      </c>
      <c r="H988" s="14" t="s">
        <v>191</v>
      </c>
      <c r="I988" s="16" t="s">
        <v>1518</v>
      </c>
    </row>
    <row r="989" ht="15.75" hidden="1" customHeight="1">
      <c r="A989" s="8">
        <v>46252.0</v>
      </c>
      <c r="B989" s="4" t="s">
        <v>2409</v>
      </c>
      <c r="C989" s="5">
        <v>3434160.0</v>
      </c>
      <c r="D989" s="5">
        <v>0.0</v>
      </c>
      <c r="E989" s="5">
        <f t="shared" si="1"/>
        <v>920673542.9</v>
      </c>
      <c r="F989" s="14" t="s">
        <v>93</v>
      </c>
      <c r="G989" s="14" t="s">
        <v>93</v>
      </c>
      <c r="H989" s="14" t="s">
        <v>191</v>
      </c>
      <c r="I989" s="16" t="s">
        <v>953</v>
      </c>
    </row>
    <row r="990" ht="15.75" hidden="1" customHeight="1">
      <c r="A990" s="8">
        <v>46252.0</v>
      </c>
      <c r="B990" s="4" t="s">
        <v>2409</v>
      </c>
      <c r="C990" s="5">
        <v>288265.0</v>
      </c>
      <c r="D990" s="5">
        <v>0.0</v>
      </c>
      <c r="E990" s="5">
        <f t="shared" si="1"/>
        <v>920385277.9</v>
      </c>
      <c r="F990" s="14" t="s">
        <v>21</v>
      </c>
      <c r="G990" s="14" t="s">
        <v>190</v>
      </c>
      <c r="H990" s="4" t="s">
        <v>191</v>
      </c>
      <c r="I990" s="16" t="s">
        <v>1790</v>
      </c>
    </row>
    <row r="991" ht="15.75" hidden="1" customHeight="1">
      <c r="A991" s="8">
        <v>46252.0</v>
      </c>
      <c r="B991" s="4" t="s">
        <v>2409</v>
      </c>
      <c r="C991" s="5">
        <v>93600.0</v>
      </c>
      <c r="D991" s="5">
        <v>0.0</v>
      </c>
      <c r="E991" s="5">
        <f t="shared" si="1"/>
        <v>920291677.9</v>
      </c>
      <c r="F991" s="14" t="s">
        <v>21</v>
      </c>
      <c r="G991" s="14" t="s">
        <v>190</v>
      </c>
      <c r="H991" s="4" t="s">
        <v>191</v>
      </c>
      <c r="I991" s="16" t="s">
        <v>1828</v>
      </c>
    </row>
    <row r="992" ht="15.75" hidden="1" customHeight="1">
      <c r="A992" s="8">
        <v>46252.0</v>
      </c>
      <c r="B992" s="4" t="s">
        <v>2409</v>
      </c>
      <c r="C992" s="5">
        <v>1801802.0</v>
      </c>
      <c r="D992" s="5">
        <v>0.0</v>
      </c>
      <c r="E992" s="5">
        <f t="shared" si="1"/>
        <v>918489875.9</v>
      </c>
      <c r="F992" s="14" t="s">
        <v>93</v>
      </c>
      <c r="G992" s="14" t="s">
        <v>93</v>
      </c>
      <c r="H992" s="14" t="s">
        <v>711</v>
      </c>
      <c r="I992" s="16" t="s">
        <v>712</v>
      </c>
    </row>
    <row r="993" ht="15.75" hidden="1" customHeight="1">
      <c r="A993" s="8">
        <v>46252.0</v>
      </c>
      <c r="B993" s="4" t="s">
        <v>2409</v>
      </c>
      <c r="C993" s="5">
        <f>8563817-C982-C983-C984-C985-C986-C987-C988-C989-C990-C991-C992</f>
        <v>1801802</v>
      </c>
      <c r="D993" s="5">
        <v>0.0</v>
      </c>
      <c r="E993" s="5">
        <f t="shared" si="1"/>
        <v>916688073.9</v>
      </c>
      <c r="F993" s="14" t="s">
        <v>93</v>
      </c>
      <c r="G993" s="14" t="s">
        <v>93</v>
      </c>
      <c r="H993" s="14" t="s">
        <v>711</v>
      </c>
      <c r="I993" s="16" t="s">
        <v>712</v>
      </c>
    </row>
    <row r="994" ht="15.75" hidden="1" customHeight="1">
      <c r="A994" s="8">
        <v>46252.0</v>
      </c>
      <c r="B994" s="4" t="s">
        <v>2439</v>
      </c>
      <c r="C994" s="5">
        <v>1.5868846E7</v>
      </c>
      <c r="D994" s="5">
        <v>0.0</v>
      </c>
      <c r="E994" s="5">
        <f t="shared" si="1"/>
        <v>900819227.9</v>
      </c>
      <c r="F994" s="14" t="s">
        <v>105</v>
      </c>
      <c r="G994" s="14" t="s">
        <v>460</v>
      </c>
      <c r="H994" s="14" t="s">
        <v>981</v>
      </c>
      <c r="I994" s="16"/>
    </row>
    <row r="995" ht="15.75" hidden="1" customHeight="1">
      <c r="A995" s="8">
        <v>46252.0</v>
      </c>
      <c r="B995" s="4" t="s">
        <v>2442</v>
      </c>
      <c r="C995" s="5">
        <v>7179821.0</v>
      </c>
      <c r="D995" s="5">
        <v>0.0</v>
      </c>
      <c r="E995" s="5">
        <f t="shared" si="1"/>
        <v>893639406.9</v>
      </c>
      <c r="F995" s="14" t="s">
        <v>58</v>
      </c>
      <c r="G995" s="14" t="s">
        <v>59</v>
      </c>
      <c r="H995" s="14" t="s">
        <v>722</v>
      </c>
      <c r="I995" s="16"/>
    </row>
    <row r="996" ht="15.75" hidden="1" customHeight="1">
      <c r="A996" s="8">
        <v>46252.0</v>
      </c>
      <c r="B996" s="4" t="s">
        <v>2445</v>
      </c>
      <c r="C996" s="5">
        <v>1.3971636E7</v>
      </c>
      <c r="D996" s="5">
        <v>0.0</v>
      </c>
      <c r="E996" s="5">
        <f t="shared" si="1"/>
        <v>879667770.9</v>
      </c>
      <c r="F996" s="14" t="s">
        <v>24</v>
      </c>
      <c r="G996" s="14" t="s">
        <v>125</v>
      </c>
      <c r="H996" s="14" t="s">
        <v>2207</v>
      </c>
      <c r="I996" s="16"/>
    </row>
    <row r="997" ht="15.75" hidden="1" customHeight="1">
      <c r="A997" s="8">
        <v>46252.0</v>
      </c>
      <c r="B997" s="4" t="s">
        <v>2449</v>
      </c>
      <c r="C997" s="5">
        <v>2500.0</v>
      </c>
      <c r="D997" s="5">
        <v>0.0</v>
      </c>
      <c r="E997" s="5">
        <f t="shared" si="1"/>
        <v>879665270.9</v>
      </c>
      <c r="F997" s="14" t="s">
        <v>43</v>
      </c>
      <c r="G997" s="14" t="s">
        <v>45</v>
      </c>
      <c r="H997" s="14"/>
      <c r="I997" s="16"/>
    </row>
    <row r="998" ht="15.75" hidden="1" customHeight="1">
      <c r="A998" s="8">
        <v>46252.0</v>
      </c>
      <c r="B998" s="4" t="s">
        <v>2450</v>
      </c>
      <c r="C998" s="5">
        <v>1612602.0</v>
      </c>
      <c r="D998" s="5">
        <v>0.0</v>
      </c>
      <c r="E998" s="5">
        <f t="shared" si="1"/>
        <v>878052668.9</v>
      </c>
      <c r="F998" s="14" t="s">
        <v>24</v>
      </c>
      <c r="G998" s="14" t="s">
        <v>125</v>
      </c>
      <c r="H998" s="14" t="s">
        <v>2207</v>
      </c>
      <c r="I998" s="16"/>
    </row>
    <row r="999" ht="15.75" hidden="1" customHeight="1">
      <c r="A999" s="8">
        <v>46252.0</v>
      </c>
      <c r="B999" s="4" t="s">
        <v>2453</v>
      </c>
      <c r="C999" s="5">
        <v>3134571.0</v>
      </c>
      <c r="D999" s="5">
        <v>0.0</v>
      </c>
      <c r="E999" s="5">
        <f t="shared" si="1"/>
        <v>874918097.9</v>
      </c>
      <c r="F999" s="14" t="s">
        <v>58</v>
      </c>
      <c r="G999" s="14" t="s">
        <v>59</v>
      </c>
      <c r="H999" s="14" t="s">
        <v>722</v>
      </c>
      <c r="I999" s="16"/>
    </row>
    <row r="1000" ht="15.75" hidden="1" customHeight="1">
      <c r="A1000" s="8">
        <v>46252.0</v>
      </c>
      <c r="B1000" s="4" t="s">
        <v>2456</v>
      </c>
      <c r="C1000" s="5">
        <v>2500.0</v>
      </c>
      <c r="D1000" s="5">
        <v>0.0</v>
      </c>
      <c r="E1000" s="5">
        <f t="shared" si="1"/>
        <v>874915597.9</v>
      </c>
      <c r="F1000" s="14" t="s">
        <v>43</v>
      </c>
      <c r="G1000" s="14" t="s">
        <v>45</v>
      </c>
      <c r="H1000" s="14"/>
      <c r="I1000" s="16"/>
    </row>
    <row r="1001" ht="15.75" hidden="1" customHeight="1">
      <c r="A1001" s="8">
        <v>46252.0</v>
      </c>
      <c r="B1001" s="4" t="s">
        <v>521</v>
      </c>
      <c r="C1001" s="5">
        <v>2.5E8</v>
      </c>
      <c r="D1001" s="5">
        <v>0.0</v>
      </c>
      <c r="E1001" s="5">
        <f t="shared" si="1"/>
        <v>624915597.9</v>
      </c>
      <c r="F1001" s="14" t="s">
        <v>21</v>
      </c>
      <c r="G1001" s="14" t="s">
        <v>190</v>
      </c>
      <c r="H1001" s="14"/>
      <c r="I1001" s="16"/>
    </row>
    <row r="1002" ht="15.75" hidden="1" customHeight="1">
      <c r="A1002" s="8">
        <v>46252.0</v>
      </c>
      <c r="B1002" s="4" t="s">
        <v>2462</v>
      </c>
      <c r="C1002" s="5">
        <v>2500.0</v>
      </c>
      <c r="D1002" s="5">
        <v>0.0</v>
      </c>
      <c r="E1002" s="5">
        <f t="shared" si="1"/>
        <v>624913097.9</v>
      </c>
      <c r="F1002" s="14" t="s">
        <v>43</v>
      </c>
      <c r="G1002" s="14" t="s">
        <v>45</v>
      </c>
      <c r="H1002" s="14"/>
      <c r="I1002" s="16"/>
    </row>
    <row r="1003" ht="15.75" hidden="1" customHeight="1">
      <c r="A1003" s="8">
        <v>46257.0</v>
      </c>
      <c r="B1003" s="4" t="s">
        <v>2466</v>
      </c>
      <c r="C1003" s="5">
        <v>6617500.0</v>
      </c>
      <c r="D1003" s="5">
        <v>0.0</v>
      </c>
      <c r="E1003" s="5">
        <f t="shared" si="1"/>
        <v>618295597.9</v>
      </c>
      <c r="F1003" s="14" t="s">
        <v>58</v>
      </c>
      <c r="G1003" s="14" t="s">
        <v>59</v>
      </c>
      <c r="H1003" s="14" t="s">
        <v>1250</v>
      </c>
      <c r="I1003" s="16"/>
    </row>
    <row r="1004" ht="15.75" hidden="1" customHeight="1">
      <c r="A1004" s="8">
        <v>46258.0</v>
      </c>
      <c r="B1004" s="4" t="s">
        <v>2469</v>
      </c>
      <c r="C1004" s="5">
        <v>4.5E8</v>
      </c>
      <c r="D1004" s="5">
        <v>0.0</v>
      </c>
      <c r="E1004" s="5">
        <f t="shared" si="1"/>
        <v>168295597.9</v>
      </c>
      <c r="F1004" s="14" t="s">
        <v>21</v>
      </c>
      <c r="G1004" s="14" t="s">
        <v>448</v>
      </c>
      <c r="H1004" s="14" t="s">
        <v>2470</v>
      </c>
      <c r="I1004" s="16" t="s">
        <v>451</v>
      </c>
    </row>
    <row r="1005" ht="15.75" hidden="1" customHeight="1">
      <c r="A1005" s="8">
        <v>46258.0</v>
      </c>
      <c r="B1005" s="4" t="s">
        <v>1818</v>
      </c>
      <c r="C1005" s="5">
        <v>2900.0</v>
      </c>
      <c r="D1005" s="5">
        <v>0.0</v>
      </c>
      <c r="E1005" s="5">
        <f t="shared" si="1"/>
        <v>168292697.9</v>
      </c>
      <c r="F1005" s="14" t="s">
        <v>43</v>
      </c>
      <c r="G1005" s="14" t="s">
        <v>45</v>
      </c>
      <c r="H1005" s="14"/>
      <c r="I1005" s="16"/>
    </row>
    <row r="1006" ht="15.75" hidden="1" customHeight="1">
      <c r="A1006" s="8">
        <v>46258.0</v>
      </c>
      <c r="B1006" s="4" t="s">
        <v>2474</v>
      </c>
      <c r="C1006" s="5">
        <v>1.28E7</v>
      </c>
      <c r="D1006" s="5">
        <v>0.0</v>
      </c>
      <c r="E1006" s="5">
        <f t="shared" si="1"/>
        <v>155492697.9</v>
      </c>
      <c r="F1006" s="14" t="s">
        <v>58</v>
      </c>
      <c r="G1006" s="14" t="s">
        <v>59</v>
      </c>
      <c r="H1006" s="14" t="s">
        <v>1250</v>
      </c>
      <c r="I1006" s="16"/>
    </row>
    <row r="1007" ht="15.75" hidden="1" customHeight="1">
      <c r="A1007" s="8">
        <v>46258.0</v>
      </c>
      <c r="B1007" s="4" t="s">
        <v>2476</v>
      </c>
      <c r="C1007" s="5">
        <v>2500000.0</v>
      </c>
      <c r="D1007" s="5">
        <v>0.0</v>
      </c>
      <c r="E1007" s="5">
        <f t="shared" si="1"/>
        <v>152992697.9</v>
      </c>
      <c r="F1007" s="14" t="s">
        <v>58</v>
      </c>
      <c r="G1007" s="14" t="s">
        <v>59</v>
      </c>
      <c r="H1007" s="14" t="s">
        <v>824</v>
      </c>
      <c r="I1007" s="16"/>
    </row>
    <row r="1008" ht="15.75" hidden="1" customHeight="1">
      <c r="A1008" s="8">
        <v>46258.0</v>
      </c>
      <c r="B1008" s="4" t="s">
        <v>2479</v>
      </c>
      <c r="C1008" s="5">
        <v>2500.0</v>
      </c>
      <c r="D1008" s="5">
        <v>0.0</v>
      </c>
      <c r="E1008" s="5">
        <f t="shared" si="1"/>
        <v>152990197.9</v>
      </c>
      <c r="F1008" s="14" t="s">
        <v>43</v>
      </c>
      <c r="G1008" s="14" t="s">
        <v>45</v>
      </c>
      <c r="H1008" s="14"/>
      <c r="I1008" s="16"/>
    </row>
    <row r="1009" ht="15.75" hidden="1" customHeight="1">
      <c r="A1009" s="8">
        <v>46258.0</v>
      </c>
      <c r="B1009" s="4" t="s">
        <v>2482</v>
      </c>
      <c r="C1009" s="5">
        <v>2206482.0</v>
      </c>
      <c r="D1009" s="5">
        <v>0.0</v>
      </c>
      <c r="E1009" s="5">
        <f t="shared" si="1"/>
        <v>150783715.9</v>
      </c>
      <c r="F1009" s="14" t="s">
        <v>58</v>
      </c>
      <c r="G1009" s="14" t="s">
        <v>59</v>
      </c>
      <c r="H1009" s="14" t="s">
        <v>722</v>
      </c>
      <c r="I1009" s="16"/>
    </row>
    <row r="1010" ht="15.75" hidden="1" customHeight="1">
      <c r="A1010" s="8">
        <v>46258.0</v>
      </c>
      <c r="B1010" s="4" t="s">
        <v>2486</v>
      </c>
      <c r="C1010" s="5">
        <v>2500.0</v>
      </c>
      <c r="D1010" s="5">
        <v>0.0</v>
      </c>
      <c r="E1010" s="5">
        <f t="shared" si="1"/>
        <v>150781215.9</v>
      </c>
      <c r="F1010" s="14" t="s">
        <v>43</v>
      </c>
      <c r="G1010" s="14" t="s">
        <v>45</v>
      </c>
      <c r="H1010" s="14"/>
      <c r="I1010" s="16"/>
    </row>
    <row r="1011" ht="15.75" hidden="1" customHeight="1">
      <c r="A1011" s="8">
        <v>46260.0</v>
      </c>
      <c r="B1011" s="4" t="s">
        <v>1222</v>
      </c>
      <c r="C1011" s="5">
        <v>0.0</v>
      </c>
      <c r="D1011" s="5">
        <v>6.2371285E7</v>
      </c>
      <c r="E1011" s="5">
        <f t="shared" si="1"/>
        <v>213152500.9</v>
      </c>
      <c r="F1011" s="14" t="s">
        <v>21</v>
      </c>
      <c r="G1011" s="14" t="s">
        <v>842</v>
      </c>
      <c r="H1011" s="14"/>
      <c r="I1011" s="16"/>
    </row>
    <row r="1012" ht="15.75" hidden="1" customHeight="1">
      <c r="A1012" s="8">
        <v>46261.0</v>
      </c>
      <c r="B1012" s="4" t="s">
        <v>2491</v>
      </c>
      <c r="C1012" s="5">
        <v>2500.0</v>
      </c>
      <c r="D1012" s="5">
        <v>0.0</v>
      </c>
      <c r="E1012" s="5">
        <f t="shared" si="1"/>
        <v>213150000.9</v>
      </c>
      <c r="F1012" s="14" t="s">
        <v>43</v>
      </c>
      <c r="G1012" s="14" t="s">
        <v>45</v>
      </c>
      <c r="H1012" s="14"/>
      <c r="I1012" s="16"/>
    </row>
    <row r="1013" ht="15.75" hidden="1" customHeight="1">
      <c r="A1013" s="8">
        <v>46261.0</v>
      </c>
      <c r="B1013" s="4" t="s">
        <v>2495</v>
      </c>
      <c r="C1013" s="5">
        <v>2.1215E8</v>
      </c>
      <c r="D1013" s="5">
        <v>0.0</v>
      </c>
      <c r="E1013" s="5">
        <f t="shared" si="1"/>
        <v>1000000.91</v>
      </c>
      <c r="F1013" s="14" t="s">
        <v>105</v>
      </c>
      <c r="G1013" s="14" t="s">
        <v>193</v>
      </c>
      <c r="H1013" s="14" t="s">
        <v>981</v>
      </c>
      <c r="I1013" s="16"/>
    </row>
    <row r="1014" ht="15.75" hidden="1" customHeight="1">
      <c r="A1014" s="8">
        <v>46265.0</v>
      </c>
      <c r="B1014" s="4" t="s">
        <v>2496</v>
      </c>
      <c r="C1014" s="5">
        <v>0.0</v>
      </c>
      <c r="D1014" s="5">
        <v>2.68381227E8</v>
      </c>
      <c r="E1014" s="5">
        <f t="shared" si="1"/>
        <v>269381227.9</v>
      </c>
      <c r="F1014" s="14" t="s">
        <v>75</v>
      </c>
      <c r="G1014" s="14" t="s">
        <v>76</v>
      </c>
      <c r="H1014" s="14" t="s">
        <v>458</v>
      </c>
      <c r="I1014" s="16" t="s">
        <v>2499</v>
      </c>
    </row>
    <row r="1015" ht="15.75" hidden="1" customHeight="1">
      <c r="A1015" s="8">
        <v>46265.0</v>
      </c>
      <c r="B1015" s="4" t="s">
        <v>2500</v>
      </c>
      <c r="C1015" s="5">
        <v>8.7E7</v>
      </c>
      <c r="D1015" s="5">
        <v>0.0</v>
      </c>
      <c r="E1015" s="5">
        <f t="shared" si="1"/>
        <v>182381227.9</v>
      </c>
      <c r="F1015" s="14" t="s">
        <v>105</v>
      </c>
      <c r="G1015" s="14" t="s">
        <v>193</v>
      </c>
      <c r="H1015" s="14" t="s">
        <v>993</v>
      </c>
      <c r="I1015" s="16"/>
    </row>
    <row r="1016" ht="15.75" hidden="1" customHeight="1">
      <c r="A1016" s="8">
        <v>46265.0</v>
      </c>
      <c r="B1016" s="4" t="s">
        <v>2501</v>
      </c>
      <c r="C1016" s="5">
        <v>2500.0</v>
      </c>
      <c r="D1016" s="5">
        <v>0.0</v>
      </c>
      <c r="E1016" s="5">
        <f t="shared" si="1"/>
        <v>182378727.9</v>
      </c>
      <c r="F1016" s="14" t="s">
        <v>43</v>
      </c>
      <c r="G1016" s="14" t="s">
        <v>45</v>
      </c>
      <c r="H1016" s="14"/>
      <c r="I1016" s="16"/>
    </row>
    <row r="1017" ht="15.75" hidden="1" customHeight="1">
      <c r="A1017" s="8">
        <v>46265.0</v>
      </c>
      <c r="B1017" s="4" t="s">
        <v>562</v>
      </c>
      <c r="C1017" s="5">
        <v>25000.0</v>
      </c>
      <c r="D1017" s="5">
        <v>0.0</v>
      </c>
      <c r="E1017" s="5">
        <f t="shared" si="1"/>
        <v>182353727.9</v>
      </c>
      <c r="F1017" s="14" t="s">
        <v>43</v>
      </c>
      <c r="G1017" s="14" t="s">
        <v>45</v>
      </c>
      <c r="H1017" s="14"/>
      <c r="I1017" s="16"/>
    </row>
    <row r="1018" ht="15.75" hidden="1" customHeight="1">
      <c r="A1018" s="8">
        <v>46265.0</v>
      </c>
      <c r="B1018" s="4" t="s">
        <v>626</v>
      </c>
      <c r="C1018" s="5">
        <v>0.0</v>
      </c>
      <c r="D1018" s="5">
        <v>69630.63</v>
      </c>
      <c r="E1018" s="5">
        <f t="shared" si="1"/>
        <v>182423358.5</v>
      </c>
      <c r="F1018" s="14" t="s">
        <v>63</v>
      </c>
      <c r="G1018" s="14" t="s">
        <v>65</v>
      </c>
      <c r="H1018" s="14"/>
      <c r="I1018" s="16"/>
    </row>
    <row r="1019" ht="15.75" hidden="1" customHeight="1">
      <c r="A1019" s="8">
        <v>46265.0</v>
      </c>
      <c r="B1019" s="4" t="s">
        <v>1199</v>
      </c>
      <c r="C1019" s="5">
        <v>13926.13</v>
      </c>
      <c r="D1019" s="5">
        <v>0.0</v>
      </c>
      <c r="E1019" s="5">
        <f t="shared" si="1"/>
        <v>182409432.4</v>
      </c>
      <c r="F1019" s="14" t="s">
        <v>63</v>
      </c>
      <c r="G1019" s="14" t="s">
        <v>65</v>
      </c>
      <c r="H1019" s="14"/>
      <c r="I1019" s="16"/>
    </row>
    <row r="1020" ht="15.75" hidden="1" customHeight="1">
      <c r="A1020" s="8">
        <v>46266.0</v>
      </c>
      <c r="B1020" s="4" t="s">
        <v>1670</v>
      </c>
      <c r="C1020" s="5">
        <v>0.0</v>
      </c>
      <c r="D1020" s="5">
        <v>8000000.0</v>
      </c>
      <c r="E1020" s="5">
        <f t="shared" si="1"/>
        <v>190409432.4</v>
      </c>
      <c r="F1020" s="14" t="s">
        <v>93</v>
      </c>
      <c r="G1020" s="14" t="s">
        <v>93</v>
      </c>
      <c r="H1020" s="14" t="s">
        <v>21</v>
      </c>
      <c r="I1020" s="16"/>
    </row>
    <row r="1021" ht="15.75" hidden="1" customHeight="1">
      <c r="A1021" s="8">
        <v>46266.0</v>
      </c>
      <c r="B1021" s="4" t="s">
        <v>1670</v>
      </c>
      <c r="C1021" s="5">
        <v>0.0</v>
      </c>
      <c r="D1021" s="5">
        <v>7550000.0</v>
      </c>
      <c r="E1021" s="5">
        <f t="shared" si="1"/>
        <v>197959432.4</v>
      </c>
      <c r="F1021" s="14" t="s">
        <v>93</v>
      </c>
      <c r="G1021" s="14" t="s">
        <v>93</v>
      </c>
      <c r="H1021" s="14" t="s">
        <v>21</v>
      </c>
      <c r="I1021" s="16"/>
    </row>
    <row r="1022" ht="15.75" hidden="1" customHeight="1">
      <c r="A1022" s="8">
        <v>46266.0</v>
      </c>
      <c r="B1022" s="4" t="s">
        <v>1670</v>
      </c>
      <c r="C1022" s="5">
        <v>0.0</v>
      </c>
      <c r="D1022" s="5">
        <v>5705000.0</v>
      </c>
      <c r="E1022" s="5">
        <f t="shared" si="1"/>
        <v>203664432.4</v>
      </c>
      <c r="F1022" s="14" t="s">
        <v>93</v>
      </c>
      <c r="G1022" s="14" t="s">
        <v>93</v>
      </c>
      <c r="H1022" s="14" t="s">
        <v>21</v>
      </c>
      <c r="I1022" s="16"/>
    </row>
    <row r="1023" ht="15.75" hidden="1" customHeight="1">
      <c r="A1023" s="8">
        <v>46266.0</v>
      </c>
      <c r="B1023" s="4" t="s">
        <v>1670</v>
      </c>
      <c r="C1023" s="5">
        <v>0.0</v>
      </c>
      <c r="D1023" s="5">
        <v>8.14E7</v>
      </c>
      <c r="E1023" s="5">
        <f t="shared" si="1"/>
        <v>285064432.4</v>
      </c>
      <c r="F1023" s="14" t="s">
        <v>93</v>
      </c>
      <c r="G1023" s="14" t="s">
        <v>93</v>
      </c>
      <c r="H1023" s="14" t="s">
        <v>21</v>
      </c>
      <c r="I1023" s="16"/>
    </row>
    <row r="1024" ht="15.75" hidden="1" customHeight="1">
      <c r="A1024" s="8">
        <v>46266.0</v>
      </c>
      <c r="B1024" s="4" t="s">
        <v>2524</v>
      </c>
      <c r="C1024" s="5">
        <v>2.0E8</v>
      </c>
      <c r="D1024" s="5">
        <v>0.0</v>
      </c>
      <c r="E1024" s="5">
        <f t="shared" si="1"/>
        <v>85064432.41</v>
      </c>
      <c r="F1024" s="14" t="s">
        <v>24</v>
      </c>
      <c r="G1024" s="14" t="s">
        <v>669</v>
      </c>
      <c r="H1024" s="14" t="s">
        <v>2527</v>
      </c>
      <c r="I1024" s="16" t="s">
        <v>451</v>
      </c>
    </row>
    <row r="1025" ht="15.75" hidden="1" customHeight="1">
      <c r="A1025" s="8">
        <v>46266.0</v>
      </c>
      <c r="B1025" s="4" t="s">
        <v>2528</v>
      </c>
      <c r="C1025" s="5">
        <v>2500.0</v>
      </c>
      <c r="D1025" s="5">
        <v>0.0</v>
      </c>
      <c r="E1025" s="5">
        <f t="shared" si="1"/>
        <v>85061932.41</v>
      </c>
      <c r="F1025" s="14" t="s">
        <v>43</v>
      </c>
      <c r="G1025" s="14" t="s">
        <v>45</v>
      </c>
      <c r="H1025" s="14"/>
      <c r="I1025" s="16"/>
    </row>
    <row r="1026" ht="15.75" hidden="1" customHeight="1">
      <c r="A1026" s="8">
        <v>46266.0</v>
      </c>
      <c r="B1026" s="4" t="s">
        <v>800</v>
      </c>
      <c r="C1026" s="5">
        <v>1.0E7</v>
      </c>
      <c r="D1026" s="5">
        <v>0.0</v>
      </c>
      <c r="E1026" s="5">
        <f t="shared" si="1"/>
        <v>75061932.41</v>
      </c>
      <c r="F1026" s="14" t="s">
        <v>21</v>
      </c>
      <c r="G1026" s="14" t="s">
        <v>190</v>
      </c>
      <c r="H1026" s="14"/>
      <c r="I1026" s="16"/>
    </row>
    <row r="1027" ht="15.75" hidden="1" customHeight="1">
      <c r="A1027" s="8">
        <v>46266.0</v>
      </c>
      <c r="B1027" s="4" t="s">
        <v>2532</v>
      </c>
      <c r="C1027" s="5">
        <v>2500.0</v>
      </c>
      <c r="D1027" s="5">
        <v>0.0</v>
      </c>
      <c r="E1027" s="5">
        <f t="shared" si="1"/>
        <v>75059432.41</v>
      </c>
      <c r="F1027" s="14" t="s">
        <v>43</v>
      </c>
      <c r="G1027" s="14" t="s">
        <v>45</v>
      </c>
      <c r="H1027" s="14"/>
      <c r="I1027" s="16"/>
    </row>
    <row r="1028" ht="15.75" hidden="1" customHeight="1">
      <c r="A1028" s="8">
        <v>46267.0</v>
      </c>
      <c r="B1028" s="4" t="s">
        <v>2534</v>
      </c>
      <c r="C1028" s="5">
        <v>0.0</v>
      </c>
      <c r="D1028" s="5">
        <v>2.5E8</v>
      </c>
      <c r="E1028" s="5">
        <f t="shared" si="1"/>
        <v>325059432.4</v>
      </c>
      <c r="F1028" s="14" t="s">
        <v>21</v>
      </c>
      <c r="G1028" s="14" t="s">
        <v>1411</v>
      </c>
      <c r="H1028" s="14"/>
      <c r="I1028" s="16"/>
    </row>
    <row r="1029" ht="15.75" hidden="1" customHeight="1">
      <c r="A1029" s="8">
        <v>46268.0</v>
      </c>
      <c r="B1029" s="4" t="s">
        <v>2536</v>
      </c>
      <c r="C1029" s="5">
        <v>2.61849E7</v>
      </c>
      <c r="D1029" s="5">
        <v>0.0</v>
      </c>
      <c r="E1029" s="5">
        <f t="shared" si="1"/>
        <v>298874532.4</v>
      </c>
      <c r="F1029" s="14" t="s">
        <v>24</v>
      </c>
      <c r="G1029" s="14" t="s">
        <v>125</v>
      </c>
      <c r="H1029" s="14" t="s">
        <v>946</v>
      </c>
      <c r="I1029" s="16"/>
    </row>
    <row r="1030" ht="15.75" hidden="1" customHeight="1">
      <c r="A1030" s="8">
        <v>46268.0</v>
      </c>
      <c r="B1030" s="4" t="s">
        <v>2540</v>
      </c>
      <c r="C1030" s="5">
        <v>2500.0</v>
      </c>
      <c r="D1030" s="5">
        <v>0.0</v>
      </c>
      <c r="E1030" s="5">
        <f t="shared" si="1"/>
        <v>298872032.4</v>
      </c>
      <c r="F1030" s="14" t="s">
        <v>43</v>
      </c>
      <c r="G1030" s="14" t="s">
        <v>45</v>
      </c>
      <c r="H1030" s="14"/>
      <c r="I1030" s="16"/>
    </row>
    <row r="1031" ht="15.75" hidden="1" customHeight="1">
      <c r="A1031" s="8">
        <v>46268.0</v>
      </c>
      <c r="B1031" s="4" t="s">
        <v>2543</v>
      </c>
      <c r="C1031" s="5">
        <v>9428854.0</v>
      </c>
      <c r="D1031" s="5">
        <v>0.0</v>
      </c>
      <c r="E1031" s="5">
        <f t="shared" si="1"/>
        <v>289443178.4</v>
      </c>
      <c r="F1031" s="14" t="s">
        <v>21</v>
      </c>
      <c r="G1031" s="14" t="s">
        <v>448</v>
      </c>
      <c r="H1031" s="14" t="s">
        <v>70</v>
      </c>
      <c r="I1031" s="16"/>
    </row>
    <row r="1032" ht="15.75" hidden="1" customHeight="1">
      <c r="A1032" s="8">
        <v>46268.0</v>
      </c>
      <c r="B1032" s="4" t="s">
        <v>2545</v>
      </c>
      <c r="C1032" s="5">
        <v>2500.0</v>
      </c>
      <c r="D1032" s="5">
        <v>0.0</v>
      </c>
      <c r="E1032" s="5">
        <f t="shared" si="1"/>
        <v>289440678.4</v>
      </c>
      <c r="F1032" s="14" t="s">
        <v>43</v>
      </c>
      <c r="G1032" s="14" t="s">
        <v>45</v>
      </c>
      <c r="H1032" s="14"/>
      <c r="I1032" s="16"/>
    </row>
    <row r="1033" ht="15.75" hidden="1" customHeight="1">
      <c r="A1033" s="8">
        <v>46268.0</v>
      </c>
      <c r="B1033" s="4" t="s">
        <v>2547</v>
      </c>
      <c r="C1033" s="5">
        <v>5.1994536E7</v>
      </c>
      <c r="D1033" s="5">
        <v>0.0</v>
      </c>
      <c r="E1033" s="5">
        <f t="shared" si="1"/>
        <v>237446142.4</v>
      </c>
      <c r="F1033" s="14" t="s">
        <v>21</v>
      </c>
      <c r="G1033" s="14" t="s">
        <v>448</v>
      </c>
      <c r="H1033" s="14" t="s">
        <v>55</v>
      </c>
      <c r="I1033" s="16"/>
    </row>
    <row r="1034" ht="15.75" hidden="1" customHeight="1">
      <c r="A1034" s="8">
        <v>46268.0</v>
      </c>
      <c r="B1034" s="4" t="s">
        <v>2549</v>
      </c>
      <c r="C1034" s="5">
        <v>2500.0</v>
      </c>
      <c r="D1034" s="5">
        <v>0.0</v>
      </c>
      <c r="E1034" s="5">
        <f t="shared" si="1"/>
        <v>237443642.4</v>
      </c>
      <c r="F1034" s="14" t="s">
        <v>43</v>
      </c>
      <c r="G1034" s="14" t="s">
        <v>45</v>
      </c>
      <c r="H1034" s="14"/>
      <c r="I1034" s="16"/>
    </row>
    <row r="1035" ht="15.75" hidden="1" customHeight="1">
      <c r="A1035" s="8">
        <v>46268.0</v>
      </c>
      <c r="B1035" s="4" t="s">
        <v>2551</v>
      </c>
      <c r="C1035" s="5">
        <v>1.97186251E8</v>
      </c>
      <c r="D1035" s="5">
        <v>0.0</v>
      </c>
      <c r="E1035" s="5">
        <f t="shared" si="1"/>
        <v>40257391.41</v>
      </c>
      <c r="F1035" s="14" t="s">
        <v>21</v>
      </c>
      <c r="G1035" s="14" t="s">
        <v>448</v>
      </c>
      <c r="H1035" s="14" t="s">
        <v>38</v>
      </c>
      <c r="I1035" s="16"/>
    </row>
    <row r="1036" ht="15.75" hidden="1" customHeight="1">
      <c r="A1036" s="8">
        <v>46268.0</v>
      </c>
      <c r="B1036" s="4" t="s">
        <v>2554</v>
      </c>
      <c r="C1036" s="5">
        <v>2500.0</v>
      </c>
      <c r="D1036" s="5">
        <v>0.0</v>
      </c>
      <c r="E1036" s="5">
        <f t="shared" si="1"/>
        <v>40254891.41</v>
      </c>
      <c r="F1036" s="14" t="s">
        <v>43</v>
      </c>
      <c r="G1036" s="14" t="s">
        <v>45</v>
      </c>
      <c r="H1036" s="14"/>
      <c r="I1036" s="16"/>
    </row>
    <row r="1037" ht="15.75" customHeight="1">
      <c r="A1037" s="8">
        <v>46268.0</v>
      </c>
      <c r="B1037" s="4" t="s">
        <v>2557</v>
      </c>
      <c r="C1037" s="5">
        <v>0.0</v>
      </c>
      <c r="D1037" s="5">
        <v>1.5012001E7</v>
      </c>
      <c r="E1037" s="5">
        <f t="shared" si="1"/>
        <v>55266892.41</v>
      </c>
      <c r="F1037" s="14" t="s">
        <v>21</v>
      </c>
      <c r="G1037" s="14" t="s">
        <v>876</v>
      </c>
      <c r="H1037" s="14" t="s">
        <v>2470</v>
      </c>
      <c r="I1037" s="16" t="s">
        <v>451</v>
      </c>
    </row>
    <row r="1038" ht="15.75" hidden="1" customHeight="1">
      <c r="A1038" s="8">
        <v>46269.0</v>
      </c>
      <c r="B1038" s="4" t="s">
        <v>1444</v>
      </c>
      <c r="C1038" s="5">
        <v>3200000.0</v>
      </c>
      <c r="D1038" s="5">
        <v>0.0</v>
      </c>
      <c r="E1038" s="5">
        <f t="shared" si="1"/>
        <v>52066892.41</v>
      </c>
      <c r="F1038" s="14" t="s">
        <v>21</v>
      </c>
      <c r="G1038" s="14" t="s">
        <v>190</v>
      </c>
      <c r="H1038" s="14"/>
      <c r="I1038" s="16"/>
    </row>
    <row r="1039" ht="15.75" hidden="1" customHeight="1">
      <c r="A1039" s="8">
        <v>46269.0</v>
      </c>
      <c r="B1039" s="4" t="s">
        <v>2561</v>
      </c>
      <c r="C1039" s="5">
        <v>2500.0</v>
      </c>
      <c r="D1039" s="5">
        <v>0.0</v>
      </c>
      <c r="E1039" s="5">
        <f t="shared" si="1"/>
        <v>52064392.41</v>
      </c>
      <c r="F1039" s="14" t="s">
        <v>43</v>
      </c>
      <c r="G1039" s="14" t="s">
        <v>45</v>
      </c>
      <c r="H1039" s="14"/>
      <c r="I1039" s="16"/>
    </row>
    <row r="1040" ht="15.75" hidden="1" customHeight="1">
      <c r="A1040" s="8">
        <v>46269.0</v>
      </c>
      <c r="B1040" s="4" t="s">
        <v>2565</v>
      </c>
      <c r="C1040" s="5">
        <v>1231875.0</v>
      </c>
      <c r="D1040" s="5">
        <v>0.0</v>
      </c>
      <c r="E1040" s="5">
        <f t="shared" si="1"/>
        <v>50832517.41</v>
      </c>
      <c r="F1040" s="14" t="s">
        <v>1471</v>
      </c>
      <c r="G1040" s="14" t="s">
        <v>1579</v>
      </c>
      <c r="H1040" s="14"/>
      <c r="I1040" s="16"/>
    </row>
    <row r="1041" ht="15.75" hidden="1" customHeight="1">
      <c r="A1041" s="8">
        <v>46271.0</v>
      </c>
      <c r="B1041" s="4" t="s">
        <v>1670</v>
      </c>
      <c r="C1041" s="5">
        <v>0.0</v>
      </c>
      <c r="D1041" s="5">
        <v>1.0E7</v>
      </c>
      <c r="E1041" s="5">
        <f t="shared" si="1"/>
        <v>60832517.41</v>
      </c>
      <c r="F1041" s="14" t="s">
        <v>21</v>
      </c>
      <c r="G1041" s="14" t="s">
        <v>2569</v>
      </c>
      <c r="H1041" s="14"/>
      <c r="I1041" s="16"/>
    </row>
    <row r="1042" ht="15.75" hidden="1" customHeight="1">
      <c r="A1042" s="8">
        <v>46271.0</v>
      </c>
      <c r="B1042" s="4" t="s">
        <v>2571</v>
      </c>
      <c r="C1042" s="5">
        <v>50000.0</v>
      </c>
      <c r="D1042" s="5">
        <v>0.0</v>
      </c>
      <c r="E1042" s="5">
        <f t="shared" si="1"/>
        <v>60782517.41</v>
      </c>
      <c r="F1042" s="14" t="s">
        <v>18</v>
      </c>
      <c r="G1042" s="14" t="s">
        <v>19</v>
      </c>
      <c r="H1042" s="14" t="s">
        <v>20</v>
      </c>
      <c r="I1042" s="16"/>
    </row>
    <row r="1043" ht="15.75" hidden="1" customHeight="1">
      <c r="A1043" s="8">
        <v>46271.0</v>
      </c>
      <c r="B1043" s="4" t="s">
        <v>2573</v>
      </c>
      <c r="C1043" s="5">
        <v>5.0E7</v>
      </c>
      <c r="D1043" s="5">
        <v>0.0</v>
      </c>
      <c r="E1043" s="5">
        <f t="shared" si="1"/>
        <v>10782517.41</v>
      </c>
      <c r="F1043" s="14" t="s">
        <v>18</v>
      </c>
      <c r="G1043" s="14" t="s">
        <v>19</v>
      </c>
      <c r="H1043" s="14" t="s">
        <v>20</v>
      </c>
      <c r="I1043" s="16"/>
    </row>
    <row r="1044" ht="15.75" hidden="1" customHeight="1">
      <c r="A1044" s="8">
        <v>46271.0</v>
      </c>
      <c r="B1044" s="4" t="s">
        <v>2576</v>
      </c>
      <c r="C1044" s="5">
        <v>2500.0</v>
      </c>
      <c r="D1044" s="5">
        <v>0.0</v>
      </c>
      <c r="E1044" s="5">
        <f t="shared" si="1"/>
        <v>10780017.41</v>
      </c>
      <c r="F1044" s="14" t="s">
        <v>43</v>
      </c>
      <c r="G1044" s="14" t="s">
        <v>45</v>
      </c>
      <c r="H1044" s="14"/>
      <c r="I1044" s="16"/>
    </row>
    <row r="1045" ht="15.75" hidden="1" customHeight="1">
      <c r="A1045" s="8">
        <v>46271.0</v>
      </c>
      <c r="B1045" s="4" t="s">
        <v>2579</v>
      </c>
      <c r="C1045" s="5">
        <v>2900.0</v>
      </c>
      <c r="D1045" s="5">
        <v>0.0</v>
      </c>
      <c r="E1045" s="5">
        <f t="shared" si="1"/>
        <v>10777117.41</v>
      </c>
      <c r="F1045" s="14" t="s">
        <v>18</v>
      </c>
      <c r="G1045" s="14" t="s">
        <v>19</v>
      </c>
      <c r="H1045" s="14" t="s">
        <v>20</v>
      </c>
      <c r="I1045" s="16"/>
    </row>
    <row r="1046" ht="15.75" hidden="1" customHeight="1">
      <c r="A1046" s="8">
        <v>46271.0</v>
      </c>
      <c r="B1046" s="4" t="s">
        <v>2582</v>
      </c>
      <c r="C1046" s="5">
        <v>5000000.0</v>
      </c>
      <c r="D1046" s="5">
        <v>0.0</v>
      </c>
      <c r="E1046" s="5">
        <f t="shared" si="1"/>
        <v>5777117.41</v>
      </c>
      <c r="F1046" s="14" t="s">
        <v>18</v>
      </c>
      <c r="G1046" s="14" t="s">
        <v>19</v>
      </c>
      <c r="H1046" s="14" t="s">
        <v>20</v>
      </c>
      <c r="I1046" s="16"/>
    </row>
    <row r="1047" ht="15.75" hidden="1" customHeight="1">
      <c r="A1047" s="8">
        <v>46271.0</v>
      </c>
      <c r="B1047" s="4" t="s">
        <v>2585</v>
      </c>
      <c r="C1047" s="5">
        <v>2500.0</v>
      </c>
      <c r="D1047" s="5">
        <v>0.0</v>
      </c>
      <c r="E1047" s="5">
        <f t="shared" si="1"/>
        <v>5774617.41</v>
      </c>
      <c r="F1047" s="14" t="s">
        <v>43</v>
      </c>
      <c r="G1047" s="14" t="s">
        <v>45</v>
      </c>
      <c r="H1047" s="14"/>
      <c r="I1047" s="16"/>
    </row>
    <row r="1048" ht="15.75" hidden="1" customHeight="1">
      <c r="A1048" s="8">
        <v>46271.0</v>
      </c>
      <c r="B1048" s="4" t="s">
        <v>2588</v>
      </c>
      <c r="C1048" s="5">
        <v>2900.0</v>
      </c>
      <c r="D1048" s="5">
        <v>0.0</v>
      </c>
      <c r="E1048" s="5">
        <f t="shared" si="1"/>
        <v>5771717.41</v>
      </c>
      <c r="F1048" s="14" t="s">
        <v>18</v>
      </c>
      <c r="G1048" s="14" t="s">
        <v>19</v>
      </c>
      <c r="H1048" s="14" t="s">
        <v>20</v>
      </c>
      <c r="I1048" s="16"/>
    </row>
    <row r="1049" ht="15.75" hidden="1" customHeight="1">
      <c r="A1049" s="8">
        <v>46271.0</v>
      </c>
      <c r="B1049" s="4" t="s">
        <v>2591</v>
      </c>
      <c r="C1049" s="5">
        <v>315000.0</v>
      </c>
      <c r="D1049" s="5">
        <v>0.0</v>
      </c>
      <c r="E1049" s="5">
        <f t="shared" si="1"/>
        <v>5456717.41</v>
      </c>
      <c r="F1049" s="14" t="s">
        <v>18</v>
      </c>
      <c r="G1049" s="14" t="s">
        <v>19</v>
      </c>
      <c r="H1049" s="14" t="s">
        <v>20</v>
      </c>
      <c r="I1049" s="16"/>
    </row>
    <row r="1050" ht="15.75" hidden="1" customHeight="1">
      <c r="A1050" s="8">
        <v>46271.0</v>
      </c>
      <c r="B1050" s="4" t="s">
        <v>2595</v>
      </c>
      <c r="C1050" s="5">
        <v>2500.0</v>
      </c>
      <c r="D1050" s="5">
        <v>0.0</v>
      </c>
      <c r="E1050" s="5">
        <f t="shared" si="1"/>
        <v>5454217.41</v>
      </c>
      <c r="F1050" s="14" t="s">
        <v>43</v>
      </c>
      <c r="G1050" s="14" t="s">
        <v>45</v>
      </c>
      <c r="H1050" s="14"/>
      <c r="I1050" s="16"/>
    </row>
    <row r="1051" ht="15.75" hidden="1" customHeight="1">
      <c r="A1051" s="8">
        <v>46273.0</v>
      </c>
      <c r="B1051" s="4" t="s">
        <v>2598</v>
      </c>
      <c r="C1051" s="5">
        <v>0.0</v>
      </c>
      <c r="D1051" s="5">
        <v>2.461875E8</v>
      </c>
      <c r="E1051" s="5">
        <f t="shared" si="1"/>
        <v>251641717.4</v>
      </c>
      <c r="F1051" s="14" t="s">
        <v>18</v>
      </c>
      <c r="G1051" s="14" t="s">
        <v>814</v>
      </c>
      <c r="H1051" s="14" t="s">
        <v>1012</v>
      </c>
      <c r="I1051" s="16"/>
    </row>
    <row r="1052" ht="15.75" hidden="1" customHeight="1">
      <c r="A1052" s="8">
        <v>46273.0</v>
      </c>
      <c r="B1052" s="4" t="s">
        <v>2524</v>
      </c>
      <c r="C1052" s="5">
        <v>2.5E8</v>
      </c>
      <c r="D1052" s="5">
        <v>0.0</v>
      </c>
      <c r="E1052" s="5">
        <f t="shared" si="1"/>
        <v>1641717.41</v>
      </c>
      <c r="F1052" s="14" t="s">
        <v>24</v>
      </c>
      <c r="G1052" s="14" t="s">
        <v>669</v>
      </c>
      <c r="H1052" s="14" t="s">
        <v>2527</v>
      </c>
      <c r="I1052" s="16" t="s">
        <v>451</v>
      </c>
    </row>
    <row r="1053" ht="15.75" hidden="1" customHeight="1">
      <c r="A1053" s="8">
        <v>46273.0</v>
      </c>
      <c r="B1053" s="4" t="s">
        <v>2603</v>
      </c>
      <c r="C1053" s="5">
        <v>2500.0</v>
      </c>
      <c r="D1053" s="5">
        <v>0.0</v>
      </c>
      <c r="E1053" s="5">
        <f t="shared" si="1"/>
        <v>1639217.41</v>
      </c>
      <c r="F1053" s="14" t="s">
        <v>43</v>
      </c>
      <c r="G1053" s="14" t="s">
        <v>45</v>
      </c>
      <c r="H1053" s="14"/>
      <c r="I1053" s="16"/>
    </row>
    <row r="1054" ht="15.75" hidden="1" customHeight="1">
      <c r="A1054" s="8">
        <v>46275.0</v>
      </c>
      <c r="B1054" s="4" t="s">
        <v>2606</v>
      </c>
      <c r="C1054" s="5">
        <v>0.0</v>
      </c>
      <c r="D1054" s="5">
        <v>2.4760725E8</v>
      </c>
      <c r="E1054" s="5">
        <f t="shared" si="1"/>
        <v>249246467.4</v>
      </c>
      <c r="F1054" s="14" t="s">
        <v>75</v>
      </c>
      <c r="G1054" s="14" t="s">
        <v>76</v>
      </c>
      <c r="H1054" s="14" t="s">
        <v>1250</v>
      </c>
      <c r="I1054" s="16" t="s">
        <v>2608</v>
      </c>
    </row>
    <row r="1055" ht="15.75" hidden="1" customHeight="1">
      <c r="A1055" s="8">
        <v>46275.0</v>
      </c>
      <c r="B1055" s="4" t="s">
        <v>2609</v>
      </c>
      <c r="C1055" s="5">
        <v>2161791.0</v>
      </c>
      <c r="D1055" s="5">
        <v>0.0</v>
      </c>
      <c r="E1055" s="5">
        <f t="shared" si="1"/>
        <v>247084676.4</v>
      </c>
      <c r="F1055" s="14" t="s">
        <v>58</v>
      </c>
      <c r="G1055" s="14" t="s">
        <v>59</v>
      </c>
      <c r="H1055" s="14" t="s">
        <v>722</v>
      </c>
      <c r="I1055" s="16"/>
    </row>
    <row r="1056" ht="15.75" hidden="1" customHeight="1">
      <c r="A1056" s="8">
        <v>46275.0</v>
      </c>
      <c r="B1056" s="4" t="s">
        <v>2611</v>
      </c>
      <c r="C1056" s="5">
        <v>2.56669E7</v>
      </c>
      <c r="D1056" s="5">
        <v>0.0</v>
      </c>
      <c r="E1056" s="5">
        <f t="shared" si="1"/>
        <v>221417776.4</v>
      </c>
      <c r="F1056" s="14" t="s">
        <v>24</v>
      </c>
      <c r="G1056" s="14" t="s">
        <v>125</v>
      </c>
      <c r="H1056" s="14" t="s">
        <v>946</v>
      </c>
      <c r="I1056" s="16"/>
    </row>
    <row r="1057" ht="15.75" hidden="1" customHeight="1">
      <c r="A1057" s="8">
        <v>46275.0</v>
      </c>
      <c r="B1057" s="4" t="s">
        <v>2614</v>
      </c>
      <c r="C1057" s="5">
        <v>2500.0</v>
      </c>
      <c r="D1057" s="5">
        <v>0.0</v>
      </c>
      <c r="E1057" s="5">
        <f t="shared" si="1"/>
        <v>221415276.4</v>
      </c>
      <c r="F1057" s="14" t="s">
        <v>43</v>
      </c>
      <c r="G1057" s="14" t="s">
        <v>45</v>
      </c>
      <c r="H1057" s="14"/>
      <c r="I1057" s="16"/>
    </row>
    <row r="1058" ht="15.75" hidden="1" customHeight="1">
      <c r="A1058" s="8">
        <v>46275.0</v>
      </c>
      <c r="B1058" s="4" t="s">
        <v>2617</v>
      </c>
      <c r="C1058" s="5">
        <v>3.8696776E7</v>
      </c>
      <c r="D1058" s="5">
        <v>0.0</v>
      </c>
      <c r="E1058" s="5">
        <f t="shared" si="1"/>
        <v>182718500.4</v>
      </c>
      <c r="F1058" s="14" t="s">
        <v>24</v>
      </c>
      <c r="G1058" s="14" t="s">
        <v>125</v>
      </c>
      <c r="H1058" s="14" t="s">
        <v>946</v>
      </c>
      <c r="I1058" s="16"/>
    </row>
    <row r="1059" ht="15.75" hidden="1" customHeight="1">
      <c r="A1059" s="8">
        <v>46275.0</v>
      </c>
      <c r="B1059" s="4" t="s">
        <v>2621</v>
      </c>
      <c r="C1059" s="5">
        <v>1.30812E7</v>
      </c>
      <c r="D1059" s="5">
        <v>0.0</v>
      </c>
      <c r="E1059" s="5">
        <f t="shared" si="1"/>
        <v>169637300.4</v>
      </c>
      <c r="F1059" s="14" t="s">
        <v>58</v>
      </c>
      <c r="G1059" s="14" t="s">
        <v>59</v>
      </c>
      <c r="H1059" s="14" t="s">
        <v>592</v>
      </c>
      <c r="I1059" s="16"/>
    </row>
    <row r="1060" ht="15.75" hidden="1" customHeight="1">
      <c r="A1060" s="8">
        <v>46275.0</v>
      </c>
      <c r="B1060" s="4" t="s">
        <v>2624</v>
      </c>
      <c r="C1060" s="5">
        <v>2500.0</v>
      </c>
      <c r="D1060" s="5">
        <v>0.0</v>
      </c>
      <c r="E1060" s="5">
        <f t="shared" si="1"/>
        <v>169634800.4</v>
      </c>
      <c r="F1060" s="14" t="s">
        <v>43</v>
      </c>
      <c r="G1060" s="14" t="s">
        <v>45</v>
      </c>
      <c r="H1060" s="14"/>
      <c r="I1060" s="16"/>
    </row>
    <row r="1061" ht="15.75" hidden="1" customHeight="1">
      <c r="A1061" s="8">
        <v>46275.0</v>
      </c>
      <c r="B1061" s="4" t="s">
        <v>2626</v>
      </c>
      <c r="C1061" s="5">
        <v>1722600.0</v>
      </c>
      <c r="D1061" s="5">
        <v>0.0</v>
      </c>
      <c r="E1061" s="5">
        <f t="shared" si="1"/>
        <v>167912200.4</v>
      </c>
      <c r="F1061" s="14" t="s">
        <v>58</v>
      </c>
      <c r="G1061" s="14" t="s">
        <v>59</v>
      </c>
      <c r="H1061" s="14" t="s">
        <v>1250</v>
      </c>
      <c r="I1061" s="16"/>
    </row>
    <row r="1062" ht="15.75" hidden="1" customHeight="1">
      <c r="A1062" s="8">
        <v>46275.0</v>
      </c>
      <c r="B1062" s="4" t="s">
        <v>2628</v>
      </c>
      <c r="C1062" s="5">
        <v>3369400.0</v>
      </c>
      <c r="D1062" s="5">
        <v>0.0</v>
      </c>
      <c r="E1062" s="5">
        <f t="shared" si="1"/>
        <v>164542800.4</v>
      </c>
      <c r="F1062" s="14" t="s">
        <v>58</v>
      </c>
      <c r="G1062" s="14" t="s">
        <v>59</v>
      </c>
      <c r="H1062" s="14" t="s">
        <v>592</v>
      </c>
      <c r="I1062" s="16"/>
    </row>
    <row r="1063" ht="15.75" hidden="1" customHeight="1">
      <c r="A1063" s="8">
        <v>46275.0</v>
      </c>
      <c r="B1063" s="4" t="s">
        <v>2631</v>
      </c>
      <c r="C1063" s="5">
        <v>2500.0</v>
      </c>
      <c r="D1063" s="5">
        <v>0.0</v>
      </c>
      <c r="E1063" s="5">
        <f t="shared" si="1"/>
        <v>164540300.4</v>
      </c>
      <c r="F1063" s="14" t="s">
        <v>43</v>
      </c>
      <c r="G1063" s="14" t="s">
        <v>45</v>
      </c>
      <c r="H1063" s="14"/>
      <c r="I1063" s="16"/>
    </row>
    <row r="1064" ht="15.75" hidden="1" customHeight="1">
      <c r="A1064" s="8">
        <v>46275.0</v>
      </c>
      <c r="B1064" s="4" t="s">
        <v>800</v>
      </c>
      <c r="C1064" s="5">
        <v>1.635378E8</v>
      </c>
      <c r="D1064" s="5">
        <v>0.0</v>
      </c>
      <c r="E1064" s="5">
        <f t="shared" si="1"/>
        <v>1002500.41</v>
      </c>
      <c r="F1064" s="14" t="s">
        <v>21</v>
      </c>
      <c r="G1064" s="14" t="s">
        <v>190</v>
      </c>
      <c r="H1064" s="14"/>
      <c r="I1064" s="16"/>
    </row>
    <row r="1065" ht="15.75" hidden="1" customHeight="1">
      <c r="A1065" s="8">
        <v>46275.0</v>
      </c>
      <c r="B1065" s="4" t="s">
        <v>2634</v>
      </c>
      <c r="C1065" s="5">
        <v>2500.0</v>
      </c>
      <c r="D1065" s="5">
        <v>0.0</v>
      </c>
      <c r="E1065" s="5">
        <f t="shared" si="1"/>
        <v>1000000.41</v>
      </c>
      <c r="F1065" s="14" t="s">
        <v>43</v>
      </c>
      <c r="G1065" s="14" t="s">
        <v>45</v>
      </c>
      <c r="H1065" s="14"/>
      <c r="I1065" s="16"/>
    </row>
    <row r="1066" ht="15.75" customHeight="1">
      <c r="A1066" s="8">
        <v>46277.0</v>
      </c>
      <c r="B1066" s="4" t="s">
        <v>2637</v>
      </c>
      <c r="C1066" s="5">
        <v>0.0</v>
      </c>
      <c r="D1066" s="5">
        <v>2053138.0</v>
      </c>
      <c r="E1066" s="5">
        <f t="shared" si="1"/>
        <v>3053138.41</v>
      </c>
      <c r="F1066" s="14" t="s">
        <v>21</v>
      </c>
      <c r="G1066" s="14" t="s">
        <v>876</v>
      </c>
      <c r="H1066" s="14" t="s">
        <v>70</v>
      </c>
      <c r="I1066" s="16"/>
    </row>
    <row r="1067" ht="15.75" hidden="1" customHeight="1">
      <c r="A1067" s="8">
        <v>46279.0</v>
      </c>
      <c r="B1067" s="4" t="s">
        <v>2641</v>
      </c>
      <c r="C1067" s="5">
        <v>0.0</v>
      </c>
      <c r="D1067" s="5">
        <v>2053138.0</v>
      </c>
      <c r="E1067" s="5">
        <f t="shared" si="1"/>
        <v>5106276.41</v>
      </c>
      <c r="F1067" s="14" t="s">
        <v>93</v>
      </c>
      <c r="G1067" s="14" t="s">
        <v>93</v>
      </c>
      <c r="H1067" s="14" t="s">
        <v>346</v>
      </c>
      <c r="I1067" s="16"/>
    </row>
    <row r="1068" ht="15.75" hidden="1" customHeight="1">
      <c r="A1068" s="8">
        <v>46279.0</v>
      </c>
      <c r="B1068" s="4" t="s">
        <v>2645</v>
      </c>
      <c r="C1068" s="5">
        <v>2053138.0</v>
      </c>
      <c r="D1068" s="5">
        <v>0.0</v>
      </c>
      <c r="E1068" s="5">
        <f t="shared" si="1"/>
        <v>3053138.41</v>
      </c>
      <c r="F1068" s="14" t="s">
        <v>93</v>
      </c>
      <c r="G1068" s="14" t="s">
        <v>93</v>
      </c>
      <c r="H1068" s="14" t="s">
        <v>346</v>
      </c>
      <c r="I1068" s="16"/>
    </row>
    <row r="1069" ht="15.75" customHeight="1">
      <c r="A1069" s="8"/>
      <c r="C1069" s="5"/>
      <c r="D1069" s="5"/>
      <c r="E1069" s="5"/>
    </row>
    <row r="1070" ht="15.75" customHeight="1">
      <c r="A1070" s="8"/>
      <c r="C1070" s="5">
        <f t="shared" ref="C1070:D1070" si="2">SUBTOTAL(9,C5:C1069)</f>
        <v>0</v>
      </c>
      <c r="D1070" s="5">
        <f t="shared" si="2"/>
        <v>234827914</v>
      </c>
      <c r="E1070" s="5"/>
    </row>
    <row r="1071" ht="15.75" customHeight="1">
      <c r="A1071" s="8"/>
      <c r="C1071" s="5"/>
      <c r="D1071" s="5">
        <f>D1070-C1070</f>
        <v>234827914</v>
      </c>
      <c r="E1071" s="5"/>
    </row>
  </sheetData>
  <autoFilter ref="$A$4:$I$1068">
    <filterColumn colId="5">
      <filters>
        <filter val="Inter Accounts"/>
      </filters>
    </filterColumn>
    <filterColumn colId="6">
      <filters>
        <filter val="Salary and THR"/>
        <filter val="Interest Loan"/>
        <filter val="COGS"/>
        <filter val="Bank Charge"/>
        <filter val="Other expense"/>
        <filter val="AR Trade"/>
        <filter val="Building Management"/>
        <filter val="BPJS Tenaga Kerja"/>
        <filter val="AR Refund"/>
        <filter val="Sales and Promotion"/>
        <filter val="AP Credit Card"/>
        <filter val="AP Deposit from customer"/>
        <filter val="AR Time Deposit"/>
        <filter val="AR Cash Advance"/>
        <filter val="AP Expense"/>
        <filter val="Office Rent"/>
        <filter val="AP Trade"/>
        <filter val="Interest Income"/>
        <filter val="Fixed Asset"/>
        <filter val="AP Temporary Loan"/>
        <filter val="Sales Invoice"/>
        <filter val="Non Cash Bank to Mandiri Mid Plaza"/>
        <filter val="BPJS Kesehatan"/>
        <filter val="AR Prepaid Tax"/>
        <filter val="AR Deposit to vendor"/>
        <filter val="AP Tax"/>
        <filter val="Ayat Silang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71.33"/>
    <col customWidth="1" min="3" max="3" width="21.33"/>
    <col customWidth="1" min="4" max="5" width="19.44"/>
    <col customWidth="1" min="6" max="6" width="22.67"/>
    <col customWidth="1" min="7" max="7" width="33.67"/>
    <col customWidth="1" min="8" max="8" width="57.33"/>
    <col customWidth="1" min="9" max="9" width="27.0"/>
    <col customWidth="1" min="10" max="26" width="10.56"/>
  </cols>
  <sheetData>
    <row r="1" ht="15.75" customHeight="1">
      <c r="A1" s="1" t="s">
        <v>0</v>
      </c>
      <c r="B1" s="3" t="s">
        <v>3</v>
      </c>
      <c r="C1" s="5" t="s">
        <v>6</v>
      </c>
      <c r="D1" s="5"/>
      <c r="E1" s="5" t="s">
        <v>6</v>
      </c>
    </row>
    <row r="2" ht="15.75" customHeight="1">
      <c r="A2" s="1" t="s">
        <v>8</v>
      </c>
      <c r="C2" s="5"/>
      <c r="D2" s="5"/>
      <c r="E2" s="5"/>
    </row>
    <row r="3" ht="15.75" customHeight="1">
      <c r="A3" s="8"/>
      <c r="C3" s="5"/>
      <c r="D3" s="5"/>
      <c r="E3" s="5"/>
    </row>
    <row r="4" ht="15.75" customHeight="1">
      <c r="A4" s="1" t="s">
        <v>10</v>
      </c>
      <c r="B4" s="9" t="s">
        <v>11</v>
      </c>
      <c r="C4" s="10"/>
      <c r="D4" s="10">
        <v>0.0</v>
      </c>
      <c r="E4" s="10">
        <v>1.9935051453299994E9</v>
      </c>
    </row>
    <row r="5" ht="15.75" customHeight="1">
      <c r="A5" s="8">
        <v>46037.0</v>
      </c>
      <c r="B5" s="4" t="s">
        <v>15</v>
      </c>
      <c r="C5" s="5">
        <v>2.6924174E7</v>
      </c>
      <c r="D5" s="5">
        <v>0.0</v>
      </c>
      <c r="E5" s="5">
        <f t="shared" ref="E5:E158" si="1">E4-C5+D5</f>
        <v>1966580971</v>
      </c>
      <c r="F5" s="14" t="s">
        <v>18</v>
      </c>
      <c r="G5" s="15" t="s">
        <v>25</v>
      </c>
      <c r="H5" s="4" t="s">
        <v>28</v>
      </c>
    </row>
    <row r="6" ht="15.75" customHeight="1">
      <c r="A6" s="8">
        <v>46041.0</v>
      </c>
      <c r="B6" s="4" t="s">
        <v>32</v>
      </c>
      <c r="C6" s="5">
        <v>0.0</v>
      </c>
      <c r="D6" s="5">
        <v>1.717947E8</v>
      </c>
      <c r="E6" s="5">
        <f t="shared" si="1"/>
        <v>2138375671</v>
      </c>
      <c r="F6" s="14" t="s">
        <v>24</v>
      </c>
      <c r="G6" s="15" t="s">
        <v>26</v>
      </c>
      <c r="H6" s="4" t="s">
        <v>36</v>
      </c>
      <c r="I6" s="4" t="s">
        <v>37</v>
      </c>
    </row>
    <row r="7" ht="15.75" customHeight="1">
      <c r="A7" s="8">
        <v>46042.0</v>
      </c>
      <c r="B7" s="4" t="s">
        <v>39</v>
      </c>
      <c r="C7" s="5">
        <v>200000.0</v>
      </c>
      <c r="D7" s="5">
        <v>0.0</v>
      </c>
      <c r="E7" s="5">
        <f t="shared" si="1"/>
        <v>2138175671</v>
      </c>
      <c r="F7" s="14" t="s">
        <v>43</v>
      </c>
      <c r="G7" s="15" t="s">
        <v>45</v>
      </c>
    </row>
    <row r="8" ht="15.75" customHeight="1">
      <c r="A8" s="8">
        <v>46042.0</v>
      </c>
      <c r="B8" s="4" t="s">
        <v>47</v>
      </c>
      <c r="C8" s="5">
        <v>200000.0</v>
      </c>
      <c r="D8" s="5">
        <v>0.0</v>
      </c>
      <c r="E8" s="5">
        <f t="shared" si="1"/>
        <v>2137975671</v>
      </c>
      <c r="F8" s="14" t="s">
        <v>43</v>
      </c>
      <c r="G8" s="15" t="s">
        <v>45</v>
      </c>
    </row>
    <row r="9" ht="15.75" customHeight="1">
      <c r="A9" s="8">
        <v>46042.0</v>
      </c>
      <c r="B9" s="4" t="s">
        <v>52</v>
      </c>
      <c r="C9" s="5">
        <v>200000.0</v>
      </c>
      <c r="D9" s="5">
        <v>0.0</v>
      </c>
      <c r="E9" s="5">
        <f t="shared" si="1"/>
        <v>2137775671</v>
      </c>
      <c r="F9" s="14" t="s">
        <v>43</v>
      </c>
      <c r="G9" s="15" t="s">
        <v>45</v>
      </c>
    </row>
    <row r="10" ht="15.75" customHeight="1">
      <c r="A10" s="8">
        <v>46047.0</v>
      </c>
      <c r="B10" s="4" t="s">
        <v>60</v>
      </c>
      <c r="C10" s="5">
        <v>0.0</v>
      </c>
      <c r="D10" s="5">
        <v>2155286.0</v>
      </c>
      <c r="E10" s="5">
        <f t="shared" si="1"/>
        <v>2139930957</v>
      </c>
      <c r="F10" s="14" t="s">
        <v>63</v>
      </c>
      <c r="G10" s="15" t="s">
        <v>65</v>
      </c>
    </row>
    <row r="11" ht="15.75" customHeight="1">
      <c r="A11" s="8">
        <v>46047.0</v>
      </c>
      <c r="B11" s="4" t="s">
        <v>67</v>
      </c>
      <c r="C11" s="5">
        <v>431057.0</v>
      </c>
      <c r="D11" s="5">
        <v>0.0</v>
      </c>
      <c r="E11" s="5">
        <f t="shared" si="1"/>
        <v>2139499900</v>
      </c>
      <c r="F11" s="14" t="s">
        <v>63</v>
      </c>
      <c r="G11" s="15" t="s">
        <v>65</v>
      </c>
    </row>
    <row r="12" ht="15.75" customHeight="1">
      <c r="A12" s="8">
        <v>46048.0</v>
      </c>
      <c r="B12" s="4" t="s">
        <v>71</v>
      </c>
      <c r="C12" s="5">
        <v>0.0</v>
      </c>
      <c r="D12" s="5">
        <v>5.60630631E8</v>
      </c>
      <c r="E12" s="5">
        <f t="shared" si="1"/>
        <v>2700130531</v>
      </c>
      <c r="F12" s="14" t="s">
        <v>75</v>
      </c>
      <c r="G12" s="15" t="s">
        <v>76</v>
      </c>
      <c r="H12" s="14" t="s">
        <v>68</v>
      </c>
      <c r="I12" s="16" t="s">
        <v>78</v>
      </c>
    </row>
    <row r="13" ht="15.75" customHeight="1">
      <c r="A13" s="8">
        <v>46049.0</v>
      </c>
      <c r="B13" s="4" t="s">
        <v>79</v>
      </c>
      <c r="C13" s="5">
        <v>0.0</v>
      </c>
      <c r="D13" s="5">
        <v>5.60630631E8</v>
      </c>
      <c r="E13" s="5">
        <f t="shared" si="1"/>
        <v>3260761162</v>
      </c>
      <c r="F13" s="14" t="s">
        <v>75</v>
      </c>
      <c r="G13" s="15" t="s">
        <v>76</v>
      </c>
      <c r="H13" s="14" t="s">
        <v>85</v>
      </c>
      <c r="I13" s="16" t="s">
        <v>86</v>
      </c>
    </row>
    <row r="14" ht="15.75" customHeight="1">
      <c r="A14" s="8">
        <v>46052.0</v>
      </c>
      <c r="B14" s="4" t="s">
        <v>89</v>
      </c>
      <c r="C14" s="5">
        <v>2.5E8</v>
      </c>
      <c r="D14" s="5">
        <v>0.0</v>
      </c>
      <c r="E14" s="5">
        <f t="shared" si="1"/>
        <v>3010761162</v>
      </c>
      <c r="F14" s="4" t="s">
        <v>93</v>
      </c>
      <c r="G14" s="4" t="s">
        <v>93</v>
      </c>
    </row>
    <row r="15" ht="15.75" customHeight="1">
      <c r="A15" s="8">
        <v>46052.0</v>
      </c>
      <c r="B15" s="4" t="s">
        <v>89</v>
      </c>
      <c r="C15" s="5">
        <v>2500.0</v>
      </c>
      <c r="D15" s="5">
        <v>0.0</v>
      </c>
      <c r="E15" s="5">
        <f t="shared" si="1"/>
        <v>3010758662</v>
      </c>
      <c r="F15" s="14" t="s">
        <v>43</v>
      </c>
      <c r="G15" s="15" t="s">
        <v>45</v>
      </c>
    </row>
    <row r="16" ht="15.75" customHeight="1">
      <c r="A16" s="8">
        <v>46052.0</v>
      </c>
      <c r="B16" s="4" t="s">
        <v>89</v>
      </c>
      <c r="C16" s="5">
        <v>2.5E8</v>
      </c>
      <c r="D16" s="5">
        <v>0.0</v>
      </c>
      <c r="E16" s="5">
        <f t="shared" si="1"/>
        <v>2760758662</v>
      </c>
      <c r="F16" s="4" t="s">
        <v>93</v>
      </c>
      <c r="G16" s="4" t="s">
        <v>93</v>
      </c>
    </row>
    <row r="17" ht="15.75" customHeight="1">
      <c r="A17" s="8">
        <v>46052.0</v>
      </c>
      <c r="B17" s="4" t="s">
        <v>89</v>
      </c>
      <c r="C17" s="5">
        <v>2500.0</v>
      </c>
      <c r="D17" s="5">
        <v>0.0</v>
      </c>
      <c r="E17" s="5">
        <f t="shared" si="1"/>
        <v>2760756162</v>
      </c>
      <c r="F17" s="14" t="s">
        <v>43</v>
      </c>
      <c r="G17" s="15" t="s">
        <v>45</v>
      </c>
    </row>
    <row r="18" ht="15.75" customHeight="1">
      <c r="A18" s="8">
        <v>46056.0</v>
      </c>
      <c r="B18" s="4" t="s">
        <v>109</v>
      </c>
      <c r="C18" s="5">
        <v>0.0</v>
      </c>
      <c r="D18" s="5">
        <v>2.5E8</v>
      </c>
      <c r="E18" s="5">
        <f t="shared" si="1"/>
        <v>3010756162</v>
      </c>
      <c r="F18" s="4" t="s">
        <v>93</v>
      </c>
      <c r="G18" s="4" t="s">
        <v>93</v>
      </c>
    </row>
    <row r="19" ht="15.75" customHeight="1">
      <c r="A19" s="8">
        <v>46057.0</v>
      </c>
      <c r="B19" s="4" t="s">
        <v>114</v>
      </c>
      <c r="C19" s="5">
        <v>0.0</v>
      </c>
      <c r="D19" s="5">
        <v>2.5E8</v>
      </c>
      <c r="E19" s="5">
        <f t="shared" si="1"/>
        <v>3260756162</v>
      </c>
      <c r="F19" s="4" t="s">
        <v>93</v>
      </c>
      <c r="G19" s="4" t="s">
        <v>93</v>
      </c>
    </row>
    <row r="20" ht="15.75" customHeight="1">
      <c r="A20" s="8">
        <v>46062.0</v>
      </c>
      <c r="B20" s="4" t="s">
        <v>119</v>
      </c>
      <c r="C20" s="5">
        <v>0.0</v>
      </c>
      <c r="D20" s="5">
        <v>8516000.0</v>
      </c>
      <c r="E20" s="5">
        <f t="shared" si="1"/>
        <v>3269272162</v>
      </c>
      <c r="F20" s="4" t="s">
        <v>21</v>
      </c>
      <c r="G20" s="4" t="s">
        <v>122</v>
      </c>
      <c r="H20" s="4" t="s">
        <v>123</v>
      </c>
    </row>
    <row r="21" ht="15.75" customHeight="1">
      <c r="A21" s="8">
        <v>46062.0</v>
      </c>
      <c r="B21" s="4" t="s">
        <v>119</v>
      </c>
      <c r="C21" s="5">
        <v>0.0</v>
      </c>
      <c r="D21" s="5">
        <v>3.0525E7</v>
      </c>
      <c r="E21" s="5">
        <f t="shared" si="1"/>
        <v>3299797162</v>
      </c>
      <c r="F21" s="4" t="s">
        <v>21</v>
      </c>
      <c r="G21" s="4" t="s">
        <v>122</v>
      </c>
      <c r="H21" s="4" t="s">
        <v>131</v>
      </c>
    </row>
    <row r="22" ht="15.75" customHeight="1">
      <c r="A22" s="8">
        <v>46068.0</v>
      </c>
      <c r="B22" s="4" t="s">
        <v>132</v>
      </c>
      <c r="C22" s="5">
        <v>2.06028008E8</v>
      </c>
      <c r="D22" s="5">
        <v>0.0</v>
      </c>
      <c r="E22" s="5">
        <f t="shared" si="1"/>
        <v>3093769154</v>
      </c>
      <c r="F22" s="4" t="s">
        <v>21</v>
      </c>
      <c r="G22" s="4" t="s">
        <v>136</v>
      </c>
      <c r="H22" s="4" t="s">
        <v>28</v>
      </c>
    </row>
    <row r="23" ht="15.75" customHeight="1">
      <c r="A23" s="8">
        <v>46073.0</v>
      </c>
      <c r="B23" s="4" t="s">
        <v>138</v>
      </c>
      <c r="C23" s="5">
        <v>200000.0</v>
      </c>
      <c r="D23" s="5">
        <v>0.0</v>
      </c>
      <c r="E23" s="5">
        <f t="shared" si="1"/>
        <v>3093569154</v>
      </c>
      <c r="F23" s="4" t="s">
        <v>43</v>
      </c>
      <c r="G23" s="4" t="s">
        <v>45</v>
      </c>
    </row>
    <row r="24" ht="15.75" customHeight="1">
      <c r="A24" s="8">
        <v>46073.0</v>
      </c>
      <c r="B24" s="4" t="s">
        <v>155</v>
      </c>
      <c r="C24" s="5">
        <v>4.5E8</v>
      </c>
      <c r="D24" s="5">
        <v>0.0</v>
      </c>
      <c r="E24" s="5">
        <f t="shared" si="1"/>
        <v>2643569154</v>
      </c>
      <c r="F24" s="4" t="s">
        <v>21</v>
      </c>
      <c r="G24" s="4" t="s">
        <v>136</v>
      </c>
      <c r="H24" s="4" t="s">
        <v>156</v>
      </c>
    </row>
    <row r="25" ht="15.75" customHeight="1">
      <c r="A25" s="8">
        <v>46078.0</v>
      </c>
      <c r="B25" s="4" t="s">
        <v>158</v>
      </c>
      <c r="C25" s="5">
        <v>0.0</v>
      </c>
      <c r="D25" s="5">
        <v>3218117.0</v>
      </c>
      <c r="E25" s="5">
        <f t="shared" si="1"/>
        <v>2646787271</v>
      </c>
      <c r="F25" s="4" t="s">
        <v>63</v>
      </c>
      <c r="G25" s="4" t="s">
        <v>65</v>
      </c>
    </row>
    <row r="26" ht="15.75" customHeight="1">
      <c r="A26" s="8">
        <v>46078.0</v>
      </c>
      <c r="B26" s="4" t="s">
        <v>67</v>
      </c>
      <c r="C26" s="5">
        <v>643623.0</v>
      </c>
      <c r="D26" s="5">
        <v>0.0</v>
      </c>
      <c r="E26" s="5">
        <f t="shared" si="1"/>
        <v>2646143648</v>
      </c>
      <c r="F26" s="4" t="s">
        <v>63</v>
      </c>
      <c r="G26" s="4" t="s">
        <v>65</v>
      </c>
    </row>
    <row r="27" ht="15.75" customHeight="1">
      <c r="A27" s="8">
        <v>46080.0</v>
      </c>
      <c r="B27" s="4" t="s">
        <v>161</v>
      </c>
      <c r="C27" s="5">
        <v>2.5E8</v>
      </c>
      <c r="D27" s="5">
        <v>0.0</v>
      </c>
      <c r="E27" s="5">
        <f t="shared" si="1"/>
        <v>2396143648</v>
      </c>
      <c r="F27" s="4" t="s">
        <v>21</v>
      </c>
      <c r="G27" s="4" t="s">
        <v>169</v>
      </c>
    </row>
    <row r="28" ht="15.75" customHeight="1">
      <c r="A28" s="8">
        <v>46080.0</v>
      </c>
      <c r="B28" s="4" t="s">
        <v>171</v>
      </c>
      <c r="C28" s="5">
        <v>2900.0</v>
      </c>
      <c r="D28" s="5">
        <v>0.0</v>
      </c>
      <c r="E28" s="5">
        <f t="shared" si="1"/>
        <v>2396140748</v>
      </c>
      <c r="F28" s="4" t="s">
        <v>43</v>
      </c>
      <c r="G28" s="4" t="s">
        <v>45</v>
      </c>
    </row>
    <row r="29" ht="15.75" customHeight="1">
      <c r="A29" s="8">
        <v>46080.0</v>
      </c>
      <c r="B29" s="4" t="s">
        <v>176</v>
      </c>
      <c r="C29" s="5">
        <v>2.5E8</v>
      </c>
      <c r="D29" s="5">
        <v>0.0</v>
      </c>
      <c r="E29" s="5">
        <f t="shared" si="1"/>
        <v>2146140748</v>
      </c>
      <c r="F29" s="4" t="s">
        <v>21</v>
      </c>
      <c r="G29" s="4" t="s">
        <v>169</v>
      </c>
    </row>
    <row r="30" ht="15.75" customHeight="1">
      <c r="A30" s="8">
        <v>46080.0</v>
      </c>
      <c r="B30" s="4" t="s">
        <v>176</v>
      </c>
      <c r="C30" s="5">
        <v>2500.0</v>
      </c>
      <c r="D30" s="5">
        <v>0.0</v>
      </c>
      <c r="E30" s="5">
        <f t="shared" si="1"/>
        <v>2146138248</v>
      </c>
      <c r="F30" s="4" t="s">
        <v>43</v>
      </c>
      <c r="G30" s="4" t="s">
        <v>45</v>
      </c>
    </row>
    <row r="31" ht="15.75" customHeight="1">
      <c r="A31" s="8">
        <v>46080.0</v>
      </c>
      <c r="B31" s="4" t="s">
        <v>183</v>
      </c>
      <c r="C31" s="5">
        <v>2.5E8</v>
      </c>
      <c r="D31" s="5">
        <v>0.0</v>
      </c>
      <c r="E31" s="5">
        <f t="shared" si="1"/>
        <v>1896138248</v>
      </c>
      <c r="F31" s="4" t="s">
        <v>21</v>
      </c>
      <c r="G31" s="14" t="s">
        <v>187</v>
      </c>
    </row>
    <row r="32" ht="15.75" customHeight="1">
      <c r="A32" s="8">
        <v>46080.0</v>
      </c>
      <c r="B32" s="4" t="s">
        <v>183</v>
      </c>
      <c r="C32" s="5">
        <v>2500.0</v>
      </c>
      <c r="D32" s="5">
        <v>0.0</v>
      </c>
      <c r="E32" s="5">
        <f t="shared" si="1"/>
        <v>1896135748</v>
      </c>
      <c r="F32" s="4" t="s">
        <v>43</v>
      </c>
      <c r="G32" s="4" t="s">
        <v>45</v>
      </c>
    </row>
    <row r="33" ht="15.75" customHeight="1">
      <c r="A33" s="8">
        <v>46080.0</v>
      </c>
      <c r="B33" s="4" t="s">
        <v>171</v>
      </c>
      <c r="C33" s="5">
        <v>2.5E8</v>
      </c>
      <c r="D33" s="5">
        <v>0.0</v>
      </c>
      <c r="E33" s="5">
        <f t="shared" si="1"/>
        <v>1646135748</v>
      </c>
      <c r="F33" s="4" t="s">
        <v>21</v>
      </c>
      <c r="G33" s="14" t="s">
        <v>187</v>
      </c>
    </row>
    <row r="34" ht="15.75" customHeight="1">
      <c r="A34" s="8">
        <v>46080.0</v>
      </c>
      <c r="B34" s="4" t="s">
        <v>171</v>
      </c>
      <c r="C34" s="5">
        <v>2900.0</v>
      </c>
      <c r="D34" s="5">
        <v>0.0</v>
      </c>
      <c r="E34" s="5">
        <f t="shared" si="1"/>
        <v>1646132848</v>
      </c>
      <c r="F34" s="4" t="s">
        <v>43</v>
      </c>
      <c r="G34" s="4" t="s">
        <v>45</v>
      </c>
    </row>
    <row r="35" ht="15.75" customHeight="1">
      <c r="A35" s="8">
        <v>46081.0</v>
      </c>
      <c r="B35" s="4" t="s">
        <v>200</v>
      </c>
      <c r="C35" s="5">
        <v>2.5E8</v>
      </c>
      <c r="D35" s="5">
        <v>0.0</v>
      </c>
      <c r="E35" s="5">
        <f t="shared" si="1"/>
        <v>1396132848</v>
      </c>
      <c r="F35" s="4" t="s">
        <v>21</v>
      </c>
      <c r="G35" s="14" t="s">
        <v>187</v>
      </c>
    </row>
    <row r="36" ht="15.75" customHeight="1">
      <c r="A36" s="8">
        <v>46081.0</v>
      </c>
      <c r="B36" s="4" t="s">
        <v>200</v>
      </c>
      <c r="C36" s="5">
        <v>2500.0</v>
      </c>
      <c r="D36" s="5">
        <v>0.0</v>
      </c>
      <c r="E36" s="5">
        <f t="shared" si="1"/>
        <v>1396130348</v>
      </c>
      <c r="F36" s="4" t="s">
        <v>43</v>
      </c>
      <c r="G36" s="4" t="s">
        <v>45</v>
      </c>
    </row>
    <row r="37" ht="15.75" customHeight="1">
      <c r="A37" s="8">
        <v>46081.0</v>
      </c>
      <c r="B37" s="4" t="s">
        <v>207</v>
      </c>
      <c r="C37" s="5">
        <v>2.5E8</v>
      </c>
      <c r="D37" s="5">
        <v>0.0</v>
      </c>
      <c r="E37" s="5">
        <f t="shared" si="1"/>
        <v>1146130348</v>
      </c>
      <c r="F37" s="4" t="s">
        <v>21</v>
      </c>
      <c r="G37" s="14" t="s">
        <v>187</v>
      </c>
    </row>
    <row r="38" ht="15.75" customHeight="1">
      <c r="A38" s="8">
        <v>46081.0</v>
      </c>
      <c r="B38" s="4" t="s">
        <v>207</v>
      </c>
      <c r="C38" s="5">
        <v>2500.0</v>
      </c>
      <c r="D38" s="5">
        <v>0.0</v>
      </c>
      <c r="E38" s="5">
        <f t="shared" si="1"/>
        <v>1146127848</v>
      </c>
      <c r="F38" s="4" t="s">
        <v>43</v>
      </c>
      <c r="G38" s="4" t="s">
        <v>45</v>
      </c>
    </row>
    <row r="39" ht="15.75" customHeight="1">
      <c r="A39" s="8">
        <v>46085.0</v>
      </c>
      <c r="B39" s="4" t="s">
        <v>212</v>
      </c>
      <c r="C39" s="5">
        <v>2.5E8</v>
      </c>
      <c r="D39" s="5">
        <v>0.0</v>
      </c>
      <c r="E39" s="5">
        <f t="shared" si="1"/>
        <v>896127848.3</v>
      </c>
      <c r="F39" s="4" t="s">
        <v>21</v>
      </c>
      <c r="G39" s="14" t="s">
        <v>169</v>
      </c>
    </row>
    <row r="40" ht="15.75" customHeight="1">
      <c r="A40" s="8">
        <v>46085.0</v>
      </c>
      <c r="B40" s="4" t="s">
        <v>212</v>
      </c>
      <c r="C40" s="5">
        <v>2500.0</v>
      </c>
      <c r="D40" s="5">
        <v>0.0</v>
      </c>
      <c r="E40" s="5">
        <f t="shared" si="1"/>
        <v>896125348.3</v>
      </c>
      <c r="F40" s="4" t="s">
        <v>43</v>
      </c>
      <c r="G40" s="4" t="s">
        <v>45</v>
      </c>
    </row>
    <row r="41" ht="15.75" customHeight="1">
      <c r="A41" s="8">
        <v>46086.0</v>
      </c>
      <c r="B41" s="4" t="s">
        <v>219</v>
      </c>
      <c r="C41" s="5">
        <v>2.5E8</v>
      </c>
      <c r="D41" s="5">
        <v>0.0</v>
      </c>
      <c r="E41" s="5">
        <f t="shared" si="1"/>
        <v>646125348.3</v>
      </c>
      <c r="F41" s="4" t="s">
        <v>21</v>
      </c>
      <c r="G41" s="14" t="s">
        <v>169</v>
      </c>
    </row>
    <row r="42" ht="15.75" customHeight="1">
      <c r="A42" s="8">
        <v>46086.0</v>
      </c>
      <c r="B42" s="4" t="s">
        <v>219</v>
      </c>
      <c r="C42" s="5">
        <v>2500.0</v>
      </c>
      <c r="D42" s="5">
        <v>0.0</v>
      </c>
      <c r="E42" s="5">
        <f t="shared" si="1"/>
        <v>646122848.3</v>
      </c>
      <c r="F42" s="4" t="s">
        <v>43</v>
      </c>
      <c r="G42" s="4" t="s">
        <v>45</v>
      </c>
    </row>
    <row r="43" ht="15.75" customHeight="1">
      <c r="A43" s="8">
        <v>46086.0</v>
      </c>
      <c r="B43" s="4" t="s">
        <v>227</v>
      </c>
      <c r="C43" s="5">
        <v>2.5E8</v>
      </c>
      <c r="D43" s="5">
        <v>0.0</v>
      </c>
      <c r="E43" s="5">
        <f t="shared" si="1"/>
        <v>396122848.3</v>
      </c>
      <c r="F43" s="4" t="s">
        <v>21</v>
      </c>
      <c r="G43" s="14" t="s">
        <v>169</v>
      </c>
    </row>
    <row r="44" ht="15.75" customHeight="1">
      <c r="A44" s="8">
        <v>46086.0</v>
      </c>
      <c r="B44" s="4" t="s">
        <v>227</v>
      </c>
      <c r="C44" s="5">
        <v>2500.0</v>
      </c>
      <c r="D44" s="5">
        <v>0.0</v>
      </c>
      <c r="E44" s="5">
        <f t="shared" si="1"/>
        <v>396120348.3</v>
      </c>
      <c r="F44" s="4" t="s">
        <v>43</v>
      </c>
      <c r="G44" s="4" t="s">
        <v>45</v>
      </c>
    </row>
    <row r="45" ht="15.75" customHeight="1">
      <c r="A45" s="8">
        <v>46088.0</v>
      </c>
      <c r="B45" s="4" t="s">
        <v>233</v>
      </c>
      <c r="C45" s="5">
        <v>6.6E7</v>
      </c>
      <c r="D45" s="5">
        <v>0.0</v>
      </c>
      <c r="E45" s="5">
        <f t="shared" si="1"/>
        <v>330120348.3</v>
      </c>
      <c r="F45" s="4" t="s">
        <v>21</v>
      </c>
      <c r="G45" s="4" t="s">
        <v>187</v>
      </c>
    </row>
    <row r="46" ht="15.75" customHeight="1">
      <c r="A46" s="8">
        <v>46088.0</v>
      </c>
      <c r="B46" s="4" t="s">
        <v>233</v>
      </c>
      <c r="C46" s="5">
        <v>2500.0</v>
      </c>
      <c r="D46" s="5">
        <v>0.0</v>
      </c>
      <c r="E46" s="5">
        <f t="shared" si="1"/>
        <v>330117848.3</v>
      </c>
      <c r="F46" s="4" t="s">
        <v>43</v>
      </c>
      <c r="G46" s="4" t="s">
        <v>45</v>
      </c>
    </row>
    <row r="47" ht="15.75" customHeight="1">
      <c r="A47" s="8">
        <v>46093.0</v>
      </c>
      <c r="B47" s="14" t="s">
        <v>240</v>
      </c>
      <c r="C47" s="5">
        <v>0.0</v>
      </c>
      <c r="D47" s="5">
        <v>2.7E9</v>
      </c>
      <c r="E47" s="5">
        <f t="shared" si="1"/>
        <v>3030117848</v>
      </c>
      <c r="F47" s="14" t="s">
        <v>18</v>
      </c>
      <c r="G47" s="14" t="s">
        <v>19</v>
      </c>
      <c r="H47" s="14" t="s">
        <v>20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8">
        <v>46093.0</v>
      </c>
      <c r="B48" s="4" t="s">
        <v>249</v>
      </c>
      <c r="C48" s="5">
        <v>2.7E9</v>
      </c>
      <c r="D48" s="5">
        <v>0.0</v>
      </c>
      <c r="E48" s="5">
        <f t="shared" si="1"/>
        <v>330117848.3</v>
      </c>
      <c r="F48" s="4" t="s">
        <v>21</v>
      </c>
      <c r="G48" s="4" t="s">
        <v>136</v>
      </c>
      <c r="H48" s="4" t="s">
        <v>253</v>
      </c>
    </row>
    <row r="49" ht="15.75" customHeight="1">
      <c r="A49" s="8">
        <v>46094.0</v>
      </c>
      <c r="B49" s="4" t="s">
        <v>256</v>
      </c>
      <c r="C49" s="5">
        <v>0.0</v>
      </c>
      <c r="D49" s="5">
        <v>1.7940505E8</v>
      </c>
      <c r="E49" s="5">
        <f t="shared" si="1"/>
        <v>509522898.3</v>
      </c>
      <c r="F49" s="4" t="s">
        <v>75</v>
      </c>
      <c r="G49" s="4" t="s">
        <v>76</v>
      </c>
      <c r="H49" s="14" t="s">
        <v>259</v>
      </c>
      <c r="I49" s="16" t="s">
        <v>261</v>
      </c>
    </row>
    <row r="50" ht="15.75" customHeight="1">
      <c r="A50" s="8">
        <v>46094.0</v>
      </c>
      <c r="B50" s="4" t="s">
        <v>262</v>
      </c>
      <c r="C50" s="5">
        <v>1.795E8</v>
      </c>
      <c r="D50" s="5">
        <v>0.0</v>
      </c>
      <c r="E50" s="5">
        <f t="shared" si="1"/>
        <v>330022898.3</v>
      </c>
      <c r="F50" s="4" t="s">
        <v>21</v>
      </c>
      <c r="G50" s="14" t="s">
        <v>169</v>
      </c>
    </row>
    <row r="51" ht="15.75" customHeight="1">
      <c r="A51" s="8">
        <v>46094.0</v>
      </c>
      <c r="B51" s="4" t="s">
        <v>262</v>
      </c>
      <c r="C51" s="5">
        <v>2500.0</v>
      </c>
      <c r="D51" s="5">
        <v>0.0</v>
      </c>
      <c r="E51" s="5">
        <f t="shared" si="1"/>
        <v>330020398.3</v>
      </c>
      <c r="F51" s="4" t="s">
        <v>43</v>
      </c>
      <c r="G51" s="4" t="s">
        <v>45</v>
      </c>
    </row>
    <row r="52" ht="15.75" customHeight="1">
      <c r="A52" s="8">
        <v>46097.0</v>
      </c>
      <c r="B52" s="4" t="s">
        <v>276</v>
      </c>
      <c r="C52" s="5">
        <v>0.0</v>
      </c>
      <c r="D52" s="5">
        <v>5.73873874E8</v>
      </c>
      <c r="E52" s="5">
        <f t="shared" si="1"/>
        <v>903894272.3</v>
      </c>
      <c r="F52" s="4" t="s">
        <v>75</v>
      </c>
      <c r="G52" s="4" t="s">
        <v>76</v>
      </c>
      <c r="H52" s="4" t="s">
        <v>278</v>
      </c>
      <c r="I52" s="16" t="s">
        <v>280</v>
      </c>
    </row>
    <row r="53" ht="15.75" customHeight="1">
      <c r="A53" s="8">
        <v>46101.0</v>
      </c>
      <c r="B53" s="4" t="s">
        <v>282</v>
      </c>
      <c r="C53" s="5">
        <v>200000.0</v>
      </c>
      <c r="D53" s="5">
        <v>0.0</v>
      </c>
      <c r="E53" s="5">
        <f t="shared" si="1"/>
        <v>903694272.3</v>
      </c>
      <c r="F53" s="4" t="s">
        <v>43</v>
      </c>
      <c r="G53" s="4" t="s">
        <v>45</v>
      </c>
    </row>
    <row r="54" ht="15.75" customHeight="1">
      <c r="A54" s="8">
        <v>46106.0</v>
      </c>
      <c r="B54" s="4" t="s">
        <v>289</v>
      </c>
      <c r="C54" s="5">
        <v>0.0</v>
      </c>
      <c r="D54" s="5">
        <v>2.5E8</v>
      </c>
      <c r="E54" s="5">
        <f t="shared" si="1"/>
        <v>1153694272</v>
      </c>
      <c r="F54" s="4" t="s">
        <v>21</v>
      </c>
      <c r="G54" s="4" t="s">
        <v>290</v>
      </c>
    </row>
    <row r="55" ht="15.75" customHeight="1">
      <c r="A55" s="8">
        <v>46106.0</v>
      </c>
      <c r="B55" s="4" t="s">
        <v>293</v>
      </c>
      <c r="C55" s="5">
        <v>0.0</v>
      </c>
      <c r="D55" s="5">
        <v>2.5E8</v>
      </c>
      <c r="E55" s="5">
        <f t="shared" si="1"/>
        <v>1403694272</v>
      </c>
      <c r="F55" s="4" t="s">
        <v>21</v>
      </c>
      <c r="G55" s="4" t="s">
        <v>290</v>
      </c>
    </row>
    <row r="56" ht="15.75" customHeight="1">
      <c r="A56" s="8">
        <v>46106.0</v>
      </c>
      <c r="B56" s="4" t="s">
        <v>297</v>
      </c>
      <c r="C56" s="5">
        <v>0.0</v>
      </c>
      <c r="D56" s="5">
        <v>2.5E8</v>
      </c>
      <c r="E56" s="5">
        <f t="shared" si="1"/>
        <v>1653694272</v>
      </c>
      <c r="F56" s="4" t="s">
        <v>21</v>
      </c>
      <c r="G56" s="14" t="s">
        <v>298</v>
      </c>
    </row>
    <row r="57" ht="15.75" customHeight="1">
      <c r="A57" s="8">
        <v>46106.0</v>
      </c>
      <c r="B57" s="4" t="s">
        <v>301</v>
      </c>
      <c r="C57" s="5">
        <v>0.0</v>
      </c>
      <c r="D57" s="5">
        <v>2.5E8</v>
      </c>
      <c r="E57" s="5">
        <f t="shared" si="1"/>
        <v>1903694272</v>
      </c>
      <c r="F57" s="4" t="s">
        <v>21</v>
      </c>
      <c r="G57" s="14" t="s">
        <v>298</v>
      </c>
    </row>
    <row r="58" ht="15.75" customHeight="1">
      <c r="A58" s="8">
        <v>46106.0</v>
      </c>
      <c r="B58" s="4" t="s">
        <v>303</v>
      </c>
      <c r="C58" s="5">
        <v>0.0</v>
      </c>
      <c r="D58" s="5">
        <v>2.5E8</v>
      </c>
      <c r="E58" s="5">
        <f t="shared" si="1"/>
        <v>2153694272</v>
      </c>
      <c r="F58" s="4" t="s">
        <v>21</v>
      </c>
      <c r="G58" s="14" t="s">
        <v>298</v>
      </c>
    </row>
    <row r="59" ht="15.75" customHeight="1">
      <c r="A59" s="8">
        <v>46106.0</v>
      </c>
      <c r="B59" s="4" t="s">
        <v>60</v>
      </c>
      <c r="C59" s="5">
        <v>0.0</v>
      </c>
      <c r="D59" s="5">
        <v>614856.0</v>
      </c>
      <c r="E59" s="5">
        <f t="shared" si="1"/>
        <v>2154309128</v>
      </c>
      <c r="F59" s="4" t="s">
        <v>63</v>
      </c>
      <c r="G59" s="4" t="s">
        <v>65</v>
      </c>
    </row>
    <row r="60" ht="15.75" customHeight="1">
      <c r="A60" s="8">
        <v>46106.0</v>
      </c>
      <c r="B60" s="4" t="s">
        <v>67</v>
      </c>
      <c r="C60" s="5">
        <v>122971.0</v>
      </c>
      <c r="D60" s="5">
        <v>0.0</v>
      </c>
      <c r="E60" s="5">
        <f t="shared" si="1"/>
        <v>2154186157</v>
      </c>
      <c r="F60" s="4" t="s">
        <v>63</v>
      </c>
      <c r="G60" s="4" t="s">
        <v>65</v>
      </c>
    </row>
    <row r="61" ht="15.75" customHeight="1">
      <c r="A61" s="8">
        <v>46107.0</v>
      </c>
      <c r="B61" s="14" t="s">
        <v>316</v>
      </c>
      <c r="C61" s="5">
        <v>6.912E8</v>
      </c>
      <c r="D61" s="5">
        <v>0.0</v>
      </c>
      <c r="E61" s="5">
        <f t="shared" si="1"/>
        <v>1462986157</v>
      </c>
      <c r="F61" s="14" t="s">
        <v>18</v>
      </c>
      <c r="G61" s="14" t="s">
        <v>19</v>
      </c>
      <c r="H61" s="14" t="s">
        <v>20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8">
        <v>46107.0</v>
      </c>
      <c r="B62" s="4" t="s">
        <v>316</v>
      </c>
      <c r="C62" s="5">
        <v>30000.0</v>
      </c>
      <c r="D62" s="5">
        <v>0.0</v>
      </c>
      <c r="E62" s="5">
        <f t="shared" si="1"/>
        <v>1462956157</v>
      </c>
      <c r="F62" s="4" t="s">
        <v>43</v>
      </c>
      <c r="G62" s="4" t="s">
        <v>45</v>
      </c>
    </row>
    <row r="63" ht="15.75" customHeight="1">
      <c r="A63" s="8">
        <v>46107.0</v>
      </c>
      <c r="B63" s="14" t="s">
        <v>328</v>
      </c>
      <c r="C63" s="5">
        <v>1.0E9</v>
      </c>
      <c r="D63" s="5">
        <v>0.0</v>
      </c>
      <c r="E63" s="5">
        <f t="shared" si="1"/>
        <v>462956157.3</v>
      </c>
      <c r="F63" s="14" t="s">
        <v>18</v>
      </c>
      <c r="G63" s="14" t="s">
        <v>19</v>
      </c>
      <c r="H63" s="14" t="s">
        <v>20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8">
        <v>46107.0</v>
      </c>
      <c r="B64" s="4" t="s">
        <v>328</v>
      </c>
      <c r="C64" s="5">
        <v>30000.0</v>
      </c>
      <c r="D64" s="5">
        <v>0.0</v>
      </c>
      <c r="E64" s="5">
        <f t="shared" si="1"/>
        <v>462926157.3</v>
      </c>
      <c r="F64" s="4" t="s">
        <v>43</v>
      </c>
      <c r="G64" s="4" t="s">
        <v>45</v>
      </c>
    </row>
    <row r="65" ht="15.75" customHeight="1">
      <c r="A65" s="8">
        <v>46108.0</v>
      </c>
      <c r="B65" s="4" t="s">
        <v>343</v>
      </c>
      <c r="C65" s="5">
        <v>1.32E8</v>
      </c>
      <c r="D65" s="5">
        <v>0.0</v>
      </c>
      <c r="E65" s="5">
        <f t="shared" si="1"/>
        <v>330926157.3</v>
      </c>
      <c r="F65" s="4" t="s">
        <v>21</v>
      </c>
      <c r="G65" s="4" t="s">
        <v>187</v>
      </c>
    </row>
    <row r="66" ht="15.75" customHeight="1">
      <c r="A66" s="8">
        <v>46108.0</v>
      </c>
      <c r="B66" s="4" t="s">
        <v>343</v>
      </c>
      <c r="C66" s="5">
        <v>2500.0</v>
      </c>
      <c r="D66" s="5">
        <v>0.0</v>
      </c>
      <c r="E66" s="5">
        <f t="shared" si="1"/>
        <v>330923657.3</v>
      </c>
      <c r="F66" s="4" t="s">
        <v>43</v>
      </c>
      <c r="G66" s="4" t="s">
        <v>45</v>
      </c>
    </row>
    <row r="67" ht="15.75" customHeight="1">
      <c r="A67" s="8">
        <v>46119.0</v>
      </c>
      <c r="B67" s="14" t="s">
        <v>348</v>
      </c>
      <c r="C67" s="5">
        <v>0.0</v>
      </c>
      <c r="D67" s="5">
        <v>5.90540541E8</v>
      </c>
      <c r="E67" s="5">
        <f t="shared" si="1"/>
        <v>921464198.3</v>
      </c>
      <c r="F67" s="14" t="s">
        <v>75</v>
      </c>
      <c r="G67" s="14" t="s">
        <v>76</v>
      </c>
      <c r="H67" s="14" t="s">
        <v>353</v>
      </c>
      <c r="I67" s="14" t="s">
        <v>354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8">
        <v>46119.0</v>
      </c>
      <c r="B68" s="4" t="s">
        <v>358</v>
      </c>
      <c r="C68" s="5">
        <v>9.1E7</v>
      </c>
      <c r="D68" s="5">
        <v>0.0</v>
      </c>
      <c r="E68" s="5">
        <f t="shared" si="1"/>
        <v>830464198.3</v>
      </c>
      <c r="F68" s="15" t="s">
        <v>21</v>
      </c>
      <c r="G68" s="15" t="s">
        <v>169</v>
      </c>
    </row>
    <row r="69" ht="15.75" customHeight="1">
      <c r="A69" s="8">
        <v>46119.0</v>
      </c>
      <c r="B69" s="4" t="s">
        <v>358</v>
      </c>
      <c r="C69" s="5">
        <v>2500.0</v>
      </c>
      <c r="D69" s="5">
        <v>0.0</v>
      </c>
      <c r="E69" s="5">
        <f t="shared" si="1"/>
        <v>830461698.3</v>
      </c>
      <c r="F69" s="4" t="s">
        <v>43</v>
      </c>
      <c r="G69" s="4" t="s">
        <v>45</v>
      </c>
    </row>
    <row r="70" ht="15.75" customHeight="1">
      <c r="A70" s="8">
        <v>46119.0</v>
      </c>
      <c r="B70" s="4" t="s">
        <v>366</v>
      </c>
      <c r="C70" s="5">
        <v>2.5E8</v>
      </c>
      <c r="D70" s="5">
        <v>0.0</v>
      </c>
      <c r="E70" s="5">
        <f t="shared" si="1"/>
        <v>580461698.3</v>
      </c>
      <c r="F70" s="14" t="s">
        <v>21</v>
      </c>
      <c r="G70" s="14" t="s">
        <v>187</v>
      </c>
    </row>
    <row r="71" ht="15.75" customHeight="1">
      <c r="A71" s="8">
        <v>46119.0</v>
      </c>
      <c r="B71" s="4" t="s">
        <v>366</v>
      </c>
      <c r="C71" s="5">
        <v>2500.0</v>
      </c>
      <c r="D71" s="5">
        <v>0.0</v>
      </c>
      <c r="E71" s="5">
        <f t="shared" si="1"/>
        <v>580459198.3</v>
      </c>
      <c r="F71" s="4" t="s">
        <v>43</v>
      </c>
      <c r="G71" s="4" t="s">
        <v>45</v>
      </c>
    </row>
    <row r="72" ht="15.75" customHeight="1">
      <c r="A72" s="8">
        <v>46119.0</v>
      </c>
      <c r="B72" s="4" t="s">
        <v>373</v>
      </c>
      <c r="C72" s="5">
        <v>2.5E8</v>
      </c>
      <c r="D72" s="5">
        <v>0.0</v>
      </c>
      <c r="E72" s="5">
        <f t="shared" si="1"/>
        <v>330459198.3</v>
      </c>
      <c r="F72" s="14" t="s">
        <v>21</v>
      </c>
      <c r="G72" s="14" t="s">
        <v>187</v>
      </c>
    </row>
    <row r="73" ht="15.75" customHeight="1">
      <c r="A73" s="8">
        <v>46119.0</v>
      </c>
      <c r="B73" s="4" t="s">
        <v>373</v>
      </c>
      <c r="C73" s="5">
        <v>2500.0</v>
      </c>
      <c r="D73" s="5">
        <v>0.0</v>
      </c>
      <c r="E73" s="5">
        <f t="shared" si="1"/>
        <v>330456698.3</v>
      </c>
      <c r="F73" s="4" t="s">
        <v>43</v>
      </c>
      <c r="G73" s="4" t="s">
        <v>45</v>
      </c>
    </row>
    <row r="74" ht="15.75" customHeight="1">
      <c r="A74" s="8">
        <v>46132.0</v>
      </c>
      <c r="B74" s="4" t="s">
        <v>378</v>
      </c>
      <c r="C74" s="5">
        <v>200000.0</v>
      </c>
      <c r="D74" s="5">
        <v>0.0</v>
      </c>
      <c r="E74" s="5">
        <f t="shared" si="1"/>
        <v>330256698.3</v>
      </c>
      <c r="F74" s="4" t="s">
        <v>43</v>
      </c>
      <c r="G74" s="4" t="s">
        <v>45</v>
      </c>
    </row>
    <row r="75" ht="15.75" customHeight="1">
      <c r="A75" s="8">
        <v>46137.0</v>
      </c>
      <c r="B75" s="4" t="s">
        <v>60</v>
      </c>
      <c r="C75" s="5">
        <v>0.0</v>
      </c>
      <c r="D75" s="5">
        <v>142200.0</v>
      </c>
      <c r="E75" s="5">
        <f t="shared" si="1"/>
        <v>330398898.3</v>
      </c>
      <c r="F75" s="4" t="s">
        <v>63</v>
      </c>
      <c r="G75" s="4" t="s">
        <v>65</v>
      </c>
    </row>
    <row r="76" ht="15.75" customHeight="1">
      <c r="A76" s="8">
        <v>46137.0</v>
      </c>
      <c r="B76" s="4" t="s">
        <v>67</v>
      </c>
      <c r="C76" s="5">
        <v>28440.0</v>
      </c>
      <c r="D76" s="5">
        <v>0.0</v>
      </c>
      <c r="E76" s="5">
        <f t="shared" si="1"/>
        <v>330370458.3</v>
      </c>
      <c r="F76" s="4" t="s">
        <v>63</v>
      </c>
      <c r="G76" s="4" t="s">
        <v>65</v>
      </c>
    </row>
    <row r="77" ht="15.75" customHeight="1">
      <c r="A77" s="8">
        <v>46140.0</v>
      </c>
      <c r="B77" s="4" t="s">
        <v>383</v>
      </c>
      <c r="C77" s="5">
        <v>0.0</v>
      </c>
      <c r="D77" s="5">
        <v>7.5466398E7</v>
      </c>
      <c r="E77" s="5">
        <f t="shared" si="1"/>
        <v>405836856.3</v>
      </c>
      <c r="F77" s="4" t="s">
        <v>75</v>
      </c>
      <c r="G77" s="4" t="s">
        <v>76</v>
      </c>
      <c r="H77" s="4" t="s">
        <v>314</v>
      </c>
      <c r="I77" s="4" t="s">
        <v>386</v>
      </c>
    </row>
    <row r="78" ht="15.75" customHeight="1">
      <c r="A78" s="8">
        <v>46140.0</v>
      </c>
      <c r="B78" s="4" t="s">
        <v>388</v>
      </c>
      <c r="C78" s="5">
        <v>0.0</v>
      </c>
      <c r="D78" s="5">
        <v>8.31138E7</v>
      </c>
      <c r="E78" s="5">
        <f t="shared" si="1"/>
        <v>488950656.3</v>
      </c>
      <c r="F78" s="4" t="s">
        <v>75</v>
      </c>
      <c r="G78" s="4" t="s">
        <v>76</v>
      </c>
      <c r="H78" s="4" t="s">
        <v>391</v>
      </c>
      <c r="I78" s="4" t="s">
        <v>392</v>
      </c>
    </row>
    <row r="79" ht="15.75" customHeight="1">
      <c r="A79" s="8">
        <v>46141.0</v>
      </c>
      <c r="B79" s="4" t="s">
        <v>394</v>
      </c>
      <c r="C79" s="5">
        <v>4.40025E7</v>
      </c>
      <c r="D79" s="5">
        <v>0.0</v>
      </c>
      <c r="E79" s="5">
        <f t="shared" si="1"/>
        <v>444948156.3</v>
      </c>
      <c r="F79" s="14" t="s">
        <v>21</v>
      </c>
      <c r="G79" s="14" t="s">
        <v>187</v>
      </c>
    </row>
    <row r="80" ht="15.75" customHeight="1">
      <c r="A80" s="8">
        <v>46141.0</v>
      </c>
      <c r="B80" s="4" t="s">
        <v>397</v>
      </c>
      <c r="C80" s="5">
        <v>2500.0</v>
      </c>
      <c r="D80" s="5">
        <v>0.0</v>
      </c>
      <c r="E80" s="5">
        <f t="shared" si="1"/>
        <v>444945656.3</v>
      </c>
      <c r="F80" s="4" t="s">
        <v>43</v>
      </c>
      <c r="G80" s="4" t="s">
        <v>45</v>
      </c>
    </row>
    <row r="81" ht="15.75" customHeight="1">
      <c r="A81" s="8">
        <v>46141.0</v>
      </c>
      <c r="B81" s="4" t="s">
        <v>399</v>
      </c>
      <c r="C81" s="5">
        <v>1.14943156E8</v>
      </c>
      <c r="D81" s="5">
        <v>0.0</v>
      </c>
      <c r="E81" s="5">
        <f t="shared" si="1"/>
        <v>330002500.3</v>
      </c>
      <c r="F81" s="15" t="s">
        <v>21</v>
      </c>
      <c r="G81" s="15" t="s">
        <v>169</v>
      </c>
    </row>
    <row r="82" ht="15.75" customHeight="1">
      <c r="A82" s="8">
        <v>46141.0</v>
      </c>
      <c r="B82" s="4" t="s">
        <v>399</v>
      </c>
      <c r="C82" s="5">
        <v>2500.0</v>
      </c>
      <c r="D82" s="5">
        <v>0.0</v>
      </c>
      <c r="E82" s="5">
        <f t="shared" si="1"/>
        <v>330000000.3</v>
      </c>
      <c r="F82" s="4" t="s">
        <v>43</v>
      </c>
      <c r="G82" s="4" t="s">
        <v>45</v>
      </c>
    </row>
    <row r="83" ht="15.75" customHeight="1">
      <c r="A83" s="8">
        <v>46147.0</v>
      </c>
      <c r="B83" s="4" t="s">
        <v>405</v>
      </c>
      <c r="C83" s="5">
        <v>0.0</v>
      </c>
      <c r="D83" s="5">
        <v>7.6510969E7</v>
      </c>
      <c r="E83" s="5">
        <f t="shared" si="1"/>
        <v>406510969.3</v>
      </c>
      <c r="F83" s="4" t="s">
        <v>93</v>
      </c>
      <c r="G83" s="4" t="s">
        <v>93</v>
      </c>
      <c r="H83" s="4" t="s">
        <v>20</v>
      </c>
    </row>
    <row r="84" ht="15.75" customHeight="1">
      <c r="A84" s="8">
        <v>46148.0</v>
      </c>
      <c r="B84" s="4" t="s">
        <v>410</v>
      </c>
      <c r="C84" s="5">
        <v>0.0</v>
      </c>
      <c r="D84" s="5">
        <v>1.52105416E8</v>
      </c>
      <c r="E84" s="5">
        <f t="shared" si="1"/>
        <v>558616385.3</v>
      </c>
      <c r="F84" s="4" t="s">
        <v>75</v>
      </c>
      <c r="G84" s="4" t="s">
        <v>76</v>
      </c>
      <c r="H84" s="14" t="s">
        <v>404</v>
      </c>
      <c r="I84" s="4" t="s">
        <v>415</v>
      </c>
    </row>
    <row r="85" ht="15.75" customHeight="1">
      <c r="A85" s="8">
        <v>46149.0</v>
      </c>
      <c r="B85" s="4" t="s">
        <v>416</v>
      </c>
      <c r="C85" s="5">
        <v>4.184533E7</v>
      </c>
      <c r="D85" s="5">
        <v>0.0</v>
      </c>
      <c r="E85" s="5">
        <f t="shared" si="1"/>
        <v>516771055.3</v>
      </c>
      <c r="F85" s="4" t="s">
        <v>93</v>
      </c>
      <c r="G85" s="4" t="s">
        <v>93</v>
      </c>
      <c r="H85" s="4" t="s">
        <v>6</v>
      </c>
    </row>
    <row r="86" ht="15.75" customHeight="1">
      <c r="A86" s="8">
        <v>46149.0</v>
      </c>
      <c r="B86" s="4" t="s">
        <v>420</v>
      </c>
      <c r="C86" s="5">
        <v>2.8973373E7</v>
      </c>
      <c r="D86" s="5">
        <v>0.0</v>
      </c>
      <c r="E86" s="5">
        <f t="shared" si="1"/>
        <v>487797682.3</v>
      </c>
      <c r="F86" s="4" t="s">
        <v>21</v>
      </c>
      <c r="G86" s="4" t="s">
        <v>136</v>
      </c>
      <c r="H86" s="4" t="s">
        <v>28</v>
      </c>
    </row>
    <row r="87" ht="15.75" customHeight="1">
      <c r="A87" s="8">
        <v>46149.0</v>
      </c>
      <c r="B87" s="4" t="s">
        <v>422</v>
      </c>
      <c r="C87" s="5">
        <v>5692266.0</v>
      </c>
      <c r="D87" s="5">
        <v>0.0</v>
      </c>
      <c r="E87" s="5">
        <f t="shared" si="1"/>
        <v>482105416.3</v>
      </c>
      <c r="F87" s="4" t="s">
        <v>21</v>
      </c>
      <c r="G87" s="4" t="s">
        <v>136</v>
      </c>
      <c r="H87" s="4" t="s">
        <v>28</v>
      </c>
    </row>
    <row r="88" ht="15.75" customHeight="1">
      <c r="A88" s="8">
        <v>46149.0</v>
      </c>
      <c r="B88" s="4" t="s">
        <v>416</v>
      </c>
      <c r="C88" s="5">
        <v>0.0</v>
      </c>
      <c r="D88" s="5">
        <v>4.184533E7</v>
      </c>
      <c r="E88" s="5">
        <f t="shared" si="1"/>
        <v>523950746.3</v>
      </c>
      <c r="F88" s="4" t="s">
        <v>93</v>
      </c>
      <c r="G88" s="4" t="s">
        <v>93</v>
      </c>
      <c r="H88" s="4" t="s">
        <v>6</v>
      </c>
    </row>
    <row r="89" ht="15.75" customHeight="1">
      <c r="A89" s="8">
        <v>46149.0</v>
      </c>
      <c r="B89" s="4" t="s">
        <v>426</v>
      </c>
      <c r="C89" s="5">
        <v>7.6510969E7</v>
      </c>
      <c r="D89" s="5">
        <v>0.0</v>
      </c>
      <c r="E89" s="5">
        <f t="shared" si="1"/>
        <v>447439777.3</v>
      </c>
      <c r="F89" s="4" t="s">
        <v>93</v>
      </c>
      <c r="G89" s="4" t="s">
        <v>93</v>
      </c>
      <c r="H89" s="4" t="s">
        <v>20</v>
      </c>
    </row>
    <row r="90" ht="15.75" customHeight="1">
      <c r="A90" s="8">
        <v>46149.0</v>
      </c>
      <c r="B90" s="4" t="s">
        <v>426</v>
      </c>
      <c r="C90" s="5">
        <v>2500.0</v>
      </c>
      <c r="D90" s="5">
        <v>0.0</v>
      </c>
      <c r="E90" s="5">
        <f t="shared" si="1"/>
        <v>447437277.3</v>
      </c>
      <c r="F90" s="4" t="s">
        <v>43</v>
      </c>
      <c r="G90" s="4" t="s">
        <v>45</v>
      </c>
    </row>
    <row r="91" ht="15.75" customHeight="1">
      <c r="A91" s="8">
        <v>46149.0</v>
      </c>
      <c r="B91" s="4" t="s">
        <v>430</v>
      </c>
      <c r="C91" s="5">
        <v>5.0E7</v>
      </c>
      <c r="D91" s="5">
        <v>0.0</v>
      </c>
      <c r="E91" s="5">
        <f t="shared" si="1"/>
        <v>397437277.3</v>
      </c>
      <c r="F91" s="4" t="s">
        <v>21</v>
      </c>
      <c r="G91" s="4" t="s">
        <v>169</v>
      </c>
    </row>
    <row r="92" ht="15.75" customHeight="1">
      <c r="A92" s="8">
        <v>46149.0</v>
      </c>
      <c r="B92" s="4" t="s">
        <v>430</v>
      </c>
      <c r="C92" s="5">
        <v>2500.0</v>
      </c>
      <c r="D92" s="5">
        <v>0.0</v>
      </c>
      <c r="E92" s="5">
        <f t="shared" si="1"/>
        <v>397434777.3</v>
      </c>
      <c r="F92" s="4" t="s">
        <v>43</v>
      </c>
      <c r="G92" s="4" t="s">
        <v>45</v>
      </c>
    </row>
    <row r="93" ht="15.75" customHeight="1">
      <c r="A93" s="8">
        <v>46149.0</v>
      </c>
      <c r="B93" s="17" t="s">
        <v>434</v>
      </c>
      <c r="C93" s="5">
        <v>6.7432277E7</v>
      </c>
      <c r="D93" s="5">
        <v>0.0</v>
      </c>
      <c r="E93" s="5">
        <f t="shared" si="1"/>
        <v>330002500.3</v>
      </c>
      <c r="F93" s="4" t="s">
        <v>21</v>
      </c>
      <c r="G93" s="4" t="s">
        <v>187</v>
      </c>
    </row>
    <row r="94" ht="15.75" customHeight="1">
      <c r="A94" s="8">
        <v>46149.0</v>
      </c>
      <c r="B94" s="17" t="s">
        <v>434</v>
      </c>
      <c r="C94" s="5">
        <v>2500.0</v>
      </c>
      <c r="D94" s="5">
        <v>0.0</v>
      </c>
      <c r="E94" s="5">
        <f t="shared" si="1"/>
        <v>330000000.3</v>
      </c>
      <c r="F94" s="4" t="s">
        <v>43</v>
      </c>
      <c r="G94" s="4" t="s">
        <v>45</v>
      </c>
    </row>
    <row r="95" ht="15.75" customHeight="1">
      <c r="A95" s="8">
        <v>46149.0</v>
      </c>
      <c r="B95" s="4" t="s">
        <v>440</v>
      </c>
      <c r="C95" s="5">
        <v>0.0</v>
      </c>
      <c r="D95" s="5">
        <v>1.04598144E8</v>
      </c>
      <c r="E95" s="5">
        <f t="shared" si="1"/>
        <v>434598144.3</v>
      </c>
      <c r="F95" s="4" t="s">
        <v>75</v>
      </c>
      <c r="G95" s="4" t="s">
        <v>76</v>
      </c>
      <c r="H95" s="4" t="s">
        <v>443</v>
      </c>
      <c r="I95" s="4" t="s">
        <v>444</v>
      </c>
    </row>
    <row r="96" ht="15.75" customHeight="1">
      <c r="A96" s="8">
        <v>46149.0</v>
      </c>
      <c r="B96" s="4" t="s">
        <v>446</v>
      </c>
      <c r="C96" s="5">
        <v>1.04595644E8</v>
      </c>
      <c r="D96" s="5">
        <v>0.0</v>
      </c>
      <c r="E96" s="5">
        <f t="shared" si="1"/>
        <v>330002500.3</v>
      </c>
      <c r="F96" s="4" t="s">
        <v>21</v>
      </c>
      <c r="G96" s="4" t="s">
        <v>169</v>
      </c>
    </row>
    <row r="97" ht="15.75" customHeight="1">
      <c r="A97" s="8">
        <v>46149.0</v>
      </c>
      <c r="B97" s="4" t="s">
        <v>446</v>
      </c>
      <c r="C97" s="5">
        <v>2500.0</v>
      </c>
      <c r="D97" s="5">
        <v>0.0</v>
      </c>
      <c r="E97" s="5">
        <f t="shared" si="1"/>
        <v>330000000.3</v>
      </c>
      <c r="F97" s="4" t="s">
        <v>43</v>
      </c>
      <c r="G97" s="4" t="s">
        <v>45</v>
      </c>
    </row>
    <row r="98" ht="15.75" customHeight="1">
      <c r="A98" s="8">
        <v>46155.0</v>
      </c>
      <c r="B98" s="4" t="s">
        <v>455</v>
      </c>
      <c r="C98" s="5">
        <v>0.0</v>
      </c>
      <c r="D98" s="5">
        <v>4.184533E7</v>
      </c>
      <c r="E98" s="5">
        <f t="shared" si="1"/>
        <v>371845330.3</v>
      </c>
      <c r="F98" s="4" t="s">
        <v>21</v>
      </c>
      <c r="G98" s="14" t="s">
        <v>298</v>
      </c>
    </row>
    <row r="99" ht="15.75" customHeight="1">
      <c r="A99" s="8">
        <v>46157.0</v>
      </c>
      <c r="B99" s="4" t="s">
        <v>461</v>
      </c>
      <c r="C99" s="5">
        <v>4.184533E7</v>
      </c>
      <c r="D99" s="5">
        <v>0.0</v>
      </c>
      <c r="E99" s="5">
        <f t="shared" si="1"/>
        <v>330000000.3</v>
      </c>
      <c r="F99" s="4" t="s">
        <v>21</v>
      </c>
      <c r="G99" s="4" t="s">
        <v>136</v>
      </c>
      <c r="H99" s="4" t="s">
        <v>28</v>
      </c>
    </row>
    <row r="100" ht="15.75" customHeight="1">
      <c r="A100" s="8">
        <v>46167.0</v>
      </c>
      <c r="B100" s="4" t="s">
        <v>60</v>
      </c>
      <c r="C100" s="5">
        <v>0.0</v>
      </c>
      <c r="D100" s="5">
        <v>146956.0</v>
      </c>
      <c r="E100" s="5">
        <f t="shared" si="1"/>
        <v>330146956.3</v>
      </c>
      <c r="F100" s="4" t="s">
        <v>63</v>
      </c>
      <c r="G100" s="4" t="s">
        <v>65</v>
      </c>
    </row>
    <row r="101" ht="15.75" customHeight="1">
      <c r="A101" s="8">
        <v>46167.0</v>
      </c>
      <c r="B101" s="4" t="s">
        <v>67</v>
      </c>
      <c r="C101" s="5">
        <v>29391.0</v>
      </c>
      <c r="D101" s="5">
        <v>0.0</v>
      </c>
      <c r="E101" s="5">
        <f t="shared" si="1"/>
        <v>330117565.3</v>
      </c>
      <c r="F101" s="4" t="s">
        <v>63</v>
      </c>
      <c r="G101" s="4" t="s">
        <v>65</v>
      </c>
    </row>
    <row r="102" ht="15.75" customHeight="1">
      <c r="A102" s="8">
        <v>46188.0</v>
      </c>
      <c r="B102" s="4" t="s">
        <v>473</v>
      </c>
      <c r="C102" s="5">
        <v>0.0</v>
      </c>
      <c r="D102" s="5">
        <v>6.18018018E8</v>
      </c>
      <c r="E102" s="5">
        <f t="shared" si="1"/>
        <v>948135583.3</v>
      </c>
      <c r="F102" s="4" t="s">
        <v>75</v>
      </c>
      <c r="G102" s="4" t="s">
        <v>76</v>
      </c>
      <c r="H102" s="14" t="s">
        <v>476</v>
      </c>
      <c r="I102" s="16" t="s">
        <v>477</v>
      </c>
    </row>
    <row r="103" ht="15.75" customHeight="1">
      <c r="A103" s="8">
        <v>46190.0</v>
      </c>
      <c r="B103" s="4" t="s">
        <v>479</v>
      </c>
      <c r="C103" s="5">
        <v>1.18E8</v>
      </c>
      <c r="D103" s="5">
        <v>0.0</v>
      </c>
      <c r="E103" s="5">
        <f t="shared" si="1"/>
        <v>830135583.3</v>
      </c>
      <c r="F103" s="4" t="s">
        <v>21</v>
      </c>
      <c r="G103" s="4" t="s">
        <v>187</v>
      </c>
    </row>
    <row r="104" ht="15.75" customHeight="1">
      <c r="A104" s="8">
        <v>46190.0</v>
      </c>
      <c r="B104" s="4" t="s">
        <v>479</v>
      </c>
      <c r="C104" s="5">
        <v>2500.0</v>
      </c>
      <c r="D104" s="5">
        <v>0.0</v>
      </c>
      <c r="E104" s="5">
        <f t="shared" si="1"/>
        <v>830133083.3</v>
      </c>
      <c r="F104" s="4" t="s">
        <v>43</v>
      </c>
      <c r="G104" s="4" t="s">
        <v>45</v>
      </c>
    </row>
    <row r="105" ht="15.75" customHeight="1">
      <c r="A105" s="8">
        <v>46190.0</v>
      </c>
      <c r="B105" s="4" t="s">
        <v>486</v>
      </c>
      <c r="C105" s="5">
        <v>2.5E8</v>
      </c>
      <c r="D105" s="5">
        <v>0.0</v>
      </c>
      <c r="E105" s="5">
        <f t="shared" si="1"/>
        <v>580133083.3</v>
      </c>
      <c r="F105" s="4" t="s">
        <v>21</v>
      </c>
      <c r="G105" s="4" t="s">
        <v>187</v>
      </c>
    </row>
    <row r="106" ht="15.75" customHeight="1">
      <c r="A106" s="8">
        <v>46190.0</v>
      </c>
      <c r="B106" s="4" t="s">
        <v>486</v>
      </c>
      <c r="C106" s="5">
        <v>2500.0</v>
      </c>
      <c r="D106" s="5">
        <v>0.0</v>
      </c>
      <c r="E106" s="5">
        <f t="shared" si="1"/>
        <v>580130583.3</v>
      </c>
      <c r="F106" s="4" t="s">
        <v>43</v>
      </c>
      <c r="G106" s="4" t="s">
        <v>45</v>
      </c>
    </row>
    <row r="107" ht="15.75" customHeight="1">
      <c r="A107" s="8">
        <v>46190.0</v>
      </c>
      <c r="B107" s="4" t="s">
        <v>494</v>
      </c>
      <c r="C107" s="5">
        <v>2.5E8</v>
      </c>
      <c r="D107" s="5">
        <v>0.0</v>
      </c>
      <c r="E107" s="5">
        <f t="shared" si="1"/>
        <v>330130583.3</v>
      </c>
      <c r="F107" s="4" t="s">
        <v>21</v>
      </c>
      <c r="G107" s="4" t="s">
        <v>169</v>
      </c>
    </row>
    <row r="108" ht="15.75" customHeight="1">
      <c r="A108" s="8">
        <v>46190.0</v>
      </c>
      <c r="B108" s="4" t="s">
        <v>494</v>
      </c>
      <c r="C108" s="5">
        <v>2500.0</v>
      </c>
      <c r="D108" s="5">
        <v>0.0</v>
      </c>
      <c r="E108" s="5">
        <f t="shared" si="1"/>
        <v>330128083.3</v>
      </c>
      <c r="F108" s="4" t="s">
        <v>43</v>
      </c>
      <c r="G108" s="4" t="s">
        <v>45</v>
      </c>
    </row>
    <row r="109" ht="15.75" customHeight="1">
      <c r="A109" s="8">
        <v>46192.0</v>
      </c>
      <c r="B109" s="4" t="s">
        <v>500</v>
      </c>
      <c r="C109" s="5">
        <v>125583.0</v>
      </c>
      <c r="D109" s="5">
        <v>0.0</v>
      </c>
      <c r="E109" s="5">
        <f t="shared" si="1"/>
        <v>330002500.3</v>
      </c>
      <c r="F109" s="14" t="s">
        <v>21</v>
      </c>
      <c r="G109" s="14" t="s">
        <v>187</v>
      </c>
    </row>
    <row r="110" ht="15.75" customHeight="1">
      <c r="A110" s="8">
        <v>46192.0</v>
      </c>
      <c r="B110" s="4" t="s">
        <v>500</v>
      </c>
      <c r="C110" s="5">
        <v>2500.0</v>
      </c>
      <c r="D110" s="5">
        <v>0.0</v>
      </c>
      <c r="E110" s="5">
        <f t="shared" si="1"/>
        <v>330000000.3</v>
      </c>
      <c r="F110" s="4" t="s">
        <v>43</v>
      </c>
      <c r="G110" s="4" t="s">
        <v>45</v>
      </c>
    </row>
    <row r="111" ht="15.75" customHeight="1">
      <c r="A111" s="8">
        <v>46195.0</v>
      </c>
      <c r="B111" s="4" t="s">
        <v>506</v>
      </c>
      <c r="C111" s="5">
        <v>0.0</v>
      </c>
      <c r="D111" s="5">
        <v>1258409.0</v>
      </c>
      <c r="E111" s="5">
        <f t="shared" si="1"/>
        <v>331258409.3</v>
      </c>
      <c r="F111" s="14" t="s">
        <v>21</v>
      </c>
      <c r="G111" s="14" t="s">
        <v>298</v>
      </c>
    </row>
    <row r="112" ht="15.75" customHeight="1">
      <c r="A112" s="8">
        <v>46195.0</v>
      </c>
      <c r="B112" s="4" t="s">
        <v>510</v>
      </c>
      <c r="C112" s="5">
        <v>915400.0</v>
      </c>
      <c r="D112" s="5">
        <v>0.0</v>
      </c>
      <c r="E112" s="5">
        <f t="shared" si="1"/>
        <v>330343009.3</v>
      </c>
      <c r="F112" s="4" t="s">
        <v>21</v>
      </c>
      <c r="G112" s="4" t="s">
        <v>136</v>
      </c>
      <c r="H112" s="4" t="s">
        <v>28</v>
      </c>
    </row>
    <row r="113" ht="15.75" customHeight="1">
      <c r="A113" s="8">
        <v>46195.0</v>
      </c>
      <c r="B113" s="4" t="s">
        <v>514</v>
      </c>
      <c r="C113" s="5">
        <v>343009.0</v>
      </c>
      <c r="D113" s="5">
        <v>0.0</v>
      </c>
      <c r="E113" s="5">
        <f t="shared" si="1"/>
        <v>330000000.3</v>
      </c>
      <c r="F113" s="4" t="s">
        <v>21</v>
      </c>
      <c r="G113" s="4" t="s">
        <v>136</v>
      </c>
      <c r="H113" s="4" t="s">
        <v>28</v>
      </c>
    </row>
    <row r="114" ht="15.75" customHeight="1">
      <c r="A114" s="8">
        <v>46198.0</v>
      </c>
      <c r="B114" s="4" t="s">
        <v>60</v>
      </c>
      <c r="C114" s="5">
        <v>0.0</v>
      </c>
      <c r="D114" s="5">
        <v>170096.0</v>
      </c>
      <c r="E114" s="5">
        <f t="shared" si="1"/>
        <v>330170096.3</v>
      </c>
      <c r="F114" s="4" t="s">
        <v>63</v>
      </c>
      <c r="G114" s="4" t="s">
        <v>65</v>
      </c>
    </row>
    <row r="115" ht="15.75" customHeight="1">
      <c r="A115" s="8">
        <v>46198.0</v>
      </c>
      <c r="B115" s="4" t="s">
        <v>67</v>
      </c>
      <c r="C115" s="5">
        <v>34019.0</v>
      </c>
      <c r="D115" s="5">
        <v>0.0</v>
      </c>
      <c r="E115" s="5">
        <f t="shared" si="1"/>
        <v>330136077.3</v>
      </c>
      <c r="F115" s="4" t="s">
        <v>63</v>
      </c>
      <c r="G115" s="4" t="s">
        <v>65</v>
      </c>
    </row>
    <row r="116" ht="15.75" customHeight="1">
      <c r="A116" s="8">
        <v>46203.0</v>
      </c>
      <c r="B116" s="4" t="s">
        <v>524</v>
      </c>
      <c r="C116" s="5">
        <v>0.0</v>
      </c>
      <c r="D116" s="5">
        <v>7.94594595E8</v>
      </c>
      <c r="E116" s="5">
        <f t="shared" si="1"/>
        <v>1124730672</v>
      </c>
      <c r="F116" s="4" t="s">
        <v>75</v>
      </c>
      <c r="G116" s="4" t="s">
        <v>76</v>
      </c>
      <c r="H116" s="14" t="s">
        <v>526</v>
      </c>
      <c r="I116" s="18" t="s">
        <v>528</v>
      </c>
    </row>
    <row r="117" ht="15.75" customHeight="1">
      <c r="A117" s="8">
        <v>46203.0</v>
      </c>
      <c r="B117" s="4" t="s">
        <v>531</v>
      </c>
      <c r="C117" s="5">
        <v>2.5E8</v>
      </c>
      <c r="D117" s="5">
        <v>0.0</v>
      </c>
      <c r="E117" s="5">
        <f t="shared" si="1"/>
        <v>874730672.3</v>
      </c>
      <c r="F117" s="14" t="s">
        <v>21</v>
      </c>
      <c r="G117" s="14" t="s">
        <v>187</v>
      </c>
    </row>
    <row r="118" ht="15.75" customHeight="1">
      <c r="A118" s="8">
        <v>46203.0</v>
      </c>
      <c r="B118" s="4" t="s">
        <v>536</v>
      </c>
      <c r="C118" s="5">
        <v>2500.0</v>
      </c>
      <c r="D118" s="5">
        <v>0.0</v>
      </c>
      <c r="E118" s="5">
        <f t="shared" si="1"/>
        <v>874728172.3</v>
      </c>
      <c r="F118" s="4" t="s">
        <v>43</v>
      </c>
      <c r="G118" s="4" t="s">
        <v>45</v>
      </c>
    </row>
    <row r="119" ht="15.75" customHeight="1">
      <c r="A119" s="8">
        <v>46203.0</v>
      </c>
      <c r="B119" s="4" t="s">
        <v>541</v>
      </c>
      <c r="C119" s="5">
        <v>2.5E8</v>
      </c>
      <c r="D119" s="5">
        <v>0.0</v>
      </c>
      <c r="E119" s="5">
        <f t="shared" si="1"/>
        <v>624728172.3</v>
      </c>
      <c r="F119" s="14" t="s">
        <v>21</v>
      </c>
      <c r="G119" s="14" t="s">
        <v>169</v>
      </c>
    </row>
    <row r="120" ht="15.75" customHeight="1">
      <c r="A120" s="8">
        <v>46203.0</v>
      </c>
      <c r="B120" s="4" t="s">
        <v>541</v>
      </c>
      <c r="C120" s="5">
        <v>2500.0</v>
      </c>
      <c r="D120" s="5">
        <v>0.0</v>
      </c>
      <c r="E120" s="5">
        <f t="shared" si="1"/>
        <v>624725672.3</v>
      </c>
      <c r="F120" s="4" t="s">
        <v>43</v>
      </c>
      <c r="G120" s="4" t="s">
        <v>45</v>
      </c>
    </row>
    <row r="121" ht="15.75" customHeight="1">
      <c r="A121" s="8">
        <v>46203.0</v>
      </c>
      <c r="B121" s="4" t="s">
        <v>545</v>
      </c>
      <c r="C121" s="5">
        <v>2.5E8</v>
      </c>
      <c r="D121" s="5">
        <v>0.0</v>
      </c>
      <c r="E121" s="5">
        <f t="shared" si="1"/>
        <v>374725672.3</v>
      </c>
      <c r="F121" s="14" t="s">
        <v>21</v>
      </c>
      <c r="G121" s="14" t="s">
        <v>169</v>
      </c>
    </row>
    <row r="122" ht="15.75" customHeight="1">
      <c r="A122" s="8">
        <v>46203.0</v>
      </c>
      <c r="B122" s="4" t="s">
        <v>545</v>
      </c>
      <c r="C122" s="5">
        <v>2500.0</v>
      </c>
      <c r="D122" s="5">
        <v>0.0</v>
      </c>
      <c r="E122" s="5">
        <f t="shared" si="1"/>
        <v>374723172.3</v>
      </c>
      <c r="F122" s="4" t="s">
        <v>43</v>
      </c>
      <c r="G122" s="4" t="s">
        <v>45</v>
      </c>
    </row>
    <row r="123" ht="15.75" customHeight="1">
      <c r="A123" s="8">
        <v>46203.0</v>
      </c>
      <c r="B123" s="4" t="s">
        <v>550</v>
      </c>
      <c r="C123" s="5">
        <v>4.4720672E7</v>
      </c>
      <c r="D123" s="5">
        <v>0.0</v>
      </c>
      <c r="E123" s="5">
        <f t="shared" si="1"/>
        <v>330002500.3</v>
      </c>
      <c r="F123" s="14" t="s">
        <v>21</v>
      </c>
      <c r="G123" s="14" t="s">
        <v>169</v>
      </c>
    </row>
    <row r="124" ht="15.75" customHeight="1">
      <c r="A124" s="8">
        <v>46203.0</v>
      </c>
      <c r="B124" s="4" t="s">
        <v>550</v>
      </c>
      <c r="C124" s="5">
        <v>2500.0</v>
      </c>
      <c r="D124" s="5">
        <v>0.0</v>
      </c>
      <c r="E124" s="5">
        <f t="shared" si="1"/>
        <v>330000000.3</v>
      </c>
      <c r="F124" s="4" t="s">
        <v>43</v>
      </c>
      <c r="G124" s="4" t="s">
        <v>45</v>
      </c>
    </row>
    <row r="125" ht="15.75" customHeight="1">
      <c r="A125" s="8">
        <v>46206.0</v>
      </c>
      <c r="B125" s="4" t="s">
        <v>555</v>
      </c>
      <c r="C125" s="5">
        <v>0.0</v>
      </c>
      <c r="D125" s="5">
        <v>7.06306307E8</v>
      </c>
      <c r="E125" s="5">
        <f t="shared" si="1"/>
        <v>1036306307</v>
      </c>
      <c r="F125" s="14" t="s">
        <v>75</v>
      </c>
      <c r="G125" s="14" t="s">
        <v>76</v>
      </c>
      <c r="H125" s="14" t="s">
        <v>558</v>
      </c>
      <c r="I125" s="16" t="s">
        <v>560</v>
      </c>
    </row>
    <row r="126" ht="15.75" customHeight="1">
      <c r="A126" s="8">
        <v>46210.0</v>
      </c>
      <c r="B126" s="4" t="s">
        <v>561</v>
      </c>
      <c r="C126" s="5">
        <v>0.0</v>
      </c>
      <c r="D126" s="5">
        <v>2.5E8</v>
      </c>
      <c r="E126" s="5">
        <f t="shared" si="1"/>
        <v>1286306307</v>
      </c>
      <c r="F126" s="14" t="s">
        <v>21</v>
      </c>
      <c r="G126" s="14" t="s">
        <v>298</v>
      </c>
      <c r="H126" s="14"/>
      <c r="I126" s="16"/>
    </row>
    <row r="127" ht="15.75" customHeight="1">
      <c r="A127" s="8">
        <v>46210.0</v>
      </c>
      <c r="B127" s="4" t="s">
        <v>565</v>
      </c>
      <c r="C127" s="5">
        <v>0.0</v>
      </c>
      <c r="D127" s="5">
        <v>5.2506193E7</v>
      </c>
      <c r="E127" s="5">
        <f t="shared" si="1"/>
        <v>1338812500</v>
      </c>
      <c r="F127" s="14" t="s">
        <v>21</v>
      </c>
      <c r="G127" s="14" t="s">
        <v>298</v>
      </c>
      <c r="H127" s="14"/>
      <c r="I127" s="16"/>
    </row>
    <row r="128" ht="15.75" customHeight="1">
      <c r="A128" s="8">
        <v>46210.0</v>
      </c>
      <c r="B128" s="4" t="s">
        <v>567</v>
      </c>
      <c r="C128" s="5">
        <v>1.0E9</v>
      </c>
      <c r="D128" s="5">
        <v>0.0</v>
      </c>
      <c r="E128" s="5">
        <f t="shared" si="1"/>
        <v>338812500.3</v>
      </c>
      <c r="F128" s="14" t="s">
        <v>21</v>
      </c>
      <c r="G128" s="14" t="s">
        <v>568</v>
      </c>
      <c r="H128" s="14"/>
      <c r="I128" s="16"/>
    </row>
    <row r="129" ht="15.75" customHeight="1">
      <c r="A129" s="8">
        <v>46210.0</v>
      </c>
      <c r="B129" s="4" t="s">
        <v>570</v>
      </c>
      <c r="C129" s="5">
        <v>2900.0</v>
      </c>
      <c r="D129" s="5">
        <v>0.0</v>
      </c>
      <c r="E129" s="5">
        <f t="shared" si="1"/>
        <v>338809600.3</v>
      </c>
      <c r="F129" s="14" t="s">
        <v>43</v>
      </c>
      <c r="G129" s="14" t="s">
        <v>45</v>
      </c>
      <c r="H129" s="14"/>
      <c r="I129" s="16"/>
    </row>
    <row r="130" ht="15.75" customHeight="1">
      <c r="A130" s="8">
        <v>46210.0</v>
      </c>
      <c r="B130" s="4" t="s">
        <v>572</v>
      </c>
      <c r="C130" s="5">
        <v>8800000.0</v>
      </c>
      <c r="D130" s="5">
        <v>0.0</v>
      </c>
      <c r="E130" s="5">
        <f t="shared" si="1"/>
        <v>330009600.3</v>
      </c>
      <c r="F130" s="14" t="s">
        <v>21</v>
      </c>
      <c r="G130" s="14" t="s">
        <v>568</v>
      </c>
      <c r="H130" s="14"/>
      <c r="I130" s="16"/>
    </row>
    <row r="131" ht="15.75" customHeight="1">
      <c r="A131" s="8">
        <v>46210.0</v>
      </c>
      <c r="B131" s="4" t="s">
        <v>572</v>
      </c>
      <c r="C131" s="5">
        <v>2500.0</v>
      </c>
      <c r="D131" s="5">
        <v>0.0</v>
      </c>
      <c r="E131" s="5">
        <f t="shared" si="1"/>
        <v>330007100.3</v>
      </c>
      <c r="F131" s="14" t="s">
        <v>43</v>
      </c>
      <c r="G131" s="14" t="s">
        <v>45</v>
      </c>
      <c r="H131" s="14"/>
      <c r="I131" s="16"/>
    </row>
    <row r="132" ht="15.75" customHeight="1">
      <c r="A132" s="8">
        <v>46218.0</v>
      </c>
      <c r="B132" s="4" t="s">
        <v>574</v>
      </c>
      <c r="C132" s="5">
        <v>0.0</v>
      </c>
      <c r="D132" s="5">
        <v>1391789.0</v>
      </c>
      <c r="E132" s="5">
        <f t="shared" si="1"/>
        <v>331398889.3</v>
      </c>
      <c r="F132" s="14" t="s">
        <v>21</v>
      </c>
      <c r="G132" s="14" t="s">
        <v>298</v>
      </c>
      <c r="H132" s="14"/>
      <c r="I132" s="16"/>
    </row>
    <row r="133" ht="15.75" customHeight="1">
      <c r="A133" s="8">
        <v>46218.0</v>
      </c>
      <c r="B133" s="4" t="s">
        <v>575</v>
      </c>
      <c r="C133" s="5">
        <v>957104.0</v>
      </c>
      <c r="D133" s="5">
        <v>0.0</v>
      </c>
      <c r="E133" s="5">
        <f t="shared" si="1"/>
        <v>330441785.3</v>
      </c>
      <c r="F133" s="14" t="s">
        <v>21</v>
      </c>
      <c r="G133" s="14" t="s">
        <v>136</v>
      </c>
      <c r="H133" s="14" t="s">
        <v>28</v>
      </c>
      <c r="I133" s="16"/>
    </row>
    <row r="134" ht="15.75" customHeight="1">
      <c r="A134" s="8">
        <v>46223.0</v>
      </c>
      <c r="B134" s="4" t="s">
        <v>577</v>
      </c>
      <c r="C134" s="5">
        <v>200000.0</v>
      </c>
      <c r="D134" s="5">
        <v>0.0</v>
      </c>
      <c r="E134" s="5">
        <f t="shared" si="1"/>
        <v>330241785.3</v>
      </c>
      <c r="F134" s="14" t="s">
        <v>43</v>
      </c>
      <c r="G134" s="14" t="s">
        <v>45</v>
      </c>
      <c r="H134" s="14"/>
      <c r="I134" s="16"/>
    </row>
    <row r="135" ht="15.75" customHeight="1">
      <c r="A135" s="8">
        <v>46223.0</v>
      </c>
      <c r="B135" s="4" t="s">
        <v>579</v>
      </c>
      <c r="C135" s="5">
        <v>200000.0</v>
      </c>
      <c r="D135" s="5">
        <v>0.0</v>
      </c>
      <c r="E135" s="5">
        <f t="shared" si="1"/>
        <v>330041785.3</v>
      </c>
      <c r="F135" s="14" t="s">
        <v>43</v>
      </c>
      <c r="G135" s="14" t="s">
        <v>45</v>
      </c>
      <c r="H135" s="14"/>
      <c r="I135" s="16"/>
    </row>
    <row r="136" ht="15.75" customHeight="1">
      <c r="A136" s="8">
        <v>46224.0</v>
      </c>
      <c r="B136" s="4" t="s">
        <v>581</v>
      </c>
      <c r="C136" s="5">
        <v>0.0</v>
      </c>
      <c r="D136" s="5">
        <v>4.07012E7</v>
      </c>
      <c r="E136" s="5">
        <f t="shared" si="1"/>
        <v>370742985.3</v>
      </c>
      <c r="F136" s="14" t="s">
        <v>21</v>
      </c>
      <c r="G136" s="14" t="s">
        <v>298</v>
      </c>
      <c r="H136" s="14"/>
      <c r="I136" s="16"/>
    </row>
    <row r="137" ht="15.75" customHeight="1">
      <c r="A137" s="8">
        <v>46227.0</v>
      </c>
      <c r="B137" s="4" t="s">
        <v>583</v>
      </c>
      <c r="C137" s="5">
        <v>4.0742985E7</v>
      </c>
      <c r="D137" s="5">
        <v>0.0</v>
      </c>
      <c r="E137" s="5">
        <f t="shared" si="1"/>
        <v>330000000.3</v>
      </c>
      <c r="F137" s="14" t="s">
        <v>21</v>
      </c>
      <c r="G137" s="14" t="s">
        <v>136</v>
      </c>
      <c r="H137" s="14" t="s">
        <v>28</v>
      </c>
      <c r="I137" s="16"/>
    </row>
    <row r="138" ht="15.75" customHeight="1">
      <c r="A138" s="8">
        <v>46228.0</v>
      </c>
      <c r="B138" s="4" t="s">
        <v>60</v>
      </c>
      <c r="C138" s="5">
        <v>0.0</v>
      </c>
      <c r="D138" s="5">
        <v>261208.0</v>
      </c>
      <c r="E138" s="5">
        <f t="shared" si="1"/>
        <v>330261208.3</v>
      </c>
      <c r="F138" s="14" t="s">
        <v>63</v>
      </c>
      <c r="G138" s="14" t="s">
        <v>65</v>
      </c>
      <c r="H138" s="14"/>
      <c r="I138" s="16"/>
    </row>
    <row r="139" ht="15.75" customHeight="1">
      <c r="A139" s="8">
        <v>46228.0</v>
      </c>
      <c r="B139" s="4" t="s">
        <v>67</v>
      </c>
      <c r="C139" s="5">
        <v>52242.0</v>
      </c>
      <c r="D139" s="5">
        <v>0.0</v>
      </c>
      <c r="E139" s="5">
        <f t="shared" si="1"/>
        <v>330208966.3</v>
      </c>
      <c r="F139" s="14" t="s">
        <v>63</v>
      </c>
      <c r="G139" s="14" t="s">
        <v>65</v>
      </c>
      <c r="H139" s="14"/>
      <c r="I139" s="16"/>
    </row>
    <row r="140" ht="15.75" customHeight="1">
      <c r="A140" s="8">
        <v>46229.0</v>
      </c>
      <c r="B140" s="4" t="s">
        <v>574</v>
      </c>
      <c r="C140" s="5">
        <v>0.0</v>
      </c>
      <c r="D140" s="5">
        <v>232819.0</v>
      </c>
      <c r="E140" s="5">
        <f t="shared" si="1"/>
        <v>330441785.3</v>
      </c>
      <c r="F140" s="14" t="s">
        <v>21</v>
      </c>
      <c r="G140" s="14" t="s">
        <v>298</v>
      </c>
      <c r="H140" s="14"/>
      <c r="I140" s="16"/>
    </row>
    <row r="141" ht="15.75" customHeight="1">
      <c r="A141" s="8">
        <v>46229.0</v>
      </c>
      <c r="B141" s="4" t="s">
        <v>588</v>
      </c>
      <c r="C141" s="5">
        <v>441785.0</v>
      </c>
      <c r="D141" s="5">
        <v>0.0</v>
      </c>
      <c r="E141" s="5">
        <f t="shared" si="1"/>
        <v>330000000.3</v>
      </c>
      <c r="F141" s="14" t="s">
        <v>21</v>
      </c>
      <c r="G141" s="14" t="s">
        <v>136</v>
      </c>
      <c r="H141" s="14" t="s">
        <v>28</v>
      </c>
      <c r="I141" s="16"/>
    </row>
    <row r="142" ht="15.75" customHeight="1">
      <c r="A142" s="8">
        <v>46234.0</v>
      </c>
      <c r="B142" s="4" t="s">
        <v>590</v>
      </c>
      <c r="C142" s="5">
        <v>0.0</v>
      </c>
      <c r="D142" s="5">
        <v>7.06306307E8</v>
      </c>
      <c r="E142" s="5">
        <f t="shared" si="1"/>
        <v>1036306307</v>
      </c>
      <c r="F142" s="14" t="s">
        <v>75</v>
      </c>
      <c r="G142" s="14" t="s">
        <v>76</v>
      </c>
      <c r="H142" s="14" t="s">
        <v>592</v>
      </c>
      <c r="I142" s="16" t="s">
        <v>593</v>
      </c>
    </row>
    <row r="143" ht="15.75" customHeight="1">
      <c r="A143" s="8">
        <v>46234.0</v>
      </c>
      <c r="B143" s="4" t="s">
        <v>594</v>
      </c>
      <c r="C143" s="5">
        <v>0.0</v>
      </c>
      <c r="D143" s="5">
        <v>2.0E7</v>
      </c>
      <c r="E143" s="5">
        <f t="shared" si="1"/>
        <v>1056306307</v>
      </c>
      <c r="F143" s="14" t="s">
        <v>21</v>
      </c>
      <c r="G143" s="14" t="s">
        <v>122</v>
      </c>
      <c r="H143" s="14" t="s">
        <v>595</v>
      </c>
      <c r="I143" s="16"/>
    </row>
    <row r="144" ht="15.75" customHeight="1">
      <c r="A144" s="8">
        <v>46237.0</v>
      </c>
      <c r="B144" s="4" t="s">
        <v>597</v>
      </c>
      <c r="C144" s="5">
        <v>5.90540541E8</v>
      </c>
      <c r="D144" s="5">
        <v>0.0</v>
      </c>
      <c r="E144" s="5">
        <f t="shared" si="1"/>
        <v>465765766.3</v>
      </c>
      <c r="F144" s="14" t="s">
        <v>21</v>
      </c>
      <c r="G144" s="14" t="s">
        <v>568</v>
      </c>
      <c r="H144" s="14"/>
      <c r="I144" s="16"/>
    </row>
    <row r="145" ht="15.75" customHeight="1">
      <c r="A145" s="8">
        <v>46237.0</v>
      </c>
      <c r="B145" s="4" t="s">
        <v>597</v>
      </c>
      <c r="C145" s="5">
        <v>2900.0</v>
      </c>
      <c r="D145" s="5">
        <v>0.0</v>
      </c>
      <c r="E145" s="5">
        <f t="shared" si="1"/>
        <v>465762866.3</v>
      </c>
      <c r="F145" s="14" t="s">
        <v>43</v>
      </c>
      <c r="G145" s="14" t="s">
        <v>45</v>
      </c>
      <c r="H145" s="14"/>
      <c r="I145" s="16"/>
    </row>
    <row r="146" ht="15.75" customHeight="1">
      <c r="A146" s="8">
        <v>46241.0</v>
      </c>
      <c r="B146" s="4" t="s">
        <v>598</v>
      </c>
      <c r="C146" s="5">
        <v>1.35760366E8</v>
      </c>
      <c r="D146" s="5">
        <v>0.0</v>
      </c>
      <c r="E146" s="5">
        <f t="shared" si="1"/>
        <v>330002500.3</v>
      </c>
      <c r="F146" s="14" t="s">
        <v>21</v>
      </c>
      <c r="G146" s="14" t="s">
        <v>187</v>
      </c>
      <c r="H146" s="14"/>
      <c r="I146" s="16"/>
    </row>
    <row r="147" ht="15.75" customHeight="1">
      <c r="A147" s="8">
        <v>46241.0</v>
      </c>
      <c r="B147" s="4" t="s">
        <v>598</v>
      </c>
      <c r="C147" s="5">
        <v>2500.0</v>
      </c>
      <c r="D147" s="5">
        <v>0.0</v>
      </c>
      <c r="E147" s="5">
        <f t="shared" si="1"/>
        <v>330000000.3</v>
      </c>
      <c r="F147" s="14" t="s">
        <v>43</v>
      </c>
      <c r="G147" s="14" t="s">
        <v>45</v>
      </c>
      <c r="H147" s="14"/>
      <c r="I147" s="16"/>
    </row>
    <row r="148" ht="15.75" customHeight="1">
      <c r="A148" s="8">
        <v>46248.0</v>
      </c>
      <c r="B148" s="4" t="s">
        <v>600</v>
      </c>
      <c r="C148" s="5">
        <v>0.0</v>
      </c>
      <c r="D148" s="5">
        <v>5.75276582E8</v>
      </c>
      <c r="E148" s="5">
        <f t="shared" si="1"/>
        <v>905276582.3</v>
      </c>
      <c r="F148" s="14" t="s">
        <v>75</v>
      </c>
      <c r="G148" s="14" t="s">
        <v>76</v>
      </c>
      <c r="H148" s="14" t="s">
        <v>602</v>
      </c>
      <c r="I148" s="16" t="s">
        <v>603</v>
      </c>
    </row>
    <row r="149" ht="15.75" customHeight="1">
      <c r="A149" s="8">
        <v>46248.0</v>
      </c>
      <c r="B149" s="4" t="s">
        <v>446</v>
      </c>
      <c r="C149" s="5">
        <v>2.5E8</v>
      </c>
      <c r="D149" s="5">
        <v>0.0</v>
      </c>
      <c r="E149" s="5">
        <f t="shared" si="1"/>
        <v>655276582.3</v>
      </c>
      <c r="F149" s="14" t="s">
        <v>21</v>
      </c>
      <c r="G149" s="14" t="s">
        <v>169</v>
      </c>
      <c r="H149" s="14"/>
      <c r="I149" s="16"/>
    </row>
    <row r="150" ht="15.75" customHeight="1">
      <c r="A150" s="8">
        <v>46248.0</v>
      </c>
      <c r="B150" s="4" t="s">
        <v>446</v>
      </c>
      <c r="C150" s="5">
        <v>2500.0</v>
      </c>
      <c r="D150" s="5">
        <v>0.0</v>
      </c>
      <c r="E150" s="5">
        <f t="shared" si="1"/>
        <v>655274082.3</v>
      </c>
      <c r="F150" s="14" t="s">
        <v>43</v>
      </c>
      <c r="G150" s="14" t="s">
        <v>45</v>
      </c>
      <c r="H150" s="14"/>
      <c r="I150" s="16"/>
    </row>
    <row r="151" ht="15.75" customHeight="1">
      <c r="A151" s="8">
        <v>46249.0</v>
      </c>
      <c r="B151" s="4" t="s">
        <v>607</v>
      </c>
      <c r="C151" s="5">
        <v>2.10131354E8</v>
      </c>
      <c r="D151" s="5">
        <v>0.0</v>
      </c>
      <c r="E151" s="5">
        <f t="shared" si="1"/>
        <v>445142728.3</v>
      </c>
      <c r="F151" s="14" t="s">
        <v>21</v>
      </c>
      <c r="G151" s="14" t="s">
        <v>136</v>
      </c>
      <c r="H151" s="14" t="s">
        <v>28</v>
      </c>
      <c r="I151" s="16"/>
    </row>
    <row r="152" ht="15.75" customHeight="1">
      <c r="A152" s="8">
        <v>46254.0</v>
      </c>
      <c r="B152" s="4" t="s">
        <v>609</v>
      </c>
      <c r="C152" s="5">
        <v>200000.0</v>
      </c>
      <c r="D152" s="5">
        <v>0.0</v>
      </c>
      <c r="E152" s="5">
        <f t="shared" si="1"/>
        <v>444942728.3</v>
      </c>
      <c r="F152" s="14" t="s">
        <v>43</v>
      </c>
      <c r="G152" s="14" t="s">
        <v>45</v>
      </c>
      <c r="H152" s="14"/>
      <c r="I152" s="16"/>
    </row>
    <row r="153" ht="15.75" customHeight="1">
      <c r="A153" s="8">
        <v>46254.0</v>
      </c>
      <c r="B153" s="4" t="s">
        <v>611</v>
      </c>
      <c r="C153" s="5">
        <v>200000.0</v>
      </c>
      <c r="D153" s="5">
        <v>0.0</v>
      </c>
      <c r="E153" s="5">
        <f t="shared" si="1"/>
        <v>444742728.3</v>
      </c>
      <c r="F153" s="14" t="s">
        <v>43</v>
      </c>
      <c r="G153" s="14" t="s">
        <v>45</v>
      </c>
      <c r="H153" s="14"/>
      <c r="I153" s="16"/>
    </row>
    <row r="154" ht="15.75" customHeight="1">
      <c r="A154" s="8">
        <v>46258.0</v>
      </c>
      <c r="B154" s="4" t="s">
        <v>612</v>
      </c>
      <c r="C154" s="5">
        <v>1.14740228E8</v>
      </c>
      <c r="D154" s="5">
        <v>0.0</v>
      </c>
      <c r="E154" s="5">
        <f t="shared" si="1"/>
        <v>330002500.3</v>
      </c>
      <c r="F154" s="14" t="s">
        <v>21</v>
      </c>
      <c r="G154" s="14" t="s">
        <v>169</v>
      </c>
      <c r="H154" s="14"/>
      <c r="I154" s="16"/>
    </row>
    <row r="155" ht="15.75" customHeight="1">
      <c r="A155" s="8">
        <v>46258.0</v>
      </c>
      <c r="B155" s="4" t="s">
        <v>612</v>
      </c>
      <c r="C155" s="5">
        <v>2500.0</v>
      </c>
      <c r="D155" s="5">
        <v>0.0</v>
      </c>
      <c r="E155" s="5">
        <f t="shared" si="1"/>
        <v>330000000.3</v>
      </c>
      <c r="F155" s="14" t="s">
        <v>43</v>
      </c>
      <c r="G155" s="14" t="s">
        <v>45</v>
      </c>
      <c r="H155" s="14"/>
      <c r="I155" s="16"/>
    </row>
    <row r="156" ht="15.75" customHeight="1">
      <c r="A156" s="8">
        <v>46259.0</v>
      </c>
      <c r="B156" s="4" t="s">
        <v>60</v>
      </c>
      <c r="C156" s="5">
        <v>0.0</v>
      </c>
      <c r="D156" s="5">
        <v>265681.0</v>
      </c>
      <c r="E156" s="5">
        <f t="shared" si="1"/>
        <v>330265681.3</v>
      </c>
      <c r="F156" s="14" t="s">
        <v>63</v>
      </c>
      <c r="G156" s="14" t="s">
        <v>65</v>
      </c>
      <c r="H156" s="14"/>
      <c r="I156" s="16"/>
    </row>
    <row r="157" ht="15.75" customHeight="1">
      <c r="A157" s="8">
        <v>46259.0</v>
      </c>
      <c r="B157" s="4" t="s">
        <v>67</v>
      </c>
      <c r="C157" s="5">
        <v>53136.0</v>
      </c>
      <c r="D157" s="5">
        <v>0.0</v>
      </c>
      <c r="E157" s="5">
        <f t="shared" si="1"/>
        <v>330212545.3</v>
      </c>
      <c r="F157" s="14" t="s">
        <v>63</v>
      </c>
      <c r="G157" s="14" t="s">
        <v>65</v>
      </c>
      <c r="H157" s="14"/>
      <c r="I157" s="16"/>
    </row>
    <row r="158" ht="15.75" customHeight="1">
      <c r="A158" s="8">
        <v>46259.0</v>
      </c>
      <c r="B158" s="4" t="s">
        <v>618</v>
      </c>
      <c r="C158" s="5">
        <v>30000.0</v>
      </c>
      <c r="D158" s="5">
        <v>0.0</v>
      </c>
      <c r="E158" s="5">
        <f t="shared" si="1"/>
        <v>330182545.3</v>
      </c>
      <c r="F158" s="14" t="s">
        <v>43</v>
      </c>
      <c r="G158" s="14" t="s">
        <v>45</v>
      </c>
      <c r="H158" s="14"/>
      <c r="I158" s="16"/>
    </row>
    <row r="159" ht="15.75" customHeight="1">
      <c r="A159" s="8"/>
      <c r="C159" s="5"/>
      <c r="D159" s="5"/>
      <c r="E159" s="5"/>
    </row>
    <row r="160" ht="15.75" customHeight="1">
      <c r="A160" s="8"/>
      <c r="C160" s="5">
        <f t="shared" ref="C160:D160" si="2">SUBTOTAL(9,C5:C159)</f>
        <v>13138291033</v>
      </c>
      <c r="D160" s="5">
        <f t="shared" si="2"/>
        <v>11474968433</v>
      </c>
      <c r="E160" s="5"/>
    </row>
    <row r="161" ht="15.75" customHeight="1">
      <c r="A161" s="8"/>
      <c r="C161" s="5"/>
      <c r="D161" s="5">
        <f>D160-C160</f>
        <v>-1663322600</v>
      </c>
      <c r="E161" s="5"/>
    </row>
    <row r="162" ht="15.75" customHeight="1">
      <c r="A162" s="8"/>
      <c r="C162" s="5"/>
      <c r="D162" s="5"/>
      <c r="E162" s="5"/>
    </row>
    <row r="163" ht="15.75" customHeight="1">
      <c r="A163" s="8"/>
      <c r="C163" s="5"/>
      <c r="D163" s="5"/>
      <c r="E163" s="5"/>
    </row>
    <row r="164" ht="15.75" customHeight="1">
      <c r="A164" s="8"/>
      <c r="C164" s="5"/>
      <c r="D164" s="5"/>
      <c r="E164" s="5"/>
    </row>
    <row r="165" ht="15.75" customHeight="1">
      <c r="A165" s="8"/>
      <c r="C165" s="5"/>
      <c r="D165" s="5"/>
      <c r="E165" s="5"/>
    </row>
    <row r="166" ht="15.75" customHeight="1">
      <c r="A166" s="8"/>
      <c r="C166" s="5"/>
      <c r="D166" s="5"/>
      <c r="E166" s="5"/>
    </row>
    <row r="167" ht="15.75" customHeight="1">
      <c r="A167" s="8"/>
      <c r="C167" s="5"/>
      <c r="D167" s="5"/>
      <c r="E167" s="5"/>
    </row>
    <row r="168" ht="15.75" customHeight="1">
      <c r="A168" s="8"/>
      <c r="C168" s="5"/>
      <c r="D168" s="5"/>
      <c r="E168" s="5"/>
    </row>
    <row r="169" ht="15.75" customHeight="1">
      <c r="A169" s="8"/>
      <c r="C169" s="5"/>
      <c r="D169" s="5"/>
      <c r="E169" s="5"/>
    </row>
    <row r="170" ht="15.75" customHeight="1">
      <c r="A170" s="8"/>
      <c r="C170" s="5"/>
      <c r="D170" s="5"/>
      <c r="E170" s="5"/>
    </row>
    <row r="171" ht="15.75" customHeight="1">
      <c r="A171" s="8"/>
      <c r="C171" s="5"/>
      <c r="D171" s="5"/>
      <c r="E171" s="5"/>
    </row>
    <row r="172" ht="15.75" customHeight="1">
      <c r="A172" s="8"/>
      <c r="C172" s="5"/>
      <c r="D172" s="5"/>
      <c r="E172" s="5"/>
    </row>
    <row r="173" ht="15.75" customHeight="1">
      <c r="A173" s="8"/>
      <c r="C173" s="5"/>
      <c r="D173" s="5"/>
      <c r="E173" s="5"/>
    </row>
    <row r="174" ht="15.75" customHeight="1">
      <c r="A174" s="8"/>
      <c r="C174" s="5"/>
      <c r="D174" s="5"/>
      <c r="E174" s="5"/>
    </row>
    <row r="175" ht="15.75" customHeight="1">
      <c r="A175" s="8"/>
      <c r="C175" s="5"/>
      <c r="D175" s="5"/>
      <c r="E175" s="5"/>
    </row>
    <row r="176" ht="15.75" customHeight="1">
      <c r="A176" s="8"/>
      <c r="C176" s="5"/>
      <c r="D176" s="5"/>
      <c r="E176" s="5"/>
    </row>
    <row r="177" ht="15.75" customHeight="1">
      <c r="A177" s="8"/>
      <c r="C177" s="5"/>
      <c r="D177" s="5"/>
      <c r="E177" s="5"/>
    </row>
    <row r="178" ht="15.75" customHeight="1">
      <c r="A178" s="8"/>
      <c r="C178" s="5"/>
      <c r="D178" s="5"/>
      <c r="E178" s="5"/>
    </row>
    <row r="179" ht="15.75" customHeight="1">
      <c r="A179" s="8"/>
      <c r="C179" s="5"/>
      <c r="D179" s="5"/>
      <c r="E179" s="5"/>
    </row>
    <row r="180" ht="15.75" customHeight="1">
      <c r="A180" s="8"/>
      <c r="C180" s="5"/>
      <c r="D180" s="5"/>
      <c r="E180" s="5"/>
    </row>
    <row r="181" ht="15.75" customHeight="1">
      <c r="A181" s="8"/>
      <c r="C181" s="5"/>
      <c r="D181" s="5"/>
      <c r="E181" s="5"/>
    </row>
    <row r="182" ht="15.75" customHeight="1">
      <c r="A182" s="8"/>
      <c r="C182" s="5"/>
      <c r="D182" s="5"/>
      <c r="E182" s="5"/>
    </row>
    <row r="183" ht="15.75" customHeight="1">
      <c r="A183" s="8"/>
      <c r="C183" s="5"/>
      <c r="D183" s="5"/>
      <c r="E183" s="5"/>
    </row>
    <row r="184" ht="15.75" customHeight="1">
      <c r="A184" s="8"/>
      <c r="C184" s="5"/>
      <c r="D184" s="5"/>
      <c r="E184" s="5"/>
    </row>
    <row r="185" ht="15.75" customHeight="1">
      <c r="A185" s="8"/>
      <c r="C185" s="5"/>
      <c r="D185" s="5"/>
      <c r="E185" s="5"/>
    </row>
    <row r="186" ht="15.75" customHeight="1">
      <c r="A186" s="8"/>
      <c r="C186" s="5"/>
      <c r="D186" s="5"/>
      <c r="E186" s="5"/>
    </row>
    <row r="187" ht="15.75" customHeight="1">
      <c r="A187" s="8"/>
      <c r="C187" s="5"/>
      <c r="D187" s="5"/>
      <c r="E187" s="5"/>
    </row>
    <row r="188" ht="15.75" customHeight="1">
      <c r="A188" s="8"/>
      <c r="C188" s="5"/>
      <c r="D188" s="5"/>
      <c r="E188" s="5"/>
    </row>
    <row r="189" ht="15.75" customHeight="1">
      <c r="A189" s="8"/>
      <c r="C189" s="5"/>
      <c r="D189" s="5"/>
      <c r="E189" s="5"/>
    </row>
    <row r="190" ht="15.75" customHeight="1">
      <c r="A190" s="8"/>
      <c r="C190" s="5"/>
      <c r="D190" s="5"/>
      <c r="E190" s="5"/>
    </row>
    <row r="191" ht="15.75" customHeight="1">
      <c r="A191" s="8"/>
      <c r="C191" s="5"/>
      <c r="D191" s="5"/>
      <c r="E191" s="5"/>
    </row>
    <row r="192" ht="15.75" customHeight="1">
      <c r="A192" s="8"/>
      <c r="C192" s="5"/>
      <c r="D192" s="5"/>
      <c r="E192" s="5"/>
    </row>
    <row r="193" ht="15.75" customHeight="1">
      <c r="A193" s="8"/>
      <c r="C193" s="5"/>
      <c r="D193" s="5"/>
      <c r="E193" s="5"/>
    </row>
    <row r="194" ht="15.75" customHeight="1">
      <c r="A194" s="8"/>
      <c r="C194" s="5"/>
      <c r="D194" s="5"/>
      <c r="E194" s="5"/>
    </row>
    <row r="195" ht="15.75" customHeight="1">
      <c r="A195" s="8"/>
      <c r="C195" s="5"/>
      <c r="D195" s="5"/>
      <c r="E195" s="5"/>
    </row>
    <row r="196" ht="15.75" customHeight="1">
      <c r="A196" s="8"/>
      <c r="C196" s="5"/>
      <c r="D196" s="5"/>
      <c r="E196" s="5"/>
    </row>
    <row r="197" ht="15.75" customHeight="1">
      <c r="A197" s="8"/>
      <c r="C197" s="5"/>
      <c r="D197" s="5"/>
      <c r="E197" s="5"/>
    </row>
    <row r="198" ht="15.75" customHeight="1">
      <c r="A198" s="8"/>
      <c r="C198" s="5"/>
      <c r="D198" s="5"/>
      <c r="E198" s="5"/>
    </row>
    <row r="199" ht="15.75" customHeight="1">
      <c r="A199" s="8"/>
      <c r="C199" s="5"/>
      <c r="D199" s="5"/>
      <c r="E199" s="5"/>
    </row>
    <row r="200" ht="15.75" customHeight="1">
      <c r="A200" s="8"/>
      <c r="C200" s="5"/>
      <c r="D200" s="5"/>
      <c r="E200" s="5"/>
    </row>
    <row r="201" ht="15.75" customHeight="1">
      <c r="A201" s="8"/>
      <c r="C201" s="5"/>
      <c r="D201" s="5"/>
      <c r="E201" s="5"/>
    </row>
    <row r="202" ht="15.75" customHeight="1">
      <c r="A202" s="8"/>
      <c r="C202" s="5"/>
      <c r="D202" s="5"/>
      <c r="E202" s="5"/>
    </row>
    <row r="203" ht="15.75" customHeight="1">
      <c r="A203" s="8"/>
      <c r="C203" s="5"/>
      <c r="D203" s="5"/>
      <c r="E203" s="5"/>
    </row>
    <row r="204" ht="15.75" customHeight="1">
      <c r="A204" s="8"/>
      <c r="C204" s="5"/>
      <c r="D204" s="5"/>
      <c r="E204" s="5"/>
    </row>
    <row r="205" ht="15.75" customHeight="1">
      <c r="A205" s="8"/>
      <c r="C205" s="5"/>
      <c r="D205" s="5"/>
      <c r="E205" s="5"/>
    </row>
    <row r="206" ht="15.75" customHeight="1">
      <c r="A206" s="8"/>
      <c r="C206" s="5"/>
      <c r="D206" s="5"/>
      <c r="E206" s="5"/>
    </row>
    <row r="207" ht="15.75" customHeight="1">
      <c r="A207" s="8"/>
      <c r="C207" s="5"/>
      <c r="D207" s="5"/>
      <c r="E207" s="5"/>
    </row>
    <row r="208" ht="15.75" customHeight="1">
      <c r="A208" s="8"/>
      <c r="C208" s="5"/>
      <c r="D208" s="5"/>
      <c r="E208" s="5"/>
    </row>
    <row r="209" ht="15.75" customHeight="1">
      <c r="A209" s="8"/>
      <c r="C209" s="5"/>
      <c r="D209" s="5"/>
      <c r="E209" s="5"/>
    </row>
    <row r="210" ht="15.75" customHeight="1">
      <c r="A210" s="8"/>
      <c r="C210" s="5"/>
      <c r="D210" s="5"/>
      <c r="E210" s="5"/>
    </row>
    <row r="211" ht="15.75" customHeight="1">
      <c r="A211" s="8"/>
      <c r="C211" s="5"/>
      <c r="D211" s="5"/>
      <c r="E211" s="5"/>
    </row>
    <row r="212" ht="15.75" customHeight="1">
      <c r="A212" s="8"/>
      <c r="C212" s="5"/>
      <c r="D212" s="5"/>
      <c r="E212" s="5"/>
    </row>
    <row r="213" ht="15.75" customHeight="1">
      <c r="A213" s="8"/>
      <c r="C213" s="5"/>
      <c r="D213" s="5"/>
      <c r="E213" s="5"/>
    </row>
    <row r="214" ht="15.75" customHeight="1">
      <c r="A214" s="8"/>
      <c r="C214" s="5"/>
      <c r="D214" s="5"/>
      <c r="E214" s="5"/>
    </row>
    <row r="215" ht="15.75" customHeight="1">
      <c r="A215" s="8"/>
      <c r="C215" s="5"/>
      <c r="D215" s="5"/>
      <c r="E215" s="5"/>
    </row>
    <row r="216" ht="15.75" customHeight="1">
      <c r="A216" s="8"/>
      <c r="C216" s="5"/>
      <c r="D216" s="5"/>
      <c r="E216" s="5"/>
    </row>
    <row r="217" ht="15.75" customHeight="1">
      <c r="A217" s="8"/>
      <c r="C217" s="5"/>
      <c r="D217" s="5"/>
      <c r="E217" s="5"/>
    </row>
    <row r="218" ht="15.75" customHeight="1">
      <c r="A218" s="8"/>
      <c r="C218" s="5"/>
      <c r="D218" s="5"/>
      <c r="E218" s="5"/>
    </row>
    <row r="219" ht="15.75" customHeight="1">
      <c r="A219" s="8"/>
      <c r="C219" s="5"/>
      <c r="D219" s="5"/>
      <c r="E219" s="5"/>
    </row>
    <row r="220" ht="15.75" customHeight="1">
      <c r="A220" s="8"/>
      <c r="C220" s="5"/>
      <c r="D220" s="5"/>
      <c r="E220" s="5"/>
    </row>
    <row r="221" ht="15.75" customHeight="1">
      <c r="A221" s="8"/>
      <c r="C221" s="5"/>
      <c r="D221" s="5"/>
      <c r="E221" s="5"/>
    </row>
    <row r="222" ht="15.75" customHeight="1">
      <c r="A222" s="8"/>
      <c r="C222" s="5"/>
      <c r="D222" s="5"/>
      <c r="E222" s="5"/>
    </row>
    <row r="223" ht="15.75" customHeight="1">
      <c r="A223" s="8"/>
      <c r="C223" s="5"/>
      <c r="D223" s="5"/>
      <c r="E223" s="5"/>
    </row>
    <row r="224" ht="15.75" customHeight="1">
      <c r="A224" s="8"/>
      <c r="C224" s="5"/>
      <c r="D224" s="5"/>
      <c r="E224" s="5"/>
    </row>
    <row r="225" ht="15.75" customHeight="1">
      <c r="A225" s="8"/>
      <c r="C225" s="5"/>
      <c r="D225" s="5"/>
      <c r="E225" s="5"/>
    </row>
    <row r="226" ht="15.75" customHeight="1">
      <c r="A226" s="8"/>
      <c r="C226" s="5"/>
      <c r="D226" s="5"/>
      <c r="E226" s="5"/>
    </row>
    <row r="227" ht="15.75" customHeight="1">
      <c r="A227" s="8"/>
      <c r="C227" s="5"/>
      <c r="D227" s="5"/>
      <c r="E227" s="5"/>
    </row>
    <row r="228" ht="15.75" customHeight="1">
      <c r="A228" s="8"/>
      <c r="C228" s="5"/>
      <c r="D228" s="5"/>
      <c r="E228" s="5"/>
    </row>
    <row r="229" ht="15.75" customHeight="1">
      <c r="A229" s="8"/>
      <c r="C229" s="5"/>
      <c r="D229" s="5"/>
      <c r="E229" s="5"/>
    </row>
    <row r="230" ht="15.75" customHeight="1">
      <c r="A230" s="8"/>
      <c r="C230" s="5"/>
      <c r="D230" s="5"/>
      <c r="E230" s="5"/>
    </row>
    <row r="231" ht="15.75" customHeight="1">
      <c r="A231" s="8"/>
      <c r="C231" s="5"/>
      <c r="D231" s="5"/>
      <c r="E231" s="5"/>
    </row>
    <row r="232" ht="15.75" customHeight="1">
      <c r="A232" s="8"/>
      <c r="C232" s="5"/>
      <c r="D232" s="5"/>
      <c r="E232" s="5"/>
    </row>
    <row r="233" ht="15.75" customHeight="1">
      <c r="A233" s="8"/>
      <c r="C233" s="5"/>
      <c r="D233" s="5"/>
      <c r="E233" s="5"/>
    </row>
    <row r="234" ht="15.75" customHeight="1">
      <c r="A234" s="8"/>
      <c r="C234" s="5"/>
      <c r="D234" s="5"/>
      <c r="E234" s="5"/>
    </row>
    <row r="235" ht="15.75" customHeight="1">
      <c r="A235" s="8"/>
      <c r="C235" s="5"/>
      <c r="D235" s="5"/>
      <c r="E235" s="5"/>
    </row>
    <row r="236" ht="15.75" customHeight="1">
      <c r="A236" s="8"/>
      <c r="C236" s="5"/>
      <c r="D236" s="5"/>
      <c r="E236" s="5"/>
    </row>
    <row r="237" ht="15.75" customHeight="1">
      <c r="A237" s="8"/>
      <c r="C237" s="5"/>
      <c r="D237" s="5"/>
      <c r="E237" s="5"/>
    </row>
    <row r="238" ht="15.75" customHeight="1">
      <c r="A238" s="8"/>
      <c r="C238" s="5"/>
      <c r="D238" s="5"/>
      <c r="E238" s="5"/>
    </row>
    <row r="239" ht="15.75" customHeight="1">
      <c r="A239" s="8"/>
      <c r="C239" s="5"/>
      <c r="D239" s="5"/>
      <c r="E239" s="5"/>
    </row>
    <row r="240" ht="15.75" customHeight="1">
      <c r="A240" s="8"/>
      <c r="C240" s="5"/>
      <c r="D240" s="5"/>
      <c r="E240" s="5"/>
    </row>
    <row r="241" ht="15.75" customHeight="1">
      <c r="A241" s="8"/>
      <c r="C241" s="5"/>
      <c r="D241" s="5"/>
      <c r="E241" s="5"/>
    </row>
    <row r="242" ht="15.75" customHeight="1">
      <c r="A242" s="8"/>
      <c r="C242" s="5"/>
      <c r="D242" s="5"/>
      <c r="E242" s="5"/>
    </row>
    <row r="243" ht="15.75" customHeight="1">
      <c r="A243" s="8"/>
      <c r="C243" s="5"/>
      <c r="D243" s="5"/>
      <c r="E243" s="5"/>
    </row>
    <row r="244" ht="15.75" customHeight="1">
      <c r="A244" s="8"/>
      <c r="C244" s="5"/>
      <c r="D244" s="5"/>
      <c r="E244" s="5"/>
    </row>
    <row r="245" ht="15.75" customHeight="1">
      <c r="A245" s="8"/>
      <c r="C245" s="5"/>
      <c r="D245" s="5"/>
      <c r="E245" s="5"/>
    </row>
    <row r="246" ht="15.75" customHeight="1">
      <c r="A246" s="8"/>
      <c r="C246" s="5"/>
      <c r="D246" s="5"/>
      <c r="E246" s="5"/>
    </row>
    <row r="247" ht="15.75" customHeight="1">
      <c r="A247" s="8"/>
      <c r="C247" s="5"/>
      <c r="D247" s="5"/>
      <c r="E247" s="5"/>
    </row>
    <row r="248" ht="15.75" customHeight="1">
      <c r="A248" s="8"/>
      <c r="C248" s="5"/>
      <c r="D248" s="5"/>
      <c r="E248" s="5"/>
    </row>
    <row r="249" ht="15.75" customHeight="1">
      <c r="A249" s="8"/>
      <c r="C249" s="5"/>
      <c r="D249" s="5"/>
      <c r="E249" s="5"/>
    </row>
    <row r="250" ht="15.75" customHeight="1">
      <c r="A250" s="8"/>
      <c r="C250" s="5"/>
      <c r="D250" s="5"/>
      <c r="E250" s="5"/>
    </row>
    <row r="251" ht="15.75" customHeight="1">
      <c r="A251" s="8"/>
      <c r="C251" s="5"/>
      <c r="D251" s="5"/>
      <c r="E251" s="5"/>
    </row>
    <row r="252" ht="15.75" customHeight="1">
      <c r="A252" s="8"/>
      <c r="C252" s="5"/>
      <c r="D252" s="5"/>
      <c r="E252" s="5"/>
    </row>
    <row r="253" ht="15.75" customHeight="1">
      <c r="A253" s="8"/>
      <c r="C253" s="5"/>
      <c r="D253" s="5"/>
      <c r="E253" s="5"/>
    </row>
    <row r="254" ht="15.75" customHeight="1">
      <c r="A254" s="8"/>
      <c r="C254" s="5"/>
      <c r="D254" s="5"/>
      <c r="E254" s="5"/>
    </row>
    <row r="255" ht="15.75" customHeight="1">
      <c r="A255" s="8"/>
      <c r="C255" s="5"/>
      <c r="D255" s="5"/>
      <c r="E255" s="5"/>
    </row>
    <row r="256" ht="15.75" customHeight="1">
      <c r="A256" s="8"/>
      <c r="C256" s="5"/>
      <c r="D256" s="5"/>
      <c r="E256" s="5"/>
    </row>
    <row r="257" ht="15.75" customHeight="1">
      <c r="A257" s="8"/>
      <c r="C257" s="5"/>
      <c r="D257" s="5"/>
      <c r="E257" s="5"/>
    </row>
    <row r="258" ht="15.75" customHeight="1">
      <c r="A258" s="8"/>
      <c r="C258" s="5"/>
      <c r="D258" s="5"/>
      <c r="E258" s="5"/>
    </row>
    <row r="259" ht="15.75" customHeight="1">
      <c r="A259" s="8"/>
      <c r="C259" s="5"/>
      <c r="D259" s="5"/>
      <c r="E259" s="5"/>
    </row>
    <row r="260" ht="15.75" customHeight="1">
      <c r="A260" s="8"/>
      <c r="C260" s="5"/>
      <c r="D260" s="5"/>
      <c r="E260" s="5"/>
    </row>
    <row r="261" ht="15.75" customHeight="1">
      <c r="A261" s="8"/>
      <c r="C261" s="5"/>
      <c r="D261" s="5"/>
      <c r="E261" s="5"/>
    </row>
    <row r="262" ht="15.75" customHeight="1">
      <c r="A262" s="8"/>
      <c r="C262" s="5"/>
      <c r="D262" s="5"/>
      <c r="E262" s="5"/>
    </row>
    <row r="263" ht="15.75" customHeight="1">
      <c r="A263" s="8"/>
      <c r="C263" s="5"/>
      <c r="D263" s="5"/>
      <c r="E263" s="5"/>
    </row>
    <row r="264" ht="15.75" customHeight="1">
      <c r="A264" s="8"/>
      <c r="C264" s="5"/>
      <c r="D264" s="5"/>
      <c r="E264" s="5"/>
    </row>
    <row r="265" ht="15.75" customHeight="1">
      <c r="A265" s="8"/>
      <c r="C265" s="5"/>
      <c r="D265" s="5"/>
      <c r="E265" s="5"/>
    </row>
    <row r="266" ht="15.75" customHeight="1">
      <c r="A266" s="8"/>
      <c r="C266" s="5"/>
      <c r="D266" s="5"/>
      <c r="E266" s="5"/>
    </row>
    <row r="267" ht="15.75" customHeight="1">
      <c r="A267" s="8"/>
      <c r="C267" s="5"/>
      <c r="D267" s="5"/>
      <c r="E267" s="5"/>
    </row>
    <row r="268" ht="15.75" customHeight="1">
      <c r="A268" s="8"/>
      <c r="C268" s="5"/>
      <c r="D268" s="5"/>
      <c r="E268" s="5"/>
    </row>
    <row r="269" ht="15.75" customHeight="1">
      <c r="A269" s="8"/>
      <c r="C269" s="5"/>
      <c r="D269" s="5"/>
      <c r="E269" s="5"/>
    </row>
    <row r="270" ht="15.75" customHeight="1">
      <c r="A270" s="8"/>
      <c r="C270" s="5"/>
      <c r="D270" s="5"/>
      <c r="E270" s="5"/>
    </row>
    <row r="271" ht="15.75" customHeight="1">
      <c r="A271" s="8"/>
      <c r="C271" s="5"/>
      <c r="D271" s="5"/>
      <c r="E271" s="5"/>
    </row>
    <row r="272" ht="15.75" customHeight="1">
      <c r="A272" s="8"/>
      <c r="C272" s="5"/>
      <c r="D272" s="5"/>
      <c r="E272" s="5"/>
    </row>
    <row r="273" ht="15.75" customHeight="1">
      <c r="A273" s="8"/>
      <c r="C273" s="5"/>
      <c r="D273" s="5"/>
      <c r="E273" s="5"/>
    </row>
    <row r="274" ht="15.75" customHeight="1">
      <c r="A274" s="8"/>
      <c r="C274" s="5"/>
      <c r="D274" s="5"/>
      <c r="E274" s="5"/>
    </row>
    <row r="275" ht="15.75" customHeight="1">
      <c r="A275" s="8"/>
      <c r="C275" s="5"/>
      <c r="D275" s="5"/>
      <c r="E275" s="5"/>
    </row>
    <row r="276" ht="15.75" customHeight="1">
      <c r="A276" s="8"/>
      <c r="C276" s="5"/>
      <c r="D276" s="5"/>
      <c r="E276" s="5"/>
    </row>
    <row r="277" ht="15.75" customHeight="1">
      <c r="A277" s="8"/>
      <c r="C277" s="5"/>
      <c r="D277" s="5"/>
      <c r="E277" s="5"/>
    </row>
    <row r="278" ht="15.75" customHeight="1">
      <c r="A278" s="8"/>
      <c r="C278" s="5"/>
      <c r="D278" s="5"/>
      <c r="E278" s="5"/>
    </row>
    <row r="279" ht="15.75" customHeight="1">
      <c r="A279" s="8"/>
      <c r="C279" s="5"/>
      <c r="D279" s="5"/>
      <c r="E279" s="5"/>
    </row>
    <row r="280" ht="15.75" customHeight="1">
      <c r="A280" s="8"/>
      <c r="C280" s="5"/>
      <c r="D280" s="5"/>
      <c r="E280" s="5"/>
    </row>
    <row r="281" ht="15.75" customHeight="1">
      <c r="A281" s="8"/>
      <c r="C281" s="5"/>
      <c r="D281" s="5"/>
      <c r="E281" s="5"/>
    </row>
    <row r="282" ht="15.75" customHeight="1">
      <c r="A282" s="8"/>
      <c r="C282" s="5"/>
      <c r="D282" s="5"/>
      <c r="E282" s="5"/>
    </row>
    <row r="283" ht="15.75" customHeight="1">
      <c r="A283" s="8"/>
      <c r="C283" s="5"/>
      <c r="D283" s="5"/>
      <c r="E283" s="5"/>
    </row>
    <row r="284" ht="15.75" customHeight="1">
      <c r="A284" s="8"/>
      <c r="C284" s="5"/>
      <c r="D284" s="5"/>
      <c r="E284" s="5"/>
    </row>
    <row r="285" ht="15.75" customHeight="1">
      <c r="A285" s="8"/>
      <c r="C285" s="5"/>
      <c r="D285" s="5"/>
      <c r="E285" s="5"/>
    </row>
    <row r="286" ht="15.75" customHeight="1">
      <c r="A286" s="8"/>
      <c r="C286" s="5"/>
      <c r="D286" s="5"/>
      <c r="E286" s="5"/>
    </row>
    <row r="287" ht="15.75" customHeight="1">
      <c r="A287" s="8"/>
      <c r="C287" s="5"/>
      <c r="D287" s="5"/>
      <c r="E287" s="5"/>
    </row>
    <row r="288" ht="15.75" customHeight="1">
      <c r="A288" s="8"/>
      <c r="C288" s="5"/>
      <c r="D288" s="5"/>
      <c r="E288" s="5"/>
    </row>
    <row r="289" ht="15.75" customHeight="1">
      <c r="A289" s="8"/>
      <c r="C289" s="5"/>
      <c r="D289" s="5"/>
      <c r="E289" s="5"/>
    </row>
    <row r="290" ht="15.75" customHeight="1">
      <c r="A290" s="8"/>
      <c r="C290" s="5"/>
      <c r="D290" s="5"/>
      <c r="E290" s="5"/>
    </row>
    <row r="291" ht="15.75" customHeight="1">
      <c r="A291" s="8"/>
      <c r="C291" s="5"/>
      <c r="D291" s="5"/>
      <c r="E291" s="5"/>
    </row>
    <row r="292" ht="15.75" customHeight="1">
      <c r="A292" s="8"/>
      <c r="C292" s="5"/>
      <c r="D292" s="5"/>
      <c r="E292" s="5"/>
    </row>
    <row r="293" ht="15.75" customHeight="1">
      <c r="A293" s="8"/>
      <c r="C293" s="5"/>
      <c r="D293" s="5"/>
      <c r="E293" s="5"/>
    </row>
    <row r="294" ht="15.75" customHeight="1">
      <c r="A294" s="8"/>
      <c r="C294" s="5"/>
      <c r="D294" s="5"/>
      <c r="E294" s="5"/>
    </row>
    <row r="295" ht="15.75" customHeight="1">
      <c r="A295" s="8"/>
      <c r="C295" s="5"/>
      <c r="D295" s="5"/>
      <c r="E295" s="5"/>
    </row>
    <row r="296" ht="15.75" customHeight="1">
      <c r="A296" s="8"/>
      <c r="C296" s="5"/>
      <c r="D296" s="5"/>
      <c r="E296" s="5"/>
    </row>
    <row r="297" ht="15.75" customHeight="1">
      <c r="A297" s="8"/>
      <c r="C297" s="5"/>
      <c r="D297" s="5"/>
      <c r="E297" s="5"/>
    </row>
    <row r="298" ht="15.75" customHeight="1">
      <c r="A298" s="8"/>
      <c r="C298" s="5"/>
      <c r="D298" s="5"/>
      <c r="E298" s="5"/>
    </row>
    <row r="299" ht="15.75" customHeight="1">
      <c r="A299" s="8"/>
      <c r="C299" s="5"/>
      <c r="D299" s="5"/>
      <c r="E299" s="5"/>
    </row>
    <row r="300" ht="15.75" customHeight="1">
      <c r="A300" s="8"/>
      <c r="C300" s="5"/>
      <c r="D300" s="5"/>
      <c r="E300" s="5"/>
    </row>
    <row r="301" ht="15.75" customHeight="1">
      <c r="A301" s="8"/>
      <c r="C301" s="5"/>
      <c r="D301" s="5"/>
      <c r="E301" s="5"/>
    </row>
    <row r="302" ht="15.75" customHeight="1">
      <c r="A302" s="8"/>
      <c r="C302" s="5"/>
      <c r="D302" s="5"/>
      <c r="E302" s="5"/>
    </row>
    <row r="303" ht="15.75" customHeight="1">
      <c r="A303" s="8"/>
      <c r="C303" s="5"/>
      <c r="D303" s="5"/>
      <c r="E303" s="5"/>
    </row>
    <row r="304" ht="15.75" customHeight="1">
      <c r="A304" s="8"/>
      <c r="C304" s="5"/>
      <c r="D304" s="5"/>
      <c r="E304" s="5"/>
    </row>
    <row r="305" ht="15.75" customHeight="1">
      <c r="A305" s="8"/>
      <c r="C305" s="5"/>
      <c r="D305" s="5"/>
      <c r="E305" s="5"/>
    </row>
    <row r="306" ht="15.75" customHeight="1">
      <c r="A306" s="8"/>
      <c r="C306" s="5"/>
      <c r="D306" s="5"/>
      <c r="E306" s="5"/>
    </row>
    <row r="307" ht="15.75" customHeight="1">
      <c r="A307" s="8"/>
      <c r="C307" s="5"/>
      <c r="D307" s="5"/>
      <c r="E307" s="5"/>
    </row>
    <row r="308" ht="15.75" customHeight="1">
      <c r="A308" s="8"/>
      <c r="C308" s="5"/>
      <c r="D308" s="5"/>
      <c r="E308" s="5"/>
    </row>
    <row r="309" ht="15.75" customHeight="1">
      <c r="A309" s="8"/>
      <c r="C309" s="5"/>
      <c r="D309" s="5"/>
      <c r="E309" s="5"/>
    </row>
    <row r="310" ht="15.75" customHeight="1">
      <c r="A310" s="8"/>
      <c r="C310" s="5"/>
      <c r="D310" s="5"/>
      <c r="E310" s="5"/>
    </row>
    <row r="311" ht="15.75" customHeight="1">
      <c r="A311" s="8"/>
      <c r="C311" s="5"/>
      <c r="D311" s="5"/>
      <c r="E311" s="5"/>
    </row>
    <row r="312" ht="15.75" customHeight="1">
      <c r="A312" s="8"/>
      <c r="C312" s="5"/>
      <c r="D312" s="5"/>
      <c r="E312" s="5"/>
    </row>
    <row r="313" ht="15.75" customHeight="1">
      <c r="A313" s="8"/>
      <c r="C313" s="5"/>
      <c r="D313" s="5"/>
      <c r="E313" s="5"/>
    </row>
    <row r="314" ht="15.75" customHeight="1">
      <c r="A314" s="8"/>
      <c r="C314" s="5"/>
      <c r="D314" s="5"/>
      <c r="E314" s="5"/>
    </row>
    <row r="315" ht="15.75" customHeight="1">
      <c r="A315" s="8"/>
      <c r="C315" s="5"/>
      <c r="D315" s="5"/>
      <c r="E315" s="5"/>
    </row>
    <row r="316" ht="15.75" customHeight="1">
      <c r="A316" s="8"/>
      <c r="C316" s="5"/>
      <c r="D316" s="5"/>
      <c r="E316" s="5"/>
    </row>
    <row r="317" ht="15.75" customHeight="1">
      <c r="A317" s="8"/>
      <c r="C317" s="5"/>
      <c r="D317" s="5"/>
      <c r="E317" s="5"/>
    </row>
    <row r="318" ht="15.75" customHeight="1">
      <c r="A318" s="8"/>
      <c r="C318" s="5"/>
      <c r="D318" s="5"/>
      <c r="E318" s="5"/>
    </row>
    <row r="319" ht="15.75" customHeight="1">
      <c r="A319" s="8"/>
      <c r="C319" s="5"/>
      <c r="D319" s="5"/>
      <c r="E319" s="5"/>
    </row>
    <row r="320" ht="15.75" customHeight="1">
      <c r="A320" s="8"/>
      <c r="C320" s="5"/>
      <c r="D320" s="5"/>
      <c r="E320" s="5"/>
    </row>
    <row r="321" ht="15.75" customHeight="1">
      <c r="A321" s="8"/>
      <c r="C321" s="5"/>
      <c r="D321" s="5"/>
      <c r="E321" s="5"/>
    </row>
    <row r="322" ht="15.75" customHeight="1">
      <c r="A322" s="8"/>
      <c r="C322" s="5"/>
      <c r="D322" s="5"/>
      <c r="E322" s="5"/>
    </row>
    <row r="323" ht="15.75" customHeight="1">
      <c r="A323" s="8"/>
      <c r="C323" s="5"/>
      <c r="D323" s="5"/>
      <c r="E323" s="5"/>
    </row>
    <row r="324" ht="15.75" customHeight="1">
      <c r="A324" s="8"/>
      <c r="C324" s="5"/>
      <c r="D324" s="5"/>
      <c r="E324" s="5"/>
    </row>
    <row r="325" ht="15.75" customHeight="1">
      <c r="A325" s="8"/>
      <c r="C325" s="5"/>
      <c r="D325" s="5"/>
      <c r="E325" s="5"/>
    </row>
    <row r="326" ht="15.75" customHeight="1">
      <c r="A326" s="8"/>
      <c r="C326" s="5"/>
      <c r="D326" s="5"/>
      <c r="E326" s="5"/>
    </row>
    <row r="327" ht="15.75" customHeight="1">
      <c r="A327" s="8"/>
      <c r="C327" s="5"/>
      <c r="D327" s="5"/>
      <c r="E327" s="5"/>
    </row>
    <row r="328" ht="15.75" customHeight="1">
      <c r="A328" s="8"/>
      <c r="C328" s="5"/>
      <c r="D328" s="5"/>
      <c r="E328" s="5"/>
    </row>
    <row r="329" ht="15.75" customHeight="1">
      <c r="A329" s="8"/>
      <c r="C329" s="5"/>
      <c r="D329" s="5"/>
      <c r="E329" s="5"/>
    </row>
    <row r="330" ht="15.75" customHeight="1">
      <c r="A330" s="8"/>
      <c r="C330" s="5"/>
      <c r="D330" s="5"/>
      <c r="E330" s="5"/>
    </row>
    <row r="331" ht="15.75" customHeight="1">
      <c r="A331" s="8"/>
      <c r="C331" s="5"/>
      <c r="D331" s="5"/>
      <c r="E331" s="5"/>
    </row>
    <row r="332" ht="15.75" customHeight="1">
      <c r="A332" s="8"/>
      <c r="C332" s="5"/>
      <c r="D332" s="5"/>
      <c r="E332" s="5"/>
    </row>
    <row r="333" ht="15.75" customHeight="1">
      <c r="A333" s="8"/>
      <c r="C333" s="5"/>
      <c r="D333" s="5"/>
      <c r="E333" s="5"/>
    </row>
    <row r="334" ht="15.75" customHeight="1">
      <c r="A334" s="8"/>
      <c r="C334" s="5"/>
      <c r="D334" s="5"/>
      <c r="E334" s="5"/>
    </row>
    <row r="335" ht="15.75" customHeight="1">
      <c r="A335" s="8"/>
      <c r="C335" s="5"/>
      <c r="D335" s="5"/>
      <c r="E335" s="5"/>
    </row>
    <row r="336" ht="15.75" customHeight="1">
      <c r="A336" s="8"/>
      <c r="C336" s="5"/>
      <c r="D336" s="5"/>
      <c r="E336" s="5"/>
    </row>
    <row r="337" ht="15.75" customHeight="1">
      <c r="A337" s="8"/>
      <c r="C337" s="5"/>
      <c r="D337" s="5"/>
      <c r="E337" s="5"/>
    </row>
    <row r="338" ht="15.75" customHeight="1">
      <c r="A338" s="8"/>
      <c r="C338" s="5"/>
      <c r="D338" s="5"/>
      <c r="E338" s="5"/>
    </row>
    <row r="339" ht="15.75" customHeight="1">
      <c r="A339" s="8"/>
      <c r="C339" s="5"/>
      <c r="D339" s="5"/>
      <c r="E339" s="5"/>
    </row>
    <row r="340" ht="15.75" customHeight="1">
      <c r="A340" s="8"/>
      <c r="C340" s="5"/>
      <c r="D340" s="5"/>
      <c r="E340" s="5"/>
    </row>
    <row r="341" ht="15.75" customHeight="1">
      <c r="A341" s="8"/>
      <c r="C341" s="5"/>
      <c r="D341" s="5"/>
      <c r="E341" s="5"/>
    </row>
    <row r="342" ht="15.75" customHeight="1">
      <c r="A342" s="8"/>
      <c r="C342" s="5"/>
      <c r="D342" s="5"/>
      <c r="E342" s="5"/>
    </row>
    <row r="343" ht="15.75" customHeight="1">
      <c r="A343" s="8"/>
      <c r="C343" s="5"/>
      <c r="D343" s="5"/>
      <c r="E343" s="5"/>
    </row>
    <row r="344" ht="15.75" customHeight="1">
      <c r="A344" s="8"/>
      <c r="C344" s="5"/>
      <c r="D344" s="5"/>
      <c r="E344" s="5"/>
    </row>
    <row r="345" ht="15.75" customHeight="1">
      <c r="A345" s="8"/>
      <c r="C345" s="5"/>
      <c r="D345" s="5"/>
      <c r="E345" s="5"/>
    </row>
    <row r="346" ht="15.75" customHeight="1">
      <c r="A346" s="8"/>
      <c r="C346" s="5"/>
      <c r="D346" s="5"/>
      <c r="E346" s="5"/>
    </row>
    <row r="347" ht="15.75" customHeight="1">
      <c r="A347" s="8"/>
      <c r="C347" s="5"/>
      <c r="D347" s="5"/>
      <c r="E347" s="5"/>
    </row>
    <row r="348" ht="15.75" customHeight="1">
      <c r="A348" s="8"/>
      <c r="C348" s="5"/>
      <c r="D348" s="5"/>
      <c r="E348" s="5"/>
    </row>
    <row r="349" ht="15.75" customHeight="1">
      <c r="A349" s="8"/>
      <c r="C349" s="5"/>
      <c r="D349" s="5"/>
      <c r="E349" s="5"/>
    </row>
    <row r="350" ht="15.75" customHeight="1">
      <c r="A350" s="8"/>
      <c r="C350" s="5"/>
      <c r="D350" s="5"/>
      <c r="E350" s="5"/>
    </row>
    <row r="351" ht="15.75" customHeight="1">
      <c r="A351" s="8"/>
      <c r="C351" s="5"/>
      <c r="D351" s="5"/>
      <c r="E351" s="5"/>
    </row>
    <row r="352" ht="15.75" customHeight="1">
      <c r="A352" s="8"/>
      <c r="C352" s="5"/>
      <c r="D352" s="5"/>
      <c r="E352" s="5"/>
    </row>
    <row r="353" ht="15.75" customHeight="1">
      <c r="A353" s="8"/>
      <c r="C353" s="5"/>
      <c r="D353" s="5"/>
      <c r="E353" s="5"/>
    </row>
    <row r="354" ht="15.75" customHeight="1">
      <c r="A354" s="8"/>
      <c r="C354" s="5"/>
      <c r="D354" s="5"/>
      <c r="E354" s="5"/>
    </row>
    <row r="355" ht="15.75" customHeight="1">
      <c r="A355" s="8"/>
      <c r="C355" s="5"/>
      <c r="D355" s="5"/>
      <c r="E355" s="5"/>
    </row>
    <row r="356" ht="15.75" customHeight="1">
      <c r="A356" s="8"/>
      <c r="C356" s="5"/>
      <c r="D356" s="5"/>
      <c r="E356" s="5"/>
    </row>
    <row r="357" ht="15.75" customHeight="1">
      <c r="A357" s="8"/>
      <c r="C357" s="5"/>
      <c r="D357" s="5"/>
      <c r="E357" s="5"/>
    </row>
    <row r="358" ht="15.75" customHeight="1">
      <c r="A358" s="8"/>
      <c r="C358" s="5"/>
      <c r="D358" s="5"/>
      <c r="E358" s="5"/>
    </row>
    <row r="359" ht="15.75" customHeight="1">
      <c r="A359" s="8"/>
      <c r="C359" s="5"/>
      <c r="D359" s="5"/>
      <c r="E359" s="5"/>
    </row>
    <row r="360" ht="15.75" customHeight="1">
      <c r="A360" s="8"/>
      <c r="C360" s="5"/>
      <c r="D360" s="5"/>
      <c r="E360" s="5"/>
    </row>
    <row r="361" ht="15.75" customHeight="1">
      <c r="A361" s="8"/>
      <c r="C361" s="5"/>
      <c r="D361" s="5"/>
      <c r="E361" s="5"/>
    </row>
    <row r="362" ht="15.75" customHeight="1">
      <c r="A362" s="8"/>
      <c r="C362" s="5"/>
      <c r="D362" s="5"/>
      <c r="E362" s="5"/>
    </row>
    <row r="363" ht="15.75" customHeight="1">
      <c r="A363" s="8"/>
      <c r="C363" s="5"/>
      <c r="D363" s="5"/>
      <c r="E363" s="5"/>
    </row>
    <row r="364" ht="15.75" customHeight="1">
      <c r="A364" s="8"/>
      <c r="C364" s="5"/>
      <c r="D364" s="5"/>
      <c r="E364" s="5"/>
    </row>
    <row r="365" ht="15.75" customHeight="1">
      <c r="A365" s="8"/>
      <c r="C365" s="5"/>
      <c r="D365" s="5"/>
      <c r="E365" s="5"/>
    </row>
    <row r="366" ht="15.75" customHeight="1">
      <c r="A366" s="8"/>
      <c r="C366" s="5"/>
      <c r="D366" s="5"/>
      <c r="E366" s="5"/>
    </row>
    <row r="367" ht="15.75" customHeight="1">
      <c r="A367" s="8"/>
      <c r="C367" s="5"/>
      <c r="D367" s="5"/>
      <c r="E367" s="5"/>
    </row>
    <row r="368" ht="15.75" customHeight="1">
      <c r="A368" s="8"/>
      <c r="C368" s="5"/>
      <c r="D368" s="5"/>
      <c r="E368" s="5"/>
    </row>
    <row r="369" ht="15.75" customHeight="1">
      <c r="A369" s="8"/>
      <c r="C369" s="5"/>
      <c r="D369" s="5"/>
      <c r="E369" s="5"/>
    </row>
    <row r="370" ht="15.75" customHeight="1">
      <c r="A370" s="8"/>
      <c r="C370" s="5"/>
      <c r="D370" s="5"/>
      <c r="E370" s="5"/>
    </row>
    <row r="371" ht="15.75" customHeight="1">
      <c r="A371" s="8"/>
      <c r="C371" s="5"/>
      <c r="D371" s="5"/>
      <c r="E371" s="5"/>
    </row>
    <row r="372" ht="15.75" customHeight="1">
      <c r="A372" s="8"/>
      <c r="C372" s="5"/>
      <c r="D372" s="5"/>
      <c r="E372" s="5"/>
    </row>
    <row r="373" ht="15.75" customHeight="1">
      <c r="A373" s="8"/>
      <c r="C373" s="5"/>
      <c r="D373" s="5"/>
      <c r="E373" s="5"/>
    </row>
    <row r="374" ht="15.75" customHeight="1">
      <c r="A374" s="8"/>
      <c r="C374" s="5"/>
      <c r="D374" s="5"/>
      <c r="E374" s="5"/>
    </row>
    <row r="375" ht="15.75" customHeight="1">
      <c r="A375" s="8"/>
      <c r="C375" s="5"/>
      <c r="D375" s="5"/>
      <c r="E375" s="5"/>
    </row>
    <row r="376" ht="15.75" customHeight="1">
      <c r="A376" s="8"/>
      <c r="C376" s="5"/>
      <c r="D376" s="5"/>
      <c r="E376" s="5"/>
    </row>
    <row r="377" ht="15.75" customHeight="1">
      <c r="A377" s="8"/>
      <c r="C377" s="5"/>
      <c r="D377" s="5"/>
      <c r="E377" s="5"/>
    </row>
    <row r="378" ht="15.75" customHeight="1">
      <c r="A378" s="8"/>
      <c r="C378" s="5"/>
      <c r="D378" s="5"/>
      <c r="E378" s="5"/>
    </row>
    <row r="379" ht="15.75" customHeight="1">
      <c r="A379" s="8"/>
      <c r="C379" s="5"/>
      <c r="D379" s="5"/>
      <c r="E379" s="5"/>
    </row>
    <row r="380" ht="15.75" customHeight="1">
      <c r="A380" s="8"/>
      <c r="C380" s="5"/>
      <c r="D380" s="5"/>
      <c r="E380" s="5"/>
    </row>
    <row r="381" ht="15.75" customHeight="1">
      <c r="A381" s="8"/>
      <c r="C381" s="5"/>
      <c r="D381" s="5"/>
      <c r="E381" s="5"/>
    </row>
    <row r="382" ht="15.75" customHeight="1">
      <c r="A382" s="8"/>
      <c r="C382" s="5"/>
      <c r="D382" s="5"/>
      <c r="E382" s="5"/>
    </row>
    <row r="383" ht="15.75" customHeight="1">
      <c r="A383" s="8"/>
      <c r="C383" s="5"/>
      <c r="D383" s="5"/>
      <c r="E383" s="5"/>
    </row>
    <row r="384" ht="15.75" customHeight="1">
      <c r="A384" s="8"/>
      <c r="C384" s="5"/>
      <c r="D384" s="5"/>
      <c r="E384" s="5"/>
    </row>
    <row r="385" ht="15.75" customHeight="1">
      <c r="A385" s="8"/>
      <c r="C385" s="5"/>
      <c r="D385" s="5"/>
      <c r="E385" s="5"/>
    </row>
    <row r="386" ht="15.75" customHeight="1">
      <c r="A386" s="8"/>
      <c r="C386" s="5"/>
      <c r="D386" s="5"/>
      <c r="E386" s="5"/>
    </row>
    <row r="387" ht="15.75" customHeight="1">
      <c r="A387" s="8"/>
      <c r="C387" s="5"/>
      <c r="D387" s="5"/>
      <c r="E387" s="5"/>
    </row>
    <row r="388" ht="15.75" customHeight="1">
      <c r="A388" s="8"/>
      <c r="C388" s="5"/>
      <c r="D388" s="5"/>
      <c r="E388" s="5"/>
    </row>
    <row r="389" ht="15.75" customHeight="1">
      <c r="A389" s="8"/>
      <c r="C389" s="5"/>
      <c r="D389" s="5"/>
      <c r="E389" s="5"/>
    </row>
    <row r="390" ht="15.75" customHeight="1">
      <c r="A390" s="8"/>
      <c r="C390" s="5"/>
      <c r="D390" s="5"/>
      <c r="E390" s="5"/>
    </row>
    <row r="391" ht="15.75" customHeight="1">
      <c r="A391" s="8"/>
      <c r="C391" s="5"/>
      <c r="D391" s="5"/>
      <c r="E391" s="5"/>
    </row>
    <row r="392" ht="15.75" customHeight="1">
      <c r="A392" s="8"/>
      <c r="C392" s="5"/>
      <c r="D392" s="5"/>
      <c r="E392" s="5"/>
    </row>
    <row r="393" ht="15.75" customHeight="1">
      <c r="A393" s="8"/>
      <c r="C393" s="5"/>
      <c r="D393" s="5"/>
      <c r="E393" s="5"/>
    </row>
    <row r="394" ht="15.75" customHeight="1">
      <c r="A394" s="8"/>
      <c r="C394" s="5"/>
      <c r="D394" s="5"/>
      <c r="E394" s="5"/>
    </row>
    <row r="395" ht="15.75" customHeight="1">
      <c r="A395" s="8"/>
      <c r="C395" s="5"/>
      <c r="D395" s="5"/>
      <c r="E395" s="5"/>
    </row>
    <row r="396" ht="15.75" customHeight="1">
      <c r="A396" s="8"/>
      <c r="C396" s="5"/>
      <c r="D396" s="5"/>
      <c r="E396" s="5"/>
    </row>
    <row r="397" ht="15.75" customHeight="1">
      <c r="A397" s="8"/>
      <c r="C397" s="5"/>
      <c r="D397" s="5"/>
      <c r="E397" s="5"/>
    </row>
    <row r="398" ht="15.75" customHeight="1">
      <c r="A398" s="8"/>
      <c r="C398" s="5"/>
      <c r="D398" s="5"/>
      <c r="E398" s="5"/>
    </row>
    <row r="399" ht="15.75" customHeight="1">
      <c r="A399" s="8"/>
      <c r="C399" s="5"/>
      <c r="D399" s="5"/>
      <c r="E399" s="5"/>
    </row>
    <row r="400" ht="15.75" customHeight="1">
      <c r="A400" s="8"/>
      <c r="C400" s="5"/>
      <c r="D400" s="5"/>
      <c r="E400" s="5"/>
    </row>
    <row r="401" ht="15.75" customHeight="1">
      <c r="A401" s="8"/>
      <c r="C401" s="5"/>
      <c r="D401" s="5"/>
      <c r="E401" s="5"/>
    </row>
    <row r="402" ht="15.75" customHeight="1">
      <c r="A402" s="8"/>
      <c r="C402" s="5"/>
      <c r="D402" s="5"/>
      <c r="E402" s="5"/>
    </row>
    <row r="403" ht="15.75" customHeight="1">
      <c r="A403" s="8"/>
      <c r="C403" s="5"/>
      <c r="D403" s="5"/>
      <c r="E403" s="5"/>
    </row>
    <row r="404" ht="15.75" customHeight="1">
      <c r="A404" s="8"/>
      <c r="C404" s="5"/>
      <c r="D404" s="5"/>
      <c r="E404" s="5"/>
    </row>
    <row r="405" ht="15.75" customHeight="1">
      <c r="A405" s="8"/>
      <c r="C405" s="5"/>
      <c r="D405" s="5"/>
      <c r="E405" s="5"/>
    </row>
    <row r="406" ht="15.75" customHeight="1">
      <c r="A406" s="8"/>
      <c r="C406" s="5"/>
      <c r="D406" s="5"/>
      <c r="E406" s="5"/>
    </row>
    <row r="407" ht="15.75" customHeight="1">
      <c r="A407" s="8"/>
      <c r="C407" s="5"/>
      <c r="D407" s="5"/>
      <c r="E407" s="5"/>
    </row>
    <row r="408" ht="15.75" customHeight="1">
      <c r="A408" s="8"/>
      <c r="C408" s="5"/>
      <c r="D408" s="5"/>
      <c r="E408" s="5"/>
    </row>
    <row r="409" ht="15.75" customHeight="1">
      <c r="A409" s="8"/>
      <c r="C409" s="5"/>
      <c r="D409" s="5"/>
      <c r="E409" s="5"/>
    </row>
    <row r="410" ht="15.75" customHeight="1">
      <c r="A410" s="8"/>
      <c r="C410" s="5"/>
      <c r="D410" s="5"/>
      <c r="E410" s="5"/>
    </row>
    <row r="411" ht="15.75" customHeight="1">
      <c r="A411" s="8"/>
      <c r="C411" s="5"/>
      <c r="D411" s="5"/>
      <c r="E411" s="5"/>
    </row>
    <row r="412" ht="15.75" customHeight="1">
      <c r="A412" s="8"/>
      <c r="C412" s="5"/>
      <c r="D412" s="5"/>
      <c r="E412" s="5"/>
    </row>
    <row r="413" ht="15.75" customHeight="1">
      <c r="A413" s="8"/>
      <c r="C413" s="5"/>
      <c r="D413" s="5"/>
      <c r="E413" s="5"/>
    </row>
    <row r="414" ht="15.75" customHeight="1">
      <c r="A414" s="8"/>
      <c r="C414" s="5"/>
      <c r="D414" s="5"/>
      <c r="E414" s="5"/>
    </row>
    <row r="415" ht="15.75" customHeight="1">
      <c r="A415" s="8"/>
      <c r="C415" s="5"/>
      <c r="D415" s="5"/>
      <c r="E415" s="5"/>
    </row>
    <row r="416" ht="15.75" customHeight="1">
      <c r="A416" s="8"/>
      <c r="C416" s="5"/>
      <c r="D416" s="5"/>
      <c r="E416" s="5"/>
    </row>
    <row r="417" ht="15.75" customHeight="1">
      <c r="A417" s="8"/>
      <c r="C417" s="5"/>
      <c r="D417" s="5"/>
      <c r="E417" s="5"/>
    </row>
    <row r="418" ht="15.75" customHeight="1">
      <c r="A418" s="8"/>
      <c r="C418" s="5"/>
      <c r="D418" s="5"/>
      <c r="E418" s="5"/>
    </row>
    <row r="419" ht="15.75" customHeight="1">
      <c r="A419" s="8"/>
      <c r="C419" s="5"/>
      <c r="D419" s="5"/>
      <c r="E419" s="5"/>
    </row>
    <row r="420" ht="15.75" customHeight="1">
      <c r="A420" s="8"/>
      <c r="C420" s="5"/>
      <c r="D420" s="5"/>
      <c r="E420" s="5"/>
    </row>
    <row r="421" ht="15.75" customHeight="1">
      <c r="A421" s="8"/>
      <c r="C421" s="5"/>
      <c r="D421" s="5"/>
      <c r="E421" s="5"/>
    </row>
    <row r="422" ht="15.75" customHeight="1">
      <c r="A422" s="8"/>
      <c r="C422" s="5"/>
      <c r="D422" s="5"/>
      <c r="E422" s="5"/>
    </row>
    <row r="423" ht="15.75" customHeight="1">
      <c r="A423" s="8"/>
      <c r="C423" s="5"/>
      <c r="D423" s="5"/>
      <c r="E423" s="5"/>
    </row>
    <row r="424" ht="15.75" customHeight="1">
      <c r="A424" s="8"/>
      <c r="C424" s="5"/>
      <c r="D424" s="5"/>
      <c r="E424" s="5"/>
    </row>
    <row r="425" ht="15.75" customHeight="1">
      <c r="A425" s="8"/>
      <c r="C425" s="5"/>
      <c r="D425" s="5"/>
      <c r="E425" s="5"/>
    </row>
    <row r="426" ht="15.75" customHeight="1">
      <c r="A426" s="8"/>
      <c r="C426" s="5"/>
      <c r="D426" s="5"/>
      <c r="E426" s="5"/>
    </row>
    <row r="427" ht="15.75" customHeight="1">
      <c r="A427" s="8"/>
      <c r="C427" s="5"/>
      <c r="D427" s="5"/>
      <c r="E427" s="5"/>
    </row>
    <row r="428" ht="15.75" customHeight="1">
      <c r="A428" s="8"/>
      <c r="C428" s="5"/>
      <c r="D428" s="5"/>
      <c r="E428" s="5"/>
    </row>
    <row r="429" ht="15.75" customHeight="1">
      <c r="A429" s="8"/>
      <c r="C429" s="5"/>
      <c r="D429" s="5"/>
      <c r="E429" s="5"/>
    </row>
    <row r="430" ht="15.75" customHeight="1">
      <c r="A430" s="8"/>
      <c r="C430" s="5"/>
      <c r="D430" s="5"/>
      <c r="E430" s="5"/>
    </row>
    <row r="431" ht="15.75" customHeight="1">
      <c r="A431" s="8"/>
      <c r="C431" s="5"/>
      <c r="D431" s="5"/>
      <c r="E431" s="5"/>
    </row>
    <row r="432" ht="15.75" customHeight="1">
      <c r="A432" s="8"/>
      <c r="C432" s="5"/>
      <c r="D432" s="5"/>
      <c r="E432" s="5"/>
    </row>
    <row r="433" ht="15.75" customHeight="1">
      <c r="A433" s="8"/>
      <c r="C433" s="5"/>
      <c r="D433" s="5"/>
      <c r="E433" s="5"/>
    </row>
    <row r="434" ht="15.75" customHeight="1">
      <c r="A434" s="8"/>
      <c r="C434" s="5"/>
      <c r="D434" s="5"/>
      <c r="E434" s="5"/>
    </row>
    <row r="435" ht="15.75" customHeight="1">
      <c r="A435" s="8"/>
      <c r="C435" s="5"/>
      <c r="D435" s="5"/>
      <c r="E435" s="5"/>
    </row>
    <row r="436" ht="15.75" customHeight="1">
      <c r="A436" s="8"/>
      <c r="C436" s="5"/>
      <c r="D436" s="5"/>
      <c r="E436" s="5"/>
    </row>
    <row r="437" ht="15.75" customHeight="1">
      <c r="A437" s="8"/>
      <c r="C437" s="5"/>
      <c r="D437" s="5"/>
      <c r="E437" s="5"/>
    </row>
    <row r="438" ht="15.75" customHeight="1">
      <c r="A438" s="8"/>
      <c r="C438" s="5"/>
      <c r="D438" s="5"/>
      <c r="E438" s="5"/>
    </row>
    <row r="439" ht="15.75" customHeight="1">
      <c r="A439" s="8"/>
      <c r="C439" s="5"/>
      <c r="D439" s="5"/>
      <c r="E439" s="5"/>
    </row>
    <row r="440" ht="15.75" customHeight="1">
      <c r="A440" s="8"/>
      <c r="C440" s="5"/>
      <c r="D440" s="5"/>
      <c r="E440" s="5"/>
    </row>
    <row r="441" ht="15.75" customHeight="1">
      <c r="A441" s="8"/>
      <c r="C441" s="5"/>
      <c r="D441" s="5"/>
      <c r="E441" s="5"/>
    </row>
    <row r="442" ht="15.75" customHeight="1">
      <c r="A442" s="8"/>
      <c r="C442" s="5"/>
      <c r="D442" s="5"/>
      <c r="E442" s="5"/>
    </row>
    <row r="443" ht="15.75" customHeight="1">
      <c r="A443" s="8"/>
      <c r="C443" s="5"/>
      <c r="D443" s="5"/>
      <c r="E443" s="5"/>
    </row>
    <row r="444" ht="15.75" customHeight="1">
      <c r="A444" s="8"/>
      <c r="C444" s="5"/>
      <c r="D444" s="5"/>
      <c r="E444" s="5"/>
    </row>
    <row r="445" ht="15.75" customHeight="1">
      <c r="A445" s="8"/>
      <c r="C445" s="5"/>
      <c r="D445" s="5"/>
      <c r="E445" s="5"/>
    </row>
    <row r="446" ht="15.75" customHeight="1">
      <c r="A446" s="8"/>
      <c r="C446" s="5"/>
      <c r="D446" s="5"/>
      <c r="E446" s="5"/>
    </row>
    <row r="447" ht="15.75" customHeight="1">
      <c r="A447" s="8"/>
      <c r="C447" s="5"/>
      <c r="D447" s="5"/>
      <c r="E447" s="5"/>
    </row>
    <row r="448" ht="15.75" customHeight="1">
      <c r="A448" s="8"/>
      <c r="C448" s="5"/>
      <c r="D448" s="5"/>
      <c r="E448" s="5"/>
    </row>
    <row r="449" ht="15.75" customHeight="1">
      <c r="A449" s="8"/>
      <c r="C449" s="5"/>
      <c r="D449" s="5"/>
      <c r="E449" s="5"/>
    </row>
    <row r="450" ht="15.75" customHeight="1">
      <c r="A450" s="8"/>
      <c r="C450" s="5"/>
      <c r="D450" s="5"/>
      <c r="E450" s="5"/>
    </row>
    <row r="451" ht="15.75" customHeight="1">
      <c r="A451" s="8"/>
      <c r="C451" s="5"/>
      <c r="D451" s="5"/>
      <c r="E451" s="5"/>
    </row>
    <row r="452" ht="15.75" customHeight="1">
      <c r="A452" s="8"/>
      <c r="C452" s="5"/>
      <c r="D452" s="5"/>
      <c r="E452" s="5"/>
    </row>
    <row r="453" ht="15.75" customHeight="1">
      <c r="A453" s="8"/>
      <c r="C453" s="5"/>
      <c r="D453" s="5"/>
      <c r="E453" s="5"/>
    </row>
    <row r="454" ht="15.75" customHeight="1">
      <c r="A454" s="8"/>
      <c r="C454" s="5"/>
      <c r="D454" s="5"/>
      <c r="E454" s="5"/>
    </row>
    <row r="455" ht="15.75" customHeight="1">
      <c r="A455" s="8"/>
      <c r="C455" s="5"/>
      <c r="D455" s="5"/>
      <c r="E455" s="5"/>
    </row>
    <row r="456" ht="15.75" customHeight="1">
      <c r="A456" s="8"/>
      <c r="C456" s="5"/>
      <c r="D456" s="5"/>
      <c r="E456" s="5"/>
    </row>
    <row r="457" ht="15.75" customHeight="1">
      <c r="A457" s="8"/>
      <c r="C457" s="5"/>
      <c r="D457" s="5"/>
      <c r="E457" s="5"/>
    </row>
    <row r="458" ht="15.75" customHeight="1">
      <c r="A458" s="8"/>
      <c r="C458" s="5"/>
      <c r="D458" s="5"/>
      <c r="E458" s="5"/>
    </row>
    <row r="459" ht="15.75" customHeight="1">
      <c r="A459" s="8"/>
      <c r="C459" s="5"/>
      <c r="D459" s="5"/>
      <c r="E459" s="5"/>
    </row>
    <row r="460" ht="15.75" customHeight="1">
      <c r="A460" s="8"/>
      <c r="C460" s="5"/>
      <c r="D460" s="5"/>
      <c r="E460" s="5"/>
    </row>
    <row r="461" ht="15.75" customHeight="1">
      <c r="A461" s="8"/>
      <c r="C461" s="5"/>
      <c r="D461" s="5"/>
      <c r="E461" s="5"/>
    </row>
    <row r="462" ht="15.75" customHeight="1">
      <c r="A462" s="8"/>
      <c r="C462" s="5"/>
      <c r="D462" s="5"/>
      <c r="E462" s="5"/>
    </row>
    <row r="463" ht="15.75" customHeight="1">
      <c r="A463" s="8"/>
      <c r="C463" s="5"/>
      <c r="D463" s="5"/>
      <c r="E463" s="5"/>
    </row>
    <row r="464" ht="15.75" customHeight="1">
      <c r="A464" s="8"/>
      <c r="C464" s="5"/>
      <c r="D464" s="5"/>
      <c r="E464" s="5"/>
    </row>
    <row r="465" ht="15.75" customHeight="1">
      <c r="A465" s="8"/>
      <c r="C465" s="5"/>
      <c r="D465" s="5"/>
      <c r="E465" s="5"/>
    </row>
    <row r="466" ht="15.75" customHeight="1">
      <c r="A466" s="8"/>
      <c r="C466" s="5"/>
      <c r="D466" s="5"/>
      <c r="E466" s="5"/>
    </row>
    <row r="467" ht="15.75" customHeight="1">
      <c r="A467" s="8"/>
      <c r="C467" s="5"/>
      <c r="D467" s="5"/>
      <c r="E467" s="5"/>
    </row>
    <row r="468" ht="15.75" customHeight="1">
      <c r="A468" s="8"/>
      <c r="C468" s="5"/>
      <c r="D468" s="5"/>
      <c r="E468" s="5"/>
    </row>
    <row r="469" ht="15.75" customHeight="1">
      <c r="A469" s="8"/>
      <c r="C469" s="5"/>
      <c r="D469" s="5"/>
      <c r="E469" s="5"/>
    </row>
    <row r="470" ht="15.75" customHeight="1">
      <c r="A470" s="8"/>
      <c r="C470" s="5"/>
      <c r="D470" s="5"/>
      <c r="E470" s="5"/>
    </row>
    <row r="471" ht="15.75" customHeight="1">
      <c r="A471" s="8"/>
      <c r="C471" s="5"/>
      <c r="D471" s="5"/>
      <c r="E471" s="5"/>
    </row>
    <row r="472" ht="15.75" customHeight="1">
      <c r="A472" s="8"/>
      <c r="C472" s="5"/>
      <c r="D472" s="5"/>
      <c r="E472" s="5"/>
    </row>
    <row r="473" ht="15.75" customHeight="1">
      <c r="A473" s="8"/>
      <c r="C473" s="5"/>
      <c r="D473" s="5"/>
      <c r="E473" s="5"/>
    </row>
    <row r="474" ht="15.75" customHeight="1">
      <c r="A474" s="8"/>
      <c r="C474" s="5"/>
      <c r="D474" s="5"/>
      <c r="E474" s="5"/>
    </row>
    <row r="475" ht="15.75" customHeight="1">
      <c r="A475" s="8"/>
      <c r="C475" s="5"/>
      <c r="D475" s="5"/>
      <c r="E475" s="5"/>
    </row>
    <row r="476" ht="15.75" customHeight="1">
      <c r="A476" s="8"/>
      <c r="C476" s="5"/>
      <c r="D476" s="5"/>
      <c r="E476" s="5"/>
    </row>
    <row r="477" ht="15.75" customHeight="1">
      <c r="A477" s="8"/>
      <c r="C477" s="5"/>
      <c r="D477" s="5"/>
      <c r="E477" s="5"/>
    </row>
    <row r="478" ht="15.75" customHeight="1">
      <c r="A478" s="8"/>
      <c r="C478" s="5"/>
      <c r="D478" s="5"/>
      <c r="E478" s="5"/>
    </row>
    <row r="479" ht="15.75" customHeight="1">
      <c r="A479" s="8"/>
      <c r="C479" s="5"/>
      <c r="D479" s="5"/>
      <c r="E479" s="5"/>
    </row>
    <row r="480" ht="15.75" customHeight="1">
      <c r="A480" s="8"/>
      <c r="C480" s="5"/>
      <c r="D480" s="5"/>
      <c r="E480" s="5"/>
    </row>
    <row r="481" ht="15.75" customHeight="1">
      <c r="A481" s="8"/>
      <c r="C481" s="5"/>
      <c r="D481" s="5"/>
      <c r="E481" s="5"/>
    </row>
    <row r="482" ht="15.75" customHeight="1">
      <c r="A482" s="8"/>
      <c r="C482" s="5"/>
      <c r="D482" s="5"/>
      <c r="E482" s="5"/>
    </row>
    <row r="483" ht="15.75" customHeight="1">
      <c r="A483" s="8"/>
      <c r="C483" s="5"/>
      <c r="D483" s="5"/>
      <c r="E483" s="5"/>
    </row>
    <row r="484" ht="15.75" customHeight="1">
      <c r="A484" s="8"/>
      <c r="C484" s="5"/>
      <c r="D484" s="5"/>
      <c r="E484" s="5"/>
    </row>
    <row r="485" ht="15.75" customHeight="1">
      <c r="A485" s="8"/>
      <c r="C485" s="5"/>
      <c r="D485" s="5"/>
      <c r="E485" s="5"/>
    </row>
    <row r="486" ht="15.75" customHeight="1">
      <c r="A486" s="8"/>
      <c r="C486" s="5"/>
      <c r="D486" s="5"/>
      <c r="E486" s="5"/>
    </row>
    <row r="487" ht="15.75" customHeight="1">
      <c r="A487" s="8"/>
      <c r="C487" s="5"/>
      <c r="D487" s="5"/>
      <c r="E487" s="5"/>
    </row>
    <row r="488" ht="15.75" customHeight="1">
      <c r="A488" s="8"/>
      <c r="C488" s="5"/>
      <c r="D488" s="5"/>
      <c r="E488" s="5"/>
    </row>
    <row r="489" ht="15.75" customHeight="1">
      <c r="A489" s="8"/>
      <c r="C489" s="5"/>
      <c r="D489" s="5"/>
      <c r="E489" s="5"/>
    </row>
    <row r="490" ht="15.75" customHeight="1">
      <c r="A490" s="8"/>
      <c r="C490" s="5"/>
      <c r="D490" s="5"/>
      <c r="E490" s="5"/>
    </row>
    <row r="491" ht="15.75" customHeight="1">
      <c r="A491" s="8"/>
      <c r="C491" s="5"/>
      <c r="D491" s="5"/>
      <c r="E491" s="5"/>
    </row>
    <row r="492" ht="15.75" customHeight="1">
      <c r="A492" s="8"/>
      <c r="C492" s="5"/>
      <c r="D492" s="5"/>
      <c r="E492" s="5"/>
    </row>
    <row r="493" ht="15.75" customHeight="1">
      <c r="A493" s="8"/>
      <c r="C493" s="5"/>
      <c r="D493" s="5"/>
      <c r="E493" s="5"/>
    </row>
    <row r="494" ht="15.75" customHeight="1">
      <c r="A494" s="8"/>
      <c r="C494" s="5"/>
      <c r="D494" s="5"/>
      <c r="E494" s="5"/>
    </row>
    <row r="495" ht="15.75" customHeight="1">
      <c r="A495" s="8"/>
      <c r="C495" s="5"/>
      <c r="D495" s="5"/>
      <c r="E495" s="5"/>
    </row>
    <row r="496" ht="15.75" customHeight="1">
      <c r="A496" s="8"/>
      <c r="C496" s="5"/>
      <c r="D496" s="5"/>
      <c r="E496" s="5"/>
    </row>
    <row r="497" ht="15.75" customHeight="1">
      <c r="A497" s="8"/>
      <c r="C497" s="5"/>
      <c r="D497" s="5"/>
      <c r="E497" s="5"/>
    </row>
    <row r="498" ht="15.75" customHeight="1">
      <c r="A498" s="8"/>
      <c r="C498" s="5"/>
      <c r="D498" s="5"/>
      <c r="E498" s="5"/>
    </row>
    <row r="499" ht="15.75" customHeight="1">
      <c r="A499" s="8"/>
      <c r="C499" s="5"/>
      <c r="D499" s="5"/>
      <c r="E499" s="5"/>
    </row>
    <row r="500" ht="15.75" customHeight="1">
      <c r="A500" s="8"/>
      <c r="C500" s="5"/>
      <c r="D500" s="5"/>
      <c r="E500" s="5"/>
    </row>
    <row r="501" ht="15.75" customHeight="1">
      <c r="A501" s="8"/>
      <c r="C501" s="5"/>
      <c r="D501" s="5"/>
      <c r="E501" s="5"/>
    </row>
    <row r="502" ht="15.75" customHeight="1">
      <c r="A502" s="8"/>
      <c r="C502" s="5"/>
      <c r="D502" s="5"/>
      <c r="E502" s="5"/>
    </row>
    <row r="503" ht="15.75" customHeight="1">
      <c r="A503" s="8"/>
      <c r="C503" s="5"/>
      <c r="D503" s="5"/>
      <c r="E503" s="5"/>
    </row>
    <row r="504" ht="15.75" customHeight="1">
      <c r="A504" s="8"/>
      <c r="C504" s="5"/>
      <c r="D504" s="5"/>
      <c r="E504" s="5"/>
    </row>
    <row r="505" ht="15.75" customHeight="1">
      <c r="A505" s="8"/>
      <c r="C505" s="5"/>
      <c r="D505" s="5"/>
      <c r="E505" s="5"/>
    </row>
    <row r="506" ht="15.75" customHeight="1">
      <c r="A506" s="8"/>
      <c r="C506" s="5"/>
      <c r="D506" s="5"/>
      <c r="E506" s="5"/>
    </row>
    <row r="507" ht="15.75" customHeight="1">
      <c r="A507" s="8"/>
      <c r="C507" s="5"/>
      <c r="D507" s="5"/>
      <c r="E507" s="5"/>
    </row>
    <row r="508" ht="15.75" customHeight="1">
      <c r="A508" s="8"/>
      <c r="C508" s="5"/>
      <c r="D508" s="5"/>
      <c r="E508" s="5"/>
    </row>
    <row r="509" ht="15.75" customHeight="1">
      <c r="A509" s="8"/>
      <c r="C509" s="5"/>
      <c r="D509" s="5"/>
      <c r="E509" s="5"/>
    </row>
    <row r="510" ht="15.75" customHeight="1">
      <c r="A510" s="8"/>
      <c r="C510" s="5"/>
      <c r="D510" s="5"/>
      <c r="E510" s="5"/>
    </row>
    <row r="511" ht="15.75" customHeight="1">
      <c r="A511" s="8"/>
      <c r="C511" s="5"/>
      <c r="D511" s="5"/>
      <c r="E511" s="5"/>
    </row>
    <row r="512" ht="15.75" customHeight="1">
      <c r="A512" s="8"/>
      <c r="C512" s="5"/>
      <c r="D512" s="5"/>
      <c r="E512" s="5"/>
    </row>
    <row r="513" ht="15.75" customHeight="1">
      <c r="A513" s="8"/>
      <c r="C513" s="5"/>
      <c r="D513" s="5"/>
      <c r="E513" s="5"/>
    </row>
    <row r="514" ht="15.75" customHeight="1">
      <c r="A514" s="8"/>
      <c r="C514" s="5"/>
      <c r="D514" s="5"/>
      <c r="E514" s="5"/>
    </row>
    <row r="515" ht="15.75" customHeight="1">
      <c r="A515" s="8"/>
      <c r="C515" s="5"/>
      <c r="D515" s="5"/>
      <c r="E515" s="5"/>
    </row>
    <row r="516" ht="15.75" customHeight="1">
      <c r="A516" s="8"/>
      <c r="C516" s="5"/>
      <c r="D516" s="5"/>
      <c r="E516" s="5"/>
    </row>
    <row r="517" ht="15.75" customHeight="1">
      <c r="A517" s="8"/>
      <c r="C517" s="5"/>
      <c r="D517" s="5"/>
      <c r="E517" s="5"/>
    </row>
    <row r="518" ht="15.75" customHeight="1">
      <c r="A518" s="8"/>
      <c r="C518" s="5"/>
      <c r="D518" s="5"/>
      <c r="E518" s="5"/>
    </row>
    <row r="519" ht="15.75" customHeight="1">
      <c r="A519" s="8"/>
      <c r="C519" s="5"/>
      <c r="D519" s="5"/>
      <c r="E519" s="5"/>
    </row>
    <row r="520" ht="15.75" customHeight="1">
      <c r="A520" s="8"/>
      <c r="C520" s="5"/>
      <c r="D520" s="5"/>
      <c r="E520" s="5"/>
    </row>
    <row r="521" ht="15.75" customHeight="1">
      <c r="A521" s="8"/>
      <c r="C521" s="5"/>
      <c r="D521" s="5"/>
      <c r="E521" s="5"/>
    </row>
    <row r="522" ht="15.75" customHeight="1">
      <c r="A522" s="8"/>
      <c r="C522" s="5"/>
      <c r="D522" s="5"/>
      <c r="E522" s="5"/>
    </row>
    <row r="523" ht="15.75" customHeight="1">
      <c r="A523" s="8"/>
      <c r="C523" s="5"/>
      <c r="D523" s="5"/>
      <c r="E523" s="5"/>
    </row>
    <row r="524" ht="15.75" customHeight="1">
      <c r="A524" s="8"/>
      <c r="C524" s="5"/>
      <c r="D524" s="5"/>
      <c r="E524" s="5"/>
    </row>
    <row r="525" ht="15.75" customHeight="1">
      <c r="A525" s="8"/>
      <c r="C525" s="5"/>
      <c r="D525" s="5"/>
      <c r="E525" s="5"/>
    </row>
    <row r="526" ht="15.75" customHeight="1">
      <c r="A526" s="8"/>
      <c r="C526" s="5"/>
      <c r="D526" s="5"/>
      <c r="E526" s="5"/>
    </row>
    <row r="527" ht="15.75" customHeight="1">
      <c r="A527" s="8"/>
      <c r="C527" s="5"/>
      <c r="D527" s="5"/>
      <c r="E527" s="5"/>
    </row>
    <row r="528" ht="15.75" customHeight="1">
      <c r="A528" s="8"/>
      <c r="C528" s="5"/>
      <c r="D528" s="5"/>
      <c r="E528" s="5"/>
    </row>
    <row r="529" ht="15.75" customHeight="1">
      <c r="A529" s="8"/>
      <c r="C529" s="5"/>
      <c r="D529" s="5"/>
      <c r="E529" s="5"/>
    </row>
    <row r="530" ht="15.75" customHeight="1">
      <c r="A530" s="8"/>
      <c r="C530" s="5"/>
      <c r="D530" s="5"/>
      <c r="E530" s="5"/>
    </row>
    <row r="531" ht="15.75" customHeight="1">
      <c r="A531" s="8"/>
      <c r="C531" s="5"/>
      <c r="D531" s="5"/>
      <c r="E531" s="5"/>
    </row>
    <row r="532" ht="15.75" customHeight="1">
      <c r="A532" s="8"/>
      <c r="C532" s="5"/>
      <c r="D532" s="5"/>
      <c r="E532" s="5"/>
    </row>
    <row r="533" ht="15.75" customHeight="1">
      <c r="A533" s="8"/>
      <c r="C533" s="5"/>
      <c r="D533" s="5"/>
      <c r="E533" s="5"/>
    </row>
    <row r="534" ht="15.75" customHeight="1">
      <c r="A534" s="8"/>
      <c r="C534" s="5"/>
      <c r="D534" s="5"/>
      <c r="E534" s="5"/>
    </row>
    <row r="535" ht="15.75" customHeight="1">
      <c r="A535" s="8"/>
      <c r="C535" s="5"/>
      <c r="D535" s="5"/>
      <c r="E535" s="5"/>
    </row>
    <row r="536" ht="15.75" customHeight="1">
      <c r="A536" s="8"/>
      <c r="C536" s="5"/>
      <c r="D536" s="5"/>
      <c r="E536" s="5"/>
    </row>
    <row r="537" ht="15.75" customHeight="1">
      <c r="A537" s="8"/>
      <c r="C537" s="5"/>
      <c r="D537" s="5"/>
      <c r="E537" s="5"/>
    </row>
    <row r="538" ht="15.75" customHeight="1">
      <c r="A538" s="8"/>
      <c r="C538" s="5"/>
      <c r="D538" s="5"/>
      <c r="E538" s="5"/>
    </row>
    <row r="539" ht="15.75" customHeight="1">
      <c r="A539" s="8"/>
      <c r="C539" s="5"/>
      <c r="D539" s="5"/>
      <c r="E539" s="5"/>
    </row>
    <row r="540" ht="15.75" customHeight="1">
      <c r="A540" s="8"/>
      <c r="C540" s="5"/>
      <c r="D540" s="5"/>
      <c r="E540" s="5"/>
    </row>
    <row r="541" ht="15.75" customHeight="1">
      <c r="A541" s="8"/>
      <c r="C541" s="5"/>
      <c r="D541" s="5"/>
      <c r="E541" s="5"/>
    </row>
    <row r="542" ht="15.75" customHeight="1">
      <c r="A542" s="8"/>
      <c r="C542" s="5"/>
      <c r="D542" s="5"/>
      <c r="E542" s="5"/>
    </row>
    <row r="543" ht="15.75" customHeight="1">
      <c r="A543" s="8"/>
      <c r="C543" s="5"/>
      <c r="D543" s="5"/>
      <c r="E543" s="5"/>
    </row>
    <row r="544" ht="15.75" customHeight="1">
      <c r="A544" s="8"/>
      <c r="C544" s="5"/>
      <c r="D544" s="5"/>
      <c r="E544" s="5"/>
    </row>
    <row r="545" ht="15.75" customHeight="1">
      <c r="A545" s="8"/>
      <c r="C545" s="5"/>
      <c r="D545" s="5"/>
      <c r="E545" s="5"/>
    </row>
    <row r="546" ht="15.75" customHeight="1">
      <c r="A546" s="8"/>
      <c r="C546" s="5"/>
      <c r="D546" s="5"/>
      <c r="E546" s="5"/>
    </row>
    <row r="547" ht="15.75" customHeight="1">
      <c r="A547" s="8"/>
      <c r="C547" s="5"/>
      <c r="D547" s="5"/>
      <c r="E547" s="5"/>
    </row>
    <row r="548" ht="15.75" customHeight="1">
      <c r="A548" s="8"/>
      <c r="C548" s="5"/>
      <c r="D548" s="5"/>
      <c r="E548" s="5"/>
    </row>
    <row r="549" ht="15.75" customHeight="1">
      <c r="A549" s="8"/>
      <c r="C549" s="5"/>
      <c r="D549" s="5"/>
      <c r="E549" s="5"/>
    </row>
    <row r="550" ht="15.75" customHeight="1">
      <c r="A550" s="8"/>
      <c r="C550" s="5"/>
      <c r="D550" s="5"/>
      <c r="E550" s="5"/>
    </row>
    <row r="551" ht="15.75" customHeight="1">
      <c r="A551" s="8"/>
      <c r="C551" s="5"/>
      <c r="D551" s="5"/>
      <c r="E551" s="5"/>
    </row>
    <row r="552" ht="15.75" customHeight="1">
      <c r="A552" s="8"/>
      <c r="C552" s="5"/>
      <c r="D552" s="5"/>
      <c r="E552" s="5"/>
    </row>
    <row r="553" ht="15.75" customHeight="1">
      <c r="A553" s="8"/>
      <c r="C553" s="5"/>
      <c r="D553" s="5"/>
      <c r="E553" s="5"/>
    </row>
    <row r="554" ht="15.75" customHeight="1">
      <c r="A554" s="8"/>
      <c r="C554" s="5"/>
      <c r="D554" s="5"/>
      <c r="E554" s="5"/>
    </row>
    <row r="555" ht="15.75" customHeight="1">
      <c r="A555" s="8"/>
      <c r="C555" s="5"/>
      <c r="D555" s="5"/>
      <c r="E555" s="5"/>
    </row>
    <row r="556" ht="15.75" customHeight="1">
      <c r="A556" s="8"/>
      <c r="C556" s="5"/>
      <c r="D556" s="5"/>
      <c r="E556" s="5"/>
    </row>
    <row r="557" ht="15.75" customHeight="1">
      <c r="A557" s="8"/>
      <c r="C557" s="5"/>
      <c r="D557" s="5"/>
      <c r="E557" s="5"/>
    </row>
    <row r="558" ht="15.75" customHeight="1">
      <c r="A558" s="8"/>
      <c r="C558" s="5"/>
      <c r="D558" s="5"/>
      <c r="E558" s="5"/>
    </row>
    <row r="559" ht="15.75" customHeight="1">
      <c r="A559" s="8"/>
      <c r="C559" s="5"/>
      <c r="D559" s="5"/>
      <c r="E559" s="5"/>
    </row>
    <row r="560" ht="15.75" customHeight="1">
      <c r="A560" s="8"/>
      <c r="C560" s="5"/>
      <c r="D560" s="5"/>
      <c r="E560" s="5"/>
    </row>
    <row r="561" ht="15.75" customHeight="1">
      <c r="A561" s="8"/>
      <c r="C561" s="5"/>
      <c r="D561" s="5"/>
      <c r="E561" s="5"/>
    </row>
    <row r="562" ht="15.75" customHeight="1">
      <c r="A562" s="8"/>
      <c r="C562" s="5"/>
      <c r="D562" s="5"/>
      <c r="E562" s="5"/>
    </row>
    <row r="563" ht="15.75" customHeight="1">
      <c r="A563" s="8"/>
      <c r="C563" s="5"/>
      <c r="D563" s="5"/>
      <c r="E563" s="5"/>
    </row>
    <row r="564" ht="15.75" customHeight="1">
      <c r="A564" s="8"/>
      <c r="C564" s="5"/>
      <c r="D564" s="5"/>
      <c r="E564" s="5"/>
    </row>
    <row r="565" ht="15.75" customHeight="1">
      <c r="A565" s="8"/>
      <c r="C565" s="5"/>
      <c r="D565" s="5"/>
      <c r="E565" s="5"/>
    </row>
    <row r="566" ht="15.75" customHeight="1">
      <c r="A566" s="8"/>
      <c r="C566" s="5"/>
      <c r="D566" s="5"/>
      <c r="E566" s="5"/>
    </row>
    <row r="567" ht="15.75" customHeight="1">
      <c r="A567" s="8"/>
      <c r="C567" s="5"/>
      <c r="D567" s="5"/>
      <c r="E567" s="5"/>
    </row>
    <row r="568" ht="15.75" customHeight="1">
      <c r="A568" s="8"/>
      <c r="C568" s="5"/>
      <c r="D568" s="5"/>
      <c r="E568" s="5"/>
    </row>
    <row r="569" ht="15.75" customHeight="1">
      <c r="A569" s="8"/>
      <c r="C569" s="5"/>
      <c r="D569" s="5"/>
      <c r="E569" s="5"/>
    </row>
    <row r="570" ht="15.75" customHeight="1">
      <c r="A570" s="8"/>
      <c r="C570" s="5"/>
      <c r="D570" s="5"/>
      <c r="E570" s="5"/>
    </row>
    <row r="571" ht="15.75" customHeight="1">
      <c r="A571" s="8"/>
      <c r="C571" s="5"/>
      <c r="D571" s="5"/>
      <c r="E571" s="5"/>
    </row>
    <row r="572" ht="15.75" customHeight="1">
      <c r="A572" s="8"/>
      <c r="C572" s="5"/>
      <c r="D572" s="5"/>
      <c r="E572" s="5"/>
    </row>
    <row r="573" ht="15.75" customHeight="1">
      <c r="A573" s="8"/>
      <c r="C573" s="5"/>
      <c r="D573" s="5"/>
      <c r="E573" s="5"/>
    </row>
    <row r="574" ht="15.75" customHeight="1">
      <c r="A574" s="8"/>
      <c r="C574" s="5"/>
      <c r="D574" s="5"/>
      <c r="E574" s="5"/>
    </row>
    <row r="575" ht="15.75" customHeight="1">
      <c r="A575" s="8"/>
      <c r="C575" s="5"/>
      <c r="D575" s="5"/>
      <c r="E575" s="5"/>
    </row>
    <row r="576" ht="15.75" customHeight="1">
      <c r="A576" s="8"/>
      <c r="C576" s="5"/>
      <c r="D576" s="5"/>
      <c r="E576" s="5"/>
    </row>
    <row r="577" ht="15.75" customHeight="1">
      <c r="A577" s="8"/>
      <c r="C577" s="5"/>
      <c r="D577" s="5"/>
      <c r="E577" s="5"/>
    </row>
    <row r="578" ht="15.75" customHeight="1">
      <c r="A578" s="8"/>
      <c r="C578" s="5"/>
      <c r="D578" s="5"/>
      <c r="E578" s="5"/>
    </row>
    <row r="579" ht="15.75" customHeight="1">
      <c r="A579" s="8"/>
      <c r="C579" s="5"/>
      <c r="D579" s="5"/>
      <c r="E579" s="5"/>
    </row>
    <row r="580" ht="15.75" customHeight="1">
      <c r="A580" s="8"/>
      <c r="C580" s="5"/>
      <c r="D580" s="5"/>
      <c r="E580" s="5"/>
    </row>
    <row r="581" ht="15.75" customHeight="1">
      <c r="A581" s="8"/>
      <c r="C581" s="5"/>
      <c r="D581" s="5"/>
      <c r="E581" s="5"/>
    </row>
    <row r="582" ht="15.75" customHeight="1">
      <c r="A582" s="8"/>
      <c r="C582" s="5"/>
      <c r="D582" s="5"/>
      <c r="E582" s="5"/>
    </row>
    <row r="583" ht="15.75" customHeight="1">
      <c r="A583" s="8"/>
      <c r="C583" s="5"/>
      <c r="D583" s="5"/>
      <c r="E583" s="5"/>
    </row>
    <row r="584" ht="15.75" customHeight="1">
      <c r="A584" s="8"/>
      <c r="C584" s="5"/>
      <c r="D584" s="5"/>
      <c r="E584" s="5"/>
    </row>
    <row r="585" ht="15.75" customHeight="1">
      <c r="A585" s="8"/>
      <c r="C585" s="5"/>
      <c r="D585" s="5"/>
      <c r="E585" s="5"/>
    </row>
    <row r="586" ht="15.75" customHeight="1">
      <c r="A586" s="8"/>
      <c r="C586" s="5"/>
      <c r="D586" s="5"/>
      <c r="E586" s="5"/>
    </row>
    <row r="587" ht="15.75" customHeight="1">
      <c r="A587" s="8"/>
      <c r="C587" s="5"/>
      <c r="D587" s="5"/>
      <c r="E587" s="5"/>
    </row>
    <row r="588" ht="15.75" customHeight="1">
      <c r="A588" s="8"/>
      <c r="C588" s="5"/>
      <c r="D588" s="5"/>
      <c r="E588" s="5"/>
    </row>
    <row r="589" ht="15.75" customHeight="1">
      <c r="A589" s="8"/>
      <c r="C589" s="5"/>
      <c r="D589" s="5"/>
      <c r="E589" s="5"/>
    </row>
    <row r="590" ht="15.75" customHeight="1">
      <c r="A590" s="8"/>
      <c r="C590" s="5"/>
      <c r="D590" s="5"/>
      <c r="E590" s="5"/>
    </row>
    <row r="591" ht="15.75" customHeight="1">
      <c r="A591" s="8"/>
      <c r="C591" s="5"/>
      <c r="D591" s="5"/>
      <c r="E591" s="5"/>
    </row>
    <row r="592" ht="15.75" customHeight="1">
      <c r="A592" s="8"/>
      <c r="C592" s="5"/>
      <c r="D592" s="5"/>
      <c r="E592" s="5"/>
    </row>
    <row r="593" ht="15.75" customHeight="1">
      <c r="A593" s="8"/>
      <c r="C593" s="5"/>
      <c r="D593" s="5"/>
      <c r="E593" s="5"/>
    </row>
    <row r="594" ht="15.75" customHeight="1">
      <c r="A594" s="8"/>
      <c r="C594" s="5"/>
      <c r="D594" s="5"/>
      <c r="E594" s="5"/>
    </row>
    <row r="595" ht="15.75" customHeight="1">
      <c r="A595" s="8"/>
      <c r="C595" s="5"/>
      <c r="D595" s="5"/>
      <c r="E595" s="5"/>
    </row>
    <row r="596" ht="15.75" customHeight="1">
      <c r="A596" s="8"/>
      <c r="C596" s="5"/>
      <c r="D596" s="5"/>
      <c r="E596" s="5"/>
    </row>
    <row r="597" ht="15.75" customHeight="1">
      <c r="A597" s="8"/>
      <c r="C597" s="5"/>
      <c r="D597" s="5"/>
      <c r="E597" s="5"/>
    </row>
    <row r="598" ht="15.75" customHeight="1">
      <c r="A598" s="8"/>
      <c r="C598" s="5"/>
      <c r="D598" s="5"/>
      <c r="E598" s="5"/>
    </row>
    <row r="599" ht="15.75" customHeight="1">
      <c r="A599" s="8"/>
      <c r="C599" s="5"/>
      <c r="D599" s="5"/>
      <c r="E599" s="5"/>
    </row>
    <row r="600" ht="15.75" customHeight="1">
      <c r="A600" s="8"/>
      <c r="C600" s="5"/>
      <c r="D600" s="5"/>
      <c r="E600" s="5"/>
    </row>
    <row r="601" ht="15.75" customHeight="1">
      <c r="A601" s="8"/>
      <c r="C601" s="5"/>
      <c r="D601" s="5"/>
      <c r="E601" s="5"/>
    </row>
    <row r="602" ht="15.75" customHeight="1">
      <c r="A602" s="8"/>
      <c r="C602" s="5"/>
      <c r="D602" s="5"/>
      <c r="E602" s="5"/>
    </row>
    <row r="603" ht="15.75" customHeight="1">
      <c r="A603" s="8"/>
      <c r="C603" s="5"/>
      <c r="D603" s="5"/>
      <c r="E603" s="5"/>
    </row>
    <row r="604" ht="15.75" customHeight="1">
      <c r="A604" s="8"/>
      <c r="C604" s="5"/>
      <c r="D604" s="5"/>
      <c r="E604" s="5"/>
    </row>
    <row r="605" ht="15.75" customHeight="1">
      <c r="A605" s="8"/>
      <c r="C605" s="5"/>
      <c r="D605" s="5"/>
      <c r="E605" s="5"/>
    </row>
    <row r="606" ht="15.75" customHeight="1">
      <c r="A606" s="8"/>
      <c r="C606" s="5"/>
      <c r="D606" s="5"/>
      <c r="E606" s="5"/>
    </row>
    <row r="607" ht="15.75" customHeight="1">
      <c r="A607" s="8"/>
      <c r="C607" s="5"/>
      <c r="D607" s="5"/>
      <c r="E607" s="5"/>
    </row>
    <row r="608" ht="15.75" customHeight="1">
      <c r="A608" s="8"/>
      <c r="C608" s="5"/>
      <c r="D608" s="5"/>
      <c r="E608" s="5"/>
    </row>
    <row r="609" ht="15.75" customHeight="1">
      <c r="A609" s="8"/>
      <c r="C609" s="5"/>
      <c r="D609" s="5"/>
      <c r="E609" s="5"/>
    </row>
    <row r="610" ht="15.75" customHeight="1">
      <c r="A610" s="8"/>
      <c r="C610" s="5"/>
      <c r="D610" s="5"/>
      <c r="E610" s="5"/>
    </row>
    <row r="611" ht="15.75" customHeight="1">
      <c r="A611" s="8"/>
      <c r="C611" s="5"/>
      <c r="D611" s="5"/>
      <c r="E611" s="5"/>
    </row>
    <row r="612" ht="15.75" customHeight="1">
      <c r="A612" s="8"/>
      <c r="C612" s="5"/>
      <c r="D612" s="5"/>
      <c r="E612" s="5"/>
    </row>
    <row r="613" ht="15.75" customHeight="1">
      <c r="A613" s="8"/>
      <c r="C613" s="5"/>
      <c r="D613" s="5"/>
      <c r="E613" s="5"/>
    </row>
    <row r="614" ht="15.75" customHeight="1">
      <c r="A614" s="8"/>
      <c r="C614" s="5"/>
      <c r="D614" s="5"/>
      <c r="E614" s="5"/>
    </row>
    <row r="615" ht="15.75" customHeight="1">
      <c r="A615" s="8"/>
      <c r="C615" s="5"/>
      <c r="D615" s="5"/>
      <c r="E615" s="5"/>
    </row>
    <row r="616" ht="15.75" customHeight="1">
      <c r="A616" s="8"/>
      <c r="C616" s="5"/>
      <c r="D616" s="5"/>
      <c r="E616" s="5"/>
    </row>
    <row r="617" ht="15.75" customHeight="1">
      <c r="A617" s="8"/>
      <c r="C617" s="5"/>
      <c r="D617" s="5"/>
      <c r="E617" s="5"/>
    </row>
    <row r="618" ht="15.75" customHeight="1">
      <c r="A618" s="8"/>
      <c r="C618" s="5"/>
      <c r="D618" s="5"/>
      <c r="E618" s="5"/>
    </row>
    <row r="619" ht="15.75" customHeight="1">
      <c r="A619" s="8"/>
      <c r="C619" s="5"/>
      <c r="D619" s="5"/>
      <c r="E619" s="5"/>
    </row>
    <row r="620" ht="15.75" customHeight="1">
      <c r="A620" s="8"/>
      <c r="C620" s="5"/>
      <c r="D620" s="5"/>
      <c r="E620" s="5"/>
    </row>
    <row r="621" ht="15.75" customHeight="1">
      <c r="A621" s="8"/>
      <c r="C621" s="5"/>
      <c r="D621" s="5"/>
      <c r="E621" s="5"/>
    </row>
    <row r="622" ht="15.75" customHeight="1">
      <c r="A622" s="8"/>
      <c r="C622" s="5"/>
      <c r="D622" s="5"/>
      <c r="E622" s="5"/>
    </row>
    <row r="623" ht="15.75" customHeight="1">
      <c r="A623" s="8"/>
      <c r="C623" s="5"/>
      <c r="D623" s="5"/>
      <c r="E623" s="5"/>
    </row>
    <row r="624" ht="15.75" customHeight="1">
      <c r="A624" s="8"/>
      <c r="C624" s="5"/>
      <c r="D624" s="5"/>
      <c r="E624" s="5"/>
    </row>
    <row r="625" ht="15.75" customHeight="1">
      <c r="A625" s="8"/>
      <c r="C625" s="5"/>
      <c r="D625" s="5"/>
      <c r="E625" s="5"/>
    </row>
    <row r="626" ht="15.75" customHeight="1">
      <c r="A626" s="8"/>
      <c r="C626" s="5"/>
      <c r="D626" s="5"/>
      <c r="E626" s="5"/>
    </row>
    <row r="627" ht="15.75" customHeight="1">
      <c r="A627" s="8"/>
      <c r="C627" s="5"/>
      <c r="D627" s="5"/>
      <c r="E627" s="5"/>
    </row>
    <row r="628" ht="15.75" customHeight="1">
      <c r="A628" s="8"/>
      <c r="C628" s="5"/>
      <c r="D628" s="5"/>
      <c r="E628" s="5"/>
    </row>
    <row r="629" ht="15.75" customHeight="1">
      <c r="A629" s="8"/>
      <c r="C629" s="5"/>
      <c r="D629" s="5"/>
      <c r="E629" s="5"/>
    </row>
    <row r="630" ht="15.75" customHeight="1">
      <c r="A630" s="8"/>
      <c r="C630" s="5"/>
      <c r="D630" s="5"/>
      <c r="E630" s="5"/>
    </row>
    <row r="631" ht="15.75" customHeight="1">
      <c r="A631" s="8"/>
      <c r="C631" s="5"/>
      <c r="D631" s="5"/>
      <c r="E631" s="5"/>
    </row>
    <row r="632" ht="15.75" customHeight="1">
      <c r="A632" s="8"/>
      <c r="C632" s="5"/>
      <c r="D632" s="5"/>
      <c r="E632" s="5"/>
    </row>
    <row r="633" ht="15.75" customHeight="1">
      <c r="A633" s="8"/>
      <c r="C633" s="5"/>
      <c r="D633" s="5"/>
      <c r="E633" s="5"/>
    </row>
    <row r="634" ht="15.75" customHeight="1">
      <c r="A634" s="8"/>
      <c r="C634" s="5"/>
      <c r="D634" s="5"/>
      <c r="E634" s="5"/>
    </row>
    <row r="635" ht="15.75" customHeight="1">
      <c r="A635" s="8"/>
      <c r="C635" s="5"/>
      <c r="D635" s="5"/>
      <c r="E635" s="5"/>
    </row>
    <row r="636" ht="15.75" customHeight="1">
      <c r="A636" s="8"/>
      <c r="C636" s="5"/>
      <c r="D636" s="5"/>
      <c r="E636" s="5"/>
    </row>
    <row r="637" ht="15.75" customHeight="1">
      <c r="A637" s="8"/>
      <c r="C637" s="5"/>
      <c r="D637" s="5"/>
      <c r="E637" s="5"/>
    </row>
    <row r="638" ht="15.75" customHeight="1">
      <c r="A638" s="8"/>
      <c r="C638" s="5"/>
      <c r="D638" s="5"/>
      <c r="E638" s="5"/>
    </row>
    <row r="639" ht="15.75" customHeight="1">
      <c r="A639" s="8"/>
      <c r="C639" s="5"/>
      <c r="D639" s="5"/>
      <c r="E639" s="5"/>
    </row>
    <row r="640" ht="15.75" customHeight="1">
      <c r="A640" s="8"/>
      <c r="C640" s="5"/>
      <c r="D640" s="5"/>
      <c r="E640" s="5"/>
    </row>
    <row r="641" ht="15.75" customHeight="1">
      <c r="A641" s="8"/>
      <c r="C641" s="5"/>
      <c r="D641" s="5"/>
      <c r="E641" s="5"/>
    </row>
    <row r="642" ht="15.75" customHeight="1">
      <c r="A642" s="8"/>
      <c r="C642" s="5"/>
      <c r="D642" s="5"/>
      <c r="E642" s="5"/>
    </row>
    <row r="643" ht="15.75" customHeight="1">
      <c r="A643" s="8"/>
      <c r="C643" s="5"/>
      <c r="D643" s="5"/>
      <c r="E643" s="5"/>
    </row>
    <row r="644" ht="15.75" customHeight="1">
      <c r="A644" s="8"/>
      <c r="C644" s="5"/>
      <c r="D644" s="5"/>
      <c r="E644" s="5"/>
    </row>
    <row r="645" ht="15.75" customHeight="1">
      <c r="A645" s="8"/>
      <c r="C645" s="5"/>
      <c r="D645" s="5"/>
      <c r="E645" s="5"/>
    </row>
    <row r="646" ht="15.75" customHeight="1">
      <c r="A646" s="8"/>
      <c r="C646" s="5"/>
      <c r="D646" s="5"/>
      <c r="E646" s="5"/>
    </row>
    <row r="647" ht="15.75" customHeight="1">
      <c r="A647" s="8"/>
      <c r="C647" s="5"/>
      <c r="D647" s="5"/>
      <c r="E647" s="5"/>
    </row>
    <row r="648" ht="15.75" customHeight="1">
      <c r="A648" s="8"/>
      <c r="C648" s="5"/>
      <c r="D648" s="5"/>
      <c r="E648" s="5"/>
    </row>
    <row r="649" ht="15.75" customHeight="1">
      <c r="A649" s="8"/>
      <c r="C649" s="5"/>
      <c r="D649" s="5"/>
      <c r="E649" s="5"/>
    </row>
    <row r="650" ht="15.75" customHeight="1">
      <c r="A650" s="8"/>
      <c r="C650" s="5"/>
      <c r="D650" s="5"/>
      <c r="E650" s="5"/>
    </row>
    <row r="651" ht="15.75" customHeight="1">
      <c r="A651" s="8"/>
      <c r="C651" s="5"/>
      <c r="D651" s="5"/>
      <c r="E651" s="5"/>
    </row>
    <row r="652" ht="15.75" customHeight="1">
      <c r="A652" s="8"/>
      <c r="C652" s="5"/>
      <c r="D652" s="5"/>
      <c r="E652" s="5"/>
    </row>
    <row r="653" ht="15.75" customHeight="1">
      <c r="A653" s="8"/>
      <c r="C653" s="5"/>
      <c r="D653" s="5"/>
      <c r="E653" s="5"/>
    </row>
    <row r="654" ht="15.75" customHeight="1">
      <c r="A654" s="8"/>
      <c r="C654" s="5"/>
      <c r="D654" s="5"/>
      <c r="E654" s="5"/>
    </row>
    <row r="655" ht="15.75" customHeight="1">
      <c r="A655" s="8"/>
      <c r="C655" s="5"/>
      <c r="D655" s="5"/>
      <c r="E655" s="5"/>
    </row>
    <row r="656" ht="15.75" customHeight="1">
      <c r="A656" s="8"/>
      <c r="C656" s="5"/>
      <c r="D656" s="5"/>
      <c r="E656" s="5"/>
    </row>
    <row r="657" ht="15.75" customHeight="1">
      <c r="A657" s="8"/>
      <c r="C657" s="5"/>
      <c r="D657" s="5"/>
      <c r="E657" s="5"/>
    </row>
    <row r="658" ht="15.75" customHeight="1">
      <c r="A658" s="8"/>
      <c r="C658" s="5"/>
      <c r="D658" s="5"/>
      <c r="E658" s="5"/>
    </row>
    <row r="659" ht="15.75" customHeight="1">
      <c r="A659" s="8"/>
      <c r="C659" s="5"/>
      <c r="D659" s="5"/>
      <c r="E659" s="5"/>
    </row>
    <row r="660" ht="15.75" customHeight="1">
      <c r="A660" s="8"/>
      <c r="C660" s="5"/>
      <c r="D660" s="5"/>
      <c r="E660" s="5"/>
    </row>
    <row r="661" ht="15.75" customHeight="1">
      <c r="A661" s="8"/>
      <c r="C661" s="5"/>
      <c r="D661" s="5"/>
      <c r="E661" s="5"/>
    </row>
    <row r="662" ht="15.75" customHeight="1">
      <c r="A662" s="8"/>
      <c r="C662" s="5"/>
      <c r="D662" s="5"/>
      <c r="E662" s="5"/>
    </row>
    <row r="663" ht="15.75" customHeight="1">
      <c r="A663" s="8"/>
      <c r="C663" s="5"/>
      <c r="D663" s="5"/>
      <c r="E663" s="5"/>
    </row>
    <row r="664" ht="15.75" customHeight="1">
      <c r="A664" s="8"/>
      <c r="C664" s="5"/>
      <c r="D664" s="5"/>
      <c r="E664" s="5"/>
    </row>
    <row r="665" ht="15.75" customHeight="1">
      <c r="A665" s="8"/>
      <c r="C665" s="5"/>
      <c r="D665" s="5"/>
      <c r="E665" s="5"/>
    </row>
    <row r="666" ht="15.75" customHeight="1">
      <c r="A666" s="8"/>
      <c r="C666" s="5"/>
      <c r="D666" s="5"/>
      <c r="E666" s="5"/>
    </row>
    <row r="667" ht="15.75" customHeight="1">
      <c r="A667" s="8"/>
      <c r="C667" s="5"/>
      <c r="D667" s="5"/>
      <c r="E667" s="5"/>
    </row>
    <row r="668" ht="15.75" customHeight="1">
      <c r="A668" s="8"/>
      <c r="C668" s="5"/>
      <c r="D668" s="5"/>
      <c r="E668" s="5"/>
    </row>
    <row r="669" ht="15.75" customHeight="1">
      <c r="A669" s="8"/>
      <c r="C669" s="5"/>
      <c r="D669" s="5"/>
      <c r="E669" s="5"/>
    </row>
    <row r="670" ht="15.75" customHeight="1">
      <c r="A670" s="8"/>
      <c r="C670" s="5"/>
      <c r="D670" s="5"/>
      <c r="E670" s="5"/>
    </row>
    <row r="671" ht="15.75" customHeight="1">
      <c r="A671" s="8"/>
      <c r="C671" s="5"/>
      <c r="D671" s="5"/>
      <c r="E671" s="5"/>
    </row>
    <row r="672" ht="15.75" customHeight="1">
      <c r="A672" s="8"/>
      <c r="C672" s="5"/>
      <c r="D672" s="5"/>
      <c r="E672" s="5"/>
    </row>
    <row r="673" ht="15.75" customHeight="1">
      <c r="A673" s="8"/>
      <c r="C673" s="5"/>
      <c r="D673" s="5"/>
      <c r="E673" s="5"/>
    </row>
    <row r="674" ht="15.75" customHeight="1">
      <c r="A674" s="8"/>
      <c r="C674" s="5"/>
      <c r="D674" s="5"/>
      <c r="E674" s="5"/>
    </row>
    <row r="675" ht="15.75" customHeight="1">
      <c r="A675" s="8"/>
      <c r="C675" s="5"/>
      <c r="D675" s="5"/>
      <c r="E675" s="5"/>
    </row>
    <row r="676" ht="15.75" customHeight="1">
      <c r="A676" s="8"/>
      <c r="C676" s="5"/>
      <c r="D676" s="5"/>
      <c r="E676" s="5"/>
    </row>
    <row r="677" ht="15.75" customHeight="1">
      <c r="A677" s="8"/>
      <c r="C677" s="5"/>
      <c r="D677" s="5"/>
      <c r="E677" s="5"/>
    </row>
    <row r="678" ht="15.75" customHeight="1">
      <c r="A678" s="8"/>
      <c r="C678" s="5"/>
      <c r="D678" s="5"/>
      <c r="E678" s="5"/>
    </row>
    <row r="679" ht="15.75" customHeight="1">
      <c r="A679" s="8"/>
      <c r="C679" s="5"/>
      <c r="D679" s="5"/>
      <c r="E679" s="5"/>
    </row>
    <row r="680" ht="15.75" customHeight="1">
      <c r="A680" s="8"/>
      <c r="C680" s="5"/>
      <c r="D680" s="5"/>
      <c r="E680" s="5"/>
    </row>
    <row r="681" ht="15.75" customHeight="1">
      <c r="A681" s="8"/>
      <c r="C681" s="5"/>
      <c r="D681" s="5"/>
      <c r="E681" s="5"/>
    </row>
    <row r="682" ht="15.75" customHeight="1">
      <c r="A682" s="8"/>
      <c r="C682" s="5"/>
      <c r="D682" s="5"/>
      <c r="E682" s="5"/>
    </row>
    <row r="683" ht="15.75" customHeight="1">
      <c r="A683" s="8"/>
      <c r="C683" s="5"/>
      <c r="D683" s="5"/>
      <c r="E683" s="5"/>
    </row>
    <row r="684" ht="15.75" customHeight="1">
      <c r="A684" s="8"/>
      <c r="C684" s="5"/>
      <c r="D684" s="5"/>
      <c r="E684" s="5"/>
    </row>
    <row r="685" ht="15.75" customHeight="1">
      <c r="A685" s="8"/>
      <c r="C685" s="5"/>
      <c r="D685" s="5"/>
      <c r="E685" s="5"/>
    </row>
    <row r="686" ht="15.75" customHeight="1">
      <c r="A686" s="8"/>
      <c r="C686" s="5"/>
      <c r="D686" s="5"/>
      <c r="E686" s="5"/>
    </row>
    <row r="687" ht="15.75" customHeight="1">
      <c r="A687" s="8"/>
      <c r="C687" s="5"/>
      <c r="D687" s="5"/>
      <c r="E687" s="5"/>
    </row>
    <row r="688" ht="15.75" customHeight="1">
      <c r="A688" s="8"/>
      <c r="C688" s="5"/>
      <c r="D688" s="5"/>
      <c r="E688" s="5"/>
    </row>
    <row r="689" ht="15.75" customHeight="1">
      <c r="A689" s="8"/>
      <c r="C689" s="5"/>
      <c r="D689" s="5"/>
      <c r="E689" s="5"/>
    </row>
    <row r="690" ht="15.75" customHeight="1">
      <c r="A690" s="8"/>
      <c r="C690" s="5"/>
      <c r="D690" s="5"/>
      <c r="E690" s="5"/>
    </row>
    <row r="691" ht="15.75" customHeight="1">
      <c r="A691" s="8"/>
      <c r="C691" s="5"/>
      <c r="D691" s="5"/>
      <c r="E691" s="5"/>
    </row>
    <row r="692" ht="15.75" customHeight="1">
      <c r="A692" s="8"/>
      <c r="C692" s="5"/>
      <c r="D692" s="5"/>
      <c r="E692" s="5"/>
    </row>
    <row r="693" ht="15.75" customHeight="1">
      <c r="A693" s="8"/>
      <c r="C693" s="5"/>
      <c r="D693" s="5"/>
      <c r="E693" s="5"/>
    </row>
    <row r="694" ht="15.75" customHeight="1">
      <c r="A694" s="8"/>
      <c r="C694" s="5"/>
      <c r="D694" s="5"/>
      <c r="E694" s="5"/>
    </row>
    <row r="695" ht="15.75" customHeight="1">
      <c r="A695" s="8"/>
      <c r="C695" s="5"/>
      <c r="D695" s="5"/>
      <c r="E695" s="5"/>
    </row>
    <row r="696" ht="15.75" customHeight="1">
      <c r="A696" s="8"/>
      <c r="C696" s="5"/>
      <c r="D696" s="5"/>
      <c r="E696" s="5"/>
    </row>
    <row r="697" ht="15.75" customHeight="1">
      <c r="A697" s="8"/>
      <c r="C697" s="5"/>
      <c r="D697" s="5"/>
      <c r="E697" s="5"/>
    </row>
    <row r="698" ht="15.75" customHeight="1">
      <c r="A698" s="8"/>
      <c r="C698" s="5"/>
      <c r="D698" s="5"/>
      <c r="E698" s="5"/>
    </row>
    <row r="699" ht="15.75" customHeight="1">
      <c r="A699" s="8"/>
      <c r="C699" s="5"/>
      <c r="D699" s="5"/>
      <c r="E699" s="5"/>
    </row>
    <row r="700" ht="15.75" customHeight="1">
      <c r="A700" s="8"/>
      <c r="C700" s="5"/>
      <c r="D700" s="5"/>
      <c r="E700" s="5"/>
    </row>
    <row r="701" ht="15.75" customHeight="1">
      <c r="A701" s="8"/>
      <c r="C701" s="5"/>
      <c r="D701" s="5"/>
      <c r="E701" s="5"/>
    </row>
    <row r="702" ht="15.75" customHeight="1">
      <c r="A702" s="8"/>
      <c r="C702" s="5"/>
      <c r="D702" s="5"/>
      <c r="E702" s="5"/>
    </row>
    <row r="703" ht="15.75" customHeight="1">
      <c r="A703" s="8"/>
      <c r="C703" s="5"/>
      <c r="D703" s="5"/>
      <c r="E703" s="5"/>
    </row>
    <row r="704" ht="15.75" customHeight="1">
      <c r="A704" s="8"/>
      <c r="C704" s="5"/>
      <c r="D704" s="5"/>
      <c r="E704" s="5"/>
    </row>
    <row r="705" ht="15.75" customHeight="1">
      <c r="A705" s="8"/>
      <c r="C705" s="5"/>
      <c r="D705" s="5"/>
      <c r="E705" s="5"/>
    </row>
    <row r="706" ht="15.75" customHeight="1">
      <c r="A706" s="8"/>
      <c r="C706" s="5"/>
      <c r="D706" s="5"/>
      <c r="E706" s="5"/>
    </row>
    <row r="707" ht="15.75" customHeight="1">
      <c r="A707" s="8"/>
      <c r="C707" s="5"/>
      <c r="D707" s="5"/>
      <c r="E707" s="5"/>
    </row>
    <row r="708" ht="15.75" customHeight="1">
      <c r="A708" s="8"/>
      <c r="C708" s="5"/>
      <c r="D708" s="5"/>
      <c r="E708" s="5"/>
    </row>
    <row r="709" ht="15.75" customHeight="1">
      <c r="A709" s="8"/>
      <c r="C709" s="5"/>
      <c r="D709" s="5"/>
      <c r="E709" s="5"/>
    </row>
    <row r="710" ht="15.75" customHeight="1">
      <c r="A710" s="8"/>
      <c r="C710" s="5"/>
      <c r="D710" s="5"/>
      <c r="E710" s="5"/>
    </row>
    <row r="711" ht="15.75" customHeight="1">
      <c r="A711" s="8"/>
      <c r="C711" s="5"/>
      <c r="D711" s="5"/>
      <c r="E711" s="5"/>
    </row>
    <row r="712" ht="15.75" customHeight="1">
      <c r="A712" s="8"/>
      <c r="C712" s="5"/>
      <c r="D712" s="5"/>
      <c r="E712" s="5"/>
    </row>
    <row r="713" ht="15.75" customHeight="1">
      <c r="A713" s="8"/>
      <c r="C713" s="5"/>
      <c r="D713" s="5"/>
      <c r="E713" s="5"/>
    </row>
    <row r="714" ht="15.75" customHeight="1">
      <c r="A714" s="8"/>
      <c r="C714" s="5"/>
      <c r="D714" s="5"/>
      <c r="E714" s="5"/>
    </row>
    <row r="715" ht="15.75" customHeight="1">
      <c r="A715" s="8"/>
      <c r="C715" s="5"/>
      <c r="D715" s="5"/>
      <c r="E715" s="5"/>
    </row>
    <row r="716" ht="15.75" customHeight="1">
      <c r="A716" s="8"/>
      <c r="C716" s="5"/>
      <c r="D716" s="5"/>
      <c r="E716" s="5"/>
    </row>
    <row r="717" ht="15.75" customHeight="1">
      <c r="A717" s="8"/>
      <c r="C717" s="5"/>
      <c r="D717" s="5"/>
      <c r="E717" s="5"/>
    </row>
    <row r="718" ht="15.75" customHeight="1">
      <c r="A718" s="8"/>
      <c r="C718" s="5"/>
      <c r="D718" s="5"/>
      <c r="E718" s="5"/>
    </row>
    <row r="719" ht="15.75" customHeight="1">
      <c r="A719" s="8"/>
      <c r="C719" s="5"/>
      <c r="D719" s="5"/>
      <c r="E719" s="5"/>
    </row>
    <row r="720" ht="15.75" customHeight="1">
      <c r="A720" s="8"/>
      <c r="C720" s="5"/>
      <c r="D720" s="5"/>
      <c r="E720" s="5"/>
    </row>
    <row r="721" ht="15.75" customHeight="1">
      <c r="A721" s="8"/>
      <c r="C721" s="5"/>
      <c r="D721" s="5"/>
      <c r="E721" s="5"/>
    </row>
    <row r="722" ht="15.75" customHeight="1">
      <c r="A722" s="8"/>
      <c r="C722" s="5"/>
      <c r="D722" s="5"/>
      <c r="E722" s="5"/>
    </row>
    <row r="723" ht="15.75" customHeight="1">
      <c r="A723" s="8"/>
      <c r="C723" s="5"/>
      <c r="D723" s="5"/>
      <c r="E723" s="5"/>
    </row>
    <row r="724" ht="15.75" customHeight="1">
      <c r="A724" s="8"/>
      <c r="C724" s="5"/>
      <c r="D724" s="5"/>
      <c r="E724" s="5"/>
    </row>
    <row r="725" ht="15.75" customHeight="1">
      <c r="A725" s="8"/>
      <c r="C725" s="5"/>
      <c r="D725" s="5"/>
      <c r="E725" s="5"/>
    </row>
    <row r="726" ht="15.75" customHeight="1">
      <c r="A726" s="8"/>
      <c r="C726" s="5"/>
      <c r="D726" s="5"/>
      <c r="E726" s="5"/>
    </row>
    <row r="727" ht="15.75" customHeight="1">
      <c r="A727" s="8"/>
      <c r="C727" s="5"/>
      <c r="D727" s="5"/>
      <c r="E727" s="5"/>
    </row>
    <row r="728" ht="15.75" customHeight="1">
      <c r="A728" s="8"/>
      <c r="C728" s="5"/>
      <c r="D728" s="5"/>
      <c r="E728" s="5"/>
    </row>
    <row r="729" ht="15.75" customHeight="1">
      <c r="A729" s="8"/>
      <c r="C729" s="5"/>
      <c r="D729" s="5"/>
      <c r="E729" s="5"/>
    </row>
    <row r="730" ht="15.75" customHeight="1">
      <c r="A730" s="8"/>
      <c r="C730" s="5"/>
      <c r="D730" s="5"/>
      <c r="E730" s="5"/>
    </row>
    <row r="731" ht="15.75" customHeight="1">
      <c r="A731" s="8"/>
      <c r="C731" s="5"/>
      <c r="D731" s="5"/>
      <c r="E731" s="5"/>
    </row>
    <row r="732" ht="15.75" customHeight="1">
      <c r="A732" s="8"/>
      <c r="C732" s="5"/>
      <c r="D732" s="5"/>
      <c r="E732" s="5"/>
    </row>
    <row r="733" ht="15.75" customHeight="1">
      <c r="A733" s="8"/>
      <c r="C733" s="5"/>
      <c r="D733" s="5"/>
      <c r="E733" s="5"/>
    </row>
    <row r="734" ht="15.75" customHeight="1">
      <c r="A734" s="8"/>
      <c r="C734" s="5"/>
      <c r="D734" s="5"/>
      <c r="E734" s="5"/>
    </row>
    <row r="735" ht="15.75" customHeight="1">
      <c r="A735" s="8"/>
      <c r="C735" s="5"/>
      <c r="D735" s="5"/>
      <c r="E735" s="5"/>
    </row>
    <row r="736" ht="15.75" customHeight="1">
      <c r="A736" s="8"/>
      <c r="C736" s="5"/>
      <c r="D736" s="5"/>
      <c r="E736" s="5"/>
    </row>
    <row r="737" ht="15.75" customHeight="1">
      <c r="A737" s="8"/>
      <c r="C737" s="5"/>
      <c r="D737" s="5"/>
      <c r="E737" s="5"/>
    </row>
    <row r="738" ht="15.75" customHeight="1">
      <c r="A738" s="8"/>
      <c r="C738" s="5"/>
      <c r="D738" s="5"/>
      <c r="E738" s="5"/>
    </row>
    <row r="739" ht="15.75" customHeight="1">
      <c r="A739" s="8"/>
      <c r="C739" s="5"/>
      <c r="D739" s="5"/>
      <c r="E739" s="5"/>
    </row>
    <row r="740" ht="15.75" customHeight="1">
      <c r="A740" s="8"/>
      <c r="C740" s="5"/>
      <c r="D740" s="5"/>
      <c r="E740" s="5"/>
    </row>
    <row r="741" ht="15.75" customHeight="1">
      <c r="A741" s="8"/>
      <c r="C741" s="5"/>
      <c r="D741" s="5"/>
      <c r="E741" s="5"/>
    </row>
    <row r="742" ht="15.75" customHeight="1">
      <c r="A742" s="8"/>
      <c r="C742" s="5"/>
      <c r="D742" s="5"/>
      <c r="E742" s="5"/>
    </row>
    <row r="743" ht="15.75" customHeight="1">
      <c r="A743" s="8"/>
      <c r="C743" s="5"/>
      <c r="D743" s="5"/>
      <c r="E743" s="5"/>
    </row>
    <row r="744" ht="15.75" customHeight="1">
      <c r="A744" s="8"/>
      <c r="C744" s="5"/>
      <c r="D744" s="5"/>
      <c r="E744" s="5"/>
    </row>
    <row r="745" ht="15.75" customHeight="1">
      <c r="A745" s="8"/>
      <c r="C745" s="5"/>
      <c r="D745" s="5"/>
      <c r="E745" s="5"/>
    </row>
    <row r="746" ht="15.75" customHeight="1">
      <c r="A746" s="8"/>
      <c r="C746" s="5"/>
      <c r="D746" s="5"/>
      <c r="E746" s="5"/>
    </row>
    <row r="747" ht="15.75" customHeight="1">
      <c r="A747" s="8"/>
      <c r="C747" s="5"/>
      <c r="D747" s="5"/>
      <c r="E747" s="5"/>
    </row>
    <row r="748" ht="15.75" customHeight="1">
      <c r="A748" s="8"/>
      <c r="C748" s="5"/>
      <c r="D748" s="5"/>
      <c r="E748" s="5"/>
    </row>
    <row r="749" ht="15.75" customHeight="1">
      <c r="A749" s="8"/>
      <c r="C749" s="5"/>
      <c r="D749" s="5"/>
      <c r="E749" s="5"/>
    </row>
    <row r="750" ht="15.75" customHeight="1">
      <c r="A750" s="8"/>
      <c r="C750" s="5"/>
      <c r="D750" s="5"/>
      <c r="E750" s="5"/>
    </row>
    <row r="751" ht="15.75" customHeight="1">
      <c r="A751" s="8"/>
      <c r="C751" s="5"/>
      <c r="D751" s="5"/>
      <c r="E751" s="5"/>
    </row>
    <row r="752" ht="15.75" customHeight="1">
      <c r="A752" s="8"/>
      <c r="C752" s="5"/>
      <c r="D752" s="5"/>
      <c r="E752" s="5"/>
    </row>
    <row r="753" ht="15.75" customHeight="1">
      <c r="A753" s="8"/>
      <c r="C753" s="5"/>
      <c r="D753" s="5"/>
      <c r="E753" s="5"/>
    </row>
    <row r="754" ht="15.75" customHeight="1">
      <c r="A754" s="8"/>
      <c r="C754" s="5"/>
      <c r="D754" s="5"/>
      <c r="E754" s="5"/>
    </row>
    <row r="755" ht="15.75" customHeight="1">
      <c r="A755" s="8"/>
      <c r="C755" s="5"/>
      <c r="D755" s="5"/>
      <c r="E755" s="5"/>
    </row>
    <row r="756" ht="15.75" customHeight="1">
      <c r="A756" s="8"/>
      <c r="C756" s="5"/>
      <c r="D756" s="5"/>
      <c r="E756" s="5"/>
    </row>
    <row r="757" ht="15.75" customHeight="1">
      <c r="A757" s="8"/>
      <c r="C757" s="5"/>
      <c r="D757" s="5"/>
      <c r="E757" s="5"/>
    </row>
    <row r="758" ht="15.75" customHeight="1">
      <c r="A758" s="8"/>
      <c r="C758" s="5"/>
      <c r="D758" s="5"/>
      <c r="E758" s="5"/>
    </row>
    <row r="759" ht="15.75" customHeight="1">
      <c r="A759" s="8"/>
      <c r="C759" s="5"/>
      <c r="D759" s="5"/>
      <c r="E759" s="5"/>
    </row>
    <row r="760" ht="15.75" customHeight="1">
      <c r="A760" s="8"/>
      <c r="C760" s="5"/>
      <c r="D760" s="5"/>
      <c r="E760" s="5"/>
    </row>
    <row r="761" ht="15.75" customHeight="1">
      <c r="A761" s="8"/>
      <c r="C761" s="5"/>
      <c r="D761" s="5"/>
      <c r="E761" s="5"/>
    </row>
    <row r="762" ht="15.75" customHeight="1">
      <c r="A762" s="8"/>
      <c r="C762" s="5"/>
      <c r="D762" s="5"/>
      <c r="E762" s="5"/>
    </row>
    <row r="763" ht="15.75" customHeight="1">
      <c r="A763" s="8"/>
      <c r="C763" s="5"/>
      <c r="D763" s="5"/>
      <c r="E763" s="5"/>
    </row>
    <row r="764" ht="15.75" customHeight="1">
      <c r="A764" s="8"/>
      <c r="C764" s="5"/>
      <c r="D764" s="5"/>
      <c r="E764" s="5"/>
    </row>
    <row r="765" ht="15.75" customHeight="1">
      <c r="A765" s="8"/>
      <c r="C765" s="5"/>
      <c r="D765" s="5"/>
      <c r="E765" s="5"/>
    </row>
    <row r="766" ht="15.75" customHeight="1">
      <c r="A766" s="8"/>
      <c r="C766" s="5"/>
      <c r="D766" s="5"/>
      <c r="E766" s="5"/>
    </row>
    <row r="767" ht="15.75" customHeight="1">
      <c r="A767" s="8"/>
      <c r="C767" s="5"/>
      <c r="D767" s="5"/>
      <c r="E767" s="5"/>
    </row>
    <row r="768" ht="15.75" customHeight="1">
      <c r="A768" s="8"/>
      <c r="C768" s="5"/>
      <c r="D768" s="5"/>
      <c r="E768" s="5"/>
    </row>
    <row r="769" ht="15.75" customHeight="1">
      <c r="A769" s="8"/>
      <c r="C769" s="5"/>
      <c r="D769" s="5"/>
      <c r="E769" s="5"/>
    </row>
    <row r="770" ht="15.75" customHeight="1">
      <c r="A770" s="8"/>
      <c r="C770" s="5"/>
      <c r="D770" s="5"/>
      <c r="E770" s="5"/>
    </row>
    <row r="771" ht="15.75" customHeight="1">
      <c r="A771" s="8"/>
      <c r="C771" s="5"/>
      <c r="D771" s="5"/>
      <c r="E771" s="5"/>
    </row>
    <row r="772" ht="15.75" customHeight="1">
      <c r="A772" s="8"/>
      <c r="C772" s="5"/>
      <c r="D772" s="5"/>
      <c r="E772" s="5"/>
    </row>
    <row r="773" ht="15.75" customHeight="1">
      <c r="A773" s="8"/>
      <c r="C773" s="5"/>
      <c r="D773" s="5"/>
      <c r="E773" s="5"/>
    </row>
    <row r="774" ht="15.75" customHeight="1">
      <c r="A774" s="8"/>
      <c r="C774" s="5"/>
      <c r="D774" s="5"/>
      <c r="E774" s="5"/>
    </row>
    <row r="775" ht="15.75" customHeight="1">
      <c r="A775" s="8"/>
      <c r="C775" s="5"/>
      <c r="D775" s="5"/>
      <c r="E775" s="5"/>
    </row>
    <row r="776" ht="15.75" customHeight="1">
      <c r="A776" s="8"/>
      <c r="C776" s="5"/>
      <c r="D776" s="5"/>
      <c r="E776" s="5"/>
    </row>
    <row r="777" ht="15.75" customHeight="1">
      <c r="A777" s="8"/>
      <c r="C777" s="5"/>
      <c r="D777" s="5"/>
      <c r="E777" s="5"/>
    </row>
    <row r="778" ht="15.75" customHeight="1">
      <c r="A778" s="8"/>
      <c r="C778" s="5"/>
      <c r="D778" s="5"/>
      <c r="E778" s="5"/>
    </row>
    <row r="779" ht="15.75" customHeight="1">
      <c r="A779" s="8"/>
      <c r="C779" s="5"/>
      <c r="D779" s="5"/>
      <c r="E779" s="5"/>
    </row>
    <row r="780" ht="15.75" customHeight="1">
      <c r="A780" s="8"/>
      <c r="C780" s="5"/>
      <c r="D780" s="5"/>
      <c r="E780" s="5"/>
    </row>
    <row r="781" ht="15.75" customHeight="1">
      <c r="A781" s="8"/>
      <c r="C781" s="5"/>
      <c r="D781" s="5"/>
      <c r="E781" s="5"/>
    </row>
    <row r="782" ht="15.75" customHeight="1">
      <c r="A782" s="8"/>
      <c r="C782" s="5"/>
      <c r="D782" s="5"/>
      <c r="E782" s="5"/>
    </row>
    <row r="783" ht="15.75" customHeight="1">
      <c r="A783" s="8"/>
      <c r="C783" s="5"/>
      <c r="D783" s="5"/>
      <c r="E783" s="5"/>
    </row>
    <row r="784" ht="15.75" customHeight="1">
      <c r="A784" s="8"/>
      <c r="C784" s="5"/>
      <c r="D784" s="5"/>
      <c r="E784" s="5"/>
    </row>
    <row r="785" ht="15.75" customHeight="1">
      <c r="A785" s="8"/>
      <c r="C785" s="5"/>
      <c r="D785" s="5"/>
      <c r="E785" s="5"/>
    </row>
    <row r="786" ht="15.75" customHeight="1">
      <c r="A786" s="8"/>
      <c r="C786" s="5"/>
      <c r="D786" s="5"/>
      <c r="E786" s="5"/>
    </row>
    <row r="787" ht="15.75" customHeight="1">
      <c r="A787" s="8"/>
      <c r="C787" s="5"/>
      <c r="D787" s="5"/>
      <c r="E787" s="5"/>
    </row>
    <row r="788" ht="15.75" customHeight="1">
      <c r="A788" s="8"/>
      <c r="C788" s="5"/>
      <c r="D788" s="5"/>
      <c r="E788" s="5"/>
    </row>
    <row r="789" ht="15.75" customHeight="1">
      <c r="A789" s="8"/>
      <c r="C789" s="5"/>
      <c r="D789" s="5"/>
      <c r="E789" s="5"/>
    </row>
    <row r="790" ht="15.75" customHeight="1">
      <c r="A790" s="8"/>
      <c r="C790" s="5"/>
      <c r="D790" s="5"/>
      <c r="E790" s="5"/>
    </row>
    <row r="791" ht="15.75" customHeight="1">
      <c r="A791" s="8"/>
      <c r="C791" s="5"/>
      <c r="D791" s="5"/>
      <c r="E791" s="5"/>
    </row>
    <row r="792" ht="15.75" customHeight="1">
      <c r="A792" s="8"/>
      <c r="C792" s="5"/>
      <c r="D792" s="5"/>
      <c r="E792" s="5"/>
    </row>
    <row r="793" ht="15.75" customHeight="1">
      <c r="A793" s="8"/>
      <c r="C793" s="5"/>
      <c r="D793" s="5"/>
      <c r="E793" s="5"/>
    </row>
    <row r="794" ht="15.75" customHeight="1">
      <c r="A794" s="8"/>
      <c r="C794" s="5"/>
      <c r="D794" s="5"/>
      <c r="E794" s="5"/>
    </row>
    <row r="795" ht="15.75" customHeight="1">
      <c r="A795" s="8"/>
      <c r="C795" s="5"/>
      <c r="D795" s="5"/>
      <c r="E795" s="5"/>
    </row>
    <row r="796" ht="15.75" customHeight="1">
      <c r="A796" s="8"/>
      <c r="C796" s="5"/>
      <c r="D796" s="5"/>
      <c r="E796" s="5"/>
    </row>
    <row r="797" ht="15.75" customHeight="1">
      <c r="A797" s="8"/>
      <c r="C797" s="5"/>
      <c r="D797" s="5"/>
      <c r="E797" s="5"/>
    </row>
    <row r="798" ht="15.75" customHeight="1">
      <c r="A798" s="8"/>
      <c r="C798" s="5"/>
      <c r="D798" s="5"/>
      <c r="E798" s="5"/>
    </row>
    <row r="799" ht="15.75" customHeight="1">
      <c r="A799" s="8"/>
      <c r="C799" s="5"/>
      <c r="D799" s="5"/>
      <c r="E799" s="5"/>
    </row>
    <row r="800" ht="15.75" customHeight="1">
      <c r="A800" s="8"/>
      <c r="C800" s="5"/>
      <c r="D800" s="5"/>
      <c r="E800" s="5"/>
    </row>
    <row r="801" ht="15.75" customHeight="1">
      <c r="A801" s="8"/>
      <c r="C801" s="5"/>
      <c r="D801" s="5"/>
      <c r="E801" s="5"/>
    </row>
    <row r="802" ht="15.75" customHeight="1">
      <c r="A802" s="8"/>
      <c r="C802" s="5"/>
      <c r="D802" s="5"/>
      <c r="E802" s="5"/>
    </row>
    <row r="803" ht="15.75" customHeight="1">
      <c r="A803" s="8"/>
      <c r="C803" s="5"/>
      <c r="D803" s="5"/>
      <c r="E803" s="5"/>
    </row>
    <row r="804" ht="15.75" customHeight="1">
      <c r="A804" s="8"/>
      <c r="C804" s="5"/>
      <c r="D804" s="5"/>
      <c r="E804" s="5"/>
    </row>
    <row r="805" ht="15.75" customHeight="1">
      <c r="A805" s="8"/>
      <c r="C805" s="5"/>
      <c r="D805" s="5"/>
      <c r="E805" s="5"/>
    </row>
    <row r="806" ht="15.75" customHeight="1">
      <c r="A806" s="8"/>
      <c r="C806" s="5"/>
      <c r="D806" s="5"/>
      <c r="E806" s="5"/>
    </row>
    <row r="807" ht="15.75" customHeight="1">
      <c r="A807" s="8"/>
      <c r="C807" s="5"/>
      <c r="D807" s="5"/>
      <c r="E807" s="5"/>
    </row>
    <row r="808" ht="15.75" customHeight="1">
      <c r="A808" s="8"/>
      <c r="C808" s="5"/>
      <c r="D808" s="5"/>
      <c r="E808" s="5"/>
    </row>
    <row r="809" ht="15.75" customHeight="1">
      <c r="A809" s="8"/>
      <c r="C809" s="5"/>
      <c r="D809" s="5"/>
      <c r="E809" s="5"/>
    </row>
    <row r="810" ht="15.75" customHeight="1">
      <c r="A810" s="8"/>
      <c r="C810" s="5"/>
      <c r="D810" s="5"/>
      <c r="E810" s="5"/>
    </row>
    <row r="811" ht="15.75" customHeight="1">
      <c r="A811" s="8"/>
      <c r="C811" s="5"/>
      <c r="D811" s="5"/>
      <c r="E811" s="5"/>
    </row>
    <row r="812" ht="15.75" customHeight="1">
      <c r="A812" s="8"/>
      <c r="C812" s="5"/>
      <c r="D812" s="5"/>
      <c r="E812" s="5"/>
    </row>
    <row r="813" ht="15.75" customHeight="1">
      <c r="A813" s="8"/>
      <c r="C813" s="5"/>
      <c r="D813" s="5"/>
      <c r="E813" s="5"/>
    </row>
    <row r="814" ht="15.75" customHeight="1">
      <c r="A814" s="8"/>
      <c r="C814" s="5"/>
      <c r="D814" s="5"/>
      <c r="E814" s="5"/>
    </row>
    <row r="815" ht="15.75" customHeight="1">
      <c r="A815" s="8"/>
      <c r="C815" s="5"/>
      <c r="D815" s="5"/>
      <c r="E815" s="5"/>
    </row>
    <row r="816" ht="15.75" customHeight="1">
      <c r="A816" s="8"/>
      <c r="C816" s="5"/>
      <c r="D816" s="5"/>
      <c r="E816" s="5"/>
    </row>
    <row r="817" ht="15.75" customHeight="1">
      <c r="A817" s="8"/>
      <c r="C817" s="5"/>
      <c r="D817" s="5"/>
      <c r="E817" s="5"/>
    </row>
    <row r="818" ht="15.75" customHeight="1">
      <c r="A818" s="8"/>
      <c r="C818" s="5"/>
      <c r="D818" s="5"/>
      <c r="E818" s="5"/>
    </row>
    <row r="819" ht="15.75" customHeight="1">
      <c r="A819" s="8"/>
      <c r="C819" s="5"/>
      <c r="D819" s="5"/>
      <c r="E819" s="5"/>
    </row>
    <row r="820" ht="15.75" customHeight="1">
      <c r="A820" s="8"/>
      <c r="C820" s="5"/>
      <c r="D820" s="5"/>
      <c r="E820" s="5"/>
    </row>
    <row r="821" ht="15.75" customHeight="1">
      <c r="A821" s="8"/>
      <c r="C821" s="5"/>
      <c r="D821" s="5"/>
      <c r="E821" s="5"/>
    </row>
    <row r="822" ht="15.75" customHeight="1">
      <c r="A822" s="8"/>
      <c r="C822" s="5"/>
      <c r="D822" s="5"/>
      <c r="E822" s="5"/>
    </row>
    <row r="823" ht="15.75" customHeight="1">
      <c r="A823" s="8"/>
      <c r="C823" s="5"/>
      <c r="D823" s="5"/>
      <c r="E823" s="5"/>
    </row>
    <row r="824" ht="15.75" customHeight="1">
      <c r="A824" s="8"/>
      <c r="C824" s="5"/>
      <c r="D824" s="5"/>
      <c r="E824" s="5"/>
    </row>
    <row r="825" ht="15.75" customHeight="1">
      <c r="A825" s="8"/>
      <c r="C825" s="5"/>
      <c r="D825" s="5"/>
      <c r="E825" s="5"/>
    </row>
    <row r="826" ht="15.75" customHeight="1">
      <c r="A826" s="8"/>
      <c r="C826" s="5"/>
      <c r="D826" s="5"/>
      <c r="E826" s="5"/>
    </row>
    <row r="827" ht="15.75" customHeight="1">
      <c r="A827" s="8"/>
      <c r="C827" s="5"/>
      <c r="D827" s="5"/>
      <c r="E827" s="5"/>
    </row>
    <row r="828" ht="15.75" customHeight="1">
      <c r="A828" s="8"/>
      <c r="C828" s="5"/>
      <c r="D828" s="5"/>
      <c r="E828" s="5"/>
    </row>
    <row r="829" ht="15.75" customHeight="1">
      <c r="A829" s="8"/>
      <c r="C829" s="5"/>
      <c r="D829" s="5"/>
      <c r="E829" s="5"/>
    </row>
    <row r="830" ht="15.75" customHeight="1">
      <c r="A830" s="8"/>
      <c r="C830" s="5"/>
      <c r="D830" s="5"/>
      <c r="E830" s="5"/>
    </row>
    <row r="831" ht="15.75" customHeight="1">
      <c r="A831" s="8"/>
      <c r="C831" s="5"/>
      <c r="D831" s="5"/>
      <c r="E831" s="5"/>
    </row>
    <row r="832" ht="15.75" customHeight="1">
      <c r="A832" s="8"/>
      <c r="C832" s="5"/>
      <c r="D832" s="5"/>
      <c r="E832" s="5"/>
    </row>
    <row r="833" ht="15.75" customHeight="1">
      <c r="A833" s="8"/>
      <c r="C833" s="5"/>
      <c r="D833" s="5"/>
      <c r="E833" s="5"/>
    </row>
    <row r="834" ht="15.75" customHeight="1">
      <c r="A834" s="8"/>
      <c r="C834" s="5"/>
      <c r="D834" s="5"/>
      <c r="E834" s="5"/>
    </row>
    <row r="835" ht="15.75" customHeight="1">
      <c r="A835" s="8"/>
      <c r="C835" s="5"/>
      <c r="D835" s="5"/>
      <c r="E835" s="5"/>
    </row>
    <row r="836" ht="15.75" customHeight="1">
      <c r="A836" s="8"/>
      <c r="C836" s="5"/>
      <c r="D836" s="5"/>
      <c r="E836" s="5"/>
    </row>
    <row r="837" ht="15.75" customHeight="1">
      <c r="A837" s="8"/>
      <c r="C837" s="5"/>
      <c r="D837" s="5"/>
      <c r="E837" s="5"/>
    </row>
    <row r="838" ht="15.75" customHeight="1">
      <c r="A838" s="8"/>
      <c r="C838" s="5"/>
      <c r="D838" s="5"/>
      <c r="E838" s="5"/>
    </row>
    <row r="839" ht="15.75" customHeight="1">
      <c r="A839" s="8"/>
      <c r="C839" s="5"/>
      <c r="D839" s="5"/>
      <c r="E839" s="5"/>
    </row>
    <row r="840" ht="15.75" customHeight="1">
      <c r="A840" s="8"/>
      <c r="C840" s="5"/>
      <c r="D840" s="5"/>
      <c r="E840" s="5"/>
    </row>
    <row r="841" ht="15.75" customHeight="1">
      <c r="A841" s="8"/>
      <c r="C841" s="5"/>
      <c r="D841" s="5"/>
      <c r="E841" s="5"/>
    </row>
    <row r="842" ht="15.75" customHeight="1">
      <c r="A842" s="8"/>
      <c r="C842" s="5"/>
      <c r="D842" s="5"/>
      <c r="E842" s="5"/>
    </row>
    <row r="843" ht="15.75" customHeight="1">
      <c r="A843" s="8"/>
      <c r="C843" s="5"/>
      <c r="D843" s="5"/>
      <c r="E843" s="5"/>
    </row>
    <row r="844" ht="15.75" customHeight="1">
      <c r="A844" s="8"/>
      <c r="C844" s="5"/>
      <c r="D844" s="5"/>
      <c r="E844" s="5"/>
    </row>
    <row r="845" ht="15.75" customHeight="1">
      <c r="A845" s="8"/>
      <c r="C845" s="5"/>
      <c r="D845" s="5"/>
      <c r="E845" s="5"/>
    </row>
    <row r="846" ht="15.75" customHeight="1">
      <c r="A846" s="8"/>
      <c r="C846" s="5"/>
      <c r="D846" s="5"/>
      <c r="E846" s="5"/>
    </row>
    <row r="847" ht="15.75" customHeight="1">
      <c r="A847" s="8"/>
      <c r="C847" s="5"/>
      <c r="D847" s="5"/>
      <c r="E847" s="5"/>
    </row>
    <row r="848" ht="15.75" customHeight="1">
      <c r="A848" s="8"/>
      <c r="C848" s="5"/>
      <c r="D848" s="5"/>
      <c r="E848" s="5"/>
    </row>
    <row r="849" ht="15.75" customHeight="1">
      <c r="A849" s="8"/>
      <c r="C849" s="5"/>
      <c r="D849" s="5"/>
      <c r="E849" s="5"/>
    </row>
    <row r="850" ht="15.75" customHeight="1">
      <c r="A850" s="8"/>
      <c r="C850" s="5"/>
      <c r="D850" s="5"/>
      <c r="E850" s="5"/>
    </row>
    <row r="851" ht="15.75" customHeight="1">
      <c r="A851" s="8"/>
      <c r="C851" s="5"/>
      <c r="D851" s="5"/>
      <c r="E851" s="5"/>
    </row>
    <row r="852" ht="15.75" customHeight="1">
      <c r="A852" s="8"/>
      <c r="C852" s="5"/>
      <c r="D852" s="5"/>
      <c r="E852" s="5"/>
    </row>
    <row r="853" ht="15.75" customHeight="1">
      <c r="A853" s="8"/>
      <c r="C853" s="5"/>
      <c r="D853" s="5"/>
      <c r="E853" s="5"/>
    </row>
    <row r="854" ht="15.75" customHeight="1">
      <c r="A854" s="8"/>
      <c r="C854" s="5"/>
      <c r="D854" s="5"/>
      <c r="E854" s="5"/>
    </row>
    <row r="855" ht="15.75" customHeight="1">
      <c r="A855" s="8"/>
      <c r="C855" s="5"/>
      <c r="D855" s="5"/>
      <c r="E855" s="5"/>
    </row>
    <row r="856" ht="15.75" customHeight="1">
      <c r="A856" s="8"/>
      <c r="C856" s="5"/>
      <c r="D856" s="5"/>
      <c r="E856" s="5"/>
    </row>
    <row r="857" ht="15.75" customHeight="1">
      <c r="A857" s="8"/>
      <c r="C857" s="5"/>
      <c r="D857" s="5"/>
      <c r="E857" s="5"/>
    </row>
    <row r="858" ht="15.75" customHeight="1">
      <c r="A858" s="8"/>
      <c r="C858" s="5"/>
      <c r="D858" s="5"/>
      <c r="E858" s="5"/>
    </row>
    <row r="859" ht="15.75" customHeight="1">
      <c r="A859" s="8"/>
      <c r="C859" s="5"/>
      <c r="D859" s="5"/>
      <c r="E859" s="5"/>
    </row>
    <row r="860" ht="15.75" customHeight="1">
      <c r="A860" s="8"/>
      <c r="C860" s="5"/>
      <c r="D860" s="5"/>
      <c r="E860" s="5"/>
    </row>
    <row r="861" ht="15.75" customHeight="1">
      <c r="A861" s="8"/>
      <c r="C861" s="5"/>
      <c r="D861" s="5"/>
      <c r="E861" s="5"/>
    </row>
    <row r="862" ht="15.75" customHeight="1">
      <c r="A862" s="8"/>
      <c r="C862" s="5"/>
      <c r="D862" s="5"/>
      <c r="E862" s="5"/>
    </row>
    <row r="863" ht="15.75" customHeight="1">
      <c r="A863" s="8"/>
      <c r="C863" s="5"/>
      <c r="D863" s="5"/>
      <c r="E863" s="5"/>
    </row>
    <row r="864" ht="15.75" customHeight="1">
      <c r="A864" s="8"/>
      <c r="C864" s="5"/>
      <c r="D864" s="5"/>
      <c r="E864" s="5"/>
    </row>
    <row r="865" ht="15.75" customHeight="1">
      <c r="A865" s="8"/>
      <c r="C865" s="5"/>
      <c r="D865" s="5"/>
      <c r="E865" s="5"/>
    </row>
    <row r="866" ht="15.75" customHeight="1">
      <c r="A866" s="8"/>
      <c r="C866" s="5"/>
      <c r="D866" s="5"/>
      <c r="E866" s="5"/>
    </row>
    <row r="867" ht="15.75" customHeight="1">
      <c r="A867" s="8"/>
      <c r="C867" s="5"/>
      <c r="D867" s="5"/>
      <c r="E867" s="5"/>
    </row>
    <row r="868" ht="15.75" customHeight="1">
      <c r="A868" s="8"/>
      <c r="C868" s="5"/>
      <c r="D868" s="5"/>
      <c r="E868" s="5"/>
    </row>
    <row r="869" ht="15.75" customHeight="1">
      <c r="A869" s="8"/>
      <c r="C869" s="5"/>
      <c r="D869" s="5"/>
      <c r="E869" s="5"/>
    </row>
    <row r="870" ht="15.75" customHeight="1">
      <c r="A870" s="8"/>
      <c r="C870" s="5"/>
      <c r="D870" s="5"/>
      <c r="E870" s="5"/>
    </row>
    <row r="871" ht="15.75" customHeight="1">
      <c r="A871" s="8"/>
      <c r="C871" s="5"/>
      <c r="D871" s="5"/>
      <c r="E871" s="5"/>
    </row>
    <row r="872" ht="15.75" customHeight="1">
      <c r="A872" s="8"/>
      <c r="C872" s="5"/>
      <c r="D872" s="5"/>
      <c r="E872" s="5"/>
    </row>
    <row r="873" ht="15.75" customHeight="1">
      <c r="A873" s="8"/>
      <c r="C873" s="5"/>
      <c r="D873" s="5"/>
      <c r="E873" s="5"/>
    </row>
    <row r="874" ht="15.75" customHeight="1">
      <c r="A874" s="8"/>
      <c r="C874" s="5"/>
      <c r="D874" s="5"/>
      <c r="E874" s="5"/>
    </row>
    <row r="875" ht="15.75" customHeight="1">
      <c r="A875" s="8"/>
      <c r="C875" s="5"/>
      <c r="D875" s="5"/>
      <c r="E875" s="5"/>
    </row>
    <row r="876" ht="15.75" customHeight="1">
      <c r="A876" s="8"/>
      <c r="C876" s="5"/>
      <c r="D876" s="5"/>
      <c r="E876" s="5"/>
    </row>
    <row r="877" ht="15.75" customHeight="1">
      <c r="A877" s="8"/>
      <c r="C877" s="5"/>
      <c r="D877" s="5"/>
      <c r="E877" s="5"/>
    </row>
    <row r="878" ht="15.75" customHeight="1">
      <c r="A878" s="8"/>
      <c r="C878" s="5"/>
      <c r="D878" s="5"/>
      <c r="E878" s="5"/>
    </row>
    <row r="879" ht="15.75" customHeight="1">
      <c r="A879" s="8"/>
      <c r="C879" s="5"/>
      <c r="D879" s="5"/>
      <c r="E879" s="5"/>
    </row>
    <row r="880" ht="15.75" customHeight="1">
      <c r="A880" s="8"/>
      <c r="C880" s="5"/>
      <c r="D880" s="5"/>
      <c r="E880" s="5"/>
    </row>
    <row r="881" ht="15.75" customHeight="1">
      <c r="A881" s="8"/>
      <c r="C881" s="5"/>
      <c r="D881" s="5"/>
      <c r="E881" s="5"/>
    </row>
    <row r="882" ht="15.75" customHeight="1">
      <c r="A882" s="8"/>
      <c r="C882" s="5"/>
      <c r="D882" s="5"/>
      <c r="E882" s="5"/>
    </row>
    <row r="883" ht="15.75" customHeight="1">
      <c r="A883" s="8"/>
      <c r="C883" s="5"/>
      <c r="D883" s="5"/>
      <c r="E883" s="5"/>
    </row>
    <row r="884" ht="15.75" customHeight="1">
      <c r="A884" s="8"/>
      <c r="C884" s="5"/>
      <c r="D884" s="5"/>
      <c r="E884" s="5"/>
    </row>
    <row r="885" ht="15.75" customHeight="1">
      <c r="A885" s="8"/>
      <c r="C885" s="5"/>
      <c r="D885" s="5"/>
      <c r="E885" s="5"/>
    </row>
    <row r="886" ht="15.75" customHeight="1">
      <c r="A886" s="8"/>
      <c r="C886" s="5"/>
      <c r="D886" s="5"/>
      <c r="E886" s="5"/>
    </row>
    <row r="887" ht="15.75" customHeight="1">
      <c r="A887" s="8"/>
      <c r="C887" s="5"/>
      <c r="D887" s="5"/>
      <c r="E887" s="5"/>
    </row>
    <row r="888" ht="15.75" customHeight="1">
      <c r="A888" s="8"/>
      <c r="C888" s="5"/>
      <c r="D888" s="5"/>
      <c r="E888" s="5"/>
    </row>
    <row r="889" ht="15.75" customHeight="1">
      <c r="A889" s="8"/>
      <c r="C889" s="5"/>
      <c r="D889" s="5"/>
      <c r="E889" s="5"/>
    </row>
    <row r="890" ht="15.75" customHeight="1">
      <c r="A890" s="8"/>
      <c r="C890" s="5"/>
      <c r="D890" s="5"/>
      <c r="E890" s="5"/>
    </row>
    <row r="891" ht="15.75" customHeight="1">
      <c r="A891" s="8"/>
      <c r="C891" s="5"/>
      <c r="D891" s="5"/>
      <c r="E891" s="5"/>
    </row>
    <row r="892" ht="15.75" customHeight="1">
      <c r="A892" s="8"/>
      <c r="C892" s="5"/>
      <c r="D892" s="5"/>
      <c r="E892" s="5"/>
    </row>
    <row r="893" ht="15.75" customHeight="1">
      <c r="A893" s="8"/>
      <c r="C893" s="5"/>
      <c r="D893" s="5"/>
      <c r="E893" s="5"/>
    </row>
    <row r="894" ht="15.75" customHeight="1">
      <c r="A894" s="8"/>
      <c r="C894" s="5"/>
      <c r="D894" s="5"/>
      <c r="E894" s="5"/>
    </row>
    <row r="895" ht="15.75" customHeight="1">
      <c r="A895" s="8"/>
      <c r="C895" s="5"/>
      <c r="D895" s="5"/>
      <c r="E895" s="5"/>
    </row>
    <row r="896" ht="15.75" customHeight="1">
      <c r="A896" s="8"/>
      <c r="C896" s="5"/>
      <c r="D896" s="5"/>
      <c r="E896" s="5"/>
    </row>
    <row r="897" ht="15.75" customHeight="1">
      <c r="A897" s="8"/>
      <c r="C897" s="5"/>
      <c r="D897" s="5"/>
      <c r="E897" s="5"/>
    </row>
    <row r="898" ht="15.75" customHeight="1">
      <c r="A898" s="8"/>
      <c r="C898" s="5"/>
      <c r="D898" s="5"/>
      <c r="E898" s="5"/>
    </row>
    <row r="899" ht="15.75" customHeight="1">
      <c r="A899" s="8"/>
      <c r="C899" s="5"/>
      <c r="D899" s="5"/>
      <c r="E899" s="5"/>
    </row>
    <row r="900" ht="15.75" customHeight="1">
      <c r="A900" s="8"/>
      <c r="C900" s="5"/>
      <c r="D900" s="5"/>
      <c r="E900" s="5"/>
    </row>
    <row r="901" ht="15.75" customHeight="1">
      <c r="A901" s="8"/>
      <c r="C901" s="5"/>
      <c r="D901" s="5"/>
      <c r="E901" s="5"/>
    </row>
    <row r="902" ht="15.75" customHeight="1">
      <c r="A902" s="8"/>
      <c r="C902" s="5"/>
      <c r="D902" s="5"/>
      <c r="E902" s="5"/>
    </row>
    <row r="903" ht="15.75" customHeight="1">
      <c r="A903" s="8"/>
      <c r="C903" s="5"/>
      <c r="D903" s="5"/>
      <c r="E903" s="5"/>
    </row>
    <row r="904" ht="15.75" customHeight="1">
      <c r="A904" s="8"/>
      <c r="C904" s="5"/>
      <c r="D904" s="5"/>
      <c r="E904" s="5"/>
    </row>
    <row r="905" ht="15.75" customHeight="1">
      <c r="A905" s="8"/>
      <c r="C905" s="5"/>
      <c r="D905" s="5"/>
      <c r="E905" s="5"/>
    </row>
    <row r="906" ht="15.75" customHeight="1">
      <c r="A906" s="8"/>
      <c r="C906" s="5"/>
      <c r="D906" s="5"/>
      <c r="E906" s="5"/>
    </row>
    <row r="907" ht="15.75" customHeight="1">
      <c r="A907" s="8"/>
      <c r="C907" s="5"/>
      <c r="D907" s="5"/>
      <c r="E907" s="5"/>
    </row>
    <row r="908" ht="15.75" customHeight="1">
      <c r="A908" s="8"/>
      <c r="C908" s="5"/>
      <c r="D908" s="5"/>
      <c r="E908" s="5"/>
    </row>
    <row r="909" ht="15.75" customHeight="1">
      <c r="A909" s="8"/>
      <c r="C909" s="5"/>
      <c r="D909" s="5"/>
      <c r="E909" s="5"/>
    </row>
    <row r="910" ht="15.75" customHeight="1">
      <c r="A910" s="8"/>
      <c r="C910" s="5"/>
      <c r="D910" s="5"/>
      <c r="E910" s="5"/>
    </row>
    <row r="911" ht="15.75" customHeight="1">
      <c r="A911" s="8"/>
      <c r="C911" s="5"/>
      <c r="D911" s="5"/>
      <c r="E911" s="5"/>
    </row>
    <row r="912" ht="15.75" customHeight="1">
      <c r="A912" s="8"/>
      <c r="C912" s="5"/>
      <c r="D912" s="5"/>
      <c r="E912" s="5"/>
    </row>
    <row r="913" ht="15.75" customHeight="1">
      <c r="A913" s="8"/>
      <c r="C913" s="5"/>
      <c r="D913" s="5"/>
      <c r="E913" s="5"/>
    </row>
    <row r="914" ht="15.75" customHeight="1">
      <c r="A914" s="8"/>
      <c r="C914" s="5"/>
      <c r="D914" s="5"/>
      <c r="E914" s="5"/>
    </row>
    <row r="915" ht="15.75" customHeight="1">
      <c r="A915" s="8"/>
      <c r="C915" s="5"/>
      <c r="D915" s="5"/>
      <c r="E915" s="5"/>
    </row>
    <row r="916" ht="15.75" customHeight="1">
      <c r="A916" s="8"/>
      <c r="C916" s="5"/>
      <c r="D916" s="5"/>
      <c r="E916" s="5"/>
    </row>
    <row r="917" ht="15.75" customHeight="1">
      <c r="A917" s="8"/>
      <c r="C917" s="5"/>
      <c r="D917" s="5"/>
      <c r="E917" s="5"/>
    </row>
    <row r="918" ht="15.75" customHeight="1">
      <c r="A918" s="8"/>
      <c r="C918" s="5"/>
      <c r="D918" s="5"/>
      <c r="E918" s="5"/>
    </row>
    <row r="919" ht="15.75" customHeight="1">
      <c r="A919" s="8"/>
      <c r="C919" s="5"/>
      <c r="D919" s="5"/>
      <c r="E919" s="5"/>
    </row>
    <row r="920" ht="15.75" customHeight="1">
      <c r="A920" s="8"/>
      <c r="C920" s="5"/>
      <c r="D920" s="5"/>
      <c r="E920" s="5"/>
    </row>
    <row r="921" ht="15.75" customHeight="1">
      <c r="A921" s="8"/>
      <c r="C921" s="5"/>
      <c r="D921" s="5"/>
      <c r="E921" s="5"/>
    </row>
    <row r="922" ht="15.75" customHeight="1">
      <c r="A922" s="8"/>
      <c r="C922" s="5"/>
      <c r="D922" s="5"/>
      <c r="E922" s="5"/>
    </row>
    <row r="923" ht="15.75" customHeight="1">
      <c r="A923" s="8"/>
      <c r="C923" s="5"/>
      <c r="D923" s="5"/>
      <c r="E923" s="5"/>
    </row>
    <row r="924" ht="15.75" customHeight="1">
      <c r="A924" s="8"/>
      <c r="C924" s="5"/>
      <c r="D924" s="5"/>
      <c r="E924" s="5"/>
    </row>
    <row r="925" ht="15.75" customHeight="1">
      <c r="A925" s="8"/>
      <c r="C925" s="5"/>
      <c r="D925" s="5"/>
      <c r="E925" s="5"/>
    </row>
    <row r="926" ht="15.75" customHeight="1">
      <c r="A926" s="8"/>
      <c r="C926" s="5"/>
      <c r="D926" s="5"/>
      <c r="E926" s="5"/>
    </row>
    <row r="927" ht="15.75" customHeight="1">
      <c r="A927" s="8"/>
      <c r="C927" s="5"/>
      <c r="D927" s="5"/>
      <c r="E927" s="5"/>
    </row>
    <row r="928" ht="15.75" customHeight="1">
      <c r="A928" s="8"/>
      <c r="C928" s="5"/>
      <c r="D928" s="5"/>
      <c r="E928" s="5"/>
    </row>
    <row r="929" ht="15.75" customHeight="1">
      <c r="A929" s="8"/>
      <c r="C929" s="5"/>
      <c r="D929" s="5"/>
      <c r="E929" s="5"/>
    </row>
    <row r="930" ht="15.75" customHeight="1">
      <c r="A930" s="8"/>
      <c r="C930" s="5"/>
      <c r="D930" s="5"/>
      <c r="E930" s="5"/>
    </row>
    <row r="931" ht="15.75" customHeight="1">
      <c r="A931" s="8"/>
      <c r="C931" s="5"/>
      <c r="D931" s="5"/>
      <c r="E931" s="5"/>
    </row>
    <row r="932" ht="15.75" customHeight="1">
      <c r="A932" s="8"/>
      <c r="C932" s="5"/>
      <c r="D932" s="5"/>
      <c r="E932" s="5"/>
    </row>
    <row r="933" ht="15.75" customHeight="1">
      <c r="A933" s="8"/>
      <c r="C933" s="5"/>
      <c r="D933" s="5"/>
      <c r="E933" s="5"/>
    </row>
    <row r="934" ht="15.75" customHeight="1">
      <c r="A934" s="8"/>
      <c r="C934" s="5"/>
      <c r="D934" s="5"/>
      <c r="E934" s="5"/>
    </row>
    <row r="935" ht="15.75" customHeight="1">
      <c r="A935" s="8"/>
      <c r="C935" s="5"/>
      <c r="D935" s="5"/>
      <c r="E935" s="5"/>
    </row>
    <row r="936" ht="15.75" customHeight="1">
      <c r="A936" s="8"/>
      <c r="C936" s="5"/>
      <c r="D936" s="5"/>
      <c r="E936" s="5"/>
    </row>
    <row r="937" ht="15.75" customHeight="1">
      <c r="A937" s="8"/>
      <c r="C937" s="5"/>
      <c r="D937" s="5"/>
      <c r="E937" s="5"/>
    </row>
    <row r="938" ht="15.75" customHeight="1">
      <c r="A938" s="8"/>
      <c r="C938" s="5"/>
      <c r="D938" s="5"/>
      <c r="E938" s="5"/>
    </row>
    <row r="939" ht="15.75" customHeight="1">
      <c r="A939" s="8"/>
      <c r="C939" s="5"/>
      <c r="D939" s="5"/>
      <c r="E939" s="5"/>
    </row>
    <row r="940" ht="15.75" customHeight="1">
      <c r="A940" s="8"/>
      <c r="C940" s="5"/>
      <c r="D940" s="5"/>
      <c r="E940" s="5"/>
    </row>
    <row r="941" ht="15.75" customHeight="1">
      <c r="A941" s="8"/>
      <c r="C941" s="5"/>
      <c r="D941" s="5"/>
      <c r="E941" s="5"/>
    </row>
    <row r="942" ht="15.75" customHeight="1">
      <c r="A942" s="8"/>
      <c r="C942" s="5"/>
      <c r="D942" s="5"/>
      <c r="E942" s="5"/>
    </row>
    <row r="943" ht="15.75" customHeight="1">
      <c r="A943" s="8"/>
      <c r="C943" s="5"/>
      <c r="D943" s="5"/>
      <c r="E943" s="5"/>
    </row>
    <row r="944" ht="15.75" customHeight="1">
      <c r="A944" s="8"/>
      <c r="C944" s="5"/>
      <c r="D944" s="5"/>
      <c r="E944" s="5"/>
    </row>
    <row r="945" ht="15.75" customHeight="1">
      <c r="A945" s="8"/>
      <c r="C945" s="5"/>
      <c r="D945" s="5"/>
      <c r="E945" s="5"/>
    </row>
    <row r="946" ht="15.75" customHeight="1">
      <c r="A946" s="8"/>
      <c r="C946" s="5"/>
      <c r="D946" s="5"/>
      <c r="E946" s="5"/>
    </row>
    <row r="947" ht="15.75" customHeight="1">
      <c r="A947" s="8"/>
      <c r="C947" s="5"/>
      <c r="D947" s="5"/>
      <c r="E947" s="5"/>
    </row>
    <row r="948" ht="15.75" customHeight="1">
      <c r="A948" s="8"/>
      <c r="C948" s="5"/>
      <c r="D948" s="5"/>
      <c r="E948" s="5"/>
    </row>
    <row r="949" ht="15.75" customHeight="1">
      <c r="A949" s="8"/>
      <c r="C949" s="5"/>
      <c r="D949" s="5"/>
      <c r="E949" s="5"/>
    </row>
    <row r="950" ht="15.75" customHeight="1">
      <c r="A950" s="8"/>
      <c r="C950" s="5"/>
      <c r="D950" s="5"/>
      <c r="E950" s="5"/>
    </row>
    <row r="951" ht="15.75" customHeight="1">
      <c r="A951" s="8"/>
      <c r="C951" s="5"/>
      <c r="D951" s="5"/>
      <c r="E951" s="5"/>
    </row>
    <row r="952" ht="15.75" customHeight="1">
      <c r="A952" s="8"/>
      <c r="C952" s="5"/>
      <c r="D952" s="5"/>
      <c r="E952" s="5"/>
    </row>
    <row r="953" ht="15.75" customHeight="1">
      <c r="A953" s="8"/>
      <c r="C953" s="5"/>
      <c r="D953" s="5"/>
      <c r="E953" s="5"/>
    </row>
    <row r="954" ht="15.75" customHeight="1">
      <c r="A954" s="8"/>
      <c r="C954" s="5"/>
      <c r="D954" s="5"/>
      <c r="E954" s="5"/>
    </row>
    <row r="955" ht="15.75" customHeight="1">
      <c r="A955" s="8"/>
      <c r="C955" s="5"/>
      <c r="D955" s="5"/>
      <c r="E955" s="5"/>
    </row>
    <row r="956" ht="15.75" customHeight="1">
      <c r="A956" s="8"/>
      <c r="C956" s="5"/>
      <c r="D956" s="5"/>
      <c r="E956" s="5"/>
    </row>
    <row r="957" ht="15.75" customHeight="1">
      <c r="A957" s="8"/>
      <c r="C957" s="5"/>
      <c r="D957" s="5"/>
      <c r="E957" s="5"/>
    </row>
    <row r="958" ht="15.75" customHeight="1">
      <c r="A958" s="8"/>
      <c r="C958" s="5"/>
      <c r="D958" s="5"/>
      <c r="E958" s="5"/>
    </row>
    <row r="959" ht="15.75" customHeight="1">
      <c r="A959" s="8"/>
      <c r="C959" s="5"/>
      <c r="D959" s="5"/>
      <c r="E959" s="5"/>
    </row>
    <row r="960" ht="15.75" customHeight="1">
      <c r="A960" s="8"/>
      <c r="C960" s="5"/>
      <c r="D960" s="5"/>
      <c r="E960" s="5"/>
    </row>
    <row r="961" ht="15.75" customHeight="1">
      <c r="A961" s="8"/>
      <c r="C961" s="5"/>
      <c r="D961" s="5"/>
      <c r="E961" s="5"/>
    </row>
    <row r="962" ht="15.75" customHeight="1">
      <c r="A962" s="8"/>
      <c r="C962" s="5"/>
      <c r="D962" s="5"/>
      <c r="E962" s="5"/>
    </row>
    <row r="963" ht="15.75" customHeight="1">
      <c r="A963" s="8"/>
      <c r="C963" s="5"/>
      <c r="D963" s="5"/>
      <c r="E963" s="5"/>
    </row>
    <row r="964" ht="15.75" customHeight="1">
      <c r="A964" s="8"/>
      <c r="C964" s="5"/>
      <c r="D964" s="5"/>
      <c r="E964" s="5"/>
    </row>
    <row r="965" ht="15.75" customHeight="1">
      <c r="A965" s="8"/>
      <c r="C965" s="5"/>
      <c r="D965" s="5"/>
      <c r="E965" s="5"/>
    </row>
    <row r="966" ht="15.75" customHeight="1">
      <c r="A966" s="8"/>
      <c r="C966" s="5"/>
      <c r="D966" s="5"/>
      <c r="E966" s="5"/>
    </row>
    <row r="967" ht="15.75" customHeight="1">
      <c r="A967" s="8"/>
      <c r="C967" s="5"/>
      <c r="D967" s="5"/>
      <c r="E967" s="5"/>
    </row>
    <row r="968" ht="15.75" customHeight="1">
      <c r="A968" s="8"/>
      <c r="C968" s="5"/>
      <c r="D968" s="5"/>
      <c r="E968" s="5"/>
    </row>
    <row r="969" ht="15.75" customHeight="1">
      <c r="A969" s="8"/>
      <c r="C969" s="5"/>
      <c r="D969" s="5"/>
      <c r="E969" s="5"/>
    </row>
    <row r="970" ht="15.75" customHeight="1">
      <c r="A970" s="8"/>
      <c r="C970" s="5"/>
      <c r="D970" s="5"/>
      <c r="E970" s="5"/>
    </row>
    <row r="971" ht="15.75" customHeight="1">
      <c r="A971" s="8"/>
      <c r="C971" s="5"/>
      <c r="D971" s="5"/>
      <c r="E971" s="5"/>
    </row>
    <row r="972" ht="15.75" customHeight="1">
      <c r="A972" s="8"/>
      <c r="C972" s="5"/>
      <c r="D972" s="5"/>
      <c r="E972" s="5"/>
    </row>
    <row r="973" ht="15.75" customHeight="1">
      <c r="A973" s="8"/>
      <c r="C973" s="5"/>
      <c r="D973" s="5"/>
      <c r="E973" s="5"/>
    </row>
    <row r="974" ht="15.75" customHeight="1">
      <c r="A974" s="8"/>
      <c r="C974" s="5"/>
      <c r="D974" s="5"/>
      <c r="E974" s="5"/>
    </row>
    <row r="975" ht="15.75" customHeight="1">
      <c r="A975" s="8"/>
      <c r="C975" s="5"/>
      <c r="D975" s="5"/>
      <c r="E975" s="5"/>
    </row>
    <row r="976" ht="15.75" customHeight="1">
      <c r="A976" s="8"/>
      <c r="C976" s="5"/>
      <c r="D976" s="5"/>
      <c r="E976" s="5"/>
    </row>
    <row r="977" ht="15.75" customHeight="1">
      <c r="A977" s="8"/>
      <c r="C977" s="5"/>
      <c r="D977" s="5"/>
      <c r="E977" s="5"/>
    </row>
    <row r="978" ht="15.75" customHeight="1">
      <c r="A978" s="8"/>
      <c r="C978" s="5"/>
      <c r="D978" s="5"/>
      <c r="E978" s="5"/>
    </row>
    <row r="979" ht="15.75" customHeight="1">
      <c r="A979" s="8"/>
      <c r="C979" s="5"/>
      <c r="D979" s="5"/>
      <c r="E979" s="5"/>
    </row>
    <row r="980" ht="15.75" customHeight="1">
      <c r="A980" s="8"/>
      <c r="C980" s="5"/>
      <c r="D980" s="5"/>
      <c r="E980" s="5"/>
    </row>
    <row r="981" ht="15.75" customHeight="1">
      <c r="A981" s="8"/>
      <c r="C981" s="5"/>
      <c r="D981" s="5"/>
      <c r="E981" s="5"/>
    </row>
    <row r="982" ht="15.75" customHeight="1">
      <c r="A982" s="8"/>
      <c r="C982" s="5"/>
      <c r="D982" s="5"/>
      <c r="E982" s="5"/>
    </row>
    <row r="983" ht="15.75" customHeight="1">
      <c r="A983" s="8"/>
      <c r="C983" s="5"/>
      <c r="D983" s="5"/>
      <c r="E983" s="5"/>
    </row>
    <row r="984" ht="15.75" customHeight="1">
      <c r="A984" s="8"/>
      <c r="C984" s="5"/>
      <c r="D984" s="5"/>
      <c r="E984" s="5"/>
    </row>
    <row r="985" ht="15.75" customHeight="1">
      <c r="A985" s="8"/>
      <c r="C985" s="5"/>
      <c r="D985" s="5"/>
      <c r="E985" s="5"/>
    </row>
    <row r="986" ht="15.75" customHeight="1">
      <c r="A986" s="8"/>
      <c r="C986" s="5"/>
      <c r="D986" s="5"/>
      <c r="E986" s="5"/>
    </row>
    <row r="987" ht="15.75" customHeight="1">
      <c r="A987" s="8"/>
      <c r="C987" s="5"/>
      <c r="D987" s="5"/>
      <c r="E987" s="5"/>
    </row>
    <row r="988" ht="15.75" customHeight="1">
      <c r="A988" s="8"/>
      <c r="C988" s="5"/>
      <c r="D988" s="5"/>
      <c r="E988" s="5"/>
    </row>
    <row r="989" ht="15.75" customHeight="1">
      <c r="A989" s="8"/>
      <c r="C989" s="5"/>
      <c r="D989" s="5"/>
      <c r="E989" s="5"/>
    </row>
    <row r="990" ht="15.75" customHeight="1">
      <c r="A990" s="8"/>
      <c r="C990" s="5"/>
      <c r="D990" s="5"/>
      <c r="E990" s="5"/>
    </row>
    <row r="991" ht="15.75" customHeight="1">
      <c r="A991" s="8"/>
      <c r="C991" s="5"/>
      <c r="D991" s="5"/>
      <c r="E991" s="5"/>
    </row>
    <row r="992" ht="15.75" customHeight="1">
      <c r="A992" s="8"/>
      <c r="C992" s="5"/>
      <c r="D992" s="5"/>
      <c r="E992" s="5"/>
    </row>
    <row r="993" ht="15.75" customHeight="1">
      <c r="A993" s="8"/>
      <c r="C993" s="5"/>
      <c r="D993" s="5"/>
      <c r="E993" s="5"/>
    </row>
    <row r="994" ht="15.75" customHeight="1">
      <c r="A994" s="8"/>
      <c r="C994" s="5"/>
      <c r="D994" s="5"/>
      <c r="E994" s="5"/>
    </row>
    <row r="995" ht="15.75" customHeight="1">
      <c r="A995" s="8"/>
      <c r="C995" s="5"/>
      <c r="D995" s="5"/>
      <c r="E995" s="5"/>
    </row>
    <row r="996" ht="15.75" customHeight="1">
      <c r="A996" s="8"/>
      <c r="C996" s="5"/>
      <c r="D996" s="5"/>
      <c r="E996" s="5"/>
    </row>
    <row r="997" ht="15.75" customHeight="1">
      <c r="A997" s="8"/>
      <c r="C997" s="5"/>
      <c r="D997" s="5"/>
      <c r="E997" s="5"/>
    </row>
    <row r="998" ht="15.75" customHeight="1">
      <c r="A998" s="8"/>
      <c r="C998" s="5"/>
      <c r="D998" s="5"/>
      <c r="E998" s="5"/>
    </row>
    <row r="999" ht="15.75" customHeight="1">
      <c r="A999" s="8"/>
      <c r="C999" s="5"/>
      <c r="D999" s="5"/>
      <c r="E999" s="5"/>
    </row>
    <row r="1000" ht="15.75" customHeight="1">
      <c r="A1000" s="8"/>
      <c r="C1000" s="5"/>
      <c r="D1000" s="5"/>
      <c r="E1000" s="5"/>
    </row>
  </sheetData>
  <autoFilter ref="$A$4:$I$158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81.78"/>
    <col customWidth="1" min="3" max="5" width="19.44"/>
    <col customWidth="1" min="6" max="6" width="23.11"/>
    <col customWidth="1" min="7" max="7" width="25.33"/>
    <col customWidth="1" min="8" max="8" width="60.33"/>
    <col customWidth="1" min="9" max="9" width="27.33"/>
    <col customWidth="1" min="10" max="26" width="10.56"/>
  </cols>
  <sheetData>
    <row r="1" ht="15.75" customHeight="1">
      <c r="A1" s="2" t="s">
        <v>1182</v>
      </c>
      <c r="B1" s="3" t="s">
        <v>1184</v>
      </c>
      <c r="C1" s="5"/>
      <c r="D1" s="5"/>
      <c r="E1" s="5"/>
    </row>
    <row r="2" ht="15.75" customHeight="1">
      <c r="A2" s="2" t="s">
        <v>8</v>
      </c>
      <c r="C2" s="5"/>
      <c r="D2" s="5"/>
      <c r="E2" s="5"/>
    </row>
    <row r="3" ht="15.75" customHeight="1">
      <c r="A3" s="8"/>
      <c r="C3" s="5"/>
      <c r="D3" s="5"/>
      <c r="E3" s="5"/>
    </row>
    <row r="4" ht="15.75" customHeight="1">
      <c r="A4" s="1" t="s">
        <v>10</v>
      </c>
      <c r="B4" s="9" t="s">
        <v>11</v>
      </c>
      <c r="C4" s="10"/>
      <c r="D4" s="10">
        <v>0.0</v>
      </c>
      <c r="E4" s="10">
        <v>6491216.359999152</v>
      </c>
    </row>
    <row r="5" ht="15.75" customHeight="1">
      <c r="A5" s="8">
        <v>46053.0</v>
      </c>
      <c r="B5" s="4" t="s">
        <v>1189</v>
      </c>
      <c r="C5" s="5">
        <v>25000.0</v>
      </c>
      <c r="D5" s="5">
        <v>0.0</v>
      </c>
      <c r="E5" s="5">
        <f t="shared" ref="E5:E65" si="1">E4-C5+D5</f>
        <v>6466216.36</v>
      </c>
      <c r="F5" s="4" t="s">
        <v>43</v>
      </c>
      <c r="G5" s="4" t="s">
        <v>45</v>
      </c>
      <c r="I5" s="19"/>
    </row>
    <row r="6" ht="15.75" customHeight="1">
      <c r="A6" s="8">
        <v>46071.0</v>
      </c>
      <c r="B6" s="4" t="s">
        <v>1194</v>
      </c>
      <c r="C6" s="5">
        <v>0.0</v>
      </c>
      <c r="D6" s="5">
        <v>5.29729729E8</v>
      </c>
      <c r="E6" s="5">
        <f t="shared" si="1"/>
        <v>536195945.4</v>
      </c>
      <c r="F6" s="4" t="s">
        <v>75</v>
      </c>
      <c r="G6" s="4" t="s">
        <v>76</v>
      </c>
      <c r="H6" s="14" t="s">
        <v>68</v>
      </c>
      <c r="I6" s="16" t="s">
        <v>1196</v>
      </c>
    </row>
    <row r="7" ht="15.75" customHeight="1">
      <c r="A7" s="8">
        <v>46081.0</v>
      </c>
      <c r="B7" s="4" t="s">
        <v>1189</v>
      </c>
      <c r="C7" s="5">
        <v>25000.0</v>
      </c>
      <c r="D7" s="5">
        <v>0.0</v>
      </c>
      <c r="E7" s="5">
        <f t="shared" si="1"/>
        <v>536170945.4</v>
      </c>
      <c r="F7" s="4" t="s">
        <v>43</v>
      </c>
      <c r="G7" s="4" t="s">
        <v>45</v>
      </c>
      <c r="I7" s="19"/>
    </row>
    <row r="8" ht="15.75" customHeight="1">
      <c r="A8" s="8">
        <v>46081.0</v>
      </c>
      <c r="B8" s="4" t="s">
        <v>1199</v>
      </c>
      <c r="C8" s="5">
        <v>32318.66</v>
      </c>
      <c r="D8" s="5">
        <v>0.0</v>
      </c>
      <c r="E8" s="5">
        <f t="shared" si="1"/>
        <v>536138626.7</v>
      </c>
      <c r="F8" s="4" t="s">
        <v>1201</v>
      </c>
      <c r="G8" s="4" t="s">
        <v>65</v>
      </c>
      <c r="I8" s="19"/>
    </row>
    <row r="9" ht="15.75" customHeight="1">
      <c r="A9" s="8">
        <v>46081.0</v>
      </c>
      <c r="B9" s="4" t="s">
        <v>1202</v>
      </c>
      <c r="C9" s="5">
        <v>0.0</v>
      </c>
      <c r="D9" s="5">
        <v>161593.3</v>
      </c>
      <c r="E9" s="5">
        <f t="shared" si="1"/>
        <v>536300220</v>
      </c>
      <c r="F9" s="4" t="s">
        <v>1201</v>
      </c>
      <c r="G9" s="4" t="s">
        <v>65</v>
      </c>
      <c r="I9" s="19"/>
    </row>
    <row r="10" ht="15.75" customHeight="1">
      <c r="A10" s="8">
        <v>46092.0</v>
      </c>
      <c r="B10" s="4" t="s">
        <v>1205</v>
      </c>
      <c r="C10" s="5">
        <v>2.5E8</v>
      </c>
      <c r="D10" s="5">
        <v>0.0</v>
      </c>
      <c r="E10" s="5">
        <f t="shared" si="1"/>
        <v>286300220</v>
      </c>
      <c r="F10" s="4" t="s">
        <v>21</v>
      </c>
      <c r="G10" s="4" t="s">
        <v>1070</v>
      </c>
      <c r="I10" s="19"/>
    </row>
    <row r="11" ht="15.75" customHeight="1">
      <c r="A11" s="8">
        <v>46092.0</v>
      </c>
      <c r="B11" s="4" t="s">
        <v>1205</v>
      </c>
      <c r="C11" s="5">
        <v>2500.0</v>
      </c>
      <c r="D11" s="5">
        <v>0.0</v>
      </c>
      <c r="E11" s="5">
        <f t="shared" si="1"/>
        <v>286297720</v>
      </c>
      <c r="F11" s="4" t="s">
        <v>43</v>
      </c>
      <c r="G11" s="4" t="s">
        <v>45</v>
      </c>
      <c r="I11" s="19"/>
    </row>
    <row r="12" ht="15.75" customHeight="1">
      <c r="A12" s="8">
        <v>46092.0</v>
      </c>
      <c r="B12" s="4" t="s">
        <v>1209</v>
      </c>
      <c r="C12" s="5">
        <v>2.5E8</v>
      </c>
      <c r="D12" s="5">
        <v>0.0</v>
      </c>
      <c r="E12" s="5">
        <f t="shared" si="1"/>
        <v>36297720</v>
      </c>
      <c r="F12" s="4" t="s">
        <v>21</v>
      </c>
      <c r="G12" s="4" t="s">
        <v>826</v>
      </c>
      <c r="I12" s="19"/>
    </row>
    <row r="13" ht="15.75" customHeight="1">
      <c r="A13" s="8">
        <v>46092.0</v>
      </c>
      <c r="B13" s="4" t="s">
        <v>1209</v>
      </c>
      <c r="C13" s="5">
        <v>2500.0</v>
      </c>
      <c r="D13" s="5">
        <v>0.0</v>
      </c>
      <c r="E13" s="5">
        <f t="shared" si="1"/>
        <v>36295220</v>
      </c>
      <c r="F13" s="4" t="s">
        <v>43</v>
      </c>
      <c r="G13" s="4" t="s">
        <v>45</v>
      </c>
      <c r="I13" s="19"/>
    </row>
    <row r="14" ht="15.75" customHeight="1">
      <c r="A14" s="8">
        <v>46097.0</v>
      </c>
      <c r="B14" s="4" t="s">
        <v>1214</v>
      </c>
      <c r="C14" s="5">
        <v>0.0</v>
      </c>
      <c r="D14" s="5">
        <v>5.73873874E8</v>
      </c>
      <c r="E14" s="5">
        <f t="shared" si="1"/>
        <v>610169094</v>
      </c>
      <c r="F14" s="4" t="s">
        <v>75</v>
      </c>
      <c r="G14" s="4" t="s">
        <v>76</v>
      </c>
      <c r="H14" s="14" t="s">
        <v>1216</v>
      </c>
      <c r="I14" s="19" t="s">
        <v>1217</v>
      </c>
    </row>
    <row r="15" ht="15.75" customHeight="1">
      <c r="A15" s="8">
        <v>46106.0</v>
      </c>
      <c r="B15" s="4" t="s">
        <v>1218</v>
      </c>
      <c r="C15" s="5">
        <v>2.5E8</v>
      </c>
      <c r="D15" s="5">
        <v>0.0</v>
      </c>
      <c r="E15" s="5">
        <f t="shared" si="1"/>
        <v>360169094</v>
      </c>
      <c r="F15" s="4" t="s">
        <v>21</v>
      </c>
      <c r="G15" s="4" t="s">
        <v>290</v>
      </c>
      <c r="I15" s="19"/>
    </row>
    <row r="16" ht="15.75" customHeight="1">
      <c r="A16" s="8">
        <v>46106.0</v>
      </c>
      <c r="B16" s="4" t="s">
        <v>1218</v>
      </c>
      <c r="C16" s="5">
        <v>2500.0</v>
      </c>
      <c r="D16" s="5">
        <v>0.0</v>
      </c>
      <c r="E16" s="5">
        <f t="shared" si="1"/>
        <v>360166594</v>
      </c>
      <c r="F16" s="4" t="s">
        <v>43</v>
      </c>
      <c r="G16" s="4" t="s">
        <v>45</v>
      </c>
      <c r="I16" s="19"/>
    </row>
    <row r="17" ht="15.75" customHeight="1">
      <c r="A17" s="8">
        <v>46106.0</v>
      </c>
      <c r="B17" s="4" t="s">
        <v>1218</v>
      </c>
      <c r="C17" s="5">
        <v>2.5E8</v>
      </c>
      <c r="D17" s="5">
        <v>0.0</v>
      </c>
      <c r="E17" s="5">
        <f t="shared" si="1"/>
        <v>110166594</v>
      </c>
      <c r="F17" s="4" t="s">
        <v>21</v>
      </c>
      <c r="G17" s="4" t="s">
        <v>290</v>
      </c>
      <c r="I17" s="19"/>
    </row>
    <row r="18" ht="15.75" customHeight="1">
      <c r="A18" s="8">
        <v>46106.0</v>
      </c>
      <c r="B18" s="4" t="s">
        <v>1218</v>
      </c>
      <c r="C18" s="5">
        <v>2500.0</v>
      </c>
      <c r="D18" s="5">
        <v>0.0</v>
      </c>
      <c r="E18" s="5">
        <f t="shared" si="1"/>
        <v>110164094</v>
      </c>
      <c r="F18" s="4" t="s">
        <v>43</v>
      </c>
      <c r="G18" s="4" t="s">
        <v>45</v>
      </c>
      <c r="I18" s="19"/>
    </row>
    <row r="19" ht="15.75" customHeight="1">
      <c r="A19" s="8">
        <v>46108.0</v>
      </c>
      <c r="B19" s="4" t="s">
        <v>1224</v>
      </c>
      <c r="C19" s="5">
        <v>1.1E8</v>
      </c>
      <c r="D19" s="5">
        <v>0.0</v>
      </c>
      <c r="E19" s="5">
        <f t="shared" si="1"/>
        <v>164094</v>
      </c>
      <c r="F19" s="4" t="s">
        <v>21</v>
      </c>
      <c r="G19" s="4" t="s">
        <v>1070</v>
      </c>
      <c r="I19" s="19"/>
    </row>
    <row r="20" ht="15.75" customHeight="1">
      <c r="A20" s="8">
        <v>46108.0</v>
      </c>
      <c r="B20" s="4" t="s">
        <v>1224</v>
      </c>
      <c r="C20" s="5">
        <v>2500.0</v>
      </c>
      <c r="D20" s="5">
        <v>0.0</v>
      </c>
      <c r="E20" s="5">
        <f t="shared" si="1"/>
        <v>161594</v>
      </c>
      <c r="F20" s="4" t="s">
        <v>43</v>
      </c>
      <c r="G20" s="4" t="s">
        <v>45</v>
      </c>
      <c r="I20" s="19"/>
    </row>
    <row r="21" ht="15.75" customHeight="1">
      <c r="A21" s="8">
        <v>46112.0</v>
      </c>
      <c r="B21" s="4" t="s">
        <v>1189</v>
      </c>
      <c r="C21" s="5">
        <v>9094.0</v>
      </c>
      <c r="D21" s="5">
        <v>0.0</v>
      </c>
      <c r="E21" s="5">
        <f t="shared" si="1"/>
        <v>152500</v>
      </c>
      <c r="F21" s="4" t="s">
        <v>43</v>
      </c>
      <c r="G21" s="4" t="s">
        <v>45</v>
      </c>
      <c r="I21" s="19"/>
    </row>
    <row r="22" ht="15.75" customHeight="1">
      <c r="A22" s="8">
        <v>46112.0</v>
      </c>
      <c r="B22" s="4" t="s">
        <v>1199</v>
      </c>
      <c r="C22" s="5">
        <v>60630.87</v>
      </c>
      <c r="D22" s="5">
        <v>0.0</v>
      </c>
      <c r="E22" s="5">
        <f t="shared" si="1"/>
        <v>91869.13</v>
      </c>
      <c r="F22" s="4" t="s">
        <v>1201</v>
      </c>
      <c r="G22" s="4" t="s">
        <v>65</v>
      </c>
      <c r="I22" s="19"/>
    </row>
    <row r="23" ht="15.75" customHeight="1">
      <c r="A23" s="8">
        <v>46112.0</v>
      </c>
      <c r="B23" s="4" t="s">
        <v>1202</v>
      </c>
      <c r="C23" s="5">
        <v>0.0</v>
      </c>
      <c r="D23" s="5">
        <v>303154.5</v>
      </c>
      <c r="E23" s="5">
        <f t="shared" si="1"/>
        <v>395023.63</v>
      </c>
      <c r="F23" s="4" t="s">
        <v>1201</v>
      </c>
      <c r="G23" s="4" t="s">
        <v>65</v>
      </c>
      <c r="I23" s="19"/>
    </row>
    <row r="24" ht="15.75" customHeight="1">
      <c r="A24" s="8">
        <v>46112.0</v>
      </c>
      <c r="B24" s="4" t="s">
        <v>1232</v>
      </c>
      <c r="C24" s="5">
        <v>150000.0</v>
      </c>
      <c r="D24" s="5">
        <v>0.0</v>
      </c>
      <c r="E24" s="5">
        <f t="shared" si="1"/>
        <v>245023.63</v>
      </c>
      <c r="F24" s="4" t="s">
        <v>21</v>
      </c>
      <c r="G24" s="4" t="s">
        <v>826</v>
      </c>
      <c r="I24" s="19"/>
    </row>
    <row r="25" ht="15.75" customHeight="1">
      <c r="A25" s="8">
        <v>46112.0</v>
      </c>
      <c r="B25" s="4" t="s">
        <v>1232</v>
      </c>
      <c r="C25" s="5">
        <v>2500.0</v>
      </c>
      <c r="D25" s="5">
        <v>0.0</v>
      </c>
      <c r="E25" s="5">
        <f t="shared" si="1"/>
        <v>242523.63</v>
      </c>
      <c r="F25" s="4" t="s">
        <v>43</v>
      </c>
      <c r="G25" s="4" t="s">
        <v>45</v>
      </c>
      <c r="I25" s="19"/>
    </row>
    <row r="26" ht="15.75" customHeight="1">
      <c r="A26" s="8">
        <v>46113.0</v>
      </c>
      <c r="B26" s="4" t="s">
        <v>1233</v>
      </c>
      <c r="C26" s="5">
        <v>15906.0</v>
      </c>
      <c r="D26" s="5">
        <v>0.0</v>
      </c>
      <c r="E26" s="5">
        <f t="shared" si="1"/>
        <v>226617.63</v>
      </c>
      <c r="F26" s="4" t="s">
        <v>43</v>
      </c>
      <c r="G26" s="4" t="s">
        <v>45</v>
      </c>
      <c r="I26" s="19"/>
    </row>
    <row r="27" ht="15.75" customHeight="1">
      <c r="A27" s="8">
        <v>46113.0</v>
      </c>
      <c r="B27" s="4" t="s">
        <v>1236</v>
      </c>
      <c r="C27" s="5">
        <v>25000.0</v>
      </c>
      <c r="D27" s="5">
        <v>0.0</v>
      </c>
      <c r="E27" s="5">
        <f t="shared" si="1"/>
        <v>201617.63</v>
      </c>
      <c r="F27" s="4" t="s">
        <v>43</v>
      </c>
      <c r="G27" s="4" t="s">
        <v>45</v>
      </c>
      <c r="I27" s="19"/>
    </row>
    <row r="28" ht="15.75" customHeight="1">
      <c r="A28" s="8">
        <v>46142.0</v>
      </c>
      <c r="B28" s="4" t="s">
        <v>1239</v>
      </c>
      <c r="C28" s="5">
        <v>25000.0</v>
      </c>
      <c r="D28" s="5">
        <v>0.0</v>
      </c>
      <c r="E28" s="5">
        <f t="shared" si="1"/>
        <v>176617.63</v>
      </c>
      <c r="F28" s="4" t="s">
        <v>43</v>
      </c>
      <c r="G28" s="4" t="s">
        <v>45</v>
      </c>
      <c r="I28" s="19"/>
    </row>
    <row r="29" ht="15.75" customHeight="1">
      <c r="A29" s="8">
        <v>46142.0</v>
      </c>
      <c r="B29" s="4" t="s">
        <v>1240</v>
      </c>
      <c r="C29" s="5">
        <v>25000.0</v>
      </c>
      <c r="D29" s="5">
        <v>0.0</v>
      </c>
      <c r="E29" s="5">
        <f t="shared" si="1"/>
        <v>151617.63</v>
      </c>
      <c r="F29" s="4" t="s">
        <v>43</v>
      </c>
      <c r="G29" s="4" t="s">
        <v>45</v>
      </c>
      <c r="I29" s="19"/>
    </row>
    <row r="30" ht="15.75" customHeight="1">
      <c r="A30" s="8">
        <v>46161.0</v>
      </c>
      <c r="B30" s="4" t="s">
        <v>1243</v>
      </c>
      <c r="C30" s="5">
        <v>0.0</v>
      </c>
      <c r="D30" s="5">
        <v>7.50450451E8</v>
      </c>
      <c r="E30" s="5">
        <f t="shared" si="1"/>
        <v>750602068.6</v>
      </c>
      <c r="F30" s="4" t="s">
        <v>75</v>
      </c>
      <c r="G30" s="4" t="s">
        <v>76</v>
      </c>
      <c r="H30" s="4" t="s">
        <v>526</v>
      </c>
      <c r="I30" s="19" t="s">
        <v>1246</v>
      </c>
    </row>
    <row r="31" ht="15.75" customHeight="1">
      <c r="A31" s="8">
        <v>46161.0</v>
      </c>
      <c r="B31" s="4" t="s">
        <v>1232</v>
      </c>
      <c r="C31" s="5">
        <v>2.5E8</v>
      </c>
      <c r="D31" s="5">
        <v>0.0</v>
      </c>
      <c r="E31" s="5">
        <f t="shared" si="1"/>
        <v>500602068.6</v>
      </c>
      <c r="F31" s="4" t="s">
        <v>21</v>
      </c>
      <c r="G31" s="4" t="s">
        <v>826</v>
      </c>
      <c r="I31" s="19"/>
    </row>
    <row r="32" ht="15.75" customHeight="1">
      <c r="A32" s="8">
        <v>46161.0</v>
      </c>
      <c r="B32" s="4" t="s">
        <v>1232</v>
      </c>
      <c r="C32" s="5">
        <v>2500.0</v>
      </c>
      <c r="D32" s="5">
        <v>0.0</v>
      </c>
      <c r="E32" s="5">
        <f t="shared" si="1"/>
        <v>500599568.6</v>
      </c>
      <c r="F32" s="4" t="s">
        <v>43</v>
      </c>
      <c r="G32" s="4" t="s">
        <v>45</v>
      </c>
      <c r="I32" s="19"/>
    </row>
    <row r="33" ht="15.75" customHeight="1">
      <c r="A33" s="8">
        <v>46161.0</v>
      </c>
      <c r="B33" s="4" t="s">
        <v>1232</v>
      </c>
      <c r="C33" s="5">
        <v>2.5E8</v>
      </c>
      <c r="D33" s="5">
        <v>0.0</v>
      </c>
      <c r="E33" s="5">
        <f t="shared" si="1"/>
        <v>250599568.6</v>
      </c>
      <c r="F33" s="4" t="s">
        <v>21</v>
      </c>
      <c r="G33" s="4" t="s">
        <v>826</v>
      </c>
      <c r="I33" s="19"/>
    </row>
    <row r="34" ht="15.75" customHeight="1">
      <c r="A34" s="8">
        <v>46161.0</v>
      </c>
      <c r="B34" s="4" t="s">
        <v>1232</v>
      </c>
      <c r="C34" s="5">
        <v>2500.0</v>
      </c>
      <c r="D34" s="5">
        <v>0.0</v>
      </c>
      <c r="E34" s="5">
        <f t="shared" si="1"/>
        <v>250597068.6</v>
      </c>
      <c r="F34" s="4" t="s">
        <v>43</v>
      </c>
      <c r="G34" s="4" t="s">
        <v>45</v>
      </c>
      <c r="I34" s="19"/>
    </row>
    <row r="35" ht="15.75" customHeight="1">
      <c r="A35" s="8">
        <v>46161.0</v>
      </c>
      <c r="B35" s="4" t="s">
        <v>1224</v>
      </c>
      <c r="C35" s="5">
        <v>2.5E8</v>
      </c>
      <c r="D35" s="5">
        <v>0.0</v>
      </c>
      <c r="E35" s="5">
        <f t="shared" si="1"/>
        <v>597068.63</v>
      </c>
      <c r="F35" s="4" t="s">
        <v>21</v>
      </c>
      <c r="G35" s="4" t="s">
        <v>1070</v>
      </c>
      <c r="I35" s="19"/>
    </row>
    <row r="36" ht="15.75" customHeight="1">
      <c r="A36" s="8">
        <v>46161.0</v>
      </c>
      <c r="B36" s="4" t="s">
        <v>1224</v>
      </c>
      <c r="C36" s="5">
        <v>2500.0</v>
      </c>
      <c r="D36" s="5">
        <v>0.0</v>
      </c>
      <c r="E36" s="5">
        <f t="shared" si="1"/>
        <v>594568.63</v>
      </c>
      <c r="F36" s="4" t="s">
        <v>43</v>
      </c>
      <c r="G36" s="4" t="s">
        <v>45</v>
      </c>
      <c r="I36" s="19"/>
    </row>
    <row r="37" ht="15.75" customHeight="1">
      <c r="A37" s="8">
        <v>46173.0</v>
      </c>
      <c r="B37" s="4" t="s">
        <v>1239</v>
      </c>
      <c r="C37" s="5">
        <v>25000.0</v>
      </c>
      <c r="D37" s="5">
        <v>0.0</v>
      </c>
      <c r="E37" s="5">
        <f t="shared" si="1"/>
        <v>569568.63</v>
      </c>
      <c r="F37" s="4" t="s">
        <v>43</v>
      </c>
      <c r="G37" s="4" t="s">
        <v>45</v>
      </c>
    </row>
    <row r="38" ht="15.75" customHeight="1">
      <c r="A38" s="8">
        <v>46173.0</v>
      </c>
      <c r="B38" s="4" t="s">
        <v>1240</v>
      </c>
      <c r="C38" s="5">
        <v>25000.0</v>
      </c>
      <c r="D38" s="5">
        <v>0.0</v>
      </c>
      <c r="E38" s="5">
        <f t="shared" si="1"/>
        <v>544568.63</v>
      </c>
      <c r="F38" s="4" t="s">
        <v>43</v>
      </c>
      <c r="G38" s="4" t="s">
        <v>45</v>
      </c>
    </row>
    <row r="39" ht="15.75" customHeight="1">
      <c r="A39" s="8">
        <v>46177.0</v>
      </c>
      <c r="B39" s="4" t="s">
        <v>1256</v>
      </c>
      <c r="C39" s="5">
        <v>0.0</v>
      </c>
      <c r="D39" s="5">
        <v>4.85585585E8</v>
      </c>
      <c r="E39" s="5">
        <f t="shared" si="1"/>
        <v>486130153.6</v>
      </c>
      <c r="F39" s="4" t="s">
        <v>75</v>
      </c>
      <c r="G39" s="4" t="s">
        <v>76</v>
      </c>
      <c r="H39" s="14" t="s">
        <v>1257</v>
      </c>
      <c r="I39" s="16" t="s">
        <v>1258</v>
      </c>
    </row>
    <row r="40" ht="15.75" customHeight="1">
      <c r="A40" s="8">
        <v>46188.0</v>
      </c>
      <c r="B40" s="4" t="s">
        <v>1224</v>
      </c>
      <c r="C40" s="5">
        <v>2.5E8</v>
      </c>
      <c r="D40" s="5">
        <v>0.0</v>
      </c>
      <c r="E40" s="5">
        <f t="shared" si="1"/>
        <v>236130153.6</v>
      </c>
      <c r="F40" s="4" t="s">
        <v>21</v>
      </c>
      <c r="G40" s="4" t="s">
        <v>1070</v>
      </c>
      <c r="H40" s="14"/>
      <c r="I40" s="16"/>
    </row>
    <row r="41" ht="15.75" customHeight="1">
      <c r="A41" s="8">
        <v>46188.0</v>
      </c>
      <c r="B41" s="4" t="s">
        <v>1224</v>
      </c>
      <c r="C41" s="5">
        <v>2500.0</v>
      </c>
      <c r="D41" s="5">
        <v>0.0</v>
      </c>
      <c r="E41" s="5">
        <f t="shared" si="1"/>
        <v>236127653.6</v>
      </c>
      <c r="F41" s="4" t="s">
        <v>43</v>
      </c>
      <c r="G41" s="4" t="s">
        <v>45</v>
      </c>
      <c r="H41" s="14"/>
      <c r="I41" s="16"/>
    </row>
    <row r="42" ht="15.75" customHeight="1">
      <c r="A42" s="8">
        <v>46188.0</v>
      </c>
      <c r="B42" s="4" t="s">
        <v>1232</v>
      </c>
      <c r="C42" s="5">
        <v>2.36125E8</v>
      </c>
      <c r="D42" s="5">
        <v>0.0</v>
      </c>
      <c r="E42" s="5">
        <f t="shared" si="1"/>
        <v>2653.629999</v>
      </c>
      <c r="F42" s="4" t="s">
        <v>21</v>
      </c>
      <c r="G42" s="4" t="s">
        <v>826</v>
      </c>
      <c r="H42" s="14"/>
      <c r="I42" s="16"/>
    </row>
    <row r="43" ht="15.75" customHeight="1">
      <c r="A43" s="8">
        <v>46188.0</v>
      </c>
      <c r="B43" s="4" t="s">
        <v>1264</v>
      </c>
      <c r="C43" s="5">
        <v>2500.0</v>
      </c>
      <c r="D43" s="5">
        <v>0.0</v>
      </c>
      <c r="E43" s="5">
        <f t="shared" si="1"/>
        <v>153.6299992</v>
      </c>
      <c r="F43" s="4" t="s">
        <v>43</v>
      </c>
      <c r="G43" s="4" t="s">
        <v>45</v>
      </c>
      <c r="H43" s="14"/>
      <c r="I43" s="16"/>
    </row>
    <row r="44" ht="15.75" customHeight="1">
      <c r="A44" s="8">
        <v>46198.0</v>
      </c>
      <c r="B44" s="4" t="s">
        <v>1265</v>
      </c>
      <c r="C44" s="5">
        <v>0.0</v>
      </c>
      <c r="D44" s="5">
        <v>6.18018018E8</v>
      </c>
      <c r="E44" s="5">
        <f t="shared" si="1"/>
        <v>618018171.6</v>
      </c>
      <c r="F44" s="4" t="s">
        <v>75</v>
      </c>
      <c r="G44" s="4" t="s">
        <v>76</v>
      </c>
      <c r="H44" s="14" t="s">
        <v>694</v>
      </c>
      <c r="I44" s="16" t="s">
        <v>1267</v>
      </c>
    </row>
    <row r="45" ht="15.75" customHeight="1">
      <c r="A45" s="8">
        <v>46203.0</v>
      </c>
      <c r="B45" s="4" t="s">
        <v>1268</v>
      </c>
      <c r="C45" s="5">
        <v>25000.0</v>
      </c>
      <c r="D45" s="5">
        <v>0.0</v>
      </c>
      <c r="E45" s="5">
        <f t="shared" si="1"/>
        <v>617993171.6</v>
      </c>
      <c r="F45" s="4" t="s">
        <v>43</v>
      </c>
      <c r="G45" s="4" t="s">
        <v>45</v>
      </c>
      <c r="H45" s="14"/>
      <c r="I45" s="16"/>
    </row>
    <row r="46" ht="15.75" customHeight="1">
      <c r="A46" s="8">
        <v>46203.0</v>
      </c>
      <c r="B46" s="4" t="s">
        <v>1240</v>
      </c>
      <c r="C46" s="5">
        <v>25000.0</v>
      </c>
      <c r="D46" s="5">
        <v>0.0</v>
      </c>
      <c r="E46" s="5">
        <f t="shared" si="1"/>
        <v>617968171.6</v>
      </c>
      <c r="F46" s="4" t="s">
        <v>43</v>
      </c>
      <c r="G46" s="4" t="s">
        <v>45</v>
      </c>
      <c r="H46" s="14"/>
      <c r="I46" s="16"/>
    </row>
    <row r="47" ht="15.75" customHeight="1">
      <c r="A47" s="8">
        <v>46203.0</v>
      </c>
      <c r="B47" s="4" t="s">
        <v>1199</v>
      </c>
      <c r="C47" s="5">
        <v>42294.2</v>
      </c>
      <c r="D47" s="5">
        <v>0.0</v>
      </c>
      <c r="E47" s="5">
        <f t="shared" si="1"/>
        <v>617925877.4</v>
      </c>
      <c r="F47" s="4" t="s">
        <v>1201</v>
      </c>
      <c r="G47" s="4" t="s">
        <v>65</v>
      </c>
      <c r="H47" s="14"/>
      <c r="I47" s="16"/>
    </row>
    <row r="48" ht="15.75" customHeight="1">
      <c r="A48" s="8">
        <v>46203.0</v>
      </c>
      <c r="B48" s="4" t="s">
        <v>1202</v>
      </c>
      <c r="C48" s="5">
        <v>0.0</v>
      </c>
      <c r="D48" s="5">
        <v>211470.76</v>
      </c>
      <c r="E48" s="5">
        <f t="shared" si="1"/>
        <v>618137348.2</v>
      </c>
      <c r="F48" s="4" t="s">
        <v>1201</v>
      </c>
      <c r="G48" s="4" t="s">
        <v>65</v>
      </c>
      <c r="H48" s="14"/>
      <c r="I48" s="16"/>
    </row>
    <row r="49" ht="15.75" customHeight="1">
      <c r="A49" s="8">
        <v>46211.0</v>
      </c>
      <c r="B49" s="4" t="s">
        <v>1232</v>
      </c>
      <c r="C49" s="5">
        <v>2.5E8</v>
      </c>
      <c r="D49" s="5">
        <v>0.0</v>
      </c>
      <c r="E49" s="5">
        <f t="shared" si="1"/>
        <v>368137348.2</v>
      </c>
      <c r="F49" s="4" t="s">
        <v>21</v>
      </c>
      <c r="G49" s="4" t="s">
        <v>826</v>
      </c>
      <c r="H49" s="14"/>
      <c r="I49" s="16"/>
    </row>
    <row r="50" ht="15.75" customHeight="1">
      <c r="A50" s="8">
        <v>46211.0</v>
      </c>
      <c r="B50" s="4" t="s">
        <v>1232</v>
      </c>
      <c r="C50" s="5">
        <v>2500.0</v>
      </c>
      <c r="D50" s="5">
        <v>0.0</v>
      </c>
      <c r="E50" s="5">
        <f t="shared" si="1"/>
        <v>368134848.2</v>
      </c>
      <c r="F50" s="4" t="s">
        <v>43</v>
      </c>
      <c r="G50" s="4" t="s">
        <v>45</v>
      </c>
      <c r="H50" s="14"/>
      <c r="I50" s="16"/>
    </row>
    <row r="51" ht="15.75" customHeight="1">
      <c r="A51" s="8">
        <v>46211.0</v>
      </c>
      <c r="B51" s="4" t="s">
        <v>1224</v>
      </c>
      <c r="C51" s="5">
        <v>2.5E8</v>
      </c>
      <c r="D51" s="5">
        <v>0.0</v>
      </c>
      <c r="E51" s="5">
        <f t="shared" si="1"/>
        <v>118134848.2</v>
      </c>
      <c r="F51" s="4" t="s">
        <v>21</v>
      </c>
      <c r="G51" s="4" t="s">
        <v>1070</v>
      </c>
      <c r="H51" s="14"/>
      <c r="I51" s="16"/>
    </row>
    <row r="52" ht="15.75" customHeight="1">
      <c r="A52" s="8">
        <v>46211.0</v>
      </c>
      <c r="B52" s="4" t="s">
        <v>1224</v>
      </c>
      <c r="C52" s="5">
        <v>2500.0</v>
      </c>
      <c r="D52" s="5">
        <v>0.0</v>
      </c>
      <c r="E52" s="5">
        <f t="shared" si="1"/>
        <v>118132348.2</v>
      </c>
      <c r="F52" s="4" t="s">
        <v>43</v>
      </c>
      <c r="G52" s="4" t="s">
        <v>45</v>
      </c>
      <c r="H52" s="14"/>
      <c r="I52" s="16"/>
    </row>
    <row r="53" ht="15.75" customHeight="1">
      <c r="A53" s="8">
        <v>46211.0</v>
      </c>
      <c r="B53" s="4" t="s">
        <v>1232</v>
      </c>
      <c r="C53" s="5">
        <v>1.18129848E8</v>
      </c>
      <c r="D53" s="5">
        <v>0.0</v>
      </c>
      <c r="E53" s="5">
        <f t="shared" si="1"/>
        <v>2500.189999</v>
      </c>
      <c r="F53" s="4" t="s">
        <v>21</v>
      </c>
      <c r="G53" s="4" t="s">
        <v>826</v>
      </c>
      <c r="H53" s="14"/>
      <c r="I53" s="16"/>
    </row>
    <row r="54" ht="15.75" customHeight="1">
      <c r="A54" s="8">
        <v>46211.0</v>
      </c>
      <c r="B54" s="4" t="s">
        <v>1232</v>
      </c>
      <c r="C54" s="5">
        <v>2500.0</v>
      </c>
      <c r="D54" s="5">
        <v>0.0</v>
      </c>
      <c r="E54" s="5">
        <f t="shared" si="1"/>
        <v>0.1899991035</v>
      </c>
      <c r="F54" s="4" t="s">
        <v>43</v>
      </c>
      <c r="G54" s="4" t="s">
        <v>45</v>
      </c>
      <c r="H54" s="14"/>
      <c r="I54" s="16"/>
    </row>
    <row r="55" ht="15.75" customHeight="1">
      <c r="A55" s="8">
        <v>46234.0</v>
      </c>
      <c r="B55" s="4" t="s">
        <v>1239</v>
      </c>
      <c r="C55" s="5">
        <v>25000.0</v>
      </c>
      <c r="D55" s="5">
        <v>0.0</v>
      </c>
      <c r="E55" s="5">
        <f t="shared" si="1"/>
        <v>-24999.81</v>
      </c>
      <c r="F55" s="4" t="s">
        <v>43</v>
      </c>
      <c r="G55" s="4" t="s">
        <v>45</v>
      </c>
      <c r="H55" s="14"/>
      <c r="I55" s="16"/>
    </row>
    <row r="56" ht="15.75" customHeight="1">
      <c r="A56" s="8">
        <v>46234.0</v>
      </c>
      <c r="B56" s="4" t="s">
        <v>1240</v>
      </c>
      <c r="C56" s="5">
        <v>25000.0</v>
      </c>
      <c r="D56" s="5">
        <v>0.0</v>
      </c>
      <c r="E56" s="5">
        <f t="shared" si="1"/>
        <v>-49999.81</v>
      </c>
      <c r="F56" s="4" t="s">
        <v>43</v>
      </c>
      <c r="G56" s="4" t="s">
        <v>45</v>
      </c>
      <c r="H56" s="14"/>
      <c r="I56" s="16"/>
    </row>
    <row r="57" ht="15.75" customHeight="1">
      <c r="A57" s="8">
        <v>46234.0</v>
      </c>
      <c r="B57" s="4" t="s">
        <v>1199</v>
      </c>
      <c r="C57" s="5">
        <v>23709.35</v>
      </c>
      <c r="D57" s="5">
        <v>0.0</v>
      </c>
      <c r="E57" s="5">
        <f t="shared" si="1"/>
        <v>-73709.16</v>
      </c>
      <c r="F57" s="4" t="s">
        <v>1201</v>
      </c>
      <c r="G57" s="4" t="s">
        <v>65</v>
      </c>
      <c r="H57" s="14"/>
      <c r="I57" s="16"/>
    </row>
    <row r="58" ht="15.75" customHeight="1">
      <c r="A58" s="8">
        <v>46234.0</v>
      </c>
      <c r="B58" s="4" t="s">
        <v>1202</v>
      </c>
      <c r="C58" s="5">
        <v>0.0</v>
      </c>
      <c r="D58" s="5">
        <v>118546.89</v>
      </c>
      <c r="E58" s="5">
        <f t="shared" si="1"/>
        <v>44837.73</v>
      </c>
      <c r="F58" s="4" t="s">
        <v>1201</v>
      </c>
      <c r="G58" s="4" t="s">
        <v>65</v>
      </c>
    </row>
    <row r="59" ht="15.75" customHeight="1">
      <c r="A59" s="8">
        <v>46255.0</v>
      </c>
      <c r="B59" s="4" t="s">
        <v>1279</v>
      </c>
      <c r="C59" s="5">
        <v>0.0</v>
      </c>
      <c r="D59" s="5">
        <v>7.581378E7</v>
      </c>
      <c r="E59" s="5">
        <f t="shared" si="1"/>
        <v>75858617.73</v>
      </c>
      <c r="F59" s="4" t="s">
        <v>75</v>
      </c>
      <c r="G59" s="4" t="s">
        <v>76</v>
      </c>
      <c r="H59" s="4" t="s">
        <v>1280</v>
      </c>
      <c r="I59" s="4" t="s">
        <v>1281</v>
      </c>
    </row>
    <row r="60" ht="15.75" customHeight="1">
      <c r="A60" s="8">
        <v>46265.0</v>
      </c>
      <c r="B60" s="4" t="s">
        <v>1239</v>
      </c>
      <c r="C60" s="5">
        <v>25000.0</v>
      </c>
      <c r="D60" s="5">
        <v>0.0</v>
      </c>
      <c r="E60" s="5">
        <f t="shared" si="1"/>
        <v>75833617.73</v>
      </c>
      <c r="F60" s="4" t="s">
        <v>43</v>
      </c>
      <c r="G60" s="4" t="s">
        <v>45</v>
      </c>
    </row>
    <row r="61" ht="15.75" customHeight="1">
      <c r="A61" s="8">
        <v>46265.0</v>
      </c>
      <c r="B61" s="4" t="s">
        <v>1240</v>
      </c>
      <c r="C61" s="5">
        <v>25000.0</v>
      </c>
      <c r="D61" s="5">
        <v>0.0</v>
      </c>
      <c r="E61" s="5">
        <f t="shared" si="1"/>
        <v>75808617.73</v>
      </c>
      <c r="F61" s="4" t="s">
        <v>43</v>
      </c>
      <c r="G61" s="4" t="s">
        <v>45</v>
      </c>
    </row>
    <row r="62" ht="15.75" customHeight="1">
      <c r="A62" s="8">
        <v>46265.0</v>
      </c>
      <c r="B62" s="4" t="s">
        <v>1199</v>
      </c>
      <c r="C62" s="5">
        <v>1143.12</v>
      </c>
      <c r="D62" s="5">
        <v>0.0</v>
      </c>
      <c r="E62" s="5">
        <f t="shared" si="1"/>
        <v>75807474.61</v>
      </c>
      <c r="F62" s="4" t="s">
        <v>1201</v>
      </c>
      <c r="G62" s="4" t="s">
        <v>65</v>
      </c>
    </row>
    <row r="63" ht="15.75" customHeight="1">
      <c r="A63" s="8">
        <v>46265.0</v>
      </c>
      <c r="B63" s="4" t="s">
        <v>1202</v>
      </c>
      <c r="C63" s="5">
        <v>0.0</v>
      </c>
      <c r="D63" s="5">
        <v>5715.38</v>
      </c>
      <c r="E63" s="5">
        <f t="shared" si="1"/>
        <v>75813189.99</v>
      </c>
      <c r="F63" s="4" t="s">
        <v>1201</v>
      </c>
      <c r="G63" s="4" t="s">
        <v>65</v>
      </c>
    </row>
    <row r="64" ht="15.75" customHeight="1">
      <c r="A64" s="8">
        <v>46266.0</v>
      </c>
      <c r="B64" s="4" t="s">
        <v>1232</v>
      </c>
      <c r="C64" s="5">
        <v>7.58105E7</v>
      </c>
      <c r="D64" s="5">
        <v>0.0</v>
      </c>
      <c r="E64" s="5">
        <f t="shared" si="1"/>
        <v>2689.989999</v>
      </c>
      <c r="F64" s="4" t="s">
        <v>21</v>
      </c>
      <c r="G64" s="4" t="s">
        <v>826</v>
      </c>
    </row>
    <row r="65" ht="15.75" customHeight="1">
      <c r="A65" s="8">
        <v>46266.0</v>
      </c>
      <c r="B65" s="4" t="s">
        <v>1232</v>
      </c>
      <c r="C65" s="5">
        <v>2500.0</v>
      </c>
      <c r="D65" s="5">
        <v>0.0</v>
      </c>
      <c r="E65" s="5">
        <f t="shared" si="1"/>
        <v>189.9899991</v>
      </c>
      <c r="F65" s="4" t="s">
        <v>43</v>
      </c>
      <c r="G65" s="4" t="s">
        <v>45</v>
      </c>
    </row>
    <row r="66" ht="15.75" customHeight="1">
      <c r="A66" s="8"/>
      <c r="C66" s="5"/>
      <c r="D66" s="5"/>
      <c r="E66" s="5"/>
    </row>
    <row r="67" ht="15.75" customHeight="1">
      <c r="A67" s="8" t="s">
        <v>6</v>
      </c>
      <c r="C67" s="5">
        <f t="shared" ref="C67:D67" si="2">SUBTOTAL(9,C5:C66)</f>
        <v>3040762944</v>
      </c>
      <c r="D67" s="5">
        <f t="shared" si="2"/>
        <v>3034271918</v>
      </c>
      <c r="E67" s="5"/>
    </row>
    <row r="68" ht="15.75" customHeight="1">
      <c r="A68" s="8"/>
      <c r="C68" s="5"/>
      <c r="D68" s="5">
        <f>D67-C67</f>
        <v>-6491026.37</v>
      </c>
      <c r="E68" s="5"/>
    </row>
    <row r="69" ht="15.75" customHeight="1">
      <c r="A69" s="8"/>
      <c r="C69" s="5"/>
      <c r="D69" s="5"/>
      <c r="E69" s="5"/>
    </row>
    <row r="70" ht="15.75" customHeight="1">
      <c r="A70" s="8"/>
      <c r="C70" s="5"/>
      <c r="D70" s="5"/>
      <c r="E70" s="5"/>
    </row>
    <row r="71" ht="15.75" customHeight="1">
      <c r="A71" s="8"/>
      <c r="C71" s="5"/>
      <c r="D71" s="5"/>
      <c r="E71" s="5"/>
    </row>
    <row r="72" ht="15.75" customHeight="1">
      <c r="A72" s="8"/>
      <c r="C72" s="5"/>
      <c r="D72" s="5"/>
      <c r="E72" s="5"/>
    </row>
    <row r="73" ht="15.75" customHeight="1">
      <c r="A73" s="8"/>
      <c r="C73" s="5"/>
      <c r="D73" s="5"/>
      <c r="E73" s="5"/>
    </row>
    <row r="74" ht="15.75" customHeight="1">
      <c r="A74" s="8"/>
      <c r="C74" s="5"/>
      <c r="D74" s="5"/>
      <c r="E74" s="5"/>
    </row>
    <row r="75" ht="15.75" customHeight="1">
      <c r="A75" s="8"/>
      <c r="C75" s="5"/>
      <c r="D75" s="5"/>
      <c r="E75" s="5"/>
    </row>
    <row r="76" ht="15.75" customHeight="1">
      <c r="A76" s="8"/>
      <c r="C76" s="5"/>
      <c r="D76" s="5"/>
      <c r="E76" s="5"/>
    </row>
    <row r="77" ht="15.75" customHeight="1">
      <c r="A77" s="8"/>
      <c r="C77" s="5"/>
      <c r="D77" s="5"/>
      <c r="E77" s="5"/>
    </row>
    <row r="78" ht="15.75" customHeight="1">
      <c r="A78" s="8"/>
      <c r="C78" s="5"/>
      <c r="D78" s="5"/>
      <c r="E78" s="5"/>
    </row>
    <row r="79" ht="15.75" customHeight="1">
      <c r="A79" s="8"/>
      <c r="C79" s="5"/>
      <c r="D79" s="5"/>
      <c r="E79" s="5"/>
    </row>
    <row r="80" ht="15.75" customHeight="1">
      <c r="A80" s="8"/>
      <c r="C80" s="5"/>
      <c r="D80" s="5"/>
      <c r="E80" s="5"/>
    </row>
    <row r="81" ht="15.75" customHeight="1">
      <c r="A81" s="8"/>
      <c r="C81" s="5"/>
      <c r="D81" s="5"/>
      <c r="E81" s="5"/>
    </row>
    <row r="82" ht="15.75" customHeight="1">
      <c r="A82" s="8"/>
      <c r="C82" s="5"/>
      <c r="D82" s="5"/>
      <c r="E82" s="5"/>
    </row>
    <row r="83" ht="15.75" customHeight="1">
      <c r="A83" s="8"/>
      <c r="C83" s="5"/>
      <c r="D83" s="5"/>
      <c r="E83" s="5"/>
    </row>
    <row r="84" ht="15.75" customHeight="1">
      <c r="A84" s="8"/>
      <c r="C84" s="5"/>
      <c r="D84" s="5"/>
      <c r="E84" s="5"/>
    </row>
    <row r="85" ht="15.75" customHeight="1">
      <c r="A85" s="8"/>
      <c r="C85" s="5"/>
      <c r="D85" s="5"/>
      <c r="E85" s="5"/>
    </row>
    <row r="86" ht="15.75" customHeight="1">
      <c r="A86" s="8"/>
      <c r="C86" s="5"/>
      <c r="D86" s="5"/>
      <c r="E86" s="5"/>
    </row>
    <row r="87" ht="15.75" customHeight="1">
      <c r="A87" s="8"/>
      <c r="C87" s="5"/>
      <c r="D87" s="5"/>
      <c r="E87" s="5"/>
    </row>
    <row r="88" ht="15.75" customHeight="1">
      <c r="A88" s="8"/>
      <c r="C88" s="5"/>
      <c r="D88" s="5"/>
      <c r="E88" s="5"/>
    </row>
    <row r="89" ht="15.75" customHeight="1">
      <c r="A89" s="8"/>
      <c r="C89" s="5"/>
      <c r="D89" s="5"/>
      <c r="E89" s="5"/>
    </row>
    <row r="90" ht="15.75" customHeight="1">
      <c r="A90" s="8"/>
      <c r="C90" s="5"/>
      <c r="D90" s="5"/>
      <c r="E90" s="5"/>
    </row>
    <row r="91" ht="15.75" customHeight="1">
      <c r="A91" s="8"/>
      <c r="C91" s="5"/>
      <c r="D91" s="5"/>
      <c r="E91" s="5"/>
    </row>
    <row r="92" ht="15.75" customHeight="1">
      <c r="A92" s="8"/>
      <c r="C92" s="5"/>
      <c r="D92" s="5"/>
      <c r="E92" s="5"/>
    </row>
    <row r="93" ht="15.75" customHeight="1">
      <c r="A93" s="8"/>
      <c r="C93" s="5"/>
      <c r="D93" s="5"/>
      <c r="E93" s="5"/>
    </row>
    <row r="94" ht="15.75" customHeight="1">
      <c r="A94" s="8"/>
      <c r="C94" s="5"/>
      <c r="D94" s="5"/>
      <c r="E94" s="5"/>
    </row>
    <row r="95" ht="15.75" customHeight="1">
      <c r="A95" s="8"/>
      <c r="C95" s="5"/>
      <c r="D95" s="5"/>
      <c r="E95" s="5"/>
    </row>
    <row r="96" ht="15.75" customHeight="1">
      <c r="A96" s="8"/>
      <c r="C96" s="5"/>
      <c r="D96" s="5"/>
      <c r="E96" s="5"/>
    </row>
    <row r="97" ht="15.75" customHeight="1">
      <c r="A97" s="8"/>
      <c r="C97" s="5"/>
      <c r="D97" s="5"/>
      <c r="E97" s="5"/>
    </row>
    <row r="98" ht="15.75" customHeight="1">
      <c r="A98" s="8"/>
      <c r="C98" s="5"/>
      <c r="D98" s="5"/>
      <c r="E98" s="5"/>
    </row>
    <row r="99" ht="15.75" customHeight="1">
      <c r="A99" s="8"/>
      <c r="C99" s="5"/>
      <c r="D99" s="5"/>
      <c r="E99" s="5"/>
    </row>
    <row r="100" ht="15.75" customHeight="1">
      <c r="A100" s="8"/>
      <c r="C100" s="5"/>
      <c r="D100" s="5"/>
      <c r="E100" s="5"/>
    </row>
    <row r="101" ht="15.75" customHeight="1">
      <c r="A101" s="8"/>
      <c r="C101" s="5"/>
      <c r="D101" s="5"/>
      <c r="E101" s="5"/>
    </row>
    <row r="102" ht="15.75" customHeight="1">
      <c r="A102" s="8"/>
      <c r="C102" s="5"/>
      <c r="D102" s="5"/>
      <c r="E102" s="5"/>
    </row>
    <row r="103" ht="15.75" customHeight="1">
      <c r="A103" s="8"/>
      <c r="C103" s="5"/>
      <c r="D103" s="5"/>
      <c r="E103" s="5"/>
    </row>
    <row r="104" ht="15.75" customHeight="1">
      <c r="A104" s="8"/>
      <c r="C104" s="5"/>
      <c r="D104" s="5"/>
      <c r="E104" s="5"/>
    </row>
    <row r="105" ht="15.75" customHeight="1">
      <c r="A105" s="8"/>
      <c r="C105" s="5"/>
      <c r="D105" s="5"/>
      <c r="E105" s="5"/>
    </row>
    <row r="106" ht="15.75" customHeight="1">
      <c r="A106" s="8"/>
      <c r="C106" s="5"/>
      <c r="D106" s="5"/>
      <c r="E106" s="5"/>
    </row>
    <row r="107" ht="15.75" customHeight="1">
      <c r="A107" s="8"/>
      <c r="C107" s="5"/>
      <c r="D107" s="5"/>
      <c r="E107" s="5"/>
    </row>
    <row r="108" ht="15.75" customHeight="1">
      <c r="A108" s="8"/>
      <c r="C108" s="5"/>
      <c r="D108" s="5"/>
      <c r="E108" s="5"/>
    </row>
    <row r="109" ht="15.75" customHeight="1">
      <c r="A109" s="8"/>
      <c r="C109" s="5"/>
      <c r="D109" s="5"/>
      <c r="E109" s="5"/>
    </row>
    <row r="110" ht="15.75" customHeight="1">
      <c r="A110" s="8"/>
      <c r="C110" s="5"/>
      <c r="D110" s="5"/>
      <c r="E110" s="5"/>
    </row>
    <row r="111" ht="15.75" customHeight="1">
      <c r="A111" s="8"/>
      <c r="C111" s="5"/>
      <c r="D111" s="5"/>
      <c r="E111" s="5"/>
    </row>
    <row r="112" ht="15.75" customHeight="1">
      <c r="A112" s="8"/>
      <c r="C112" s="5"/>
      <c r="D112" s="5"/>
      <c r="E112" s="5"/>
    </row>
    <row r="113" ht="15.75" customHeight="1">
      <c r="A113" s="8"/>
      <c r="C113" s="5"/>
      <c r="D113" s="5"/>
      <c r="E113" s="5"/>
    </row>
    <row r="114" ht="15.75" customHeight="1">
      <c r="A114" s="8"/>
      <c r="C114" s="5"/>
      <c r="D114" s="5"/>
      <c r="E114" s="5"/>
    </row>
    <row r="115" ht="15.75" customHeight="1">
      <c r="A115" s="8"/>
      <c r="C115" s="5"/>
      <c r="D115" s="5"/>
      <c r="E115" s="5"/>
    </row>
    <row r="116" ht="15.75" customHeight="1">
      <c r="A116" s="8"/>
      <c r="C116" s="5"/>
      <c r="D116" s="5"/>
      <c r="E116" s="5"/>
    </row>
    <row r="117" ht="15.75" customHeight="1">
      <c r="A117" s="8"/>
      <c r="C117" s="5"/>
      <c r="D117" s="5"/>
      <c r="E117" s="5"/>
    </row>
    <row r="118" ht="15.75" customHeight="1">
      <c r="A118" s="8"/>
      <c r="C118" s="5"/>
      <c r="D118" s="5"/>
      <c r="E118" s="5"/>
    </row>
    <row r="119" ht="15.75" customHeight="1">
      <c r="A119" s="8"/>
      <c r="C119" s="5"/>
      <c r="D119" s="5"/>
      <c r="E119" s="5"/>
    </row>
    <row r="120" ht="15.75" customHeight="1">
      <c r="A120" s="8"/>
      <c r="C120" s="5"/>
      <c r="D120" s="5"/>
      <c r="E120" s="5"/>
    </row>
    <row r="121" ht="15.75" customHeight="1">
      <c r="A121" s="8"/>
      <c r="C121" s="5"/>
      <c r="D121" s="5"/>
      <c r="E121" s="5"/>
    </row>
    <row r="122" ht="15.75" customHeight="1">
      <c r="A122" s="8"/>
      <c r="C122" s="5"/>
      <c r="D122" s="5"/>
      <c r="E122" s="5"/>
    </row>
    <row r="123" ht="15.75" customHeight="1">
      <c r="A123" s="8"/>
      <c r="C123" s="5"/>
      <c r="D123" s="5"/>
      <c r="E123" s="5"/>
    </row>
    <row r="124" ht="15.75" customHeight="1">
      <c r="A124" s="8"/>
      <c r="C124" s="5"/>
      <c r="D124" s="5"/>
      <c r="E124" s="5"/>
    </row>
    <row r="125" ht="15.75" customHeight="1">
      <c r="A125" s="8"/>
      <c r="C125" s="5"/>
      <c r="D125" s="5"/>
      <c r="E125" s="5"/>
    </row>
    <row r="126" ht="15.75" customHeight="1">
      <c r="A126" s="8"/>
      <c r="C126" s="5"/>
      <c r="D126" s="5"/>
      <c r="E126" s="5"/>
    </row>
    <row r="127" ht="15.75" customHeight="1">
      <c r="A127" s="8"/>
      <c r="C127" s="5"/>
      <c r="D127" s="5"/>
      <c r="E127" s="5"/>
    </row>
    <row r="128" ht="15.75" customHeight="1">
      <c r="A128" s="8"/>
      <c r="C128" s="5"/>
      <c r="D128" s="5"/>
      <c r="E128" s="5"/>
    </row>
    <row r="129" ht="15.75" customHeight="1">
      <c r="A129" s="8"/>
      <c r="C129" s="5"/>
      <c r="D129" s="5"/>
      <c r="E129" s="5"/>
    </row>
    <row r="130" ht="15.75" customHeight="1">
      <c r="A130" s="8"/>
      <c r="C130" s="5"/>
      <c r="D130" s="5"/>
      <c r="E130" s="5"/>
    </row>
    <row r="131" ht="15.75" customHeight="1">
      <c r="A131" s="8"/>
      <c r="C131" s="5"/>
      <c r="D131" s="5"/>
      <c r="E131" s="5"/>
    </row>
    <row r="132" ht="15.75" customHeight="1">
      <c r="A132" s="8"/>
      <c r="C132" s="5"/>
      <c r="D132" s="5"/>
      <c r="E132" s="5"/>
    </row>
    <row r="133" ht="15.75" customHeight="1">
      <c r="A133" s="8"/>
      <c r="C133" s="5"/>
      <c r="D133" s="5"/>
      <c r="E133" s="5"/>
    </row>
    <row r="134" ht="15.75" customHeight="1">
      <c r="A134" s="8"/>
      <c r="C134" s="5"/>
      <c r="D134" s="5"/>
      <c r="E134" s="5"/>
    </row>
    <row r="135" ht="15.75" customHeight="1">
      <c r="A135" s="8"/>
      <c r="C135" s="5"/>
      <c r="D135" s="5"/>
      <c r="E135" s="5"/>
    </row>
    <row r="136" ht="15.75" customHeight="1">
      <c r="A136" s="8"/>
      <c r="C136" s="5"/>
      <c r="D136" s="5"/>
      <c r="E136" s="5"/>
    </row>
    <row r="137" ht="15.75" customHeight="1">
      <c r="A137" s="8"/>
      <c r="C137" s="5"/>
      <c r="D137" s="5"/>
      <c r="E137" s="5"/>
    </row>
    <row r="138" ht="15.75" customHeight="1">
      <c r="A138" s="8"/>
      <c r="C138" s="5"/>
      <c r="D138" s="5"/>
      <c r="E138" s="5"/>
    </row>
    <row r="139" ht="15.75" customHeight="1">
      <c r="A139" s="8"/>
      <c r="C139" s="5"/>
      <c r="D139" s="5"/>
      <c r="E139" s="5"/>
    </row>
    <row r="140" ht="15.75" customHeight="1">
      <c r="A140" s="8"/>
      <c r="C140" s="5"/>
      <c r="D140" s="5"/>
      <c r="E140" s="5"/>
    </row>
    <row r="141" ht="15.75" customHeight="1">
      <c r="A141" s="8"/>
      <c r="C141" s="5"/>
      <c r="D141" s="5"/>
      <c r="E141" s="5"/>
    </row>
    <row r="142" ht="15.75" customHeight="1">
      <c r="A142" s="8"/>
      <c r="C142" s="5"/>
      <c r="D142" s="5"/>
      <c r="E142" s="5"/>
    </row>
    <row r="143" ht="15.75" customHeight="1">
      <c r="A143" s="8"/>
      <c r="C143" s="5"/>
      <c r="D143" s="5"/>
      <c r="E143" s="5"/>
    </row>
    <row r="144" ht="15.75" customHeight="1">
      <c r="A144" s="8"/>
      <c r="C144" s="5"/>
      <c r="D144" s="5"/>
      <c r="E144" s="5"/>
    </row>
    <row r="145" ht="15.75" customHeight="1">
      <c r="A145" s="8"/>
      <c r="C145" s="5"/>
      <c r="D145" s="5"/>
      <c r="E145" s="5"/>
    </row>
    <row r="146" ht="15.75" customHeight="1">
      <c r="A146" s="8"/>
      <c r="C146" s="5"/>
      <c r="D146" s="5"/>
      <c r="E146" s="5"/>
    </row>
    <row r="147" ht="15.75" customHeight="1">
      <c r="A147" s="8"/>
      <c r="C147" s="5"/>
      <c r="D147" s="5"/>
      <c r="E147" s="5"/>
    </row>
    <row r="148" ht="15.75" customHeight="1">
      <c r="A148" s="8"/>
      <c r="C148" s="5"/>
      <c r="D148" s="5"/>
      <c r="E148" s="5"/>
    </row>
    <row r="149" ht="15.75" customHeight="1">
      <c r="A149" s="8"/>
      <c r="C149" s="5"/>
      <c r="D149" s="5"/>
      <c r="E149" s="5"/>
    </row>
    <row r="150" ht="15.75" customHeight="1">
      <c r="A150" s="8"/>
      <c r="C150" s="5"/>
      <c r="D150" s="5"/>
      <c r="E150" s="5"/>
    </row>
    <row r="151" ht="15.75" customHeight="1">
      <c r="A151" s="8"/>
      <c r="C151" s="5"/>
      <c r="D151" s="5"/>
      <c r="E151" s="5"/>
    </row>
    <row r="152" ht="15.75" customHeight="1">
      <c r="A152" s="8"/>
      <c r="C152" s="5"/>
      <c r="D152" s="5"/>
      <c r="E152" s="5"/>
    </row>
    <row r="153" ht="15.75" customHeight="1">
      <c r="A153" s="8"/>
      <c r="C153" s="5"/>
      <c r="D153" s="5"/>
      <c r="E153" s="5"/>
    </row>
    <row r="154" ht="15.75" customHeight="1">
      <c r="A154" s="8"/>
      <c r="C154" s="5"/>
      <c r="D154" s="5"/>
      <c r="E154" s="5"/>
    </row>
    <row r="155" ht="15.75" customHeight="1">
      <c r="A155" s="8"/>
      <c r="C155" s="5"/>
      <c r="D155" s="5"/>
      <c r="E155" s="5"/>
    </row>
    <row r="156" ht="15.75" customHeight="1">
      <c r="A156" s="8"/>
      <c r="C156" s="5"/>
      <c r="D156" s="5"/>
      <c r="E156" s="5"/>
    </row>
    <row r="157" ht="15.75" customHeight="1">
      <c r="A157" s="8"/>
      <c r="C157" s="5"/>
      <c r="D157" s="5"/>
      <c r="E157" s="5"/>
    </row>
    <row r="158" ht="15.75" customHeight="1">
      <c r="A158" s="8"/>
      <c r="C158" s="5"/>
      <c r="D158" s="5"/>
      <c r="E158" s="5"/>
    </row>
    <row r="159" ht="15.75" customHeight="1">
      <c r="A159" s="8"/>
      <c r="C159" s="5"/>
      <c r="D159" s="5"/>
      <c r="E159" s="5"/>
    </row>
    <row r="160" ht="15.75" customHeight="1">
      <c r="A160" s="8"/>
      <c r="C160" s="5"/>
      <c r="D160" s="5"/>
      <c r="E160" s="5"/>
    </row>
    <row r="161" ht="15.75" customHeight="1">
      <c r="A161" s="8"/>
      <c r="C161" s="5"/>
      <c r="D161" s="5"/>
      <c r="E161" s="5"/>
    </row>
    <row r="162" ht="15.75" customHeight="1">
      <c r="A162" s="8"/>
      <c r="C162" s="5"/>
      <c r="D162" s="5"/>
      <c r="E162" s="5"/>
    </row>
    <row r="163" ht="15.75" customHeight="1">
      <c r="A163" s="8"/>
      <c r="C163" s="5"/>
      <c r="D163" s="5"/>
      <c r="E163" s="5"/>
    </row>
    <row r="164" ht="15.75" customHeight="1">
      <c r="A164" s="8"/>
      <c r="C164" s="5"/>
      <c r="D164" s="5"/>
      <c r="E164" s="5"/>
    </row>
    <row r="165" ht="15.75" customHeight="1">
      <c r="A165" s="8"/>
      <c r="C165" s="5"/>
      <c r="D165" s="5"/>
      <c r="E165" s="5"/>
    </row>
    <row r="166" ht="15.75" customHeight="1">
      <c r="A166" s="8"/>
      <c r="C166" s="5"/>
      <c r="D166" s="5"/>
      <c r="E166" s="5"/>
    </row>
    <row r="167" ht="15.75" customHeight="1">
      <c r="A167" s="8"/>
      <c r="C167" s="5"/>
      <c r="D167" s="5"/>
      <c r="E167" s="5"/>
    </row>
    <row r="168" ht="15.75" customHeight="1">
      <c r="A168" s="8"/>
      <c r="C168" s="5"/>
      <c r="D168" s="5"/>
      <c r="E168" s="5"/>
    </row>
    <row r="169" ht="15.75" customHeight="1">
      <c r="A169" s="8"/>
      <c r="C169" s="5"/>
      <c r="D169" s="5"/>
      <c r="E169" s="5"/>
    </row>
    <row r="170" ht="15.75" customHeight="1">
      <c r="A170" s="8"/>
      <c r="C170" s="5"/>
      <c r="D170" s="5"/>
      <c r="E170" s="5"/>
    </row>
    <row r="171" ht="15.75" customHeight="1">
      <c r="A171" s="8"/>
      <c r="C171" s="5"/>
      <c r="D171" s="5"/>
      <c r="E171" s="5"/>
    </row>
    <row r="172" ht="15.75" customHeight="1">
      <c r="A172" s="8"/>
      <c r="C172" s="5"/>
      <c r="D172" s="5"/>
      <c r="E172" s="5"/>
    </row>
    <row r="173" ht="15.75" customHeight="1">
      <c r="A173" s="8"/>
      <c r="C173" s="5"/>
      <c r="D173" s="5"/>
      <c r="E173" s="5"/>
    </row>
    <row r="174" ht="15.75" customHeight="1">
      <c r="A174" s="8"/>
      <c r="C174" s="5"/>
      <c r="D174" s="5"/>
      <c r="E174" s="5"/>
    </row>
    <row r="175" ht="15.75" customHeight="1">
      <c r="A175" s="8"/>
      <c r="C175" s="5"/>
      <c r="D175" s="5"/>
      <c r="E175" s="5"/>
    </row>
    <row r="176" ht="15.75" customHeight="1">
      <c r="A176" s="8"/>
      <c r="C176" s="5"/>
      <c r="D176" s="5"/>
      <c r="E176" s="5"/>
    </row>
    <row r="177" ht="15.75" customHeight="1">
      <c r="A177" s="8"/>
      <c r="C177" s="5"/>
      <c r="D177" s="5"/>
      <c r="E177" s="5"/>
    </row>
    <row r="178" ht="15.75" customHeight="1">
      <c r="A178" s="8"/>
      <c r="C178" s="5"/>
      <c r="D178" s="5"/>
      <c r="E178" s="5"/>
    </row>
    <row r="179" ht="15.75" customHeight="1">
      <c r="A179" s="8"/>
      <c r="C179" s="5"/>
      <c r="D179" s="5"/>
      <c r="E179" s="5"/>
    </row>
    <row r="180" ht="15.75" customHeight="1">
      <c r="A180" s="8"/>
      <c r="C180" s="5"/>
      <c r="D180" s="5"/>
      <c r="E180" s="5"/>
    </row>
    <row r="181" ht="15.75" customHeight="1">
      <c r="A181" s="8"/>
      <c r="C181" s="5"/>
      <c r="D181" s="5"/>
      <c r="E181" s="5"/>
    </row>
    <row r="182" ht="15.75" customHeight="1">
      <c r="A182" s="8"/>
      <c r="C182" s="5"/>
      <c r="D182" s="5"/>
      <c r="E182" s="5"/>
    </row>
    <row r="183" ht="15.75" customHeight="1">
      <c r="A183" s="8"/>
      <c r="C183" s="5"/>
      <c r="D183" s="5"/>
      <c r="E183" s="5"/>
    </row>
    <row r="184" ht="15.75" customHeight="1">
      <c r="A184" s="8"/>
      <c r="C184" s="5"/>
      <c r="D184" s="5"/>
      <c r="E184" s="5"/>
    </row>
    <row r="185" ht="15.75" customHeight="1">
      <c r="A185" s="8"/>
      <c r="C185" s="5"/>
      <c r="D185" s="5"/>
      <c r="E185" s="5"/>
    </row>
    <row r="186" ht="15.75" customHeight="1">
      <c r="A186" s="8"/>
      <c r="C186" s="5"/>
      <c r="D186" s="5"/>
      <c r="E186" s="5"/>
    </row>
    <row r="187" ht="15.75" customHeight="1">
      <c r="A187" s="8"/>
      <c r="C187" s="5"/>
      <c r="D187" s="5"/>
      <c r="E187" s="5"/>
    </row>
    <row r="188" ht="15.75" customHeight="1">
      <c r="A188" s="8"/>
      <c r="C188" s="5"/>
      <c r="D188" s="5"/>
      <c r="E188" s="5"/>
    </row>
    <row r="189" ht="15.75" customHeight="1">
      <c r="A189" s="8"/>
      <c r="C189" s="5"/>
      <c r="D189" s="5"/>
      <c r="E189" s="5"/>
    </row>
    <row r="190" ht="15.75" customHeight="1">
      <c r="A190" s="8"/>
      <c r="C190" s="5"/>
      <c r="D190" s="5"/>
      <c r="E190" s="5"/>
    </row>
    <row r="191" ht="15.75" customHeight="1">
      <c r="A191" s="8"/>
      <c r="C191" s="5"/>
      <c r="D191" s="5"/>
      <c r="E191" s="5"/>
    </row>
    <row r="192" ht="15.75" customHeight="1">
      <c r="A192" s="8"/>
      <c r="C192" s="5"/>
      <c r="D192" s="5"/>
      <c r="E192" s="5"/>
    </row>
    <row r="193" ht="15.75" customHeight="1">
      <c r="A193" s="8"/>
      <c r="C193" s="5"/>
      <c r="D193" s="5"/>
      <c r="E193" s="5"/>
    </row>
    <row r="194" ht="15.75" customHeight="1">
      <c r="A194" s="8"/>
      <c r="C194" s="5"/>
      <c r="D194" s="5"/>
      <c r="E194" s="5"/>
    </row>
    <row r="195" ht="15.75" customHeight="1">
      <c r="A195" s="8"/>
      <c r="C195" s="5"/>
      <c r="D195" s="5"/>
      <c r="E195" s="5"/>
    </row>
    <row r="196" ht="15.75" customHeight="1">
      <c r="A196" s="8"/>
      <c r="C196" s="5"/>
      <c r="D196" s="5"/>
      <c r="E196" s="5"/>
    </row>
    <row r="197" ht="15.75" customHeight="1">
      <c r="A197" s="8"/>
      <c r="C197" s="5"/>
      <c r="D197" s="5"/>
      <c r="E197" s="5"/>
    </row>
    <row r="198" ht="15.75" customHeight="1">
      <c r="A198" s="8"/>
      <c r="C198" s="5"/>
      <c r="D198" s="5"/>
      <c r="E198" s="5"/>
    </row>
    <row r="199" ht="15.75" customHeight="1">
      <c r="A199" s="8"/>
      <c r="C199" s="5"/>
      <c r="D199" s="5"/>
      <c r="E199" s="5"/>
    </row>
    <row r="200" ht="15.75" customHeight="1">
      <c r="A200" s="8"/>
      <c r="C200" s="5"/>
      <c r="D200" s="5"/>
      <c r="E200" s="5"/>
    </row>
    <row r="201" ht="15.75" customHeight="1">
      <c r="A201" s="8"/>
      <c r="C201" s="5"/>
      <c r="D201" s="5"/>
      <c r="E201" s="5"/>
    </row>
    <row r="202" ht="15.75" customHeight="1">
      <c r="A202" s="8"/>
      <c r="C202" s="5"/>
      <c r="D202" s="5"/>
      <c r="E202" s="5"/>
    </row>
    <row r="203" ht="15.75" customHeight="1">
      <c r="A203" s="8"/>
      <c r="C203" s="5"/>
      <c r="D203" s="5"/>
      <c r="E203" s="5"/>
    </row>
    <row r="204" ht="15.75" customHeight="1">
      <c r="A204" s="8"/>
      <c r="C204" s="5"/>
      <c r="D204" s="5"/>
      <c r="E204" s="5"/>
    </row>
    <row r="205" ht="15.75" customHeight="1">
      <c r="A205" s="8"/>
      <c r="C205" s="5"/>
      <c r="D205" s="5"/>
      <c r="E205" s="5"/>
    </row>
    <row r="206" ht="15.75" customHeight="1">
      <c r="A206" s="8"/>
      <c r="C206" s="5"/>
      <c r="D206" s="5"/>
      <c r="E206" s="5"/>
    </row>
    <row r="207" ht="15.75" customHeight="1">
      <c r="A207" s="8"/>
      <c r="C207" s="5"/>
      <c r="D207" s="5"/>
      <c r="E207" s="5"/>
    </row>
    <row r="208" ht="15.75" customHeight="1">
      <c r="A208" s="8"/>
      <c r="C208" s="5"/>
      <c r="D208" s="5"/>
      <c r="E208" s="5"/>
    </row>
    <row r="209" ht="15.75" customHeight="1">
      <c r="A209" s="8"/>
      <c r="C209" s="5"/>
      <c r="D209" s="5"/>
      <c r="E209" s="5"/>
    </row>
    <row r="210" ht="15.75" customHeight="1">
      <c r="A210" s="8"/>
      <c r="C210" s="5"/>
      <c r="D210" s="5"/>
      <c r="E210" s="5"/>
    </row>
    <row r="211" ht="15.75" customHeight="1">
      <c r="A211" s="8"/>
      <c r="C211" s="5"/>
      <c r="D211" s="5"/>
      <c r="E211" s="5"/>
    </row>
    <row r="212" ht="15.75" customHeight="1">
      <c r="A212" s="8"/>
      <c r="C212" s="5"/>
      <c r="D212" s="5"/>
      <c r="E212" s="5"/>
    </row>
    <row r="213" ht="15.75" customHeight="1">
      <c r="A213" s="8"/>
      <c r="C213" s="5"/>
      <c r="D213" s="5"/>
      <c r="E213" s="5"/>
    </row>
    <row r="214" ht="15.75" customHeight="1">
      <c r="A214" s="8"/>
      <c r="C214" s="5"/>
      <c r="D214" s="5"/>
      <c r="E214" s="5"/>
    </row>
    <row r="215" ht="15.75" customHeight="1">
      <c r="A215" s="8"/>
      <c r="C215" s="5"/>
      <c r="D215" s="5"/>
      <c r="E215" s="5"/>
    </row>
    <row r="216" ht="15.75" customHeight="1">
      <c r="A216" s="8"/>
      <c r="C216" s="5"/>
      <c r="D216" s="5"/>
      <c r="E216" s="5"/>
    </row>
    <row r="217" ht="15.75" customHeight="1">
      <c r="A217" s="8"/>
      <c r="C217" s="5"/>
      <c r="D217" s="5"/>
      <c r="E217" s="5"/>
    </row>
    <row r="218" ht="15.75" customHeight="1">
      <c r="A218" s="8"/>
      <c r="C218" s="5"/>
      <c r="D218" s="5"/>
      <c r="E218" s="5"/>
    </row>
    <row r="219" ht="15.75" customHeight="1">
      <c r="A219" s="8"/>
      <c r="C219" s="5"/>
      <c r="D219" s="5"/>
      <c r="E219" s="5"/>
    </row>
    <row r="220" ht="15.75" customHeight="1">
      <c r="A220" s="8"/>
      <c r="C220" s="5"/>
      <c r="D220" s="5"/>
      <c r="E220" s="5"/>
    </row>
    <row r="221" ht="15.75" customHeight="1">
      <c r="A221" s="8"/>
      <c r="C221" s="5"/>
      <c r="D221" s="5"/>
      <c r="E221" s="5"/>
    </row>
    <row r="222" ht="15.75" customHeight="1">
      <c r="A222" s="8"/>
      <c r="C222" s="5"/>
      <c r="D222" s="5"/>
      <c r="E222" s="5"/>
    </row>
    <row r="223" ht="15.75" customHeight="1">
      <c r="A223" s="8"/>
      <c r="C223" s="5"/>
      <c r="D223" s="5"/>
      <c r="E223" s="5"/>
    </row>
    <row r="224" ht="15.75" customHeight="1">
      <c r="A224" s="8"/>
      <c r="C224" s="5"/>
      <c r="D224" s="5"/>
      <c r="E224" s="5"/>
    </row>
    <row r="225" ht="15.75" customHeight="1">
      <c r="A225" s="8"/>
      <c r="C225" s="5"/>
      <c r="D225" s="5"/>
      <c r="E225" s="5"/>
    </row>
    <row r="226" ht="15.75" customHeight="1">
      <c r="A226" s="8"/>
      <c r="C226" s="5"/>
      <c r="D226" s="5"/>
      <c r="E226" s="5"/>
    </row>
    <row r="227" ht="15.75" customHeight="1">
      <c r="A227" s="8"/>
      <c r="C227" s="5"/>
      <c r="D227" s="5"/>
      <c r="E227" s="5"/>
    </row>
    <row r="228" ht="15.75" customHeight="1">
      <c r="A228" s="8"/>
      <c r="C228" s="5"/>
      <c r="D228" s="5"/>
      <c r="E228" s="5"/>
    </row>
    <row r="229" ht="15.75" customHeight="1">
      <c r="A229" s="8"/>
      <c r="C229" s="5"/>
      <c r="D229" s="5"/>
      <c r="E229" s="5"/>
    </row>
    <row r="230" ht="15.75" customHeight="1">
      <c r="A230" s="8"/>
      <c r="C230" s="5"/>
      <c r="D230" s="5"/>
      <c r="E230" s="5"/>
    </row>
    <row r="231" ht="15.75" customHeight="1">
      <c r="A231" s="8"/>
      <c r="C231" s="5"/>
      <c r="D231" s="5"/>
      <c r="E231" s="5"/>
    </row>
    <row r="232" ht="15.75" customHeight="1">
      <c r="A232" s="8"/>
      <c r="C232" s="5"/>
      <c r="D232" s="5"/>
      <c r="E232" s="5"/>
    </row>
    <row r="233" ht="15.75" customHeight="1">
      <c r="A233" s="8"/>
      <c r="C233" s="5"/>
      <c r="D233" s="5"/>
      <c r="E233" s="5"/>
    </row>
    <row r="234" ht="15.75" customHeight="1">
      <c r="A234" s="8"/>
      <c r="C234" s="5"/>
      <c r="D234" s="5"/>
      <c r="E234" s="5"/>
    </row>
    <row r="235" ht="15.75" customHeight="1">
      <c r="A235" s="8"/>
      <c r="C235" s="5"/>
      <c r="D235" s="5"/>
      <c r="E235" s="5"/>
    </row>
    <row r="236" ht="15.75" customHeight="1">
      <c r="A236" s="8"/>
      <c r="C236" s="5"/>
      <c r="D236" s="5"/>
      <c r="E236" s="5"/>
    </row>
    <row r="237" ht="15.75" customHeight="1">
      <c r="A237" s="8"/>
      <c r="C237" s="5"/>
      <c r="D237" s="5"/>
      <c r="E237" s="5"/>
    </row>
    <row r="238" ht="15.75" customHeight="1">
      <c r="A238" s="8"/>
      <c r="C238" s="5"/>
      <c r="D238" s="5"/>
      <c r="E238" s="5"/>
    </row>
    <row r="239" ht="15.75" customHeight="1">
      <c r="A239" s="8"/>
      <c r="C239" s="5"/>
      <c r="D239" s="5"/>
      <c r="E239" s="5"/>
    </row>
    <row r="240" ht="15.75" customHeight="1">
      <c r="A240" s="8"/>
      <c r="C240" s="5"/>
      <c r="D240" s="5"/>
      <c r="E240" s="5"/>
    </row>
    <row r="241" ht="15.75" customHeight="1">
      <c r="A241" s="8"/>
      <c r="C241" s="5"/>
      <c r="D241" s="5"/>
      <c r="E241" s="5"/>
    </row>
    <row r="242" ht="15.75" customHeight="1">
      <c r="A242" s="8"/>
      <c r="C242" s="5"/>
      <c r="D242" s="5"/>
      <c r="E242" s="5"/>
    </row>
    <row r="243" ht="15.75" customHeight="1">
      <c r="A243" s="8"/>
      <c r="C243" s="5"/>
      <c r="D243" s="5"/>
      <c r="E243" s="5"/>
    </row>
    <row r="244" ht="15.75" customHeight="1">
      <c r="A244" s="8"/>
      <c r="C244" s="5"/>
      <c r="D244" s="5"/>
      <c r="E244" s="5"/>
    </row>
    <row r="245" ht="15.75" customHeight="1">
      <c r="A245" s="8"/>
      <c r="C245" s="5"/>
      <c r="D245" s="5"/>
      <c r="E245" s="5"/>
    </row>
    <row r="246" ht="15.75" customHeight="1">
      <c r="A246" s="8"/>
      <c r="C246" s="5"/>
      <c r="D246" s="5"/>
      <c r="E246" s="5"/>
    </row>
    <row r="247" ht="15.75" customHeight="1">
      <c r="A247" s="8"/>
      <c r="C247" s="5"/>
      <c r="D247" s="5"/>
      <c r="E247" s="5"/>
    </row>
    <row r="248" ht="15.75" customHeight="1">
      <c r="A248" s="8"/>
      <c r="C248" s="5"/>
      <c r="D248" s="5"/>
      <c r="E248" s="5"/>
    </row>
    <row r="249" ht="15.75" customHeight="1">
      <c r="A249" s="8"/>
      <c r="C249" s="5"/>
      <c r="D249" s="5"/>
      <c r="E249" s="5"/>
    </row>
    <row r="250" ht="15.75" customHeight="1">
      <c r="A250" s="8"/>
      <c r="C250" s="5"/>
      <c r="D250" s="5"/>
      <c r="E250" s="5"/>
    </row>
    <row r="251" ht="15.75" customHeight="1">
      <c r="A251" s="8"/>
      <c r="C251" s="5"/>
      <c r="D251" s="5"/>
      <c r="E251" s="5"/>
    </row>
    <row r="252" ht="15.75" customHeight="1">
      <c r="A252" s="8"/>
      <c r="C252" s="5"/>
      <c r="D252" s="5"/>
      <c r="E252" s="5"/>
    </row>
    <row r="253" ht="15.75" customHeight="1">
      <c r="A253" s="8"/>
      <c r="C253" s="5"/>
      <c r="D253" s="5"/>
      <c r="E253" s="5"/>
    </row>
    <row r="254" ht="15.75" customHeight="1">
      <c r="A254" s="8"/>
      <c r="C254" s="5"/>
      <c r="D254" s="5"/>
      <c r="E254" s="5"/>
    </row>
    <row r="255" ht="15.75" customHeight="1">
      <c r="A255" s="8"/>
      <c r="C255" s="5"/>
      <c r="D255" s="5"/>
      <c r="E255" s="5"/>
    </row>
    <row r="256" ht="15.75" customHeight="1">
      <c r="A256" s="8"/>
      <c r="C256" s="5"/>
      <c r="D256" s="5"/>
      <c r="E256" s="5"/>
    </row>
    <row r="257" ht="15.75" customHeight="1">
      <c r="A257" s="8"/>
      <c r="C257" s="5"/>
      <c r="D257" s="5"/>
      <c r="E257" s="5"/>
    </row>
    <row r="258" ht="15.75" customHeight="1">
      <c r="A258" s="8"/>
      <c r="C258" s="5"/>
      <c r="D258" s="5"/>
      <c r="E258" s="5"/>
    </row>
    <row r="259" ht="15.75" customHeight="1">
      <c r="A259" s="8"/>
      <c r="C259" s="5"/>
      <c r="D259" s="5"/>
      <c r="E259" s="5"/>
    </row>
    <row r="260" ht="15.75" customHeight="1">
      <c r="A260" s="8"/>
      <c r="C260" s="5"/>
      <c r="D260" s="5"/>
      <c r="E260" s="5"/>
    </row>
    <row r="261" ht="15.75" customHeight="1">
      <c r="A261" s="8"/>
      <c r="C261" s="5"/>
      <c r="D261" s="5"/>
      <c r="E261" s="5"/>
    </row>
    <row r="262" ht="15.75" customHeight="1">
      <c r="A262" s="8"/>
      <c r="C262" s="5"/>
      <c r="D262" s="5"/>
      <c r="E262" s="5"/>
    </row>
    <row r="263" ht="15.75" customHeight="1">
      <c r="A263" s="8"/>
      <c r="C263" s="5"/>
      <c r="D263" s="5"/>
      <c r="E263" s="5"/>
    </row>
    <row r="264" ht="15.75" customHeight="1">
      <c r="A264" s="8"/>
      <c r="C264" s="5"/>
      <c r="D264" s="5"/>
      <c r="E264" s="5"/>
    </row>
    <row r="265" ht="15.75" customHeight="1">
      <c r="A265" s="8"/>
      <c r="C265" s="5"/>
      <c r="D265" s="5"/>
      <c r="E265" s="5"/>
    </row>
    <row r="266" ht="15.75" customHeight="1">
      <c r="A266" s="8"/>
      <c r="C266" s="5"/>
      <c r="D266" s="5"/>
      <c r="E266" s="5"/>
    </row>
    <row r="267" ht="15.75" customHeight="1">
      <c r="A267" s="8"/>
      <c r="C267" s="5"/>
      <c r="D267" s="5"/>
      <c r="E267" s="5"/>
    </row>
    <row r="268" ht="15.75" customHeight="1">
      <c r="A268" s="8"/>
      <c r="C268" s="5"/>
      <c r="D268" s="5"/>
      <c r="E268" s="5"/>
    </row>
    <row r="269" ht="15.75" customHeight="1">
      <c r="A269" s="8"/>
      <c r="C269" s="5"/>
      <c r="D269" s="5"/>
      <c r="E269" s="5"/>
    </row>
    <row r="270" ht="15.75" customHeight="1">
      <c r="A270" s="8"/>
      <c r="C270" s="5"/>
      <c r="D270" s="5"/>
      <c r="E270" s="5"/>
    </row>
    <row r="271" ht="15.75" customHeight="1">
      <c r="A271" s="8"/>
      <c r="C271" s="5"/>
      <c r="D271" s="5"/>
      <c r="E271" s="5"/>
    </row>
    <row r="272" ht="15.75" customHeight="1">
      <c r="A272" s="8"/>
      <c r="C272" s="5"/>
      <c r="D272" s="5"/>
      <c r="E272" s="5"/>
    </row>
    <row r="273" ht="15.75" customHeight="1">
      <c r="A273" s="8"/>
      <c r="C273" s="5"/>
      <c r="D273" s="5"/>
      <c r="E273" s="5"/>
    </row>
    <row r="274" ht="15.75" customHeight="1">
      <c r="A274" s="8"/>
      <c r="C274" s="5"/>
      <c r="D274" s="5"/>
      <c r="E274" s="5"/>
    </row>
    <row r="275" ht="15.75" customHeight="1">
      <c r="A275" s="8"/>
      <c r="C275" s="5"/>
      <c r="D275" s="5"/>
      <c r="E275" s="5"/>
    </row>
    <row r="276" ht="15.75" customHeight="1">
      <c r="A276" s="8"/>
      <c r="C276" s="5"/>
      <c r="D276" s="5"/>
      <c r="E276" s="5"/>
    </row>
    <row r="277" ht="15.75" customHeight="1">
      <c r="A277" s="8"/>
      <c r="C277" s="5"/>
      <c r="D277" s="5"/>
      <c r="E277" s="5"/>
    </row>
    <row r="278" ht="15.75" customHeight="1">
      <c r="A278" s="8"/>
      <c r="C278" s="5"/>
      <c r="D278" s="5"/>
      <c r="E278" s="5"/>
    </row>
    <row r="279" ht="15.75" customHeight="1">
      <c r="A279" s="8"/>
      <c r="C279" s="5"/>
      <c r="D279" s="5"/>
      <c r="E279" s="5"/>
    </row>
    <row r="280" ht="15.75" customHeight="1">
      <c r="A280" s="8"/>
      <c r="C280" s="5"/>
      <c r="D280" s="5"/>
      <c r="E280" s="5"/>
    </row>
    <row r="281" ht="15.75" customHeight="1">
      <c r="A281" s="8"/>
      <c r="C281" s="5"/>
      <c r="D281" s="5"/>
      <c r="E281" s="5"/>
    </row>
    <row r="282" ht="15.75" customHeight="1">
      <c r="A282" s="8"/>
      <c r="C282" s="5"/>
      <c r="D282" s="5"/>
      <c r="E282" s="5"/>
    </row>
    <row r="283" ht="15.75" customHeight="1">
      <c r="A283" s="8"/>
      <c r="C283" s="5"/>
      <c r="D283" s="5"/>
      <c r="E283" s="5"/>
    </row>
    <row r="284" ht="15.75" customHeight="1">
      <c r="A284" s="8"/>
      <c r="C284" s="5"/>
      <c r="D284" s="5"/>
      <c r="E284" s="5"/>
    </row>
    <row r="285" ht="15.75" customHeight="1">
      <c r="A285" s="8"/>
      <c r="C285" s="5"/>
      <c r="D285" s="5"/>
      <c r="E285" s="5"/>
    </row>
    <row r="286" ht="15.75" customHeight="1">
      <c r="A286" s="8"/>
      <c r="C286" s="5"/>
      <c r="D286" s="5"/>
      <c r="E286" s="5"/>
    </row>
    <row r="287" ht="15.75" customHeight="1">
      <c r="A287" s="8"/>
      <c r="C287" s="5"/>
      <c r="D287" s="5"/>
      <c r="E287" s="5"/>
    </row>
    <row r="288" ht="15.75" customHeight="1">
      <c r="A288" s="8"/>
      <c r="C288" s="5"/>
      <c r="D288" s="5"/>
      <c r="E288" s="5"/>
    </row>
    <row r="289" ht="15.75" customHeight="1">
      <c r="A289" s="8"/>
      <c r="C289" s="5"/>
      <c r="D289" s="5"/>
      <c r="E289" s="5"/>
    </row>
    <row r="290" ht="15.75" customHeight="1">
      <c r="A290" s="8"/>
      <c r="C290" s="5"/>
      <c r="D290" s="5"/>
      <c r="E290" s="5"/>
    </row>
    <row r="291" ht="15.75" customHeight="1">
      <c r="A291" s="8"/>
      <c r="C291" s="5"/>
      <c r="D291" s="5"/>
      <c r="E291" s="5"/>
    </row>
    <row r="292" ht="15.75" customHeight="1">
      <c r="A292" s="8"/>
      <c r="C292" s="5"/>
      <c r="D292" s="5"/>
      <c r="E292" s="5"/>
    </row>
    <row r="293" ht="15.75" customHeight="1">
      <c r="A293" s="8"/>
      <c r="C293" s="5"/>
      <c r="D293" s="5"/>
      <c r="E293" s="5"/>
    </row>
    <row r="294" ht="15.75" customHeight="1">
      <c r="A294" s="8"/>
      <c r="C294" s="5"/>
      <c r="D294" s="5"/>
      <c r="E294" s="5"/>
    </row>
    <row r="295" ht="15.75" customHeight="1">
      <c r="A295" s="8"/>
      <c r="C295" s="5"/>
      <c r="D295" s="5"/>
      <c r="E295" s="5"/>
    </row>
    <row r="296" ht="15.75" customHeight="1">
      <c r="A296" s="8"/>
      <c r="C296" s="5"/>
      <c r="D296" s="5"/>
      <c r="E296" s="5"/>
    </row>
    <row r="297" ht="15.75" customHeight="1">
      <c r="A297" s="8"/>
      <c r="C297" s="5"/>
      <c r="D297" s="5"/>
      <c r="E297" s="5"/>
    </row>
    <row r="298" ht="15.75" customHeight="1">
      <c r="A298" s="8"/>
      <c r="C298" s="5"/>
      <c r="D298" s="5"/>
      <c r="E298" s="5"/>
    </row>
    <row r="299" ht="15.75" customHeight="1">
      <c r="A299" s="8"/>
      <c r="C299" s="5"/>
      <c r="D299" s="5"/>
      <c r="E299" s="5"/>
    </row>
    <row r="300" ht="15.75" customHeight="1">
      <c r="A300" s="8"/>
      <c r="C300" s="5"/>
      <c r="D300" s="5"/>
      <c r="E300" s="5"/>
    </row>
    <row r="301" ht="15.75" customHeight="1">
      <c r="A301" s="8"/>
      <c r="C301" s="5"/>
      <c r="D301" s="5"/>
      <c r="E301" s="5"/>
    </row>
    <row r="302" ht="15.75" customHeight="1">
      <c r="A302" s="8"/>
      <c r="C302" s="5"/>
      <c r="D302" s="5"/>
      <c r="E302" s="5"/>
    </row>
    <row r="303" ht="15.75" customHeight="1">
      <c r="A303" s="8"/>
      <c r="C303" s="5"/>
      <c r="D303" s="5"/>
      <c r="E303" s="5"/>
    </row>
    <row r="304" ht="15.75" customHeight="1">
      <c r="A304" s="8"/>
      <c r="C304" s="5"/>
      <c r="D304" s="5"/>
      <c r="E304" s="5"/>
    </row>
    <row r="305" ht="15.75" customHeight="1">
      <c r="A305" s="8"/>
      <c r="C305" s="5"/>
      <c r="D305" s="5"/>
      <c r="E305" s="5"/>
    </row>
    <row r="306" ht="15.75" customHeight="1">
      <c r="A306" s="8"/>
      <c r="C306" s="5"/>
      <c r="D306" s="5"/>
      <c r="E306" s="5"/>
    </row>
    <row r="307" ht="15.75" customHeight="1">
      <c r="A307" s="8"/>
      <c r="C307" s="5"/>
      <c r="D307" s="5"/>
      <c r="E307" s="5"/>
    </row>
    <row r="308" ht="15.75" customHeight="1">
      <c r="A308" s="8"/>
      <c r="C308" s="5"/>
      <c r="D308" s="5"/>
      <c r="E308" s="5"/>
    </row>
    <row r="309" ht="15.75" customHeight="1">
      <c r="A309" s="8"/>
      <c r="C309" s="5"/>
      <c r="D309" s="5"/>
      <c r="E309" s="5"/>
    </row>
    <row r="310" ht="15.75" customHeight="1">
      <c r="A310" s="8"/>
      <c r="C310" s="5"/>
      <c r="D310" s="5"/>
      <c r="E310" s="5"/>
    </row>
    <row r="311" ht="15.75" customHeight="1">
      <c r="A311" s="8"/>
      <c r="C311" s="5"/>
      <c r="D311" s="5"/>
      <c r="E311" s="5"/>
    </row>
    <row r="312" ht="15.75" customHeight="1">
      <c r="A312" s="8"/>
      <c r="C312" s="5"/>
      <c r="D312" s="5"/>
      <c r="E312" s="5"/>
    </row>
    <row r="313" ht="15.75" customHeight="1">
      <c r="A313" s="8"/>
      <c r="C313" s="5"/>
      <c r="D313" s="5"/>
      <c r="E313" s="5"/>
    </row>
    <row r="314" ht="15.75" customHeight="1">
      <c r="A314" s="8"/>
      <c r="C314" s="5"/>
      <c r="D314" s="5"/>
      <c r="E314" s="5"/>
    </row>
    <row r="315" ht="15.75" customHeight="1">
      <c r="A315" s="8"/>
      <c r="C315" s="5"/>
      <c r="D315" s="5"/>
      <c r="E315" s="5"/>
    </row>
    <row r="316" ht="15.75" customHeight="1">
      <c r="A316" s="8"/>
      <c r="C316" s="5"/>
      <c r="D316" s="5"/>
      <c r="E316" s="5"/>
    </row>
    <row r="317" ht="15.75" customHeight="1">
      <c r="A317" s="8"/>
      <c r="C317" s="5"/>
      <c r="D317" s="5"/>
      <c r="E317" s="5"/>
    </row>
    <row r="318" ht="15.75" customHeight="1">
      <c r="A318" s="8"/>
      <c r="C318" s="5"/>
      <c r="D318" s="5"/>
      <c r="E318" s="5"/>
    </row>
    <row r="319" ht="15.75" customHeight="1">
      <c r="A319" s="8"/>
      <c r="C319" s="5"/>
      <c r="D319" s="5"/>
      <c r="E319" s="5"/>
    </row>
    <row r="320" ht="15.75" customHeight="1">
      <c r="A320" s="8"/>
      <c r="C320" s="5"/>
      <c r="D320" s="5"/>
      <c r="E320" s="5"/>
    </row>
    <row r="321" ht="15.75" customHeight="1">
      <c r="A321" s="8"/>
      <c r="C321" s="5"/>
      <c r="D321" s="5"/>
      <c r="E321" s="5"/>
    </row>
    <row r="322" ht="15.75" customHeight="1">
      <c r="A322" s="8"/>
      <c r="C322" s="5"/>
      <c r="D322" s="5"/>
      <c r="E322" s="5"/>
    </row>
    <row r="323" ht="15.75" customHeight="1">
      <c r="A323" s="8"/>
      <c r="C323" s="5"/>
      <c r="D323" s="5"/>
      <c r="E323" s="5"/>
    </row>
    <row r="324" ht="15.75" customHeight="1">
      <c r="A324" s="8"/>
      <c r="C324" s="5"/>
      <c r="D324" s="5"/>
      <c r="E324" s="5"/>
    </row>
    <row r="325" ht="15.75" customHeight="1">
      <c r="A325" s="8"/>
      <c r="C325" s="5"/>
      <c r="D325" s="5"/>
      <c r="E325" s="5"/>
    </row>
    <row r="326" ht="15.75" customHeight="1">
      <c r="A326" s="8"/>
      <c r="C326" s="5"/>
      <c r="D326" s="5"/>
      <c r="E326" s="5"/>
    </row>
    <row r="327" ht="15.75" customHeight="1">
      <c r="A327" s="8"/>
      <c r="C327" s="5"/>
      <c r="D327" s="5"/>
      <c r="E327" s="5"/>
    </row>
    <row r="328" ht="15.75" customHeight="1">
      <c r="A328" s="8"/>
      <c r="C328" s="5"/>
      <c r="D328" s="5"/>
      <c r="E328" s="5"/>
    </row>
    <row r="329" ht="15.75" customHeight="1">
      <c r="A329" s="8"/>
      <c r="C329" s="5"/>
      <c r="D329" s="5"/>
      <c r="E329" s="5"/>
    </row>
    <row r="330" ht="15.75" customHeight="1">
      <c r="A330" s="8"/>
      <c r="C330" s="5"/>
      <c r="D330" s="5"/>
      <c r="E330" s="5"/>
    </row>
    <row r="331" ht="15.75" customHeight="1">
      <c r="A331" s="8"/>
      <c r="C331" s="5"/>
      <c r="D331" s="5"/>
      <c r="E331" s="5"/>
    </row>
    <row r="332" ht="15.75" customHeight="1">
      <c r="A332" s="8"/>
      <c r="C332" s="5"/>
      <c r="D332" s="5"/>
      <c r="E332" s="5"/>
    </row>
    <row r="333" ht="15.75" customHeight="1">
      <c r="A333" s="8"/>
      <c r="C333" s="5"/>
      <c r="D333" s="5"/>
      <c r="E333" s="5"/>
    </row>
    <row r="334" ht="15.75" customHeight="1">
      <c r="A334" s="8"/>
      <c r="C334" s="5"/>
      <c r="D334" s="5"/>
      <c r="E334" s="5"/>
    </row>
    <row r="335" ht="15.75" customHeight="1">
      <c r="A335" s="8"/>
      <c r="C335" s="5"/>
      <c r="D335" s="5"/>
      <c r="E335" s="5"/>
    </row>
    <row r="336" ht="15.75" customHeight="1">
      <c r="A336" s="8"/>
      <c r="C336" s="5"/>
      <c r="D336" s="5"/>
      <c r="E336" s="5"/>
    </row>
    <row r="337" ht="15.75" customHeight="1">
      <c r="A337" s="8"/>
      <c r="C337" s="5"/>
      <c r="D337" s="5"/>
      <c r="E337" s="5"/>
    </row>
    <row r="338" ht="15.75" customHeight="1">
      <c r="A338" s="8"/>
      <c r="C338" s="5"/>
      <c r="D338" s="5"/>
      <c r="E338" s="5"/>
    </row>
    <row r="339" ht="15.75" customHeight="1">
      <c r="A339" s="8"/>
      <c r="C339" s="5"/>
      <c r="D339" s="5"/>
      <c r="E339" s="5"/>
    </row>
    <row r="340" ht="15.75" customHeight="1">
      <c r="A340" s="8"/>
      <c r="C340" s="5"/>
      <c r="D340" s="5"/>
      <c r="E340" s="5"/>
    </row>
    <row r="341" ht="15.75" customHeight="1">
      <c r="A341" s="8"/>
      <c r="C341" s="5"/>
      <c r="D341" s="5"/>
      <c r="E341" s="5"/>
    </row>
    <row r="342" ht="15.75" customHeight="1">
      <c r="A342" s="8"/>
      <c r="C342" s="5"/>
      <c r="D342" s="5"/>
      <c r="E342" s="5"/>
    </row>
    <row r="343" ht="15.75" customHeight="1">
      <c r="A343" s="8"/>
      <c r="C343" s="5"/>
      <c r="D343" s="5"/>
      <c r="E343" s="5"/>
    </row>
    <row r="344" ht="15.75" customHeight="1">
      <c r="A344" s="8"/>
      <c r="C344" s="5"/>
      <c r="D344" s="5"/>
      <c r="E344" s="5"/>
    </row>
    <row r="345" ht="15.75" customHeight="1">
      <c r="A345" s="8"/>
      <c r="C345" s="5"/>
      <c r="D345" s="5"/>
      <c r="E345" s="5"/>
    </row>
    <row r="346" ht="15.75" customHeight="1">
      <c r="A346" s="8"/>
      <c r="C346" s="5"/>
      <c r="D346" s="5"/>
      <c r="E346" s="5"/>
    </row>
    <row r="347" ht="15.75" customHeight="1">
      <c r="A347" s="8"/>
      <c r="C347" s="5"/>
      <c r="D347" s="5"/>
      <c r="E347" s="5"/>
    </row>
    <row r="348" ht="15.75" customHeight="1">
      <c r="A348" s="8"/>
      <c r="C348" s="5"/>
      <c r="D348" s="5"/>
      <c r="E348" s="5"/>
    </row>
    <row r="349" ht="15.75" customHeight="1">
      <c r="A349" s="8"/>
      <c r="C349" s="5"/>
      <c r="D349" s="5"/>
      <c r="E349" s="5"/>
    </row>
    <row r="350" ht="15.75" customHeight="1">
      <c r="A350" s="8"/>
      <c r="C350" s="5"/>
      <c r="D350" s="5"/>
      <c r="E350" s="5"/>
    </row>
    <row r="351" ht="15.75" customHeight="1">
      <c r="A351" s="8"/>
      <c r="C351" s="5"/>
      <c r="D351" s="5"/>
      <c r="E351" s="5"/>
    </row>
    <row r="352" ht="15.75" customHeight="1">
      <c r="A352" s="8"/>
      <c r="C352" s="5"/>
      <c r="D352" s="5"/>
      <c r="E352" s="5"/>
    </row>
    <row r="353" ht="15.75" customHeight="1">
      <c r="A353" s="8"/>
      <c r="C353" s="5"/>
      <c r="D353" s="5"/>
      <c r="E353" s="5"/>
    </row>
    <row r="354" ht="15.75" customHeight="1">
      <c r="A354" s="8"/>
      <c r="C354" s="5"/>
      <c r="D354" s="5"/>
      <c r="E354" s="5"/>
    </row>
    <row r="355" ht="15.75" customHeight="1">
      <c r="A355" s="8"/>
      <c r="C355" s="5"/>
      <c r="D355" s="5"/>
      <c r="E355" s="5"/>
    </row>
    <row r="356" ht="15.75" customHeight="1">
      <c r="A356" s="8"/>
      <c r="C356" s="5"/>
      <c r="D356" s="5"/>
      <c r="E356" s="5"/>
    </row>
    <row r="357" ht="15.75" customHeight="1">
      <c r="A357" s="8"/>
      <c r="C357" s="5"/>
      <c r="D357" s="5"/>
      <c r="E357" s="5"/>
    </row>
    <row r="358" ht="15.75" customHeight="1">
      <c r="A358" s="8"/>
      <c r="C358" s="5"/>
      <c r="D358" s="5"/>
      <c r="E358" s="5"/>
    </row>
    <row r="359" ht="15.75" customHeight="1">
      <c r="A359" s="8"/>
      <c r="C359" s="5"/>
      <c r="D359" s="5"/>
      <c r="E359" s="5"/>
    </row>
    <row r="360" ht="15.75" customHeight="1">
      <c r="A360" s="8"/>
      <c r="C360" s="5"/>
      <c r="D360" s="5"/>
      <c r="E360" s="5"/>
    </row>
    <row r="361" ht="15.75" customHeight="1">
      <c r="A361" s="8"/>
      <c r="C361" s="5"/>
      <c r="D361" s="5"/>
      <c r="E361" s="5"/>
    </row>
    <row r="362" ht="15.75" customHeight="1">
      <c r="A362" s="8"/>
      <c r="C362" s="5"/>
      <c r="D362" s="5"/>
      <c r="E362" s="5"/>
    </row>
    <row r="363" ht="15.75" customHeight="1">
      <c r="A363" s="8"/>
      <c r="C363" s="5"/>
      <c r="D363" s="5"/>
      <c r="E363" s="5"/>
    </row>
    <row r="364" ht="15.75" customHeight="1">
      <c r="A364" s="8"/>
      <c r="C364" s="5"/>
      <c r="D364" s="5"/>
      <c r="E364" s="5"/>
    </row>
    <row r="365" ht="15.75" customHeight="1">
      <c r="A365" s="8"/>
      <c r="C365" s="5"/>
      <c r="D365" s="5"/>
      <c r="E365" s="5"/>
    </row>
    <row r="366" ht="15.75" customHeight="1">
      <c r="A366" s="8"/>
      <c r="C366" s="5"/>
      <c r="D366" s="5"/>
      <c r="E366" s="5"/>
    </row>
    <row r="367" ht="15.75" customHeight="1">
      <c r="A367" s="8"/>
      <c r="C367" s="5"/>
      <c r="D367" s="5"/>
      <c r="E367" s="5"/>
    </row>
    <row r="368" ht="15.75" customHeight="1">
      <c r="A368" s="8"/>
      <c r="C368" s="5"/>
      <c r="D368" s="5"/>
      <c r="E368" s="5"/>
    </row>
    <row r="369" ht="15.75" customHeight="1">
      <c r="A369" s="8"/>
      <c r="C369" s="5"/>
      <c r="D369" s="5"/>
      <c r="E369" s="5"/>
    </row>
    <row r="370" ht="15.75" customHeight="1">
      <c r="A370" s="8"/>
      <c r="C370" s="5"/>
      <c r="D370" s="5"/>
      <c r="E370" s="5"/>
    </row>
    <row r="371" ht="15.75" customHeight="1">
      <c r="A371" s="8"/>
      <c r="C371" s="5"/>
      <c r="D371" s="5"/>
      <c r="E371" s="5"/>
    </row>
    <row r="372" ht="15.75" customHeight="1">
      <c r="A372" s="8"/>
      <c r="C372" s="5"/>
      <c r="D372" s="5"/>
      <c r="E372" s="5"/>
    </row>
    <row r="373" ht="15.75" customHeight="1">
      <c r="A373" s="8"/>
      <c r="C373" s="5"/>
      <c r="D373" s="5"/>
      <c r="E373" s="5"/>
    </row>
    <row r="374" ht="15.75" customHeight="1">
      <c r="A374" s="8"/>
      <c r="C374" s="5"/>
      <c r="D374" s="5"/>
      <c r="E374" s="5"/>
    </row>
    <row r="375" ht="15.75" customHeight="1">
      <c r="A375" s="8"/>
      <c r="C375" s="5"/>
      <c r="D375" s="5"/>
      <c r="E375" s="5"/>
    </row>
    <row r="376" ht="15.75" customHeight="1">
      <c r="A376" s="8"/>
      <c r="C376" s="5"/>
      <c r="D376" s="5"/>
      <c r="E376" s="5"/>
    </row>
    <row r="377" ht="15.75" customHeight="1">
      <c r="A377" s="8"/>
      <c r="C377" s="5"/>
      <c r="D377" s="5"/>
      <c r="E377" s="5"/>
    </row>
    <row r="378" ht="15.75" customHeight="1">
      <c r="A378" s="8"/>
      <c r="C378" s="5"/>
      <c r="D378" s="5"/>
      <c r="E378" s="5"/>
    </row>
    <row r="379" ht="15.75" customHeight="1">
      <c r="A379" s="8"/>
      <c r="C379" s="5"/>
      <c r="D379" s="5"/>
      <c r="E379" s="5"/>
    </row>
    <row r="380" ht="15.75" customHeight="1">
      <c r="A380" s="8"/>
      <c r="C380" s="5"/>
      <c r="D380" s="5"/>
      <c r="E380" s="5"/>
    </row>
    <row r="381" ht="15.75" customHeight="1">
      <c r="A381" s="8"/>
      <c r="C381" s="5"/>
      <c r="D381" s="5"/>
      <c r="E381" s="5"/>
    </row>
    <row r="382" ht="15.75" customHeight="1">
      <c r="A382" s="8"/>
      <c r="C382" s="5"/>
      <c r="D382" s="5"/>
      <c r="E382" s="5"/>
    </row>
    <row r="383" ht="15.75" customHeight="1">
      <c r="A383" s="8"/>
      <c r="C383" s="5"/>
      <c r="D383" s="5"/>
      <c r="E383" s="5"/>
    </row>
    <row r="384" ht="15.75" customHeight="1">
      <c r="A384" s="8"/>
      <c r="C384" s="5"/>
      <c r="D384" s="5"/>
      <c r="E384" s="5"/>
    </row>
    <row r="385" ht="15.75" customHeight="1">
      <c r="A385" s="8"/>
      <c r="C385" s="5"/>
      <c r="D385" s="5"/>
      <c r="E385" s="5"/>
    </row>
    <row r="386" ht="15.75" customHeight="1">
      <c r="A386" s="8"/>
      <c r="C386" s="5"/>
      <c r="D386" s="5"/>
      <c r="E386" s="5"/>
    </row>
    <row r="387" ht="15.75" customHeight="1">
      <c r="A387" s="8"/>
      <c r="C387" s="5"/>
      <c r="D387" s="5"/>
      <c r="E387" s="5"/>
    </row>
    <row r="388" ht="15.75" customHeight="1">
      <c r="A388" s="8"/>
      <c r="C388" s="5"/>
      <c r="D388" s="5"/>
      <c r="E388" s="5"/>
    </row>
    <row r="389" ht="15.75" customHeight="1">
      <c r="A389" s="8"/>
      <c r="C389" s="5"/>
      <c r="D389" s="5"/>
      <c r="E389" s="5"/>
    </row>
    <row r="390" ht="15.75" customHeight="1">
      <c r="A390" s="8"/>
      <c r="C390" s="5"/>
      <c r="D390" s="5"/>
      <c r="E390" s="5"/>
    </row>
    <row r="391" ht="15.75" customHeight="1">
      <c r="A391" s="8"/>
      <c r="C391" s="5"/>
      <c r="D391" s="5"/>
      <c r="E391" s="5"/>
    </row>
    <row r="392" ht="15.75" customHeight="1">
      <c r="A392" s="8"/>
      <c r="C392" s="5"/>
      <c r="D392" s="5"/>
      <c r="E392" s="5"/>
    </row>
    <row r="393" ht="15.75" customHeight="1">
      <c r="A393" s="8"/>
      <c r="C393" s="5"/>
      <c r="D393" s="5"/>
      <c r="E393" s="5"/>
    </row>
    <row r="394" ht="15.75" customHeight="1">
      <c r="A394" s="8"/>
      <c r="C394" s="5"/>
      <c r="D394" s="5"/>
      <c r="E394" s="5"/>
    </row>
    <row r="395" ht="15.75" customHeight="1">
      <c r="A395" s="8"/>
      <c r="C395" s="5"/>
      <c r="D395" s="5"/>
      <c r="E395" s="5"/>
    </row>
    <row r="396" ht="15.75" customHeight="1">
      <c r="A396" s="8"/>
      <c r="C396" s="5"/>
      <c r="D396" s="5"/>
      <c r="E396" s="5"/>
    </row>
    <row r="397" ht="15.75" customHeight="1">
      <c r="A397" s="8"/>
      <c r="C397" s="5"/>
      <c r="D397" s="5"/>
      <c r="E397" s="5"/>
    </row>
    <row r="398" ht="15.75" customHeight="1">
      <c r="A398" s="8"/>
      <c r="C398" s="5"/>
      <c r="D398" s="5"/>
      <c r="E398" s="5"/>
    </row>
    <row r="399" ht="15.75" customHeight="1">
      <c r="A399" s="8"/>
      <c r="C399" s="5"/>
      <c r="D399" s="5"/>
      <c r="E399" s="5"/>
    </row>
    <row r="400" ht="15.75" customHeight="1">
      <c r="A400" s="8"/>
      <c r="C400" s="5"/>
      <c r="D400" s="5"/>
      <c r="E400" s="5"/>
    </row>
    <row r="401" ht="15.75" customHeight="1">
      <c r="A401" s="8"/>
      <c r="C401" s="5"/>
      <c r="D401" s="5"/>
      <c r="E401" s="5"/>
    </row>
    <row r="402" ht="15.75" customHeight="1">
      <c r="A402" s="8"/>
      <c r="C402" s="5"/>
      <c r="D402" s="5"/>
      <c r="E402" s="5"/>
    </row>
    <row r="403" ht="15.75" customHeight="1">
      <c r="A403" s="8"/>
      <c r="C403" s="5"/>
      <c r="D403" s="5"/>
      <c r="E403" s="5"/>
    </row>
    <row r="404" ht="15.75" customHeight="1">
      <c r="A404" s="8"/>
      <c r="C404" s="5"/>
      <c r="D404" s="5"/>
      <c r="E404" s="5"/>
    </row>
    <row r="405" ht="15.75" customHeight="1">
      <c r="A405" s="8"/>
      <c r="C405" s="5"/>
      <c r="D405" s="5"/>
      <c r="E405" s="5"/>
    </row>
    <row r="406" ht="15.75" customHeight="1">
      <c r="A406" s="8"/>
      <c r="C406" s="5"/>
      <c r="D406" s="5"/>
      <c r="E406" s="5"/>
    </row>
    <row r="407" ht="15.75" customHeight="1">
      <c r="A407" s="8"/>
      <c r="C407" s="5"/>
      <c r="D407" s="5"/>
      <c r="E407" s="5"/>
    </row>
    <row r="408" ht="15.75" customHeight="1">
      <c r="A408" s="8"/>
      <c r="C408" s="5"/>
      <c r="D408" s="5"/>
      <c r="E408" s="5"/>
    </row>
    <row r="409" ht="15.75" customHeight="1">
      <c r="A409" s="8"/>
      <c r="C409" s="5"/>
      <c r="D409" s="5"/>
      <c r="E409" s="5"/>
    </row>
    <row r="410" ht="15.75" customHeight="1">
      <c r="A410" s="8"/>
      <c r="C410" s="5"/>
      <c r="D410" s="5"/>
      <c r="E410" s="5"/>
    </row>
    <row r="411" ht="15.75" customHeight="1">
      <c r="A411" s="8"/>
      <c r="C411" s="5"/>
      <c r="D411" s="5"/>
      <c r="E411" s="5"/>
    </row>
    <row r="412" ht="15.75" customHeight="1">
      <c r="A412" s="8"/>
      <c r="C412" s="5"/>
      <c r="D412" s="5"/>
      <c r="E412" s="5"/>
    </row>
    <row r="413" ht="15.75" customHeight="1">
      <c r="A413" s="8"/>
      <c r="C413" s="5"/>
      <c r="D413" s="5"/>
      <c r="E413" s="5"/>
    </row>
    <row r="414" ht="15.75" customHeight="1">
      <c r="A414" s="8"/>
      <c r="C414" s="5"/>
      <c r="D414" s="5"/>
      <c r="E414" s="5"/>
    </row>
    <row r="415" ht="15.75" customHeight="1">
      <c r="A415" s="8"/>
      <c r="C415" s="5"/>
      <c r="D415" s="5"/>
      <c r="E415" s="5"/>
    </row>
    <row r="416" ht="15.75" customHeight="1">
      <c r="A416" s="8"/>
      <c r="C416" s="5"/>
      <c r="D416" s="5"/>
      <c r="E416" s="5"/>
    </row>
    <row r="417" ht="15.75" customHeight="1">
      <c r="A417" s="8"/>
      <c r="C417" s="5"/>
      <c r="D417" s="5"/>
      <c r="E417" s="5"/>
    </row>
    <row r="418" ht="15.75" customHeight="1">
      <c r="A418" s="8"/>
      <c r="C418" s="5"/>
      <c r="D418" s="5"/>
      <c r="E418" s="5"/>
    </row>
    <row r="419" ht="15.75" customHeight="1">
      <c r="A419" s="8"/>
      <c r="C419" s="5"/>
      <c r="D419" s="5"/>
      <c r="E419" s="5"/>
    </row>
    <row r="420" ht="15.75" customHeight="1">
      <c r="A420" s="8"/>
      <c r="C420" s="5"/>
      <c r="D420" s="5"/>
      <c r="E420" s="5"/>
    </row>
    <row r="421" ht="15.75" customHeight="1">
      <c r="A421" s="8"/>
      <c r="C421" s="5"/>
      <c r="D421" s="5"/>
      <c r="E421" s="5"/>
    </row>
    <row r="422" ht="15.75" customHeight="1">
      <c r="A422" s="8"/>
      <c r="C422" s="5"/>
      <c r="D422" s="5"/>
      <c r="E422" s="5"/>
    </row>
    <row r="423" ht="15.75" customHeight="1">
      <c r="A423" s="8"/>
      <c r="C423" s="5"/>
      <c r="D423" s="5"/>
      <c r="E423" s="5"/>
    </row>
    <row r="424" ht="15.75" customHeight="1">
      <c r="A424" s="8"/>
      <c r="C424" s="5"/>
      <c r="D424" s="5"/>
      <c r="E424" s="5"/>
    </row>
    <row r="425" ht="15.75" customHeight="1">
      <c r="A425" s="8"/>
      <c r="C425" s="5"/>
      <c r="D425" s="5"/>
      <c r="E425" s="5"/>
    </row>
    <row r="426" ht="15.75" customHeight="1">
      <c r="A426" s="8"/>
      <c r="C426" s="5"/>
      <c r="D426" s="5"/>
      <c r="E426" s="5"/>
    </row>
    <row r="427" ht="15.75" customHeight="1">
      <c r="A427" s="8"/>
      <c r="C427" s="5"/>
      <c r="D427" s="5"/>
      <c r="E427" s="5"/>
    </row>
    <row r="428" ht="15.75" customHeight="1">
      <c r="A428" s="8"/>
      <c r="C428" s="5"/>
      <c r="D428" s="5"/>
      <c r="E428" s="5"/>
    </row>
    <row r="429" ht="15.75" customHeight="1">
      <c r="A429" s="8"/>
      <c r="C429" s="5"/>
      <c r="D429" s="5"/>
      <c r="E429" s="5"/>
    </row>
    <row r="430" ht="15.75" customHeight="1">
      <c r="A430" s="8"/>
      <c r="C430" s="5"/>
      <c r="D430" s="5"/>
      <c r="E430" s="5"/>
    </row>
    <row r="431" ht="15.75" customHeight="1">
      <c r="A431" s="8"/>
      <c r="C431" s="5"/>
      <c r="D431" s="5"/>
      <c r="E431" s="5"/>
    </row>
    <row r="432" ht="15.75" customHeight="1">
      <c r="A432" s="8"/>
      <c r="C432" s="5"/>
      <c r="D432" s="5"/>
      <c r="E432" s="5"/>
    </row>
    <row r="433" ht="15.75" customHeight="1">
      <c r="A433" s="8"/>
      <c r="C433" s="5"/>
      <c r="D433" s="5"/>
      <c r="E433" s="5"/>
    </row>
    <row r="434" ht="15.75" customHeight="1">
      <c r="A434" s="8"/>
      <c r="C434" s="5"/>
      <c r="D434" s="5"/>
      <c r="E434" s="5"/>
    </row>
    <row r="435" ht="15.75" customHeight="1">
      <c r="A435" s="8"/>
      <c r="C435" s="5"/>
      <c r="D435" s="5"/>
      <c r="E435" s="5"/>
    </row>
    <row r="436" ht="15.75" customHeight="1">
      <c r="A436" s="8"/>
      <c r="C436" s="5"/>
      <c r="D436" s="5"/>
      <c r="E436" s="5"/>
    </row>
    <row r="437" ht="15.75" customHeight="1">
      <c r="A437" s="8"/>
      <c r="C437" s="5"/>
      <c r="D437" s="5"/>
      <c r="E437" s="5"/>
    </row>
    <row r="438" ht="15.75" customHeight="1">
      <c r="A438" s="8"/>
      <c r="C438" s="5"/>
      <c r="D438" s="5"/>
      <c r="E438" s="5"/>
    </row>
    <row r="439" ht="15.75" customHeight="1">
      <c r="A439" s="8"/>
      <c r="C439" s="5"/>
      <c r="D439" s="5"/>
      <c r="E439" s="5"/>
    </row>
    <row r="440" ht="15.75" customHeight="1">
      <c r="A440" s="8"/>
      <c r="C440" s="5"/>
      <c r="D440" s="5"/>
      <c r="E440" s="5"/>
    </row>
    <row r="441" ht="15.75" customHeight="1">
      <c r="A441" s="8"/>
      <c r="C441" s="5"/>
      <c r="D441" s="5"/>
      <c r="E441" s="5"/>
    </row>
    <row r="442" ht="15.75" customHeight="1">
      <c r="A442" s="8"/>
      <c r="C442" s="5"/>
      <c r="D442" s="5"/>
      <c r="E442" s="5"/>
    </row>
    <row r="443" ht="15.75" customHeight="1">
      <c r="A443" s="8"/>
      <c r="C443" s="5"/>
      <c r="D443" s="5"/>
      <c r="E443" s="5"/>
    </row>
    <row r="444" ht="15.75" customHeight="1">
      <c r="A444" s="8"/>
      <c r="C444" s="5"/>
      <c r="D444" s="5"/>
      <c r="E444" s="5"/>
    </row>
    <row r="445" ht="15.75" customHeight="1">
      <c r="A445" s="8"/>
      <c r="C445" s="5"/>
      <c r="D445" s="5"/>
      <c r="E445" s="5"/>
    </row>
    <row r="446" ht="15.75" customHeight="1">
      <c r="A446" s="8"/>
      <c r="C446" s="5"/>
      <c r="D446" s="5"/>
      <c r="E446" s="5"/>
    </row>
    <row r="447" ht="15.75" customHeight="1">
      <c r="A447" s="8"/>
      <c r="C447" s="5"/>
      <c r="D447" s="5"/>
      <c r="E447" s="5"/>
    </row>
    <row r="448" ht="15.75" customHeight="1">
      <c r="A448" s="8"/>
      <c r="C448" s="5"/>
      <c r="D448" s="5"/>
      <c r="E448" s="5"/>
    </row>
    <row r="449" ht="15.75" customHeight="1">
      <c r="A449" s="8"/>
      <c r="C449" s="5"/>
      <c r="D449" s="5"/>
      <c r="E449" s="5"/>
    </row>
    <row r="450" ht="15.75" customHeight="1">
      <c r="A450" s="8"/>
      <c r="C450" s="5"/>
      <c r="D450" s="5"/>
      <c r="E450" s="5"/>
    </row>
    <row r="451" ht="15.75" customHeight="1">
      <c r="A451" s="8"/>
      <c r="C451" s="5"/>
      <c r="D451" s="5"/>
      <c r="E451" s="5"/>
    </row>
    <row r="452" ht="15.75" customHeight="1">
      <c r="A452" s="8"/>
      <c r="C452" s="5"/>
      <c r="D452" s="5"/>
      <c r="E452" s="5"/>
    </row>
    <row r="453" ht="15.75" customHeight="1">
      <c r="A453" s="8"/>
      <c r="C453" s="5"/>
      <c r="D453" s="5"/>
      <c r="E453" s="5"/>
    </row>
    <row r="454" ht="15.75" customHeight="1">
      <c r="A454" s="8"/>
      <c r="C454" s="5"/>
      <c r="D454" s="5"/>
      <c r="E454" s="5"/>
    </row>
    <row r="455" ht="15.75" customHeight="1">
      <c r="A455" s="8"/>
      <c r="C455" s="5"/>
      <c r="D455" s="5"/>
      <c r="E455" s="5"/>
    </row>
    <row r="456" ht="15.75" customHeight="1">
      <c r="A456" s="8"/>
      <c r="C456" s="5"/>
      <c r="D456" s="5"/>
      <c r="E456" s="5"/>
    </row>
    <row r="457" ht="15.75" customHeight="1">
      <c r="A457" s="8"/>
      <c r="C457" s="5"/>
      <c r="D457" s="5"/>
      <c r="E457" s="5"/>
    </row>
    <row r="458" ht="15.75" customHeight="1">
      <c r="A458" s="8"/>
      <c r="C458" s="5"/>
      <c r="D458" s="5"/>
      <c r="E458" s="5"/>
    </row>
    <row r="459" ht="15.75" customHeight="1">
      <c r="A459" s="8"/>
      <c r="C459" s="5"/>
      <c r="D459" s="5"/>
      <c r="E459" s="5"/>
    </row>
    <row r="460" ht="15.75" customHeight="1">
      <c r="A460" s="8"/>
      <c r="C460" s="5"/>
      <c r="D460" s="5"/>
      <c r="E460" s="5"/>
    </row>
    <row r="461" ht="15.75" customHeight="1">
      <c r="A461" s="8"/>
      <c r="C461" s="5"/>
      <c r="D461" s="5"/>
      <c r="E461" s="5"/>
    </row>
    <row r="462" ht="15.75" customHeight="1">
      <c r="A462" s="8"/>
      <c r="C462" s="5"/>
      <c r="D462" s="5"/>
      <c r="E462" s="5"/>
    </row>
    <row r="463" ht="15.75" customHeight="1">
      <c r="A463" s="8"/>
      <c r="C463" s="5"/>
      <c r="D463" s="5"/>
      <c r="E463" s="5"/>
    </row>
    <row r="464" ht="15.75" customHeight="1">
      <c r="A464" s="8"/>
      <c r="C464" s="5"/>
      <c r="D464" s="5"/>
      <c r="E464" s="5"/>
    </row>
    <row r="465" ht="15.75" customHeight="1">
      <c r="A465" s="8"/>
      <c r="C465" s="5"/>
      <c r="D465" s="5"/>
      <c r="E465" s="5"/>
    </row>
    <row r="466" ht="15.75" customHeight="1">
      <c r="A466" s="8"/>
      <c r="C466" s="5"/>
      <c r="D466" s="5"/>
      <c r="E466" s="5"/>
    </row>
    <row r="467" ht="15.75" customHeight="1">
      <c r="A467" s="8"/>
      <c r="C467" s="5"/>
      <c r="D467" s="5"/>
      <c r="E467" s="5"/>
    </row>
    <row r="468" ht="15.75" customHeight="1">
      <c r="A468" s="8"/>
      <c r="C468" s="5"/>
      <c r="D468" s="5"/>
      <c r="E468" s="5"/>
    </row>
    <row r="469" ht="15.75" customHeight="1">
      <c r="A469" s="8"/>
      <c r="C469" s="5"/>
      <c r="D469" s="5"/>
      <c r="E469" s="5"/>
    </row>
    <row r="470" ht="15.75" customHeight="1">
      <c r="A470" s="8"/>
      <c r="C470" s="5"/>
      <c r="D470" s="5"/>
      <c r="E470" s="5"/>
    </row>
    <row r="471" ht="15.75" customHeight="1">
      <c r="A471" s="8"/>
      <c r="C471" s="5"/>
      <c r="D471" s="5"/>
      <c r="E471" s="5"/>
    </row>
    <row r="472" ht="15.75" customHeight="1">
      <c r="A472" s="8"/>
      <c r="C472" s="5"/>
      <c r="D472" s="5"/>
      <c r="E472" s="5"/>
    </row>
    <row r="473" ht="15.75" customHeight="1">
      <c r="A473" s="8"/>
      <c r="C473" s="5"/>
      <c r="D473" s="5"/>
      <c r="E473" s="5"/>
    </row>
    <row r="474" ht="15.75" customHeight="1">
      <c r="A474" s="8"/>
      <c r="C474" s="5"/>
      <c r="D474" s="5"/>
      <c r="E474" s="5"/>
    </row>
    <row r="475" ht="15.75" customHeight="1">
      <c r="A475" s="8"/>
      <c r="C475" s="5"/>
      <c r="D475" s="5"/>
      <c r="E475" s="5"/>
    </row>
    <row r="476" ht="15.75" customHeight="1">
      <c r="A476" s="8"/>
      <c r="C476" s="5"/>
      <c r="D476" s="5"/>
      <c r="E476" s="5"/>
    </row>
    <row r="477" ht="15.75" customHeight="1">
      <c r="A477" s="8"/>
      <c r="C477" s="5"/>
      <c r="D477" s="5"/>
      <c r="E477" s="5"/>
    </row>
    <row r="478" ht="15.75" customHeight="1">
      <c r="A478" s="8"/>
      <c r="C478" s="5"/>
      <c r="D478" s="5"/>
      <c r="E478" s="5"/>
    </row>
    <row r="479" ht="15.75" customHeight="1">
      <c r="A479" s="8"/>
      <c r="C479" s="5"/>
      <c r="D479" s="5"/>
      <c r="E479" s="5"/>
    </row>
    <row r="480" ht="15.75" customHeight="1">
      <c r="A480" s="8"/>
      <c r="C480" s="5"/>
      <c r="D480" s="5"/>
      <c r="E480" s="5"/>
    </row>
    <row r="481" ht="15.75" customHeight="1">
      <c r="A481" s="8"/>
      <c r="C481" s="5"/>
      <c r="D481" s="5"/>
      <c r="E481" s="5"/>
    </row>
    <row r="482" ht="15.75" customHeight="1">
      <c r="A482" s="8"/>
      <c r="C482" s="5"/>
      <c r="D482" s="5"/>
      <c r="E482" s="5"/>
    </row>
    <row r="483" ht="15.75" customHeight="1">
      <c r="A483" s="8"/>
      <c r="C483" s="5"/>
      <c r="D483" s="5"/>
      <c r="E483" s="5"/>
    </row>
    <row r="484" ht="15.75" customHeight="1">
      <c r="A484" s="8"/>
      <c r="C484" s="5"/>
      <c r="D484" s="5"/>
      <c r="E484" s="5"/>
    </row>
    <row r="485" ht="15.75" customHeight="1">
      <c r="A485" s="8"/>
      <c r="C485" s="5"/>
      <c r="D485" s="5"/>
      <c r="E485" s="5"/>
    </row>
    <row r="486" ht="15.75" customHeight="1">
      <c r="A486" s="8"/>
      <c r="C486" s="5"/>
      <c r="D486" s="5"/>
      <c r="E486" s="5"/>
    </row>
    <row r="487" ht="15.75" customHeight="1">
      <c r="A487" s="8"/>
      <c r="C487" s="5"/>
      <c r="D487" s="5"/>
      <c r="E487" s="5"/>
    </row>
    <row r="488" ht="15.75" customHeight="1">
      <c r="A488" s="8"/>
      <c r="C488" s="5"/>
      <c r="D488" s="5"/>
      <c r="E488" s="5"/>
    </row>
    <row r="489" ht="15.75" customHeight="1">
      <c r="A489" s="8"/>
      <c r="C489" s="5"/>
      <c r="D489" s="5"/>
      <c r="E489" s="5"/>
    </row>
    <row r="490" ht="15.75" customHeight="1">
      <c r="A490" s="8"/>
      <c r="C490" s="5"/>
      <c r="D490" s="5"/>
      <c r="E490" s="5"/>
    </row>
    <row r="491" ht="15.75" customHeight="1">
      <c r="A491" s="8"/>
      <c r="C491" s="5"/>
      <c r="D491" s="5"/>
      <c r="E491" s="5"/>
    </row>
    <row r="492" ht="15.75" customHeight="1">
      <c r="A492" s="8"/>
      <c r="C492" s="5"/>
      <c r="D492" s="5"/>
      <c r="E492" s="5"/>
    </row>
    <row r="493" ht="15.75" customHeight="1">
      <c r="A493" s="8"/>
      <c r="C493" s="5"/>
      <c r="D493" s="5"/>
      <c r="E493" s="5"/>
    </row>
    <row r="494" ht="15.75" customHeight="1">
      <c r="A494" s="8"/>
      <c r="C494" s="5"/>
      <c r="D494" s="5"/>
      <c r="E494" s="5"/>
    </row>
    <row r="495" ht="15.75" customHeight="1">
      <c r="A495" s="8"/>
      <c r="C495" s="5"/>
      <c r="D495" s="5"/>
      <c r="E495" s="5"/>
    </row>
    <row r="496" ht="15.75" customHeight="1">
      <c r="A496" s="8"/>
      <c r="C496" s="5"/>
      <c r="D496" s="5"/>
      <c r="E496" s="5"/>
    </row>
    <row r="497" ht="15.75" customHeight="1">
      <c r="A497" s="8"/>
      <c r="C497" s="5"/>
      <c r="D497" s="5"/>
      <c r="E497" s="5"/>
    </row>
    <row r="498" ht="15.75" customHeight="1">
      <c r="A498" s="8"/>
      <c r="C498" s="5"/>
      <c r="D498" s="5"/>
      <c r="E498" s="5"/>
    </row>
    <row r="499" ht="15.75" customHeight="1">
      <c r="A499" s="8"/>
      <c r="C499" s="5"/>
      <c r="D499" s="5"/>
      <c r="E499" s="5"/>
    </row>
    <row r="500" ht="15.75" customHeight="1">
      <c r="A500" s="8"/>
      <c r="C500" s="5"/>
      <c r="D500" s="5"/>
      <c r="E500" s="5"/>
    </row>
    <row r="501" ht="15.75" customHeight="1">
      <c r="A501" s="8"/>
      <c r="C501" s="5"/>
      <c r="D501" s="5"/>
      <c r="E501" s="5"/>
    </row>
    <row r="502" ht="15.75" customHeight="1">
      <c r="A502" s="8"/>
      <c r="C502" s="5"/>
      <c r="D502" s="5"/>
      <c r="E502" s="5"/>
    </row>
    <row r="503" ht="15.75" customHeight="1">
      <c r="A503" s="8"/>
      <c r="C503" s="5"/>
      <c r="D503" s="5"/>
      <c r="E503" s="5"/>
    </row>
    <row r="504" ht="15.75" customHeight="1">
      <c r="A504" s="8"/>
      <c r="C504" s="5"/>
      <c r="D504" s="5"/>
      <c r="E504" s="5"/>
    </row>
    <row r="505" ht="15.75" customHeight="1">
      <c r="A505" s="8"/>
      <c r="C505" s="5"/>
      <c r="D505" s="5"/>
      <c r="E505" s="5"/>
    </row>
    <row r="506" ht="15.75" customHeight="1">
      <c r="A506" s="8"/>
      <c r="C506" s="5"/>
      <c r="D506" s="5"/>
      <c r="E506" s="5"/>
    </row>
    <row r="507" ht="15.75" customHeight="1">
      <c r="A507" s="8"/>
      <c r="C507" s="5"/>
      <c r="D507" s="5"/>
      <c r="E507" s="5"/>
    </row>
    <row r="508" ht="15.75" customHeight="1">
      <c r="A508" s="8"/>
      <c r="C508" s="5"/>
      <c r="D508" s="5"/>
      <c r="E508" s="5"/>
    </row>
    <row r="509" ht="15.75" customHeight="1">
      <c r="A509" s="8"/>
      <c r="C509" s="5"/>
      <c r="D509" s="5"/>
      <c r="E509" s="5"/>
    </row>
    <row r="510" ht="15.75" customHeight="1">
      <c r="A510" s="8"/>
      <c r="C510" s="5"/>
      <c r="D510" s="5"/>
      <c r="E510" s="5"/>
    </row>
    <row r="511" ht="15.75" customHeight="1">
      <c r="A511" s="8"/>
      <c r="C511" s="5"/>
      <c r="D511" s="5"/>
      <c r="E511" s="5"/>
    </row>
    <row r="512" ht="15.75" customHeight="1">
      <c r="A512" s="8"/>
      <c r="C512" s="5"/>
      <c r="D512" s="5"/>
      <c r="E512" s="5"/>
    </row>
    <row r="513" ht="15.75" customHeight="1">
      <c r="A513" s="8"/>
      <c r="C513" s="5"/>
      <c r="D513" s="5"/>
      <c r="E513" s="5"/>
    </row>
    <row r="514" ht="15.75" customHeight="1">
      <c r="A514" s="8"/>
      <c r="C514" s="5"/>
      <c r="D514" s="5"/>
      <c r="E514" s="5"/>
    </row>
    <row r="515" ht="15.75" customHeight="1">
      <c r="A515" s="8"/>
      <c r="C515" s="5"/>
      <c r="D515" s="5"/>
      <c r="E515" s="5"/>
    </row>
    <row r="516" ht="15.75" customHeight="1">
      <c r="A516" s="8"/>
      <c r="C516" s="5"/>
      <c r="D516" s="5"/>
      <c r="E516" s="5"/>
    </row>
    <row r="517" ht="15.75" customHeight="1">
      <c r="A517" s="8"/>
      <c r="C517" s="5"/>
      <c r="D517" s="5"/>
      <c r="E517" s="5"/>
    </row>
    <row r="518" ht="15.75" customHeight="1">
      <c r="A518" s="8"/>
      <c r="C518" s="5"/>
      <c r="D518" s="5"/>
      <c r="E518" s="5"/>
    </row>
    <row r="519" ht="15.75" customHeight="1">
      <c r="A519" s="8"/>
      <c r="C519" s="5"/>
      <c r="D519" s="5"/>
      <c r="E519" s="5"/>
    </row>
    <row r="520" ht="15.75" customHeight="1">
      <c r="A520" s="8"/>
      <c r="C520" s="5"/>
      <c r="D520" s="5"/>
      <c r="E520" s="5"/>
    </row>
    <row r="521" ht="15.75" customHeight="1">
      <c r="A521" s="8"/>
      <c r="C521" s="5"/>
      <c r="D521" s="5"/>
      <c r="E521" s="5"/>
    </row>
    <row r="522" ht="15.75" customHeight="1">
      <c r="A522" s="8"/>
      <c r="C522" s="5"/>
      <c r="D522" s="5"/>
      <c r="E522" s="5"/>
    </row>
    <row r="523" ht="15.75" customHeight="1">
      <c r="A523" s="8"/>
      <c r="C523" s="5"/>
      <c r="D523" s="5"/>
      <c r="E523" s="5"/>
    </row>
    <row r="524" ht="15.75" customHeight="1">
      <c r="A524" s="8"/>
      <c r="C524" s="5"/>
      <c r="D524" s="5"/>
      <c r="E524" s="5"/>
    </row>
    <row r="525" ht="15.75" customHeight="1">
      <c r="A525" s="8"/>
      <c r="C525" s="5"/>
      <c r="D525" s="5"/>
      <c r="E525" s="5"/>
    </row>
    <row r="526" ht="15.75" customHeight="1">
      <c r="A526" s="8"/>
      <c r="C526" s="5"/>
      <c r="D526" s="5"/>
      <c r="E526" s="5"/>
    </row>
    <row r="527" ht="15.75" customHeight="1">
      <c r="A527" s="8"/>
      <c r="C527" s="5"/>
      <c r="D527" s="5"/>
      <c r="E527" s="5"/>
    </row>
    <row r="528" ht="15.75" customHeight="1">
      <c r="A528" s="8"/>
      <c r="C528" s="5"/>
      <c r="D528" s="5"/>
      <c r="E528" s="5"/>
    </row>
    <row r="529" ht="15.75" customHeight="1">
      <c r="A529" s="8"/>
      <c r="C529" s="5"/>
      <c r="D529" s="5"/>
      <c r="E529" s="5"/>
    </row>
    <row r="530" ht="15.75" customHeight="1">
      <c r="A530" s="8"/>
      <c r="C530" s="5"/>
      <c r="D530" s="5"/>
      <c r="E530" s="5"/>
    </row>
    <row r="531" ht="15.75" customHeight="1">
      <c r="A531" s="8"/>
      <c r="C531" s="5"/>
      <c r="D531" s="5"/>
      <c r="E531" s="5"/>
    </row>
    <row r="532" ht="15.75" customHeight="1">
      <c r="A532" s="8"/>
      <c r="C532" s="5"/>
      <c r="D532" s="5"/>
      <c r="E532" s="5"/>
    </row>
    <row r="533" ht="15.75" customHeight="1">
      <c r="A533" s="8"/>
      <c r="C533" s="5"/>
      <c r="D533" s="5"/>
      <c r="E533" s="5"/>
    </row>
    <row r="534" ht="15.75" customHeight="1">
      <c r="A534" s="8"/>
      <c r="C534" s="5"/>
      <c r="D534" s="5"/>
      <c r="E534" s="5"/>
    </row>
    <row r="535" ht="15.75" customHeight="1">
      <c r="A535" s="8"/>
      <c r="C535" s="5"/>
      <c r="D535" s="5"/>
      <c r="E535" s="5"/>
    </row>
    <row r="536" ht="15.75" customHeight="1">
      <c r="A536" s="8"/>
      <c r="C536" s="5"/>
      <c r="D536" s="5"/>
      <c r="E536" s="5"/>
    </row>
    <row r="537" ht="15.75" customHeight="1">
      <c r="A537" s="8"/>
      <c r="C537" s="5"/>
      <c r="D537" s="5"/>
      <c r="E537" s="5"/>
    </row>
    <row r="538" ht="15.75" customHeight="1">
      <c r="A538" s="8"/>
      <c r="C538" s="5"/>
      <c r="D538" s="5"/>
      <c r="E538" s="5"/>
    </row>
    <row r="539" ht="15.75" customHeight="1">
      <c r="A539" s="8"/>
      <c r="C539" s="5"/>
      <c r="D539" s="5"/>
      <c r="E539" s="5"/>
    </row>
    <row r="540" ht="15.75" customHeight="1">
      <c r="A540" s="8"/>
      <c r="C540" s="5"/>
      <c r="D540" s="5"/>
      <c r="E540" s="5"/>
    </row>
    <row r="541" ht="15.75" customHeight="1">
      <c r="A541" s="8"/>
      <c r="C541" s="5"/>
      <c r="D541" s="5"/>
      <c r="E541" s="5"/>
    </row>
    <row r="542" ht="15.75" customHeight="1">
      <c r="A542" s="8"/>
      <c r="C542" s="5"/>
      <c r="D542" s="5"/>
      <c r="E542" s="5"/>
    </row>
    <row r="543" ht="15.75" customHeight="1">
      <c r="A543" s="8"/>
      <c r="C543" s="5"/>
      <c r="D543" s="5"/>
      <c r="E543" s="5"/>
    </row>
    <row r="544" ht="15.75" customHeight="1">
      <c r="A544" s="8"/>
      <c r="C544" s="5"/>
      <c r="D544" s="5"/>
      <c r="E544" s="5"/>
    </row>
    <row r="545" ht="15.75" customHeight="1">
      <c r="A545" s="8"/>
      <c r="C545" s="5"/>
      <c r="D545" s="5"/>
      <c r="E545" s="5"/>
    </row>
    <row r="546" ht="15.75" customHeight="1">
      <c r="A546" s="8"/>
      <c r="C546" s="5"/>
      <c r="D546" s="5"/>
      <c r="E546" s="5"/>
    </row>
    <row r="547" ht="15.75" customHeight="1">
      <c r="A547" s="8"/>
      <c r="C547" s="5"/>
      <c r="D547" s="5"/>
      <c r="E547" s="5"/>
    </row>
    <row r="548" ht="15.75" customHeight="1">
      <c r="A548" s="8"/>
      <c r="C548" s="5"/>
      <c r="D548" s="5"/>
      <c r="E548" s="5"/>
    </row>
    <row r="549" ht="15.75" customHeight="1">
      <c r="A549" s="8"/>
      <c r="C549" s="5"/>
      <c r="D549" s="5"/>
      <c r="E549" s="5"/>
    </row>
    <row r="550" ht="15.75" customHeight="1">
      <c r="A550" s="8"/>
      <c r="C550" s="5"/>
      <c r="D550" s="5"/>
      <c r="E550" s="5"/>
    </row>
    <row r="551" ht="15.75" customHeight="1">
      <c r="A551" s="8"/>
      <c r="C551" s="5"/>
      <c r="D551" s="5"/>
      <c r="E551" s="5"/>
    </row>
    <row r="552" ht="15.75" customHeight="1">
      <c r="A552" s="8"/>
      <c r="C552" s="5"/>
      <c r="D552" s="5"/>
      <c r="E552" s="5"/>
    </row>
    <row r="553" ht="15.75" customHeight="1">
      <c r="A553" s="8"/>
      <c r="C553" s="5"/>
      <c r="D553" s="5"/>
      <c r="E553" s="5"/>
    </row>
    <row r="554" ht="15.75" customHeight="1">
      <c r="A554" s="8"/>
      <c r="C554" s="5"/>
      <c r="D554" s="5"/>
      <c r="E554" s="5"/>
    </row>
    <row r="555" ht="15.75" customHeight="1">
      <c r="A555" s="8"/>
      <c r="C555" s="5"/>
      <c r="D555" s="5"/>
      <c r="E555" s="5"/>
    </row>
    <row r="556" ht="15.75" customHeight="1">
      <c r="A556" s="8"/>
      <c r="C556" s="5"/>
      <c r="D556" s="5"/>
      <c r="E556" s="5"/>
    </row>
    <row r="557" ht="15.75" customHeight="1">
      <c r="A557" s="8"/>
      <c r="C557" s="5"/>
      <c r="D557" s="5"/>
      <c r="E557" s="5"/>
    </row>
    <row r="558" ht="15.75" customHeight="1">
      <c r="A558" s="8"/>
      <c r="C558" s="5"/>
      <c r="D558" s="5"/>
      <c r="E558" s="5"/>
    </row>
    <row r="559" ht="15.75" customHeight="1">
      <c r="A559" s="8"/>
      <c r="C559" s="5"/>
      <c r="D559" s="5"/>
      <c r="E559" s="5"/>
    </row>
    <row r="560" ht="15.75" customHeight="1">
      <c r="A560" s="8"/>
      <c r="C560" s="5"/>
      <c r="D560" s="5"/>
      <c r="E560" s="5"/>
    </row>
    <row r="561" ht="15.75" customHeight="1">
      <c r="A561" s="8"/>
      <c r="C561" s="5"/>
      <c r="D561" s="5"/>
      <c r="E561" s="5"/>
    </row>
    <row r="562" ht="15.75" customHeight="1">
      <c r="A562" s="8"/>
      <c r="C562" s="5"/>
      <c r="D562" s="5"/>
      <c r="E562" s="5"/>
    </row>
    <row r="563" ht="15.75" customHeight="1">
      <c r="A563" s="8"/>
      <c r="C563" s="5"/>
      <c r="D563" s="5"/>
      <c r="E563" s="5"/>
    </row>
    <row r="564" ht="15.75" customHeight="1">
      <c r="A564" s="8"/>
      <c r="C564" s="5"/>
      <c r="D564" s="5"/>
      <c r="E564" s="5"/>
    </row>
    <row r="565" ht="15.75" customHeight="1">
      <c r="A565" s="8"/>
      <c r="C565" s="5"/>
      <c r="D565" s="5"/>
      <c r="E565" s="5"/>
    </row>
    <row r="566" ht="15.75" customHeight="1">
      <c r="A566" s="8"/>
      <c r="C566" s="5"/>
      <c r="D566" s="5"/>
      <c r="E566" s="5"/>
    </row>
    <row r="567" ht="15.75" customHeight="1">
      <c r="A567" s="8"/>
      <c r="C567" s="5"/>
      <c r="D567" s="5"/>
      <c r="E567" s="5"/>
    </row>
    <row r="568" ht="15.75" customHeight="1">
      <c r="A568" s="8"/>
      <c r="C568" s="5"/>
      <c r="D568" s="5"/>
      <c r="E568" s="5"/>
    </row>
    <row r="569" ht="15.75" customHeight="1">
      <c r="A569" s="8"/>
      <c r="C569" s="5"/>
      <c r="D569" s="5"/>
      <c r="E569" s="5"/>
    </row>
    <row r="570" ht="15.75" customHeight="1">
      <c r="A570" s="8"/>
      <c r="C570" s="5"/>
      <c r="D570" s="5"/>
      <c r="E570" s="5"/>
    </row>
    <row r="571" ht="15.75" customHeight="1">
      <c r="A571" s="8"/>
      <c r="C571" s="5"/>
      <c r="D571" s="5"/>
      <c r="E571" s="5"/>
    </row>
    <row r="572" ht="15.75" customHeight="1">
      <c r="A572" s="8"/>
      <c r="C572" s="5"/>
      <c r="D572" s="5"/>
      <c r="E572" s="5"/>
    </row>
    <row r="573" ht="15.75" customHeight="1">
      <c r="A573" s="8"/>
      <c r="C573" s="5"/>
      <c r="D573" s="5"/>
      <c r="E573" s="5"/>
    </row>
    <row r="574" ht="15.75" customHeight="1">
      <c r="A574" s="8"/>
      <c r="C574" s="5"/>
      <c r="D574" s="5"/>
      <c r="E574" s="5"/>
    </row>
    <row r="575" ht="15.75" customHeight="1">
      <c r="A575" s="8"/>
      <c r="C575" s="5"/>
      <c r="D575" s="5"/>
      <c r="E575" s="5"/>
    </row>
    <row r="576" ht="15.75" customHeight="1">
      <c r="A576" s="8"/>
      <c r="C576" s="5"/>
      <c r="D576" s="5"/>
      <c r="E576" s="5"/>
    </row>
    <row r="577" ht="15.75" customHeight="1">
      <c r="A577" s="8"/>
      <c r="C577" s="5"/>
      <c r="D577" s="5"/>
      <c r="E577" s="5"/>
    </row>
    <row r="578" ht="15.75" customHeight="1">
      <c r="A578" s="8"/>
      <c r="C578" s="5"/>
      <c r="D578" s="5"/>
      <c r="E578" s="5"/>
    </row>
    <row r="579" ht="15.75" customHeight="1">
      <c r="A579" s="8"/>
      <c r="C579" s="5"/>
      <c r="D579" s="5"/>
      <c r="E579" s="5"/>
    </row>
    <row r="580" ht="15.75" customHeight="1">
      <c r="A580" s="8"/>
      <c r="C580" s="5"/>
      <c r="D580" s="5"/>
      <c r="E580" s="5"/>
    </row>
    <row r="581" ht="15.75" customHeight="1">
      <c r="A581" s="8"/>
      <c r="C581" s="5"/>
      <c r="D581" s="5"/>
      <c r="E581" s="5"/>
    </row>
    <row r="582" ht="15.75" customHeight="1">
      <c r="A582" s="8"/>
      <c r="C582" s="5"/>
      <c r="D582" s="5"/>
      <c r="E582" s="5"/>
    </row>
    <row r="583" ht="15.75" customHeight="1">
      <c r="A583" s="8"/>
      <c r="C583" s="5"/>
      <c r="D583" s="5"/>
      <c r="E583" s="5"/>
    </row>
    <row r="584" ht="15.75" customHeight="1">
      <c r="A584" s="8"/>
      <c r="C584" s="5"/>
      <c r="D584" s="5"/>
      <c r="E584" s="5"/>
    </row>
    <row r="585" ht="15.75" customHeight="1">
      <c r="A585" s="8"/>
      <c r="C585" s="5"/>
      <c r="D585" s="5"/>
      <c r="E585" s="5"/>
    </row>
    <row r="586" ht="15.75" customHeight="1">
      <c r="A586" s="8"/>
      <c r="C586" s="5"/>
      <c r="D586" s="5"/>
      <c r="E586" s="5"/>
    </row>
    <row r="587" ht="15.75" customHeight="1">
      <c r="A587" s="8"/>
      <c r="C587" s="5"/>
      <c r="D587" s="5"/>
      <c r="E587" s="5"/>
    </row>
    <row r="588" ht="15.75" customHeight="1">
      <c r="A588" s="8"/>
      <c r="C588" s="5"/>
      <c r="D588" s="5"/>
      <c r="E588" s="5"/>
    </row>
    <row r="589" ht="15.75" customHeight="1">
      <c r="A589" s="8"/>
      <c r="C589" s="5"/>
      <c r="D589" s="5"/>
      <c r="E589" s="5"/>
    </row>
    <row r="590" ht="15.75" customHeight="1">
      <c r="A590" s="8"/>
      <c r="C590" s="5"/>
      <c r="D590" s="5"/>
      <c r="E590" s="5"/>
    </row>
    <row r="591" ht="15.75" customHeight="1">
      <c r="A591" s="8"/>
      <c r="C591" s="5"/>
      <c r="D591" s="5"/>
      <c r="E591" s="5"/>
    </row>
    <row r="592" ht="15.75" customHeight="1">
      <c r="A592" s="8"/>
      <c r="C592" s="5"/>
      <c r="D592" s="5"/>
      <c r="E592" s="5"/>
    </row>
    <row r="593" ht="15.75" customHeight="1">
      <c r="A593" s="8"/>
      <c r="C593" s="5"/>
      <c r="D593" s="5"/>
      <c r="E593" s="5"/>
    </row>
    <row r="594" ht="15.75" customHeight="1">
      <c r="A594" s="8"/>
      <c r="C594" s="5"/>
      <c r="D594" s="5"/>
      <c r="E594" s="5"/>
    </row>
    <row r="595" ht="15.75" customHeight="1">
      <c r="A595" s="8"/>
      <c r="C595" s="5"/>
      <c r="D595" s="5"/>
      <c r="E595" s="5"/>
    </row>
    <row r="596" ht="15.75" customHeight="1">
      <c r="A596" s="8"/>
      <c r="C596" s="5"/>
      <c r="D596" s="5"/>
      <c r="E596" s="5"/>
    </row>
    <row r="597" ht="15.75" customHeight="1">
      <c r="A597" s="8"/>
      <c r="C597" s="5"/>
      <c r="D597" s="5"/>
      <c r="E597" s="5"/>
    </row>
    <row r="598" ht="15.75" customHeight="1">
      <c r="A598" s="8"/>
      <c r="C598" s="5"/>
      <c r="D598" s="5"/>
      <c r="E598" s="5"/>
    </row>
    <row r="599" ht="15.75" customHeight="1">
      <c r="A599" s="8"/>
      <c r="C599" s="5"/>
      <c r="D599" s="5"/>
      <c r="E599" s="5"/>
    </row>
    <row r="600" ht="15.75" customHeight="1">
      <c r="A600" s="8"/>
      <c r="C600" s="5"/>
      <c r="D600" s="5"/>
      <c r="E600" s="5"/>
    </row>
    <row r="601" ht="15.75" customHeight="1">
      <c r="A601" s="8"/>
      <c r="C601" s="5"/>
      <c r="D601" s="5"/>
      <c r="E601" s="5"/>
    </row>
    <row r="602" ht="15.75" customHeight="1">
      <c r="A602" s="8"/>
      <c r="C602" s="5"/>
      <c r="D602" s="5"/>
      <c r="E602" s="5"/>
    </row>
    <row r="603" ht="15.75" customHeight="1">
      <c r="A603" s="8"/>
      <c r="C603" s="5"/>
      <c r="D603" s="5"/>
      <c r="E603" s="5"/>
    </row>
    <row r="604" ht="15.75" customHeight="1">
      <c r="A604" s="8"/>
      <c r="C604" s="5"/>
      <c r="D604" s="5"/>
      <c r="E604" s="5"/>
    </row>
    <row r="605" ht="15.75" customHeight="1">
      <c r="A605" s="8"/>
      <c r="C605" s="5"/>
      <c r="D605" s="5"/>
      <c r="E605" s="5"/>
    </row>
    <row r="606" ht="15.75" customHeight="1">
      <c r="A606" s="8"/>
      <c r="C606" s="5"/>
      <c r="D606" s="5"/>
      <c r="E606" s="5"/>
    </row>
    <row r="607" ht="15.75" customHeight="1">
      <c r="A607" s="8"/>
      <c r="C607" s="5"/>
      <c r="D607" s="5"/>
      <c r="E607" s="5"/>
    </row>
    <row r="608" ht="15.75" customHeight="1">
      <c r="A608" s="8"/>
      <c r="C608" s="5"/>
      <c r="D608" s="5"/>
      <c r="E608" s="5"/>
    </row>
    <row r="609" ht="15.75" customHeight="1">
      <c r="A609" s="8"/>
      <c r="C609" s="5"/>
      <c r="D609" s="5"/>
      <c r="E609" s="5"/>
    </row>
    <row r="610" ht="15.75" customHeight="1">
      <c r="A610" s="8"/>
      <c r="C610" s="5"/>
      <c r="D610" s="5"/>
      <c r="E610" s="5"/>
    </row>
    <row r="611" ht="15.75" customHeight="1">
      <c r="A611" s="8"/>
      <c r="C611" s="5"/>
      <c r="D611" s="5"/>
      <c r="E611" s="5"/>
    </row>
    <row r="612" ht="15.75" customHeight="1">
      <c r="A612" s="8"/>
      <c r="C612" s="5"/>
      <c r="D612" s="5"/>
      <c r="E612" s="5"/>
    </row>
    <row r="613" ht="15.75" customHeight="1">
      <c r="A613" s="8"/>
      <c r="C613" s="5"/>
      <c r="D613" s="5"/>
      <c r="E613" s="5"/>
    </row>
    <row r="614" ht="15.75" customHeight="1">
      <c r="A614" s="8"/>
      <c r="C614" s="5"/>
      <c r="D614" s="5"/>
      <c r="E614" s="5"/>
    </row>
    <row r="615" ht="15.75" customHeight="1">
      <c r="A615" s="8"/>
      <c r="C615" s="5"/>
      <c r="D615" s="5"/>
      <c r="E615" s="5"/>
    </row>
    <row r="616" ht="15.75" customHeight="1">
      <c r="A616" s="8"/>
      <c r="C616" s="5"/>
      <c r="D616" s="5"/>
      <c r="E616" s="5"/>
    </row>
    <row r="617" ht="15.75" customHeight="1">
      <c r="A617" s="8"/>
      <c r="C617" s="5"/>
      <c r="D617" s="5"/>
      <c r="E617" s="5"/>
    </row>
    <row r="618" ht="15.75" customHeight="1">
      <c r="A618" s="8"/>
      <c r="C618" s="5"/>
      <c r="D618" s="5"/>
      <c r="E618" s="5"/>
    </row>
    <row r="619" ht="15.75" customHeight="1">
      <c r="A619" s="8"/>
      <c r="C619" s="5"/>
      <c r="D619" s="5"/>
      <c r="E619" s="5"/>
    </row>
    <row r="620" ht="15.75" customHeight="1">
      <c r="A620" s="8"/>
      <c r="C620" s="5"/>
      <c r="D620" s="5"/>
      <c r="E620" s="5"/>
    </row>
    <row r="621" ht="15.75" customHeight="1">
      <c r="A621" s="8"/>
      <c r="C621" s="5"/>
      <c r="D621" s="5"/>
      <c r="E621" s="5"/>
    </row>
    <row r="622" ht="15.75" customHeight="1">
      <c r="A622" s="8"/>
      <c r="C622" s="5"/>
      <c r="D622" s="5"/>
      <c r="E622" s="5"/>
    </row>
    <row r="623" ht="15.75" customHeight="1">
      <c r="A623" s="8"/>
      <c r="C623" s="5"/>
      <c r="D623" s="5"/>
      <c r="E623" s="5"/>
    </row>
    <row r="624" ht="15.75" customHeight="1">
      <c r="A624" s="8"/>
      <c r="C624" s="5"/>
      <c r="D624" s="5"/>
      <c r="E624" s="5"/>
    </row>
    <row r="625" ht="15.75" customHeight="1">
      <c r="A625" s="8"/>
      <c r="C625" s="5"/>
      <c r="D625" s="5"/>
      <c r="E625" s="5"/>
    </row>
    <row r="626" ht="15.75" customHeight="1">
      <c r="A626" s="8"/>
      <c r="C626" s="5"/>
      <c r="D626" s="5"/>
      <c r="E626" s="5"/>
    </row>
    <row r="627" ht="15.75" customHeight="1">
      <c r="A627" s="8"/>
      <c r="C627" s="5"/>
      <c r="D627" s="5"/>
      <c r="E627" s="5"/>
    </row>
    <row r="628" ht="15.75" customHeight="1">
      <c r="A628" s="8"/>
      <c r="C628" s="5"/>
      <c r="D628" s="5"/>
      <c r="E628" s="5"/>
    </row>
    <row r="629" ht="15.75" customHeight="1">
      <c r="A629" s="8"/>
      <c r="C629" s="5"/>
      <c r="D629" s="5"/>
      <c r="E629" s="5"/>
    </row>
    <row r="630" ht="15.75" customHeight="1">
      <c r="A630" s="8"/>
      <c r="C630" s="5"/>
      <c r="D630" s="5"/>
      <c r="E630" s="5"/>
    </row>
    <row r="631" ht="15.75" customHeight="1">
      <c r="A631" s="8"/>
      <c r="C631" s="5"/>
      <c r="D631" s="5"/>
      <c r="E631" s="5"/>
    </row>
    <row r="632" ht="15.75" customHeight="1">
      <c r="A632" s="8"/>
      <c r="C632" s="5"/>
      <c r="D632" s="5"/>
      <c r="E632" s="5"/>
    </row>
    <row r="633" ht="15.75" customHeight="1">
      <c r="A633" s="8"/>
      <c r="C633" s="5"/>
      <c r="D633" s="5"/>
      <c r="E633" s="5"/>
    </row>
    <row r="634" ht="15.75" customHeight="1">
      <c r="A634" s="8"/>
      <c r="C634" s="5"/>
      <c r="D634" s="5"/>
      <c r="E634" s="5"/>
    </row>
    <row r="635" ht="15.75" customHeight="1">
      <c r="A635" s="8"/>
      <c r="C635" s="5"/>
      <c r="D635" s="5"/>
      <c r="E635" s="5"/>
    </row>
    <row r="636" ht="15.75" customHeight="1">
      <c r="A636" s="8"/>
      <c r="C636" s="5"/>
      <c r="D636" s="5"/>
      <c r="E636" s="5"/>
    </row>
    <row r="637" ht="15.75" customHeight="1">
      <c r="A637" s="8"/>
      <c r="C637" s="5"/>
      <c r="D637" s="5"/>
      <c r="E637" s="5"/>
    </row>
    <row r="638" ht="15.75" customHeight="1">
      <c r="A638" s="8"/>
      <c r="C638" s="5"/>
      <c r="D638" s="5"/>
      <c r="E638" s="5"/>
    </row>
    <row r="639" ht="15.75" customHeight="1">
      <c r="A639" s="8"/>
      <c r="C639" s="5"/>
      <c r="D639" s="5"/>
      <c r="E639" s="5"/>
    </row>
    <row r="640" ht="15.75" customHeight="1">
      <c r="A640" s="8"/>
      <c r="C640" s="5"/>
      <c r="D640" s="5"/>
      <c r="E640" s="5"/>
    </row>
    <row r="641" ht="15.75" customHeight="1">
      <c r="A641" s="8"/>
      <c r="C641" s="5"/>
      <c r="D641" s="5"/>
      <c r="E641" s="5"/>
    </row>
    <row r="642" ht="15.75" customHeight="1">
      <c r="A642" s="8"/>
      <c r="C642" s="5"/>
      <c r="D642" s="5"/>
      <c r="E642" s="5"/>
    </row>
    <row r="643" ht="15.75" customHeight="1">
      <c r="A643" s="8"/>
      <c r="C643" s="5"/>
      <c r="D643" s="5"/>
      <c r="E643" s="5"/>
    </row>
    <row r="644" ht="15.75" customHeight="1">
      <c r="A644" s="8"/>
      <c r="C644" s="5"/>
      <c r="D644" s="5"/>
      <c r="E644" s="5"/>
    </row>
    <row r="645" ht="15.75" customHeight="1">
      <c r="A645" s="8"/>
      <c r="C645" s="5"/>
      <c r="D645" s="5"/>
      <c r="E645" s="5"/>
    </row>
    <row r="646" ht="15.75" customHeight="1">
      <c r="A646" s="8"/>
      <c r="C646" s="5"/>
      <c r="D646" s="5"/>
      <c r="E646" s="5"/>
    </row>
    <row r="647" ht="15.75" customHeight="1">
      <c r="A647" s="8"/>
      <c r="C647" s="5"/>
      <c r="D647" s="5"/>
      <c r="E647" s="5"/>
    </row>
    <row r="648" ht="15.75" customHeight="1">
      <c r="A648" s="8"/>
      <c r="C648" s="5"/>
      <c r="D648" s="5"/>
      <c r="E648" s="5"/>
    </row>
    <row r="649" ht="15.75" customHeight="1">
      <c r="A649" s="8"/>
      <c r="C649" s="5"/>
      <c r="D649" s="5"/>
      <c r="E649" s="5"/>
    </row>
    <row r="650" ht="15.75" customHeight="1">
      <c r="A650" s="8"/>
      <c r="C650" s="5"/>
      <c r="D650" s="5"/>
      <c r="E650" s="5"/>
    </row>
    <row r="651" ht="15.75" customHeight="1">
      <c r="A651" s="8"/>
      <c r="C651" s="5"/>
      <c r="D651" s="5"/>
      <c r="E651" s="5"/>
    </row>
    <row r="652" ht="15.75" customHeight="1">
      <c r="A652" s="8"/>
      <c r="C652" s="5"/>
      <c r="D652" s="5"/>
      <c r="E652" s="5"/>
    </row>
    <row r="653" ht="15.75" customHeight="1">
      <c r="A653" s="8"/>
      <c r="C653" s="5"/>
      <c r="D653" s="5"/>
      <c r="E653" s="5"/>
    </row>
    <row r="654" ht="15.75" customHeight="1">
      <c r="A654" s="8"/>
      <c r="C654" s="5"/>
      <c r="D654" s="5"/>
      <c r="E654" s="5"/>
    </row>
    <row r="655" ht="15.75" customHeight="1">
      <c r="A655" s="8"/>
      <c r="C655" s="5"/>
      <c r="D655" s="5"/>
      <c r="E655" s="5"/>
    </row>
    <row r="656" ht="15.75" customHeight="1">
      <c r="A656" s="8"/>
      <c r="C656" s="5"/>
      <c r="D656" s="5"/>
      <c r="E656" s="5"/>
    </row>
    <row r="657" ht="15.75" customHeight="1">
      <c r="A657" s="8"/>
      <c r="C657" s="5"/>
      <c r="D657" s="5"/>
      <c r="E657" s="5"/>
    </row>
    <row r="658" ht="15.75" customHeight="1">
      <c r="A658" s="8"/>
      <c r="C658" s="5"/>
      <c r="D658" s="5"/>
      <c r="E658" s="5"/>
    </row>
    <row r="659" ht="15.75" customHeight="1">
      <c r="A659" s="8"/>
      <c r="C659" s="5"/>
      <c r="D659" s="5"/>
      <c r="E659" s="5"/>
    </row>
    <row r="660" ht="15.75" customHeight="1">
      <c r="A660" s="8"/>
      <c r="C660" s="5"/>
      <c r="D660" s="5"/>
      <c r="E660" s="5"/>
    </row>
    <row r="661" ht="15.75" customHeight="1">
      <c r="A661" s="8"/>
      <c r="C661" s="5"/>
      <c r="D661" s="5"/>
      <c r="E661" s="5"/>
    </row>
    <row r="662" ht="15.75" customHeight="1">
      <c r="A662" s="8"/>
      <c r="C662" s="5"/>
      <c r="D662" s="5"/>
      <c r="E662" s="5"/>
    </row>
    <row r="663" ht="15.75" customHeight="1">
      <c r="A663" s="8"/>
      <c r="C663" s="5"/>
      <c r="D663" s="5"/>
      <c r="E663" s="5"/>
    </row>
    <row r="664" ht="15.75" customHeight="1">
      <c r="A664" s="8"/>
      <c r="C664" s="5"/>
      <c r="D664" s="5"/>
      <c r="E664" s="5"/>
    </row>
    <row r="665" ht="15.75" customHeight="1">
      <c r="A665" s="8"/>
      <c r="C665" s="5"/>
      <c r="D665" s="5"/>
      <c r="E665" s="5"/>
    </row>
    <row r="666" ht="15.75" customHeight="1">
      <c r="A666" s="8"/>
      <c r="C666" s="5"/>
      <c r="D666" s="5"/>
      <c r="E666" s="5"/>
    </row>
    <row r="667" ht="15.75" customHeight="1">
      <c r="A667" s="8"/>
      <c r="C667" s="5"/>
      <c r="D667" s="5"/>
      <c r="E667" s="5"/>
    </row>
    <row r="668" ht="15.75" customHeight="1">
      <c r="A668" s="8"/>
      <c r="C668" s="5"/>
      <c r="D668" s="5"/>
      <c r="E668" s="5"/>
    </row>
    <row r="669" ht="15.75" customHeight="1">
      <c r="A669" s="8"/>
      <c r="C669" s="5"/>
      <c r="D669" s="5"/>
      <c r="E669" s="5"/>
    </row>
    <row r="670" ht="15.75" customHeight="1">
      <c r="A670" s="8"/>
      <c r="C670" s="5"/>
      <c r="D670" s="5"/>
      <c r="E670" s="5"/>
    </row>
    <row r="671" ht="15.75" customHeight="1">
      <c r="A671" s="8"/>
      <c r="C671" s="5"/>
      <c r="D671" s="5"/>
      <c r="E671" s="5"/>
    </row>
    <row r="672" ht="15.75" customHeight="1">
      <c r="A672" s="8"/>
      <c r="C672" s="5"/>
      <c r="D672" s="5"/>
      <c r="E672" s="5"/>
    </row>
    <row r="673" ht="15.75" customHeight="1">
      <c r="A673" s="8"/>
      <c r="C673" s="5"/>
      <c r="D673" s="5"/>
      <c r="E673" s="5"/>
    </row>
    <row r="674" ht="15.75" customHeight="1">
      <c r="A674" s="8"/>
      <c r="C674" s="5"/>
      <c r="D674" s="5"/>
      <c r="E674" s="5"/>
    </row>
    <row r="675" ht="15.75" customHeight="1">
      <c r="A675" s="8"/>
      <c r="C675" s="5"/>
      <c r="D675" s="5"/>
      <c r="E675" s="5"/>
    </row>
    <row r="676" ht="15.75" customHeight="1">
      <c r="A676" s="8"/>
      <c r="C676" s="5"/>
      <c r="D676" s="5"/>
      <c r="E676" s="5"/>
    </row>
    <row r="677" ht="15.75" customHeight="1">
      <c r="A677" s="8"/>
      <c r="C677" s="5"/>
      <c r="D677" s="5"/>
      <c r="E677" s="5"/>
    </row>
    <row r="678" ht="15.75" customHeight="1">
      <c r="A678" s="8"/>
      <c r="C678" s="5"/>
      <c r="D678" s="5"/>
      <c r="E678" s="5"/>
    </row>
    <row r="679" ht="15.75" customHeight="1">
      <c r="A679" s="8"/>
      <c r="C679" s="5"/>
      <c r="D679" s="5"/>
      <c r="E679" s="5"/>
    </row>
    <row r="680" ht="15.75" customHeight="1">
      <c r="A680" s="8"/>
      <c r="C680" s="5"/>
      <c r="D680" s="5"/>
      <c r="E680" s="5"/>
    </row>
    <row r="681" ht="15.75" customHeight="1">
      <c r="A681" s="8"/>
      <c r="C681" s="5"/>
      <c r="D681" s="5"/>
      <c r="E681" s="5"/>
    </row>
    <row r="682" ht="15.75" customHeight="1">
      <c r="A682" s="8"/>
      <c r="C682" s="5"/>
      <c r="D682" s="5"/>
      <c r="E682" s="5"/>
    </row>
    <row r="683" ht="15.75" customHeight="1">
      <c r="A683" s="8"/>
      <c r="C683" s="5"/>
      <c r="D683" s="5"/>
      <c r="E683" s="5"/>
    </row>
    <row r="684" ht="15.75" customHeight="1">
      <c r="A684" s="8"/>
      <c r="C684" s="5"/>
      <c r="D684" s="5"/>
      <c r="E684" s="5"/>
    </row>
    <row r="685" ht="15.75" customHeight="1">
      <c r="A685" s="8"/>
      <c r="C685" s="5"/>
      <c r="D685" s="5"/>
      <c r="E685" s="5"/>
    </row>
    <row r="686" ht="15.75" customHeight="1">
      <c r="A686" s="8"/>
      <c r="C686" s="5"/>
      <c r="D686" s="5"/>
      <c r="E686" s="5"/>
    </row>
    <row r="687" ht="15.75" customHeight="1">
      <c r="A687" s="8"/>
      <c r="C687" s="5"/>
      <c r="D687" s="5"/>
      <c r="E687" s="5"/>
    </row>
    <row r="688" ht="15.75" customHeight="1">
      <c r="A688" s="8"/>
      <c r="C688" s="5"/>
      <c r="D688" s="5"/>
      <c r="E688" s="5"/>
    </row>
    <row r="689" ht="15.75" customHeight="1">
      <c r="A689" s="8"/>
      <c r="C689" s="5"/>
      <c r="D689" s="5"/>
      <c r="E689" s="5"/>
    </row>
    <row r="690" ht="15.75" customHeight="1">
      <c r="A690" s="8"/>
      <c r="C690" s="5"/>
      <c r="D690" s="5"/>
      <c r="E690" s="5"/>
    </row>
    <row r="691" ht="15.75" customHeight="1">
      <c r="A691" s="8"/>
      <c r="C691" s="5"/>
      <c r="D691" s="5"/>
      <c r="E691" s="5"/>
    </row>
    <row r="692" ht="15.75" customHeight="1">
      <c r="A692" s="8"/>
      <c r="C692" s="5"/>
      <c r="D692" s="5"/>
      <c r="E692" s="5"/>
    </row>
    <row r="693" ht="15.75" customHeight="1">
      <c r="A693" s="8"/>
      <c r="C693" s="5"/>
      <c r="D693" s="5"/>
      <c r="E693" s="5"/>
    </row>
    <row r="694" ht="15.75" customHeight="1">
      <c r="A694" s="8"/>
      <c r="C694" s="5"/>
      <c r="D694" s="5"/>
      <c r="E694" s="5"/>
    </row>
    <row r="695" ht="15.75" customHeight="1">
      <c r="A695" s="8"/>
      <c r="C695" s="5"/>
      <c r="D695" s="5"/>
      <c r="E695" s="5"/>
    </row>
    <row r="696" ht="15.75" customHeight="1">
      <c r="A696" s="8"/>
      <c r="C696" s="5"/>
      <c r="D696" s="5"/>
      <c r="E696" s="5"/>
    </row>
    <row r="697" ht="15.75" customHeight="1">
      <c r="A697" s="8"/>
      <c r="C697" s="5"/>
      <c r="D697" s="5"/>
      <c r="E697" s="5"/>
    </row>
    <row r="698" ht="15.75" customHeight="1">
      <c r="A698" s="8"/>
      <c r="C698" s="5"/>
      <c r="D698" s="5"/>
      <c r="E698" s="5"/>
    </row>
    <row r="699" ht="15.75" customHeight="1">
      <c r="A699" s="8"/>
      <c r="C699" s="5"/>
      <c r="D699" s="5"/>
      <c r="E699" s="5"/>
    </row>
    <row r="700" ht="15.75" customHeight="1">
      <c r="A700" s="8"/>
      <c r="C700" s="5"/>
      <c r="D700" s="5"/>
      <c r="E700" s="5"/>
    </row>
    <row r="701" ht="15.75" customHeight="1">
      <c r="A701" s="8"/>
      <c r="C701" s="5"/>
      <c r="D701" s="5"/>
      <c r="E701" s="5"/>
    </row>
    <row r="702" ht="15.75" customHeight="1">
      <c r="A702" s="8"/>
      <c r="C702" s="5"/>
      <c r="D702" s="5"/>
      <c r="E702" s="5"/>
    </row>
    <row r="703" ht="15.75" customHeight="1">
      <c r="A703" s="8"/>
      <c r="C703" s="5"/>
      <c r="D703" s="5"/>
      <c r="E703" s="5"/>
    </row>
    <row r="704" ht="15.75" customHeight="1">
      <c r="A704" s="8"/>
      <c r="C704" s="5"/>
      <c r="D704" s="5"/>
      <c r="E704" s="5"/>
    </row>
    <row r="705" ht="15.75" customHeight="1">
      <c r="A705" s="8"/>
      <c r="C705" s="5"/>
      <c r="D705" s="5"/>
      <c r="E705" s="5"/>
    </row>
    <row r="706" ht="15.75" customHeight="1">
      <c r="A706" s="8"/>
      <c r="C706" s="5"/>
      <c r="D706" s="5"/>
      <c r="E706" s="5"/>
    </row>
    <row r="707" ht="15.75" customHeight="1">
      <c r="A707" s="8"/>
      <c r="C707" s="5"/>
      <c r="D707" s="5"/>
      <c r="E707" s="5"/>
    </row>
    <row r="708" ht="15.75" customHeight="1">
      <c r="A708" s="8"/>
      <c r="C708" s="5"/>
      <c r="D708" s="5"/>
      <c r="E708" s="5"/>
    </row>
    <row r="709" ht="15.75" customHeight="1">
      <c r="A709" s="8"/>
      <c r="C709" s="5"/>
      <c r="D709" s="5"/>
      <c r="E709" s="5"/>
    </row>
    <row r="710" ht="15.75" customHeight="1">
      <c r="A710" s="8"/>
      <c r="C710" s="5"/>
      <c r="D710" s="5"/>
      <c r="E710" s="5"/>
    </row>
    <row r="711" ht="15.75" customHeight="1">
      <c r="A711" s="8"/>
      <c r="C711" s="5"/>
      <c r="D711" s="5"/>
      <c r="E711" s="5"/>
    </row>
    <row r="712" ht="15.75" customHeight="1">
      <c r="A712" s="8"/>
      <c r="C712" s="5"/>
      <c r="D712" s="5"/>
      <c r="E712" s="5"/>
    </row>
    <row r="713" ht="15.75" customHeight="1">
      <c r="A713" s="8"/>
      <c r="C713" s="5"/>
      <c r="D713" s="5"/>
      <c r="E713" s="5"/>
    </row>
    <row r="714" ht="15.75" customHeight="1">
      <c r="A714" s="8"/>
      <c r="C714" s="5"/>
      <c r="D714" s="5"/>
      <c r="E714" s="5"/>
    </row>
    <row r="715" ht="15.75" customHeight="1">
      <c r="A715" s="8"/>
      <c r="C715" s="5"/>
      <c r="D715" s="5"/>
      <c r="E715" s="5"/>
    </row>
    <row r="716" ht="15.75" customHeight="1">
      <c r="A716" s="8"/>
      <c r="C716" s="5"/>
      <c r="D716" s="5"/>
      <c r="E716" s="5"/>
    </row>
    <row r="717" ht="15.75" customHeight="1">
      <c r="A717" s="8"/>
      <c r="C717" s="5"/>
      <c r="D717" s="5"/>
      <c r="E717" s="5"/>
    </row>
    <row r="718" ht="15.75" customHeight="1">
      <c r="A718" s="8"/>
      <c r="C718" s="5"/>
      <c r="D718" s="5"/>
      <c r="E718" s="5"/>
    </row>
    <row r="719" ht="15.75" customHeight="1">
      <c r="A719" s="8"/>
      <c r="C719" s="5"/>
      <c r="D719" s="5"/>
      <c r="E719" s="5"/>
    </row>
    <row r="720" ht="15.75" customHeight="1">
      <c r="A720" s="8"/>
      <c r="C720" s="5"/>
      <c r="D720" s="5"/>
      <c r="E720" s="5"/>
    </row>
    <row r="721" ht="15.75" customHeight="1">
      <c r="A721" s="8"/>
      <c r="C721" s="5"/>
      <c r="D721" s="5"/>
      <c r="E721" s="5"/>
    </row>
    <row r="722" ht="15.75" customHeight="1">
      <c r="A722" s="8"/>
      <c r="C722" s="5"/>
      <c r="D722" s="5"/>
      <c r="E722" s="5"/>
    </row>
    <row r="723" ht="15.75" customHeight="1">
      <c r="A723" s="8"/>
      <c r="C723" s="5"/>
      <c r="D723" s="5"/>
      <c r="E723" s="5"/>
    </row>
    <row r="724" ht="15.75" customHeight="1">
      <c r="A724" s="8"/>
      <c r="C724" s="5"/>
      <c r="D724" s="5"/>
      <c r="E724" s="5"/>
    </row>
    <row r="725" ht="15.75" customHeight="1">
      <c r="A725" s="8"/>
      <c r="C725" s="5"/>
      <c r="D725" s="5"/>
      <c r="E725" s="5"/>
    </row>
    <row r="726" ht="15.75" customHeight="1">
      <c r="A726" s="8"/>
      <c r="C726" s="5"/>
      <c r="D726" s="5"/>
      <c r="E726" s="5"/>
    </row>
    <row r="727" ht="15.75" customHeight="1">
      <c r="A727" s="8"/>
      <c r="C727" s="5"/>
      <c r="D727" s="5"/>
      <c r="E727" s="5"/>
    </row>
    <row r="728" ht="15.75" customHeight="1">
      <c r="A728" s="8"/>
      <c r="C728" s="5"/>
      <c r="D728" s="5"/>
      <c r="E728" s="5"/>
    </row>
    <row r="729" ht="15.75" customHeight="1">
      <c r="A729" s="8"/>
      <c r="C729" s="5"/>
      <c r="D729" s="5"/>
      <c r="E729" s="5"/>
    </row>
    <row r="730" ht="15.75" customHeight="1">
      <c r="A730" s="8"/>
      <c r="C730" s="5"/>
      <c r="D730" s="5"/>
      <c r="E730" s="5"/>
    </row>
    <row r="731" ht="15.75" customHeight="1">
      <c r="A731" s="8"/>
      <c r="C731" s="5"/>
      <c r="D731" s="5"/>
      <c r="E731" s="5"/>
    </row>
    <row r="732" ht="15.75" customHeight="1">
      <c r="A732" s="8"/>
      <c r="C732" s="5"/>
      <c r="D732" s="5"/>
      <c r="E732" s="5"/>
    </row>
    <row r="733" ht="15.75" customHeight="1">
      <c r="A733" s="8"/>
      <c r="C733" s="5"/>
      <c r="D733" s="5"/>
      <c r="E733" s="5"/>
    </row>
    <row r="734" ht="15.75" customHeight="1">
      <c r="A734" s="8"/>
      <c r="C734" s="5"/>
      <c r="D734" s="5"/>
      <c r="E734" s="5"/>
    </row>
    <row r="735" ht="15.75" customHeight="1">
      <c r="A735" s="8"/>
      <c r="C735" s="5"/>
      <c r="D735" s="5"/>
      <c r="E735" s="5"/>
    </row>
    <row r="736" ht="15.75" customHeight="1">
      <c r="A736" s="8"/>
      <c r="C736" s="5"/>
      <c r="D736" s="5"/>
      <c r="E736" s="5"/>
    </row>
    <row r="737" ht="15.75" customHeight="1">
      <c r="A737" s="8"/>
      <c r="C737" s="5"/>
      <c r="D737" s="5"/>
      <c r="E737" s="5"/>
    </row>
    <row r="738" ht="15.75" customHeight="1">
      <c r="A738" s="8"/>
      <c r="C738" s="5"/>
      <c r="D738" s="5"/>
      <c r="E738" s="5"/>
    </row>
    <row r="739" ht="15.75" customHeight="1">
      <c r="A739" s="8"/>
      <c r="C739" s="5"/>
      <c r="D739" s="5"/>
      <c r="E739" s="5"/>
    </row>
    <row r="740" ht="15.75" customHeight="1">
      <c r="A740" s="8"/>
      <c r="C740" s="5"/>
      <c r="D740" s="5"/>
      <c r="E740" s="5"/>
    </row>
    <row r="741" ht="15.75" customHeight="1">
      <c r="A741" s="8"/>
      <c r="C741" s="5"/>
      <c r="D741" s="5"/>
      <c r="E741" s="5"/>
    </row>
    <row r="742" ht="15.75" customHeight="1">
      <c r="A742" s="8"/>
      <c r="C742" s="5"/>
      <c r="D742" s="5"/>
      <c r="E742" s="5"/>
    </row>
    <row r="743" ht="15.75" customHeight="1">
      <c r="A743" s="8"/>
      <c r="C743" s="5"/>
      <c r="D743" s="5"/>
      <c r="E743" s="5"/>
    </row>
    <row r="744" ht="15.75" customHeight="1">
      <c r="A744" s="8"/>
      <c r="C744" s="5"/>
      <c r="D744" s="5"/>
      <c r="E744" s="5"/>
    </row>
    <row r="745" ht="15.75" customHeight="1">
      <c r="A745" s="8"/>
      <c r="C745" s="5"/>
      <c r="D745" s="5"/>
      <c r="E745" s="5"/>
    </row>
    <row r="746" ht="15.75" customHeight="1">
      <c r="A746" s="8"/>
      <c r="C746" s="5"/>
      <c r="D746" s="5"/>
      <c r="E746" s="5"/>
    </row>
    <row r="747" ht="15.75" customHeight="1">
      <c r="A747" s="8"/>
      <c r="C747" s="5"/>
      <c r="D747" s="5"/>
      <c r="E747" s="5"/>
    </row>
    <row r="748" ht="15.75" customHeight="1">
      <c r="A748" s="8"/>
      <c r="C748" s="5"/>
      <c r="D748" s="5"/>
      <c r="E748" s="5"/>
    </row>
    <row r="749" ht="15.75" customHeight="1">
      <c r="A749" s="8"/>
      <c r="C749" s="5"/>
      <c r="D749" s="5"/>
      <c r="E749" s="5"/>
    </row>
    <row r="750" ht="15.75" customHeight="1">
      <c r="A750" s="8"/>
      <c r="C750" s="5"/>
      <c r="D750" s="5"/>
      <c r="E750" s="5"/>
    </row>
    <row r="751" ht="15.75" customHeight="1">
      <c r="A751" s="8"/>
      <c r="C751" s="5"/>
      <c r="D751" s="5"/>
      <c r="E751" s="5"/>
    </row>
    <row r="752" ht="15.75" customHeight="1">
      <c r="A752" s="8"/>
      <c r="C752" s="5"/>
      <c r="D752" s="5"/>
      <c r="E752" s="5"/>
    </row>
    <row r="753" ht="15.75" customHeight="1">
      <c r="A753" s="8"/>
      <c r="C753" s="5"/>
      <c r="D753" s="5"/>
      <c r="E753" s="5"/>
    </row>
    <row r="754" ht="15.75" customHeight="1">
      <c r="A754" s="8"/>
      <c r="C754" s="5"/>
      <c r="D754" s="5"/>
      <c r="E754" s="5"/>
    </row>
    <row r="755" ht="15.75" customHeight="1">
      <c r="A755" s="8"/>
      <c r="C755" s="5"/>
      <c r="D755" s="5"/>
      <c r="E755" s="5"/>
    </row>
    <row r="756" ht="15.75" customHeight="1">
      <c r="A756" s="8"/>
      <c r="C756" s="5"/>
      <c r="D756" s="5"/>
      <c r="E756" s="5"/>
    </row>
    <row r="757" ht="15.75" customHeight="1">
      <c r="A757" s="8"/>
      <c r="C757" s="5"/>
      <c r="D757" s="5"/>
      <c r="E757" s="5"/>
    </row>
    <row r="758" ht="15.75" customHeight="1">
      <c r="A758" s="8"/>
      <c r="C758" s="5"/>
      <c r="D758" s="5"/>
      <c r="E758" s="5"/>
    </row>
    <row r="759" ht="15.75" customHeight="1">
      <c r="A759" s="8"/>
      <c r="C759" s="5"/>
      <c r="D759" s="5"/>
      <c r="E759" s="5"/>
    </row>
    <row r="760" ht="15.75" customHeight="1">
      <c r="A760" s="8"/>
      <c r="C760" s="5"/>
      <c r="D760" s="5"/>
      <c r="E760" s="5"/>
    </row>
    <row r="761" ht="15.75" customHeight="1">
      <c r="A761" s="8"/>
      <c r="C761" s="5"/>
      <c r="D761" s="5"/>
      <c r="E761" s="5"/>
    </row>
    <row r="762" ht="15.75" customHeight="1">
      <c r="A762" s="8"/>
      <c r="C762" s="5"/>
      <c r="D762" s="5"/>
      <c r="E762" s="5"/>
    </row>
    <row r="763" ht="15.75" customHeight="1">
      <c r="A763" s="8"/>
      <c r="C763" s="5"/>
      <c r="D763" s="5"/>
      <c r="E763" s="5"/>
    </row>
    <row r="764" ht="15.75" customHeight="1">
      <c r="A764" s="8"/>
      <c r="C764" s="5"/>
      <c r="D764" s="5"/>
      <c r="E764" s="5"/>
    </row>
    <row r="765" ht="15.75" customHeight="1">
      <c r="A765" s="8"/>
      <c r="C765" s="5"/>
      <c r="D765" s="5"/>
      <c r="E765" s="5"/>
    </row>
    <row r="766" ht="15.75" customHeight="1">
      <c r="A766" s="8"/>
      <c r="C766" s="5"/>
      <c r="D766" s="5"/>
      <c r="E766" s="5"/>
    </row>
    <row r="767" ht="15.75" customHeight="1">
      <c r="A767" s="8"/>
      <c r="C767" s="5"/>
      <c r="D767" s="5"/>
      <c r="E767" s="5"/>
    </row>
    <row r="768" ht="15.75" customHeight="1">
      <c r="A768" s="8"/>
      <c r="C768" s="5"/>
      <c r="D768" s="5"/>
      <c r="E768" s="5"/>
    </row>
    <row r="769" ht="15.75" customHeight="1">
      <c r="A769" s="8"/>
      <c r="C769" s="5"/>
      <c r="D769" s="5"/>
      <c r="E769" s="5"/>
    </row>
    <row r="770" ht="15.75" customHeight="1">
      <c r="A770" s="8"/>
      <c r="C770" s="5"/>
      <c r="D770" s="5"/>
      <c r="E770" s="5"/>
    </row>
    <row r="771" ht="15.75" customHeight="1">
      <c r="A771" s="8"/>
      <c r="C771" s="5"/>
      <c r="D771" s="5"/>
      <c r="E771" s="5"/>
    </row>
    <row r="772" ht="15.75" customHeight="1">
      <c r="A772" s="8"/>
      <c r="C772" s="5"/>
      <c r="D772" s="5"/>
      <c r="E772" s="5"/>
    </row>
    <row r="773" ht="15.75" customHeight="1">
      <c r="A773" s="8"/>
      <c r="C773" s="5"/>
      <c r="D773" s="5"/>
      <c r="E773" s="5"/>
    </row>
    <row r="774" ht="15.75" customHeight="1">
      <c r="A774" s="8"/>
      <c r="C774" s="5"/>
      <c r="D774" s="5"/>
      <c r="E774" s="5"/>
    </row>
    <row r="775" ht="15.75" customHeight="1">
      <c r="A775" s="8"/>
      <c r="C775" s="5"/>
      <c r="D775" s="5"/>
      <c r="E775" s="5"/>
    </row>
    <row r="776" ht="15.75" customHeight="1">
      <c r="A776" s="8"/>
      <c r="C776" s="5"/>
      <c r="D776" s="5"/>
      <c r="E776" s="5"/>
    </row>
    <row r="777" ht="15.75" customHeight="1">
      <c r="A777" s="8"/>
      <c r="C777" s="5"/>
      <c r="D777" s="5"/>
      <c r="E777" s="5"/>
    </row>
    <row r="778" ht="15.75" customHeight="1">
      <c r="A778" s="8"/>
      <c r="C778" s="5"/>
      <c r="D778" s="5"/>
      <c r="E778" s="5"/>
    </row>
    <row r="779" ht="15.75" customHeight="1">
      <c r="A779" s="8"/>
      <c r="C779" s="5"/>
      <c r="D779" s="5"/>
      <c r="E779" s="5"/>
    </row>
    <row r="780" ht="15.75" customHeight="1">
      <c r="A780" s="8"/>
      <c r="C780" s="5"/>
      <c r="D780" s="5"/>
      <c r="E780" s="5"/>
    </row>
    <row r="781" ht="15.75" customHeight="1">
      <c r="A781" s="8"/>
      <c r="C781" s="5"/>
      <c r="D781" s="5"/>
      <c r="E781" s="5"/>
    </row>
    <row r="782" ht="15.75" customHeight="1">
      <c r="A782" s="8"/>
      <c r="C782" s="5"/>
      <c r="D782" s="5"/>
      <c r="E782" s="5"/>
    </row>
    <row r="783" ht="15.75" customHeight="1">
      <c r="A783" s="8"/>
      <c r="C783" s="5"/>
      <c r="D783" s="5"/>
      <c r="E783" s="5"/>
    </row>
    <row r="784" ht="15.75" customHeight="1">
      <c r="A784" s="8"/>
      <c r="C784" s="5"/>
      <c r="D784" s="5"/>
      <c r="E784" s="5"/>
    </row>
    <row r="785" ht="15.75" customHeight="1">
      <c r="A785" s="8"/>
      <c r="C785" s="5"/>
      <c r="D785" s="5"/>
      <c r="E785" s="5"/>
    </row>
    <row r="786" ht="15.75" customHeight="1">
      <c r="A786" s="8"/>
      <c r="C786" s="5"/>
      <c r="D786" s="5"/>
      <c r="E786" s="5"/>
    </row>
    <row r="787" ht="15.75" customHeight="1">
      <c r="A787" s="8"/>
      <c r="C787" s="5"/>
      <c r="D787" s="5"/>
      <c r="E787" s="5"/>
    </row>
    <row r="788" ht="15.75" customHeight="1">
      <c r="A788" s="8"/>
      <c r="C788" s="5"/>
      <c r="D788" s="5"/>
      <c r="E788" s="5"/>
    </row>
    <row r="789" ht="15.75" customHeight="1">
      <c r="A789" s="8"/>
      <c r="C789" s="5"/>
      <c r="D789" s="5"/>
      <c r="E789" s="5"/>
    </row>
    <row r="790" ht="15.75" customHeight="1">
      <c r="A790" s="8"/>
      <c r="C790" s="5"/>
      <c r="D790" s="5"/>
      <c r="E790" s="5"/>
    </row>
    <row r="791" ht="15.75" customHeight="1">
      <c r="A791" s="8"/>
      <c r="C791" s="5"/>
      <c r="D791" s="5"/>
      <c r="E791" s="5"/>
    </row>
    <row r="792" ht="15.75" customHeight="1">
      <c r="A792" s="8"/>
      <c r="C792" s="5"/>
      <c r="D792" s="5"/>
      <c r="E792" s="5"/>
    </row>
    <row r="793" ht="15.75" customHeight="1">
      <c r="A793" s="8"/>
      <c r="C793" s="5"/>
      <c r="D793" s="5"/>
      <c r="E793" s="5"/>
    </row>
    <row r="794" ht="15.75" customHeight="1">
      <c r="A794" s="8"/>
      <c r="C794" s="5"/>
      <c r="D794" s="5"/>
      <c r="E794" s="5"/>
    </row>
    <row r="795" ht="15.75" customHeight="1">
      <c r="A795" s="8"/>
      <c r="C795" s="5"/>
      <c r="D795" s="5"/>
      <c r="E795" s="5"/>
    </row>
    <row r="796" ht="15.75" customHeight="1">
      <c r="A796" s="8"/>
      <c r="C796" s="5"/>
      <c r="D796" s="5"/>
      <c r="E796" s="5"/>
    </row>
    <row r="797" ht="15.75" customHeight="1">
      <c r="A797" s="8"/>
      <c r="C797" s="5"/>
      <c r="D797" s="5"/>
      <c r="E797" s="5"/>
    </row>
    <row r="798" ht="15.75" customHeight="1">
      <c r="A798" s="8"/>
      <c r="C798" s="5"/>
      <c r="D798" s="5"/>
      <c r="E798" s="5"/>
    </row>
    <row r="799" ht="15.75" customHeight="1">
      <c r="A799" s="8"/>
      <c r="C799" s="5"/>
      <c r="D799" s="5"/>
      <c r="E799" s="5"/>
    </row>
    <row r="800" ht="15.75" customHeight="1">
      <c r="A800" s="8"/>
      <c r="C800" s="5"/>
      <c r="D800" s="5"/>
      <c r="E800" s="5"/>
    </row>
    <row r="801" ht="15.75" customHeight="1">
      <c r="A801" s="8"/>
      <c r="C801" s="5"/>
      <c r="D801" s="5"/>
      <c r="E801" s="5"/>
    </row>
    <row r="802" ht="15.75" customHeight="1">
      <c r="A802" s="8"/>
      <c r="C802" s="5"/>
      <c r="D802" s="5"/>
      <c r="E802" s="5"/>
    </row>
    <row r="803" ht="15.75" customHeight="1">
      <c r="A803" s="8"/>
      <c r="C803" s="5"/>
      <c r="D803" s="5"/>
      <c r="E803" s="5"/>
    </row>
    <row r="804" ht="15.75" customHeight="1">
      <c r="A804" s="8"/>
      <c r="C804" s="5"/>
      <c r="D804" s="5"/>
      <c r="E804" s="5"/>
    </row>
    <row r="805" ht="15.75" customHeight="1">
      <c r="A805" s="8"/>
      <c r="C805" s="5"/>
      <c r="D805" s="5"/>
      <c r="E805" s="5"/>
    </row>
    <row r="806" ht="15.75" customHeight="1">
      <c r="A806" s="8"/>
      <c r="C806" s="5"/>
      <c r="D806" s="5"/>
      <c r="E806" s="5"/>
    </row>
    <row r="807" ht="15.75" customHeight="1">
      <c r="A807" s="8"/>
      <c r="C807" s="5"/>
      <c r="D807" s="5"/>
      <c r="E807" s="5"/>
    </row>
    <row r="808" ht="15.75" customHeight="1">
      <c r="A808" s="8"/>
      <c r="C808" s="5"/>
      <c r="D808" s="5"/>
      <c r="E808" s="5"/>
    </row>
    <row r="809" ht="15.75" customHeight="1">
      <c r="A809" s="8"/>
      <c r="C809" s="5"/>
      <c r="D809" s="5"/>
      <c r="E809" s="5"/>
    </row>
    <row r="810" ht="15.75" customHeight="1">
      <c r="A810" s="8"/>
      <c r="C810" s="5"/>
      <c r="D810" s="5"/>
      <c r="E810" s="5"/>
    </row>
    <row r="811" ht="15.75" customHeight="1">
      <c r="A811" s="8"/>
      <c r="C811" s="5"/>
      <c r="D811" s="5"/>
      <c r="E811" s="5"/>
    </row>
    <row r="812" ht="15.75" customHeight="1">
      <c r="A812" s="8"/>
      <c r="C812" s="5"/>
      <c r="D812" s="5"/>
      <c r="E812" s="5"/>
    </row>
    <row r="813" ht="15.75" customHeight="1">
      <c r="A813" s="8"/>
      <c r="C813" s="5"/>
      <c r="D813" s="5"/>
      <c r="E813" s="5"/>
    </row>
    <row r="814" ht="15.75" customHeight="1">
      <c r="A814" s="8"/>
      <c r="C814" s="5"/>
      <c r="D814" s="5"/>
      <c r="E814" s="5"/>
    </row>
    <row r="815" ht="15.75" customHeight="1">
      <c r="A815" s="8"/>
      <c r="C815" s="5"/>
      <c r="D815" s="5"/>
      <c r="E815" s="5"/>
    </row>
    <row r="816" ht="15.75" customHeight="1">
      <c r="A816" s="8"/>
      <c r="C816" s="5"/>
      <c r="D816" s="5"/>
      <c r="E816" s="5"/>
    </row>
    <row r="817" ht="15.75" customHeight="1">
      <c r="A817" s="8"/>
      <c r="C817" s="5"/>
      <c r="D817" s="5"/>
      <c r="E817" s="5"/>
    </row>
    <row r="818" ht="15.75" customHeight="1">
      <c r="A818" s="8"/>
      <c r="C818" s="5"/>
      <c r="D818" s="5"/>
      <c r="E818" s="5"/>
    </row>
    <row r="819" ht="15.75" customHeight="1">
      <c r="A819" s="8"/>
      <c r="C819" s="5"/>
      <c r="D819" s="5"/>
      <c r="E819" s="5"/>
    </row>
    <row r="820" ht="15.75" customHeight="1">
      <c r="A820" s="8"/>
      <c r="C820" s="5"/>
      <c r="D820" s="5"/>
      <c r="E820" s="5"/>
    </row>
    <row r="821" ht="15.75" customHeight="1">
      <c r="A821" s="8"/>
      <c r="C821" s="5"/>
      <c r="D821" s="5"/>
      <c r="E821" s="5"/>
    </row>
    <row r="822" ht="15.75" customHeight="1">
      <c r="A822" s="8"/>
      <c r="C822" s="5"/>
      <c r="D822" s="5"/>
      <c r="E822" s="5"/>
    </row>
    <row r="823" ht="15.75" customHeight="1">
      <c r="A823" s="8"/>
      <c r="C823" s="5"/>
      <c r="D823" s="5"/>
      <c r="E823" s="5"/>
    </row>
    <row r="824" ht="15.75" customHeight="1">
      <c r="A824" s="8"/>
      <c r="C824" s="5"/>
      <c r="D824" s="5"/>
      <c r="E824" s="5"/>
    </row>
    <row r="825" ht="15.75" customHeight="1">
      <c r="A825" s="8"/>
      <c r="C825" s="5"/>
      <c r="D825" s="5"/>
      <c r="E825" s="5"/>
    </row>
    <row r="826" ht="15.75" customHeight="1">
      <c r="A826" s="8"/>
      <c r="C826" s="5"/>
      <c r="D826" s="5"/>
      <c r="E826" s="5"/>
    </row>
    <row r="827" ht="15.75" customHeight="1">
      <c r="A827" s="8"/>
      <c r="C827" s="5"/>
      <c r="D827" s="5"/>
      <c r="E827" s="5"/>
    </row>
    <row r="828" ht="15.75" customHeight="1">
      <c r="A828" s="8"/>
      <c r="C828" s="5"/>
      <c r="D828" s="5"/>
      <c r="E828" s="5"/>
    </row>
    <row r="829" ht="15.75" customHeight="1">
      <c r="A829" s="8"/>
      <c r="C829" s="5"/>
      <c r="D829" s="5"/>
      <c r="E829" s="5"/>
    </row>
    <row r="830" ht="15.75" customHeight="1">
      <c r="A830" s="8"/>
      <c r="C830" s="5"/>
      <c r="D830" s="5"/>
      <c r="E830" s="5"/>
    </row>
    <row r="831" ht="15.75" customHeight="1">
      <c r="A831" s="8"/>
      <c r="C831" s="5"/>
      <c r="D831" s="5"/>
      <c r="E831" s="5"/>
    </row>
    <row r="832" ht="15.75" customHeight="1">
      <c r="A832" s="8"/>
      <c r="C832" s="5"/>
      <c r="D832" s="5"/>
      <c r="E832" s="5"/>
    </row>
    <row r="833" ht="15.75" customHeight="1">
      <c r="A833" s="8"/>
      <c r="C833" s="5"/>
      <c r="D833" s="5"/>
      <c r="E833" s="5"/>
    </row>
    <row r="834" ht="15.75" customHeight="1">
      <c r="A834" s="8"/>
      <c r="C834" s="5"/>
      <c r="D834" s="5"/>
      <c r="E834" s="5"/>
    </row>
    <row r="835" ht="15.75" customHeight="1">
      <c r="A835" s="8"/>
      <c r="C835" s="5"/>
      <c r="D835" s="5"/>
      <c r="E835" s="5"/>
    </row>
    <row r="836" ht="15.75" customHeight="1">
      <c r="A836" s="8"/>
      <c r="C836" s="5"/>
      <c r="D836" s="5"/>
      <c r="E836" s="5"/>
    </row>
    <row r="837" ht="15.75" customHeight="1">
      <c r="A837" s="8"/>
      <c r="C837" s="5"/>
      <c r="D837" s="5"/>
      <c r="E837" s="5"/>
    </row>
    <row r="838" ht="15.75" customHeight="1">
      <c r="A838" s="8"/>
      <c r="C838" s="5"/>
      <c r="D838" s="5"/>
      <c r="E838" s="5"/>
    </row>
    <row r="839" ht="15.75" customHeight="1">
      <c r="A839" s="8"/>
      <c r="C839" s="5"/>
      <c r="D839" s="5"/>
      <c r="E839" s="5"/>
    </row>
    <row r="840" ht="15.75" customHeight="1">
      <c r="A840" s="8"/>
      <c r="C840" s="5"/>
      <c r="D840" s="5"/>
      <c r="E840" s="5"/>
    </row>
    <row r="841" ht="15.75" customHeight="1">
      <c r="A841" s="8"/>
      <c r="C841" s="5"/>
      <c r="D841" s="5"/>
      <c r="E841" s="5"/>
    </row>
    <row r="842" ht="15.75" customHeight="1">
      <c r="A842" s="8"/>
      <c r="C842" s="5"/>
      <c r="D842" s="5"/>
      <c r="E842" s="5"/>
    </row>
    <row r="843" ht="15.75" customHeight="1">
      <c r="A843" s="8"/>
      <c r="C843" s="5"/>
      <c r="D843" s="5"/>
      <c r="E843" s="5"/>
    </row>
    <row r="844" ht="15.75" customHeight="1">
      <c r="A844" s="8"/>
      <c r="C844" s="5"/>
      <c r="D844" s="5"/>
      <c r="E844" s="5"/>
    </row>
    <row r="845" ht="15.75" customHeight="1">
      <c r="A845" s="8"/>
      <c r="C845" s="5"/>
      <c r="D845" s="5"/>
      <c r="E845" s="5"/>
    </row>
    <row r="846" ht="15.75" customHeight="1">
      <c r="A846" s="8"/>
      <c r="C846" s="5"/>
      <c r="D846" s="5"/>
      <c r="E846" s="5"/>
    </row>
    <row r="847" ht="15.75" customHeight="1">
      <c r="A847" s="8"/>
      <c r="C847" s="5"/>
      <c r="D847" s="5"/>
      <c r="E847" s="5"/>
    </row>
    <row r="848" ht="15.75" customHeight="1">
      <c r="A848" s="8"/>
      <c r="C848" s="5"/>
      <c r="D848" s="5"/>
      <c r="E848" s="5"/>
    </row>
    <row r="849" ht="15.75" customHeight="1">
      <c r="A849" s="8"/>
      <c r="C849" s="5"/>
      <c r="D849" s="5"/>
      <c r="E849" s="5"/>
    </row>
    <row r="850" ht="15.75" customHeight="1">
      <c r="A850" s="8"/>
      <c r="C850" s="5"/>
      <c r="D850" s="5"/>
      <c r="E850" s="5"/>
    </row>
    <row r="851" ht="15.75" customHeight="1">
      <c r="A851" s="8"/>
      <c r="C851" s="5"/>
      <c r="D851" s="5"/>
      <c r="E851" s="5"/>
    </row>
    <row r="852" ht="15.75" customHeight="1">
      <c r="A852" s="8"/>
      <c r="C852" s="5"/>
      <c r="D852" s="5"/>
      <c r="E852" s="5"/>
    </row>
    <row r="853" ht="15.75" customHeight="1">
      <c r="A853" s="8"/>
      <c r="C853" s="5"/>
      <c r="D853" s="5"/>
      <c r="E853" s="5"/>
    </row>
    <row r="854" ht="15.75" customHeight="1">
      <c r="A854" s="8"/>
      <c r="C854" s="5"/>
      <c r="D854" s="5"/>
      <c r="E854" s="5"/>
    </row>
    <row r="855" ht="15.75" customHeight="1">
      <c r="A855" s="8"/>
      <c r="C855" s="5"/>
      <c r="D855" s="5"/>
      <c r="E855" s="5"/>
    </row>
    <row r="856" ht="15.75" customHeight="1">
      <c r="A856" s="8"/>
      <c r="C856" s="5"/>
      <c r="D856" s="5"/>
      <c r="E856" s="5"/>
    </row>
    <row r="857" ht="15.75" customHeight="1">
      <c r="A857" s="8"/>
      <c r="C857" s="5"/>
      <c r="D857" s="5"/>
      <c r="E857" s="5"/>
    </row>
    <row r="858" ht="15.75" customHeight="1">
      <c r="A858" s="8"/>
      <c r="C858" s="5"/>
      <c r="D858" s="5"/>
      <c r="E858" s="5"/>
    </row>
    <row r="859" ht="15.75" customHeight="1">
      <c r="A859" s="8"/>
      <c r="C859" s="5"/>
      <c r="D859" s="5"/>
      <c r="E859" s="5"/>
    </row>
    <row r="860" ht="15.75" customHeight="1">
      <c r="A860" s="8"/>
      <c r="C860" s="5"/>
      <c r="D860" s="5"/>
      <c r="E860" s="5"/>
    </row>
    <row r="861" ht="15.75" customHeight="1">
      <c r="A861" s="8"/>
      <c r="C861" s="5"/>
      <c r="D861" s="5"/>
      <c r="E861" s="5"/>
    </row>
    <row r="862" ht="15.75" customHeight="1">
      <c r="A862" s="8"/>
      <c r="C862" s="5"/>
      <c r="D862" s="5"/>
      <c r="E862" s="5"/>
    </row>
    <row r="863" ht="15.75" customHeight="1">
      <c r="A863" s="8"/>
      <c r="C863" s="5"/>
      <c r="D863" s="5"/>
      <c r="E863" s="5"/>
    </row>
    <row r="864" ht="15.75" customHeight="1">
      <c r="A864" s="8"/>
      <c r="C864" s="5"/>
      <c r="D864" s="5"/>
      <c r="E864" s="5"/>
    </row>
    <row r="865" ht="15.75" customHeight="1">
      <c r="A865" s="8"/>
      <c r="C865" s="5"/>
      <c r="D865" s="5"/>
      <c r="E865" s="5"/>
    </row>
    <row r="866" ht="15.75" customHeight="1">
      <c r="A866" s="8"/>
      <c r="C866" s="5"/>
      <c r="D866" s="5"/>
      <c r="E866" s="5"/>
    </row>
    <row r="867" ht="15.75" customHeight="1">
      <c r="A867" s="8"/>
      <c r="C867" s="5"/>
      <c r="D867" s="5"/>
      <c r="E867" s="5"/>
    </row>
    <row r="868" ht="15.75" customHeight="1">
      <c r="A868" s="8"/>
      <c r="C868" s="5"/>
      <c r="D868" s="5"/>
      <c r="E868" s="5"/>
    </row>
    <row r="869" ht="15.75" customHeight="1">
      <c r="A869" s="8"/>
      <c r="C869" s="5"/>
      <c r="D869" s="5"/>
      <c r="E869" s="5"/>
    </row>
    <row r="870" ht="15.75" customHeight="1">
      <c r="A870" s="8"/>
      <c r="C870" s="5"/>
      <c r="D870" s="5"/>
      <c r="E870" s="5"/>
    </row>
    <row r="871" ht="15.75" customHeight="1">
      <c r="A871" s="8"/>
      <c r="C871" s="5"/>
      <c r="D871" s="5"/>
      <c r="E871" s="5"/>
    </row>
    <row r="872" ht="15.75" customHeight="1">
      <c r="A872" s="8"/>
      <c r="C872" s="5"/>
      <c r="D872" s="5"/>
      <c r="E872" s="5"/>
    </row>
    <row r="873" ht="15.75" customHeight="1">
      <c r="A873" s="8"/>
      <c r="C873" s="5"/>
      <c r="D873" s="5"/>
      <c r="E873" s="5"/>
    </row>
    <row r="874" ht="15.75" customHeight="1">
      <c r="A874" s="8"/>
      <c r="C874" s="5"/>
      <c r="D874" s="5"/>
      <c r="E874" s="5"/>
    </row>
    <row r="875" ht="15.75" customHeight="1">
      <c r="A875" s="8"/>
      <c r="C875" s="5"/>
      <c r="D875" s="5"/>
      <c r="E875" s="5"/>
    </row>
    <row r="876" ht="15.75" customHeight="1">
      <c r="A876" s="8"/>
      <c r="C876" s="5"/>
      <c r="D876" s="5"/>
      <c r="E876" s="5"/>
    </row>
    <row r="877" ht="15.75" customHeight="1">
      <c r="A877" s="8"/>
      <c r="C877" s="5"/>
      <c r="D877" s="5"/>
      <c r="E877" s="5"/>
    </row>
    <row r="878" ht="15.75" customHeight="1">
      <c r="A878" s="8"/>
      <c r="C878" s="5"/>
      <c r="D878" s="5"/>
      <c r="E878" s="5"/>
    </row>
    <row r="879" ht="15.75" customHeight="1">
      <c r="A879" s="8"/>
      <c r="C879" s="5"/>
      <c r="D879" s="5"/>
      <c r="E879" s="5"/>
    </row>
    <row r="880" ht="15.75" customHeight="1">
      <c r="A880" s="8"/>
      <c r="C880" s="5"/>
      <c r="D880" s="5"/>
      <c r="E880" s="5"/>
    </row>
    <row r="881" ht="15.75" customHeight="1">
      <c r="A881" s="8"/>
      <c r="C881" s="5"/>
      <c r="D881" s="5"/>
      <c r="E881" s="5"/>
    </row>
    <row r="882" ht="15.75" customHeight="1">
      <c r="A882" s="8"/>
      <c r="C882" s="5"/>
      <c r="D882" s="5"/>
      <c r="E882" s="5"/>
    </row>
    <row r="883" ht="15.75" customHeight="1">
      <c r="A883" s="8"/>
      <c r="C883" s="5"/>
      <c r="D883" s="5"/>
      <c r="E883" s="5"/>
    </row>
    <row r="884" ht="15.75" customHeight="1">
      <c r="A884" s="8"/>
      <c r="C884" s="5"/>
      <c r="D884" s="5"/>
      <c r="E884" s="5"/>
    </row>
    <row r="885" ht="15.75" customHeight="1">
      <c r="A885" s="8"/>
      <c r="C885" s="5"/>
      <c r="D885" s="5"/>
      <c r="E885" s="5"/>
    </row>
    <row r="886" ht="15.75" customHeight="1">
      <c r="A886" s="8"/>
      <c r="C886" s="5"/>
      <c r="D886" s="5"/>
      <c r="E886" s="5"/>
    </row>
    <row r="887" ht="15.75" customHeight="1">
      <c r="A887" s="8"/>
      <c r="C887" s="5"/>
      <c r="D887" s="5"/>
      <c r="E887" s="5"/>
    </row>
    <row r="888" ht="15.75" customHeight="1">
      <c r="A888" s="8"/>
      <c r="C888" s="5"/>
      <c r="D888" s="5"/>
      <c r="E888" s="5"/>
    </row>
    <row r="889" ht="15.75" customHeight="1">
      <c r="A889" s="8"/>
      <c r="C889" s="5"/>
      <c r="D889" s="5"/>
      <c r="E889" s="5"/>
    </row>
    <row r="890" ht="15.75" customHeight="1">
      <c r="A890" s="8"/>
      <c r="C890" s="5"/>
      <c r="D890" s="5"/>
      <c r="E890" s="5"/>
    </row>
    <row r="891" ht="15.75" customHeight="1">
      <c r="A891" s="8"/>
      <c r="C891" s="5"/>
      <c r="D891" s="5"/>
      <c r="E891" s="5"/>
    </row>
    <row r="892" ht="15.75" customHeight="1">
      <c r="A892" s="8"/>
      <c r="C892" s="5"/>
      <c r="D892" s="5"/>
      <c r="E892" s="5"/>
    </row>
    <row r="893" ht="15.75" customHeight="1">
      <c r="A893" s="8"/>
      <c r="C893" s="5"/>
      <c r="D893" s="5"/>
      <c r="E893" s="5"/>
    </row>
    <row r="894" ht="15.75" customHeight="1">
      <c r="A894" s="8"/>
      <c r="C894" s="5"/>
      <c r="D894" s="5"/>
      <c r="E894" s="5"/>
    </row>
    <row r="895" ht="15.75" customHeight="1">
      <c r="A895" s="8"/>
      <c r="C895" s="5"/>
      <c r="D895" s="5"/>
      <c r="E895" s="5"/>
    </row>
    <row r="896" ht="15.75" customHeight="1">
      <c r="A896" s="8"/>
      <c r="C896" s="5"/>
      <c r="D896" s="5"/>
      <c r="E896" s="5"/>
    </row>
    <row r="897" ht="15.75" customHeight="1">
      <c r="A897" s="8"/>
      <c r="C897" s="5"/>
      <c r="D897" s="5"/>
      <c r="E897" s="5"/>
    </row>
    <row r="898" ht="15.75" customHeight="1">
      <c r="A898" s="8"/>
      <c r="C898" s="5"/>
      <c r="D898" s="5"/>
      <c r="E898" s="5"/>
    </row>
    <row r="899" ht="15.75" customHeight="1">
      <c r="A899" s="8"/>
      <c r="C899" s="5"/>
      <c r="D899" s="5"/>
      <c r="E899" s="5"/>
    </row>
    <row r="900" ht="15.75" customHeight="1">
      <c r="A900" s="8"/>
      <c r="C900" s="5"/>
      <c r="D900" s="5"/>
      <c r="E900" s="5"/>
    </row>
    <row r="901" ht="15.75" customHeight="1">
      <c r="A901" s="8"/>
      <c r="C901" s="5"/>
      <c r="D901" s="5"/>
      <c r="E901" s="5"/>
    </row>
    <row r="902" ht="15.75" customHeight="1">
      <c r="A902" s="8"/>
      <c r="C902" s="5"/>
      <c r="D902" s="5"/>
      <c r="E902" s="5"/>
    </row>
    <row r="903" ht="15.75" customHeight="1">
      <c r="A903" s="8"/>
      <c r="C903" s="5"/>
      <c r="D903" s="5"/>
      <c r="E903" s="5"/>
    </row>
    <row r="904" ht="15.75" customHeight="1">
      <c r="A904" s="8"/>
      <c r="C904" s="5"/>
      <c r="D904" s="5"/>
      <c r="E904" s="5"/>
    </row>
    <row r="905" ht="15.75" customHeight="1">
      <c r="A905" s="8"/>
      <c r="C905" s="5"/>
      <c r="D905" s="5"/>
      <c r="E905" s="5"/>
    </row>
    <row r="906" ht="15.75" customHeight="1">
      <c r="A906" s="8"/>
      <c r="C906" s="5"/>
      <c r="D906" s="5"/>
      <c r="E906" s="5"/>
    </row>
    <row r="907" ht="15.75" customHeight="1">
      <c r="A907" s="8"/>
      <c r="C907" s="5"/>
      <c r="D907" s="5"/>
      <c r="E907" s="5"/>
    </row>
    <row r="908" ht="15.75" customHeight="1">
      <c r="A908" s="8"/>
      <c r="C908" s="5"/>
      <c r="D908" s="5"/>
      <c r="E908" s="5"/>
    </row>
    <row r="909" ht="15.75" customHeight="1">
      <c r="A909" s="8"/>
      <c r="C909" s="5"/>
      <c r="D909" s="5"/>
      <c r="E909" s="5"/>
    </row>
    <row r="910" ht="15.75" customHeight="1">
      <c r="A910" s="8"/>
      <c r="C910" s="5"/>
      <c r="D910" s="5"/>
      <c r="E910" s="5"/>
    </row>
    <row r="911" ht="15.75" customHeight="1">
      <c r="A911" s="8"/>
      <c r="C911" s="5"/>
      <c r="D911" s="5"/>
      <c r="E911" s="5"/>
    </row>
    <row r="912" ht="15.75" customHeight="1">
      <c r="A912" s="8"/>
      <c r="C912" s="5"/>
      <c r="D912" s="5"/>
      <c r="E912" s="5"/>
    </row>
    <row r="913" ht="15.75" customHeight="1">
      <c r="A913" s="8"/>
      <c r="C913" s="5"/>
      <c r="D913" s="5"/>
      <c r="E913" s="5"/>
    </row>
    <row r="914" ht="15.75" customHeight="1">
      <c r="A914" s="8"/>
      <c r="C914" s="5"/>
      <c r="D914" s="5"/>
      <c r="E914" s="5"/>
    </row>
    <row r="915" ht="15.75" customHeight="1">
      <c r="A915" s="8"/>
      <c r="C915" s="5"/>
      <c r="D915" s="5"/>
      <c r="E915" s="5"/>
    </row>
    <row r="916" ht="15.75" customHeight="1">
      <c r="A916" s="8"/>
      <c r="C916" s="5"/>
      <c r="D916" s="5"/>
      <c r="E916" s="5"/>
    </row>
    <row r="917" ht="15.75" customHeight="1">
      <c r="A917" s="8"/>
      <c r="C917" s="5"/>
      <c r="D917" s="5"/>
      <c r="E917" s="5"/>
    </row>
    <row r="918" ht="15.75" customHeight="1">
      <c r="A918" s="8"/>
      <c r="C918" s="5"/>
      <c r="D918" s="5"/>
      <c r="E918" s="5"/>
    </row>
    <row r="919" ht="15.75" customHeight="1">
      <c r="A919" s="8"/>
      <c r="C919" s="5"/>
      <c r="D919" s="5"/>
      <c r="E919" s="5"/>
    </row>
    <row r="920" ht="15.75" customHeight="1">
      <c r="A920" s="8"/>
      <c r="C920" s="5"/>
      <c r="D920" s="5"/>
      <c r="E920" s="5"/>
    </row>
    <row r="921" ht="15.75" customHeight="1">
      <c r="A921" s="8"/>
      <c r="C921" s="5"/>
      <c r="D921" s="5"/>
      <c r="E921" s="5"/>
    </row>
    <row r="922" ht="15.75" customHeight="1">
      <c r="A922" s="8"/>
      <c r="C922" s="5"/>
      <c r="D922" s="5"/>
      <c r="E922" s="5"/>
    </row>
    <row r="923" ht="15.75" customHeight="1">
      <c r="A923" s="8"/>
      <c r="C923" s="5"/>
      <c r="D923" s="5"/>
      <c r="E923" s="5"/>
    </row>
    <row r="924" ht="15.75" customHeight="1">
      <c r="A924" s="8"/>
      <c r="C924" s="5"/>
      <c r="D924" s="5"/>
      <c r="E924" s="5"/>
    </row>
    <row r="925" ht="15.75" customHeight="1">
      <c r="A925" s="8"/>
      <c r="C925" s="5"/>
      <c r="D925" s="5"/>
      <c r="E925" s="5"/>
    </row>
    <row r="926" ht="15.75" customHeight="1">
      <c r="A926" s="8"/>
      <c r="C926" s="5"/>
      <c r="D926" s="5"/>
      <c r="E926" s="5"/>
    </row>
    <row r="927" ht="15.75" customHeight="1">
      <c r="A927" s="8"/>
      <c r="C927" s="5"/>
      <c r="D927" s="5"/>
      <c r="E927" s="5"/>
    </row>
    <row r="928" ht="15.75" customHeight="1">
      <c r="A928" s="8"/>
      <c r="C928" s="5"/>
      <c r="D928" s="5"/>
      <c r="E928" s="5"/>
    </row>
    <row r="929" ht="15.75" customHeight="1">
      <c r="A929" s="8"/>
      <c r="C929" s="5"/>
      <c r="D929" s="5"/>
      <c r="E929" s="5"/>
    </row>
    <row r="930" ht="15.75" customHeight="1">
      <c r="A930" s="8"/>
      <c r="C930" s="5"/>
      <c r="D930" s="5"/>
      <c r="E930" s="5"/>
    </row>
    <row r="931" ht="15.75" customHeight="1">
      <c r="A931" s="8"/>
      <c r="C931" s="5"/>
      <c r="D931" s="5"/>
      <c r="E931" s="5"/>
    </row>
    <row r="932" ht="15.75" customHeight="1">
      <c r="A932" s="8"/>
      <c r="C932" s="5"/>
      <c r="D932" s="5"/>
      <c r="E932" s="5"/>
    </row>
    <row r="933" ht="15.75" customHeight="1">
      <c r="A933" s="8"/>
      <c r="C933" s="5"/>
      <c r="D933" s="5"/>
      <c r="E933" s="5"/>
    </row>
    <row r="934" ht="15.75" customHeight="1">
      <c r="A934" s="8"/>
      <c r="C934" s="5"/>
      <c r="D934" s="5"/>
      <c r="E934" s="5"/>
    </row>
    <row r="935" ht="15.75" customHeight="1">
      <c r="A935" s="8"/>
      <c r="C935" s="5"/>
      <c r="D935" s="5"/>
      <c r="E935" s="5"/>
    </row>
    <row r="936" ht="15.75" customHeight="1">
      <c r="A936" s="8"/>
      <c r="C936" s="5"/>
      <c r="D936" s="5"/>
      <c r="E936" s="5"/>
    </row>
    <row r="937" ht="15.75" customHeight="1">
      <c r="A937" s="8"/>
      <c r="C937" s="5"/>
      <c r="D937" s="5"/>
      <c r="E937" s="5"/>
    </row>
    <row r="938" ht="15.75" customHeight="1">
      <c r="A938" s="8"/>
      <c r="C938" s="5"/>
      <c r="D938" s="5"/>
      <c r="E938" s="5"/>
    </row>
    <row r="939" ht="15.75" customHeight="1">
      <c r="A939" s="8"/>
      <c r="C939" s="5"/>
      <c r="D939" s="5"/>
      <c r="E939" s="5"/>
    </row>
    <row r="940" ht="15.75" customHeight="1">
      <c r="A940" s="8"/>
      <c r="C940" s="5"/>
      <c r="D940" s="5"/>
      <c r="E940" s="5"/>
    </row>
    <row r="941" ht="15.75" customHeight="1">
      <c r="A941" s="8"/>
      <c r="C941" s="5"/>
      <c r="D941" s="5"/>
      <c r="E941" s="5"/>
    </row>
    <row r="942" ht="15.75" customHeight="1">
      <c r="A942" s="8"/>
      <c r="C942" s="5"/>
      <c r="D942" s="5"/>
      <c r="E942" s="5"/>
    </row>
    <row r="943" ht="15.75" customHeight="1">
      <c r="A943" s="8"/>
      <c r="C943" s="5"/>
      <c r="D943" s="5"/>
      <c r="E943" s="5"/>
    </row>
    <row r="944" ht="15.75" customHeight="1">
      <c r="A944" s="8"/>
      <c r="C944" s="5"/>
      <c r="D944" s="5"/>
      <c r="E944" s="5"/>
    </row>
    <row r="945" ht="15.75" customHeight="1">
      <c r="A945" s="8"/>
      <c r="C945" s="5"/>
      <c r="D945" s="5"/>
      <c r="E945" s="5"/>
    </row>
    <row r="946" ht="15.75" customHeight="1">
      <c r="A946" s="8"/>
      <c r="C946" s="5"/>
      <c r="D946" s="5"/>
      <c r="E946" s="5"/>
    </row>
    <row r="947" ht="15.75" customHeight="1">
      <c r="A947" s="8"/>
      <c r="C947" s="5"/>
      <c r="D947" s="5"/>
      <c r="E947" s="5"/>
    </row>
    <row r="948" ht="15.75" customHeight="1">
      <c r="A948" s="8"/>
      <c r="C948" s="5"/>
      <c r="D948" s="5"/>
      <c r="E948" s="5"/>
    </row>
    <row r="949" ht="15.75" customHeight="1">
      <c r="A949" s="8"/>
      <c r="C949" s="5"/>
      <c r="D949" s="5"/>
      <c r="E949" s="5"/>
    </row>
    <row r="950" ht="15.75" customHeight="1">
      <c r="A950" s="8"/>
      <c r="C950" s="5"/>
      <c r="D950" s="5"/>
      <c r="E950" s="5"/>
    </row>
    <row r="951" ht="15.75" customHeight="1">
      <c r="A951" s="8"/>
      <c r="C951" s="5"/>
      <c r="D951" s="5"/>
      <c r="E951" s="5"/>
    </row>
    <row r="952" ht="15.75" customHeight="1">
      <c r="A952" s="8"/>
      <c r="C952" s="5"/>
      <c r="D952" s="5"/>
      <c r="E952" s="5"/>
    </row>
    <row r="953" ht="15.75" customHeight="1">
      <c r="A953" s="8"/>
      <c r="C953" s="5"/>
      <c r="D953" s="5"/>
      <c r="E953" s="5"/>
    </row>
    <row r="954" ht="15.75" customHeight="1">
      <c r="A954" s="8"/>
      <c r="C954" s="5"/>
      <c r="D954" s="5"/>
      <c r="E954" s="5"/>
    </row>
    <row r="955" ht="15.75" customHeight="1">
      <c r="A955" s="8"/>
      <c r="C955" s="5"/>
      <c r="D955" s="5"/>
      <c r="E955" s="5"/>
    </row>
    <row r="956" ht="15.75" customHeight="1">
      <c r="A956" s="8"/>
      <c r="C956" s="5"/>
      <c r="D956" s="5"/>
      <c r="E956" s="5"/>
    </row>
    <row r="957" ht="15.75" customHeight="1">
      <c r="A957" s="8"/>
      <c r="C957" s="5"/>
      <c r="D957" s="5"/>
      <c r="E957" s="5"/>
    </row>
    <row r="958" ht="15.75" customHeight="1">
      <c r="A958" s="8"/>
      <c r="C958" s="5"/>
      <c r="D958" s="5"/>
      <c r="E958" s="5"/>
    </row>
    <row r="959" ht="15.75" customHeight="1">
      <c r="A959" s="8"/>
      <c r="C959" s="5"/>
      <c r="D959" s="5"/>
      <c r="E959" s="5"/>
    </row>
    <row r="960" ht="15.75" customHeight="1">
      <c r="A960" s="8"/>
      <c r="C960" s="5"/>
      <c r="D960" s="5"/>
      <c r="E960" s="5"/>
    </row>
    <row r="961" ht="15.75" customHeight="1">
      <c r="A961" s="8"/>
      <c r="C961" s="5"/>
      <c r="D961" s="5"/>
      <c r="E961" s="5"/>
    </row>
    <row r="962" ht="15.75" customHeight="1">
      <c r="A962" s="8"/>
      <c r="C962" s="5"/>
      <c r="D962" s="5"/>
      <c r="E962" s="5"/>
    </row>
    <row r="963" ht="15.75" customHeight="1">
      <c r="A963" s="8"/>
      <c r="C963" s="5"/>
      <c r="D963" s="5"/>
      <c r="E963" s="5"/>
    </row>
    <row r="964" ht="15.75" customHeight="1">
      <c r="A964" s="8"/>
      <c r="C964" s="5"/>
      <c r="D964" s="5"/>
      <c r="E964" s="5"/>
    </row>
    <row r="965" ht="15.75" customHeight="1">
      <c r="A965" s="8"/>
      <c r="C965" s="5"/>
      <c r="D965" s="5"/>
      <c r="E965" s="5"/>
    </row>
    <row r="966" ht="15.75" customHeight="1">
      <c r="A966" s="8"/>
      <c r="C966" s="5"/>
      <c r="D966" s="5"/>
      <c r="E966" s="5"/>
    </row>
    <row r="967" ht="15.75" customHeight="1">
      <c r="A967" s="8"/>
      <c r="C967" s="5"/>
      <c r="D967" s="5"/>
      <c r="E967" s="5"/>
    </row>
    <row r="968" ht="15.75" customHeight="1">
      <c r="A968" s="8"/>
      <c r="C968" s="5"/>
      <c r="D968" s="5"/>
      <c r="E968" s="5"/>
    </row>
    <row r="969" ht="15.75" customHeight="1">
      <c r="A969" s="8"/>
      <c r="C969" s="5"/>
      <c r="D969" s="5"/>
      <c r="E969" s="5"/>
    </row>
    <row r="970" ht="15.75" customHeight="1">
      <c r="A970" s="8"/>
      <c r="C970" s="5"/>
      <c r="D970" s="5"/>
      <c r="E970" s="5"/>
    </row>
    <row r="971" ht="15.75" customHeight="1">
      <c r="A971" s="8"/>
      <c r="C971" s="5"/>
      <c r="D971" s="5"/>
      <c r="E971" s="5"/>
    </row>
    <row r="972" ht="15.75" customHeight="1">
      <c r="A972" s="8"/>
      <c r="C972" s="5"/>
      <c r="D972" s="5"/>
      <c r="E972" s="5"/>
    </row>
    <row r="973" ht="15.75" customHeight="1">
      <c r="A973" s="8"/>
      <c r="C973" s="5"/>
      <c r="D973" s="5"/>
      <c r="E973" s="5"/>
    </row>
    <row r="974" ht="15.75" customHeight="1">
      <c r="A974" s="8"/>
      <c r="C974" s="5"/>
      <c r="D974" s="5"/>
      <c r="E974" s="5"/>
    </row>
    <row r="975" ht="15.75" customHeight="1">
      <c r="A975" s="8"/>
      <c r="C975" s="5"/>
      <c r="D975" s="5"/>
      <c r="E975" s="5"/>
    </row>
    <row r="976" ht="15.75" customHeight="1">
      <c r="A976" s="8"/>
      <c r="C976" s="5"/>
      <c r="D976" s="5"/>
      <c r="E976" s="5"/>
    </row>
    <row r="977" ht="15.75" customHeight="1">
      <c r="A977" s="8"/>
      <c r="C977" s="5"/>
      <c r="D977" s="5"/>
      <c r="E977" s="5"/>
    </row>
    <row r="978" ht="15.75" customHeight="1">
      <c r="A978" s="8"/>
      <c r="C978" s="5"/>
      <c r="D978" s="5"/>
      <c r="E978" s="5"/>
    </row>
    <row r="979" ht="15.75" customHeight="1">
      <c r="A979" s="8"/>
      <c r="C979" s="5"/>
      <c r="D979" s="5"/>
      <c r="E979" s="5"/>
    </row>
    <row r="980" ht="15.75" customHeight="1">
      <c r="A980" s="8"/>
      <c r="C980" s="5"/>
      <c r="D980" s="5"/>
      <c r="E980" s="5"/>
    </row>
    <row r="981" ht="15.75" customHeight="1">
      <c r="A981" s="8"/>
      <c r="C981" s="5"/>
      <c r="D981" s="5"/>
      <c r="E981" s="5"/>
    </row>
    <row r="982" ht="15.75" customHeight="1">
      <c r="A982" s="8"/>
      <c r="C982" s="5"/>
      <c r="D982" s="5"/>
      <c r="E982" s="5"/>
    </row>
    <row r="983" ht="15.75" customHeight="1">
      <c r="A983" s="8"/>
      <c r="C983" s="5"/>
      <c r="D983" s="5"/>
      <c r="E983" s="5"/>
    </row>
    <row r="984" ht="15.75" customHeight="1">
      <c r="A984" s="8"/>
      <c r="C984" s="5"/>
      <c r="D984" s="5"/>
      <c r="E984" s="5"/>
    </row>
    <row r="985" ht="15.75" customHeight="1">
      <c r="A985" s="8"/>
      <c r="C985" s="5"/>
      <c r="D985" s="5"/>
      <c r="E985" s="5"/>
    </row>
    <row r="986" ht="15.75" customHeight="1">
      <c r="A986" s="8"/>
      <c r="C986" s="5"/>
      <c r="D986" s="5"/>
      <c r="E986" s="5"/>
    </row>
    <row r="987" ht="15.75" customHeight="1">
      <c r="A987" s="8"/>
      <c r="C987" s="5"/>
      <c r="D987" s="5"/>
      <c r="E987" s="5"/>
    </row>
    <row r="988" ht="15.75" customHeight="1">
      <c r="A988" s="8"/>
      <c r="C988" s="5"/>
      <c r="D988" s="5"/>
      <c r="E988" s="5"/>
    </row>
    <row r="989" ht="15.75" customHeight="1">
      <c r="A989" s="8"/>
      <c r="C989" s="5"/>
      <c r="D989" s="5"/>
      <c r="E989" s="5"/>
    </row>
    <row r="990" ht="15.75" customHeight="1">
      <c r="A990" s="8"/>
      <c r="C990" s="5"/>
      <c r="D990" s="5"/>
      <c r="E990" s="5"/>
    </row>
    <row r="991" ht="15.75" customHeight="1">
      <c r="A991" s="8"/>
      <c r="C991" s="5"/>
      <c r="D991" s="5"/>
      <c r="E991" s="5"/>
    </row>
    <row r="992" ht="15.75" customHeight="1">
      <c r="A992" s="8"/>
      <c r="C992" s="5"/>
      <c r="D992" s="5"/>
      <c r="E992" s="5"/>
    </row>
    <row r="993" ht="15.75" customHeight="1">
      <c r="A993" s="8"/>
      <c r="C993" s="5"/>
      <c r="D993" s="5"/>
      <c r="E993" s="5"/>
    </row>
    <row r="994" ht="15.75" customHeight="1">
      <c r="A994" s="8"/>
      <c r="C994" s="5"/>
      <c r="D994" s="5"/>
      <c r="E994" s="5"/>
    </row>
    <row r="995" ht="15.75" customHeight="1">
      <c r="A995" s="8"/>
      <c r="C995" s="5"/>
      <c r="D995" s="5"/>
      <c r="E995" s="5"/>
    </row>
    <row r="996" ht="15.75" customHeight="1">
      <c r="A996" s="8"/>
      <c r="C996" s="5"/>
      <c r="D996" s="5"/>
      <c r="E996" s="5"/>
    </row>
    <row r="997" ht="15.75" customHeight="1">
      <c r="A997" s="8"/>
      <c r="C997" s="5"/>
      <c r="D997" s="5"/>
      <c r="E997" s="5"/>
    </row>
    <row r="998" ht="15.75" customHeight="1">
      <c r="A998" s="8"/>
      <c r="C998" s="5"/>
      <c r="D998" s="5"/>
      <c r="E998" s="5"/>
    </row>
    <row r="999" ht="15.75" customHeight="1">
      <c r="A999" s="8"/>
      <c r="C999" s="5"/>
      <c r="D999" s="5"/>
      <c r="E999" s="5"/>
    </row>
    <row r="1000" ht="15.75" customHeight="1">
      <c r="A1000" s="8"/>
      <c r="C1000" s="5"/>
      <c r="D1000" s="5"/>
      <c r="E1000" s="5"/>
    </row>
  </sheetData>
  <autoFilter ref="$A$4:$I$65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83.0"/>
    <col customWidth="1" min="3" max="4" width="21.11"/>
    <col customWidth="1" min="5" max="5" width="19.11"/>
    <col customWidth="1" min="6" max="6" width="26.44"/>
    <col customWidth="1" min="7" max="7" width="30.67"/>
    <col customWidth="1" min="8" max="8" width="71.0"/>
    <col customWidth="1" min="9" max="9" width="49.11"/>
    <col customWidth="1" min="10" max="10" width="66.33"/>
    <col customWidth="1" min="11" max="26" width="10.56"/>
  </cols>
  <sheetData>
    <row r="1" ht="15.75" customHeight="1">
      <c r="A1" s="2" t="s">
        <v>1378</v>
      </c>
      <c r="B1" s="3" t="s">
        <v>6</v>
      </c>
      <c r="C1" s="5" t="s">
        <v>6</v>
      </c>
      <c r="D1" s="5" t="s">
        <v>6</v>
      </c>
      <c r="E1" s="5" t="s">
        <v>6</v>
      </c>
      <c r="F1" s="6" t="s">
        <v>6</v>
      </c>
      <c r="G1" s="6" t="s">
        <v>6</v>
      </c>
    </row>
    <row r="2" ht="15.75" customHeight="1">
      <c r="A2" s="2" t="s">
        <v>8</v>
      </c>
      <c r="C2" s="5" t="s">
        <v>6</v>
      </c>
      <c r="D2" s="5" t="s">
        <v>6</v>
      </c>
      <c r="E2" s="5" t="s">
        <v>6</v>
      </c>
      <c r="F2" s="6" t="s">
        <v>6</v>
      </c>
    </row>
    <row r="3" ht="15.75" customHeight="1">
      <c r="A3" s="8"/>
      <c r="C3" s="5"/>
      <c r="D3" s="5"/>
      <c r="E3" s="5"/>
    </row>
    <row r="4" ht="15.75" customHeight="1">
      <c r="A4" s="1" t="s">
        <v>10</v>
      </c>
      <c r="B4" s="9" t="s">
        <v>11</v>
      </c>
      <c r="C4" s="10"/>
      <c r="D4" s="10"/>
      <c r="E4" s="10">
        <v>1281227.0</v>
      </c>
    </row>
    <row r="5" ht="15.75" customHeight="1">
      <c r="A5" s="8">
        <v>46387.0</v>
      </c>
      <c r="B5" s="5" t="s">
        <v>1384</v>
      </c>
      <c r="C5" s="5">
        <v>25000.0</v>
      </c>
      <c r="D5" s="5">
        <v>0.0</v>
      </c>
      <c r="E5" s="5">
        <f t="shared" ref="E5:E36" si="1">E4-C5+D5</f>
        <v>1256227</v>
      </c>
      <c r="F5" s="14" t="s">
        <v>43</v>
      </c>
      <c r="G5" s="4" t="s">
        <v>1389</v>
      </c>
      <c r="H5" s="14" t="s">
        <v>6</v>
      </c>
      <c r="I5" s="16" t="s">
        <v>6</v>
      </c>
    </row>
    <row r="6" ht="15.75" customHeight="1">
      <c r="A6" s="8">
        <v>46081.0</v>
      </c>
      <c r="B6" s="5" t="s">
        <v>1384</v>
      </c>
      <c r="C6" s="5">
        <v>25000.0</v>
      </c>
      <c r="D6" s="5">
        <v>0.0</v>
      </c>
      <c r="E6" s="5">
        <f t="shared" si="1"/>
        <v>1231227</v>
      </c>
      <c r="F6" s="4" t="s">
        <v>43</v>
      </c>
      <c r="G6" s="4" t="s">
        <v>1389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8">
        <v>46112.0</v>
      </c>
      <c r="B7" s="5" t="s">
        <v>1393</v>
      </c>
      <c r="C7" s="5">
        <v>1000000.0</v>
      </c>
      <c r="D7" s="5">
        <v>0.0</v>
      </c>
      <c r="E7" s="5">
        <f t="shared" si="1"/>
        <v>231227</v>
      </c>
      <c r="F7" s="4" t="s">
        <v>21</v>
      </c>
      <c r="G7" s="4" t="s">
        <v>1075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8">
        <v>46112.0</v>
      </c>
      <c r="B8" s="5" t="s">
        <v>1397</v>
      </c>
      <c r="C8" s="5">
        <v>2500.0</v>
      </c>
      <c r="D8" s="5">
        <v>0.0</v>
      </c>
      <c r="E8" s="5">
        <f t="shared" si="1"/>
        <v>228727</v>
      </c>
      <c r="F8" s="4" t="s">
        <v>43</v>
      </c>
      <c r="G8" s="4" t="s">
        <v>1389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8">
        <v>46112.0</v>
      </c>
      <c r="B9" s="5" t="s">
        <v>1384</v>
      </c>
      <c r="C9" s="5">
        <v>25000.0</v>
      </c>
      <c r="D9" s="5">
        <v>0.0</v>
      </c>
      <c r="E9" s="5">
        <f t="shared" si="1"/>
        <v>203727</v>
      </c>
      <c r="F9" s="4" t="s">
        <v>43</v>
      </c>
      <c r="G9" s="4" t="s">
        <v>1389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8">
        <v>46141.59136574075</v>
      </c>
      <c r="B10" s="5" t="s">
        <v>1403</v>
      </c>
      <c r="C10" s="5">
        <v>0.0</v>
      </c>
      <c r="D10" s="5">
        <v>7.28648649E8</v>
      </c>
      <c r="E10" s="5">
        <f t="shared" si="1"/>
        <v>728852376</v>
      </c>
      <c r="F10" s="4" t="s">
        <v>24</v>
      </c>
      <c r="G10" s="4" t="s">
        <v>26</v>
      </c>
      <c r="H10" s="14" t="s">
        <v>1406</v>
      </c>
      <c r="I10" s="14" t="s">
        <v>1407</v>
      </c>
      <c r="J10" s="14" t="s">
        <v>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8">
        <v>46141.60722222223</v>
      </c>
      <c r="B11" s="5" t="s">
        <v>1409</v>
      </c>
      <c r="C11" s="5">
        <v>2.5E8</v>
      </c>
      <c r="D11" s="5">
        <v>0.0</v>
      </c>
      <c r="E11" s="5">
        <f t="shared" si="1"/>
        <v>478852376</v>
      </c>
      <c r="F11" s="4" t="s">
        <v>21</v>
      </c>
      <c r="G11" s="4" t="s">
        <v>1411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8">
        <v>46141.0</v>
      </c>
      <c r="B12" s="5" t="s">
        <v>1413</v>
      </c>
      <c r="C12" s="5">
        <v>2500.0</v>
      </c>
      <c r="D12" s="5">
        <v>0.0</v>
      </c>
      <c r="E12" s="5">
        <f t="shared" si="1"/>
        <v>478849876</v>
      </c>
      <c r="F12" s="4" t="s">
        <v>43</v>
      </c>
      <c r="G12" s="4" t="s">
        <v>1389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8">
        <v>46141.61078703703</v>
      </c>
      <c r="B13" s="5" t="s">
        <v>1415</v>
      </c>
      <c r="C13" s="5">
        <v>2.5E8</v>
      </c>
      <c r="D13" s="5">
        <v>0.0</v>
      </c>
      <c r="E13" s="5">
        <f t="shared" si="1"/>
        <v>228849876</v>
      </c>
      <c r="F13" s="4" t="s">
        <v>21</v>
      </c>
      <c r="G13" s="4" t="s">
        <v>1075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8">
        <v>46141.0</v>
      </c>
      <c r="B14" s="5" t="s">
        <v>1413</v>
      </c>
      <c r="C14" s="5">
        <v>2500.0</v>
      </c>
      <c r="D14" s="5">
        <v>0.0</v>
      </c>
      <c r="E14" s="5">
        <f t="shared" si="1"/>
        <v>228847376</v>
      </c>
      <c r="F14" s="4" t="s">
        <v>43</v>
      </c>
      <c r="G14" s="4" t="s">
        <v>1389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8">
        <v>46141.61423611111</v>
      </c>
      <c r="B15" s="5" t="s">
        <v>1415</v>
      </c>
      <c r="C15" s="5">
        <v>2.0E8</v>
      </c>
      <c r="D15" s="5">
        <v>0.0</v>
      </c>
      <c r="E15" s="5">
        <f t="shared" si="1"/>
        <v>28847376</v>
      </c>
      <c r="F15" s="4" t="s">
        <v>21</v>
      </c>
      <c r="G15" s="4" t="s">
        <v>1075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8">
        <v>46141.0</v>
      </c>
      <c r="B16" s="5" t="s">
        <v>1413</v>
      </c>
      <c r="C16" s="5">
        <v>2500.0</v>
      </c>
      <c r="D16" s="5">
        <v>0.0</v>
      </c>
      <c r="E16" s="5">
        <f t="shared" si="1"/>
        <v>28844876</v>
      </c>
      <c r="F16" s="4" t="s">
        <v>43</v>
      </c>
      <c r="G16" s="4" t="s">
        <v>1389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8">
        <v>46141.62134259258</v>
      </c>
      <c r="B17" s="5" t="s">
        <v>1424</v>
      </c>
      <c r="C17" s="5">
        <v>2.7842376E7</v>
      </c>
      <c r="D17" s="5">
        <v>0.0</v>
      </c>
      <c r="E17" s="5">
        <f t="shared" si="1"/>
        <v>1002500</v>
      </c>
      <c r="F17" s="14" t="s">
        <v>21</v>
      </c>
      <c r="G17" s="4" t="s">
        <v>1411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8">
        <v>46141.62134259258</v>
      </c>
      <c r="B18" s="5" t="s">
        <v>1413</v>
      </c>
      <c r="C18" s="5">
        <v>2500.0</v>
      </c>
      <c r="D18" s="5">
        <v>0.0</v>
      </c>
      <c r="E18" s="5">
        <f t="shared" si="1"/>
        <v>1000000</v>
      </c>
      <c r="F18" s="4" t="s">
        <v>43</v>
      </c>
      <c r="G18" s="4" t="s">
        <v>1389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8">
        <v>46142.0</v>
      </c>
      <c r="B19" s="5" t="s">
        <v>1384</v>
      </c>
      <c r="C19" s="5">
        <v>25000.0</v>
      </c>
      <c r="D19" s="5">
        <v>0.0</v>
      </c>
      <c r="E19" s="5">
        <f t="shared" si="1"/>
        <v>975000</v>
      </c>
      <c r="F19" s="4" t="s">
        <v>43</v>
      </c>
      <c r="G19" s="4" t="s">
        <v>1389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8">
        <v>46142.0</v>
      </c>
      <c r="B20" s="5" t="s">
        <v>1434</v>
      </c>
      <c r="C20" s="5">
        <v>25000.0</v>
      </c>
      <c r="D20" s="5">
        <v>0.0</v>
      </c>
      <c r="E20" s="5">
        <f t="shared" si="1"/>
        <v>950000</v>
      </c>
      <c r="F20" s="4" t="s">
        <v>43</v>
      </c>
      <c r="G20" s="4" t="s">
        <v>1389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8">
        <v>46173.0</v>
      </c>
      <c r="B21" s="5" t="s">
        <v>1384</v>
      </c>
      <c r="C21" s="5">
        <v>25000.0</v>
      </c>
      <c r="D21" s="5">
        <v>0.0</v>
      </c>
      <c r="E21" s="5">
        <f t="shared" si="1"/>
        <v>925000</v>
      </c>
      <c r="F21" s="4" t="s">
        <v>43</v>
      </c>
      <c r="G21" s="4" t="s">
        <v>1389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8">
        <v>46173.0</v>
      </c>
      <c r="B22" s="5" t="s">
        <v>1434</v>
      </c>
      <c r="C22" s="5">
        <v>25000.0</v>
      </c>
      <c r="D22" s="5">
        <v>0.0</v>
      </c>
      <c r="E22" s="5">
        <f t="shared" si="1"/>
        <v>900000</v>
      </c>
      <c r="F22" s="4" t="s">
        <v>43</v>
      </c>
      <c r="G22" s="4" t="s">
        <v>1389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8">
        <v>46203.0</v>
      </c>
      <c r="B23" s="5" t="s">
        <v>1384</v>
      </c>
      <c r="C23" s="5">
        <v>25000.0</v>
      </c>
      <c r="D23" s="5">
        <v>0.0</v>
      </c>
      <c r="E23" s="5">
        <f t="shared" si="1"/>
        <v>875000</v>
      </c>
      <c r="F23" s="4" t="s">
        <v>43</v>
      </c>
      <c r="G23" s="4" t="s">
        <v>1389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8">
        <v>46203.0</v>
      </c>
      <c r="B24" s="5" t="s">
        <v>1434</v>
      </c>
      <c r="C24" s="5">
        <v>25000.0</v>
      </c>
      <c r="D24" s="5">
        <v>0.0</v>
      </c>
      <c r="E24" s="5">
        <f t="shared" si="1"/>
        <v>850000</v>
      </c>
      <c r="F24" s="4" t="s">
        <v>43</v>
      </c>
      <c r="G24" s="4" t="s">
        <v>1389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8">
        <v>46234.0</v>
      </c>
      <c r="B25" s="5" t="s">
        <v>1384</v>
      </c>
      <c r="C25" s="5">
        <v>25000.0</v>
      </c>
      <c r="D25" s="5">
        <v>0.0</v>
      </c>
      <c r="E25" s="5">
        <f t="shared" si="1"/>
        <v>825000</v>
      </c>
      <c r="F25" s="4" t="s">
        <v>43</v>
      </c>
      <c r="G25" s="4" t="s">
        <v>1389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8">
        <v>46234.0</v>
      </c>
      <c r="B26" s="5" t="s">
        <v>1434</v>
      </c>
      <c r="C26" s="5">
        <v>25000.0</v>
      </c>
      <c r="D26" s="5">
        <v>0.0</v>
      </c>
      <c r="E26" s="5">
        <f t="shared" si="1"/>
        <v>800000</v>
      </c>
      <c r="F26" s="4" t="s">
        <v>43</v>
      </c>
      <c r="G26" s="4" t="s">
        <v>1389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8">
        <v>46246.0</v>
      </c>
      <c r="B27" s="5" t="s">
        <v>1447</v>
      </c>
      <c r="C27" s="5">
        <v>0.0</v>
      </c>
      <c r="D27" s="5">
        <v>5.31464374E8</v>
      </c>
      <c r="E27" s="5">
        <f t="shared" si="1"/>
        <v>532264374</v>
      </c>
      <c r="F27" s="4" t="s">
        <v>75</v>
      </c>
      <c r="G27" s="4" t="s">
        <v>76</v>
      </c>
      <c r="H27" s="14" t="s">
        <v>931</v>
      </c>
      <c r="I27" s="14" t="s">
        <v>1450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8">
        <v>46265.0</v>
      </c>
      <c r="B28" s="5" t="s">
        <v>1453</v>
      </c>
      <c r="C28" s="5">
        <v>0.0</v>
      </c>
      <c r="D28" s="5">
        <v>281003.0</v>
      </c>
      <c r="E28" s="5">
        <f t="shared" si="1"/>
        <v>532545377</v>
      </c>
      <c r="F28" s="4" t="s">
        <v>63</v>
      </c>
      <c r="G28" s="4" t="s">
        <v>65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8">
        <v>46265.0</v>
      </c>
      <c r="B29" s="5" t="s">
        <v>1455</v>
      </c>
      <c r="C29" s="5">
        <v>56201.0</v>
      </c>
      <c r="D29" s="5">
        <v>0.0</v>
      </c>
      <c r="E29" s="5">
        <f t="shared" si="1"/>
        <v>532489176</v>
      </c>
      <c r="F29" s="4" t="s">
        <v>63</v>
      </c>
      <c r="G29" s="4" t="s">
        <v>65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8">
        <v>46265.0</v>
      </c>
      <c r="B30" s="5" t="s">
        <v>1384</v>
      </c>
      <c r="C30" s="5">
        <v>25000.0</v>
      </c>
      <c r="D30" s="5">
        <v>0.0</v>
      </c>
      <c r="E30" s="5">
        <f t="shared" si="1"/>
        <v>532464176</v>
      </c>
      <c r="F30" s="4" t="s">
        <v>43</v>
      </c>
      <c r="G30" s="4" t="s">
        <v>1389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8">
        <v>46267.0</v>
      </c>
      <c r="B31" s="4" t="s">
        <v>1461</v>
      </c>
      <c r="C31" s="5">
        <v>2.5E8</v>
      </c>
      <c r="D31" s="5">
        <v>0.0</v>
      </c>
      <c r="E31" s="5">
        <f t="shared" si="1"/>
        <v>282464176</v>
      </c>
      <c r="F31" s="4" t="s">
        <v>21</v>
      </c>
      <c r="G31" s="4" t="s">
        <v>1075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8">
        <v>46267.0</v>
      </c>
      <c r="B32" s="4" t="s">
        <v>1413</v>
      </c>
      <c r="C32" s="5">
        <v>2500.0</v>
      </c>
      <c r="D32" s="5">
        <v>0.0</v>
      </c>
      <c r="E32" s="5">
        <f t="shared" si="1"/>
        <v>282461676</v>
      </c>
      <c r="F32" s="4" t="s">
        <v>43</v>
      </c>
      <c r="G32" s="4" t="s">
        <v>1389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8">
        <v>46267.0</v>
      </c>
      <c r="B33" s="4" t="s">
        <v>1467</v>
      </c>
      <c r="C33" s="5">
        <v>2.5E8</v>
      </c>
      <c r="D33" s="5">
        <v>0.0</v>
      </c>
      <c r="E33" s="5">
        <f t="shared" si="1"/>
        <v>32461676</v>
      </c>
      <c r="F33" s="4" t="s">
        <v>21</v>
      </c>
      <c r="G33" s="4" t="s">
        <v>1411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8">
        <v>46267.0</v>
      </c>
      <c r="B34" s="4" t="s">
        <v>1413</v>
      </c>
      <c r="C34" s="5">
        <v>2500.0</v>
      </c>
      <c r="D34" s="5">
        <v>0.0</v>
      </c>
      <c r="E34" s="5">
        <f t="shared" si="1"/>
        <v>32459176</v>
      </c>
      <c r="F34" s="4" t="s">
        <v>43</v>
      </c>
      <c r="G34" s="4" t="s">
        <v>1389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8">
        <v>46267.0</v>
      </c>
      <c r="B35" s="4" t="s">
        <v>1473</v>
      </c>
      <c r="C35" s="5">
        <v>3.1456676E7</v>
      </c>
      <c r="D35" s="5">
        <v>0.0</v>
      </c>
      <c r="E35" s="5">
        <f t="shared" si="1"/>
        <v>1002500</v>
      </c>
      <c r="F35" s="4" t="s">
        <v>21</v>
      </c>
      <c r="G35" s="4" t="s">
        <v>1075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8">
        <v>46267.0</v>
      </c>
      <c r="B36" s="4" t="s">
        <v>1413</v>
      </c>
      <c r="C36" s="5">
        <v>2500.0</v>
      </c>
      <c r="D36" s="5">
        <v>0.0</v>
      </c>
      <c r="E36" s="5">
        <f t="shared" si="1"/>
        <v>1000000</v>
      </c>
      <c r="F36" s="4" t="s">
        <v>43</v>
      </c>
      <c r="G36" s="4" t="s">
        <v>1389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8"/>
      <c r="B37" s="5"/>
      <c r="C37" s="5"/>
      <c r="D37" s="5"/>
      <c r="E37" s="5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8"/>
      <c r="B38" s="14"/>
      <c r="C38" s="5">
        <f t="shared" ref="C38:D38" si="2">SUBTOTAL(9,C5:C37)</f>
        <v>1260675253</v>
      </c>
      <c r="D38" s="5">
        <f t="shared" si="2"/>
        <v>1260394026</v>
      </c>
      <c r="E38" s="5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8"/>
      <c r="B39" s="14"/>
      <c r="C39" s="5"/>
      <c r="D39" s="5">
        <f>D38-C38</f>
        <v>-281227</v>
      </c>
      <c r="E39" s="5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8"/>
      <c r="B40" s="14"/>
      <c r="C40" s="5"/>
      <c r="D40" s="5"/>
      <c r="E40" s="5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8"/>
      <c r="C41" s="5"/>
      <c r="D41" s="5"/>
      <c r="E41" s="5"/>
    </row>
    <row r="42" ht="15.75" customHeight="1">
      <c r="A42" s="8"/>
      <c r="C42" s="5"/>
      <c r="D42" s="5"/>
      <c r="E42" s="5"/>
    </row>
    <row r="43" ht="15.75" customHeight="1">
      <c r="A43" s="8"/>
      <c r="C43" s="5"/>
      <c r="D43" s="5"/>
      <c r="E43" s="5"/>
    </row>
    <row r="44" ht="15.75" customHeight="1">
      <c r="A44" s="8"/>
      <c r="C44" s="5"/>
      <c r="D44" s="5"/>
      <c r="E44" s="5"/>
    </row>
    <row r="45" ht="15.75" customHeight="1">
      <c r="A45" s="8"/>
      <c r="C45" s="5"/>
      <c r="D45" s="5"/>
      <c r="E45" s="5"/>
    </row>
    <row r="46" ht="15.75" customHeight="1">
      <c r="A46" s="8"/>
      <c r="C46" s="5"/>
      <c r="D46" s="5"/>
      <c r="E46" s="5"/>
    </row>
    <row r="47" ht="15.75" customHeight="1">
      <c r="A47" s="8"/>
      <c r="C47" s="5"/>
      <c r="D47" s="5"/>
      <c r="E47" s="5"/>
    </row>
    <row r="48" ht="15.75" customHeight="1">
      <c r="A48" s="8"/>
      <c r="C48" s="5"/>
      <c r="D48" s="5"/>
      <c r="E48" s="5"/>
    </row>
    <row r="49" ht="15.75" customHeight="1">
      <c r="A49" s="8"/>
      <c r="C49" s="5"/>
      <c r="D49" s="5"/>
      <c r="E49" s="5"/>
    </row>
    <row r="50" ht="15.75" customHeight="1">
      <c r="A50" s="8"/>
      <c r="C50" s="5"/>
      <c r="D50" s="5"/>
      <c r="E50" s="5"/>
    </row>
    <row r="51" ht="15.75" customHeight="1">
      <c r="A51" s="8"/>
      <c r="C51" s="5"/>
      <c r="D51" s="5"/>
      <c r="E51" s="5"/>
    </row>
    <row r="52" ht="15.75" customHeight="1">
      <c r="A52" s="8"/>
      <c r="C52" s="5"/>
      <c r="D52" s="5"/>
      <c r="E52" s="5"/>
    </row>
    <row r="53" ht="15.75" customHeight="1">
      <c r="A53" s="8"/>
      <c r="C53" s="5"/>
      <c r="D53" s="5"/>
      <c r="E53" s="5"/>
    </row>
    <row r="54" ht="15.75" customHeight="1">
      <c r="A54" s="8"/>
      <c r="C54" s="5"/>
      <c r="D54" s="5"/>
      <c r="E54" s="5"/>
    </row>
    <row r="55" ht="15.75" customHeight="1">
      <c r="A55" s="8"/>
      <c r="C55" s="5"/>
      <c r="D55" s="5"/>
      <c r="E55" s="5"/>
    </row>
    <row r="56" ht="15.75" customHeight="1">
      <c r="A56" s="8"/>
      <c r="C56" s="5"/>
      <c r="D56" s="5"/>
      <c r="E56" s="5"/>
    </row>
    <row r="57" ht="15.75" customHeight="1">
      <c r="A57" s="8"/>
      <c r="C57" s="5"/>
      <c r="D57" s="5"/>
      <c r="E57" s="5"/>
    </row>
    <row r="58" ht="15.75" customHeight="1">
      <c r="A58" s="8"/>
      <c r="C58" s="5"/>
      <c r="D58" s="5"/>
      <c r="E58" s="5"/>
    </row>
    <row r="59" ht="15.75" customHeight="1">
      <c r="A59" s="8"/>
      <c r="C59" s="5"/>
      <c r="D59" s="5"/>
      <c r="E59" s="5"/>
    </row>
    <row r="60" ht="15.75" customHeight="1">
      <c r="A60" s="8"/>
      <c r="C60" s="5"/>
      <c r="D60" s="5"/>
      <c r="E60" s="5"/>
    </row>
    <row r="61" ht="15.75" customHeight="1">
      <c r="A61" s="8"/>
      <c r="C61" s="5"/>
      <c r="D61" s="5"/>
      <c r="E61" s="5"/>
    </row>
    <row r="62" ht="15.75" customHeight="1">
      <c r="A62" s="8"/>
      <c r="C62" s="5"/>
      <c r="D62" s="5"/>
      <c r="E62" s="5"/>
    </row>
    <row r="63" ht="15.75" customHeight="1">
      <c r="A63" s="8"/>
      <c r="C63" s="5"/>
      <c r="D63" s="5"/>
      <c r="E63" s="5"/>
    </row>
    <row r="64" ht="15.75" customHeight="1">
      <c r="A64" s="8"/>
      <c r="C64" s="5"/>
      <c r="D64" s="5"/>
      <c r="E64" s="5"/>
    </row>
    <row r="65" ht="15.75" customHeight="1">
      <c r="A65" s="8"/>
      <c r="C65" s="5"/>
      <c r="D65" s="5"/>
      <c r="E65" s="5"/>
    </row>
    <row r="66" ht="15.75" customHeight="1">
      <c r="A66" s="8"/>
      <c r="C66" s="5"/>
      <c r="D66" s="5"/>
      <c r="E66" s="5"/>
    </row>
    <row r="67" ht="15.75" customHeight="1">
      <c r="A67" s="8"/>
      <c r="C67" s="5"/>
      <c r="D67" s="5"/>
      <c r="E67" s="5"/>
    </row>
    <row r="68" ht="15.75" customHeight="1">
      <c r="A68" s="8"/>
      <c r="C68" s="5"/>
      <c r="D68" s="5"/>
      <c r="E68" s="5"/>
    </row>
    <row r="69" ht="15.75" customHeight="1">
      <c r="A69" s="8"/>
      <c r="C69" s="5"/>
      <c r="D69" s="5"/>
      <c r="E69" s="5"/>
    </row>
    <row r="70" ht="15.75" customHeight="1">
      <c r="A70" s="8"/>
      <c r="C70" s="5"/>
      <c r="D70" s="5"/>
      <c r="E70" s="5"/>
    </row>
    <row r="71" ht="15.75" customHeight="1">
      <c r="A71" s="8"/>
      <c r="C71" s="5"/>
      <c r="D71" s="5"/>
      <c r="E71" s="5"/>
    </row>
    <row r="72" ht="15.75" customHeight="1">
      <c r="A72" s="8"/>
      <c r="C72" s="5"/>
      <c r="D72" s="5"/>
      <c r="E72" s="5"/>
    </row>
    <row r="73" ht="15.75" customHeight="1">
      <c r="A73" s="8"/>
      <c r="C73" s="5"/>
      <c r="D73" s="5"/>
      <c r="E73" s="5"/>
    </row>
    <row r="74" ht="15.75" customHeight="1">
      <c r="A74" s="8"/>
      <c r="C74" s="5"/>
      <c r="D74" s="5"/>
      <c r="E74" s="5"/>
    </row>
    <row r="75" ht="15.75" customHeight="1">
      <c r="A75" s="8"/>
      <c r="C75" s="5"/>
      <c r="D75" s="5"/>
      <c r="E75" s="5"/>
    </row>
    <row r="76" ht="15.75" customHeight="1">
      <c r="A76" s="8"/>
      <c r="C76" s="5"/>
      <c r="D76" s="5"/>
      <c r="E76" s="5"/>
    </row>
    <row r="77" ht="15.75" customHeight="1">
      <c r="A77" s="8"/>
      <c r="C77" s="5"/>
      <c r="D77" s="5"/>
      <c r="E77" s="5"/>
    </row>
    <row r="78" ht="15.75" customHeight="1">
      <c r="A78" s="8"/>
      <c r="C78" s="5"/>
      <c r="D78" s="5"/>
      <c r="E78" s="5"/>
    </row>
    <row r="79" ht="15.75" customHeight="1">
      <c r="A79" s="8"/>
      <c r="C79" s="5"/>
      <c r="D79" s="5"/>
      <c r="E79" s="5"/>
    </row>
    <row r="80" ht="15.75" customHeight="1">
      <c r="A80" s="8"/>
      <c r="C80" s="5"/>
      <c r="D80" s="5"/>
      <c r="E80" s="5"/>
    </row>
    <row r="81" ht="15.75" customHeight="1">
      <c r="A81" s="8"/>
      <c r="C81" s="5"/>
      <c r="D81" s="5"/>
      <c r="E81" s="5"/>
    </row>
    <row r="82" ht="15.75" customHeight="1">
      <c r="A82" s="8"/>
      <c r="C82" s="5"/>
      <c r="D82" s="5"/>
      <c r="E82" s="5"/>
    </row>
    <row r="83" ht="15.75" customHeight="1">
      <c r="A83" s="8"/>
      <c r="C83" s="5"/>
      <c r="D83" s="5"/>
      <c r="E83" s="5"/>
    </row>
    <row r="84" ht="15.75" customHeight="1">
      <c r="A84" s="8"/>
      <c r="C84" s="5"/>
      <c r="D84" s="5"/>
      <c r="E84" s="5"/>
    </row>
    <row r="85" ht="15.75" customHeight="1">
      <c r="A85" s="8"/>
      <c r="C85" s="5"/>
      <c r="D85" s="5"/>
      <c r="E85" s="5"/>
    </row>
    <row r="86" ht="15.75" customHeight="1">
      <c r="A86" s="8"/>
      <c r="C86" s="5"/>
      <c r="D86" s="5"/>
      <c r="E86" s="5"/>
    </row>
    <row r="87" ht="15.75" customHeight="1">
      <c r="A87" s="8"/>
      <c r="C87" s="5"/>
      <c r="D87" s="5"/>
      <c r="E87" s="5"/>
    </row>
    <row r="88" ht="15.75" customHeight="1">
      <c r="A88" s="8"/>
      <c r="C88" s="5"/>
      <c r="D88" s="5"/>
      <c r="E88" s="5"/>
    </row>
    <row r="89" ht="15.75" customHeight="1">
      <c r="A89" s="8"/>
      <c r="C89" s="5"/>
      <c r="D89" s="5"/>
      <c r="E89" s="5"/>
    </row>
    <row r="90" ht="15.75" customHeight="1">
      <c r="A90" s="8"/>
      <c r="C90" s="5"/>
      <c r="D90" s="5"/>
      <c r="E90" s="5"/>
    </row>
    <row r="91" ht="15.75" customHeight="1">
      <c r="A91" s="8"/>
      <c r="C91" s="5"/>
      <c r="D91" s="5"/>
      <c r="E91" s="5"/>
    </row>
    <row r="92" ht="15.75" customHeight="1">
      <c r="A92" s="8"/>
      <c r="C92" s="5"/>
      <c r="D92" s="5"/>
      <c r="E92" s="5"/>
    </row>
    <row r="93" ht="15.75" customHeight="1">
      <c r="A93" s="8"/>
      <c r="C93" s="5"/>
      <c r="D93" s="5"/>
      <c r="E93" s="5"/>
    </row>
    <row r="94" ht="15.75" customHeight="1">
      <c r="A94" s="8"/>
      <c r="C94" s="5"/>
      <c r="D94" s="5"/>
      <c r="E94" s="5"/>
    </row>
    <row r="95" ht="15.75" customHeight="1">
      <c r="A95" s="8"/>
      <c r="C95" s="5"/>
      <c r="D95" s="5"/>
      <c r="E95" s="5"/>
    </row>
    <row r="96" ht="15.75" customHeight="1">
      <c r="A96" s="8"/>
      <c r="C96" s="5"/>
      <c r="D96" s="5"/>
      <c r="E96" s="5"/>
    </row>
    <row r="97" ht="15.75" customHeight="1">
      <c r="A97" s="8"/>
      <c r="C97" s="5"/>
      <c r="D97" s="5"/>
      <c r="E97" s="5"/>
    </row>
    <row r="98" ht="15.75" customHeight="1">
      <c r="A98" s="8"/>
      <c r="C98" s="5"/>
      <c r="D98" s="5"/>
      <c r="E98" s="5"/>
    </row>
    <row r="99" ht="15.75" customHeight="1">
      <c r="A99" s="8"/>
      <c r="C99" s="5"/>
      <c r="D99" s="5"/>
      <c r="E99" s="5"/>
    </row>
    <row r="100" ht="15.75" customHeight="1">
      <c r="A100" s="8"/>
      <c r="C100" s="5"/>
      <c r="D100" s="5"/>
      <c r="E100" s="5"/>
    </row>
    <row r="101" ht="15.75" customHeight="1">
      <c r="A101" s="8"/>
      <c r="C101" s="5"/>
      <c r="D101" s="5"/>
      <c r="E101" s="5"/>
    </row>
    <row r="102" ht="15.75" customHeight="1">
      <c r="A102" s="8"/>
      <c r="C102" s="5"/>
      <c r="D102" s="5"/>
      <c r="E102" s="5"/>
    </row>
    <row r="103" ht="15.75" customHeight="1">
      <c r="A103" s="8"/>
      <c r="C103" s="5"/>
      <c r="D103" s="5"/>
      <c r="E103" s="5"/>
    </row>
    <row r="104" ht="15.75" customHeight="1">
      <c r="A104" s="8"/>
      <c r="C104" s="5"/>
      <c r="D104" s="5"/>
      <c r="E104" s="5"/>
    </row>
    <row r="105" ht="15.75" customHeight="1">
      <c r="A105" s="8"/>
      <c r="C105" s="5"/>
      <c r="D105" s="5"/>
      <c r="E105" s="5"/>
    </row>
    <row r="106" ht="15.75" customHeight="1">
      <c r="A106" s="8"/>
      <c r="C106" s="5"/>
      <c r="D106" s="5"/>
      <c r="E106" s="5"/>
    </row>
    <row r="107" ht="15.75" customHeight="1">
      <c r="A107" s="8"/>
      <c r="C107" s="5"/>
      <c r="D107" s="5"/>
      <c r="E107" s="5"/>
    </row>
    <row r="108" ht="15.75" customHeight="1">
      <c r="A108" s="8"/>
      <c r="C108" s="5"/>
      <c r="D108" s="5"/>
      <c r="E108" s="5"/>
    </row>
    <row r="109" ht="15.75" customHeight="1">
      <c r="A109" s="8"/>
      <c r="C109" s="5"/>
      <c r="D109" s="5"/>
      <c r="E109" s="5"/>
    </row>
    <row r="110" ht="15.75" customHeight="1">
      <c r="A110" s="8"/>
      <c r="C110" s="5"/>
      <c r="D110" s="5"/>
      <c r="E110" s="5"/>
    </row>
    <row r="111" ht="15.75" customHeight="1">
      <c r="A111" s="8"/>
      <c r="C111" s="5"/>
      <c r="D111" s="5"/>
      <c r="E111" s="5"/>
    </row>
    <row r="112" ht="15.75" customHeight="1">
      <c r="A112" s="8"/>
      <c r="C112" s="5"/>
      <c r="D112" s="5"/>
      <c r="E112" s="5"/>
    </row>
    <row r="113" ht="15.75" customHeight="1">
      <c r="A113" s="8"/>
      <c r="C113" s="5"/>
      <c r="D113" s="5"/>
      <c r="E113" s="5"/>
    </row>
    <row r="114" ht="15.75" customHeight="1">
      <c r="A114" s="8"/>
      <c r="C114" s="5"/>
      <c r="D114" s="5"/>
      <c r="E114" s="5"/>
    </row>
    <row r="115" ht="15.75" customHeight="1">
      <c r="A115" s="8"/>
      <c r="C115" s="5"/>
      <c r="D115" s="5"/>
      <c r="E115" s="5"/>
    </row>
    <row r="116" ht="15.75" customHeight="1">
      <c r="A116" s="8"/>
      <c r="C116" s="5"/>
      <c r="D116" s="5"/>
      <c r="E116" s="5"/>
    </row>
    <row r="117" ht="15.75" customHeight="1">
      <c r="A117" s="8"/>
      <c r="C117" s="5"/>
      <c r="D117" s="5"/>
      <c r="E117" s="5"/>
    </row>
    <row r="118" ht="15.75" customHeight="1">
      <c r="A118" s="8"/>
      <c r="C118" s="5"/>
      <c r="D118" s="5"/>
      <c r="E118" s="5"/>
    </row>
    <row r="119" ht="15.75" customHeight="1">
      <c r="A119" s="8"/>
      <c r="C119" s="5"/>
      <c r="D119" s="5"/>
      <c r="E119" s="5"/>
    </row>
    <row r="120" ht="15.75" customHeight="1">
      <c r="A120" s="8"/>
      <c r="C120" s="5"/>
      <c r="D120" s="5"/>
      <c r="E120" s="5"/>
    </row>
    <row r="121" ht="15.75" customHeight="1">
      <c r="A121" s="8"/>
      <c r="C121" s="5"/>
      <c r="D121" s="5"/>
      <c r="E121" s="5"/>
    </row>
    <row r="122" ht="15.75" customHeight="1">
      <c r="A122" s="8"/>
      <c r="C122" s="5"/>
      <c r="D122" s="5"/>
      <c r="E122" s="5"/>
    </row>
    <row r="123" ht="15.75" customHeight="1">
      <c r="A123" s="8"/>
      <c r="C123" s="5"/>
      <c r="D123" s="5"/>
      <c r="E123" s="5"/>
    </row>
    <row r="124" ht="15.75" customHeight="1">
      <c r="A124" s="8"/>
      <c r="C124" s="5"/>
      <c r="D124" s="5"/>
      <c r="E124" s="5"/>
    </row>
    <row r="125" ht="15.75" customHeight="1">
      <c r="A125" s="8"/>
      <c r="C125" s="5"/>
      <c r="D125" s="5"/>
      <c r="E125" s="5"/>
    </row>
    <row r="126" ht="15.75" customHeight="1">
      <c r="A126" s="8"/>
      <c r="C126" s="5"/>
      <c r="D126" s="5"/>
      <c r="E126" s="5"/>
    </row>
    <row r="127" ht="15.75" customHeight="1">
      <c r="A127" s="8"/>
      <c r="C127" s="5"/>
      <c r="D127" s="5"/>
      <c r="E127" s="5"/>
    </row>
    <row r="128" ht="15.75" customHeight="1">
      <c r="A128" s="8"/>
      <c r="C128" s="5"/>
      <c r="D128" s="5"/>
      <c r="E128" s="5"/>
    </row>
    <row r="129" ht="15.75" customHeight="1">
      <c r="A129" s="8"/>
      <c r="C129" s="5"/>
      <c r="D129" s="5"/>
      <c r="E129" s="5"/>
    </row>
    <row r="130" ht="15.75" customHeight="1">
      <c r="A130" s="8"/>
      <c r="C130" s="5"/>
      <c r="D130" s="5"/>
      <c r="E130" s="5"/>
    </row>
    <row r="131" ht="15.75" customHeight="1">
      <c r="A131" s="8"/>
      <c r="C131" s="5"/>
      <c r="D131" s="5"/>
      <c r="E131" s="5"/>
    </row>
    <row r="132" ht="15.75" customHeight="1">
      <c r="A132" s="8"/>
      <c r="C132" s="5"/>
      <c r="D132" s="5"/>
      <c r="E132" s="5"/>
    </row>
    <row r="133" ht="15.75" customHeight="1">
      <c r="A133" s="8"/>
      <c r="C133" s="5"/>
      <c r="D133" s="5"/>
      <c r="E133" s="5"/>
    </row>
    <row r="134" ht="15.75" customHeight="1">
      <c r="A134" s="8"/>
      <c r="C134" s="5"/>
      <c r="D134" s="5"/>
      <c r="E134" s="5"/>
    </row>
    <row r="135" ht="15.75" customHeight="1">
      <c r="A135" s="8"/>
      <c r="C135" s="5"/>
      <c r="D135" s="5"/>
      <c r="E135" s="5"/>
    </row>
    <row r="136" ht="15.75" customHeight="1">
      <c r="A136" s="8"/>
      <c r="C136" s="5"/>
      <c r="D136" s="5"/>
      <c r="E136" s="5"/>
    </row>
    <row r="137" ht="15.75" customHeight="1">
      <c r="A137" s="8"/>
      <c r="C137" s="5"/>
      <c r="D137" s="5"/>
      <c r="E137" s="5"/>
    </row>
    <row r="138" ht="15.75" customHeight="1">
      <c r="A138" s="8"/>
      <c r="C138" s="5"/>
      <c r="D138" s="5"/>
      <c r="E138" s="5"/>
    </row>
    <row r="139" ht="15.75" customHeight="1">
      <c r="A139" s="8"/>
      <c r="C139" s="5"/>
      <c r="D139" s="5"/>
      <c r="E139" s="5"/>
    </row>
    <row r="140" ht="15.75" customHeight="1">
      <c r="A140" s="8"/>
      <c r="C140" s="5"/>
      <c r="D140" s="5"/>
      <c r="E140" s="5"/>
    </row>
    <row r="141" ht="15.75" customHeight="1">
      <c r="A141" s="8"/>
      <c r="C141" s="5"/>
      <c r="D141" s="5"/>
      <c r="E141" s="5"/>
    </row>
    <row r="142" ht="15.75" customHeight="1">
      <c r="A142" s="8"/>
      <c r="C142" s="5"/>
      <c r="D142" s="5"/>
      <c r="E142" s="5"/>
    </row>
    <row r="143" ht="15.75" customHeight="1">
      <c r="A143" s="8"/>
      <c r="C143" s="5"/>
      <c r="D143" s="5"/>
      <c r="E143" s="5"/>
    </row>
    <row r="144" ht="15.75" customHeight="1">
      <c r="A144" s="8"/>
      <c r="C144" s="5"/>
      <c r="D144" s="5"/>
      <c r="E144" s="5"/>
    </row>
    <row r="145" ht="15.75" customHeight="1">
      <c r="A145" s="8"/>
      <c r="C145" s="5"/>
      <c r="D145" s="5"/>
      <c r="E145" s="5"/>
    </row>
    <row r="146" ht="15.75" customHeight="1">
      <c r="A146" s="8"/>
      <c r="C146" s="5"/>
      <c r="D146" s="5"/>
      <c r="E146" s="5"/>
    </row>
    <row r="147" ht="15.75" customHeight="1">
      <c r="A147" s="8"/>
      <c r="C147" s="5"/>
      <c r="D147" s="5"/>
      <c r="E147" s="5"/>
    </row>
    <row r="148" ht="15.75" customHeight="1">
      <c r="A148" s="8"/>
      <c r="C148" s="5"/>
      <c r="D148" s="5"/>
      <c r="E148" s="5"/>
    </row>
    <row r="149" ht="15.75" customHeight="1">
      <c r="A149" s="8"/>
      <c r="C149" s="5"/>
      <c r="D149" s="5"/>
      <c r="E149" s="5"/>
    </row>
    <row r="150" ht="15.75" customHeight="1">
      <c r="A150" s="8"/>
      <c r="C150" s="5"/>
      <c r="D150" s="5"/>
      <c r="E150" s="5"/>
    </row>
    <row r="151" ht="15.75" customHeight="1">
      <c r="A151" s="8"/>
      <c r="C151" s="5"/>
      <c r="D151" s="5"/>
      <c r="E151" s="5"/>
    </row>
    <row r="152" ht="15.75" customHeight="1">
      <c r="A152" s="8"/>
      <c r="C152" s="5"/>
      <c r="D152" s="5"/>
      <c r="E152" s="5"/>
    </row>
    <row r="153" ht="15.75" customHeight="1">
      <c r="A153" s="8"/>
      <c r="C153" s="5"/>
      <c r="D153" s="5"/>
      <c r="E153" s="5"/>
    </row>
    <row r="154" ht="15.75" customHeight="1">
      <c r="A154" s="8"/>
      <c r="C154" s="5"/>
      <c r="D154" s="5"/>
      <c r="E154" s="5"/>
    </row>
    <row r="155" ht="15.75" customHeight="1">
      <c r="A155" s="8"/>
      <c r="C155" s="5"/>
      <c r="D155" s="5"/>
      <c r="E155" s="5"/>
    </row>
    <row r="156" ht="15.75" customHeight="1">
      <c r="A156" s="8"/>
      <c r="C156" s="5"/>
      <c r="D156" s="5"/>
      <c r="E156" s="5"/>
    </row>
    <row r="157" ht="15.75" customHeight="1">
      <c r="A157" s="8"/>
      <c r="C157" s="5"/>
      <c r="D157" s="5"/>
      <c r="E157" s="5"/>
    </row>
    <row r="158" ht="15.75" customHeight="1">
      <c r="A158" s="8"/>
      <c r="C158" s="5"/>
      <c r="D158" s="5"/>
      <c r="E158" s="5"/>
    </row>
    <row r="159" ht="15.75" customHeight="1">
      <c r="A159" s="8"/>
      <c r="C159" s="5"/>
      <c r="D159" s="5"/>
      <c r="E159" s="5"/>
    </row>
    <row r="160" ht="15.75" customHeight="1">
      <c r="A160" s="8"/>
      <c r="C160" s="5"/>
      <c r="D160" s="5"/>
      <c r="E160" s="5"/>
    </row>
    <row r="161" ht="15.75" customHeight="1">
      <c r="A161" s="8"/>
      <c r="C161" s="5"/>
      <c r="D161" s="5"/>
      <c r="E161" s="5"/>
    </row>
    <row r="162" ht="15.75" customHeight="1">
      <c r="A162" s="8"/>
      <c r="C162" s="5"/>
      <c r="D162" s="5"/>
      <c r="E162" s="5"/>
    </row>
    <row r="163" ht="15.75" customHeight="1">
      <c r="A163" s="8"/>
      <c r="C163" s="5"/>
      <c r="D163" s="5"/>
      <c r="E163" s="5"/>
    </row>
    <row r="164" ht="15.75" customHeight="1">
      <c r="A164" s="8"/>
      <c r="C164" s="5"/>
      <c r="D164" s="5"/>
      <c r="E164" s="5"/>
    </row>
    <row r="165" ht="15.75" customHeight="1">
      <c r="A165" s="8"/>
      <c r="C165" s="5"/>
      <c r="D165" s="5"/>
      <c r="E165" s="5"/>
    </row>
    <row r="166" ht="15.75" customHeight="1">
      <c r="A166" s="8"/>
      <c r="C166" s="5"/>
      <c r="D166" s="5"/>
      <c r="E166" s="5"/>
    </row>
    <row r="167" ht="15.75" customHeight="1">
      <c r="A167" s="8"/>
      <c r="C167" s="5"/>
      <c r="D167" s="5"/>
      <c r="E167" s="5"/>
    </row>
    <row r="168" ht="15.75" customHeight="1">
      <c r="A168" s="8"/>
      <c r="C168" s="5"/>
      <c r="D168" s="5"/>
      <c r="E168" s="5"/>
    </row>
    <row r="169" ht="15.75" customHeight="1">
      <c r="A169" s="8"/>
      <c r="C169" s="5"/>
      <c r="D169" s="5"/>
      <c r="E169" s="5"/>
    </row>
    <row r="170" ht="15.75" customHeight="1">
      <c r="A170" s="8"/>
      <c r="C170" s="5"/>
      <c r="D170" s="5"/>
      <c r="E170" s="5"/>
    </row>
    <row r="171" ht="15.75" customHeight="1">
      <c r="A171" s="8"/>
      <c r="C171" s="5"/>
      <c r="D171" s="5"/>
      <c r="E171" s="5"/>
    </row>
    <row r="172" ht="15.75" customHeight="1">
      <c r="A172" s="8"/>
      <c r="C172" s="5"/>
      <c r="D172" s="5"/>
      <c r="E172" s="5"/>
    </row>
    <row r="173" ht="15.75" customHeight="1">
      <c r="A173" s="8"/>
      <c r="C173" s="5"/>
      <c r="D173" s="5"/>
      <c r="E173" s="5"/>
    </row>
    <row r="174" ht="15.75" customHeight="1">
      <c r="A174" s="8"/>
      <c r="C174" s="5"/>
      <c r="D174" s="5"/>
      <c r="E174" s="5"/>
    </row>
    <row r="175" ht="15.75" customHeight="1">
      <c r="A175" s="8"/>
      <c r="C175" s="5"/>
      <c r="D175" s="5"/>
      <c r="E175" s="5"/>
    </row>
    <row r="176" ht="15.75" customHeight="1">
      <c r="A176" s="8"/>
      <c r="C176" s="5"/>
      <c r="D176" s="5"/>
      <c r="E176" s="5"/>
    </row>
    <row r="177" ht="15.75" customHeight="1">
      <c r="A177" s="8"/>
      <c r="C177" s="5"/>
      <c r="D177" s="5"/>
      <c r="E177" s="5"/>
    </row>
    <row r="178" ht="15.75" customHeight="1">
      <c r="A178" s="8"/>
      <c r="C178" s="5"/>
      <c r="D178" s="5"/>
      <c r="E178" s="5"/>
    </row>
    <row r="179" ht="15.75" customHeight="1">
      <c r="A179" s="8"/>
      <c r="C179" s="5"/>
      <c r="D179" s="5"/>
      <c r="E179" s="5"/>
    </row>
    <row r="180" ht="15.75" customHeight="1">
      <c r="A180" s="8"/>
      <c r="C180" s="5"/>
      <c r="D180" s="5"/>
      <c r="E180" s="5"/>
    </row>
    <row r="181" ht="15.75" customHeight="1">
      <c r="A181" s="8"/>
      <c r="C181" s="5"/>
      <c r="D181" s="5"/>
      <c r="E181" s="5"/>
    </row>
    <row r="182" ht="15.75" customHeight="1">
      <c r="A182" s="8"/>
      <c r="C182" s="5"/>
      <c r="D182" s="5"/>
      <c r="E182" s="5"/>
    </row>
    <row r="183" ht="15.75" customHeight="1">
      <c r="A183" s="8"/>
      <c r="C183" s="5"/>
      <c r="D183" s="5"/>
      <c r="E183" s="5"/>
    </row>
    <row r="184" ht="15.75" customHeight="1">
      <c r="A184" s="8"/>
      <c r="C184" s="5"/>
      <c r="D184" s="5"/>
      <c r="E184" s="5"/>
    </row>
    <row r="185" ht="15.75" customHeight="1">
      <c r="A185" s="8"/>
      <c r="C185" s="5"/>
      <c r="D185" s="5"/>
      <c r="E185" s="5"/>
    </row>
    <row r="186" ht="15.75" customHeight="1">
      <c r="A186" s="8"/>
      <c r="C186" s="5"/>
      <c r="D186" s="5"/>
      <c r="E186" s="5"/>
    </row>
    <row r="187" ht="15.75" customHeight="1">
      <c r="A187" s="8"/>
      <c r="C187" s="5"/>
      <c r="D187" s="5"/>
      <c r="E187" s="5"/>
    </row>
    <row r="188" ht="15.75" customHeight="1">
      <c r="A188" s="8"/>
      <c r="C188" s="5"/>
      <c r="D188" s="5"/>
      <c r="E188" s="5"/>
    </row>
    <row r="189" ht="15.75" customHeight="1">
      <c r="A189" s="8"/>
      <c r="C189" s="5"/>
      <c r="D189" s="5"/>
      <c r="E189" s="5"/>
    </row>
    <row r="190" ht="15.75" customHeight="1">
      <c r="A190" s="8"/>
      <c r="C190" s="5"/>
      <c r="D190" s="5"/>
      <c r="E190" s="5"/>
    </row>
    <row r="191" ht="15.75" customHeight="1">
      <c r="A191" s="8"/>
      <c r="C191" s="5"/>
      <c r="D191" s="5"/>
      <c r="E191" s="5"/>
    </row>
    <row r="192" ht="15.75" customHeight="1">
      <c r="A192" s="8"/>
      <c r="C192" s="5"/>
      <c r="D192" s="5"/>
      <c r="E192" s="5"/>
    </row>
    <row r="193" ht="15.75" customHeight="1">
      <c r="A193" s="8"/>
      <c r="C193" s="5"/>
      <c r="D193" s="5"/>
      <c r="E193" s="5"/>
    </row>
    <row r="194" ht="15.75" customHeight="1">
      <c r="A194" s="8"/>
      <c r="C194" s="5"/>
      <c r="D194" s="5"/>
      <c r="E194" s="5"/>
    </row>
    <row r="195" ht="15.75" customHeight="1">
      <c r="A195" s="8"/>
      <c r="C195" s="5"/>
      <c r="D195" s="5"/>
      <c r="E195" s="5"/>
    </row>
    <row r="196" ht="15.75" customHeight="1">
      <c r="A196" s="8"/>
      <c r="C196" s="5"/>
      <c r="D196" s="5"/>
      <c r="E196" s="5"/>
    </row>
    <row r="197" ht="15.75" customHeight="1">
      <c r="A197" s="8"/>
      <c r="C197" s="5"/>
      <c r="D197" s="5"/>
      <c r="E197" s="5"/>
    </row>
    <row r="198" ht="15.75" customHeight="1">
      <c r="A198" s="8"/>
      <c r="C198" s="5"/>
      <c r="D198" s="5"/>
      <c r="E198" s="5"/>
    </row>
    <row r="199" ht="15.75" customHeight="1">
      <c r="A199" s="8"/>
      <c r="C199" s="5"/>
      <c r="D199" s="5"/>
      <c r="E199" s="5"/>
    </row>
    <row r="200" ht="15.75" customHeight="1">
      <c r="A200" s="8"/>
      <c r="C200" s="5"/>
      <c r="D200" s="5"/>
      <c r="E200" s="5"/>
    </row>
    <row r="201" ht="15.75" customHeight="1">
      <c r="A201" s="8"/>
      <c r="C201" s="5"/>
      <c r="D201" s="5"/>
      <c r="E201" s="5"/>
    </row>
    <row r="202" ht="15.75" customHeight="1">
      <c r="A202" s="8"/>
      <c r="C202" s="5"/>
      <c r="D202" s="5"/>
      <c r="E202" s="5"/>
    </row>
    <row r="203" ht="15.75" customHeight="1">
      <c r="A203" s="8"/>
      <c r="C203" s="5"/>
      <c r="D203" s="5"/>
      <c r="E203" s="5"/>
    </row>
    <row r="204" ht="15.75" customHeight="1">
      <c r="A204" s="8"/>
      <c r="C204" s="5"/>
      <c r="D204" s="5"/>
      <c r="E204" s="5"/>
    </row>
    <row r="205" ht="15.75" customHeight="1">
      <c r="A205" s="8"/>
      <c r="C205" s="5"/>
      <c r="D205" s="5"/>
      <c r="E205" s="5"/>
    </row>
    <row r="206" ht="15.75" customHeight="1">
      <c r="A206" s="8"/>
      <c r="C206" s="5"/>
      <c r="D206" s="5"/>
      <c r="E206" s="5"/>
    </row>
    <row r="207" ht="15.75" customHeight="1">
      <c r="A207" s="8"/>
      <c r="C207" s="5"/>
      <c r="D207" s="5"/>
      <c r="E207" s="5"/>
    </row>
    <row r="208" ht="15.75" customHeight="1">
      <c r="A208" s="8"/>
      <c r="C208" s="5"/>
      <c r="D208" s="5"/>
      <c r="E208" s="5"/>
    </row>
    <row r="209" ht="15.75" customHeight="1">
      <c r="A209" s="8"/>
      <c r="C209" s="5"/>
      <c r="D209" s="5"/>
      <c r="E209" s="5"/>
    </row>
    <row r="210" ht="15.75" customHeight="1">
      <c r="A210" s="8"/>
      <c r="C210" s="5"/>
      <c r="D210" s="5"/>
      <c r="E210" s="5"/>
    </row>
    <row r="211" ht="15.75" customHeight="1">
      <c r="A211" s="8"/>
      <c r="C211" s="5"/>
      <c r="D211" s="5"/>
      <c r="E211" s="5"/>
    </row>
    <row r="212" ht="15.75" customHeight="1">
      <c r="A212" s="8"/>
      <c r="C212" s="5"/>
      <c r="D212" s="5"/>
      <c r="E212" s="5"/>
    </row>
    <row r="213" ht="15.75" customHeight="1">
      <c r="A213" s="8"/>
      <c r="C213" s="5"/>
      <c r="D213" s="5"/>
      <c r="E213" s="5"/>
    </row>
    <row r="214" ht="15.75" customHeight="1">
      <c r="A214" s="8"/>
      <c r="C214" s="5"/>
      <c r="D214" s="5"/>
      <c r="E214" s="5"/>
    </row>
    <row r="215" ht="15.75" customHeight="1">
      <c r="A215" s="8"/>
      <c r="C215" s="5"/>
      <c r="D215" s="5"/>
      <c r="E215" s="5"/>
    </row>
    <row r="216" ht="15.75" customHeight="1">
      <c r="A216" s="8"/>
      <c r="C216" s="5"/>
      <c r="D216" s="5"/>
      <c r="E216" s="5"/>
    </row>
    <row r="217" ht="15.75" customHeight="1">
      <c r="A217" s="8"/>
      <c r="C217" s="5"/>
      <c r="D217" s="5"/>
      <c r="E217" s="5"/>
    </row>
    <row r="218" ht="15.75" customHeight="1">
      <c r="A218" s="8"/>
      <c r="C218" s="5"/>
      <c r="D218" s="5"/>
      <c r="E218" s="5"/>
    </row>
    <row r="219" ht="15.75" customHeight="1">
      <c r="A219" s="8"/>
      <c r="C219" s="5"/>
      <c r="D219" s="5"/>
      <c r="E219" s="5"/>
    </row>
    <row r="220" ht="15.75" customHeight="1">
      <c r="A220" s="8"/>
      <c r="C220" s="5"/>
      <c r="D220" s="5"/>
      <c r="E220" s="5"/>
    </row>
    <row r="221" ht="15.75" customHeight="1">
      <c r="A221" s="8"/>
      <c r="C221" s="5"/>
      <c r="D221" s="5"/>
      <c r="E221" s="5"/>
    </row>
    <row r="222" ht="15.75" customHeight="1">
      <c r="A222" s="8"/>
      <c r="C222" s="5"/>
      <c r="D222" s="5"/>
      <c r="E222" s="5"/>
    </row>
    <row r="223" ht="15.75" customHeight="1">
      <c r="A223" s="8"/>
      <c r="C223" s="5"/>
      <c r="D223" s="5"/>
      <c r="E223" s="5"/>
    </row>
    <row r="224" ht="15.75" customHeight="1">
      <c r="A224" s="8"/>
      <c r="C224" s="5"/>
      <c r="D224" s="5"/>
      <c r="E224" s="5"/>
    </row>
    <row r="225" ht="15.75" customHeight="1">
      <c r="A225" s="8"/>
      <c r="C225" s="5"/>
      <c r="D225" s="5"/>
      <c r="E225" s="5"/>
    </row>
    <row r="226" ht="15.75" customHeight="1">
      <c r="A226" s="8"/>
      <c r="C226" s="5"/>
      <c r="D226" s="5"/>
      <c r="E226" s="5"/>
    </row>
    <row r="227" ht="15.75" customHeight="1">
      <c r="A227" s="8"/>
      <c r="C227" s="5"/>
      <c r="D227" s="5"/>
      <c r="E227" s="5"/>
    </row>
    <row r="228" ht="15.75" customHeight="1">
      <c r="A228" s="8"/>
      <c r="C228" s="5"/>
      <c r="D228" s="5"/>
      <c r="E228" s="5"/>
    </row>
    <row r="229" ht="15.75" customHeight="1">
      <c r="A229" s="8"/>
      <c r="C229" s="5"/>
      <c r="D229" s="5"/>
      <c r="E229" s="5"/>
    </row>
    <row r="230" ht="15.75" customHeight="1">
      <c r="A230" s="8"/>
      <c r="C230" s="5"/>
      <c r="D230" s="5"/>
      <c r="E230" s="5"/>
    </row>
    <row r="231" ht="15.75" customHeight="1">
      <c r="A231" s="8"/>
      <c r="C231" s="5"/>
      <c r="D231" s="5"/>
      <c r="E231" s="5"/>
    </row>
    <row r="232" ht="15.75" customHeight="1">
      <c r="A232" s="8"/>
      <c r="C232" s="5"/>
      <c r="D232" s="5"/>
      <c r="E232" s="5"/>
    </row>
    <row r="233" ht="15.75" customHeight="1">
      <c r="A233" s="8"/>
      <c r="C233" s="5"/>
      <c r="D233" s="5"/>
      <c r="E233" s="5"/>
    </row>
    <row r="234" ht="15.75" customHeight="1">
      <c r="A234" s="8"/>
      <c r="C234" s="5"/>
      <c r="D234" s="5"/>
      <c r="E234" s="5"/>
    </row>
    <row r="235" ht="15.75" customHeight="1">
      <c r="A235" s="8"/>
      <c r="C235" s="5"/>
      <c r="D235" s="5"/>
      <c r="E235" s="5"/>
    </row>
    <row r="236" ht="15.75" customHeight="1">
      <c r="A236" s="8"/>
      <c r="C236" s="5"/>
      <c r="D236" s="5"/>
      <c r="E236" s="5"/>
    </row>
    <row r="237" ht="15.75" customHeight="1">
      <c r="A237" s="8"/>
      <c r="C237" s="5"/>
      <c r="D237" s="5"/>
      <c r="E237" s="5"/>
    </row>
    <row r="238" ht="15.75" customHeight="1">
      <c r="A238" s="8"/>
      <c r="C238" s="5"/>
      <c r="D238" s="5"/>
      <c r="E238" s="5"/>
    </row>
    <row r="239" ht="15.75" customHeight="1">
      <c r="A239" s="8"/>
      <c r="C239" s="5"/>
      <c r="D239" s="5"/>
      <c r="E239" s="5"/>
    </row>
    <row r="240" ht="15.75" customHeight="1">
      <c r="A240" s="8"/>
      <c r="C240" s="5"/>
      <c r="D240" s="5"/>
      <c r="E240" s="5"/>
    </row>
    <row r="241" ht="15.75" customHeight="1">
      <c r="A241" s="8"/>
      <c r="C241" s="5"/>
      <c r="D241" s="5"/>
      <c r="E241" s="5"/>
    </row>
    <row r="242" ht="15.75" customHeight="1">
      <c r="A242" s="8"/>
      <c r="C242" s="5"/>
      <c r="D242" s="5"/>
      <c r="E242" s="5"/>
    </row>
    <row r="243" ht="15.75" customHeight="1">
      <c r="A243" s="8"/>
      <c r="C243" s="5"/>
      <c r="D243" s="5"/>
      <c r="E243" s="5"/>
    </row>
    <row r="244" ht="15.75" customHeight="1">
      <c r="A244" s="8"/>
      <c r="C244" s="5"/>
      <c r="D244" s="5"/>
      <c r="E244" s="5"/>
    </row>
    <row r="245" ht="15.75" customHeight="1">
      <c r="A245" s="8"/>
      <c r="C245" s="5"/>
      <c r="D245" s="5"/>
      <c r="E245" s="5"/>
    </row>
    <row r="246" ht="15.75" customHeight="1">
      <c r="A246" s="8"/>
      <c r="C246" s="5"/>
      <c r="D246" s="5"/>
      <c r="E246" s="5"/>
    </row>
    <row r="247" ht="15.75" customHeight="1">
      <c r="A247" s="8"/>
      <c r="C247" s="5"/>
      <c r="D247" s="5"/>
      <c r="E247" s="5"/>
    </row>
    <row r="248" ht="15.75" customHeight="1">
      <c r="A248" s="8"/>
      <c r="C248" s="5"/>
      <c r="D248" s="5"/>
      <c r="E248" s="5"/>
    </row>
    <row r="249" ht="15.75" customHeight="1">
      <c r="A249" s="8"/>
      <c r="C249" s="5"/>
      <c r="D249" s="5"/>
      <c r="E249" s="5"/>
    </row>
    <row r="250" ht="15.75" customHeight="1">
      <c r="A250" s="8"/>
      <c r="C250" s="5"/>
      <c r="D250" s="5"/>
      <c r="E250" s="5"/>
    </row>
    <row r="251" ht="15.75" customHeight="1">
      <c r="A251" s="8"/>
      <c r="C251" s="5"/>
      <c r="D251" s="5"/>
      <c r="E251" s="5"/>
    </row>
    <row r="252" ht="15.75" customHeight="1">
      <c r="A252" s="8"/>
      <c r="C252" s="5"/>
      <c r="D252" s="5"/>
      <c r="E252" s="5"/>
    </row>
    <row r="253" ht="15.75" customHeight="1">
      <c r="A253" s="8"/>
      <c r="C253" s="5"/>
      <c r="D253" s="5"/>
      <c r="E253" s="5"/>
    </row>
    <row r="254" ht="15.75" customHeight="1">
      <c r="A254" s="8"/>
      <c r="C254" s="5"/>
      <c r="D254" s="5"/>
      <c r="E254" s="5"/>
    </row>
    <row r="255" ht="15.75" customHeight="1">
      <c r="A255" s="8"/>
      <c r="C255" s="5"/>
      <c r="D255" s="5"/>
      <c r="E255" s="5"/>
    </row>
    <row r="256" ht="15.75" customHeight="1">
      <c r="A256" s="8"/>
      <c r="C256" s="5"/>
      <c r="D256" s="5"/>
      <c r="E256" s="5"/>
    </row>
    <row r="257" ht="15.75" customHeight="1">
      <c r="A257" s="8"/>
      <c r="C257" s="5"/>
      <c r="D257" s="5"/>
      <c r="E257" s="5"/>
    </row>
    <row r="258" ht="15.75" customHeight="1">
      <c r="A258" s="8"/>
      <c r="C258" s="5"/>
      <c r="D258" s="5"/>
      <c r="E258" s="5"/>
    </row>
    <row r="259" ht="15.75" customHeight="1">
      <c r="A259" s="8"/>
      <c r="C259" s="5"/>
      <c r="D259" s="5"/>
      <c r="E259" s="5"/>
    </row>
    <row r="260" ht="15.75" customHeight="1">
      <c r="A260" s="8"/>
      <c r="C260" s="5"/>
      <c r="D260" s="5"/>
      <c r="E260" s="5"/>
    </row>
    <row r="261" ht="15.75" customHeight="1">
      <c r="A261" s="8"/>
      <c r="C261" s="5"/>
      <c r="D261" s="5"/>
      <c r="E261" s="5"/>
    </row>
    <row r="262" ht="15.75" customHeight="1">
      <c r="A262" s="8"/>
      <c r="C262" s="5"/>
      <c r="D262" s="5"/>
      <c r="E262" s="5"/>
    </row>
    <row r="263" ht="15.75" customHeight="1">
      <c r="A263" s="8"/>
      <c r="C263" s="5"/>
      <c r="D263" s="5"/>
      <c r="E263" s="5"/>
    </row>
    <row r="264" ht="15.75" customHeight="1">
      <c r="A264" s="8"/>
      <c r="C264" s="5"/>
      <c r="D264" s="5"/>
      <c r="E264" s="5"/>
    </row>
    <row r="265" ht="15.75" customHeight="1">
      <c r="A265" s="8"/>
      <c r="C265" s="5"/>
      <c r="D265" s="5"/>
      <c r="E265" s="5"/>
    </row>
    <row r="266" ht="15.75" customHeight="1">
      <c r="A266" s="8"/>
      <c r="C266" s="5"/>
      <c r="D266" s="5"/>
      <c r="E266" s="5"/>
    </row>
    <row r="267" ht="15.75" customHeight="1">
      <c r="A267" s="8"/>
      <c r="C267" s="5"/>
      <c r="D267" s="5"/>
      <c r="E267" s="5"/>
    </row>
    <row r="268" ht="15.75" customHeight="1">
      <c r="A268" s="8"/>
      <c r="C268" s="5"/>
      <c r="D268" s="5"/>
      <c r="E268" s="5"/>
    </row>
    <row r="269" ht="15.75" customHeight="1">
      <c r="A269" s="8"/>
      <c r="C269" s="5"/>
      <c r="D269" s="5"/>
      <c r="E269" s="5"/>
    </row>
    <row r="270" ht="15.75" customHeight="1">
      <c r="A270" s="8"/>
      <c r="C270" s="5"/>
      <c r="D270" s="5"/>
      <c r="E270" s="5"/>
    </row>
    <row r="271" ht="15.75" customHeight="1">
      <c r="A271" s="8"/>
      <c r="C271" s="5"/>
      <c r="D271" s="5"/>
      <c r="E271" s="5"/>
    </row>
    <row r="272" ht="15.75" customHeight="1">
      <c r="A272" s="8"/>
      <c r="C272" s="5"/>
      <c r="D272" s="5"/>
      <c r="E272" s="5"/>
    </row>
    <row r="273" ht="15.75" customHeight="1">
      <c r="A273" s="8"/>
      <c r="C273" s="5"/>
      <c r="D273" s="5"/>
      <c r="E273" s="5"/>
    </row>
    <row r="274" ht="15.75" customHeight="1">
      <c r="A274" s="8"/>
      <c r="C274" s="5"/>
      <c r="D274" s="5"/>
      <c r="E274" s="5"/>
    </row>
    <row r="275" ht="15.75" customHeight="1">
      <c r="A275" s="8"/>
      <c r="C275" s="5"/>
      <c r="D275" s="5"/>
      <c r="E275" s="5"/>
    </row>
    <row r="276" ht="15.75" customHeight="1">
      <c r="A276" s="8"/>
      <c r="C276" s="5"/>
      <c r="D276" s="5"/>
      <c r="E276" s="5"/>
    </row>
    <row r="277" ht="15.75" customHeight="1">
      <c r="A277" s="8"/>
      <c r="C277" s="5"/>
      <c r="D277" s="5"/>
      <c r="E277" s="5"/>
    </row>
    <row r="278" ht="15.75" customHeight="1">
      <c r="A278" s="8"/>
      <c r="C278" s="5"/>
      <c r="D278" s="5"/>
      <c r="E278" s="5"/>
    </row>
    <row r="279" ht="15.75" customHeight="1">
      <c r="A279" s="8"/>
      <c r="C279" s="5"/>
      <c r="D279" s="5"/>
      <c r="E279" s="5"/>
    </row>
    <row r="280" ht="15.75" customHeight="1">
      <c r="A280" s="8"/>
      <c r="C280" s="5"/>
      <c r="D280" s="5"/>
      <c r="E280" s="5"/>
    </row>
    <row r="281" ht="15.75" customHeight="1">
      <c r="A281" s="8"/>
      <c r="C281" s="5"/>
      <c r="D281" s="5"/>
      <c r="E281" s="5"/>
    </row>
    <row r="282" ht="15.75" customHeight="1">
      <c r="A282" s="8"/>
      <c r="C282" s="5"/>
      <c r="D282" s="5"/>
      <c r="E282" s="5"/>
    </row>
    <row r="283" ht="15.75" customHeight="1">
      <c r="A283" s="8"/>
      <c r="C283" s="5"/>
      <c r="D283" s="5"/>
      <c r="E283" s="5"/>
    </row>
    <row r="284" ht="15.75" customHeight="1">
      <c r="A284" s="8"/>
      <c r="C284" s="5"/>
      <c r="D284" s="5"/>
      <c r="E284" s="5"/>
    </row>
    <row r="285" ht="15.75" customHeight="1">
      <c r="A285" s="8"/>
      <c r="C285" s="5"/>
      <c r="D285" s="5"/>
      <c r="E285" s="5"/>
    </row>
    <row r="286" ht="15.75" customHeight="1">
      <c r="A286" s="8"/>
      <c r="C286" s="5"/>
      <c r="D286" s="5"/>
      <c r="E286" s="5"/>
    </row>
    <row r="287" ht="15.75" customHeight="1">
      <c r="A287" s="8"/>
      <c r="C287" s="5"/>
      <c r="D287" s="5"/>
      <c r="E287" s="5"/>
    </row>
    <row r="288" ht="15.75" customHeight="1">
      <c r="A288" s="8"/>
      <c r="C288" s="5"/>
      <c r="D288" s="5"/>
      <c r="E288" s="5"/>
    </row>
    <row r="289" ht="15.75" customHeight="1">
      <c r="A289" s="8"/>
      <c r="C289" s="5"/>
      <c r="D289" s="5"/>
      <c r="E289" s="5"/>
    </row>
    <row r="290" ht="15.75" customHeight="1">
      <c r="A290" s="8"/>
      <c r="C290" s="5"/>
      <c r="D290" s="5"/>
      <c r="E290" s="5"/>
    </row>
    <row r="291" ht="15.75" customHeight="1">
      <c r="A291" s="8"/>
      <c r="C291" s="5"/>
      <c r="D291" s="5"/>
      <c r="E291" s="5"/>
    </row>
    <row r="292" ht="15.75" customHeight="1">
      <c r="A292" s="8"/>
      <c r="C292" s="5"/>
      <c r="D292" s="5"/>
      <c r="E292" s="5"/>
    </row>
    <row r="293" ht="15.75" customHeight="1">
      <c r="A293" s="8"/>
      <c r="C293" s="5"/>
      <c r="D293" s="5"/>
      <c r="E293" s="5"/>
    </row>
    <row r="294" ht="15.75" customHeight="1">
      <c r="A294" s="8"/>
      <c r="C294" s="5"/>
      <c r="D294" s="5"/>
      <c r="E294" s="5"/>
    </row>
    <row r="295" ht="15.75" customHeight="1">
      <c r="A295" s="8"/>
      <c r="C295" s="5"/>
      <c r="D295" s="5"/>
      <c r="E295" s="5"/>
    </row>
    <row r="296" ht="15.75" customHeight="1">
      <c r="A296" s="8"/>
      <c r="C296" s="5"/>
      <c r="D296" s="5"/>
      <c r="E296" s="5"/>
    </row>
    <row r="297" ht="15.75" customHeight="1">
      <c r="A297" s="8"/>
      <c r="C297" s="5"/>
      <c r="D297" s="5"/>
      <c r="E297" s="5"/>
    </row>
    <row r="298" ht="15.75" customHeight="1">
      <c r="A298" s="8"/>
      <c r="C298" s="5"/>
      <c r="D298" s="5"/>
      <c r="E298" s="5"/>
    </row>
    <row r="299" ht="15.75" customHeight="1">
      <c r="A299" s="8"/>
      <c r="C299" s="5"/>
      <c r="D299" s="5"/>
      <c r="E299" s="5"/>
    </row>
    <row r="300" ht="15.75" customHeight="1">
      <c r="A300" s="8"/>
      <c r="C300" s="5"/>
      <c r="D300" s="5"/>
      <c r="E300" s="5"/>
    </row>
    <row r="301" ht="15.75" customHeight="1">
      <c r="A301" s="8"/>
      <c r="C301" s="5"/>
      <c r="D301" s="5"/>
      <c r="E301" s="5"/>
    </row>
    <row r="302" ht="15.75" customHeight="1">
      <c r="A302" s="8"/>
      <c r="C302" s="5"/>
      <c r="D302" s="5"/>
      <c r="E302" s="5"/>
    </row>
    <row r="303" ht="15.75" customHeight="1">
      <c r="A303" s="8"/>
      <c r="C303" s="5"/>
      <c r="D303" s="5"/>
      <c r="E303" s="5"/>
    </row>
    <row r="304" ht="15.75" customHeight="1">
      <c r="A304" s="8"/>
      <c r="C304" s="5"/>
      <c r="D304" s="5"/>
      <c r="E304" s="5"/>
    </row>
    <row r="305" ht="15.75" customHeight="1">
      <c r="A305" s="8"/>
      <c r="C305" s="5"/>
      <c r="D305" s="5"/>
      <c r="E305" s="5"/>
    </row>
    <row r="306" ht="15.75" customHeight="1">
      <c r="A306" s="8"/>
      <c r="C306" s="5"/>
      <c r="D306" s="5"/>
      <c r="E306" s="5"/>
    </row>
    <row r="307" ht="15.75" customHeight="1">
      <c r="A307" s="8"/>
      <c r="C307" s="5"/>
      <c r="D307" s="5"/>
      <c r="E307" s="5"/>
    </row>
    <row r="308" ht="15.75" customHeight="1">
      <c r="A308" s="8"/>
      <c r="C308" s="5"/>
      <c r="D308" s="5"/>
      <c r="E308" s="5"/>
    </row>
    <row r="309" ht="15.75" customHeight="1">
      <c r="A309" s="8"/>
      <c r="C309" s="5"/>
      <c r="D309" s="5"/>
      <c r="E309" s="5"/>
    </row>
    <row r="310" ht="15.75" customHeight="1">
      <c r="A310" s="8"/>
      <c r="C310" s="5"/>
      <c r="D310" s="5"/>
      <c r="E310" s="5"/>
    </row>
    <row r="311" ht="15.75" customHeight="1">
      <c r="A311" s="8"/>
      <c r="C311" s="5"/>
      <c r="D311" s="5"/>
      <c r="E311" s="5"/>
    </row>
    <row r="312" ht="15.75" customHeight="1">
      <c r="A312" s="8"/>
      <c r="C312" s="5"/>
      <c r="D312" s="5"/>
      <c r="E312" s="5"/>
    </row>
    <row r="313" ht="15.75" customHeight="1">
      <c r="A313" s="8"/>
      <c r="C313" s="5"/>
      <c r="D313" s="5"/>
      <c r="E313" s="5"/>
    </row>
    <row r="314" ht="15.75" customHeight="1">
      <c r="A314" s="8"/>
      <c r="C314" s="5"/>
      <c r="D314" s="5"/>
      <c r="E314" s="5"/>
    </row>
    <row r="315" ht="15.75" customHeight="1">
      <c r="A315" s="8"/>
      <c r="C315" s="5"/>
      <c r="D315" s="5"/>
      <c r="E315" s="5"/>
    </row>
    <row r="316" ht="15.75" customHeight="1">
      <c r="A316" s="8"/>
      <c r="C316" s="5"/>
      <c r="D316" s="5"/>
      <c r="E316" s="5"/>
    </row>
    <row r="317" ht="15.75" customHeight="1">
      <c r="A317" s="8"/>
      <c r="C317" s="5"/>
      <c r="D317" s="5"/>
      <c r="E317" s="5"/>
    </row>
    <row r="318" ht="15.75" customHeight="1">
      <c r="A318" s="8"/>
      <c r="C318" s="5"/>
      <c r="D318" s="5"/>
      <c r="E318" s="5"/>
    </row>
    <row r="319" ht="15.75" customHeight="1">
      <c r="A319" s="8"/>
      <c r="C319" s="5"/>
      <c r="D319" s="5"/>
      <c r="E319" s="5"/>
    </row>
    <row r="320" ht="15.75" customHeight="1">
      <c r="A320" s="8"/>
      <c r="C320" s="5"/>
      <c r="D320" s="5"/>
      <c r="E320" s="5"/>
    </row>
    <row r="321" ht="15.75" customHeight="1">
      <c r="A321" s="8"/>
      <c r="C321" s="5"/>
      <c r="D321" s="5"/>
      <c r="E321" s="5"/>
    </row>
    <row r="322" ht="15.75" customHeight="1">
      <c r="A322" s="8"/>
      <c r="C322" s="5"/>
      <c r="D322" s="5"/>
      <c r="E322" s="5"/>
    </row>
    <row r="323" ht="15.75" customHeight="1">
      <c r="A323" s="8"/>
      <c r="C323" s="5"/>
      <c r="D323" s="5"/>
      <c r="E323" s="5"/>
    </row>
    <row r="324" ht="15.75" customHeight="1">
      <c r="A324" s="8"/>
      <c r="C324" s="5"/>
      <c r="D324" s="5"/>
      <c r="E324" s="5"/>
    </row>
    <row r="325" ht="15.75" customHeight="1">
      <c r="A325" s="8"/>
      <c r="C325" s="5"/>
      <c r="D325" s="5"/>
      <c r="E325" s="5"/>
    </row>
    <row r="326" ht="15.75" customHeight="1">
      <c r="A326" s="8"/>
      <c r="C326" s="5"/>
      <c r="D326" s="5"/>
      <c r="E326" s="5"/>
    </row>
    <row r="327" ht="15.75" customHeight="1">
      <c r="A327" s="8"/>
      <c r="C327" s="5"/>
      <c r="D327" s="5"/>
      <c r="E327" s="5"/>
    </row>
    <row r="328" ht="15.75" customHeight="1">
      <c r="A328" s="8"/>
      <c r="C328" s="5"/>
      <c r="D328" s="5"/>
      <c r="E328" s="5"/>
    </row>
    <row r="329" ht="15.75" customHeight="1">
      <c r="A329" s="8"/>
      <c r="C329" s="5"/>
      <c r="D329" s="5"/>
      <c r="E329" s="5"/>
    </row>
    <row r="330" ht="15.75" customHeight="1">
      <c r="A330" s="8"/>
      <c r="C330" s="5"/>
      <c r="D330" s="5"/>
      <c r="E330" s="5"/>
    </row>
    <row r="331" ht="15.75" customHeight="1">
      <c r="A331" s="8"/>
      <c r="C331" s="5"/>
      <c r="D331" s="5"/>
      <c r="E331" s="5"/>
    </row>
    <row r="332" ht="15.75" customHeight="1">
      <c r="A332" s="8"/>
      <c r="C332" s="5"/>
      <c r="D332" s="5"/>
      <c r="E332" s="5"/>
    </row>
    <row r="333" ht="15.75" customHeight="1">
      <c r="A333" s="8"/>
      <c r="C333" s="5"/>
      <c r="D333" s="5"/>
      <c r="E333" s="5"/>
    </row>
    <row r="334" ht="15.75" customHeight="1">
      <c r="A334" s="8"/>
      <c r="C334" s="5"/>
      <c r="D334" s="5"/>
      <c r="E334" s="5"/>
    </row>
    <row r="335" ht="15.75" customHeight="1">
      <c r="A335" s="8"/>
      <c r="C335" s="5"/>
      <c r="D335" s="5"/>
      <c r="E335" s="5"/>
    </row>
    <row r="336" ht="15.75" customHeight="1">
      <c r="A336" s="8"/>
      <c r="C336" s="5"/>
      <c r="D336" s="5"/>
      <c r="E336" s="5"/>
    </row>
    <row r="337" ht="15.75" customHeight="1">
      <c r="A337" s="8"/>
      <c r="C337" s="5"/>
      <c r="D337" s="5"/>
      <c r="E337" s="5"/>
    </row>
    <row r="338" ht="15.75" customHeight="1">
      <c r="A338" s="8"/>
      <c r="C338" s="5"/>
      <c r="D338" s="5"/>
      <c r="E338" s="5"/>
    </row>
    <row r="339" ht="15.75" customHeight="1">
      <c r="A339" s="8"/>
      <c r="C339" s="5"/>
      <c r="D339" s="5"/>
      <c r="E339" s="5"/>
    </row>
    <row r="340" ht="15.75" customHeight="1">
      <c r="A340" s="8"/>
      <c r="C340" s="5"/>
      <c r="D340" s="5"/>
      <c r="E340" s="5"/>
    </row>
    <row r="341" ht="15.75" customHeight="1">
      <c r="A341" s="8"/>
      <c r="C341" s="5"/>
      <c r="D341" s="5"/>
      <c r="E341" s="5"/>
    </row>
    <row r="342" ht="15.75" customHeight="1">
      <c r="A342" s="8"/>
      <c r="C342" s="5"/>
      <c r="D342" s="5"/>
      <c r="E342" s="5"/>
    </row>
    <row r="343" ht="15.75" customHeight="1">
      <c r="A343" s="8"/>
      <c r="C343" s="5"/>
      <c r="D343" s="5"/>
      <c r="E343" s="5"/>
    </row>
    <row r="344" ht="15.75" customHeight="1">
      <c r="A344" s="8"/>
      <c r="C344" s="5"/>
      <c r="D344" s="5"/>
      <c r="E344" s="5"/>
    </row>
    <row r="345" ht="15.75" customHeight="1">
      <c r="A345" s="8"/>
      <c r="C345" s="5"/>
      <c r="D345" s="5"/>
      <c r="E345" s="5"/>
    </row>
    <row r="346" ht="15.75" customHeight="1">
      <c r="A346" s="8"/>
      <c r="C346" s="5"/>
      <c r="D346" s="5"/>
      <c r="E346" s="5"/>
    </row>
    <row r="347" ht="15.75" customHeight="1">
      <c r="A347" s="8"/>
      <c r="C347" s="5"/>
      <c r="D347" s="5"/>
      <c r="E347" s="5"/>
    </row>
    <row r="348" ht="15.75" customHeight="1">
      <c r="A348" s="8"/>
      <c r="C348" s="5"/>
      <c r="D348" s="5"/>
      <c r="E348" s="5"/>
    </row>
    <row r="349" ht="15.75" customHeight="1">
      <c r="A349" s="8"/>
      <c r="C349" s="5"/>
      <c r="D349" s="5"/>
      <c r="E349" s="5"/>
    </row>
    <row r="350" ht="15.75" customHeight="1">
      <c r="A350" s="8"/>
      <c r="C350" s="5"/>
      <c r="D350" s="5"/>
      <c r="E350" s="5"/>
    </row>
    <row r="351" ht="15.75" customHeight="1">
      <c r="A351" s="8"/>
      <c r="C351" s="5"/>
      <c r="D351" s="5"/>
      <c r="E351" s="5"/>
    </row>
    <row r="352" ht="15.75" customHeight="1">
      <c r="A352" s="8"/>
      <c r="C352" s="5"/>
      <c r="D352" s="5"/>
      <c r="E352" s="5"/>
    </row>
    <row r="353" ht="15.75" customHeight="1">
      <c r="A353" s="8"/>
      <c r="C353" s="5"/>
      <c r="D353" s="5"/>
      <c r="E353" s="5"/>
    </row>
    <row r="354" ht="15.75" customHeight="1">
      <c r="A354" s="8"/>
      <c r="C354" s="5"/>
      <c r="D354" s="5"/>
      <c r="E354" s="5"/>
    </row>
    <row r="355" ht="15.75" customHeight="1">
      <c r="A355" s="8"/>
      <c r="C355" s="5"/>
      <c r="D355" s="5"/>
      <c r="E355" s="5"/>
    </row>
    <row r="356" ht="15.75" customHeight="1">
      <c r="A356" s="8"/>
      <c r="C356" s="5"/>
      <c r="D356" s="5"/>
      <c r="E356" s="5"/>
    </row>
    <row r="357" ht="15.75" customHeight="1">
      <c r="A357" s="8"/>
      <c r="C357" s="5"/>
      <c r="D357" s="5"/>
      <c r="E357" s="5"/>
    </row>
    <row r="358" ht="15.75" customHeight="1">
      <c r="A358" s="8"/>
      <c r="C358" s="5"/>
      <c r="D358" s="5"/>
      <c r="E358" s="5"/>
    </row>
    <row r="359" ht="15.75" customHeight="1">
      <c r="A359" s="8"/>
      <c r="C359" s="5"/>
      <c r="D359" s="5"/>
      <c r="E359" s="5"/>
    </row>
    <row r="360" ht="15.75" customHeight="1">
      <c r="A360" s="8"/>
      <c r="C360" s="5"/>
      <c r="D360" s="5"/>
      <c r="E360" s="5"/>
    </row>
    <row r="361" ht="15.75" customHeight="1">
      <c r="A361" s="8"/>
      <c r="C361" s="5"/>
      <c r="D361" s="5"/>
      <c r="E361" s="5"/>
    </row>
    <row r="362" ht="15.75" customHeight="1">
      <c r="A362" s="8"/>
      <c r="C362" s="5"/>
      <c r="D362" s="5"/>
      <c r="E362" s="5"/>
    </row>
    <row r="363" ht="15.75" customHeight="1">
      <c r="A363" s="8"/>
      <c r="C363" s="5"/>
      <c r="D363" s="5"/>
      <c r="E363" s="5"/>
    </row>
    <row r="364" ht="15.75" customHeight="1">
      <c r="A364" s="8"/>
      <c r="C364" s="5"/>
      <c r="D364" s="5"/>
      <c r="E364" s="5"/>
    </row>
    <row r="365" ht="15.75" customHeight="1">
      <c r="A365" s="8"/>
      <c r="C365" s="5"/>
      <c r="D365" s="5"/>
      <c r="E365" s="5"/>
    </row>
    <row r="366" ht="15.75" customHeight="1">
      <c r="A366" s="8"/>
      <c r="C366" s="5"/>
      <c r="D366" s="5"/>
      <c r="E366" s="5"/>
    </row>
    <row r="367" ht="15.75" customHeight="1">
      <c r="A367" s="8"/>
      <c r="C367" s="5"/>
      <c r="D367" s="5"/>
      <c r="E367" s="5"/>
    </row>
    <row r="368" ht="15.75" customHeight="1">
      <c r="A368" s="8"/>
      <c r="C368" s="5"/>
      <c r="D368" s="5"/>
      <c r="E368" s="5"/>
    </row>
    <row r="369" ht="15.75" customHeight="1">
      <c r="A369" s="8"/>
      <c r="C369" s="5"/>
      <c r="D369" s="5"/>
      <c r="E369" s="5"/>
    </row>
    <row r="370" ht="15.75" customHeight="1">
      <c r="A370" s="8"/>
      <c r="C370" s="5"/>
      <c r="D370" s="5"/>
      <c r="E370" s="5"/>
    </row>
    <row r="371" ht="15.75" customHeight="1">
      <c r="A371" s="8"/>
      <c r="C371" s="5"/>
      <c r="D371" s="5"/>
      <c r="E371" s="5"/>
    </row>
    <row r="372" ht="15.75" customHeight="1">
      <c r="A372" s="8"/>
      <c r="C372" s="5"/>
      <c r="D372" s="5"/>
      <c r="E372" s="5"/>
    </row>
    <row r="373" ht="15.75" customHeight="1">
      <c r="A373" s="8"/>
      <c r="C373" s="5"/>
      <c r="D373" s="5"/>
      <c r="E373" s="5"/>
    </row>
    <row r="374" ht="15.75" customHeight="1">
      <c r="A374" s="8"/>
      <c r="C374" s="5"/>
      <c r="D374" s="5"/>
      <c r="E374" s="5"/>
    </row>
    <row r="375" ht="15.75" customHeight="1">
      <c r="A375" s="8"/>
      <c r="C375" s="5"/>
      <c r="D375" s="5"/>
      <c r="E375" s="5"/>
    </row>
    <row r="376" ht="15.75" customHeight="1">
      <c r="A376" s="8"/>
      <c r="C376" s="5"/>
      <c r="D376" s="5"/>
      <c r="E376" s="5"/>
    </row>
    <row r="377" ht="15.75" customHeight="1">
      <c r="A377" s="8"/>
      <c r="C377" s="5"/>
      <c r="D377" s="5"/>
      <c r="E377" s="5"/>
    </row>
    <row r="378" ht="15.75" customHeight="1">
      <c r="A378" s="8"/>
      <c r="C378" s="5"/>
      <c r="D378" s="5"/>
      <c r="E378" s="5"/>
    </row>
    <row r="379" ht="15.75" customHeight="1">
      <c r="A379" s="8"/>
      <c r="C379" s="5"/>
      <c r="D379" s="5"/>
      <c r="E379" s="5"/>
    </row>
    <row r="380" ht="15.75" customHeight="1">
      <c r="A380" s="8"/>
      <c r="C380" s="5"/>
      <c r="D380" s="5"/>
      <c r="E380" s="5"/>
    </row>
    <row r="381" ht="15.75" customHeight="1">
      <c r="A381" s="8"/>
      <c r="C381" s="5"/>
      <c r="D381" s="5"/>
      <c r="E381" s="5"/>
    </row>
    <row r="382" ht="15.75" customHeight="1">
      <c r="A382" s="8"/>
      <c r="C382" s="5"/>
      <c r="D382" s="5"/>
      <c r="E382" s="5"/>
    </row>
    <row r="383" ht="15.75" customHeight="1">
      <c r="A383" s="8"/>
      <c r="C383" s="5"/>
      <c r="D383" s="5"/>
      <c r="E383" s="5"/>
    </row>
    <row r="384" ht="15.75" customHeight="1">
      <c r="A384" s="8"/>
      <c r="C384" s="5"/>
      <c r="D384" s="5"/>
      <c r="E384" s="5"/>
    </row>
    <row r="385" ht="15.75" customHeight="1">
      <c r="A385" s="8"/>
      <c r="C385" s="5"/>
      <c r="D385" s="5"/>
      <c r="E385" s="5"/>
    </row>
    <row r="386" ht="15.75" customHeight="1">
      <c r="A386" s="8"/>
      <c r="C386" s="5"/>
      <c r="D386" s="5"/>
      <c r="E386" s="5"/>
    </row>
    <row r="387" ht="15.75" customHeight="1">
      <c r="A387" s="8"/>
      <c r="C387" s="5"/>
      <c r="D387" s="5"/>
      <c r="E387" s="5"/>
    </row>
    <row r="388" ht="15.75" customHeight="1">
      <c r="A388" s="8"/>
      <c r="C388" s="5"/>
      <c r="D388" s="5"/>
      <c r="E388" s="5"/>
    </row>
    <row r="389" ht="15.75" customHeight="1">
      <c r="A389" s="8"/>
      <c r="C389" s="5"/>
      <c r="D389" s="5"/>
      <c r="E389" s="5"/>
    </row>
    <row r="390" ht="15.75" customHeight="1">
      <c r="A390" s="8"/>
      <c r="C390" s="5"/>
      <c r="D390" s="5"/>
      <c r="E390" s="5"/>
    </row>
    <row r="391" ht="15.75" customHeight="1">
      <c r="A391" s="8"/>
      <c r="C391" s="5"/>
      <c r="D391" s="5"/>
      <c r="E391" s="5"/>
    </row>
    <row r="392" ht="15.75" customHeight="1">
      <c r="A392" s="8"/>
      <c r="C392" s="5"/>
      <c r="D392" s="5"/>
      <c r="E392" s="5"/>
    </row>
    <row r="393" ht="15.75" customHeight="1">
      <c r="A393" s="8"/>
      <c r="C393" s="5"/>
      <c r="D393" s="5"/>
      <c r="E393" s="5"/>
    </row>
    <row r="394" ht="15.75" customHeight="1">
      <c r="A394" s="8"/>
      <c r="C394" s="5"/>
      <c r="D394" s="5"/>
      <c r="E394" s="5"/>
    </row>
    <row r="395" ht="15.75" customHeight="1">
      <c r="A395" s="8"/>
      <c r="C395" s="5"/>
      <c r="D395" s="5"/>
      <c r="E395" s="5"/>
    </row>
    <row r="396" ht="15.75" customHeight="1">
      <c r="A396" s="8"/>
      <c r="C396" s="5"/>
      <c r="D396" s="5"/>
      <c r="E396" s="5"/>
    </row>
    <row r="397" ht="15.75" customHeight="1">
      <c r="A397" s="8"/>
      <c r="C397" s="5"/>
      <c r="D397" s="5"/>
      <c r="E397" s="5"/>
    </row>
    <row r="398" ht="15.75" customHeight="1">
      <c r="A398" s="8"/>
      <c r="C398" s="5"/>
      <c r="D398" s="5"/>
      <c r="E398" s="5"/>
    </row>
    <row r="399" ht="15.75" customHeight="1">
      <c r="A399" s="8"/>
      <c r="C399" s="5"/>
      <c r="D399" s="5"/>
      <c r="E399" s="5"/>
    </row>
    <row r="400" ht="15.75" customHeight="1">
      <c r="A400" s="8"/>
      <c r="C400" s="5"/>
      <c r="D400" s="5"/>
      <c r="E400" s="5"/>
    </row>
    <row r="401" ht="15.75" customHeight="1">
      <c r="A401" s="8"/>
      <c r="C401" s="5"/>
      <c r="D401" s="5"/>
      <c r="E401" s="5"/>
    </row>
    <row r="402" ht="15.75" customHeight="1">
      <c r="A402" s="8"/>
      <c r="C402" s="5"/>
      <c r="D402" s="5"/>
      <c r="E402" s="5"/>
    </row>
    <row r="403" ht="15.75" customHeight="1">
      <c r="A403" s="8"/>
      <c r="C403" s="5"/>
      <c r="D403" s="5"/>
      <c r="E403" s="5"/>
    </row>
    <row r="404" ht="15.75" customHeight="1">
      <c r="A404" s="8"/>
      <c r="C404" s="5"/>
      <c r="D404" s="5"/>
      <c r="E404" s="5"/>
    </row>
    <row r="405" ht="15.75" customHeight="1">
      <c r="A405" s="8"/>
      <c r="C405" s="5"/>
      <c r="D405" s="5"/>
      <c r="E405" s="5"/>
    </row>
    <row r="406" ht="15.75" customHeight="1">
      <c r="A406" s="8"/>
      <c r="C406" s="5"/>
      <c r="D406" s="5"/>
      <c r="E406" s="5"/>
    </row>
    <row r="407" ht="15.75" customHeight="1">
      <c r="A407" s="8"/>
      <c r="C407" s="5"/>
      <c r="D407" s="5"/>
      <c r="E407" s="5"/>
    </row>
    <row r="408" ht="15.75" customHeight="1">
      <c r="A408" s="8"/>
      <c r="C408" s="5"/>
      <c r="D408" s="5"/>
      <c r="E408" s="5"/>
    </row>
    <row r="409" ht="15.75" customHeight="1">
      <c r="A409" s="8"/>
      <c r="C409" s="5"/>
      <c r="D409" s="5"/>
      <c r="E409" s="5"/>
    </row>
    <row r="410" ht="15.75" customHeight="1">
      <c r="A410" s="8"/>
      <c r="C410" s="5"/>
      <c r="D410" s="5"/>
      <c r="E410" s="5"/>
    </row>
    <row r="411" ht="15.75" customHeight="1">
      <c r="A411" s="8"/>
      <c r="C411" s="5"/>
      <c r="D411" s="5"/>
      <c r="E411" s="5"/>
    </row>
    <row r="412" ht="15.75" customHeight="1">
      <c r="A412" s="8"/>
      <c r="C412" s="5"/>
      <c r="D412" s="5"/>
      <c r="E412" s="5"/>
    </row>
    <row r="413" ht="15.75" customHeight="1">
      <c r="A413" s="8"/>
      <c r="C413" s="5"/>
      <c r="D413" s="5"/>
      <c r="E413" s="5"/>
    </row>
    <row r="414" ht="15.75" customHeight="1">
      <c r="A414" s="8"/>
      <c r="C414" s="5"/>
      <c r="D414" s="5"/>
      <c r="E414" s="5"/>
    </row>
    <row r="415" ht="15.75" customHeight="1">
      <c r="A415" s="8"/>
      <c r="C415" s="5"/>
      <c r="D415" s="5"/>
      <c r="E415" s="5"/>
    </row>
    <row r="416" ht="15.75" customHeight="1">
      <c r="A416" s="8"/>
      <c r="C416" s="5"/>
      <c r="D416" s="5"/>
      <c r="E416" s="5"/>
    </row>
    <row r="417" ht="15.75" customHeight="1">
      <c r="A417" s="8"/>
      <c r="C417" s="5"/>
      <c r="D417" s="5"/>
      <c r="E417" s="5"/>
    </row>
    <row r="418" ht="15.75" customHeight="1">
      <c r="A418" s="8"/>
      <c r="C418" s="5"/>
      <c r="D418" s="5"/>
      <c r="E418" s="5"/>
    </row>
    <row r="419" ht="15.75" customHeight="1">
      <c r="A419" s="8"/>
      <c r="C419" s="5"/>
      <c r="D419" s="5"/>
      <c r="E419" s="5"/>
    </row>
    <row r="420" ht="15.75" customHeight="1">
      <c r="A420" s="8"/>
      <c r="C420" s="5"/>
      <c r="D420" s="5"/>
      <c r="E420" s="5"/>
    </row>
    <row r="421" ht="15.75" customHeight="1">
      <c r="A421" s="8"/>
      <c r="C421" s="5"/>
      <c r="D421" s="5"/>
      <c r="E421" s="5"/>
    </row>
    <row r="422" ht="15.75" customHeight="1">
      <c r="A422" s="8"/>
      <c r="C422" s="5"/>
      <c r="D422" s="5"/>
      <c r="E422" s="5"/>
    </row>
    <row r="423" ht="15.75" customHeight="1">
      <c r="A423" s="8"/>
      <c r="C423" s="5"/>
      <c r="D423" s="5"/>
      <c r="E423" s="5"/>
    </row>
    <row r="424" ht="15.75" customHeight="1">
      <c r="A424" s="8"/>
      <c r="C424" s="5"/>
      <c r="D424" s="5"/>
      <c r="E424" s="5"/>
    </row>
    <row r="425" ht="15.75" customHeight="1">
      <c r="A425" s="8"/>
      <c r="C425" s="5"/>
      <c r="D425" s="5"/>
      <c r="E425" s="5"/>
    </row>
    <row r="426" ht="15.75" customHeight="1">
      <c r="A426" s="8"/>
      <c r="C426" s="5"/>
      <c r="D426" s="5"/>
      <c r="E426" s="5"/>
    </row>
    <row r="427" ht="15.75" customHeight="1">
      <c r="A427" s="8"/>
      <c r="C427" s="5"/>
      <c r="D427" s="5"/>
      <c r="E427" s="5"/>
    </row>
    <row r="428" ht="15.75" customHeight="1">
      <c r="A428" s="8"/>
      <c r="C428" s="5"/>
      <c r="D428" s="5"/>
      <c r="E428" s="5"/>
    </row>
    <row r="429" ht="15.75" customHeight="1">
      <c r="A429" s="8"/>
      <c r="C429" s="5"/>
      <c r="D429" s="5"/>
      <c r="E429" s="5"/>
    </row>
    <row r="430" ht="15.75" customHeight="1">
      <c r="A430" s="8"/>
      <c r="C430" s="5"/>
      <c r="D430" s="5"/>
      <c r="E430" s="5"/>
    </row>
    <row r="431" ht="15.75" customHeight="1">
      <c r="A431" s="8"/>
      <c r="C431" s="5"/>
      <c r="D431" s="5"/>
      <c r="E431" s="5"/>
    </row>
    <row r="432" ht="15.75" customHeight="1">
      <c r="A432" s="8"/>
      <c r="C432" s="5"/>
      <c r="D432" s="5"/>
      <c r="E432" s="5"/>
    </row>
    <row r="433" ht="15.75" customHeight="1">
      <c r="A433" s="8"/>
      <c r="C433" s="5"/>
      <c r="D433" s="5"/>
      <c r="E433" s="5"/>
    </row>
    <row r="434" ht="15.75" customHeight="1">
      <c r="A434" s="8"/>
      <c r="C434" s="5"/>
      <c r="D434" s="5"/>
      <c r="E434" s="5"/>
    </row>
    <row r="435" ht="15.75" customHeight="1">
      <c r="A435" s="8"/>
      <c r="C435" s="5"/>
      <c r="D435" s="5"/>
      <c r="E435" s="5"/>
    </row>
    <row r="436" ht="15.75" customHeight="1">
      <c r="A436" s="8"/>
      <c r="C436" s="5"/>
      <c r="D436" s="5"/>
      <c r="E436" s="5"/>
    </row>
    <row r="437" ht="15.75" customHeight="1">
      <c r="A437" s="8"/>
      <c r="C437" s="5"/>
      <c r="D437" s="5"/>
      <c r="E437" s="5"/>
    </row>
    <row r="438" ht="15.75" customHeight="1">
      <c r="A438" s="8"/>
      <c r="C438" s="5"/>
      <c r="D438" s="5"/>
      <c r="E438" s="5"/>
    </row>
    <row r="439" ht="15.75" customHeight="1">
      <c r="A439" s="8"/>
      <c r="C439" s="5"/>
      <c r="D439" s="5"/>
      <c r="E439" s="5"/>
    </row>
    <row r="440" ht="15.75" customHeight="1">
      <c r="A440" s="8"/>
      <c r="C440" s="5"/>
      <c r="D440" s="5"/>
      <c r="E440" s="5"/>
    </row>
    <row r="441" ht="15.75" customHeight="1">
      <c r="A441" s="8"/>
      <c r="C441" s="5"/>
      <c r="D441" s="5"/>
      <c r="E441" s="5"/>
    </row>
    <row r="442" ht="15.75" customHeight="1">
      <c r="A442" s="8"/>
      <c r="C442" s="5"/>
      <c r="D442" s="5"/>
      <c r="E442" s="5"/>
    </row>
    <row r="443" ht="15.75" customHeight="1">
      <c r="A443" s="8"/>
      <c r="C443" s="5"/>
      <c r="D443" s="5"/>
      <c r="E443" s="5"/>
    </row>
    <row r="444" ht="15.75" customHeight="1">
      <c r="A444" s="8"/>
      <c r="C444" s="5"/>
      <c r="D444" s="5"/>
      <c r="E444" s="5"/>
    </row>
    <row r="445" ht="15.75" customHeight="1">
      <c r="A445" s="8"/>
      <c r="C445" s="5"/>
      <c r="D445" s="5"/>
      <c r="E445" s="5"/>
    </row>
    <row r="446" ht="15.75" customHeight="1">
      <c r="A446" s="8"/>
      <c r="C446" s="5"/>
      <c r="D446" s="5"/>
      <c r="E446" s="5"/>
    </row>
    <row r="447" ht="15.75" customHeight="1">
      <c r="A447" s="8"/>
      <c r="C447" s="5"/>
      <c r="D447" s="5"/>
      <c r="E447" s="5"/>
    </row>
    <row r="448" ht="15.75" customHeight="1">
      <c r="A448" s="8"/>
      <c r="C448" s="5"/>
      <c r="D448" s="5"/>
      <c r="E448" s="5"/>
    </row>
    <row r="449" ht="15.75" customHeight="1">
      <c r="A449" s="8"/>
      <c r="C449" s="5"/>
      <c r="D449" s="5"/>
      <c r="E449" s="5"/>
    </row>
    <row r="450" ht="15.75" customHeight="1">
      <c r="A450" s="8"/>
      <c r="C450" s="5"/>
      <c r="D450" s="5"/>
      <c r="E450" s="5"/>
    </row>
    <row r="451" ht="15.75" customHeight="1">
      <c r="A451" s="8"/>
      <c r="C451" s="5"/>
      <c r="D451" s="5"/>
      <c r="E451" s="5"/>
    </row>
    <row r="452" ht="15.75" customHeight="1">
      <c r="A452" s="8"/>
      <c r="C452" s="5"/>
      <c r="D452" s="5"/>
      <c r="E452" s="5"/>
    </row>
    <row r="453" ht="15.75" customHeight="1">
      <c r="A453" s="8"/>
      <c r="C453" s="5"/>
      <c r="D453" s="5"/>
      <c r="E453" s="5"/>
    </row>
    <row r="454" ht="15.75" customHeight="1">
      <c r="A454" s="8"/>
      <c r="C454" s="5"/>
      <c r="D454" s="5"/>
      <c r="E454" s="5"/>
    </row>
    <row r="455" ht="15.75" customHeight="1">
      <c r="A455" s="8"/>
      <c r="C455" s="5"/>
      <c r="D455" s="5"/>
      <c r="E455" s="5"/>
    </row>
    <row r="456" ht="15.75" customHeight="1">
      <c r="A456" s="8"/>
      <c r="C456" s="5"/>
      <c r="D456" s="5"/>
      <c r="E456" s="5"/>
    </row>
    <row r="457" ht="15.75" customHeight="1">
      <c r="A457" s="8"/>
      <c r="C457" s="5"/>
      <c r="D457" s="5"/>
      <c r="E457" s="5"/>
    </row>
    <row r="458" ht="15.75" customHeight="1">
      <c r="A458" s="8"/>
      <c r="C458" s="5"/>
      <c r="D458" s="5"/>
      <c r="E458" s="5"/>
    </row>
    <row r="459" ht="15.75" customHeight="1">
      <c r="A459" s="8"/>
      <c r="C459" s="5"/>
      <c r="D459" s="5"/>
      <c r="E459" s="5"/>
    </row>
    <row r="460" ht="15.75" customHeight="1">
      <c r="A460" s="8"/>
      <c r="C460" s="5"/>
      <c r="D460" s="5"/>
      <c r="E460" s="5"/>
    </row>
    <row r="461" ht="15.75" customHeight="1">
      <c r="A461" s="8"/>
      <c r="C461" s="5"/>
      <c r="D461" s="5"/>
      <c r="E461" s="5"/>
    </row>
    <row r="462" ht="15.75" customHeight="1">
      <c r="A462" s="8"/>
      <c r="C462" s="5"/>
      <c r="D462" s="5"/>
      <c r="E462" s="5"/>
    </row>
    <row r="463" ht="15.75" customHeight="1">
      <c r="A463" s="8"/>
      <c r="C463" s="5"/>
      <c r="D463" s="5"/>
      <c r="E463" s="5"/>
    </row>
    <row r="464" ht="15.75" customHeight="1">
      <c r="A464" s="8"/>
      <c r="C464" s="5"/>
      <c r="D464" s="5"/>
      <c r="E464" s="5"/>
    </row>
    <row r="465" ht="15.75" customHeight="1">
      <c r="A465" s="8"/>
      <c r="C465" s="5"/>
      <c r="D465" s="5"/>
      <c r="E465" s="5"/>
    </row>
    <row r="466" ht="15.75" customHeight="1">
      <c r="A466" s="8"/>
      <c r="C466" s="5"/>
      <c r="D466" s="5"/>
      <c r="E466" s="5"/>
    </row>
    <row r="467" ht="15.75" customHeight="1">
      <c r="A467" s="8"/>
      <c r="C467" s="5"/>
      <c r="D467" s="5"/>
      <c r="E467" s="5"/>
    </row>
    <row r="468" ht="15.75" customHeight="1">
      <c r="A468" s="8"/>
      <c r="C468" s="5"/>
      <c r="D468" s="5"/>
      <c r="E468" s="5"/>
    </row>
    <row r="469" ht="15.75" customHeight="1">
      <c r="A469" s="8"/>
      <c r="C469" s="5"/>
      <c r="D469" s="5"/>
      <c r="E469" s="5"/>
    </row>
    <row r="470" ht="15.75" customHeight="1">
      <c r="A470" s="8"/>
      <c r="C470" s="5"/>
      <c r="D470" s="5"/>
      <c r="E470" s="5"/>
    </row>
    <row r="471" ht="15.75" customHeight="1">
      <c r="A471" s="8"/>
      <c r="C471" s="5"/>
      <c r="D471" s="5"/>
      <c r="E471" s="5"/>
    </row>
    <row r="472" ht="15.75" customHeight="1">
      <c r="A472" s="8"/>
      <c r="C472" s="5"/>
      <c r="D472" s="5"/>
      <c r="E472" s="5"/>
    </row>
    <row r="473" ht="15.75" customHeight="1">
      <c r="A473" s="8"/>
      <c r="C473" s="5"/>
      <c r="D473" s="5"/>
      <c r="E473" s="5"/>
    </row>
    <row r="474" ht="15.75" customHeight="1">
      <c r="A474" s="8"/>
      <c r="C474" s="5"/>
      <c r="D474" s="5"/>
      <c r="E474" s="5"/>
    </row>
    <row r="475" ht="15.75" customHeight="1">
      <c r="A475" s="8"/>
      <c r="C475" s="5"/>
      <c r="D475" s="5"/>
      <c r="E475" s="5"/>
    </row>
    <row r="476" ht="15.75" customHeight="1">
      <c r="A476" s="8"/>
      <c r="C476" s="5"/>
      <c r="D476" s="5"/>
      <c r="E476" s="5"/>
    </row>
    <row r="477" ht="15.75" customHeight="1">
      <c r="A477" s="8"/>
      <c r="C477" s="5"/>
      <c r="D477" s="5"/>
      <c r="E477" s="5"/>
    </row>
    <row r="478" ht="15.75" customHeight="1">
      <c r="A478" s="8"/>
      <c r="C478" s="5"/>
      <c r="D478" s="5"/>
      <c r="E478" s="5"/>
    </row>
    <row r="479" ht="15.75" customHeight="1">
      <c r="A479" s="8"/>
      <c r="C479" s="5"/>
      <c r="D479" s="5"/>
      <c r="E479" s="5"/>
    </row>
    <row r="480" ht="15.75" customHeight="1">
      <c r="A480" s="8"/>
      <c r="C480" s="5"/>
      <c r="D480" s="5"/>
      <c r="E480" s="5"/>
    </row>
    <row r="481" ht="15.75" customHeight="1">
      <c r="A481" s="8"/>
      <c r="C481" s="5"/>
      <c r="D481" s="5"/>
      <c r="E481" s="5"/>
    </row>
    <row r="482" ht="15.75" customHeight="1">
      <c r="A482" s="8"/>
      <c r="C482" s="5"/>
      <c r="D482" s="5"/>
      <c r="E482" s="5"/>
    </row>
    <row r="483" ht="15.75" customHeight="1">
      <c r="A483" s="8"/>
      <c r="C483" s="5"/>
      <c r="D483" s="5"/>
      <c r="E483" s="5"/>
    </row>
    <row r="484" ht="15.75" customHeight="1">
      <c r="A484" s="8"/>
      <c r="C484" s="5"/>
      <c r="D484" s="5"/>
      <c r="E484" s="5"/>
    </row>
    <row r="485" ht="15.75" customHeight="1">
      <c r="A485" s="8"/>
      <c r="C485" s="5"/>
      <c r="D485" s="5"/>
      <c r="E485" s="5"/>
    </row>
    <row r="486" ht="15.75" customHeight="1">
      <c r="A486" s="8"/>
      <c r="C486" s="5"/>
      <c r="D486" s="5"/>
      <c r="E486" s="5"/>
    </row>
    <row r="487" ht="15.75" customHeight="1">
      <c r="A487" s="8"/>
      <c r="C487" s="5"/>
      <c r="D487" s="5"/>
      <c r="E487" s="5"/>
    </row>
    <row r="488" ht="15.75" customHeight="1">
      <c r="A488" s="8"/>
      <c r="C488" s="5"/>
      <c r="D488" s="5"/>
      <c r="E488" s="5"/>
    </row>
    <row r="489" ht="15.75" customHeight="1">
      <c r="A489" s="8"/>
      <c r="C489" s="5"/>
      <c r="D489" s="5"/>
      <c r="E489" s="5"/>
    </row>
    <row r="490" ht="15.75" customHeight="1">
      <c r="A490" s="8"/>
      <c r="C490" s="5"/>
      <c r="D490" s="5"/>
      <c r="E490" s="5"/>
    </row>
    <row r="491" ht="15.75" customHeight="1">
      <c r="A491" s="8"/>
      <c r="C491" s="5"/>
      <c r="D491" s="5"/>
      <c r="E491" s="5"/>
    </row>
    <row r="492" ht="15.75" customHeight="1">
      <c r="A492" s="8"/>
      <c r="C492" s="5"/>
      <c r="D492" s="5"/>
      <c r="E492" s="5"/>
    </row>
    <row r="493" ht="15.75" customHeight="1">
      <c r="A493" s="8"/>
      <c r="C493" s="5"/>
      <c r="D493" s="5"/>
      <c r="E493" s="5"/>
    </row>
    <row r="494" ht="15.75" customHeight="1">
      <c r="A494" s="8"/>
      <c r="C494" s="5"/>
      <c r="D494" s="5"/>
      <c r="E494" s="5"/>
    </row>
    <row r="495" ht="15.75" customHeight="1">
      <c r="A495" s="8"/>
      <c r="C495" s="5"/>
      <c r="D495" s="5"/>
      <c r="E495" s="5"/>
    </row>
    <row r="496" ht="15.75" customHeight="1">
      <c r="A496" s="8"/>
      <c r="C496" s="5"/>
      <c r="D496" s="5"/>
      <c r="E496" s="5"/>
    </row>
    <row r="497" ht="15.75" customHeight="1">
      <c r="A497" s="8"/>
      <c r="C497" s="5"/>
      <c r="D497" s="5"/>
      <c r="E497" s="5"/>
    </row>
    <row r="498" ht="15.75" customHeight="1">
      <c r="A498" s="8"/>
      <c r="C498" s="5"/>
      <c r="D498" s="5"/>
      <c r="E498" s="5"/>
    </row>
    <row r="499" ht="15.75" customHeight="1">
      <c r="A499" s="8"/>
      <c r="C499" s="5"/>
      <c r="D499" s="5"/>
      <c r="E499" s="5"/>
    </row>
    <row r="500" ht="15.75" customHeight="1">
      <c r="A500" s="8"/>
      <c r="C500" s="5"/>
      <c r="D500" s="5"/>
      <c r="E500" s="5"/>
    </row>
    <row r="501" ht="15.75" customHeight="1">
      <c r="A501" s="8"/>
      <c r="C501" s="5"/>
      <c r="D501" s="5"/>
      <c r="E501" s="5"/>
    </row>
    <row r="502" ht="15.75" customHeight="1">
      <c r="A502" s="8"/>
      <c r="C502" s="5"/>
      <c r="D502" s="5"/>
      <c r="E502" s="5"/>
    </row>
    <row r="503" ht="15.75" customHeight="1">
      <c r="A503" s="8"/>
      <c r="C503" s="5"/>
      <c r="D503" s="5"/>
      <c r="E503" s="5"/>
    </row>
    <row r="504" ht="15.75" customHeight="1">
      <c r="A504" s="8"/>
      <c r="C504" s="5"/>
      <c r="D504" s="5"/>
      <c r="E504" s="5"/>
    </row>
    <row r="505" ht="15.75" customHeight="1">
      <c r="A505" s="8"/>
      <c r="C505" s="5"/>
      <c r="D505" s="5"/>
      <c r="E505" s="5"/>
    </row>
    <row r="506" ht="15.75" customHeight="1">
      <c r="A506" s="8"/>
      <c r="C506" s="5"/>
      <c r="D506" s="5"/>
      <c r="E506" s="5"/>
    </row>
    <row r="507" ht="15.75" customHeight="1">
      <c r="A507" s="8"/>
      <c r="C507" s="5"/>
      <c r="D507" s="5"/>
      <c r="E507" s="5"/>
    </row>
    <row r="508" ht="15.75" customHeight="1">
      <c r="A508" s="8"/>
      <c r="C508" s="5"/>
      <c r="D508" s="5"/>
      <c r="E508" s="5"/>
    </row>
    <row r="509" ht="15.75" customHeight="1">
      <c r="A509" s="8"/>
      <c r="C509" s="5"/>
      <c r="D509" s="5"/>
      <c r="E509" s="5"/>
    </row>
    <row r="510" ht="15.75" customHeight="1">
      <c r="A510" s="8"/>
      <c r="C510" s="5"/>
      <c r="D510" s="5"/>
      <c r="E510" s="5"/>
    </row>
    <row r="511" ht="15.75" customHeight="1">
      <c r="A511" s="8"/>
      <c r="C511" s="5"/>
      <c r="D511" s="5"/>
      <c r="E511" s="5"/>
    </row>
    <row r="512" ht="15.75" customHeight="1">
      <c r="A512" s="8"/>
      <c r="C512" s="5"/>
      <c r="D512" s="5"/>
      <c r="E512" s="5"/>
    </row>
    <row r="513" ht="15.75" customHeight="1">
      <c r="A513" s="8"/>
      <c r="C513" s="5"/>
      <c r="D513" s="5"/>
      <c r="E513" s="5"/>
    </row>
    <row r="514" ht="15.75" customHeight="1">
      <c r="A514" s="8"/>
      <c r="C514" s="5"/>
      <c r="D514" s="5"/>
      <c r="E514" s="5"/>
    </row>
    <row r="515" ht="15.75" customHeight="1">
      <c r="A515" s="8"/>
      <c r="C515" s="5"/>
      <c r="D515" s="5"/>
      <c r="E515" s="5"/>
    </row>
    <row r="516" ht="15.75" customHeight="1">
      <c r="A516" s="8"/>
      <c r="C516" s="5"/>
      <c r="D516" s="5"/>
      <c r="E516" s="5"/>
    </row>
    <row r="517" ht="15.75" customHeight="1">
      <c r="A517" s="8"/>
      <c r="C517" s="5"/>
      <c r="D517" s="5"/>
      <c r="E517" s="5"/>
    </row>
    <row r="518" ht="15.75" customHeight="1">
      <c r="A518" s="8"/>
      <c r="C518" s="5"/>
      <c r="D518" s="5"/>
      <c r="E518" s="5"/>
    </row>
    <row r="519" ht="15.75" customHeight="1">
      <c r="A519" s="8"/>
      <c r="C519" s="5"/>
      <c r="D519" s="5"/>
      <c r="E519" s="5"/>
    </row>
    <row r="520" ht="15.75" customHeight="1">
      <c r="A520" s="8"/>
      <c r="C520" s="5"/>
      <c r="D520" s="5"/>
      <c r="E520" s="5"/>
    </row>
    <row r="521" ht="15.75" customHeight="1">
      <c r="A521" s="8"/>
      <c r="C521" s="5"/>
      <c r="D521" s="5"/>
      <c r="E521" s="5"/>
    </row>
    <row r="522" ht="15.75" customHeight="1">
      <c r="A522" s="8"/>
      <c r="C522" s="5"/>
      <c r="D522" s="5"/>
      <c r="E522" s="5"/>
    </row>
    <row r="523" ht="15.75" customHeight="1">
      <c r="A523" s="8"/>
      <c r="C523" s="5"/>
      <c r="D523" s="5"/>
      <c r="E523" s="5"/>
    </row>
    <row r="524" ht="15.75" customHeight="1">
      <c r="A524" s="8"/>
      <c r="C524" s="5"/>
      <c r="D524" s="5"/>
      <c r="E524" s="5"/>
    </row>
    <row r="525" ht="15.75" customHeight="1">
      <c r="A525" s="8"/>
      <c r="C525" s="5"/>
      <c r="D525" s="5"/>
      <c r="E525" s="5"/>
    </row>
    <row r="526" ht="15.75" customHeight="1">
      <c r="A526" s="8"/>
      <c r="C526" s="5"/>
      <c r="D526" s="5"/>
      <c r="E526" s="5"/>
    </row>
    <row r="527" ht="15.75" customHeight="1">
      <c r="A527" s="8"/>
      <c r="C527" s="5"/>
      <c r="D527" s="5"/>
      <c r="E527" s="5"/>
    </row>
    <row r="528" ht="15.75" customHeight="1">
      <c r="A528" s="8"/>
      <c r="C528" s="5"/>
      <c r="D528" s="5"/>
      <c r="E528" s="5"/>
    </row>
    <row r="529" ht="15.75" customHeight="1">
      <c r="A529" s="8"/>
      <c r="C529" s="5"/>
      <c r="D529" s="5"/>
      <c r="E529" s="5"/>
    </row>
    <row r="530" ht="15.75" customHeight="1">
      <c r="A530" s="8"/>
      <c r="C530" s="5"/>
      <c r="D530" s="5"/>
      <c r="E530" s="5"/>
    </row>
    <row r="531" ht="15.75" customHeight="1">
      <c r="A531" s="8"/>
      <c r="C531" s="5"/>
      <c r="D531" s="5"/>
      <c r="E531" s="5"/>
    </row>
    <row r="532" ht="15.75" customHeight="1">
      <c r="A532" s="8"/>
      <c r="C532" s="5"/>
      <c r="D532" s="5"/>
      <c r="E532" s="5"/>
    </row>
    <row r="533" ht="15.75" customHeight="1">
      <c r="A533" s="8"/>
      <c r="C533" s="5"/>
      <c r="D533" s="5"/>
      <c r="E533" s="5"/>
    </row>
    <row r="534" ht="15.75" customHeight="1">
      <c r="A534" s="8"/>
      <c r="C534" s="5"/>
      <c r="D534" s="5"/>
      <c r="E534" s="5"/>
    </row>
    <row r="535" ht="15.75" customHeight="1">
      <c r="A535" s="8"/>
      <c r="C535" s="5"/>
      <c r="D535" s="5"/>
      <c r="E535" s="5"/>
    </row>
    <row r="536" ht="15.75" customHeight="1">
      <c r="A536" s="8"/>
      <c r="C536" s="5"/>
      <c r="D536" s="5"/>
      <c r="E536" s="5"/>
    </row>
    <row r="537" ht="15.75" customHeight="1">
      <c r="A537" s="8"/>
      <c r="C537" s="5"/>
      <c r="D537" s="5"/>
      <c r="E537" s="5"/>
    </row>
    <row r="538" ht="15.75" customHeight="1">
      <c r="A538" s="8"/>
      <c r="C538" s="5"/>
      <c r="D538" s="5"/>
      <c r="E538" s="5"/>
    </row>
    <row r="539" ht="15.75" customHeight="1">
      <c r="A539" s="8"/>
      <c r="C539" s="5"/>
      <c r="D539" s="5"/>
      <c r="E539" s="5"/>
    </row>
    <row r="540" ht="15.75" customHeight="1">
      <c r="A540" s="8"/>
      <c r="C540" s="5"/>
      <c r="D540" s="5"/>
      <c r="E540" s="5"/>
    </row>
    <row r="541" ht="15.75" customHeight="1">
      <c r="A541" s="8"/>
      <c r="C541" s="5"/>
      <c r="D541" s="5"/>
      <c r="E541" s="5"/>
    </row>
    <row r="542" ht="15.75" customHeight="1">
      <c r="A542" s="8"/>
      <c r="C542" s="5"/>
      <c r="D542" s="5"/>
      <c r="E542" s="5"/>
    </row>
    <row r="543" ht="15.75" customHeight="1">
      <c r="A543" s="8"/>
      <c r="C543" s="5"/>
      <c r="D543" s="5"/>
      <c r="E543" s="5"/>
    </row>
    <row r="544" ht="15.75" customHeight="1">
      <c r="A544" s="8"/>
      <c r="C544" s="5"/>
      <c r="D544" s="5"/>
      <c r="E544" s="5"/>
    </row>
    <row r="545" ht="15.75" customHeight="1">
      <c r="A545" s="8"/>
      <c r="C545" s="5"/>
      <c r="D545" s="5"/>
      <c r="E545" s="5"/>
    </row>
    <row r="546" ht="15.75" customHeight="1">
      <c r="A546" s="8"/>
      <c r="C546" s="5"/>
      <c r="D546" s="5"/>
      <c r="E546" s="5"/>
    </row>
    <row r="547" ht="15.75" customHeight="1">
      <c r="A547" s="8"/>
      <c r="C547" s="5"/>
      <c r="D547" s="5"/>
      <c r="E547" s="5"/>
    </row>
    <row r="548" ht="15.75" customHeight="1">
      <c r="A548" s="8"/>
      <c r="C548" s="5"/>
      <c r="D548" s="5"/>
      <c r="E548" s="5"/>
    </row>
    <row r="549" ht="15.75" customHeight="1">
      <c r="A549" s="8"/>
      <c r="C549" s="5"/>
      <c r="D549" s="5"/>
      <c r="E549" s="5"/>
    </row>
    <row r="550" ht="15.75" customHeight="1">
      <c r="A550" s="8"/>
      <c r="C550" s="5"/>
      <c r="D550" s="5"/>
      <c r="E550" s="5"/>
    </row>
    <row r="551" ht="15.75" customHeight="1">
      <c r="A551" s="8"/>
      <c r="C551" s="5"/>
      <c r="D551" s="5"/>
      <c r="E551" s="5"/>
    </row>
    <row r="552" ht="15.75" customHeight="1">
      <c r="A552" s="8"/>
      <c r="C552" s="5"/>
      <c r="D552" s="5"/>
      <c r="E552" s="5"/>
    </row>
    <row r="553" ht="15.75" customHeight="1">
      <c r="A553" s="8"/>
      <c r="C553" s="5"/>
      <c r="D553" s="5"/>
      <c r="E553" s="5"/>
    </row>
    <row r="554" ht="15.75" customHeight="1">
      <c r="A554" s="8"/>
      <c r="C554" s="5"/>
      <c r="D554" s="5"/>
      <c r="E554" s="5"/>
    </row>
    <row r="555" ht="15.75" customHeight="1">
      <c r="A555" s="8"/>
      <c r="C555" s="5"/>
      <c r="D555" s="5"/>
      <c r="E555" s="5"/>
    </row>
    <row r="556" ht="15.75" customHeight="1">
      <c r="A556" s="8"/>
      <c r="C556" s="5"/>
      <c r="D556" s="5"/>
      <c r="E556" s="5"/>
    </row>
    <row r="557" ht="15.75" customHeight="1">
      <c r="A557" s="8"/>
      <c r="C557" s="5"/>
      <c r="D557" s="5"/>
      <c r="E557" s="5"/>
    </row>
    <row r="558" ht="15.75" customHeight="1">
      <c r="A558" s="8"/>
      <c r="C558" s="5"/>
      <c r="D558" s="5"/>
      <c r="E558" s="5"/>
    </row>
    <row r="559" ht="15.75" customHeight="1">
      <c r="A559" s="8"/>
      <c r="C559" s="5"/>
      <c r="D559" s="5"/>
      <c r="E559" s="5"/>
    </row>
    <row r="560" ht="15.75" customHeight="1">
      <c r="A560" s="8"/>
      <c r="C560" s="5"/>
      <c r="D560" s="5"/>
      <c r="E560" s="5"/>
    </row>
    <row r="561" ht="15.75" customHeight="1">
      <c r="A561" s="8"/>
      <c r="C561" s="5"/>
      <c r="D561" s="5"/>
      <c r="E561" s="5"/>
    </row>
    <row r="562" ht="15.75" customHeight="1">
      <c r="A562" s="8"/>
      <c r="C562" s="5"/>
      <c r="D562" s="5"/>
      <c r="E562" s="5"/>
    </row>
    <row r="563" ht="15.75" customHeight="1">
      <c r="A563" s="8"/>
      <c r="C563" s="5"/>
      <c r="D563" s="5"/>
      <c r="E563" s="5"/>
    </row>
    <row r="564" ht="15.75" customHeight="1">
      <c r="A564" s="8"/>
      <c r="C564" s="5"/>
      <c r="D564" s="5"/>
      <c r="E564" s="5"/>
    </row>
    <row r="565" ht="15.75" customHeight="1">
      <c r="A565" s="8"/>
      <c r="C565" s="5"/>
      <c r="D565" s="5"/>
      <c r="E565" s="5"/>
    </row>
    <row r="566" ht="15.75" customHeight="1">
      <c r="A566" s="8"/>
      <c r="C566" s="5"/>
      <c r="D566" s="5"/>
      <c r="E566" s="5"/>
    </row>
    <row r="567" ht="15.75" customHeight="1">
      <c r="A567" s="8"/>
      <c r="C567" s="5"/>
      <c r="D567" s="5"/>
      <c r="E567" s="5"/>
    </row>
    <row r="568" ht="15.75" customHeight="1">
      <c r="A568" s="8"/>
      <c r="C568" s="5"/>
      <c r="D568" s="5"/>
      <c r="E568" s="5"/>
    </row>
    <row r="569" ht="15.75" customHeight="1">
      <c r="A569" s="8"/>
      <c r="C569" s="5"/>
      <c r="D569" s="5"/>
      <c r="E569" s="5"/>
    </row>
    <row r="570" ht="15.75" customHeight="1">
      <c r="A570" s="8"/>
      <c r="C570" s="5"/>
      <c r="D570" s="5"/>
      <c r="E570" s="5"/>
    </row>
    <row r="571" ht="15.75" customHeight="1">
      <c r="A571" s="8"/>
      <c r="C571" s="5"/>
      <c r="D571" s="5"/>
      <c r="E571" s="5"/>
    </row>
    <row r="572" ht="15.75" customHeight="1">
      <c r="A572" s="8"/>
      <c r="C572" s="5"/>
      <c r="D572" s="5"/>
      <c r="E572" s="5"/>
    </row>
    <row r="573" ht="15.75" customHeight="1">
      <c r="A573" s="8"/>
      <c r="C573" s="5"/>
      <c r="D573" s="5"/>
      <c r="E573" s="5"/>
    </row>
    <row r="574" ht="15.75" customHeight="1">
      <c r="A574" s="8"/>
      <c r="C574" s="5"/>
      <c r="D574" s="5"/>
      <c r="E574" s="5"/>
    </row>
    <row r="575" ht="15.75" customHeight="1">
      <c r="A575" s="8"/>
      <c r="C575" s="5"/>
      <c r="D575" s="5"/>
      <c r="E575" s="5"/>
    </row>
    <row r="576" ht="15.75" customHeight="1">
      <c r="A576" s="8"/>
      <c r="C576" s="5"/>
      <c r="D576" s="5"/>
      <c r="E576" s="5"/>
    </row>
    <row r="577" ht="15.75" customHeight="1">
      <c r="A577" s="8"/>
      <c r="C577" s="5"/>
      <c r="D577" s="5"/>
      <c r="E577" s="5"/>
    </row>
    <row r="578" ht="15.75" customHeight="1">
      <c r="A578" s="8"/>
      <c r="C578" s="5"/>
      <c r="D578" s="5"/>
      <c r="E578" s="5"/>
    </row>
    <row r="579" ht="15.75" customHeight="1">
      <c r="A579" s="8"/>
      <c r="C579" s="5"/>
      <c r="D579" s="5"/>
      <c r="E579" s="5"/>
    </row>
    <row r="580" ht="15.75" customHeight="1">
      <c r="A580" s="8"/>
      <c r="C580" s="5"/>
      <c r="D580" s="5"/>
      <c r="E580" s="5"/>
    </row>
    <row r="581" ht="15.75" customHeight="1">
      <c r="A581" s="8"/>
      <c r="C581" s="5"/>
      <c r="D581" s="5"/>
      <c r="E581" s="5"/>
    </row>
    <row r="582" ht="15.75" customHeight="1">
      <c r="A582" s="8"/>
      <c r="C582" s="5"/>
      <c r="D582" s="5"/>
      <c r="E582" s="5"/>
    </row>
    <row r="583" ht="15.75" customHeight="1">
      <c r="A583" s="8"/>
      <c r="C583" s="5"/>
      <c r="D583" s="5"/>
      <c r="E583" s="5"/>
    </row>
    <row r="584" ht="15.75" customHeight="1">
      <c r="A584" s="8"/>
      <c r="C584" s="5"/>
      <c r="D584" s="5"/>
      <c r="E584" s="5"/>
    </row>
    <row r="585" ht="15.75" customHeight="1">
      <c r="A585" s="8"/>
      <c r="C585" s="5"/>
      <c r="D585" s="5"/>
      <c r="E585" s="5"/>
    </row>
    <row r="586" ht="15.75" customHeight="1">
      <c r="A586" s="8"/>
      <c r="C586" s="5"/>
      <c r="D586" s="5"/>
      <c r="E586" s="5"/>
    </row>
    <row r="587" ht="15.75" customHeight="1">
      <c r="A587" s="8"/>
      <c r="C587" s="5"/>
      <c r="D587" s="5"/>
      <c r="E587" s="5"/>
    </row>
    <row r="588" ht="15.75" customHeight="1">
      <c r="A588" s="8"/>
      <c r="C588" s="5"/>
      <c r="D588" s="5"/>
      <c r="E588" s="5"/>
    </row>
    <row r="589" ht="15.75" customHeight="1">
      <c r="A589" s="8"/>
      <c r="C589" s="5"/>
      <c r="D589" s="5"/>
      <c r="E589" s="5"/>
    </row>
    <row r="590" ht="15.75" customHeight="1">
      <c r="A590" s="8"/>
      <c r="C590" s="5"/>
      <c r="D590" s="5"/>
      <c r="E590" s="5"/>
    </row>
    <row r="591" ht="15.75" customHeight="1">
      <c r="A591" s="8"/>
      <c r="C591" s="5"/>
      <c r="D591" s="5"/>
      <c r="E591" s="5"/>
    </row>
    <row r="592" ht="15.75" customHeight="1">
      <c r="A592" s="8"/>
      <c r="C592" s="5"/>
      <c r="D592" s="5"/>
      <c r="E592" s="5"/>
    </row>
    <row r="593" ht="15.75" customHeight="1">
      <c r="A593" s="8"/>
      <c r="C593" s="5"/>
      <c r="D593" s="5"/>
      <c r="E593" s="5"/>
    </row>
    <row r="594" ht="15.75" customHeight="1">
      <c r="A594" s="8"/>
      <c r="C594" s="5"/>
      <c r="D594" s="5"/>
      <c r="E594" s="5"/>
    </row>
    <row r="595" ht="15.75" customHeight="1">
      <c r="A595" s="8"/>
      <c r="C595" s="5"/>
      <c r="D595" s="5"/>
      <c r="E595" s="5"/>
    </row>
    <row r="596" ht="15.75" customHeight="1">
      <c r="A596" s="8"/>
      <c r="C596" s="5"/>
      <c r="D596" s="5"/>
      <c r="E596" s="5"/>
    </row>
    <row r="597" ht="15.75" customHeight="1">
      <c r="A597" s="8"/>
      <c r="C597" s="5"/>
      <c r="D597" s="5"/>
      <c r="E597" s="5"/>
    </row>
    <row r="598" ht="15.75" customHeight="1">
      <c r="A598" s="8"/>
      <c r="C598" s="5"/>
      <c r="D598" s="5"/>
      <c r="E598" s="5"/>
    </row>
    <row r="599" ht="15.75" customHeight="1">
      <c r="A599" s="8"/>
      <c r="C599" s="5"/>
      <c r="D599" s="5"/>
      <c r="E599" s="5"/>
    </row>
    <row r="600" ht="15.75" customHeight="1">
      <c r="A600" s="8"/>
      <c r="C600" s="5"/>
      <c r="D600" s="5"/>
      <c r="E600" s="5"/>
    </row>
    <row r="601" ht="15.75" customHeight="1">
      <c r="A601" s="8"/>
      <c r="C601" s="5"/>
      <c r="D601" s="5"/>
      <c r="E601" s="5"/>
    </row>
    <row r="602" ht="15.75" customHeight="1">
      <c r="A602" s="8"/>
      <c r="C602" s="5"/>
      <c r="D602" s="5"/>
      <c r="E602" s="5"/>
    </row>
    <row r="603" ht="15.75" customHeight="1">
      <c r="A603" s="8"/>
      <c r="C603" s="5"/>
      <c r="D603" s="5"/>
      <c r="E603" s="5"/>
    </row>
    <row r="604" ht="15.75" customHeight="1">
      <c r="A604" s="8"/>
      <c r="C604" s="5"/>
      <c r="D604" s="5"/>
      <c r="E604" s="5"/>
    </row>
    <row r="605" ht="15.75" customHeight="1">
      <c r="A605" s="8"/>
      <c r="C605" s="5"/>
      <c r="D605" s="5"/>
      <c r="E605" s="5"/>
    </row>
    <row r="606" ht="15.75" customHeight="1">
      <c r="A606" s="8"/>
      <c r="C606" s="5"/>
      <c r="D606" s="5"/>
      <c r="E606" s="5"/>
    </row>
    <row r="607" ht="15.75" customHeight="1">
      <c r="A607" s="8"/>
      <c r="C607" s="5"/>
      <c r="D607" s="5"/>
      <c r="E607" s="5"/>
    </row>
    <row r="608" ht="15.75" customHeight="1">
      <c r="A608" s="8"/>
      <c r="C608" s="5"/>
      <c r="D608" s="5"/>
      <c r="E608" s="5"/>
    </row>
    <row r="609" ht="15.75" customHeight="1">
      <c r="A609" s="8"/>
      <c r="C609" s="5"/>
      <c r="D609" s="5"/>
      <c r="E609" s="5"/>
    </row>
    <row r="610" ht="15.75" customHeight="1">
      <c r="A610" s="8"/>
      <c r="C610" s="5"/>
      <c r="D610" s="5"/>
      <c r="E610" s="5"/>
    </row>
    <row r="611" ht="15.75" customHeight="1">
      <c r="A611" s="8"/>
      <c r="C611" s="5"/>
      <c r="D611" s="5"/>
      <c r="E611" s="5"/>
    </row>
    <row r="612" ht="15.75" customHeight="1">
      <c r="A612" s="8"/>
      <c r="C612" s="5"/>
      <c r="D612" s="5"/>
      <c r="E612" s="5"/>
    </row>
    <row r="613" ht="15.75" customHeight="1">
      <c r="A613" s="8"/>
      <c r="C613" s="5"/>
      <c r="D613" s="5"/>
      <c r="E613" s="5"/>
    </row>
    <row r="614" ht="15.75" customHeight="1">
      <c r="A614" s="8"/>
      <c r="C614" s="5"/>
      <c r="D614" s="5"/>
      <c r="E614" s="5"/>
    </row>
    <row r="615" ht="15.75" customHeight="1">
      <c r="A615" s="8"/>
      <c r="C615" s="5"/>
      <c r="D615" s="5"/>
      <c r="E615" s="5"/>
    </row>
    <row r="616" ht="15.75" customHeight="1">
      <c r="A616" s="8"/>
      <c r="C616" s="5"/>
      <c r="D616" s="5"/>
      <c r="E616" s="5"/>
    </row>
    <row r="617" ht="15.75" customHeight="1">
      <c r="A617" s="8"/>
      <c r="C617" s="5"/>
      <c r="D617" s="5"/>
      <c r="E617" s="5"/>
    </row>
    <row r="618" ht="15.75" customHeight="1">
      <c r="A618" s="8"/>
      <c r="C618" s="5"/>
      <c r="D618" s="5"/>
      <c r="E618" s="5"/>
    </row>
    <row r="619" ht="15.75" customHeight="1">
      <c r="A619" s="8"/>
      <c r="C619" s="5"/>
      <c r="D619" s="5"/>
      <c r="E619" s="5"/>
    </row>
    <row r="620" ht="15.75" customHeight="1">
      <c r="A620" s="8"/>
      <c r="C620" s="5"/>
      <c r="D620" s="5"/>
      <c r="E620" s="5"/>
    </row>
    <row r="621" ht="15.75" customHeight="1">
      <c r="A621" s="8"/>
      <c r="C621" s="5"/>
      <c r="D621" s="5"/>
      <c r="E621" s="5"/>
    </row>
    <row r="622" ht="15.75" customHeight="1">
      <c r="A622" s="8"/>
      <c r="C622" s="5"/>
      <c r="D622" s="5"/>
      <c r="E622" s="5"/>
    </row>
    <row r="623" ht="15.75" customHeight="1">
      <c r="A623" s="8"/>
      <c r="C623" s="5"/>
      <c r="D623" s="5"/>
      <c r="E623" s="5"/>
    </row>
    <row r="624" ht="15.75" customHeight="1">
      <c r="A624" s="8"/>
      <c r="C624" s="5"/>
      <c r="D624" s="5"/>
      <c r="E624" s="5"/>
    </row>
    <row r="625" ht="15.75" customHeight="1">
      <c r="A625" s="8"/>
      <c r="C625" s="5"/>
      <c r="D625" s="5"/>
      <c r="E625" s="5"/>
    </row>
    <row r="626" ht="15.75" customHeight="1">
      <c r="A626" s="8"/>
      <c r="C626" s="5"/>
      <c r="D626" s="5"/>
      <c r="E626" s="5"/>
    </row>
    <row r="627" ht="15.75" customHeight="1">
      <c r="A627" s="8"/>
      <c r="C627" s="5"/>
      <c r="D627" s="5"/>
      <c r="E627" s="5"/>
    </row>
    <row r="628" ht="15.75" customHeight="1">
      <c r="A628" s="8"/>
      <c r="C628" s="5"/>
      <c r="D628" s="5"/>
      <c r="E628" s="5"/>
    </row>
    <row r="629" ht="15.75" customHeight="1">
      <c r="A629" s="8"/>
      <c r="C629" s="5"/>
      <c r="D629" s="5"/>
      <c r="E629" s="5"/>
    </row>
    <row r="630" ht="15.75" customHeight="1">
      <c r="A630" s="8"/>
      <c r="C630" s="5"/>
      <c r="D630" s="5"/>
      <c r="E630" s="5"/>
    </row>
    <row r="631" ht="15.75" customHeight="1">
      <c r="A631" s="8"/>
      <c r="C631" s="5"/>
      <c r="D631" s="5"/>
      <c r="E631" s="5"/>
    </row>
    <row r="632" ht="15.75" customHeight="1">
      <c r="A632" s="8"/>
      <c r="C632" s="5"/>
      <c r="D632" s="5"/>
      <c r="E632" s="5"/>
    </row>
    <row r="633" ht="15.75" customHeight="1">
      <c r="A633" s="8"/>
      <c r="C633" s="5"/>
      <c r="D633" s="5"/>
      <c r="E633" s="5"/>
    </row>
    <row r="634" ht="15.75" customHeight="1">
      <c r="A634" s="8"/>
      <c r="C634" s="5"/>
      <c r="D634" s="5"/>
      <c r="E634" s="5"/>
    </row>
    <row r="635" ht="15.75" customHeight="1">
      <c r="A635" s="8"/>
      <c r="C635" s="5"/>
      <c r="D635" s="5"/>
      <c r="E635" s="5"/>
    </row>
    <row r="636" ht="15.75" customHeight="1">
      <c r="A636" s="8"/>
      <c r="C636" s="5"/>
      <c r="D636" s="5"/>
      <c r="E636" s="5"/>
    </row>
    <row r="637" ht="15.75" customHeight="1">
      <c r="A637" s="8"/>
      <c r="C637" s="5"/>
      <c r="D637" s="5"/>
      <c r="E637" s="5"/>
    </row>
    <row r="638" ht="15.75" customHeight="1">
      <c r="A638" s="8"/>
      <c r="C638" s="5"/>
      <c r="D638" s="5"/>
      <c r="E638" s="5"/>
    </row>
    <row r="639" ht="15.75" customHeight="1">
      <c r="A639" s="8"/>
      <c r="C639" s="5"/>
      <c r="D639" s="5"/>
      <c r="E639" s="5"/>
    </row>
    <row r="640" ht="15.75" customHeight="1">
      <c r="A640" s="8"/>
      <c r="C640" s="5"/>
      <c r="D640" s="5"/>
      <c r="E640" s="5"/>
    </row>
    <row r="641" ht="15.75" customHeight="1">
      <c r="A641" s="8"/>
      <c r="C641" s="5"/>
      <c r="D641" s="5"/>
      <c r="E641" s="5"/>
    </row>
    <row r="642" ht="15.75" customHeight="1">
      <c r="A642" s="8"/>
      <c r="C642" s="5"/>
      <c r="D642" s="5"/>
      <c r="E642" s="5"/>
    </row>
    <row r="643" ht="15.75" customHeight="1">
      <c r="A643" s="8"/>
      <c r="C643" s="5"/>
      <c r="D643" s="5"/>
      <c r="E643" s="5"/>
    </row>
    <row r="644" ht="15.75" customHeight="1">
      <c r="A644" s="8"/>
      <c r="C644" s="5"/>
      <c r="D644" s="5"/>
      <c r="E644" s="5"/>
    </row>
    <row r="645" ht="15.75" customHeight="1">
      <c r="A645" s="8"/>
      <c r="C645" s="5"/>
      <c r="D645" s="5"/>
      <c r="E645" s="5"/>
    </row>
    <row r="646" ht="15.75" customHeight="1">
      <c r="A646" s="8"/>
      <c r="C646" s="5"/>
      <c r="D646" s="5"/>
      <c r="E646" s="5"/>
    </row>
    <row r="647" ht="15.75" customHeight="1">
      <c r="A647" s="8"/>
      <c r="C647" s="5"/>
      <c r="D647" s="5"/>
      <c r="E647" s="5"/>
    </row>
    <row r="648" ht="15.75" customHeight="1">
      <c r="A648" s="8"/>
      <c r="C648" s="5"/>
      <c r="D648" s="5"/>
      <c r="E648" s="5"/>
    </row>
    <row r="649" ht="15.75" customHeight="1">
      <c r="A649" s="8"/>
      <c r="C649" s="5"/>
      <c r="D649" s="5"/>
      <c r="E649" s="5"/>
    </row>
    <row r="650" ht="15.75" customHeight="1">
      <c r="A650" s="8"/>
      <c r="C650" s="5"/>
      <c r="D650" s="5"/>
      <c r="E650" s="5"/>
    </row>
    <row r="651" ht="15.75" customHeight="1">
      <c r="A651" s="8"/>
      <c r="C651" s="5"/>
      <c r="D651" s="5"/>
      <c r="E651" s="5"/>
    </row>
    <row r="652" ht="15.75" customHeight="1">
      <c r="A652" s="8"/>
      <c r="C652" s="5"/>
      <c r="D652" s="5"/>
      <c r="E652" s="5"/>
    </row>
    <row r="653" ht="15.75" customHeight="1">
      <c r="A653" s="8"/>
      <c r="C653" s="5"/>
      <c r="D653" s="5"/>
      <c r="E653" s="5"/>
    </row>
    <row r="654" ht="15.75" customHeight="1">
      <c r="A654" s="8"/>
      <c r="C654" s="5"/>
      <c r="D654" s="5"/>
      <c r="E654" s="5"/>
    </row>
    <row r="655" ht="15.75" customHeight="1">
      <c r="A655" s="8"/>
      <c r="C655" s="5"/>
      <c r="D655" s="5"/>
      <c r="E655" s="5"/>
    </row>
    <row r="656" ht="15.75" customHeight="1">
      <c r="A656" s="8"/>
      <c r="C656" s="5"/>
      <c r="D656" s="5"/>
      <c r="E656" s="5"/>
    </row>
    <row r="657" ht="15.75" customHeight="1">
      <c r="A657" s="8"/>
      <c r="C657" s="5"/>
      <c r="D657" s="5"/>
      <c r="E657" s="5"/>
    </row>
    <row r="658" ht="15.75" customHeight="1">
      <c r="A658" s="8"/>
      <c r="C658" s="5"/>
      <c r="D658" s="5"/>
      <c r="E658" s="5"/>
    </row>
    <row r="659" ht="15.75" customHeight="1">
      <c r="A659" s="8"/>
      <c r="C659" s="5"/>
      <c r="D659" s="5"/>
      <c r="E659" s="5"/>
    </row>
    <row r="660" ht="15.75" customHeight="1">
      <c r="A660" s="8"/>
      <c r="C660" s="5"/>
      <c r="D660" s="5"/>
      <c r="E660" s="5"/>
    </row>
    <row r="661" ht="15.75" customHeight="1">
      <c r="A661" s="8"/>
      <c r="C661" s="5"/>
      <c r="D661" s="5"/>
      <c r="E661" s="5"/>
    </row>
    <row r="662" ht="15.75" customHeight="1">
      <c r="A662" s="8"/>
      <c r="C662" s="5"/>
      <c r="D662" s="5"/>
      <c r="E662" s="5"/>
    </row>
    <row r="663" ht="15.75" customHeight="1">
      <c r="A663" s="8"/>
      <c r="C663" s="5"/>
      <c r="D663" s="5"/>
      <c r="E663" s="5"/>
    </row>
    <row r="664" ht="15.75" customHeight="1">
      <c r="A664" s="8"/>
      <c r="C664" s="5"/>
      <c r="D664" s="5"/>
      <c r="E664" s="5"/>
    </row>
    <row r="665" ht="15.75" customHeight="1">
      <c r="A665" s="8"/>
      <c r="C665" s="5"/>
      <c r="D665" s="5"/>
      <c r="E665" s="5"/>
    </row>
    <row r="666" ht="15.75" customHeight="1">
      <c r="A666" s="8"/>
      <c r="C666" s="5"/>
      <c r="D666" s="5"/>
      <c r="E666" s="5"/>
    </row>
    <row r="667" ht="15.75" customHeight="1">
      <c r="A667" s="8"/>
      <c r="C667" s="5"/>
      <c r="D667" s="5"/>
      <c r="E667" s="5"/>
    </row>
    <row r="668" ht="15.75" customHeight="1">
      <c r="A668" s="8"/>
      <c r="C668" s="5"/>
      <c r="D668" s="5"/>
      <c r="E668" s="5"/>
    </row>
    <row r="669" ht="15.75" customHeight="1">
      <c r="A669" s="8"/>
      <c r="C669" s="5"/>
      <c r="D669" s="5"/>
      <c r="E669" s="5"/>
    </row>
    <row r="670" ht="15.75" customHeight="1">
      <c r="A670" s="8"/>
      <c r="C670" s="5"/>
      <c r="D670" s="5"/>
      <c r="E670" s="5"/>
    </row>
    <row r="671" ht="15.75" customHeight="1">
      <c r="A671" s="8"/>
      <c r="C671" s="5"/>
      <c r="D671" s="5"/>
      <c r="E671" s="5"/>
    </row>
    <row r="672" ht="15.75" customHeight="1">
      <c r="A672" s="8"/>
      <c r="C672" s="5"/>
      <c r="D672" s="5"/>
      <c r="E672" s="5"/>
    </row>
    <row r="673" ht="15.75" customHeight="1">
      <c r="A673" s="8"/>
      <c r="C673" s="5"/>
      <c r="D673" s="5"/>
      <c r="E673" s="5"/>
    </row>
    <row r="674" ht="15.75" customHeight="1">
      <c r="A674" s="8"/>
      <c r="C674" s="5"/>
      <c r="D674" s="5"/>
      <c r="E674" s="5"/>
    </row>
    <row r="675" ht="15.75" customHeight="1">
      <c r="A675" s="8"/>
      <c r="C675" s="5"/>
      <c r="D675" s="5"/>
      <c r="E675" s="5"/>
    </row>
    <row r="676" ht="15.75" customHeight="1">
      <c r="A676" s="8"/>
      <c r="C676" s="5"/>
      <c r="D676" s="5"/>
      <c r="E676" s="5"/>
    </row>
    <row r="677" ht="15.75" customHeight="1">
      <c r="A677" s="8"/>
      <c r="C677" s="5"/>
      <c r="D677" s="5"/>
      <c r="E677" s="5"/>
    </row>
    <row r="678" ht="15.75" customHeight="1">
      <c r="A678" s="8"/>
      <c r="C678" s="5"/>
      <c r="D678" s="5"/>
      <c r="E678" s="5"/>
    </row>
    <row r="679" ht="15.75" customHeight="1">
      <c r="A679" s="8"/>
      <c r="C679" s="5"/>
      <c r="D679" s="5"/>
      <c r="E679" s="5"/>
    </row>
    <row r="680" ht="15.75" customHeight="1">
      <c r="A680" s="8"/>
      <c r="C680" s="5"/>
      <c r="D680" s="5"/>
      <c r="E680" s="5"/>
    </row>
    <row r="681" ht="15.75" customHeight="1">
      <c r="A681" s="8"/>
      <c r="C681" s="5"/>
      <c r="D681" s="5"/>
      <c r="E681" s="5"/>
    </row>
    <row r="682" ht="15.75" customHeight="1">
      <c r="A682" s="8"/>
      <c r="C682" s="5"/>
      <c r="D682" s="5"/>
      <c r="E682" s="5"/>
    </row>
    <row r="683" ht="15.75" customHeight="1">
      <c r="A683" s="8"/>
      <c r="C683" s="5"/>
      <c r="D683" s="5"/>
      <c r="E683" s="5"/>
    </row>
    <row r="684" ht="15.75" customHeight="1">
      <c r="A684" s="8"/>
      <c r="C684" s="5"/>
      <c r="D684" s="5"/>
      <c r="E684" s="5"/>
    </row>
    <row r="685" ht="15.75" customHeight="1">
      <c r="A685" s="8"/>
      <c r="C685" s="5"/>
      <c r="D685" s="5"/>
      <c r="E685" s="5"/>
    </row>
    <row r="686" ht="15.75" customHeight="1">
      <c r="A686" s="8"/>
      <c r="C686" s="5"/>
      <c r="D686" s="5"/>
      <c r="E686" s="5"/>
    </row>
    <row r="687" ht="15.75" customHeight="1">
      <c r="A687" s="8"/>
      <c r="C687" s="5"/>
      <c r="D687" s="5"/>
      <c r="E687" s="5"/>
    </row>
    <row r="688" ht="15.75" customHeight="1">
      <c r="A688" s="8"/>
      <c r="C688" s="5"/>
      <c r="D688" s="5"/>
      <c r="E688" s="5"/>
    </row>
    <row r="689" ht="15.75" customHeight="1">
      <c r="A689" s="8"/>
      <c r="C689" s="5"/>
      <c r="D689" s="5"/>
      <c r="E689" s="5"/>
    </row>
    <row r="690" ht="15.75" customHeight="1">
      <c r="A690" s="8"/>
      <c r="C690" s="5"/>
      <c r="D690" s="5"/>
      <c r="E690" s="5"/>
    </row>
    <row r="691" ht="15.75" customHeight="1">
      <c r="A691" s="8"/>
      <c r="C691" s="5"/>
      <c r="D691" s="5"/>
      <c r="E691" s="5"/>
    </row>
    <row r="692" ht="15.75" customHeight="1">
      <c r="A692" s="8"/>
      <c r="C692" s="5"/>
      <c r="D692" s="5"/>
      <c r="E692" s="5"/>
    </row>
    <row r="693" ht="15.75" customHeight="1">
      <c r="A693" s="8"/>
      <c r="C693" s="5"/>
      <c r="D693" s="5"/>
      <c r="E693" s="5"/>
    </row>
    <row r="694" ht="15.75" customHeight="1">
      <c r="A694" s="8"/>
      <c r="C694" s="5"/>
      <c r="D694" s="5"/>
      <c r="E694" s="5"/>
    </row>
    <row r="695" ht="15.75" customHeight="1">
      <c r="A695" s="8"/>
      <c r="C695" s="5"/>
      <c r="D695" s="5"/>
      <c r="E695" s="5"/>
    </row>
    <row r="696" ht="15.75" customHeight="1">
      <c r="A696" s="8"/>
      <c r="C696" s="5"/>
      <c r="D696" s="5"/>
      <c r="E696" s="5"/>
    </row>
    <row r="697" ht="15.75" customHeight="1">
      <c r="A697" s="8"/>
      <c r="C697" s="5"/>
      <c r="D697" s="5"/>
      <c r="E697" s="5"/>
    </row>
    <row r="698" ht="15.75" customHeight="1">
      <c r="A698" s="8"/>
      <c r="C698" s="5"/>
      <c r="D698" s="5"/>
      <c r="E698" s="5"/>
    </row>
    <row r="699" ht="15.75" customHeight="1">
      <c r="A699" s="8"/>
      <c r="C699" s="5"/>
      <c r="D699" s="5"/>
      <c r="E699" s="5"/>
    </row>
    <row r="700" ht="15.75" customHeight="1">
      <c r="A700" s="8"/>
      <c r="C700" s="5"/>
      <c r="D700" s="5"/>
      <c r="E700" s="5"/>
    </row>
    <row r="701" ht="15.75" customHeight="1">
      <c r="A701" s="8"/>
      <c r="C701" s="5"/>
      <c r="D701" s="5"/>
      <c r="E701" s="5"/>
    </row>
    <row r="702" ht="15.75" customHeight="1">
      <c r="A702" s="8"/>
      <c r="C702" s="5"/>
      <c r="D702" s="5"/>
      <c r="E702" s="5"/>
    </row>
    <row r="703" ht="15.75" customHeight="1">
      <c r="A703" s="8"/>
      <c r="C703" s="5"/>
      <c r="D703" s="5"/>
      <c r="E703" s="5"/>
    </row>
    <row r="704" ht="15.75" customHeight="1">
      <c r="A704" s="8"/>
      <c r="C704" s="5"/>
      <c r="D704" s="5"/>
      <c r="E704" s="5"/>
    </row>
    <row r="705" ht="15.75" customHeight="1">
      <c r="A705" s="8"/>
      <c r="C705" s="5"/>
      <c r="D705" s="5"/>
      <c r="E705" s="5"/>
    </row>
    <row r="706" ht="15.75" customHeight="1">
      <c r="A706" s="8"/>
      <c r="C706" s="5"/>
      <c r="D706" s="5"/>
      <c r="E706" s="5"/>
    </row>
    <row r="707" ht="15.75" customHeight="1">
      <c r="A707" s="8"/>
      <c r="C707" s="5"/>
      <c r="D707" s="5"/>
      <c r="E707" s="5"/>
    </row>
    <row r="708" ht="15.75" customHeight="1">
      <c r="A708" s="8"/>
      <c r="C708" s="5"/>
      <c r="D708" s="5"/>
      <c r="E708" s="5"/>
    </row>
    <row r="709" ht="15.75" customHeight="1">
      <c r="A709" s="8"/>
      <c r="C709" s="5"/>
      <c r="D709" s="5"/>
      <c r="E709" s="5"/>
    </row>
    <row r="710" ht="15.75" customHeight="1">
      <c r="A710" s="8"/>
      <c r="C710" s="5"/>
      <c r="D710" s="5"/>
      <c r="E710" s="5"/>
    </row>
    <row r="711" ht="15.75" customHeight="1">
      <c r="A711" s="8"/>
      <c r="C711" s="5"/>
      <c r="D711" s="5"/>
      <c r="E711" s="5"/>
    </row>
    <row r="712" ht="15.75" customHeight="1">
      <c r="A712" s="8"/>
      <c r="C712" s="5"/>
      <c r="D712" s="5"/>
      <c r="E712" s="5"/>
    </row>
    <row r="713" ht="15.75" customHeight="1">
      <c r="A713" s="8"/>
      <c r="C713" s="5"/>
      <c r="D713" s="5"/>
      <c r="E713" s="5"/>
    </row>
    <row r="714" ht="15.75" customHeight="1">
      <c r="A714" s="8"/>
      <c r="C714" s="5"/>
      <c r="D714" s="5"/>
      <c r="E714" s="5"/>
    </row>
    <row r="715" ht="15.75" customHeight="1">
      <c r="A715" s="8"/>
      <c r="C715" s="5"/>
      <c r="D715" s="5"/>
      <c r="E715" s="5"/>
    </row>
    <row r="716" ht="15.75" customHeight="1">
      <c r="A716" s="8"/>
      <c r="C716" s="5"/>
      <c r="D716" s="5"/>
      <c r="E716" s="5"/>
    </row>
    <row r="717" ht="15.75" customHeight="1">
      <c r="A717" s="8"/>
      <c r="C717" s="5"/>
      <c r="D717" s="5"/>
      <c r="E717" s="5"/>
    </row>
    <row r="718" ht="15.75" customHeight="1">
      <c r="A718" s="8"/>
      <c r="C718" s="5"/>
      <c r="D718" s="5"/>
      <c r="E718" s="5"/>
    </row>
    <row r="719" ht="15.75" customHeight="1">
      <c r="A719" s="8"/>
      <c r="C719" s="5"/>
      <c r="D719" s="5"/>
      <c r="E719" s="5"/>
    </row>
    <row r="720" ht="15.75" customHeight="1">
      <c r="A720" s="8"/>
      <c r="C720" s="5"/>
      <c r="D720" s="5"/>
      <c r="E720" s="5"/>
    </row>
    <row r="721" ht="15.75" customHeight="1">
      <c r="A721" s="8"/>
      <c r="C721" s="5"/>
      <c r="D721" s="5"/>
      <c r="E721" s="5"/>
    </row>
    <row r="722" ht="15.75" customHeight="1">
      <c r="A722" s="8"/>
      <c r="C722" s="5"/>
      <c r="D722" s="5"/>
      <c r="E722" s="5"/>
    </row>
    <row r="723" ht="15.75" customHeight="1">
      <c r="A723" s="8"/>
      <c r="C723" s="5"/>
      <c r="D723" s="5"/>
      <c r="E723" s="5"/>
    </row>
    <row r="724" ht="15.75" customHeight="1">
      <c r="A724" s="8"/>
      <c r="C724" s="5"/>
      <c r="D724" s="5"/>
      <c r="E724" s="5"/>
    </row>
    <row r="725" ht="15.75" customHeight="1">
      <c r="A725" s="8"/>
      <c r="C725" s="5"/>
      <c r="D725" s="5"/>
      <c r="E725" s="5"/>
    </row>
    <row r="726" ht="15.75" customHeight="1">
      <c r="A726" s="8"/>
      <c r="C726" s="5"/>
      <c r="D726" s="5"/>
      <c r="E726" s="5"/>
    </row>
    <row r="727" ht="15.75" customHeight="1">
      <c r="A727" s="8"/>
      <c r="C727" s="5"/>
      <c r="D727" s="5"/>
      <c r="E727" s="5"/>
    </row>
    <row r="728" ht="15.75" customHeight="1">
      <c r="A728" s="8"/>
      <c r="C728" s="5"/>
      <c r="D728" s="5"/>
      <c r="E728" s="5"/>
    </row>
    <row r="729" ht="15.75" customHeight="1">
      <c r="A729" s="8"/>
      <c r="C729" s="5"/>
      <c r="D729" s="5"/>
      <c r="E729" s="5"/>
    </row>
    <row r="730" ht="15.75" customHeight="1">
      <c r="A730" s="8"/>
      <c r="C730" s="5"/>
      <c r="D730" s="5"/>
      <c r="E730" s="5"/>
    </row>
    <row r="731" ht="15.75" customHeight="1">
      <c r="A731" s="8"/>
      <c r="C731" s="5"/>
      <c r="D731" s="5"/>
      <c r="E731" s="5"/>
    </row>
    <row r="732" ht="15.75" customHeight="1">
      <c r="A732" s="8"/>
      <c r="C732" s="5"/>
      <c r="D732" s="5"/>
      <c r="E732" s="5"/>
    </row>
    <row r="733" ht="15.75" customHeight="1">
      <c r="A733" s="8"/>
      <c r="C733" s="5"/>
      <c r="D733" s="5"/>
      <c r="E733" s="5"/>
    </row>
    <row r="734" ht="15.75" customHeight="1">
      <c r="A734" s="8"/>
      <c r="C734" s="5"/>
      <c r="D734" s="5"/>
      <c r="E734" s="5"/>
    </row>
    <row r="735" ht="15.75" customHeight="1">
      <c r="A735" s="8"/>
      <c r="C735" s="5"/>
      <c r="D735" s="5"/>
      <c r="E735" s="5"/>
    </row>
    <row r="736" ht="15.75" customHeight="1">
      <c r="A736" s="8"/>
      <c r="C736" s="5"/>
      <c r="D736" s="5"/>
      <c r="E736" s="5"/>
    </row>
    <row r="737" ht="15.75" customHeight="1">
      <c r="A737" s="8"/>
      <c r="C737" s="5"/>
      <c r="D737" s="5"/>
      <c r="E737" s="5"/>
    </row>
    <row r="738" ht="15.75" customHeight="1">
      <c r="A738" s="8"/>
      <c r="C738" s="5"/>
      <c r="D738" s="5"/>
      <c r="E738" s="5"/>
    </row>
    <row r="739" ht="15.75" customHeight="1">
      <c r="A739" s="8"/>
      <c r="C739" s="5"/>
      <c r="D739" s="5"/>
      <c r="E739" s="5"/>
    </row>
    <row r="740" ht="15.75" customHeight="1">
      <c r="A740" s="8"/>
      <c r="C740" s="5"/>
      <c r="D740" s="5"/>
      <c r="E740" s="5"/>
    </row>
    <row r="741" ht="15.75" customHeight="1">
      <c r="A741" s="8"/>
      <c r="C741" s="5"/>
      <c r="D741" s="5"/>
      <c r="E741" s="5"/>
    </row>
    <row r="742" ht="15.75" customHeight="1">
      <c r="A742" s="8"/>
      <c r="C742" s="5"/>
      <c r="D742" s="5"/>
      <c r="E742" s="5"/>
    </row>
    <row r="743" ht="15.75" customHeight="1">
      <c r="A743" s="8"/>
      <c r="C743" s="5"/>
      <c r="D743" s="5"/>
      <c r="E743" s="5"/>
    </row>
    <row r="744" ht="15.75" customHeight="1">
      <c r="A744" s="8"/>
      <c r="C744" s="5"/>
      <c r="D744" s="5"/>
      <c r="E744" s="5"/>
    </row>
    <row r="745" ht="15.75" customHeight="1">
      <c r="A745" s="8"/>
      <c r="C745" s="5"/>
      <c r="D745" s="5"/>
      <c r="E745" s="5"/>
    </row>
    <row r="746" ht="15.75" customHeight="1">
      <c r="A746" s="8"/>
      <c r="C746" s="5"/>
      <c r="D746" s="5"/>
      <c r="E746" s="5"/>
    </row>
    <row r="747" ht="15.75" customHeight="1">
      <c r="A747" s="8"/>
      <c r="C747" s="5"/>
      <c r="D747" s="5"/>
      <c r="E747" s="5"/>
    </row>
    <row r="748" ht="15.75" customHeight="1">
      <c r="A748" s="8"/>
      <c r="C748" s="5"/>
      <c r="D748" s="5"/>
      <c r="E748" s="5"/>
    </row>
    <row r="749" ht="15.75" customHeight="1">
      <c r="A749" s="8"/>
      <c r="C749" s="5"/>
      <c r="D749" s="5"/>
      <c r="E749" s="5"/>
    </row>
    <row r="750" ht="15.75" customHeight="1">
      <c r="A750" s="8"/>
      <c r="C750" s="5"/>
      <c r="D750" s="5"/>
      <c r="E750" s="5"/>
    </row>
    <row r="751" ht="15.75" customHeight="1">
      <c r="A751" s="8"/>
      <c r="C751" s="5"/>
      <c r="D751" s="5"/>
      <c r="E751" s="5"/>
    </row>
    <row r="752" ht="15.75" customHeight="1">
      <c r="A752" s="8"/>
      <c r="C752" s="5"/>
      <c r="D752" s="5"/>
      <c r="E752" s="5"/>
    </row>
    <row r="753" ht="15.75" customHeight="1">
      <c r="A753" s="8"/>
      <c r="C753" s="5"/>
      <c r="D753" s="5"/>
      <c r="E753" s="5"/>
    </row>
    <row r="754" ht="15.75" customHeight="1">
      <c r="A754" s="8"/>
      <c r="C754" s="5"/>
      <c r="D754" s="5"/>
      <c r="E754" s="5"/>
    </row>
    <row r="755" ht="15.75" customHeight="1">
      <c r="A755" s="8"/>
      <c r="C755" s="5"/>
      <c r="D755" s="5"/>
      <c r="E755" s="5"/>
    </row>
    <row r="756" ht="15.75" customHeight="1">
      <c r="A756" s="8"/>
      <c r="C756" s="5"/>
      <c r="D756" s="5"/>
      <c r="E756" s="5"/>
    </row>
    <row r="757" ht="15.75" customHeight="1">
      <c r="A757" s="8"/>
      <c r="C757" s="5"/>
      <c r="D757" s="5"/>
      <c r="E757" s="5"/>
    </row>
    <row r="758" ht="15.75" customHeight="1">
      <c r="A758" s="8"/>
      <c r="C758" s="5"/>
      <c r="D758" s="5"/>
      <c r="E758" s="5"/>
    </row>
    <row r="759" ht="15.75" customHeight="1">
      <c r="A759" s="8"/>
      <c r="C759" s="5"/>
      <c r="D759" s="5"/>
      <c r="E759" s="5"/>
    </row>
    <row r="760" ht="15.75" customHeight="1">
      <c r="A760" s="8"/>
      <c r="C760" s="5"/>
      <c r="D760" s="5"/>
      <c r="E760" s="5"/>
    </row>
    <row r="761" ht="15.75" customHeight="1">
      <c r="A761" s="8"/>
      <c r="C761" s="5"/>
      <c r="D761" s="5"/>
      <c r="E761" s="5"/>
    </row>
    <row r="762" ht="15.75" customHeight="1">
      <c r="A762" s="8"/>
      <c r="C762" s="5"/>
      <c r="D762" s="5"/>
      <c r="E762" s="5"/>
    </row>
    <row r="763" ht="15.75" customHeight="1">
      <c r="A763" s="8"/>
      <c r="C763" s="5"/>
      <c r="D763" s="5"/>
      <c r="E763" s="5"/>
    </row>
    <row r="764" ht="15.75" customHeight="1">
      <c r="A764" s="8"/>
      <c r="C764" s="5"/>
      <c r="D764" s="5"/>
      <c r="E764" s="5"/>
    </row>
    <row r="765" ht="15.75" customHeight="1">
      <c r="A765" s="8"/>
      <c r="C765" s="5"/>
      <c r="D765" s="5"/>
      <c r="E765" s="5"/>
    </row>
    <row r="766" ht="15.75" customHeight="1">
      <c r="A766" s="8"/>
      <c r="C766" s="5"/>
      <c r="D766" s="5"/>
      <c r="E766" s="5"/>
    </row>
    <row r="767" ht="15.75" customHeight="1">
      <c r="A767" s="8"/>
      <c r="C767" s="5"/>
      <c r="D767" s="5"/>
      <c r="E767" s="5"/>
    </row>
    <row r="768" ht="15.75" customHeight="1">
      <c r="A768" s="8"/>
      <c r="C768" s="5"/>
      <c r="D768" s="5"/>
      <c r="E768" s="5"/>
    </row>
    <row r="769" ht="15.75" customHeight="1">
      <c r="A769" s="8"/>
      <c r="C769" s="5"/>
      <c r="D769" s="5"/>
      <c r="E769" s="5"/>
    </row>
    <row r="770" ht="15.75" customHeight="1">
      <c r="A770" s="8"/>
      <c r="C770" s="5"/>
      <c r="D770" s="5"/>
      <c r="E770" s="5"/>
    </row>
    <row r="771" ht="15.75" customHeight="1">
      <c r="A771" s="8"/>
      <c r="C771" s="5"/>
      <c r="D771" s="5"/>
      <c r="E771" s="5"/>
    </row>
    <row r="772" ht="15.75" customHeight="1">
      <c r="A772" s="8"/>
      <c r="C772" s="5"/>
      <c r="D772" s="5"/>
      <c r="E772" s="5"/>
    </row>
    <row r="773" ht="15.75" customHeight="1">
      <c r="A773" s="8"/>
      <c r="C773" s="5"/>
      <c r="D773" s="5"/>
      <c r="E773" s="5"/>
    </row>
    <row r="774" ht="15.75" customHeight="1">
      <c r="A774" s="8"/>
      <c r="C774" s="5"/>
      <c r="D774" s="5"/>
      <c r="E774" s="5"/>
    </row>
    <row r="775" ht="15.75" customHeight="1">
      <c r="A775" s="8"/>
      <c r="C775" s="5"/>
      <c r="D775" s="5"/>
      <c r="E775" s="5"/>
    </row>
    <row r="776" ht="15.75" customHeight="1">
      <c r="A776" s="8"/>
      <c r="C776" s="5"/>
      <c r="D776" s="5"/>
      <c r="E776" s="5"/>
    </row>
    <row r="777" ht="15.75" customHeight="1">
      <c r="A777" s="8"/>
      <c r="C777" s="5"/>
      <c r="D777" s="5"/>
      <c r="E777" s="5"/>
    </row>
    <row r="778" ht="15.75" customHeight="1">
      <c r="A778" s="8"/>
      <c r="C778" s="5"/>
      <c r="D778" s="5"/>
      <c r="E778" s="5"/>
    </row>
    <row r="779" ht="15.75" customHeight="1">
      <c r="A779" s="8"/>
      <c r="C779" s="5"/>
      <c r="D779" s="5"/>
      <c r="E779" s="5"/>
    </row>
    <row r="780" ht="15.75" customHeight="1">
      <c r="A780" s="8"/>
      <c r="C780" s="5"/>
      <c r="D780" s="5"/>
      <c r="E780" s="5"/>
    </row>
    <row r="781" ht="15.75" customHeight="1">
      <c r="A781" s="8"/>
      <c r="C781" s="5"/>
      <c r="D781" s="5"/>
      <c r="E781" s="5"/>
    </row>
    <row r="782" ht="15.75" customHeight="1">
      <c r="A782" s="8"/>
      <c r="C782" s="5"/>
      <c r="D782" s="5"/>
      <c r="E782" s="5"/>
    </row>
    <row r="783" ht="15.75" customHeight="1">
      <c r="A783" s="8"/>
      <c r="C783" s="5"/>
      <c r="D783" s="5"/>
      <c r="E783" s="5"/>
    </row>
    <row r="784" ht="15.75" customHeight="1">
      <c r="A784" s="8"/>
      <c r="C784" s="5"/>
      <c r="D784" s="5"/>
      <c r="E784" s="5"/>
    </row>
    <row r="785" ht="15.75" customHeight="1">
      <c r="A785" s="8"/>
      <c r="C785" s="5"/>
      <c r="D785" s="5"/>
      <c r="E785" s="5"/>
    </row>
    <row r="786" ht="15.75" customHeight="1">
      <c r="A786" s="8"/>
      <c r="C786" s="5"/>
      <c r="D786" s="5"/>
      <c r="E786" s="5"/>
    </row>
    <row r="787" ht="15.75" customHeight="1">
      <c r="A787" s="8"/>
      <c r="C787" s="5"/>
      <c r="D787" s="5"/>
      <c r="E787" s="5"/>
    </row>
    <row r="788" ht="15.75" customHeight="1">
      <c r="A788" s="8"/>
      <c r="C788" s="5"/>
      <c r="D788" s="5"/>
      <c r="E788" s="5"/>
    </row>
    <row r="789" ht="15.75" customHeight="1">
      <c r="A789" s="8"/>
      <c r="C789" s="5"/>
      <c r="D789" s="5"/>
      <c r="E789" s="5"/>
    </row>
    <row r="790" ht="15.75" customHeight="1">
      <c r="A790" s="8"/>
      <c r="C790" s="5"/>
      <c r="D790" s="5"/>
      <c r="E790" s="5"/>
    </row>
    <row r="791" ht="15.75" customHeight="1">
      <c r="A791" s="8"/>
      <c r="C791" s="5"/>
      <c r="D791" s="5"/>
      <c r="E791" s="5"/>
    </row>
    <row r="792" ht="15.75" customHeight="1">
      <c r="A792" s="8"/>
      <c r="C792" s="5"/>
      <c r="D792" s="5"/>
      <c r="E792" s="5"/>
    </row>
    <row r="793" ht="15.75" customHeight="1">
      <c r="A793" s="8"/>
      <c r="C793" s="5"/>
      <c r="D793" s="5"/>
      <c r="E793" s="5"/>
    </row>
    <row r="794" ht="15.75" customHeight="1">
      <c r="A794" s="8"/>
      <c r="C794" s="5"/>
      <c r="D794" s="5"/>
      <c r="E794" s="5"/>
    </row>
    <row r="795" ht="15.75" customHeight="1">
      <c r="A795" s="8"/>
      <c r="C795" s="5"/>
      <c r="D795" s="5"/>
      <c r="E795" s="5"/>
    </row>
    <row r="796" ht="15.75" customHeight="1">
      <c r="A796" s="8"/>
      <c r="C796" s="5"/>
      <c r="D796" s="5"/>
      <c r="E796" s="5"/>
    </row>
    <row r="797" ht="15.75" customHeight="1">
      <c r="A797" s="8"/>
      <c r="C797" s="5"/>
      <c r="D797" s="5"/>
      <c r="E797" s="5"/>
    </row>
    <row r="798" ht="15.75" customHeight="1">
      <c r="A798" s="8"/>
      <c r="C798" s="5"/>
      <c r="D798" s="5"/>
      <c r="E798" s="5"/>
    </row>
    <row r="799" ht="15.75" customHeight="1">
      <c r="A799" s="8"/>
      <c r="C799" s="5"/>
      <c r="D799" s="5"/>
      <c r="E799" s="5"/>
    </row>
    <row r="800" ht="15.75" customHeight="1">
      <c r="A800" s="8"/>
      <c r="C800" s="5"/>
      <c r="D800" s="5"/>
      <c r="E800" s="5"/>
    </row>
    <row r="801" ht="15.75" customHeight="1">
      <c r="A801" s="8"/>
      <c r="C801" s="5"/>
      <c r="D801" s="5"/>
      <c r="E801" s="5"/>
    </row>
    <row r="802" ht="15.75" customHeight="1">
      <c r="A802" s="8"/>
      <c r="C802" s="5"/>
      <c r="D802" s="5"/>
      <c r="E802" s="5"/>
    </row>
    <row r="803" ht="15.75" customHeight="1">
      <c r="A803" s="8"/>
      <c r="C803" s="5"/>
      <c r="D803" s="5"/>
      <c r="E803" s="5"/>
    </row>
    <row r="804" ht="15.75" customHeight="1">
      <c r="A804" s="8"/>
      <c r="C804" s="5"/>
      <c r="D804" s="5"/>
      <c r="E804" s="5"/>
    </row>
    <row r="805" ht="15.75" customHeight="1">
      <c r="A805" s="8"/>
      <c r="C805" s="5"/>
      <c r="D805" s="5"/>
      <c r="E805" s="5"/>
    </row>
    <row r="806" ht="15.75" customHeight="1">
      <c r="A806" s="8"/>
      <c r="C806" s="5"/>
      <c r="D806" s="5"/>
      <c r="E806" s="5"/>
    </row>
    <row r="807" ht="15.75" customHeight="1">
      <c r="A807" s="8"/>
      <c r="C807" s="5"/>
      <c r="D807" s="5"/>
      <c r="E807" s="5"/>
    </row>
    <row r="808" ht="15.75" customHeight="1">
      <c r="A808" s="8"/>
      <c r="C808" s="5"/>
      <c r="D808" s="5"/>
      <c r="E808" s="5"/>
    </row>
    <row r="809" ht="15.75" customHeight="1">
      <c r="A809" s="8"/>
      <c r="C809" s="5"/>
      <c r="D809" s="5"/>
      <c r="E809" s="5"/>
    </row>
    <row r="810" ht="15.75" customHeight="1">
      <c r="A810" s="8"/>
      <c r="C810" s="5"/>
      <c r="D810" s="5"/>
      <c r="E810" s="5"/>
    </row>
    <row r="811" ht="15.75" customHeight="1">
      <c r="A811" s="8"/>
      <c r="C811" s="5"/>
      <c r="D811" s="5"/>
      <c r="E811" s="5"/>
    </row>
    <row r="812" ht="15.75" customHeight="1">
      <c r="A812" s="8"/>
      <c r="C812" s="5"/>
      <c r="D812" s="5"/>
      <c r="E812" s="5"/>
    </row>
    <row r="813" ht="15.75" customHeight="1">
      <c r="A813" s="8"/>
      <c r="C813" s="5"/>
      <c r="D813" s="5"/>
      <c r="E813" s="5"/>
    </row>
    <row r="814" ht="15.75" customHeight="1">
      <c r="A814" s="8"/>
      <c r="C814" s="5"/>
      <c r="D814" s="5"/>
      <c r="E814" s="5"/>
    </row>
    <row r="815" ht="15.75" customHeight="1">
      <c r="A815" s="8"/>
      <c r="C815" s="5"/>
      <c r="D815" s="5"/>
      <c r="E815" s="5"/>
    </row>
    <row r="816" ht="15.75" customHeight="1">
      <c r="A816" s="8"/>
      <c r="C816" s="5"/>
      <c r="D816" s="5"/>
      <c r="E816" s="5"/>
    </row>
    <row r="817" ht="15.75" customHeight="1">
      <c r="A817" s="8"/>
      <c r="C817" s="5"/>
      <c r="D817" s="5"/>
      <c r="E817" s="5"/>
    </row>
    <row r="818" ht="15.75" customHeight="1">
      <c r="A818" s="8"/>
      <c r="C818" s="5"/>
      <c r="D818" s="5"/>
      <c r="E818" s="5"/>
    </row>
    <row r="819" ht="15.75" customHeight="1">
      <c r="A819" s="8"/>
      <c r="C819" s="5"/>
      <c r="D819" s="5"/>
      <c r="E819" s="5"/>
    </row>
    <row r="820" ht="15.75" customHeight="1">
      <c r="A820" s="8"/>
      <c r="C820" s="5"/>
      <c r="D820" s="5"/>
      <c r="E820" s="5"/>
    </row>
    <row r="821" ht="15.75" customHeight="1">
      <c r="A821" s="8"/>
      <c r="C821" s="5"/>
      <c r="D821" s="5"/>
      <c r="E821" s="5"/>
    </row>
    <row r="822" ht="15.75" customHeight="1">
      <c r="A822" s="8"/>
      <c r="C822" s="5"/>
      <c r="D822" s="5"/>
      <c r="E822" s="5"/>
    </row>
    <row r="823" ht="15.75" customHeight="1">
      <c r="A823" s="8"/>
      <c r="C823" s="5"/>
      <c r="D823" s="5"/>
      <c r="E823" s="5"/>
    </row>
    <row r="824" ht="15.75" customHeight="1">
      <c r="A824" s="8"/>
      <c r="C824" s="5"/>
      <c r="D824" s="5"/>
      <c r="E824" s="5"/>
    </row>
    <row r="825" ht="15.75" customHeight="1">
      <c r="A825" s="8"/>
      <c r="C825" s="5"/>
      <c r="D825" s="5"/>
      <c r="E825" s="5"/>
    </row>
    <row r="826" ht="15.75" customHeight="1">
      <c r="A826" s="8"/>
      <c r="C826" s="5"/>
      <c r="D826" s="5"/>
      <c r="E826" s="5"/>
    </row>
    <row r="827" ht="15.75" customHeight="1">
      <c r="A827" s="8"/>
      <c r="C827" s="5"/>
      <c r="D827" s="5"/>
      <c r="E827" s="5"/>
    </row>
    <row r="828" ht="15.75" customHeight="1">
      <c r="A828" s="8"/>
      <c r="C828" s="5"/>
      <c r="D828" s="5"/>
      <c r="E828" s="5"/>
    </row>
    <row r="829" ht="15.75" customHeight="1">
      <c r="A829" s="8"/>
      <c r="C829" s="5"/>
      <c r="D829" s="5"/>
      <c r="E829" s="5"/>
    </row>
    <row r="830" ht="15.75" customHeight="1">
      <c r="A830" s="8"/>
      <c r="C830" s="5"/>
      <c r="D830" s="5"/>
      <c r="E830" s="5"/>
    </row>
    <row r="831" ht="15.75" customHeight="1">
      <c r="A831" s="8"/>
      <c r="C831" s="5"/>
      <c r="D831" s="5"/>
      <c r="E831" s="5"/>
    </row>
    <row r="832" ht="15.75" customHeight="1">
      <c r="A832" s="8"/>
      <c r="C832" s="5"/>
      <c r="D832" s="5"/>
      <c r="E832" s="5"/>
    </row>
    <row r="833" ht="15.75" customHeight="1">
      <c r="A833" s="8"/>
      <c r="C833" s="5"/>
      <c r="D833" s="5"/>
      <c r="E833" s="5"/>
    </row>
    <row r="834" ht="15.75" customHeight="1">
      <c r="A834" s="8"/>
      <c r="C834" s="5"/>
      <c r="D834" s="5"/>
      <c r="E834" s="5"/>
    </row>
    <row r="835" ht="15.75" customHeight="1">
      <c r="A835" s="8"/>
      <c r="C835" s="5"/>
      <c r="D835" s="5"/>
      <c r="E835" s="5"/>
    </row>
    <row r="836" ht="15.75" customHeight="1">
      <c r="A836" s="8"/>
      <c r="C836" s="5"/>
      <c r="D836" s="5"/>
      <c r="E836" s="5"/>
    </row>
    <row r="837" ht="15.75" customHeight="1">
      <c r="A837" s="8"/>
      <c r="C837" s="5"/>
      <c r="D837" s="5"/>
      <c r="E837" s="5"/>
    </row>
    <row r="838" ht="15.75" customHeight="1">
      <c r="A838" s="8"/>
      <c r="C838" s="5"/>
      <c r="D838" s="5"/>
      <c r="E838" s="5"/>
    </row>
    <row r="839" ht="15.75" customHeight="1">
      <c r="A839" s="8"/>
      <c r="C839" s="5"/>
      <c r="D839" s="5"/>
      <c r="E839" s="5"/>
    </row>
    <row r="840" ht="15.75" customHeight="1">
      <c r="A840" s="8"/>
      <c r="C840" s="5"/>
      <c r="D840" s="5"/>
      <c r="E840" s="5"/>
    </row>
    <row r="841" ht="15.75" customHeight="1">
      <c r="A841" s="8"/>
      <c r="C841" s="5"/>
      <c r="D841" s="5"/>
      <c r="E841" s="5"/>
    </row>
    <row r="842" ht="15.75" customHeight="1">
      <c r="A842" s="8"/>
      <c r="C842" s="5"/>
      <c r="D842" s="5"/>
      <c r="E842" s="5"/>
    </row>
    <row r="843" ht="15.75" customHeight="1">
      <c r="A843" s="8"/>
      <c r="C843" s="5"/>
      <c r="D843" s="5"/>
      <c r="E843" s="5"/>
    </row>
    <row r="844" ht="15.75" customHeight="1">
      <c r="A844" s="8"/>
      <c r="C844" s="5"/>
      <c r="D844" s="5"/>
      <c r="E844" s="5"/>
    </row>
    <row r="845" ht="15.75" customHeight="1">
      <c r="A845" s="8"/>
      <c r="C845" s="5"/>
      <c r="D845" s="5"/>
      <c r="E845" s="5"/>
    </row>
    <row r="846" ht="15.75" customHeight="1">
      <c r="A846" s="8"/>
      <c r="C846" s="5"/>
      <c r="D846" s="5"/>
      <c r="E846" s="5"/>
    </row>
    <row r="847" ht="15.75" customHeight="1">
      <c r="A847" s="8"/>
      <c r="C847" s="5"/>
      <c r="D847" s="5"/>
      <c r="E847" s="5"/>
    </row>
    <row r="848" ht="15.75" customHeight="1">
      <c r="A848" s="8"/>
      <c r="C848" s="5"/>
      <c r="D848" s="5"/>
      <c r="E848" s="5"/>
    </row>
    <row r="849" ht="15.75" customHeight="1">
      <c r="A849" s="8"/>
      <c r="C849" s="5"/>
      <c r="D849" s="5"/>
      <c r="E849" s="5"/>
    </row>
    <row r="850" ht="15.75" customHeight="1">
      <c r="A850" s="8"/>
      <c r="C850" s="5"/>
      <c r="D850" s="5"/>
      <c r="E850" s="5"/>
    </row>
    <row r="851" ht="15.75" customHeight="1">
      <c r="A851" s="8"/>
      <c r="C851" s="5"/>
      <c r="D851" s="5"/>
      <c r="E851" s="5"/>
    </row>
    <row r="852" ht="15.75" customHeight="1">
      <c r="A852" s="8"/>
      <c r="C852" s="5"/>
      <c r="D852" s="5"/>
      <c r="E852" s="5"/>
    </row>
    <row r="853" ht="15.75" customHeight="1">
      <c r="A853" s="8"/>
      <c r="C853" s="5"/>
      <c r="D853" s="5"/>
      <c r="E853" s="5"/>
    </row>
    <row r="854" ht="15.75" customHeight="1">
      <c r="A854" s="8"/>
      <c r="C854" s="5"/>
      <c r="D854" s="5"/>
      <c r="E854" s="5"/>
    </row>
    <row r="855" ht="15.75" customHeight="1">
      <c r="A855" s="8"/>
      <c r="C855" s="5"/>
      <c r="D855" s="5"/>
      <c r="E855" s="5"/>
    </row>
    <row r="856" ht="15.75" customHeight="1">
      <c r="A856" s="8"/>
      <c r="C856" s="5"/>
      <c r="D856" s="5"/>
      <c r="E856" s="5"/>
    </row>
    <row r="857" ht="15.75" customHeight="1">
      <c r="A857" s="8"/>
      <c r="C857" s="5"/>
      <c r="D857" s="5"/>
      <c r="E857" s="5"/>
    </row>
    <row r="858" ht="15.75" customHeight="1">
      <c r="A858" s="8"/>
      <c r="C858" s="5"/>
      <c r="D858" s="5"/>
      <c r="E858" s="5"/>
    </row>
    <row r="859" ht="15.75" customHeight="1">
      <c r="A859" s="8"/>
      <c r="C859" s="5"/>
      <c r="D859" s="5"/>
      <c r="E859" s="5"/>
    </row>
    <row r="860" ht="15.75" customHeight="1">
      <c r="A860" s="8"/>
      <c r="C860" s="5"/>
      <c r="D860" s="5"/>
      <c r="E860" s="5"/>
    </row>
    <row r="861" ht="15.75" customHeight="1">
      <c r="A861" s="8"/>
      <c r="C861" s="5"/>
      <c r="D861" s="5"/>
      <c r="E861" s="5"/>
    </row>
    <row r="862" ht="15.75" customHeight="1">
      <c r="A862" s="8"/>
      <c r="C862" s="5"/>
      <c r="D862" s="5"/>
      <c r="E862" s="5"/>
    </row>
    <row r="863" ht="15.75" customHeight="1">
      <c r="A863" s="8"/>
      <c r="C863" s="5"/>
      <c r="D863" s="5"/>
      <c r="E863" s="5"/>
    </row>
    <row r="864" ht="15.75" customHeight="1">
      <c r="A864" s="8"/>
      <c r="C864" s="5"/>
      <c r="D864" s="5"/>
      <c r="E864" s="5"/>
    </row>
    <row r="865" ht="15.75" customHeight="1">
      <c r="A865" s="8"/>
      <c r="C865" s="5"/>
      <c r="D865" s="5"/>
      <c r="E865" s="5"/>
    </row>
    <row r="866" ht="15.75" customHeight="1">
      <c r="A866" s="8"/>
      <c r="C866" s="5"/>
      <c r="D866" s="5"/>
      <c r="E866" s="5"/>
    </row>
    <row r="867" ht="15.75" customHeight="1">
      <c r="A867" s="8"/>
      <c r="C867" s="5"/>
      <c r="D867" s="5"/>
      <c r="E867" s="5"/>
    </row>
    <row r="868" ht="15.75" customHeight="1">
      <c r="A868" s="8"/>
      <c r="C868" s="5"/>
      <c r="D868" s="5"/>
      <c r="E868" s="5"/>
    </row>
    <row r="869" ht="15.75" customHeight="1">
      <c r="A869" s="8"/>
      <c r="C869" s="5"/>
      <c r="D869" s="5"/>
      <c r="E869" s="5"/>
    </row>
    <row r="870" ht="15.75" customHeight="1">
      <c r="A870" s="8"/>
      <c r="C870" s="5"/>
      <c r="D870" s="5"/>
      <c r="E870" s="5"/>
    </row>
    <row r="871" ht="15.75" customHeight="1">
      <c r="A871" s="8"/>
      <c r="C871" s="5"/>
      <c r="D871" s="5"/>
      <c r="E871" s="5"/>
    </row>
    <row r="872" ht="15.75" customHeight="1">
      <c r="A872" s="8"/>
      <c r="C872" s="5"/>
      <c r="D872" s="5"/>
      <c r="E872" s="5"/>
    </row>
    <row r="873" ht="15.75" customHeight="1">
      <c r="A873" s="8"/>
      <c r="C873" s="5"/>
      <c r="D873" s="5"/>
      <c r="E873" s="5"/>
    </row>
    <row r="874" ht="15.75" customHeight="1">
      <c r="A874" s="8"/>
      <c r="C874" s="5"/>
      <c r="D874" s="5"/>
      <c r="E874" s="5"/>
    </row>
    <row r="875" ht="15.75" customHeight="1">
      <c r="A875" s="8"/>
      <c r="C875" s="5"/>
      <c r="D875" s="5"/>
      <c r="E875" s="5"/>
    </row>
    <row r="876" ht="15.75" customHeight="1">
      <c r="A876" s="8"/>
      <c r="C876" s="5"/>
      <c r="D876" s="5"/>
      <c r="E876" s="5"/>
    </row>
    <row r="877" ht="15.75" customHeight="1">
      <c r="A877" s="8"/>
      <c r="C877" s="5"/>
      <c r="D877" s="5"/>
      <c r="E877" s="5"/>
    </row>
    <row r="878" ht="15.75" customHeight="1">
      <c r="A878" s="8"/>
      <c r="C878" s="5"/>
      <c r="D878" s="5"/>
      <c r="E878" s="5"/>
    </row>
    <row r="879" ht="15.75" customHeight="1">
      <c r="A879" s="8"/>
      <c r="C879" s="5"/>
      <c r="D879" s="5"/>
      <c r="E879" s="5"/>
    </row>
    <row r="880" ht="15.75" customHeight="1">
      <c r="A880" s="8"/>
      <c r="C880" s="5"/>
      <c r="D880" s="5"/>
      <c r="E880" s="5"/>
    </row>
    <row r="881" ht="15.75" customHeight="1">
      <c r="A881" s="8"/>
      <c r="C881" s="5"/>
      <c r="D881" s="5"/>
      <c r="E881" s="5"/>
    </row>
    <row r="882" ht="15.75" customHeight="1">
      <c r="A882" s="8"/>
      <c r="C882" s="5"/>
      <c r="D882" s="5"/>
      <c r="E882" s="5"/>
    </row>
    <row r="883" ht="15.75" customHeight="1">
      <c r="A883" s="8"/>
      <c r="C883" s="5"/>
      <c r="D883" s="5"/>
      <c r="E883" s="5"/>
    </row>
    <row r="884" ht="15.75" customHeight="1">
      <c r="A884" s="8"/>
      <c r="C884" s="5"/>
      <c r="D884" s="5"/>
      <c r="E884" s="5"/>
    </row>
    <row r="885" ht="15.75" customHeight="1">
      <c r="A885" s="8"/>
      <c r="C885" s="5"/>
      <c r="D885" s="5"/>
      <c r="E885" s="5"/>
    </row>
    <row r="886" ht="15.75" customHeight="1">
      <c r="A886" s="8"/>
      <c r="C886" s="5"/>
      <c r="D886" s="5"/>
      <c r="E886" s="5"/>
    </row>
    <row r="887" ht="15.75" customHeight="1">
      <c r="A887" s="8"/>
      <c r="C887" s="5"/>
      <c r="D887" s="5"/>
      <c r="E887" s="5"/>
    </row>
    <row r="888" ht="15.75" customHeight="1">
      <c r="A888" s="8"/>
      <c r="C888" s="5"/>
      <c r="D888" s="5"/>
      <c r="E888" s="5"/>
    </row>
    <row r="889" ht="15.75" customHeight="1">
      <c r="A889" s="8"/>
      <c r="C889" s="5"/>
      <c r="D889" s="5"/>
      <c r="E889" s="5"/>
    </row>
    <row r="890" ht="15.75" customHeight="1">
      <c r="A890" s="8"/>
      <c r="C890" s="5"/>
      <c r="D890" s="5"/>
      <c r="E890" s="5"/>
    </row>
    <row r="891" ht="15.75" customHeight="1">
      <c r="A891" s="8"/>
      <c r="C891" s="5"/>
      <c r="D891" s="5"/>
      <c r="E891" s="5"/>
    </row>
    <row r="892" ht="15.75" customHeight="1">
      <c r="A892" s="8"/>
      <c r="C892" s="5"/>
      <c r="D892" s="5"/>
      <c r="E892" s="5"/>
    </row>
    <row r="893" ht="15.75" customHeight="1">
      <c r="A893" s="8"/>
      <c r="C893" s="5"/>
      <c r="D893" s="5"/>
      <c r="E893" s="5"/>
    </row>
    <row r="894" ht="15.75" customHeight="1">
      <c r="A894" s="8"/>
      <c r="C894" s="5"/>
      <c r="D894" s="5"/>
      <c r="E894" s="5"/>
    </row>
    <row r="895" ht="15.75" customHeight="1">
      <c r="A895" s="8"/>
      <c r="C895" s="5"/>
      <c r="D895" s="5"/>
      <c r="E895" s="5"/>
    </row>
    <row r="896" ht="15.75" customHeight="1">
      <c r="A896" s="8"/>
      <c r="C896" s="5"/>
      <c r="D896" s="5"/>
      <c r="E896" s="5"/>
    </row>
    <row r="897" ht="15.75" customHeight="1">
      <c r="A897" s="8"/>
      <c r="C897" s="5"/>
      <c r="D897" s="5"/>
      <c r="E897" s="5"/>
    </row>
    <row r="898" ht="15.75" customHeight="1">
      <c r="A898" s="8"/>
      <c r="C898" s="5"/>
      <c r="D898" s="5"/>
      <c r="E898" s="5"/>
    </row>
    <row r="899" ht="15.75" customHeight="1">
      <c r="A899" s="8"/>
      <c r="C899" s="5"/>
      <c r="D899" s="5"/>
      <c r="E899" s="5"/>
    </row>
    <row r="900" ht="15.75" customHeight="1">
      <c r="A900" s="8"/>
      <c r="C900" s="5"/>
      <c r="D900" s="5"/>
      <c r="E900" s="5"/>
    </row>
    <row r="901" ht="15.75" customHeight="1">
      <c r="A901" s="8"/>
      <c r="C901" s="5"/>
      <c r="D901" s="5"/>
      <c r="E901" s="5"/>
    </row>
    <row r="902" ht="15.75" customHeight="1">
      <c r="A902" s="8"/>
      <c r="C902" s="5"/>
      <c r="D902" s="5"/>
      <c r="E902" s="5"/>
    </row>
    <row r="903" ht="15.75" customHeight="1">
      <c r="A903" s="8"/>
      <c r="C903" s="5"/>
      <c r="D903" s="5"/>
      <c r="E903" s="5"/>
    </row>
    <row r="904" ht="15.75" customHeight="1">
      <c r="A904" s="8"/>
      <c r="C904" s="5"/>
      <c r="D904" s="5"/>
      <c r="E904" s="5"/>
    </row>
    <row r="905" ht="15.75" customHeight="1">
      <c r="A905" s="8"/>
      <c r="C905" s="5"/>
      <c r="D905" s="5"/>
      <c r="E905" s="5"/>
    </row>
    <row r="906" ht="15.75" customHeight="1">
      <c r="A906" s="8"/>
      <c r="C906" s="5"/>
      <c r="D906" s="5"/>
      <c r="E906" s="5"/>
    </row>
    <row r="907" ht="15.75" customHeight="1">
      <c r="A907" s="8"/>
      <c r="C907" s="5"/>
      <c r="D907" s="5"/>
      <c r="E907" s="5"/>
    </row>
    <row r="908" ht="15.75" customHeight="1">
      <c r="A908" s="8"/>
      <c r="C908" s="5"/>
      <c r="D908" s="5"/>
      <c r="E908" s="5"/>
    </row>
    <row r="909" ht="15.75" customHeight="1">
      <c r="A909" s="8"/>
      <c r="C909" s="5"/>
      <c r="D909" s="5"/>
      <c r="E909" s="5"/>
    </row>
    <row r="910" ht="15.75" customHeight="1">
      <c r="A910" s="8"/>
      <c r="C910" s="5"/>
      <c r="D910" s="5"/>
      <c r="E910" s="5"/>
    </row>
    <row r="911" ht="15.75" customHeight="1">
      <c r="A911" s="8"/>
      <c r="C911" s="5"/>
      <c r="D911" s="5"/>
      <c r="E911" s="5"/>
    </row>
    <row r="912" ht="15.75" customHeight="1">
      <c r="A912" s="8"/>
      <c r="C912" s="5"/>
      <c r="D912" s="5"/>
      <c r="E912" s="5"/>
    </row>
    <row r="913" ht="15.75" customHeight="1">
      <c r="A913" s="8"/>
      <c r="C913" s="5"/>
      <c r="D913" s="5"/>
      <c r="E913" s="5"/>
    </row>
    <row r="914" ht="15.75" customHeight="1">
      <c r="A914" s="8"/>
      <c r="C914" s="5"/>
      <c r="D914" s="5"/>
      <c r="E914" s="5"/>
    </row>
    <row r="915" ht="15.75" customHeight="1">
      <c r="A915" s="8"/>
      <c r="C915" s="5"/>
      <c r="D915" s="5"/>
      <c r="E915" s="5"/>
    </row>
    <row r="916" ht="15.75" customHeight="1">
      <c r="A916" s="8"/>
      <c r="C916" s="5"/>
      <c r="D916" s="5"/>
      <c r="E916" s="5"/>
    </row>
    <row r="917" ht="15.75" customHeight="1">
      <c r="A917" s="8"/>
      <c r="C917" s="5"/>
      <c r="D917" s="5"/>
      <c r="E917" s="5"/>
    </row>
    <row r="918" ht="15.75" customHeight="1">
      <c r="A918" s="8"/>
      <c r="C918" s="5"/>
      <c r="D918" s="5"/>
      <c r="E918" s="5"/>
    </row>
    <row r="919" ht="15.75" customHeight="1">
      <c r="A919" s="8"/>
      <c r="C919" s="5"/>
      <c r="D919" s="5"/>
      <c r="E919" s="5"/>
    </row>
    <row r="920" ht="15.75" customHeight="1">
      <c r="A920" s="8"/>
      <c r="C920" s="5"/>
      <c r="D920" s="5"/>
      <c r="E920" s="5"/>
    </row>
    <row r="921" ht="15.75" customHeight="1">
      <c r="A921" s="8"/>
      <c r="C921" s="5"/>
      <c r="D921" s="5"/>
      <c r="E921" s="5"/>
    </row>
    <row r="922" ht="15.75" customHeight="1">
      <c r="A922" s="8"/>
      <c r="C922" s="5"/>
      <c r="D922" s="5"/>
      <c r="E922" s="5"/>
    </row>
    <row r="923" ht="15.75" customHeight="1">
      <c r="A923" s="8"/>
      <c r="C923" s="5"/>
      <c r="D923" s="5"/>
      <c r="E923" s="5"/>
    </row>
    <row r="924" ht="15.75" customHeight="1">
      <c r="A924" s="8"/>
      <c r="C924" s="5"/>
      <c r="D924" s="5"/>
      <c r="E924" s="5"/>
    </row>
    <row r="925" ht="15.75" customHeight="1">
      <c r="A925" s="8"/>
      <c r="C925" s="5"/>
      <c r="D925" s="5"/>
      <c r="E925" s="5"/>
    </row>
    <row r="926" ht="15.75" customHeight="1">
      <c r="A926" s="8"/>
      <c r="C926" s="5"/>
      <c r="D926" s="5"/>
      <c r="E926" s="5"/>
    </row>
    <row r="927" ht="15.75" customHeight="1">
      <c r="A927" s="8"/>
      <c r="C927" s="5"/>
      <c r="D927" s="5"/>
      <c r="E927" s="5"/>
    </row>
    <row r="928" ht="15.75" customHeight="1">
      <c r="A928" s="8"/>
      <c r="C928" s="5"/>
      <c r="D928" s="5"/>
      <c r="E928" s="5"/>
    </row>
    <row r="929" ht="15.75" customHeight="1">
      <c r="A929" s="8"/>
      <c r="C929" s="5"/>
      <c r="D929" s="5"/>
      <c r="E929" s="5"/>
    </row>
    <row r="930" ht="15.75" customHeight="1">
      <c r="A930" s="8"/>
      <c r="C930" s="5"/>
      <c r="D930" s="5"/>
      <c r="E930" s="5"/>
    </row>
    <row r="931" ht="15.75" customHeight="1">
      <c r="A931" s="8"/>
      <c r="C931" s="5"/>
      <c r="D931" s="5"/>
      <c r="E931" s="5"/>
    </row>
    <row r="932" ht="15.75" customHeight="1">
      <c r="A932" s="8"/>
      <c r="C932" s="5"/>
      <c r="D932" s="5"/>
      <c r="E932" s="5"/>
    </row>
    <row r="933" ht="15.75" customHeight="1">
      <c r="A933" s="8"/>
      <c r="C933" s="5"/>
      <c r="D933" s="5"/>
      <c r="E933" s="5"/>
    </row>
    <row r="934" ht="15.75" customHeight="1">
      <c r="A934" s="8"/>
      <c r="C934" s="5"/>
      <c r="D934" s="5"/>
      <c r="E934" s="5"/>
    </row>
    <row r="935" ht="15.75" customHeight="1">
      <c r="A935" s="8"/>
      <c r="C935" s="5"/>
      <c r="D935" s="5"/>
      <c r="E935" s="5"/>
    </row>
    <row r="936" ht="15.75" customHeight="1">
      <c r="A936" s="8"/>
      <c r="C936" s="5"/>
      <c r="D936" s="5"/>
      <c r="E936" s="5"/>
    </row>
    <row r="937" ht="15.75" customHeight="1">
      <c r="A937" s="8"/>
      <c r="C937" s="5"/>
      <c r="D937" s="5"/>
      <c r="E937" s="5"/>
    </row>
    <row r="938" ht="15.75" customHeight="1">
      <c r="A938" s="8"/>
      <c r="C938" s="5"/>
      <c r="D938" s="5"/>
      <c r="E938" s="5"/>
    </row>
    <row r="939" ht="15.75" customHeight="1">
      <c r="A939" s="8"/>
      <c r="C939" s="5"/>
      <c r="D939" s="5"/>
      <c r="E939" s="5"/>
    </row>
    <row r="940" ht="15.75" customHeight="1">
      <c r="A940" s="8"/>
      <c r="C940" s="5"/>
      <c r="D940" s="5"/>
      <c r="E940" s="5"/>
    </row>
    <row r="941" ht="15.75" customHeight="1">
      <c r="A941" s="8"/>
      <c r="C941" s="5"/>
      <c r="D941" s="5"/>
      <c r="E941" s="5"/>
    </row>
    <row r="942" ht="15.75" customHeight="1">
      <c r="A942" s="8"/>
      <c r="C942" s="5"/>
      <c r="D942" s="5"/>
      <c r="E942" s="5"/>
    </row>
    <row r="943" ht="15.75" customHeight="1">
      <c r="A943" s="8"/>
      <c r="C943" s="5"/>
      <c r="D943" s="5"/>
      <c r="E943" s="5"/>
    </row>
    <row r="944" ht="15.75" customHeight="1">
      <c r="A944" s="8"/>
      <c r="C944" s="5"/>
      <c r="D944" s="5"/>
      <c r="E944" s="5"/>
    </row>
    <row r="945" ht="15.75" customHeight="1">
      <c r="A945" s="8"/>
      <c r="C945" s="5"/>
      <c r="D945" s="5"/>
      <c r="E945" s="5"/>
    </row>
    <row r="946" ht="15.75" customHeight="1">
      <c r="A946" s="8"/>
      <c r="C946" s="5"/>
      <c r="D946" s="5"/>
      <c r="E946" s="5"/>
    </row>
    <row r="947" ht="15.75" customHeight="1">
      <c r="A947" s="8"/>
      <c r="C947" s="5"/>
      <c r="D947" s="5"/>
      <c r="E947" s="5"/>
    </row>
    <row r="948" ht="15.75" customHeight="1">
      <c r="A948" s="8"/>
      <c r="C948" s="5"/>
      <c r="D948" s="5"/>
      <c r="E948" s="5"/>
    </row>
    <row r="949" ht="15.75" customHeight="1">
      <c r="A949" s="8"/>
      <c r="C949" s="5"/>
      <c r="D949" s="5"/>
      <c r="E949" s="5"/>
    </row>
    <row r="950" ht="15.75" customHeight="1">
      <c r="A950" s="8"/>
      <c r="C950" s="5"/>
      <c r="D950" s="5"/>
      <c r="E950" s="5"/>
    </row>
    <row r="951" ht="15.75" customHeight="1">
      <c r="A951" s="8"/>
      <c r="C951" s="5"/>
      <c r="D951" s="5"/>
      <c r="E951" s="5"/>
    </row>
    <row r="952" ht="15.75" customHeight="1">
      <c r="A952" s="8"/>
      <c r="C952" s="5"/>
      <c r="D952" s="5"/>
      <c r="E952" s="5"/>
    </row>
    <row r="953" ht="15.75" customHeight="1">
      <c r="A953" s="8"/>
      <c r="C953" s="5"/>
      <c r="D953" s="5"/>
      <c r="E953" s="5"/>
    </row>
    <row r="954" ht="15.75" customHeight="1">
      <c r="A954" s="8"/>
      <c r="C954" s="5"/>
      <c r="D954" s="5"/>
      <c r="E954" s="5"/>
    </row>
    <row r="955" ht="15.75" customHeight="1">
      <c r="A955" s="8"/>
      <c r="C955" s="5"/>
      <c r="D955" s="5"/>
      <c r="E955" s="5"/>
    </row>
    <row r="956" ht="15.75" customHeight="1">
      <c r="A956" s="8"/>
      <c r="C956" s="5"/>
      <c r="D956" s="5"/>
      <c r="E956" s="5"/>
    </row>
    <row r="957" ht="15.75" customHeight="1">
      <c r="A957" s="8"/>
      <c r="C957" s="5"/>
      <c r="D957" s="5"/>
      <c r="E957" s="5"/>
    </row>
    <row r="958" ht="15.75" customHeight="1">
      <c r="A958" s="8"/>
      <c r="C958" s="5"/>
      <c r="D958" s="5"/>
      <c r="E958" s="5"/>
    </row>
    <row r="959" ht="15.75" customHeight="1">
      <c r="A959" s="8"/>
      <c r="C959" s="5"/>
      <c r="D959" s="5"/>
      <c r="E959" s="5"/>
    </row>
    <row r="960" ht="15.75" customHeight="1">
      <c r="A960" s="8"/>
      <c r="C960" s="5"/>
      <c r="D960" s="5"/>
      <c r="E960" s="5"/>
    </row>
    <row r="961" ht="15.75" customHeight="1">
      <c r="A961" s="8"/>
      <c r="C961" s="5"/>
      <c r="D961" s="5"/>
      <c r="E961" s="5"/>
    </row>
    <row r="962" ht="15.75" customHeight="1">
      <c r="A962" s="8"/>
      <c r="C962" s="5"/>
      <c r="D962" s="5"/>
      <c r="E962" s="5"/>
    </row>
    <row r="963" ht="15.75" customHeight="1">
      <c r="A963" s="8"/>
      <c r="C963" s="5"/>
      <c r="D963" s="5"/>
      <c r="E963" s="5"/>
    </row>
    <row r="964" ht="15.75" customHeight="1">
      <c r="A964" s="8"/>
      <c r="C964" s="5"/>
      <c r="D964" s="5"/>
      <c r="E964" s="5"/>
    </row>
    <row r="965" ht="15.75" customHeight="1">
      <c r="A965" s="8"/>
      <c r="C965" s="5"/>
      <c r="D965" s="5"/>
      <c r="E965" s="5"/>
    </row>
    <row r="966" ht="15.75" customHeight="1">
      <c r="A966" s="8"/>
      <c r="C966" s="5"/>
      <c r="D966" s="5"/>
      <c r="E966" s="5"/>
    </row>
    <row r="967" ht="15.75" customHeight="1">
      <c r="A967" s="8"/>
      <c r="C967" s="5"/>
      <c r="D967" s="5"/>
      <c r="E967" s="5"/>
    </row>
    <row r="968" ht="15.75" customHeight="1">
      <c r="A968" s="8"/>
      <c r="C968" s="5"/>
      <c r="D968" s="5"/>
      <c r="E968" s="5"/>
    </row>
    <row r="969" ht="15.75" customHeight="1">
      <c r="A969" s="8"/>
      <c r="C969" s="5"/>
      <c r="D969" s="5"/>
      <c r="E969" s="5"/>
    </row>
    <row r="970" ht="15.75" customHeight="1">
      <c r="A970" s="8"/>
      <c r="C970" s="5"/>
      <c r="D970" s="5"/>
      <c r="E970" s="5"/>
    </row>
    <row r="971" ht="15.75" customHeight="1">
      <c r="A971" s="8"/>
      <c r="C971" s="5"/>
      <c r="D971" s="5"/>
      <c r="E971" s="5"/>
    </row>
    <row r="972" ht="15.75" customHeight="1">
      <c r="A972" s="8"/>
      <c r="C972" s="5"/>
      <c r="D972" s="5"/>
      <c r="E972" s="5"/>
    </row>
    <row r="973" ht="15.75" customHeight="1">
      <c r="A973" s="8"/>
      <c r="C973" s="5"/>
      <c r="D973" s="5"/>
      <c r="E973" s="5"/>
    </row>
    <row r="974" ht="15.75" customHeight="1">
      <c r="A974" s="8"/>
      <c r="C974" s="5"/>
      <c r="D974" s="5"/>
      <c r="E974" s="5"/>
    </row>
    <row r="975" ht="15.75" customHeight="1">
      <c r="A975" s="8"/>
      <c r="C975" s="5"/>
      <c r="D975" s="5"/>
      <c r="E975" s="5"/>
    </row>
    <row r="976" ht="15.75" customHeight="1">
      <c r="A976" s="8"/>
      <c r="C976" s="5"/>
      <c r="D976" s="5"/>
      <c r="E976" s="5"/>
    </row>
    <row r="977" ht="15.75" customHeight="1">
      <c r="A977" s="8"/>
      <c r="C977" s="5"/>
      <c r="D977" s="5"/>
      <c r="E977" s="5"/>
    </row>
    <row r="978" ht="15.75" customHeight="1">
      <c r="A978" s="8"/>
      <c r="C978" s="5"/>
      <c r="D978" s="5"/>
      <c r="E978" s="5"/>
    </row>
    <row r="979" ht="15.75" customHeight="1">
      <c r="A979" s="8"/>
      <c r="C979" s="5"/>
      <c r="D979" s="5"/>
      <c r="E979" s="5"/>
    </row>
    <row r="980" ht="15.75" customHeight="1">
      <c r="A980" s="8"/>
      <c r="C980" s="5"/>
      <c r="D980" s="5"/>
      <c r="E980" s="5"/>
    </row>
    <row r="981" ht="15.75" customHeight="1">
      <c r="A981" s="8"/>
      <c r="C981" s="5"/>
      <c r="D981" s="5"/>
      <c r="E981" s="5"/>
    </row>
    <row r="982" ht="15.75" customHeight="1">
      <c r="A982" s="8"/>
      <c r="C982" s="5"/>
      <c r="D982" s="5"/>
      <c r="E982" s="5"/>
    </row>
    <row r="983" ht="15.75" customHeight="1">
      <c r="A983" s="8"/>
      <c r="C983" s="5"/>
      <c r="D983" s="5"/>
      <c r="E983" s="5"/>
    </row>
    <row r="984" ht="15.75" customHeight="1">
      <c r="A984" s="8"/>
      <c r="C984" s="5"/>
      <c r="D984" s="5"/>
      <c r="E984" s="5"/>
    </row>
    <row r="985" ht="15.75" customHeight="1">
      <c r="A985" s="8"/>
      <c r="C985" s="5"/>
      <c r="D985" s="5"/>
      <c r="E985" s="5"/>
    </row>
    <row r="986" ht="15.75" customHeight="1">
      <c r="A986" s="8"/>
      <c r="C986" s="5"/>
      <c r="D986" s="5"/>
      <c r="E986" s="5"/>
    </row>
    <row r="987" ht="15.75" customHeight="1">
      <c r="A987" s="8"/>
      <c r="C987" s="5"/>
      <c r="D987" s="5"/>
      <c r="E987" s="5"/>
    </row>
    <row r="988" ht="15.75" customHeight="1">
      <c r="A988" s="8"/>
      <c r="C988" s="5"/>
      <c r="D988" s="5"/>
      <c r="E988" s="5"/>
    </row>
    <row r="989" ht="15.75" customHeight="1">
      <c r="A989" s="8"/>
      <c r="C989" s="5"/>
      <c r="D989" s="5"/>
      <c r="E989" s="5"/>
    </row>
    <row r="990" ht="15.75" customHeight="1">
      <c r="A990" s="8"/>
      <c r="C990" s="5"/>
      <c r="D990" s="5"/>
      <c r="E990" s="5"/>
    </row>
    <row r="991" ht="15.75" customHeight="1">
      <c r="A991" s="8"/>
      <c r="C991" s="5"/>
      <c r="D991" s="5"/>
      <c r="E991" s="5"/>
    </row>
    <row r="992" ht="15.75" customHeight="1">
      <c r="A992" s="8"/>
      <c r="C992" s="5"/>
      <c r="D992" s="5"/>
      <c r="E992" s="5"/>
    </row>
    <row r="993" ht="15.75" customHeight="1">
      <c r="A993" s="8"/>
      <c r="C993" s="5"/>
      <c r="D993" s="5"/>
      <c r="E993" s="5"/>
    </row>
    <row r="994" ht="15.75" customHeight="1">
      <c r="A994" s="8"/>
      <c r="C994" s="5"/>
      <c r="D994" s="5"/>
      <c r="E994" s="5"/>
    </row>
    <row r="995" ht="15.75" customHeight="1">
      <c r="A995" s="8"/>
      <c r="C995" s="5"/>
      <c r="D995" s="5"/>
      <c r="E995" s="5"/>
    </row>
    <row r="996" ht="15.75" customHeight="1">
      <c r="A996" s="8"/>
      <c r="C996" s="5"/>
      <c r="D996" s="5"/>
      <c r="E996" s="5"/>
    </row>
    <row r="997" ht="15.75" customHeight="1">
      <c r="A997" s="8"/>
      <c r="C997" s="5"/>
      <c r="D997" s="5"/>
      <c r="E997" s="5"/>
    </row>
    <row r="998" ht="15.75" customHeight="1">
      <c r="A998" s="8"/>
      <c r="C998" s="5"/>
      <c r="D998" s="5"/>
      <c r="E998" s="5"/>
    </row>
    <row r="999" ht="15.75" customHeight="1">
      <c r="A999" s="8"/>
      <c r="C999" s="5"/>
      <c r="D999" s="5"/>
      <c r="E999" s="5"/>
    </row>
    <row r="1000" ht="15.75" customHeight="1">
      <c r="A1000" s="8"/>
      <c r="C1000" s="5"/>
      <c r="D1000" s="5"/>
      <c r="E1000" s="5"/>
    </row>
  </sheetData>
  <autoFilter ref="$A$4:$I$36"/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81.78"/>
    <col customWidth="1" min="3" max="5" width="19.44"/>
    <col customWidth="1" min="6" max="6" width="20.67"/>
    <col customWidth="1" min="7" max="7" width="25.33"/>
    <col customWidth="1" min="8" max="8" width="40.0"/>
    <col customWidth="1" min="9" max="26" width="10.56"/>
  </cols>
  <sheetData>
    <row r="1" ht="15.75" customHeight="1">
      <c r="A1" s="2" t="s">
        <v>1685</v>
      </c>
      <c r="B1" s="3" t="s">
        <v>1686</v>
      </c>
      <c r="C1" s="5"/>
      <c r="D1" s="5"/>
      <c r="E1" s="5"/>
    </row>
    <row r="2" ht="15.75" customHeight="1">
      <c r="A2" s="2" t="s">
        <v>8</v>
      </c>
      <c r="C2" s="5"/>
      <c r="D2" s="5"/>
      <c r="E2" s="5"/>
    </row>
    <row r="3" ht="15.75" customHeight="1">
      <c r="A3" s="8"/>
      <c r="C3" s="5"/>
      <c r="D3" s="5"/>
      <c r="E3" s="5"/>
    </row>
    <row r="4" ht="15.75" customHeight="1">
      <c r="A4" s="1" t="s">
        <v>10</v>
      </c>
      <c r="B4" s="3" t="s">
        <v>11</v>
      </c>
      <c r="C4" s="10"/>
      <c r="D4" s="10">
        <v>0.0</v>
      </c>
      <c r="E4" s="10">
        <v>3316331.49</v>
      </c>
    </row>
    <row r="5" ht="15.75" customHeight="1">
      <c r="A5" s="8">
        <v>46053.0</v>
      </c>
      <c r="B5" s="4" t="s">
        <v>1240</v>
      </c>
      <c r="C5" s="5">
        <v>20000.0</v>
      </c>
      <c r="D5" s="5">
        <v>0.0</v>
      </c>
      <c r="E5" s="5">
        <f t="shared" ref="E5:E19" si="1">E4-C5+D5</f>
        <v>3296331.49</v>
      </c>
      <c r="F5" s="4" t="s">
        <v>43</v>
      </c>
      <c r="G5" s="4" t="s">
        <v>1389</v>
      </c>
    </row>
    <row r="6" ht="15.75" customHeight="1">
      <c r="A6" s="8">
        <v>46081.0</v>
      </c>
      <c r="B6" s="4" t="s">
        <v>1240</v>
      </c>
      <c r="C6" s="5">
        <v>20000.0</v>
      </c>
      <c r="D6" s="5">
        <v>0.0</v>
      </c>
      <c r="E6" s="5">
        <f t="shared" si="1"/>
        <v>3276331.49</v>
      </c>
      <c r="F6" s="4" t="s">
        <v>43</v>
      </c>
      <c r="G6" s="4" t="s">
        <v>1389</v>
      </c>
    </row>
    <row r="7" ht="15.75" customHeight="1">
      <c r="A7" s="8">
        <v>46112.0</v>
      </c>
      <c r="B7" s="4" t="s">
        <v>1240</v>
      </c>
      <c r="C7" s="5">
        <v>20000.0</v>
      </c>
      <c r="D7" s="5">
        <v>0.0</v>
      </c>
      <c r="E7" s="5">
        <f t="shared" si="1"/>
        <v>3256331.49</v>
      </c>
      <c r="F7" s="4" t="s">
        <v>43</v>
      </c>
      <c r="G7" s="4" t="s">
        <v>1389</v>
      </c>
    </row>
    <row r="8" ht="15.75" customHeight="1">
      <c r="A8" s="8">
        <v>46140.0</v>
      </c>
      <c r="B8" s="4" t="s">
        <v>1699</v>
      </c>
      <c r="C8" s="5">
        <v>2249831.0</v>
      </c>
      <c r="D8" s="5">
        <v>0.0</v>
      </c>
      <c r="E8" s="5">
        <f t="shared" si="1"/>
        <v>1006500.49</v>
      </c>
      <c r="F8" s="15" t="s">
        <v>21</v>
      </c>
      <c r="G8" s="15" t="s">
        <v>1291</v>
      </c>
    </row>
    <row r="9" ht="15.75" customHeight="1">
      <c r="A9" s="8">
        <v>46140.0</v>
      </c>
      <c r="B9" s="4" t="s">
        <v>1699</v>
      </c>
      <c r="C9" s="5">
        <v>6500.0</v>
      </c>
      <c r="D9" s="5">
        <v>0.0</v>
      </c>
      <c r="E9" s="5">
        <f t="shared" si="1"/>
        <v>1000000.49</v>
      </c>
      <c r="F9" s="4" t="s">
        <v>43</v>
      </c>
      <c r="G9" s="4" t="s">
        <v>1389</v>
      </c>
    </row>
    <row r="10" ht="15.75" customHeight="1">
      <c r="A10" s="8">
        <v>46142.0</v>
      </c>
      <c r="B10" s="4" t="s">
        <v>1703</v>
      </c>
      <c r="C10" s="5">
        <v>20000.0</v>
      </c>
      <c r="D10" s="5">
        <v>0.0</v>
      </c>
      <c r="E10" s="5">
        <f t="shared" si="1"/>
        <v>980000.49</v>
      </c>
      <c r="F10" s="4" t="s">
        <v>43</v>
      </c>
      <c r="G10" s="4" t="s">
        <v>1389</v>
      </c>
    </row>
    <row r="11" ht="15.75" customHeight="1">
      <c r="A11" s="8">
        <v>46142.0</v>
      </c>
      <c r="B11" s="4" t="s">
        <v>1704</v>
      </c>
      <c r="C11" s="5">
        <v>25000.0</v>
      </c>
      <c r="D11" s="5">
        <v>0.0</v>
      </c>
      <c r="E11" s="5">
        <f t="shared" si="1"/>
        <v>955000.49</v>
      </c>
      <c r="F11" s="4" t="s">
        <v>43</v>
      </c>
      <c r="G11" s="4" t="s">
        <v>1389</v>
      </c>
    </row>
    <row r="12" ht="15.75" customHeight="1">
      <c r="A12" s="8">
        <v>46173.0</v>
      </c>
      <c r="B12" s="4" t="s">
        <v>1703</v>
      </c>
      <c r="C12" s="5">
        <v>20000.0</v>
      </c>
      <c r="D12" s="5">
        <v>0.0</v>
      </c>
      <c r="E12" s="5">
        <f t="shared" si="1"/>
        <v>935000.49</v>
      </c>
      <c r="F12" s="4" t="s">
        <v>43</v>
      </c>
      <c r="G12" s="4" t="s">
        <v>1389</v>
      </c>
    </row>
    <row r="13" ht="15.75" customHeight="1">
      <c r="A13" s="8">
        <v>46173.0</v>
      </c>
      <c r="B13" s="4" t="s">
        <v>1704</v>
      </c>
      <c r="C13" s="5">
        <v>25000.0</v>
      </c>
      <c r="D13" s="5">
        <v>0.0</v>
      </c>
      <c r="E13" s="5">
        <f t="shared" si="1"/>
        <v>910000.49</v>
      </c>
      <c r="F13" s="4" t="s">
        <v>43</v>
      </c>
      <c r="G13" s="4" t="s">
        <v>1389</v>
      </c>
    </row>
    <row r="14" ht="15.75" customHeight="1">
      <c r="A14" s="8">
        <v>46203.0</v>
      </c>
      <c r="B14" s="4" t="s">
        <v>1703</v>
      </c>
      <c r="C14" s="5">
        <v>20000.0</v>
      </c>
      <c r="D14" s="5">
        <v>0.0</v>
      </c>
      <c r="E14" s="5">
        <f t="shared" si="1"/>
        <v>890000.49</v>
      </c>
      <c r="F14" s="4" t="s">
        <v>43</v>
      </c>
      <c r="G14" s="4" t="s">
        <v>1389</v>
      </c>
    </row>
    <row r="15" ht="15.75" customHeight="1">
      <c r="A15" s="8">
        <v>46203.0</v>
      </c>
      <c r="B15" s="4" t="s">
        <v>1704</v>
      </c>
      <c r="C15" s="5">
        <v>25000.0</v>
      </c>
      <c r="D15" s="5">
        <v>0.0</v>
      </c>
      <c r="E15" s="5">
        <f t="shared" si="1"/>
        <v>865000.49</v>
      </c>
      <c r="F15" s="4" t="s">
        <v>43</v>
      </c>
      <c r="G15" s="4" t="s">
        <v>1389</v>
      </c>
    </row>
    <row r="16" ht="15.75" customHeight="1">
      <c r="A16" s="8">
        <v>46234.0</v>
      </c>
      <c r="B16" s="4" t="s">
        <v>1703</v>
      </c>
      <c r="C16" s="5">
        <v>20000.0</v>
      </c>
      <c r="D16" s="5">
        <v>0.0</v>
      </c>
      <c r="E16" s="5">
        <f t="shared" si="1"/>
        <v>845000.49</v>
      </c>
      <c r="F16" s="4" t="s">
        <v>43</v>
      </c>
      <c r="G16" s="4" t="s">
        <v>1389</v>
      </c>
    </row>
    <row r="17" ht="15.75" customHeight="1">
      <c r="A17" s="8">
        <v>46234.0</v>
      </c>
      <c r="B17" s="4" t="s">
        <v>1704</v>
      </c>
      <c r="C17" s="5">
        <v>25000.0</v>
      </c>
      <c r="D17" s="5">
        <v>0.0</v>
      </c>
      <c r="E17" s="5">
        <f t="shared" si="1"/>
        <v>820000.49</v>
      </c>
      <c r="F17" s="4" t="s">
        <v>43</v>
      </c>
      <c r="G17" s="4" t="s">
        <v>1389</v>
      </c>
    </row>
    <row r="18" ht="15.75" customHeight="1">
      <c r="A18" s="8">
        <v>46265.0</v>
      </c>
      <c r="B18" s="4" t="s">
        <v>1703</v>
      </c>
      <c r="C18" s="5">
        <v>20000.0</v>
      </c>
      <c r="D18" s="5">
        <v>0.0</v>
      </c>
      <c r="E18" s="5">
        <f t="shared" si="1"/>
        <v>800000.49</v>
      </c>
      <c r="F18" s="4" t="s">
        <v>43</v>
      </c>
      <c r="G18" s="4" t="s">
        <v>1389</v>
      </c>
    </row>
    <row r="19" ht="15.75" customHeight="1">
      <c r="A19" s="8">
        <v>46265.0</v>
      </c>
      <c r="B19" s="4" t="s">
        <v>1704</v>
      </c>
      <c r="C19" s="5">
        <v>25000.0</v>
      </c>
      <c r="D19" s="5">
        <v>0.0</v>
      </c>
      <c r="E19" s="5">
        <f t="shared" si="1"/>
        <v>775000.49</v>
      </c>
      <c r="F19" s="4" t="s">
        <v>43</v>
      </c>
      <c r="G19" s="4" t="s">
        <v>1389</v>
      </c>
    </row>
    <row r="20" ht="15.75" customHeight="1">
      <c r="A20" s="8"/>
      <c r="C20" s="5"/>
      <c r="D20" s="5"/>
      <c r="E20" s="5"/>
    </row>
    <row r="21" ht="15.75" customHeight="1">
      <c r="A21" s="8"/>
      <c r="C21" s="5"/>
      <c r="D21" s="5"/>
      <c r="E21" s="5"/>
    </row>
    <row r="22" ht="15.75" customHeight="1">
      <c r="A22" s="8"/>
      <c r="C22" s="5">
        <f t="shared" ref="C22:D22" si="2">SUBTOTAL(9,C5:C21)</f>
        <v>2541331</v>
      </c>
      <c r="D22" s="5">
        <f t="shared" si="2"/>
        <v>0</v>
      </c>
      <c r="E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"/>
      <c r="C23" s="5"/>
      <c r="D23" s="5">
        <f>D22-C22</f>
        <v>-2541331</v>
      </c>
      <c r="E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/>
      <c r="C24" s="5"/>
      <c r="D24" s="5"/>
      <c r="E24" s="5"/>
    </row>
    <row r="25" ht="15.75" customHeight="1">
      <c r="A25" s="8"/>
      <c r="C25" s="5"/>
      <c r="D25" s="5"/>
      <c r="E25" s="5"/>
    </row>
    <row r="26" ht="15.75" customHeight="1">
      <c r="A26" s="8"/>
      <c r="C26" s="5"/>
      <c r="D26" s="5"/>
      <c r="E26" s="5"/>
    </row>
    <row r="27" ht="15.75" customHeight="1">
      <c r="A27" s="8"/>
      <c r="C27" s="5"/>
      <c r="D27" s="5"/>
      <c r="E27" s="5"/>
    </row>
    <row r="28" ht="15.75" customHeight="1">
      <c r="A28" s="8"/>
      <c r="C28" s="5"/>
      <c r="D28" s="5"/>
      <c r="E28" s="5"/>
    </row>
    <row r="29" ht="15.75" customHeight="1">
      <c r="A29" s="8"/>
      <c r="C29" s="5"/>
      <c r="D29" s="5"/>
      <c r="E29" s="5"/>
    </row>
    <row r="30" ht="15.75" customHeight="1">
      <c r="A30" s="8"/>
      <c r="C30" s="5"/>
      <c r="D30" s="5"/>
      <c r="E30" s="5"/>
    </row>
    <row r="31" ht="15.75" customHeight="1">
      <c r="A31" s="8"/>
      <c r="C31" s="5"/>
      <c r="D31" s="5"/>
      <c r="E31" s="5"/>
    </row>
    <row r="32" ht="15.75" customHeight="1">
      <c r="A32" s="8"/>
      <c r="C32" s="5"/>
      <c r="D32" s="5"/>
      <c r="E32" s="5"/>
    </row>
    <row r="33" ht="15.75" customHeight="1">
      <c r="A33" s="8"/>
      <c r="C33" s="5"/>
      <c r="D33" s="5"/>
      <c r="E33" s="5"/>
    </row>
    <row r="34" ht="15.75" customHeight="1">
      <c r="A34" s="8"/>
      <c r="C34" s="5"/>
      <c r="D34" s="5"/>
      <c r="E34" s="5"/>
    </row>
    <row r="35" ht="15.75" customHeight="1">
      <c r="A35" s="8"/>
      <c r="C35" s="5"/>
      <c r="D35" s="5"/>
      <c r="E35" s="5"/>
    </row>
    <row r="36" ht="15.75" customHeight="1">
      <c r="A36" s="8"/>
      <c r="C36" s="5"/>
      <c r="D36" s="5"/>
      <c r="E36" s="5"/>
    </row>
    <row r="37" ht="15.75" customHeight="1">
      <c r="A37" s="8"/>
      <c r="C37" s="5"/>
      <c r="D37" s="5"/>
      <c r="E37" s="5"/>
    </row>
    <row r="38" ht="15.75" customHeight="1">
      <c r="A38" s="8"/>
      <c r="C38" s="5"/>
      <c r="D38" s="5"/>
      <c r="E38" s="5"/>
    </row>
    <row r="39" ht="15.75" customHeight="1">
      <c r="A39" s="8"/>
      <c r="C39" s="5"/>
      <c r="D39" s="5"/>
      <c r="E39" s="5"/>
    </row>
    <row r="40" ht="15.75" customHeight="1">
      <c r="A40" s="8"/>
      <c r="C40" s="5"/>
      <c r="D40" s="5"/>
      <c r="E40" s="5"/>
    </row>
    <row r="41" ht="15.75" customHeight="1">
      <c r="A41" s="8"/>
      <c r="C41" s="5"/>
      <c r="D41" s="5"/>
      <c r="E41" s="5"/>
    </row>
    <row r="42" ht="15.75" customHeight="1">
      <c r="A42" s="8"/>
      <c r="C42" s="5"/>
      <c r="D42" s="5"/>
      <c r="E42" s="5"/>
    </row>
    <row r="43" ht="15.75" customHeight="1">
      <c r="A43" s="8"/>
      <c r="C43" s="5"/>
      <c r="D43" s="5"/>
      <c r="E43" s="5"/>
    </row>
    <row r="44" ht="15.75" customHeight="1">
      <c r="A44" s="8"/>
      <c r="C44" s="5"/>
      <c r="D44" s="5"/>
      <c r="E44" s="5"/>
    </row>
    <row r="45" ht="15.75" customHeight="1">
      <c r="A45" s="8"/>
      <c r="C45" s="5"/>
      <c r="D45" s="5"/>
      <c r="E45" s="5"/>
    </row>
    <row r="46" ht="15.75" customHeight="1">
      <c r="A46" s="8"/>
      <c r="C46" s="5"/>
      <c r="D46" s="5"/>
      <c r="E46" s="5"/>
    </row>
    <row r="47" ht="15.75" customHeight="1">
      <c r="A47" s="8"/>
      <c r="C47" s="5"/>
      <c r="D47" s="5"/>
      <c r="E47" s="5"/>
    </row>
    <row r="48" ht="15.75" customHeight="1">
      <c r="A48" s="8"/>
      <c r="C48" s="5"/>
      <c r="D48" s="5"/>
      <c r="E48" s="5"/>
    </row>
    <row r="49" ht="15.75" customHeight="1">
      <c r="A49" s="8"/>
      <c r="C49" s="5"/>
      <c r="D49" s="5"/>
      <c r="E49" s="5"/>
    </row>
    <row r="50" ht="15.75" customHeight="1">
      <c r="A50" s="8"/>
      <c r="C50" s="5"/>
      <c r="D50" s="5"/>
      <c r="E50" s="5"/>
    </row>
    <row r="51" ht="15.75" customHeight="1">
      <c r="A51" s="8"/>
      <c r="C51" s="5"/>
      <c r="D51" s="5"/>
      <c r="E51" s="5"/>
    </row>
    <row r="52" ht="15.75" customHeight="1">
      <c r="A52" s="8"/>
      <c r="C52" s="5"/>
      <c r="D52" s="5"/>
      <c r="E52" s="5"/>
    </row>
    <row r="53" ht="15.75" customHeight="1">
      <c r="A53" s="8"/>
      <c r="C53" s="5"/>
      <c r="D53" s="5"/>
      <c r="E53" s="5"/>
    </row>
    <row r="54" ht="15.75" customHeight="1">
      <c r="A54" s="8"/>
      <c r="C54" s="5"/>
      <c r="D54" s="5"/>
      <c r="E54" s="5"/>
    </row>
    <row r="55" ht="15.75" customHeight="1">
      <c r="A55" s="8"/>
      <c r="C55" s="5"/>
      <c r="D55" s="5"/>
      <c r="E55" s="5"/>
    </row>
    <row r="56" ht="15.75" customHeight="1">
      <c r="A56" s="8"/>
      <c r="C56" s="5"/>
      <c r="D56" s="5"/>
      <c r="E56" s="5"/>
    </row>
    <row r="57" ht="15.75" customHeight="1">
      <c r="A57" s="8"/>
      <c r="C57" s="5"/>
      <c r="D57" s="5"/>
      <c r="E57" s="5"/>
    </row>
    <row r="58" ht="15.75" customHeight="1">
      <c r="A58" s="8"/>
      <c r="C58" s="5"/>
      <c r="D58" s="5"/>
      <c r="E58" s="5"/>
    </row>
    <row r="59" ht="15.75" customHeight="1">
      <c r="A59" s="8"/>
      <c r="C59" s="5"/>
      <c r="D59" s="5"/>
      <c r="E59" s="5"/>
    </row>
    <row r="60" ht="15.75" customHeight="1">
      <c r="A60" s="8"/>
      <c r="C60" s="5"/>
      <c r="D60" s="5"/>
      <c r="E60" s="5"/>
    </row>
    <row r="61" ht="15.75" customHeight="1">
      <c r="A61" s="8"/>
      <c r="C61" s="5"/>
      <c r="D61" s="5"/>
      <c r="E61" s="5"/>
    </row>
    <row r="62" ht="15.75" customHeight="1">
      <c r="A62" s="8"/>
      <c r="C62" s="5"/>
      <c r="D62" s="5"/>
      <c r="E62" s="5"/>
    </row>
    <row r="63" ht="15.75" customHeight="1">
      <c r="A63" s="8"/>
      <c r="C63" s="5"/>
      <c r="D63" s="5"/>
      <c r="E63" s="5"/>
    </row>
    <row r="64" ht="15.75" customHeight="1">
      <c r="A64" s="8"/>
      <c r="C64" s="5"/>
      <c r="D64" s="5"/>
      <c r="E64" s="5"/>
    </row>
    <row r="65" ht="15.75" customHeight="1">
      <c r="A65" s="8"/>
      <c r="C65" s="5"/>
      <c r="D65" s="5"/>
      <c r="E65" s="5"/>
    </row>
    <row r="66" ht="15.75" customHeight="1">
      <c r="A66" s="8"/>
      <c r="C66" s="5"/>
      <c r="D66" s="5"/>
      <c r="E66" s="5"/>
    </row>
    <row r="67" ht="15.75" customHeight="1">
      <c r="A67" s="8"/>
      <c r="C67" s="5"/>
      <c r="D67" s="5"/>
      <c r="E67" s="5"/>
    </row>
    <row r="68" ht="15.75" customHeight="1">
      <c r="A68" s="8"/>
      <c r="C68" s="5"/>
      <c r="D68" s="5"/>
      <c r="E68" s="5"/>
    </row>
    <row r="69" ht="15.75" customHeight="1">
      <c r="A69" s="8"/>
      <c r="C69" s="5"/>
      <c r="D69" s="5"/>
      <c r="E69" s="5"/>
    </row>
    <row r="70" ht="15.75" customHeight="1">
      <c r="A70" s="8"/>
      <c r="C70" s="5"/>
      <c r="D70" s="5"/>
      <c r="E70" s="5"/>
    </row>
    <row r="71" ht="15.75" customHeight="1">
      <c r="A71" s="8"/>
      <c r="C71" s="5"/>
      <c r="D71" s="5"/>
      <c r="E71" s="5"/>
    </row>
    <row r="72" ht="15.75" customHeight="1">
      <c r="A72" s="8"/>
      <c r="C72" s="5"/>
      <c r="D72" s="5"/>
      <c r="E72" s="5"/>
    </row>
    <row r="73" ht="15.75" customHeight="1">
      <c r="A73" s="8"/>
      <c r="C73" s="5"/>
      <c r="D73" s="5"/>
      <c r="E73" s="5"/>
    </row>
    <row r="74" ht="15.75" customHeight="1">
      <c r="A74" s="8"/>
      <c r="C74" s="5"/>
      <c r="D74" s="5"/>
      <c r="E74" s="5"/>
    </row>
    <row r="75" ht="15.75" customHeight="1">
      <c r="A75" s="8"/>
      <c r="C75" s="5"/>
      <c r="D75" s="5"/>
      <c r="E75" s="5"/>
    </row>
    <row r="76" ht="15.75" customHeight="1">
      <c r="A76" s="8"/>
      <c r="C76" s="5"/>
      <c r="D76" s="5"/>
      <c r="E76" s="5"/>
    </row>
    <row r="77" ht="15.75" customHeight="1">
      <c r="A77" s="8"/>
      <c r="C77" s="5"/>
      <c r="D77" s="5"/>
      <c r="E77" s="5"/>
    </row>
    <row r="78" ht="15.75" customHeight="1">
      <c r="A78" s="8"/>
      <c r="C78" s="5"/>
      <c r="D78" s="5"/>
      <c r="E78" s="5"/>
    </row>
    <row r="79" ht="15.75" customHeight="1">
      <c r="A79" s="8"/>
      <c r="C79" s="5"/>
      <c r="D79" s="5"/>
      <c r="E79" s="5"/>
    </row>
    <row r="80" ht="15.75" customHeight="1">
      <c r="A80" s="8"/>
      <c r="C80" s="5"/>
      <c r="D80" s="5"/>
      <c r="E80" s="5"/>
    </row>
    <row r="81" ht="15.75" customHeight="1">
      <c r="A81" s="8"/>
      <c r="C81" s="5"/>
      <c r="D81" s="5"/>
      <c r="E81" s="5"/>
    </row>
    <row r="82" ht="15.75" customHeight="1">
      <c r="A82" s="8"/>
      <c r="C82" s="5"/>
      <c r="D82" s="5"/>
      <c r="E82" s="5"/>
    </row>
    <row r="83" ht="15.75" customHeight="1">
      <c r="A83" s="8"/>
      <c r="C83" s="5"/>
      <c r="D83" s="5"/>
      <c r="E83" s="5"/>
    </row>
    <row r="84" ht="15.75" customHeight="1">
      <c r="A84" s="8"/>
      <c r="C84" s="5"/>
      <c r="D84" s="5"/>
      <c r="E84" s="5"/>
    </row>
    <row r="85" ht="15.75" customHeight="1">
      <c r="A85" s="8"/>
      <c r="C85" s="5"/>
      <c r="D85" s="5"/>
      <c r="E85" s="5"/>
    </row>
    <row r="86" ht="15.75" customHeight="1">
      <c r="A86" s="8"/>
      <c r="C86" s="5"/>
      <c r="D86" s="5"/>
      <c r="E86" s="5"/>
    </row>
    <row r="87" ht="15.75" customHeight="1">
      <c r="A87" s="8"/>
      <c r="C87" s="5"/>
      <c r="D87" s="5"/>
      <c r="E87" s="5"/>
    </row>
    <row r="88" ht="15.75" customHeight="1">
      <c r="A88" s="8"/>
      <c r="C88" s="5"/>
      <c r="D88" s="5"/>
      <c r="E88" s="5"/>
    </row>
    <row r="89" ht="15.75" customHeight="1">
      <c r="A89" s="8"/>
      <c r="C89" s="5"/>
      <c r="D89" s="5"/>
      <c r="E89" s="5"/>
    </row>
    <row r="90" ht="15.75" customHeight="1">
      <c r="A90" s="8"/>
      <c r="C90" s="5"/>
      <c r="D90" s="5"/>
      <c r="E90" s="5"/>
    </row>
    <row r="91" ht="15.75" customHeight="1">
      <c r="A91" s="8"/>
      <c r="C91" s="5"/>
      <c r="D91" s="5"/>
      <c r="E91" s="5"/>
    </row>
    <row r="92" ht="15.75" customHeight="1">
      <c r="A92" s="8"/>
      <c r="C92" s="5"/>
      <c r="D92" s="5"/>
      <c r="E92" s="5"/>
    </row>
    <row r="93" ht="15.75" customHeight="1">
      <c r="A93" s="8"/>
      <c r="C93" s="5"/>
      <c r="D93" s="5"/>
      <c r="E93" s="5"/>
    </row>
    <row r="94" ht="15.75" customHeight="1">
      <c r="A94" s="8"/>
      <c r="C94" s="5"/>
      <c r="D94" s="5"/>
      <c r="E94" s="5"/>
    </row>
    <row r="95" ht="15.75" customHeight="1">
      <c r="A95" s="8"/>
      <c r="C95" s="5"/>
      <c r="D95" s="5"/>
      <c r="E95" s="5"/>
    </row>
    <row r="96" ht="15.75" customHeight="1">
      <c r="A96" s="8"/>
      <c r="C96" s="5"/>
      <c r="D96" s="5"/>
      <c r="E96" s="5"/>
    </row>
    <row r="97" ht="15.75" customHeight="1">
      <c r="A97" s="8"/>
      <c r="C97" s="5"/>
      <c r="D97" s="5"/>
      <c r="E97" s="5"/>
    </row>
    <row r="98" ht="15.75" customHeight="1">
      <c r="A98" s="8"/>
      <c r="C98" s="5"/>
      <c r="D98" s="5"/>
      <c r="E98" s="5"/>
    </row>
    <row r="99" ht="15.75" customHeight="1">
      <c r="A99" s="8"/>
      <c r="C99" s="5"/>
      <c r="D99" s="5"/>
      <c r="E99" s="5"/>
    </row>
    <row r="100" ht="15.75" customHeight="1">
      <c r="A100" s="8"/>
      <c r="C100" s="5"/>
      <c r="D100" s="5"/>
      <c r="E100" s="5"/>
    </row>
    <row r="101" ht="15.75" customHeight="1">
      <c r="A101" s="8"/>
      <c r="C101" s="5"/>
      <c r="D101" s="5"/>
      <c r="E101" s="5"/>
    </row>
    <row r="102" ht="15.75" customHeight="1">
      <c r="A102" s="8"/>
      <c r="C102" s="5"/>
      <c r="D102" s="5"/>
      <c r="E102" s="5"/>
    </row>
    <row r="103" ht="15.75" customHeight="1">
      <c r="A103" s="8"/>
      <c r="C103" s="5"/>
      <c r="D103" s="5"/>
      <c r="E103" s="5"/>
    </row>
    <row r="104" ht="15.75" customHeight="1">
      <c r="A104" s="8"/>
      <c r="C104" s="5"/>
      <c r="D104" s="5"/>
      <c r="E104" s="5"/>
    </row>
    <row r="105" ht="15.75" customHeight="1">
      <c r="A105" s="8"/>
      <c r="C105" s="5"/>
      <c r="D105" s="5"/>
      <c r="E105" s="5"/>
    </row>
    <row r="106" ht="15.75" customHeight="1">
      <c r="A106" s="8"/>
      <c r="C106" s="5"/>
      <c r="D106" s="5"/>
      <c r="E106" s="5"/>
    </row>
    <row r="107" ht="15.75" customHeight="1">
      <c r="A107" s="8"/>
      <c r="C107" s="5"/>
      <c r="D107" s="5"/>
      <c r="E107" s="5"/>
    </row>
    <row r="108" ht="15.75" customHeight="1">
      <c r="A108" s="8"/>
      <c r="C108" s="5"/>
      <c r="D108" s="5"/>
      <c r="E108" s="5"/>
    </row>
    <row r="109" ht="15.75" customHeight="1">
      <c r="A109" s="8"/>
      <c r="C109" s="5"/>
      <c r="D109" s="5"/>
      <c r="E109" s="5"/>
    </row>
    <row r="110" ht="15.75" customHeight="1">
      <c r="A110" s="8"/>
      <c r="C110" s="5"/>
      <c r="D110" s="5"/>
      <c r="E110" s="5"/>
    </row>
    <row r="111" ht="15.75" customHeight="1">
      <c r="A111" s="8"/>
      <c r="C111" s="5"/>
      <c r="D111" s="5"/>
      <c r="E111" s="5"/>
    </row>
    <row r="112" ht="15.75" customHeight="1">
      <c r="A112" s="8"/>
      <c r="C112" s="5"/>
      <c r="D112" s="5"/>
      <c r="E112" s="5"/>
    </row>
    <row r="113" ht="15.75" customHeight="1">
      <c r="A113" s="8"/>
      <c r="C113" s="5"/>
      <c r="D113" s="5"/>
      <c r="E113" s="5"/>
    </row>
    <row r="114" ht="15.75" customHeight="1">
      <c r="A114" s="8"/>
      <c r="C114" s="5"/>
      <c r="D114" s="5"/>
      <c r="E114" s="5"/>
    </row>
    <row r="115" ht="15.75" customHeight="1">
      <c r="A115" s="8"/>
      <c r="C115" s="5"/>
      <c r="D115" s="5"/>
      <c r="E115" s="5"/>
    </row>
    <row r="116" ht="15.75" customHeight="1">
      <c r="A116" s="8"/>
      <c r="C116" s="5"/>
      <c r="D116" s="5"/>
      <c r="E116" s="5"/>
    </row>
    <row r="117" ht="15.75" customHeight="1">
      <c r="A117" s="8"/>
      <c r="C117" s="5"/>
      <c r="D117" s="5"/>
      <c r="E117" s="5"/>
    </row>
    <row r="118" ht="15.75" customHeight="1">
      <c r="A118" s="8"/>
      <c r="C118" s="5"/>
      <c r="D118" s="5"/>
      <c r="E118" s="5"/>
    </row>
    <row r="119" ht="15.75" customHeight="1">
      <c r="A119" s="8"/>
      <c r="C119" s="5"/>
      <c r="D119" s="5"/>
      <c r="E119" s="5"/>
    </row>
    <row r="120" ht="15.75" customHeight="1">
      <c r="A120" s="8"/>
      <c r="C120" s="5"/>
      <c r="D120" s="5"/>
      <c r="E120" s="5"/>
    </row>
    <row r="121" ht="15.75" customHeight="1">
      <c r="A121" s="8"/>
      <c r="C121" s="5"/>
      <c r="D121" s="5"/>
      <c r="E121" s="5"/>
    </row>
    <row r="122" ht="15.75" customHeight="1">
      <c r="A122" s="8"/>
      <c r="C122" s="5"/>
      <c r="D122" s="5"/>
      <c r="E122" s="5"/>
    </row>
    <row r="123" ht="15.75" customHeight="1">
      <c r="A123" s="8"/>
      <c r="C123" s="5"/>
      <c r="D123" s="5"/>
      <c r="E123" s="5"/>
    </row>
    <row r="124" ht="15.75" customHeight="1">
      <c r="A124" s="8"/>
      <c r="C124" s="5"/>
      <c r="D124" s="5"/>
      <c r="E124" s="5"/>
    </row>
    <row r="125" ht="15.75" customHeight="1">
      <c r="A125" s="8"/>
      <c r="C125" s="5"/>
      <c r="D125" s="5"/>
      <c r="E125" s="5"/>
    </row>
    <row r="126" ht="15.75" customHeight="1">
      <c r="A126" s="8"/>
      <c r="C126" s="5"/>
      <c r="D126" s="5"/>
      <c r="E126" s="5"/>
    </row>
    <row r="127" ht="15.75" customHeight="1">
      <c r="A127" s="8"/>
      <c r="C127" s="5"/>
      <c r="D127" s="5"/>
      <c r="E127" s="5"/>
    </row>
    <row r="128" ht="15.75" customHeight="1">
      <c r="A128" s="8"/>
      <c r="C128" s="5"/>
      <c r="D128" s="5"/>
      <c r="E128" s="5"/>
    </row>
    <row r="129" ht="15.75" customHeight="1">
      <c r="A129" s="8"/>
      <c r="C129" s="5"/>
      <c r="D129" s="5"/>
      <c r="E129" s="5"/>
    </row>
    <row r="130" ht="15.75" customHeight="1">
      <c r="A130" s="8"/>
      <c r="C130" s="5"/>
      <c r="D130" s="5"/>
      <c r="E130" s="5"/>
    </row>
    <row r="131" ht="15.75" customHeight="1">
      <c r="A131" s="8"/>
      <c r="C131" s="5"/>
      <c r="D131" s="5"/>
      <c r="E131" s="5"/>
    </row>
    <row r="132" ht="15.75" customHeight="1">
      <c r="A132" s="8"/>
      <c r="C132" s="5"/>
      <c r="D132" s="5"/>
      <c r="E132" s="5"/>
    </row>
    <row r="133" ht="15.75" customHeight="1">
      <c r="A133" s="8"/>
      <c r="C133" s="5"/>
      <c r="D133" s="5"/>
      <c r="E133" s="5"/>
    </row>
    <row r="134" ht="15.75" customHeight="1">
      <c r="A134" s="8"/>
      <c r="C134" s="5"/>
      <c r="D134" s="5"/>
      <c r="E134" s="5"/>
    </row>
    <row r="135" ht="15.75" customHeight="1">
      <c r="A135" s="8"/>
      <c r="C135" s="5"/>
      <c r="D135" s="5"/>
      <c r="E135" s="5"/>
    </row>
    <row r="136" ht="15.75" customHeight="1">
      <c r="A136" s="8"/>
      <c r="C136" s="5"/>
      <c r="D136" s="5"/>
      <c r="E136" s="5"/>
    </row>
    <row r="137" ht="15.75" customHeight="1">
      <c r="A137" s="8"/>
      <c r="C137" s="5"/>
      <c r="D137" s="5"/>
      <c r="E137" s="5"/>
    </row>
    <row r="138" ht="15.75" customHeight="1">
      <c r="A138" s="8"/>
      <c r="C138" s="5"/>
      <c r="D138" s="5"/>
      <c r="E138" s="5"/>
    </row>
    <row r="139" ht="15.75" customHeight="1">
      <c r="A139" s="8"/>
      <c r="C139" s="5"/>
      <c r="D139" s="5"/>
      <c r="E139" s="5"/>
    </row>
    <row r="140" ht="15.75" customHeight="1">
      <c r="A140" s="8"/>
      <c r="C140" s="5"/>
      <c r="D140" s="5"/>
      <c r="E140" s="5"/>
    </row>
    <row r="141" ht="15.75" customHeight="1">
      <c r="A141" s="8"/>
      <c r="C141" s="5"/>
      <c r="D141" s="5"/>
      <c r="E141" s="5"/>
    </row>
    <row r="142" ht="15.75" customHeight="1">
      <c r="A142" s="8"/>
      <c r="C142" s="5"/>
      <c r="D142" s="5"/>
      <c r="E142" s="5"/>
    </row>
    <row r="143" ht="15.75" customHeight="1">
      <c r="A143" s="8"/>
      <c r="C143" s="5"/>
      <c r="D143" s="5"/>
      <c r="E143" s="5"/>
    </row>
    <row r="144" ht="15.75" customHeight="1">
      <c r="A144" s="8"/>
      <c r="C144" s="5"/>
      <c r="D144" s="5"/>
      <c r="E144" s="5"/>
    </row>
    <row r="145" ht="15.75" customHeight="1">
      <c r="A145" s="8"/>
      <c r="C145" s="5"/>
      <c r="D145" s="5"/>
      <c r="E145" s="5"/>
    </row>
    <row r="146" ht="15.75" customHeight="1">
      <c r="A146" s="8"/>
      <c r="C146" s="5"/>
      <c r="D146" s="5"/>
      <c r="E146" s="5"/>
    </row>
    <row r="147" ht="15.75" customHeight="1">
      <c r="A147" s="8"/>
      <c r="C147" s="5"/>
      <c r="D147" s="5"/>
      <c r="E147" s="5"/>
    </row>
    <row r="148" ht="15.75" customHeight="1">
      <c r="A148" s="8"/>
      <c r="C148" s="5"/>
      <c r="D148" s="5"/>
      <c r="E148" s="5"/>
    </row>
    <row r="149" ht="15.75" customHeight="1">
      <c r="A149" s="8"/>
      <c r="C149" s="5"/>
      <c r="D149" s="5"/>
      <c r="E149" s="5"/>
    </row>
    <row r="150" ht="15.75" customHeight="1">
      <c r="A150" s="8"/>
      <c r="C150" s="5"/>
      <c r="D150" s="5"/>
      <c r="E150" s="5"/>
    </row>
    <row r="151" ht="15.75" customHeight="1">
      <c r="A151" s="8"/>
      <c r="C151" s="5"/>
      <c r="D151" s="5"/>
      <c r="E151" s="5"/>
    </row>
    <row r="152" ht="15.75" customHeight="1">
      <c r="A152" s="8"/>
      <c r="C152" s="5"/>
      <c r="D152" s="5"/>
      <c r="E152" s="5"/>
    </row>
    <row r="153" ht="15.75" customHeight="1">
      <c r="A153" s="8"/>
      <c r="C153" s="5"/>
      <c r="D153" s="5"/>
      <c r="E153" s="5"/>
    </row>
    <row r="154" ht="15.75" customHeight="1">
      <c r="A154" s="8"/>
      <c r="C154" s="5"/>
      <c r="D154" s="5"/>
      <c r="E154" s="5"/>
    </row>
    <row r="155" ht="15.75" customHeight="1">
      <c r="A155" s="8"/>
      <c r="C155" s="5"/>
      <c r="D155" s="5"/>
      <c r="E155" s="5"/>
    </row>
    <row r="156" ht="15.75" customHeight="1">
      <c r="A156" s="8"/>
      <c r="C156" s="5"/>
      <c r="D156" s="5"/>
      <c r="E156" s="5"/>
    </row>
    <row r="157" ht="15.75" customHeight="1">
      <c r="A157" s="8"/>
      <c r="C157" s="5"/>
      <c r="D157" s="5"/>
      <c r="E157" s="5"/>
    </row>
    <row r="158" ht="15.75" customHeight="1">
      <c r="A158" s="8"/>
      <c r="C158" s="5"/>
      <c r="D158" s="5"/>
      <c r="E158" s="5"/>
    </row>
    <row r="159" ht="15.75" customHeight="1">
      <c r="A159" s="8"/>
      <c r="C159" s="5"/>
      <c r="D159" s="5"/>
      <c r="E159" s="5"/>
    </row>
    <row r="160" ht="15.75" customHeight="1">
      <c r="A160" s="8"/>
      <c r="C160" s="5"/>
      <c r="D160" s="5"/>
      <c r="E160" s="5"/>
    </row>
    <row r="161" ht="15.75" customHeight="1">
      <c r="A161" s="8"/>
      <c r="C161" s="5"/>
      <c r="D161" s="5"/>
      <c r="E161" s="5"/>
    </row>
    <row r="162" ht="15.75" customHeight="1">
      <c r="A162" s="8"/>
      <c r="C162" s="5"/>
      <c r="D162" s="5"/>
      <c r="E162" s="5"/>
    </row>
    <row r="163" ht="15.75" customHeight="1">
      <c r="A163" s="8"/>
      <c r="C163" s="5"/>
      <c r="D163" s="5"/>
      <c r="E163" s="5"/>
    </row>
    <row r="164" ht="15.75" customHeight="1">
      <c r="A164" s="8"/>
      <c r="C164" s="5"/>
      <c r="D164" s="5"/>
      <c r="E164" s="5"/>
    </row>
    <row r="165" ht="15.75" customHeight="1">
      <c r="A165" s="8"/>
      <c r="C165" s="5"/>
      <c r="D165" s="5"/>
      <c r="E165" s="5"/>
    </row>
    <row r="166" ht="15.75" customHeight="1">
      <c r="A166" s="8"/>
      <c r="C166" s="5"/>
      <c r="D166" s="5"/>
      <c r="E166" s="5"/>
    </row>
    <row r="167" ht="15.75" customHeight="1">
      <c r="A167" s="8"/>
      <c r="C167" s="5"/>
      <c r="D167" s="5"/>
      <c r="E167" s="5"/>
    </row>
    <row r="168" ht="15.75" customHeight="1">
      <c r="A168" s="8"/>
      <c r="C168" s="5"/>
      <c r="D168" s="5"/>
      <c r="E168" s="5"/>
    </row>
    <row r="169" ht="15.75" customHeight="1">
      <c r="A169" s="8"/>
      <c r="C169" s="5"/>
      <c r="D169" s="5"/>
      <c r="E169" s="5"/>
    </row>
    <row r="170" ht="15.75" customHeight="1">
      <c r="A170" s="8"/>
      <c r="C170" s="5"/>
      <c r="D170" s="5"/>
      <c r="E170" s="5"/>
    </row>
    <row r="171" ht="15.75" customHeight="1">
      <c r="A171" s="8"/>
      <c r="C171" s="5"/>
      <c r="D171" s="5"/>
      <c r="E171" s="5"/>
    </row>
    <row r="172" ht="15.75" customHeight="1">
      <c r="A172" s="8"/>
      <c r="C172" s="5"/>
      <c r="D172" s="5"/>
      <c r="E172" s="5"/>
    </row>
    <row r="173" ht="15.75" customHeight="1">
      <c r="A173" s="8"/>
      <c r="C173" s="5"/>
      <c r="D173" s="5"/>
      <c r="E173" s="5"/>
    </row>
    <row r="174" ht="15.75" customHeight="1">
      <c r="A174" s="8"/>
      <c r="C174" s="5"/>
      <c r="D174" s="5"/>
      <c r="E174" s="5"/>
    </row>
    <row r="175" ht="15.75" customHeight="1">
      <c r="A175" s="8"/>
      <c r="C175" s="5"/>
      <c r="D175" s="5"/>
      <c r="E175" s="5"/>
    </row>
    <row r="176" ht="15.75" customHeight="1">
      <c r="A176" s="8"/>
      <c r="C176" s="5"/>
      <c r="D176" s="5"/>
      <c r="E176" s="5"/>
    </row>
    <row r="177" ht="15.75" customHeight="1">
      <c r="A177" s="8"/>
      <c r="C177" s="5"/>
      <c r="D177" s="5"/>
      <c r="E177" s="5"/>
    </row>
    <row r="178" ht="15.75" customHeight="1">
      <c r="A178" s="8"/>
      <c r="C178" s="5"/>
      <c r="D178" s="5"/>
      <c r="E178" s="5"/>
    </row>
    <row r="179" ht="15.75" customHeight="1">
      <c r="A179" s="8"/>
      <c r="C179" s="5"/>
      <c r="D179" s="5"/>
      <c r="E179" s="5"/>
    </row>
    <row r="180" ht="15.75" customHeight="1">
      <c r="A180" s="8"/>
      <c r="C180" s="5"/>
      <c r="D180" s="5"/>
      <c r="E180" s="5"/>
    </row>
    <row r="181" ht="15.75" customHeight="1">
      <c r="A181" s="8"/>
      <c r="C181" s="5"/>
      <c r="D181" s="5"/>
      <c r="E181" s="5"/>
    </row>
    <row r="182" ht="15.75" customHeight="1">
      <c r="A182" s="8"/>
      <c r="C182" s="5"/>
      <c r="D182" s="5"/>
      <c r="E182" s="5"/>
    </row>
    <row r="183" ht="15.75" customHeight="1">
      <c r="A183" s="8"/>
      <c r="C183" s="5"/>
      <c r="D183" s="5"/>
      <c r="E183" s="5"/>
    </row>
    <row r="184" ht="15.75" customHeight="1">
      <c r="A184" s="8"/>
      <c r="C184" s="5"/>
      <c r="D184" s="5"/>
      <c r="E184" s="5"/>
    </row>
    <row r="185" ht="15.75" customHeight="1">
      <c r="A185" s="8"/>
      <c r="C185" s="5"/>
      <c r="D185" s="5"/>
      <c r="E185" s="5"/>
    </row>
    <row r="186" ht="15.75" customHeight="1">
      <c r="A186" s="8"/>
      <c r="C186" s="5"/>
      <c r="D186" s="5"/>
      <c r="E186" s="5"/>
    </row>
    <row r="187" ht="15.75" customHeight="1">
      <c r="A187" s="8"/>
      <c r="C187" s="5"/>
      <c r="D187" s="5"/>
      <c r="E187" s="5"/>
    </row>
    <row r="188" ht="15.75" customHeight="1">
      <c r="A188" s="8"/>
      <c r="C188" s="5"/>
      <c r="D188" s="5"/>
      <c r="E188" s="5"/>
    </row>
    <row r="189" ht="15.75" customHeight="1">
      <c r="A189" s="8"/>
      <c r="C189" s="5"/>
      <c r="D189" s="5"/>
      <c r="E189" s="5"/>
    </row>
    <row r="190" ht="15.75" customHeight="1">
      <c r="A190" s="8"/>
      <c r="C190" s="5"/>
      <c r="D190" s="5"/>
      <c r="E190" s="5"/>
    </row>
    <row r="191" ht="15.75" customHeight="1">
      <c r="A191" s="8"/>
      <c r="C191" s="5"/>
      <c r="D191" s="5"/>
      <c r="E191" s="5"/>
    </row>
    <row r="192" ht="15.75" customHeight="1">
      <c r="A192" s="8"/>
      <c r="C192" s="5"/>
      <c r="D192" s="5"/>
      <c r="E192" s="5"/>
    </row>
    <row r="193" ht="15.75" customHeight="1">
      <c r="A193" s="8"/>
      <c r="C193" s="5"/>
      <c r="D193" s="5"/>
      <c r="E193" s="5"/>
    </row>
    <row r="194" ht="15.75" customHeight="1">
      <c r="A194" s="8"/>
      <c r="C194" s="5"/>
      <c r="D194" s="5"/>
      <c r="E194" s="5"/>
    </row>
    <row r="195" ht="15.75" customHeight="1">
      <c r="A195" s="8"/>
      <c r="C195" s="5"/>
      <c r="D195" s="5"/>
      <c r="E195" s="5"/>
    </row>
    <row r="196" ht="15.75" customHeight="1">
      <c r="A196" s="8"/>
      <c r="C196" s="5"/>
      <c r="D196" s="5"/>
      <c r="E196" s="5"/>
    </row>
    <row r="197" ht="15.75" customHeight="1">
      <c r="A197" s="8"/>
      <c r="C197" s="5"/>
      <c r="D197" s="5"/>
      <c r="E197" s="5"/>
    </row>
    <row r="198" ht="15.75" customHeight="1">
      <c r="A198" s="8"/>
      <c r="C198" s="5"/>
      <c r="D198" s="5"/>
      <c r="E198" s="5"/>
    </row>
    <row r="199" ht="15.75" customHeight="1">
      <c r="A199" s="8"/>
      <c r="C199" s="5"/>
      <c r="D199" s="5"/>
      <c r="E199" s="5"/>
    </row>
    <row r="200" ht="15.75" customHeight="1">
      <c r="A200" s="8"/>
      <c r="C200" s="5"/>
      <c r="D200" s="5"/>
      <c r="E200" s="5"/>
    </row>
    <row r="201" ht="15.75" customHeight="1">
      <c r="A201" s="8"/>
      <c r="C201" s="5"/>
      <c r="D201" s="5"/>
      <c r="E201" s="5"/>
    </row>
    <row r="202" ht="15.75" customHeight="1">
      <c r="A202" s="8"/>
      <c r="C202" s="5"/>
      <c r="D202" s="5"/>
      <c r="E202" s="5"/>
    </row>
    <row r="203" ht="15.75" customHeight="1">
      <c r="A203" s="8"/>
      <c r="C203" s="5"/>
      <c r="D203" s="5"/>
      <c r="E203" s="5"/>
    </row>
    <row r="204" ht="15.75" customHeight="1">
      <c r="A204" s="8"/>
      <c r="C204" s="5"/>
      <c r="D204" s="5"/>
      <c r="E204" s="5"/>
    </row>
    <row r="205" ht="15.75" customHeight="1">
      <c r="A205" s="8"/>
      <c r="C205" s="5"/>
      <c r="D205" s="5"/>
      <c r="E205" s="5"/>
    </row>
    <row r="206" ht="15.75" customHeight="1">
      <c r="A206" s="8"/>
      <c r="C206" s="5"/>
      <c r="D206" s="5"/>
      <c r="E206" s="5"/>
    </row>
    <row r="207" ht="15.75" customHeight="1">
      <c r="A207" s="8"/>
      <c r="C207" s="5"/>
      <c r="D207" s="5"/>
      <c r="E207" s="5"/>
    </row>
    <row r="208" ht="15.75" customHeight="1">
      <c r="A208" s="8"/>
      <c r="C208" s="5"/>
      <c r="D208" s="5"/>
      <c r="E208" s="5"/>
    </row>
    <row r="209" ht="15.75" customHeight="1">
      <c r="A209" s="8"/>
      <c r="C209" s="5"/>
      <c r="D209" s="5"/>
      <c r="E209" s="5"/>
    </row>
    <row r="210" ht="15.75" customHeight="1">
      <c r="A210" s="8"/>
      <c r="C210" s="5"/>
      <c r="D210" s="5"/>
      <c r="E210" s="5"/>
    </row>
    <row r="211" ht="15.75" customHeight="1">
      <c r="A211" s="8"/>
      <c r="C211" s="5"/>
      <c r="D211" s="5"/>
      <c r="E211" s="5"/>
    </row>
    <row r="212" ht="15.75" customHeight="1">
      <c r="A212" s="8"/>
      <c r="C212" s="5"/>
      <c r="D212" s="5"/>
      <c r="E212" s="5"/>
    </row>
    <row r="213" ht="15.75" customHeight="1">
      <c r="A213" s="8"/>
      <c r="C213" s="5"/>
      <c r="D213" s="5"/>
      <c r="E213" s="5"/>
    </row>
    <row r="214" ht="15.75" customHeight="1">
      <c r="A214" s="8"/>
      <c r="C214" s="5"/>
      <c r="D214" s="5"/>
      <c r="E214" s="5"/>
    </row>
    <row r="215" ht="15.75" customHeight="1">
      <c r="A215" s="8"/>
      <c r="C215" s="5"/>
      <c r="D215" s="5"/>
      <c r="E215" s="5"/>
    </row>
    <row r="216" ht="15.75" customHeight="1">
      <c r="A216" s="8"/>
      <c r="C216" s="5"/>
      <c r="D216" s="5"/>
      <c r="E216" s="5"/>
    </row>
    <row r="217" ht="15.75" customHeight="1">
      <c r="A217" s="8"/>
      <c r="C217" s="5"/>
      <c r="D217" s="5"/>
      <c r="E217" s="5"/>
    </row>
    <row r="218" ht="15.75" customHeight="1">
      <c r="A218" s="8"/>
      <c r="C218" s="5"/>
      <c r="D218" s="5"/>
      <c r="E218" s="5"/>
    </row>
    <row r="219" ht="15.75" customHeight="1">
      <c r="A219" s="8"/>
      <c r="C219" s="5"/>
      <c r="D219" s="5"/>
      <c r="E219" s="5"/>
    </row>
    <row r="220" ht="15.75" customHeight="1">
      <c r="A220" s="8"/>
      <c r="C220" s="5"/>
      <c r="D220" s="5"/>
      <c r="E220" s="5"/>
    </row>
    <row r="221" ht="15.75" customHeight="1">
      <c r="A221" s="8"/>
      <c r="C221" s="5"/>
      <c r="D221" s="5"/>
      <c r="E221" s="5"/>
    </row>
    <row r="222" ht="15.75" customHeight="1">
      <c r="A222" s="8"/>
      <c r="C222" s="5"/>
      <c r="D222" s="5"/>
      <c r="E222" s="5"/>
    </row>
    <row r="223" ht="15.75" customHeight="1">
      <c r="A223" s="8"/>
      <c r="C223" s="5"/>
      <c r="D223" s="5"/>
      <c r="E223" s="5"/>
    </row>
    <row r="224" ht="15.75" customHeight="1">
      <c r="A224" s="8"/>
      <c r="C224" s="5"/>
      <c r="D224" s="5"/>
      <c r="E224" s="5"/>
    </row>
    <row r="225" ht="15.75" customHeight="1">
      <c r="A225" s="8"/>
      <c r="C225" s="5"/>
      <c r="D225" s="5"/>
      <c r="E225" s="5"/>
    </row>
    <row r="226" ht="15.75" customHeight="1">
      <c r="A226" s="8"/>
      <c r="C226" s="5"/>
      <c r="D226" s="5"/>
      <c r="E226" s="5"/>
    </row>
    <row r="227" ht="15.75" customHeight="1">
      <c r="A227" s="8"/>
      <c r="C227" s="5"/>
      <c r="D227" s="5"/>
      <c r="E227" s="5"/>
    </row>
    <row r="228" ht="15.75" customHeight="1">
      <c r="A228" s="8"/>
      <c r="C228" s="5"/>
      <c r="D228" s="5"/>
      <c r="E228" s="5"/>
    </row>
    <row r="229" ht="15.75" customHeight="1">
      <c r="A229" s="8"/>
      <c r="C229" s="5"/>
      <c r="D229" s="5"/>
      <c r="E229" s="5"/>
    </row>
    <row r="230" ht="15.75" customHeight="1">
      <c r="A230" s="8"/>
      <c r="C230" s="5"/>
      <c r="D230" s="5"/>
      <c r="E230" s="5"/>
    </row>
    <row r="231" ht="15.75" customHeight="1">
      <c r="A231" s="8"/>
      <c r="C231" s="5"/>
      <c r="D231" s="5"/>
      <c r="E231" s="5"/>
    </row>
    <row r="232" ht="15.75" customHeight="1">
      <c r="A232" s="8"/>
      <c r="C232" s="5"/>
      <c r="D232" s="5"/>
      <c r="E232" s="5"/>
    </row>
    <row r="233" ht="15.75" customHeight="1">
      <c r="A233" s="8"/>
      <c r="C233" s="5"/>
      <c r="D233" s="5"/>
      <c r="E233" s="5"/>
    </row>
    <row r="234" ht="15.75" customHeight="1">
      <c r="A234" s="8"/>
      <c r="C234" s="5"/>
      <c r="D234" s="5"/>
      <c r="E234" s="5"/>
    </row>
    <row r="235" ht="15.75" customHeight="1">
      <c r="A235" s="8"/>
      <c r="C235" s="5"/>
      <c r="D235" s="5"/>
      <c r="E235" s="5"/>
    </row>
    <row r="236" ht="15.75" customHeight="1">
      <c r="A236" s="8"/>
      <c r="C236" s="5"/>
      <c r="D236" s="5"/>
      <c r="E236" s="5"/>
    </row>
    <row r="237" ht="15.75" customHeight="1">
      <c r="A237" s="8"/>
      <c r="C237" s="5"/>
      <c r="D237" s="5"/>
      <c r="E237" s="5"/>
    </row>
    <row r="238" ht="15.75" customHeight="1">
      <c r="A238" s="8"/>
      <c r="C238" s="5"/>
      <c r="D238" s="5"/>
      <c r="E238" s="5"/>
    </row>
    <row r="239" ht="15.75" customHeight="1">
      <c r="A239" s="8"/>
      <c r="C239" s="5"/>
      <c r="D239" s="5"/>
      <c r="E239" s="5"/>
    </row>
    <row r="240" ht="15.75" customHeight="1">
      <c r="A240" s="8"/>
      <c r="C240" s="5"/>
      <c r="D240" s="5"/>
      <c r="E240" s="5"/>
    </row>
    <row r="241" ht="15.75" customHeight="1">
      <c r="A241" s="8"/>
      <c r="C241" s="5"/>
      <c r="D241" s="5"/>
      <c r="E241" s="5"/>
    </row>
    <row r="242" ht="15.75" customHeight="1">
      <c r="A242" s="8"/>
      <c r="C242" s="5"/>
      <c r="D242" s="5"/>
      <c r="E242" s="5"/>
    </row>
    <row r="243" ht="15.75" customHeight="1">
      <c r="A243" s="8"/>
      <c r="C243" s="5"/>
      <c r="D243" s="5"/>
      <c r="E243" s="5"/>
    </row>
    <row r="244" ht="15.75" customHeight="1">
      <c r="A244" s="8"/>
      <c r="C244" s="5"/>
      <c r="D244" s="5"/>
      <c r="E244" s="5"/>
    </row>
    <row r="245" ht="15.75" customHeight="1">
      <c r="A245" s="8"/>
      <c r="C245" s="5"/>
      <c r="D245" s="5"/>
      <c r="E245" s="5"/>
    </row>
    <row r="246" ht="15.75" customHeight="1">
      <c r="A246" s="8"/>
      <c r="C246" s="5"/>
      <c r="D246" s="5"/>
      <c r="E246" s="5"/>
    </row>
    <row r="247" ht="15.75" customHeight="1">
      <c r="A247" s="8"/>
      <c r="C247" s="5"/>
      <c r="D247" s="5"/>
      <c r="E247" s="5"/>
    </row>
    <row r="248" ht="15.75" customHeight="1">
      <c r="A248" s="8"/>
      <c r="C248" s="5"/>
      <c r="D248" s="5"/>
      <c r="E248" s="5"/>
    </row>
    <row r="249" ht="15.75" customHeight="1">
      <c r="A249" s="8"/>
      <c r="C249" s="5"/>
      <c r="D249" s="5"/>
      <c r="E249" s="5"/>
    </row>
    <row r="250" ht="15.75" customHeight="1">
      <c r="A250" s="8"/>
      <c r="C250" s="5"/>
      <c r="D250" s="5"/>
      <c r="E250" s="5"/>
    </row>
    <row r="251" ht="15.75" customHeight="1">
      <c r="A251" s="8"/>
      <c r="C251" s="5"/>
      <c r="D251" s="5"/>
      <c r="E251" s="5"/>
    </row>
    <row r="252" ht="15.75" customHeight="1">
      <c r="A252" s="8"/>
      <c r="C252" s="5"/>
      <c r="D252" s="5"/>
      <c r="E252" s="5"/>
    </row>
    <row r="253" ht="15.75" customHeight="1">
      <c r="A253" s="8"/>
      <c r="C253" s="5"/>
      <c r="D253" s="5"/>
      <c r="E253" s="5"/>
    </row>
    <row r="254" ht="15.75" customHeight="1">
      <c r="A254" s="8"/>
      <c r="C254" s="5"/>
      <c r="D254" s="5"/>
      <c r="E254" s="5"/>
    </row>
    <row r="255" ht="15.75" customHeight="1">
      <c r="A255" s="8"/>
      <c r="C255" s="5"/>
      <c r="D255" s="5"/>
      <c r="E255" s="5"/>
    </row>
    <row r="256" ht="15.75" customHeight="1">
      <c r="A256" s="8"/>
      <c r="C256" s="5"/>
      <c r="D256" s="5"/>
      <c r="E256" s="5"/>
    </row>
    <row r="257" ht="15.75" customHeight="1">
      <c r="A257" s="8"/>
      <c r="C257" s="5"/>
      <c r="D257" s="5"/>
      <c r="E257" s="5"/>
    </row>
    <row r="258" ht="15.75" customHeight="1">
      <c r="A258" s="8"/>
      <c r="C258" s="5"/>
      <c r="D258" s="5"/>
      <c r="E258" s="5"/>
    </row>
    <row r="259" ht="15.75" customHeight="1">
      <c r="A259" s="8"/>
      <c r="C259" s="5"/>
      <c r="D259" s="5"/>
      <c r="E259" s="5"/>
    </row>
    <row r="260" ht="15.75" customHeight="1">
      <c r="A260" s="8"/>
      <c r="C260" s="5"/>
      <c r="D260" s="5"/>
      <c r="E260" s="5"/>
    </row>
    <row r="261" ht="15.75" customHeight="1">
      <c r="A261" s="8"/>
      <c r="C261" s="5"/>
      <c r="D261" s="5"/>
      <c r="E261" s="5"/>
    </row>
    <row r="262" ht="15.75" customHeight="1">
      <c r="A262" s="8"/>
      <c r="C262" s="5"/>
      <c r="D262" s="5"/>
      <c r="E262" s="5"/>
    </row>
    <row r="263" ht="15.75" customHeight="1">
      <c r="A263" s="8"/>
      <c r="C263" s="5"/>
      <c r="D263" s="5"/>
      <c r="E263" s="5"/>
    </row>
    <row r="264" ht="15.75" customHeight="1">
      <c r="A264" s="8"/>
      <c r="C264" s="5"/>
      <c r="D264" s="5"/>
      <c r="E264" s="5"/>
    </row>
    <row r="265" ht="15.75" customHeight="1">
      <c r="A265" s="8"/>
      <c r="C265" s="5"/>
      <c r="D265" s="5"/>
      <c r="E265" s="5"/>
    </row>
    <row r="266" ht="15.75" customHeight="1">
      <c r="A266" s="8"/>
      <c r="C266" s="5"/>
      <c r="D266" s="5"/>
      <c r="E266" s="5"/>
    </row>
    <row r="267" ht="15.75" customHeight="1">
      <c r="A267" s="8"/>
      <c r="C267" s="5"/>
      <c r="D267" s="5"/>
      <c r="E267" s="5"/>
    </row>
    <row r="268" ht="15.75" customHeight="1">
      <c r="A268" s="8"/>
      <c r="C268" s="5"/>
      <c r="D268" s="5"/>
      <c r="E268" s="5"/>
    </row>
    <row r="269" ht="15.75" customHeight="1">
      <c r="A269" s="8"/>
      <c r="C269" s="5"/>
      <c r="D269" s="5"/>
      <c r="E269" s="5"/>
    </row>
    <row r="270" ht="15.75" customHeight="1">
      <c r="A270" s="8"/>
      <c r="C270" s="5"/>
      <c r="D270" s="5"/>
      <c r="E270" s="5"/>
    </row>
    <row r="271" ht="15.75" customHeight="1">
      <c r="A271" s="8"/>
      <c r="C271" s="5"/>
      <c r="D271" s="5"/>
      <c r="E271" s="5"/>
    </row>
    <row r="272" ht="15.75" customHeight="1">
      <c r="A272" s="8"/>
      <c r="C272" s="5"/>
      <c r="D272" s="5"/>
      <c r="E272" s="5"/>
    </row>
    <row r="273" ht="15.75" customHeight="1">
      <c r="A273" s="8"/>
      <c r="C273" s="5"/>
      <c r="D273" s="5"/>
      <c r="E273" s="5"/>
    </row>
    <row r="274" ht="15.75" customHeight="1">
      <c r="A274" s="8"/>
      <c r="C274" s="5"/>
      <c r="D274" s="5"/>
      <c r="E274" s="5"/>
    </row>
    <row r="275" ht="15.75" customHeight="1">
      <c r="A275" s="8"/>
      <c r="C275" s="5"/>
      <c r="D275" s="5"/>
      <c r="E275" s="5"/>
    </row>
    <row r="276" ht="15.75" customHeight="1">
      <c r="A276" s="8"/>
      <c r="C276" s="5"/>
      <c r="D276" s="5"/>
      <c r="E276" s="5"/>
    </row>
    <row r="277" ht="15.75" customHeight="1">
      <c r="A277" s="8"/>
      <c r="C277" s="5"/>
      <c r="D277" s="5"/>
      <c r="E277" s="5"/>
    </row>
    <row r="278" ht="15.75" customHeight="1">
      <c r="A278" s="8"/>
      <c r="C278" s="5"/>
      <c r="D278" s="5"/>
      <c r="E278" s="5"/>
    </row>
    <row r="279" ht="15.75" customHeight="1">
      <c r="A279" s="8"/>
      <c r="C279" s="5"/>
      <c r="D279" s="5"/>
      <c r="E279" s="5"/>
    </row>
    <row r="280" ht="15.75" customHeight="1">
      <c r="A280" s="8"/>
      <c r="C280" s="5"/>
      <c r="D280" s="5"/>
      <c r="E280" s="5"/>
    </row>
    <row r="281" ht="15.75" customHeight="1">
      <c r="A281" s="8"/>
      <c r="C281" s="5"/>
      <c r="D281" s="5"/>
      <c r="E281" s="5"/>
    </row>
    <row r="282" ht="15.75" customHeight="1">
      <c r="A282" s="8"/>
      <c r="C282" s="5"/>
      <c r="D282" s="5"/>
      <c r="E282" s="5"/>
    </row>
    <row r="283" ht="15.75" customHeight="1">
      <c r="A283" s="8"/>
      <c r="C283" s="5"/>
      <c r="D283" s="5"/>
      <c r="E283" s="5"/>
    </row>
    <row r="284" ht="15.75" customHeight="1">
      <c r="A284" s="8"/>
      <c r="C284" s="5"/>
      <c r="D284" s="5"/>
      <c r="E284" s="5"/>
    </row>
    <row r="285" ht="15.75" customHeight="1">
      <c r="A285" s="8"/>
      <c r="C285" s="5"/>
      <c r="D285" s="5"/>
      <c r="E285" s="5"/>
    </row>
    <row r="286" ht="15.75" customHeight="1">
      <c r="A286" s="8"/>
      <c r="C286" s="5"/>
      <c r="D286" s="5"/>
      <c r="E286" s="5"/>
    </row>
    <row r="287" ht="15.75" customHeight="1">
      <c r="A287" s="8"/>
      <c r="C287" s="5"/>
      <c r="D287" s="5"/>
      <c r="E287" s="5"/>
    </row>
    <row r="288" ht="15.75" customHeight="1">
      <c r="A288" s="8"/>
      <c r="C288" s="5"/>
      <c r="D288" s="5"/>
      <c r="E288" s="5"/>
    </row>
    <row r="289" ht="15.75" customHeight="1">
      <c r="A289" s="8"/>
      <c r="C289" s="5"/>
      <c r="D289" s="5"/>
      <c r="E289" s="5"/>
    </row>
    <row r="290" ht="15.75" customHeight="1">
      <c r="A290" s="8"/>
      <c r="C290" s="5"/>
      <c r="D290" s="5"/>
      <c r="E290" s="5"/>
    </row>
    <row r="291" ht="15.75" customHeight="1">
      <c r="A291" s="8"/>
      <c r="C291" s="5"/>
      <c r="D291" s="5"/>
      <c r="E291" s="5"/>
    </row>
    <row r="292" ht="15.75" customHeight="1">
      <c r="A292" s="8"/>
      <c r="C292" s="5"/>
      <c r="D292" s="5"/>
      <c r="E292" s="5"/>
    </row>
    <row r="293" ht="15.75" customHeight="1">
      <c r="A293" s="8"/>
      <c r="C293" s="5"/>
      <c r="D293" s="5"/>
      <c r="E293" s="5"/>
    </row>
    <row r="294" ht="15.75" customHeight="1">
      <c r="A294" s="8"/>
      <c r="C294" s="5"/>
      <c r="D294" s="5"/>
      <c r="E294" s="5"/>
    </row>
    <row r="295" ht="15.75" customHeight="1">
      <c r="A295" s="8"/>
      <c r="C295" s="5"/>
      <c r="D295" s="5"/>
      <c r="E295" s="5"/>
    </row>
    <row r="296" ht="15.75" customHeight="1">
      <c r="A296" s="8"/>
      <c r="C296" s="5"/>
      <c r="D296" s="5"/>
      <c r="E296" s="5"/>
    </row>
    <row r="297" ht="15.75" customHeight="1">
      <c r="A297" s="8"/>
      <c r="C297" s="5"/>
      <c r="D297" s="5"/>
      <c r="E297" s="5"/>
    </row>
    <row r="298" ht="15.75" customHeight="1">
      <c r="A298" s="8"/>
      <c r="C298" s="5"/>
      <c r="D298" s="5"/>
      <c r="E298" s="5"/>
    </row>
    <row r="299" ht="15.75" customHeight="1">
      <c r="A299" s="8"/>
      <c r="C299" s="5"/>
      <c r="D299" s="5"/>
      <c r="E299" s="5"/>
    </row>
    <row r="300" ht="15.75" customHeight="1">
      <c r="A300" s="8"/>
      <c r="C300" s="5"/>
      <c r="D300" s="5"/>
      <c r="E300" s="5"/>
    </row>
    <row r="301" ht="15.75" customHeight="1">
      <c r="A301" s="8"/>
      <c r="C301" s="5"/>
      <c r="D301" s="5"/>
      <c r="E301" s="5"/>
    </row>
    <row r="302" ht="15.75" customHeight="1">
      <c r="A302" s="8"/>
      <c r="C302" s="5"/>
      <c r="D302" s="5"/>
      <c r="E302" s="5"/>
    </row>
    <row r="303" ht="15.75" customHeight="1">
      <c r="A303" s="8"/>
      <c r="C303" s="5"/>
      <c r="D303" s="5"/>
      <c r="E303" s="5"/>
    </row>
    <row r="304" ht="15.75" customHeight="1">
      <c r="A304" s="8"/>
      <c r="C304" s="5"/>
      <c r="D304" s="5"/>
      <c r="E304" s="5"/>
    </row>
    <row r="305" ht="15.75" customHeight="1">
      <c r="A305" s="8"/>
      <c r="C305" s="5"/>
      <c r="D305" s="5"/>
      <c r="E305" s="5"/>
    </row>
    <row r="306" ht="15.75" customHeight="1">
      <c r="A306" s="8"/>
      <c r="C306" s="5"/>
      <c r="D306" s="5"/>
      <c r="E306" s="5"/>
    </row>
    <row r="307" ht="15.75" customHeight="1">
      <c r="A307" s="8"/>
      <c r="C307" s="5"/>
      <c r="D307" s="5"/>
      <c r="E307" s="5"/>
    </row>
    <row r="308" ht="15.75" customHeight="1">
      <c r="A308" s="8"/>
      <c r="C308" s="5"/>
      <c r="D308" s="5"/>
      <c r="E308" s="5"/>
    </row>
    <row r="309" ht="15.75" customHeight="1">
      <c r="A309" s="8"/>
      <c r="C309" s="5"/>
      <c r="D309" s="5"/>
      <c r="E309" s="5"/>
    </row>
    <row r="310" ht="15.75" customHeight="1">
      <c r="A310" s="8"/>
      <c r="C310" s="5"/>
      <c r="D310" s="5"/>
      <c r="E310" s="5"/>
    </row>
    <row r="311" ht="15.75" customHeight="1">
      <c r="A311" s="8"/>
      <c r="C311" s="5"/>
      <c r="D311" s="5"/>
      <c r="E311" s="5"/>
    </row>
    <row r="312" ht="15.75" customHeight="1">
      <c r="A312" s="8"/>
      <c r="C312" s="5"/>
      <c r="D312" s="5"/>
      <c r="E312" s="5"/>
    </row>
    <row r="313" ht="15.75" customHeight="1">
      <c r="A313" s="8"/>
      <c r="C313" s="5"/>
      <c r="D313" s="5"/>
      <c r="E313" s="5"/>
    </row>
    <row r="314" ht="15.75" customHeight="1">
      <c r="A314" s="8"/>
      <c r="C314" s="5"/>
      <c r="D314" s="5"/>
      <c r="E314" s="5"/>
    </row>
    <row r="315" ht="15.75" customHeight="1">
      <c r="A315" s="8"/>
      <c r="C315" s="5"/>
      <c r="D315" s="5"/>
      <c r="E315" s="5"/>
    </row>
    <row r="316" ht="15.75" customHeight="1">
      <c r="A316" s="8"/>
      <c r="C316" s="5"/>
      <c r="D316" s="5"/>
      <c r="E316" s="5"/>
    </row>
    <row r="317" ht="15.75" customHeight="1">
      <c r="A317" s="8"/>
      <c r="C317" s="5"/>
      <c r="D317" s="5"/>
      <c r="E317" s="5"/>
    </row>
    <row r="318" ht="15.75" customHeight="1">
      <c r="A318" s="8"/>
      <c r="C318" s="5"/>
      <c r="D318" s="5"/>
      <c r="E318" s="5"/>
    </row>
    <row r="319" ht="15.75" customHeight="1">
      <c r="A319" s="8"/>
      <c r="C319" s="5"/>
      <c r="D319" s="5"/>
      <c r="E319" s="5"/>
    </row>
    <row r="320" ht="15.75" customHeight="1">
      <c r="A320" s="8"/>
      <c r="C320" s="5"/>
      <c r="D320" s="5"/>
      <c r="E320" s="5"/>
    </row>
    <row r="321" ht="15.75" customHeight="1">
      <c r="A321" s="8"/>
      <c r="C321" s="5"/>
      <c r="D321" s="5"/>
      <c r="E321" s="5"/>
    </row>
    <row r="322" ht="15.75" customHeight="1">
      <c r="A322" s="8"/>
      <c r="C322" s="5"/>
      <c r="D322" s="5"/>
      <c r="E322" s="5"/>
    </row>
    <row r="323" ht="15.75" customHeight="1">
      <c r="A323" s="8"/>
      <c r="C323" s="5"/>
      <c r="D323" s="5"/>
      <c r="E323" s="5"/>
    </row>
    <row r="324" ht="15.75" customHeight="1">
      <c r="A324" s="8"/>
      <c r="C324" s="5"/>
      <c r="D324" s="5"/>
      <c r="E324" s="5"/>
    </row>
    <row r="325" ht="15.75" customHeight="1">
      <c r="A325" s="8"/>
      <c r="C325" s="5"/>
      <c r="D325" s="5"/>
      <c r="E325" s="5"/>
    </row>
    <row r="326" ht="15.75" customHeight="1">
      <c r="A326" s="8"/>
      <c r="C326" s="5"/>
      <c r="D326" s="5"/>
      <c r="E326" s="5"/>
    </row>
    <row r="327" ht="15.75" customHeight="1">
      <c r="A327" s="8"/>
      <c r="C327" s="5"/>
      <c r="D327" s="5"/>
      <c r="E327" s="5"/>
    </row>
    <row r="328" ht="15.75" customHeight="1">
      <c r="A328" s="8"/>
      <c r="C328" s="5"/>
      <c r="D328" s="5"/>
      <c r="E328" s="5"/>
    </row>
    <row r="329" ht="15.75" customHeight="1">
      <c r="A329" s="8"/>
      <c r="C329" s="5"/>
      <c r="D329" s="5"/>
      <c r="E329" s="5"/>
    </row>
    <row r="330" ht="15.75" customHeight="1">
      <c r="A330" s="8"/>
      <c r="C330" s="5"/>
      <c r="D330" s="5"/>
      <c r="E330" s="5"/>
    </row>
    <row r="331" ht="15.75" customHeight="1">
      <c r="A331" s="8"/>
      <c r="C331" s="5"/>
      <c r="D331" s="5"/>
      <c r="E331" s="5"/>
    </row>
    <row r="332" ht="15.75" customHeight="1">
      <c r="A332" s="8"/>
      <c r="C332" s="5"/>
      <c r="D332" s="5"/>
      <c r="E332" s="5"/>
    </row>
    <row r="333" ht="15.75" customHeight="1">
      <c r="A333" s="8"/>
      <c r="C333" s="5"/>
      <c r="D333" s="5"/>
      <c r="E333" s="5"/>
    </row>
    <row r="334" ht="15.75" customHeight="1">
      <c r="A334" s="8"/>
      <c r="C334" s="5"/>
      <c r="D334" s="5"/>
      <c r="E334" s="5"/>
    </row>
    <row r="335" ht="15.75" customHeight="1">
      <c r="A335" s="8"/>
      <c r="C335" s="5"/>
      <c r="D335" s="5"/>
      <c r="E335" s="5"/>
    </row>
    <row r="336" ht="15.75" customHeight="1">
      <c r="A336" s="8"/>
      <c r="C336" s="5"/>
      <c r="D336" s="5"/>
      <c r="E336" s="5"/>
    </row>
    <row r="337" ht="15.75" customHeight="1">
      <c r="A337" s="8"/>
      <c r="C337" s="5"/>
      <c r="D337" s="5"/>
      <c r="E337" s="5"/>
    </row>
    <row r="338" ht="15.75" customHeight="1">
      <c r="A338" s="8"/>
      <c r="C338" s="5"/>
      <c r="D338" s="5"/>
      <c r="E338" s="5"/>
    </row>
    <row r="339" ht="15.75" customHeight="1">
      <c r="A339" s="8"/>
      <c r="C339" s="5"/>
      <c r="D339" s="5"/>
      <c r="E339" s="5"/>
    </row>
    <row r="340" ht="15.75" customHeight="1">
      <c r="A340" s="8"/>
      <c r="C340" s="5"/>
      <c r="D340" s="5"/>
      <c r="E340" s="5"/>
    </row>
    <row r="341" ht="15.75" customHeight="1">
      <c r="A341" s="8"/>
      <c r="C341" s="5"/>
      <c r="D341" s="5"/>
      <c r="E341" s="5"/>
    </row>
    <row r="342" ht="15.75" customHeight="1">
      <c r="A342" s="8"/>
      <c r="C342" s="5"/>
      <c r="D342" s="5"/>
      <c r="E342" s="5"/>
    </row>
    <row r="343" ht="15.75" customHeight="1">
      <c r="A343" s="8"/>
      <c r="C343" s="5"/>
      <c r="D343" s="5"/>
      <c r="E343" s="5"/>
    </row>
    <row r="344" ht="15.75" customHeight="1">
      <c r="A344" s="8"/>
      <c r="C344" s="5"/>
      <c r="D344" s="5"/>
      <c r="E344" s="5"/>
    </row>
    <row r="345" ht="15.75" customHeight="1">
      <c r="A345" s="8"/>
      <c r="C345" s="5"/>
      <c r="D345" s="5"/>
      <c r="E345" s="5"/>
    </row>
    <row r="346" ht="15.75" customHeight="1">
      <c r="A346" s="8"/>
      <c r="C346" s="5"/>
      <c r="D346" s="5"/>
      <c r="E346" s="5"/>
    </row>
    <row r="347" ht="15.75" customHeight="1">
      <c r="A347" s="8"/>
      <c r="C347" s="5"/>
      <c r="D347" s="5"/>
      <c r="E347" s="5"/>
    </row>
    <row r="348" ht="15.75" customHeight="1">
      <c r="A348" s="8"/>
      <c r="C348" s="5"/>
      <c r="D348" s="5"/>
      <c r="E348" s="5"/>
    </row>
    <row r="349" ht="15.75" customHeight="1">
      <c r="A349" s="8"/>
      <c r="C349" s="5"/>
      <c r="D349" s="5"/>
      <c r="E349" s="5"/>
    </row>
    <row r="350" ht="15.75" customHeight="1">
      <c r="A350" s="8"/>
      <c r="C350" s="5"/>
      <c r="D350" s="5"/>
      <c r="E350" s="5"/>
    </row>
    <row r="351" ht="15.75" customHeight="1">
      <c r="A351" s="8"/>
      <c r="C351" s="5"/>
      <c r="D351" s="5"/>
      <c r="E351" s="5"/>
    </row>
    <row r="352" ht="15.75" customHeight="1">
      <c r="A352" s="8"/>
      <c r="C352" s="5"/>
      <c r="D352" s="5"/>
      <c r="E352" s="5"/>
    </row>
    <row r="353" ht="15.75" customHeight="1">
      <c r="A353" s="8"/>
      <c r="C353" s="5"/>
      <c r="D353" s="5"/>
      <c r="E353" s="5"/>
    </row>
    <row r="354" ht="15.75" customHeight="1">
      <c r="A354" s="8"/>
      <c r="C354" s="5"/>
      <c r="D354" s="5"/>
      <c r="E354" s="5"/>
    </row>
    <row r="355" ht="15.75" customHeight="1">
      <c r="A355" s="8"/>
      <c r="C355" s="5"/>
      <c r="D355" s="5"/>
      <c r="E355" s="5"/>
    </row>
    <row r="356" ht="15.75" customHeight="1">
      <c r="A356" s="8"/>
      <c r="C356" s="5"/>
      <c r="D356" s="5"/>
      <c r="E356" s="5"/>
    </row>
    <row r="357" ht="15.75" customHeight="1">
      <c r="A357" s="8"/>
      <c r="C357" s="5"/>
      <c r="D357" s="5"/>
      <c r="E357" s="5"/>
    </row>
    <row r="358" ht="15.75" customHeight="1">
      <c r="A358" s="8"/>
      <c r="C358" s="5"/>
      <c r="D358" s="5"/>
      <c r="E358" s="5"/>
    </row>
    <row r="359" ht="15.75" customHeight="1">
      <c r="A359" s="8"/>
      <c r="C359" s="5"/>
      <c r="D359" s="5"/>
      <c r="E359" s="5"/>
    </row>
    <row r="360" ht="15.75" customHeight="1">
      <c r="A360" s="8"/>
      <c r="C360" s="5"/>
      <c r="D360" s="5"/>
      <c r="E360" s="5"/>
    </row>
    <row r="361" ht="15.75" customHeight="1">
      <c r="A361" s="8"/>
      <c r="C361" s="5"/>
      <c r="D361" s="5"/>
      <c r="E361" s="5"/>
    </row>
    <row r="362" ht="15.75" customHeight="1">
      <c r="A362" s="8"/>
      <c r="C362" s="5"/>
      <c r="D362" s="5"/>
      <c r="E362" s="5"/>
    </row>
    <row r="363" ht="15.75" customHeight="1">
      <c r="A363" s="8"/>
      <c r="C363" s="5"/>
      <c r="D363" s="5"/>
      <c r="E363" s="5"/>
    </row>
    <row r="364" ht="15.75" customHeight="1">
      <c r="A364" s="8"/>
      <c r="C364" s="5"/>
      <c r="D364" s="5"/>
      <c r="E364" s="5"/>
    </row>
    <row r="365" ht="15.75" customHeight="1">
      <c r="A365" s="8"/>
      <c r="C365" s="5"/>
      <c r="D365" s="5"/>
      <c r="E365" s="5"/>
    </row>
    <row r="366" ht="15.75" customHeight="1">
      <c r="A366" s="8"/>
      <c r="C366" s="5"/>
      <c r="D366" s="5"/>
      <c r="E366" s="5"/>
    </row>
    <row r="367" ht="15.75" customHeight="1">
      <c r="A367" s="8"/>
      <c r="C367" s="5"/>
      <c r="D367" s="5"/>
      <c r="E367" s="5"/>
    </row>
    <row r="368" ht="15.75" customHeight="1">
      <c r="A368" s="8"/>
      <c r="C368" s="5"/>
      <c r="D368" s="5"/>
      <c r="E368" s="5"/>
    </row>
    <row r="369" ht="15.75" customHeight="1">
      <c r="A369" s="8"/>
      <c r="C369" s="5"/>
      <c r="D369" s="5"/>
      <c r="E369" s="5"/>
    </row>
    <row r="370" ht="15.75" customHeight="1">
      <c r="A370" s="8"/>
      <c r="C370" s="5"/>
      <c r="D370" s="5"/>
      <c r="E370" s="5"/>
    </row>
    <row r="371" ht="15.75" customHeight="1">
      <c r="A371" s="8"/>
      <c r="C371" s="5"/>
      <c r="D371" s="5"/>
      <c r="E371" s="5"/>
    </row>
    <row r="372" ht="15.75" customHeight="1">
      <c r="A372" s="8"/>
      <c r="C372" s="5"/>
      <c r="D372" s="5"/>
      <c r="E372" s="5"/>
    </row>
    <row r="373" ht="15.75" customHeight="1">
      <c r="A373" s="8"/>
      <c r="C373" s="5"/>
      <c r="D373" s="5"/>
      <c r="E373" s="5"/>
    </row>
    <row r="374" ht="15.75" customHeight="1">
      <c r="A374" s="8"/>
      <c r="C374" s="5"/>
      <c r="D374" s="5"/>
      <c r="E374" s="5"/>
    </row>
    <row r="375" ht="15.75" customHeight="1">
      <c r="A375" s="8"/>
      <c r="C375" s="5"/>
      <c r="D375" s="5"/>
      <c r="E375" s="5"/>
    </row>
    <row r="376" ht="15.75" customHeight="1">
      <c r="A376" s="8"/>
      <c r="C376" s="5"/>
      <c r="D376" s="5"/>
      <c r="E376" s="5"/>
    </row>
    <row r="377" ht="15.75" customHeight="1">
      <c r="A377" s="8"/>
      <c r="C377" s="5"/>
      <c r="D377" s="5"/>
      <c r="E377" s="5"/>
    </row>
    <row r="378" ht="15.75" customHeight="1">
      <c r="A378" s="8"/>
      <c r="C378" s="5"/>
      <c r="D378" s="5"/>
      <c r="E378" s="5"/>
    </row>
    <row r="379" ht="15.75" customHeight="1">
      <c r="A379" s="8"/>
      <c r="C379" s="5"/>
      <c r="D379" s="5"/>
      <c r="E379" s="5"/>
    </row>
    <row r="380" ht="15.75" customHeight="1">
      <c r="A380" s="8"/>
      <c r="C380" s="5"/>
      <c r="D380" s="5"/>
      <c r="E380" s="5"/>
    </row>
    <row r="381" ht="15.75" customHeight="1">
      <c r="A381" s="8"/>
      <c r="C381" s="5"/>
      <c r="D381" s="5"/>
      <c r="E381" s="5"/>
    </row>
    <row r="382" ht="15.75" customHeight="1">
      <c r="A382" s="8"/>
      <c r="C382" s="5"/>
      <c r="D382" s="5"/>
      <c r="E382" s="5"/>
    </row>
    <row r="383" ht="15.75" customHeight="1">
      <c r="A383" s="8"/>
      <c r="C383" s="5"/>
      <c r="D383" s="5"/>
      <c r="E383" s="5"/>
    </row>
    <row r="384" ht="15.75" customHeight="1">
      <c r="A384" s="8"/>
      <c r="C384" s="5"/>
      <c r="D384" s="5"/>
      <c r="E384" s="5"/>
    </row>
    <row r="385" ht="15.75" customHeight="1">
      <c r="A385" s="8"/>
      <c r="C385" s="5"/>
      <c r="D385" s="5"/>
      <c r="E385" s="5"/>
    </row>
    <row r="386" ht="15.75" customHeight="1">
      <c r="A386" s="8"/>
      <c r="C386" s="5"/>
      <c r="D386" s="5"/>
      <c r="E386" s="5"/>
    </row>
    <row r="387" ht="15.75" customHeight="1">
      <c r="A387" s="8"/>
      <c r="C387" s="5"/>
      <c r="D387" s="5"/>
      <c r="E387" s="5"/>
    </row>
    <row r="388" ht="15.75" customHeight="1">
      <c r="A388" s="8"/>
      <c r="C388" s="5"/>
      <c r="D388" s="5"/>
      <c r="E388" s="5"/>
    </row>
    <row r="389" ht="15.75" customHeight="1">
      <c r="A389" s="8"/>
      <c r="C389" s="5"/>
      <c r="D389" s="5"/>
      <c r="E389" s="5"/>
    </row>
    <row r="390" ht="15.75" customHeight="1">
      <c r="A390" s="8"/>
      <c r="C390" s="5"/>
      <c r="D390" s="5"/>
      <c r="E390" s="5"/>
    </row>
    <row r="391" ht="15.75" customHeight="1">
      <c r="A391" s="8"/>
      <c r="C391" s="5"/>
      <c r="D391" s="5"/>
      <c r="E391" s="5"/>
    </row>
    <row r="392" ht="15.75" customHeight="1">
      <c r="A392" s="8"/>
      <c r="C392" s="5"/>
      <c r="D392" s="5"/>
      <c r="E392" s="5"/>
    </row>
    <row r="393" ht="15.75" customHeight="1">
      <c r="A393" s="8"/>
      <c r="C393" s="5"/>
      <c r="D393" s="5"/>
      <c r="E393" s="5"/>
    </row>
    <row r="394" ht="15.75" customHeight="1">
      <c r="A394" s="8"/>
      <c r="C394" s="5"/>
      <c r="D394" s="5"/>
      <c r="E394" s="5"/>
    </row>
    <row r="395" ht="15.75" customHeight="1">
      <c r="A395" s="8"/>
      <c r="C395" s="5"/>
      <c r="D395" s="5"/>
      <c r="E395" s="5"/>
    </row>
    <row r="396" ht="15.75" customHeight="1">
      <c r="A396" s="8"/>
      <c r="C396" s="5"/>
      <c r="D396" s="5"/>
      <c r="E396" s="5"/>
    </row>
    <row r="397" ht="15.75" customHeight="1">
      <c r="A397" s="8"/>
      <c r="C397" s="5"/>
      <c r="D397" s="5"/>
      <c r="E397" s="5"/>
    </row>
    <row r="398" ht="15.75" customHeight="1">
      <c r="A398" s="8"/>
      <c r="C398" s="5"/>
      <c r="D398" s="5"/>
      <c r="E398" s="5"/>
    </row>
    <row r="399" ht="15.75" customHeight="1">
      <c r="A399" s="8"/>
      <c r="C399" s="5"/>
      <c r="D399" s="5"/>
      <c r="E399" s="5"/>
    </row>
    <row r="400" ht="15.75" customHeight="1">
      <c r="A400" s="8"/>
      <c r="C400" s="5"/>
      <c r="D400" s="5"/>
      <c r="E400" s="5"/>
    </row>
    <row r="401" ht="15.75" customHeight="1">
      <c r="A401" s="8"/>
      <c r="C401" s="5"/>
      <c r="D401" s="5"/>
      <c r="E401" s="5"/>
    </row>
    <row r="402" ht="15.75" customHeight="1">
      <c r="A402" s="8"/>
      <c r="C402" s="5"/>
      <c r="D402" s="5"/>
      <c r="E402" s="5"/>
    </row>
    <row r="403" ht="15.75" customHeight="1">
      <c r="A403" s="8"/>
      <c r="C403" s="5"/>
      <c r="D403" s="5"/>
      <c r="E403" s="5"/>
    </row>
    <row r="404" ht="15.75" customHeight="1">
      <c r="A404" s="8"/>
      <c r="C404" s="5"/>
      <c r="D404" s="5"/>
      <c r="E404" s="5"/>
    </row>
    <row r="405" ht="15.75" customHeight="1">
      <c r="A405" s="8"/>
      <c r="C405" s="5"/>
      <c r="D405" s="5"/>
      <c r="E405" s="5"/>
    </row>
    <row r="406" ht="15.75" customHeight="1">
      <c r="A406" s="8"/>
      <c r="C406" s="5"/>
      <c r="D406" s="5"/>
      <c r="E406" s="5"/>
    </row>
    <row r="407" ht="15.75" customHeight="1">
      <c r="A407" s="8"/>
      <c r="C407" s="5"/>
      <c r="D407" s="5"/>
      <c r="E407" s="5"/>
    </row>
    <row r="408" ht="15.75" customHeight="1">
      <c r="A408" s="8"/>
      <c r="C408" s="5"/>
      <c r="D408" s="5"/>
      <c r="E408" s="5"/>
    </row>
    <row r="409" ht="15.75" customHeight="1">
      <c r="A409" s="8"/>
      <c r="C409" s="5"/>
      <c r="D409" s="5"/>
      <c r="E409" s="5"/>
    </row>
    <row r="410" ht="15.75" customHeight="1">
      <c r="A410" s="8"/>
      <c r="C410" s="5"/>
      <c r="D410" s="5"/>
      <c r="E410" s="5"/>
    </row>
    <row r="411" ht="15.75" customHeight="1">
      <c r="A411" s="8"/>
      <c r="C411" s="5"/>
      <c r="D411" s="5"/>
      <c r="E411" s="5"/>
    </row>
    <row r="412" ht="15.75" customHeight="1">
      <c r="A412" s="8"/>
      <c r="C412" s="5"/>
      <c r="D412" s="5"/>
      <c r="E412" s="5"/>
    </row>
    <row r="413" ht="15.75" customHeight="1">
      <c r="A413" s="8"/>
      <c r="C413" s="5"/>
      <c r="D413" s="5"/>
      <c r="E413" s="5"/>
    </row>
    <row r="414" ht="15.75" customHeight="1">
      <c r="A414" s="8"/>
      <c r="C414" s="5"/>
      <c r="D414" s="5"/>
      <c r="E414" s="5"/>
    </row>
    <row r="415" ht="15.75" customHeight="1">
      <c r="A415" s="8"/>
      <c r="C415" s="5"/>
      <c r="D415" s="5"/>
      <c r="E415" s="5"/>
    </row>
    <row r="416" ht="15.75" customHeight="1">
      <c r="A416" s="8"/>
      <c r="C416" s="5"/>
      <c r="D416" s="5"/>
      <c r="E416" s="5"/>
    </row>
    <row r="417" ht="15.75" customHeight="1">
      <c r="A417" s="8"/>
      <c r="C417" s="5"/>
      <c r="D417" s="5"/>
      <c r="E417" s="5"/>
    </row>
    <row r="418" ht="15.75" customHeight="1">
      <c r="A418" s="8"/>
      <c r="C418" s="5"/>
      <c r="D418" s="5"/>
      <c r="E418" s="5"/>
    </row>
    <row r="419" ht="15.75" customHeight="1">
      <c r="A419" s="8"/>
      <c r="C419" s="5"/>
      <c r="D419" s="5"/>
      <c r="E419" s="5"/>
    </row>
    <row r="420" ht="15.75" customHeight="1">
      <c r="A420" s="8"/>
      <c r="C420" s="5"/>
      <c r="D420" s="5"/>
      <c r="E420" s="5"/>
    </row>
    <row r="421" ht="15.75" customHeight="1">
      <c r="A421" s="8"/>
      <c r="C421" s="5"/>
      <c r="D421" s="5"/>
      <c r="E421" s="5"/>
    </row>
    <row r="422" ht="15.75" customHeight="1">
      <c r="A422" s="8"/>
      <c r="C422" s="5"/>
      <c r="D422" s="5"/>
      <c r="E422" s="5"/>
    </row>
    <row r="423" ht="15.75" customHeight="1">
      <c r="A423" s="8"/>
      <c r="C423" s="5"/>
      <c r="D423" s="5"/>
      <c r="E423" s="5"/>
    </row>
    <row r="424" ht="15.75" customHeight="1">
      <c r="A424" s="8"/>
      <c r="C424" s="5"/>
      <c r="D424" s="5"/>
      <c r="E424" s="5"/>
    </row>
    <row r="425" ht="15.75" customHeight="1">
      <c r="A425" s="8"/>
      <c r="C425" s="5"/>
      <c r="D425" s="5"/>
      <c r="E425" s="5"/>
    </row>
    <row r="426" ht="15.75" customHeight="1">
      <c r="A426" s="8"/>
      <c r="C426" s="5"/>
      <c r="D426" s="5"/>
      <c r="E426" s="5"/>
    </row>
    <row r="427" ht="15.75" customHeight="1">
      <c r="A427" s="8"/>
      <c r="C427" s="5"/>
      <c r="D427" s="5"/>
      <c r="E427" s="5"/>
    </row>
    <row r="428" ht="15.75" customHeight="1">
      <c r="A428" s="8"/>
      <c r="C428" s="5"/>
      <c r="D428" s="5"/>
      <c r="E428" s="5"/>
    </row>
    <row r="429" ht="15.75" customHeight="1">
      <c r="A429" s="8"/>
      <c r="C429" s="5"/>
      <c r="D429" s="5"/>
      <c r="E429" s="5"/>
    </row>
    <row r="430" ht="15.75" customHeight="1">
      <c r="A430" s="8"/>
      <c r="C430" s="5"/>
      <c r="D430" s="5"/>
      <c r="E430" s="5"/>
    </row>
    <row r="431" ht="15.75" customHeight="1">
      <c r="A431" s="8"/>
      <c r="C431" s="5"/>
      <c r="D431" s="5"/>
      <c r="E431" s="5"/>
    </row>
    <row r="432" ht="15.75" customHeight="1">
      <c r="A432" s="8"/>
      <c r="C432" s="5"/>
      <c r="D432" s="5"/>
      <c r="E432" s="5"/>
    </row>
    <row r="433" ht="15.75" customHeight="1">
      <c r="A433" s="8"/>
      <c r="C433" s="5"/>
      <c r="D433" s="5"/>
      <c r="E433" s="5"/>
    </row>
    <row r="434" ht="15.75" customHeight="1">
      <c r="A434" s="8"/>
      <c r="C434" s="5"/>
      <c r="D434" s="5"/>
      <c r="E434" s="5"/>
    </row>
    <row r="435" ht="15.75" customHeight="1">
      <c r="A435" s="8"/>
      <c r="C435" s="5"/>
      <c r="D435" s="5"/>
      <c r="E435" s="5"/>
    </row>
    <row r="436" ht="15.75" customHeight="1">
      <c r="A436" s="8"/>
      <c r="C436" s="5"/>
      <c r="D436" s="5"/>
      <c r="E436" s="5"/>
    </row>
    <row r="437" ht="15.75" customHeight="1">
      <c r="A437" s="8"/>
      <c r="C437" s="5"/>
      <c r="D437" s="5"/>
      <c r="E437" s="5"/>
    </row>
    <row r="438" ht="15.75" customHeight="1">
      <c r="A438" s="8"/>
      <c r="C438" s="5"/>
      <c r="D438" s="5"/>
      <c r="E438" s="5"/>
    </row>
    <row r="439" ht="15.75" customHeight="1">
      <c r="A439" s="8"/>
      <c r="C439" s="5"/>
      <c r="D439" s="5"/>
      <c r="E439" s="5"/>
    </row>
    <row r="440" ht="15.75" customHeight="1">
      <c r="A440" s="8"/>
      <c r="C440" s="5"/>
      <c r="D440" s="5"/>
      <c r="E440" s="5"/>
    </row>
    <row r="441" ht="15.75" customHeight="1">
      <c r="A441" s="8"/>
      <c r="C441" s="5"/>
      <c r="D441" s="5"/>
      <c r="E441" s="5"/>
    </row>
    <row r="442" ht="15.75" customHeight="1">
      <c r="A442" s="8"/>
      <c r="C442" s="5"/>
      <c r="D442" s="5"/>
      <c r="E442" s="5"/>
    </row>
    <row r="443" ht="15.75" customHeight="1">
      <c r="A443" s="8"/>
      <c r="C443" s="5"/>
      <c r="D443" s="5"/>
      <c r="E443" s="5"/>
    </row>
    <row r="444" ht="15.75" customHeight="1">
      <c r="A444" s="8"/>
      <c r="C444" s="5"/>
      <c r="D444" s="5"/>
      <c r="E444" s="5"/>
    </row>
    <row r="445" ht="15.75" customHeight="1">
      <c r="A445" s="8"/>
      <c r="C445" s="5"/>
      <c r="D445" s="5"/>
      <c r="E445" s="5"/>
    </row>
    <row r="446" ht="15.75" customHeight="1">
      <c r="A446" s="8"/>
      <c r="C446" s="5"/>
      <c r="D446" s="5"/>
      <c r="E446" s="5"/>
    </row>
    <row r="447" ht="15.75" customHeight="1">
      <c r="A447" s="8"/>
      <c r="C447" s="5"/>
      <c r="D447" s="5"/>
      <c r="E447" s="5"/>
    </row>
    <row r="448" ht="15.75" customHeight="1">
      <c r="A448" s="8"/>
      <c r="C448" s="5"/>
      <c r="D448" s="5"/>
      <c r="E448" s="5"/>
    </row>
    <row r="449" ht="15.75" customHeight="1">
      <c r="A449" s="8"/>
      <c r="C449" s="5"/>
      <c r="D449" s="5"/>
      <c r="E449" s="5"/>
    </row>
    <row r="450" ht="15.75" customHeight="1">
      <c r="A450" s="8"/>
      <c r="C450" s="5"/>
      <c r="D450" s="5"/>
      <c r="E450" s="5"/>
    </row>
    <row r="451" ht="15.75" customHeight="1">
      <c r="A451" s="8"/>
      <c r="C451" s="5"/>
      <c r="D451" s="5"/>
      <c r="E451" s="5"/>
    </row>
    <row r="452" ht="15.75" customHeight="1">
      <c r="A452" s="8"/>
      <c r="C452" s="5"/>
      <c r="D452" s="5"/>
      <c r="E452" s="5"/>
    </row>
    <row r="453" ht="15.75" customHeight="1">
      <c r="A453" s="8"/>
      <c r="C453" s="5"/>
      <c r="D453" s="5"/>
      <c r="E453" s="5"/>
    </row>
    <row r="454" ht="15.75" customHeight="1">
      <c r="A454" s="8"/>
      <c r="C454" s="5"/>
      <c r="D454" s="5"/>
      <c r="E454" s="5"/>
    </row>
    <row r="455" ht="15.75" customHeight="1">
      <c r="A455" s="8"/>
      <c r="C455" s="5"/>
      <c r="D455" s="5"/>
      <c r="E455" s="5"/>
    </row>
    <row r="456" ht="15.75" customHeight="1">
      <c r="A456" s="8"/>
      <c r="C456" s="5"/>
      <c r="D456" s="5"/>
      <c r="E456" s="5"/>
    </row>
    <row r="457" ht="15.75" customHeight="1">
      <c r="A457" s="8"/>
      <c r="C457" s="5"/>
      <c r="D457" s="5"/>
      <c r="E457" s="5"/>
    </row>
    <row r="458" ht="15.75" customHeight="1">
      <c r="A458" s="8"/>
      <c r="C458" s="5"/>
      <c r="D458" s="5"/>
      <c r="E458" s="5"/>
    </row>
    <row r="459" ht="15.75" customHeight="1">
      <c r="A459" s="8"/>
      <c r="C459" s="5"/>
      <c r="D459" s="5"/>
      <c r="E459" s="5"/>
    </row>
    <row r="460" ht="15.75" customHeight="1">
      <c r="A460" s="8"/>
      <c r="C460" s="5"/>
      <c r="D460" s="5"/>
      <c r="E460" s="5"/>
    </row>
    <row r="461" ht="15.75" customHeight="1">
      <c r="A461" s="8"/>
      <c r="C461" s="5"/>
      <c r="D461" s="5"/>
      <c r="E461" s="5"/>
    </row>
    <row r="462" ht="15.75" customHeight="1">
      <c r="A462" s="8"/>
      <c r="C462" s="5"/>
      <c r="D462" s="5"/>
      <c r="E462" s="5"/>
    </row>
    <row r="463" ht="15.75" customHeight="1">
      <c r="A463" s="8"/>
      <c r="C463" s="5"/>
      <c r="D463" s="5"/>
      <c r="E463" s="5"/>
    </row>
    <row r="464" ht="15.75" customHeight="1">
      <c r="A464" s="8"/>
      <c r="C464" s="5"/>
      <c r="D464" s="5"/>
      <c r="E464" s="5"/>
    </row>
    <row r="465" ht="15.75" customHeight="1">
      <c r="A465" s="8"/>
      <c r="C465" s="5"/>
      <c r="D465" s="5"/>
      <c r="E465" s="5"/>
    </row>
    <row r="466" ht="15.75" customHeight="1">
      <c r="A466" s="8"/>
      <c r="C466" s="5"/>
      <c r="D466" s="5"/>
      <c r="E466" s="5"/>
    </row>
    <row r="467" ht="15.75" customHeight="1">
      <c r="A467" s="8"/>
      <c r="C467" s="5"/>
      <c r="D467" s="5"/>
      <c r="E467" s="5"/>
    </row>
    <row r="468" ht="15.75" customHeight="1">
      <c r="A468" s="8"/>
      <c r="C468" s="5"/>
      <c r="D468" s="5"/>
      <c r="E468" s="5"/>
    </row>
    <row r="469" ht="15.75" customHeight="1">
      <c r="A469" s="8"/>
      <c r="C469" s="5"/>
      <c r="D469" s="5"/>
      <c r="E469" s="5"/>
    </row>
    <row r="470" ht="15.75" customHeight="1">
      <c r="A470" s="8"/>
      <c r="C470" s="5"/>
      <c r="D470" s="5"/>
      <c r="E470" s="5"/>
    </row>
    <row r="471" ht="15.75" customHeight="1">
      <c r="A471" s="8"/>
      <c r="C471" s="5"/>
      <c r="D471" s="5"/>
      <c r="E471" s="5"/>
    </row>
    <row r="472" ht="15.75" customHeight="1">
      <c r="A472" s="8"/>
      <c r="C472" s="5"/>
      <c r="D472" s="5"/>
      <c r="E472" s="5"/>
    </row>
    <row r="473" ht="15.75" customHeight="1">
      <c r="A473" s="8"/>
      <c r="C473" s="5"/>
      <c r="D473" s="5"/>
      <c r="E473" s="5"/>
    </row>
    <row r="474" ht="15.75" customHeight="1">
      <c r="A474" s="8"/>
      <c r="C474" s="5"/>
      <c r="D474" s="5"/>
      <c r="E474" s="5"/>
    </row>
    <row r="475" ht="15.75" customHeight="1">
      <c r="A475" s="8"/>
      <c r="C475" s="5"/>
      <c r="D475" s="5"/>
      <c r="E475" s="5"/>
    </row>
    <row r="476" ht="15.75" customHeight="1">
      <c r="A476" s="8"/>
      <c r="C476" s="5"/>
      <c r="D476" s="5"/>
      <c r="E476" s="5"/>
    </row>
    <row r="477" ht="15.75" customHeight="1">
      <c r="A477" s="8"/>
      <c r="C477" s="5"/>
      <c r="D477" s="5"/>
      <c r="E477" s="5"/>
    </row>
    <row r="478" ht="15.75" customHeight="1">
      <c r="A478" s="8"/>
      <c r="C478" s="5"/>
      <c r="D478" s="5"/>
      <c r="E478" s="5"/>
    </row>
    <row r="479" ht="15.75" customHeight="1">
      <c r="A479" s="8"/>
      <c r="C479" s="5"/>
      <c r="D479" s="5"/>
      <c r="E479" s="5"/>
    </row>
    <row r="480" ht="15.75" customHeight="1">
      <c r="A480" s="8"/>
      <c r="C480" s="5"/>
      <c r="D480" s="5"/>
      <c r="E480" s="5"/>
    </row>
    <row r="481" ht="15.75" customHeight="1">
      <c r="A481" s="8"/>
      <c r="C481" s="5"/>
      <c r="D481" s="5"/>
      <c r="E481" s="5"/>
    </row>
    <row r="482" ht="15.75" customHeight="1">
      <c r="A482" s="8"/>
      <c r="C482" s="5"/>
      <c r="D482" s="5"/>
      <c r="E482" s="5"/>
    </row>
    <row r="483" ht="15.75" customHeight="1">
      <c r="A483" s="8"/>
      <c r="C483" s="5"/>
      <c r="D483" s="5"/>
      <c r="E483" s="5"/>
    </row>
    <row r="484" ht="15.75" customHeight="1">
      <c r="A484" s="8"/>
      <c r="C484" s="5"/>
      <c r="D484" s="5"/>
      <c r="E484" s="5"/>
    </row>
    <row r="485" ht="15.75" customHeight="1">
      <c r="A485" s="8"/>
      <c r="C485" s="5"/>
      <c r="D485" s="5"/>
      <c r="E485" s="5"/>
    </row>
    <row r="486" ht="15.75" customHeight="1">
      <c r="A486" s="8"/>
      <c r="C486" s="5"/>
      <c r="D486" s="5"/>
      <c r="E486" s="5"/>
    </row>
    <row r="487" ht="15.75" customHeight="1">
      <c r="A487" s="8"/>
      <c r="C487" s="5"/>
      <c r="D487" s="5"/>
      <c r="E487" s="5"/>
    </row>
    <row r="488" ht="15.75" customHeight="1">
      <c r="A488" s="8"/>
      <c r="C488" s="5"/>
      <c r="D488" s="5"/>
      <c r="E488" s="5"/>
    </row>
    <row r="489" ht="15.75" customHeight="1">
      <c r="A489" s="8"/>
      <c r="C489" s="5"/>
      <c r="D489" s="5"/>
      <c r="E489" s="5"/>
    </row>
    <row r="490" ht="15.75" customHeight="1">
      <c r="A490" s="8"/>
      <c r="C490" s="5"/>
      <c r="D490" s="5"/>
      <c r="E490" s="5"/>
    </row>
    <row r="491" ht="15.75" customHeight="1">
      <c r="A491" s="8"/>
      <c r="C491" s="5"/>
      <c r="D491" s="5"/>
      <c r="E491" s="5"/>
    </row>
    <row r="492" ht="15.75" customHeight="1">
      <c r="A492" s="8"/>
      <c r="C492" s="5"/>
      <c r="D492" s="5"/>
      <c r="E492" s="5"/>
    </row>
    <row r="493" ht="15.75" customHeight="1">
      <c r="A493" s="8"/>
      <c r="C493" s="5"/>
      <c r="D493" s="5"/>
      <c r="E493" s="5"/>
    </row>
    <row r="494" ht="15.75" customHeight="1">
      <c r="A494" s="8"/>
      <c r="C494" s="5"/>
      <c r="D494" s="5"/>
      <c r="E494" s="5"/>
    </row>
    <row r="495" ht="15.75" customHeight="1">
      <c r="A495" s="8"/>
      <c r="C495" s="5"/>
      <c r="D495" s="5"/>
      <c r="E495" s="5"/>
    </row>
    <row r="496" ht="15.75" customHeight="1">
      <c r="A496" s="8"/>
      <c r="C496" s="5"/>
      <c r="D496" s="5"/>
      <c r="E496" s="5"/>
    </row>
    <row r="497" ht="15.75" customHeight="1">
      <c r="A497" s="8"/>
      <c r="C497" s="5"/>
      <c r="D497" s="5"/>
      <c r="E497" s="5"/>
    </row>
    <row r="498" ht="15.75" customHeight="1">
      <c r="A498" s="8"/>
      <c r="C498" s="5"/>
      <c r="D498" s="5"/>
      <c r="E498" s="5"/>
    </row>
    <row r="499" ht="15.75" customHeight="1">
      <c r="A499" s="8"/>
      <c r="C499" s="5"/>
      <c r="D499" s="5"/>
      <c r="E499" s="5"/>
    </row>
    <row r="500" ht="15.75" customHeight="1">
      <c r="A500" s="8"/>
      <c r="C500" s="5"/>
      <c r="D500" s="5"/>
      <c r="E500" s="5"/>
    </row>
    <row r="501" ht="15.75" customHeight="1">
      <c r="A501" s="8"/>
      <c r="C501" s="5"/>
      <c r="D501" s="5"/>
      <c r="E501" s="5"/>
    </row>
    <row r="502" ht="15.75" customHeight="1">
      <c r="A502" s="8"/>
      <c r="C502" s="5"/>
      <c r="D502" s="5"/>
      <c r="E502" s="5"/>
    </row>
    <row r="503" ht="15.75" customHeight="1">
      <c r="A503" s="8"/>
      <c r="C503" s="5"/>
      <c r="D503" s="5"/>
      <c r="E503" s="5"/>
    </row>
    <row r="504" ht="15.75" customHeight="1">
      <c r="A504" s="8"/>
      <c r="C504" s="5"/>
      <c r="D504" s="5"/>
      <c r="E504" s="5"/>
    </row>
    <row r="505" ht="15.75" customHeight="1">
      <c r="A505" s="8"/>
      <c r="C505" s="5"/>
      <c r="D505" s="5"/>
      <c r="E505" s="5"/>
    </row>
    <row r="506" ht="15.75" customHeight="1">
      <c r="A506" s="8"/>
      <c r="C506" s="5"/>
      <c r="D506" s="5"/>
      <c r="E506" s="5"/>
    </row>
    <row r="507" ht="15.75" customHeight="1">
      <c r="A507" s="8"/>
      <c r="C507" s="5"/>
      <c r="D507" s="5"/>
      <c r="E507" s="5"/>
    </row>
    <row r="508" ht="15.75" customHeight="1">
      <c r="A508" s="8"/>
      <c r="C508" s="5"/>
      <c r="D508" s="5"/>
      <c r="E508" s="5"/>
    </row>
    <row r="509" ht="15.75" customHeight="1">
      <c r="A509" s="8"/>
      <c r="C509" s="5"/>
      <c r="D509" s="5"/>
      <c r="E509" s="5"/>
    </row>
    <row r="510" ht="15.75" customHeight="1">
      <c r="A510" s="8"/>
      <c r="C510" s="5"/>
      <c r="D510" s="5"/>
      <c r="E510" s="5"/>
    </row>
    <row r="511" ht="15.75" customHeight="1">
      <c r="A511" s="8"/>
      <c r="C511" s="5"/>
      <c r="D511" s="5"/>
      <c r="E511" s="5"/>
    </row>
    <row r="512" ht="15.75" customHeight="1">
      <c r="A512" s="8"/>
      <c r="C512" s="5"/>
      <c r="D512" s="5"/>
      <c r="E512" s="5"/>
    </row>
    <row r="513" ht="15.75" customHeight="1">
      <c r="A513" s="8"/>
      <c r="C513" s="5"/>
      <c r="D513" s="5"/>
      <c r="E513" s="5"/>
    </row>
    <row r="514" ht="15.75" customHeight="1">
      <c r="A514" s="8"/>
      <c r="C514" s="5"/>
      <c r="D514" s="5"/>
      <c r="E514" s="5"/>
    </row>
    <row r="515" ht="15.75" customHeight="1">
      <c r="A515" s="8"/>
      <c r="C515" s="5"/>
      <c r="D515" s="5"/>
      <c r="E515" s="5"/>
    </row>
    <row r="516" ht="15.75" customHeight="1">
      <c r="A516" s="8"/>
      <c r="C516" s="5"/>
      <c r="D516" s="5"/>
      <c r="E516" s="5"/>
    </row>
    <row r="517" ht="15.75" customHeight="1">
      <c r="A517" s="8"/>
      <c r="C517" s="5"/>
      <c r="D517" s="5"/>
      <c r="E517" s="5"/>
    </row>
    <row r="518" ht="15.75" customHeight="1">
      <c r="A518" s="8"/>
      <c r="C518" s="5"/>
      <c r="D518" s="5"/>
      <c r="E518" s="5"/>
    </row>
    <row r="519" ht="15.75" customHeight="1">
      <c r="A519" s="8"/>
      <c r="C519" s="5"/>
      <c r="D519" s="5"/>
      <c r="E519" s="5"/>
    </row>
    <row r="520" ht="15.75" customHeight="1">
      <c r="A520" s="8"/>
      <c r="C520" s="5"/>
      <c r="D520" s="5"/>
      <c r="E520" s="5"/>
    </row>
    <row r="521" ht="15.75" customHeight="1">
      <c r="A521" s="8"/>
      <c r="C521" s="5"/>
      <c r="D521" s="5"/>
      <c r="E521" s="5"/>
    </row>
    <row r="522" ht="15.75" customHeight="1">
      <c r="A522" s="8"/>
      <c r="C522" s="5"/>
      <c r="D522" s="5"/>
      <c r="E522" s="5"/>
    </row>
    <row r="523" ht="15.75" customHeight="1">
      <c r="A523" s="8"/>
      <c r="C523" s="5"/>
      <c r="D523" s="5"/>
      <c r="E523" s="5"/>
    </row>
    <row r="524" ht="15.75" customHeight="1">
      <c r="A524" s="8"/>
      <c r="C524" s="5"/>
      <c r="D524" s="5"/>
      <c r="E524" s="5"/>
    </row>
    <row r="525" ht="15.75" customHeight="1">
      <c r="A525" s="8"/>
      <c r="C525" s="5"/>
      <c r="D525" s="5"/>
      <c r="E525" s="5"/>
    </row>
    <row r="526" ht="15.75" customHeight="1">
      <c r="A526" s="8"/>
      <c r="C526" s="5"/>
      <c r="D526" s="5"/>
      <c r="E526" s="5"/>
    </row>
    <row r="527" ht="15.75" customHeight="1">
      <c r="A527" s="8"/>
      <c r="C527" s="5"/>
      <c r="D527" s="5"/>
      <c r="E527" s="5"/>
    </row>
    <row r="528" ht="15.75" customHeight="1">
      <c r="A528" s="8"/>
      <c r="C528" s="5"/>
      <c r="D528" s="5"/>
      <c r="E528" s="5"/>
    </row>
    <row r="529" ht="15.75" customHeight="1">
      <c r="A529" s="8"/>
      <c r="C529" s="5"/>
      <c r="D529" s="5"/>
      <c r="E529" s="5"/>
    </row>
    <row r="530" ht="15.75" customHeight="1">
      <c r="A530" s="8"/>
      <c r="C530" s="5"/>
      <c r="D530" s="5"/>
      <c r="E530" s="5"/>
    </row>
    <row r="531" ht="15.75" customHeight="1">
      <c r="A531" s="8"/>
      <c r="C531" s="5"/>
      <c r="D531" s="5"/>
      <c r="E531" s="5"/>
    </row>
    <row r="532" ht="15.75" customHeight="1">
      <c r="A532" s="8"/>
      <c r="C532" s="5"/>
      <c r="D532" s="5"/>
      <c r="E532" s="5"/>
    </row>
    <row r="533" ht="15.75" customHeight="1">
      <c r="A533" s="8"/>
      <c r="C533" s="5"/>
      <c r="D533" s="5"/>
      <c r="E533" s="5"/>
    </row>
    <row r="534" ht="15.75" customHeight="1">
      <c r="A534" s="8"/>
      <c r="C534" s="5"/>
      <c r="D534" s="5"/>
      <c r="E534" s="5"/>
    </row>
    <row r="535" ht="15.75" customHeight="1">
      <c r="A535" s="8"/>
      <c r="C535" s="5"/>
      <c r="D535" s="5"/>
      <c r="E535" s="5"/>
    </row>
    <row r="536" ht="15.75" customHeight="1">
      <c r="A536" s="8"/>
      <c r="C536" s="5"/>
      <c r="D536" s="5"/>
      <c r="E536" s="5"/>
    </row>
    <row r="537" ht="15.75" customHeight="1">
      <c r="A537" s="8"/>
      <c r="C537" s="5"/>
      <c r="D537" s="5"/>
      <c r="E537" s="5"/>
    </row>
    <row r="538" ht="15.75" customHeight="1">
      <c r="A538" s="8"/>
      <c r="C538" s="5"/>
      <c r="D538" s="5"/>
      <c r="E538" s="5"/>
    </row>
    <row r="539" ht="15.75" customHeight="1">
      <c r="A539" s="8"/>
      <c r="C539" s="5"/>
      <c r="D539" s="5"/>
      <c r="E539" s="5"/>
    </row>
    <row r="540" ht="15.75" customHeight="1">
      <c r="A540" s="8"/>
      <c r="C540" s="5"/>
      <c r="D540" s="5"/>
      <c r="E540" s="5"/>
    </row>
    <row r="541" ht="15.75" customHeight="1">
      <c r="A541" s="8"/>
      <c r="C541" s="5"/>
      <c r="D541" s="5"/>
      <c r="E541" s="5"/>
    </row>
    <row r="542" ht="15.75" customHeight="1">
      <c r="A542" s="8"/>
      <c r="C542" s="5"/>
      <c r="D542" s="5"/>
      <c r="E542" s="5"/>
    </row>
    <row r="543" ht="15.75" customHeight="1">
      <c r="A543" s="8"/>
      <c r="C543" s="5"/>
      <c r="D543" s="5"/>
      <c r="E543" s="5"/>
    </row>
    <row r="544" ht="15.75" customHeight="1">
      <c r="A544" s="8"/>
      <c r="C544" s="5"/>
      <c r="D544" s="5"/>
      <c r="E544" s="5"/>
    </row>
    <row r="545" ht="15.75" customHeight="1">
      <c r="A545" s="8"/>
      <c r="C545" s="5"/>
      <c r="D545" s="5"/>
      <c r="E545" s="5"/>
    </row>
    <row r="546" ht="15.75" customHeight="1">
      <c r="A546" s="8"/>
      <c r="C546" s="5"/>
      <c r="D546" s="5"/>
      <c r="E546" s="5"/>
    </row>
    <row r="547" ht="15.75" customHeight="1">
      <c r="A547" s="8"/>
      <c r="C547" s="5"/>
      <c r="D547" s="5"/>
      <c r="E547" s="5"/>
    </row>
    <row r="548" ht="15.75" customHeight="1">
      <c r="A548" s="8"/>
      <c r="C548" s="5"/>
      <c r="D548" s="5"/>
      <c r="E548" s="5"/>
    </row>
    <row r="549" ht="15.75" customHeight="1">
      <c r="A549" s="8"/>
      <c r="C549" s="5"/>
      <c r="D549" s="5"/>
      <c r="E549" s="5"/>
    </row>
    <row r="550" ht="15.75" customHeight="1">
      <c r="A550" s="8"/>
      <c r="C550" s="5"/>
      <c r="D550" s="5"/>
      <c r="E550" s="5"/>
    </row>
    <row r="551" ht="15.75" customHeight="1">
      <c r="A551" s="8"/>
      <c r="C551" s="5"/>
      <c r="D551" s="5"/>
      <c r="E551" s="5"/>
    </row>
    <row r="552" ht="15.75" customHeight="1">
      <c r="A552" s="8"/>
      <c r="C552" s="5"/>
      <c r="D552" s="5"/>
      <c r="E552" s="5"/>
    </row>
    <row r="553" ht="15.75" customHeight="1">
      <c r="A553" s="8"/>
      <c r="C553" s="5"/>
      <c r="D553" s="5"/>
      <c r="E553" s="5"/>
    </row>
    <row r="554" ht="15.75" customHeight="1">
      <c r="A554" s="8"/>
      <c r="C554" s="5"/>
      <c r="D554" s="5"/>
      <c r="E554" s="5"/>
    </row>
    <row r="555" ht="15.75" customHeight="1">
      <c r="A555" s="8"/>
      <c r="C555" s="5"/>
      <c r="D555" s="5"/>
      <c r="E555" s="5"/>
    </row>
    <row r="556" ht="15.75" customHeight="1">
      <c r="A556" s="8"/>
      <c r="C556" s="5"/>
      <c r="D556" s="5"/>
      <c r="E556" s="5"/>
    </row>
    <row r="557" ht="15.75" customHeight="1">
      <c r="A557" s="8"/>
      <c r="C557" s="5"/>
      <c r="D557" s="5"/>
      <c r="E557" s="5"/>
    </row>
    <row r="558" ht="15.75" customHeight="1">
      <c r="A558" s="8"/>
      <c r="C558" s="5"/>
      <c r="D558" s="5"/>
      <c r="E558" s="5"/>
    </row>
    <row r="559" ht="15.75" customHeight="1">
      <c r="A559" s="8"/>
      <c r="C559" s="5"/>
      <c r="D559" s="5"/>
      <c r="E559" s="5"/>
    </row>
    <row r="560" ht="15.75" customHeight="1">
      <c r="A560" s="8"/>
      <c r="C560" s="5"/>
      <c r="D560" s="5"/>
      <c r="E560" s="5"/>
    </row>
    <row r="561" ht="15.75" customHeight="1">
      <c r="A561" s="8"/>
      <c r="C561" s="5"/>
      <c r="D561" s="5"/>
      <c r="E561" s="5"/>
    </row>
    <row r="562" ht="15.75" customHeight="1">
      <c r="A562" s="8"/>
      <c r="C562" s="5"/>
      <c r="D562" s="5"/>
      <c r="E562" s="5"/>
    </row>
    <row r="563" ht="15.75" customHeight="1">
      <c r="A563" s="8"/>
      <c r="C563" s="5"/>
      <c r="D563" s="5"/>
      <c r="E563" s="5"/>
    </row>
    <row r="564" ht="15.75" customHeight="1">
      <c r="A564" s="8"/>
      <c r="C564" s="5"/>
      <c r="D564" s="5"/>
      <c r="E564" s="5"/>
    </row>
    <row r="565" ht="15.75" customHeight="1">
      <c r="A565" s="8"/>
      <c r="C565" s="5"/>
      <c r="D565" s="5"/>
      <c r="E565" s="5"/>
    </row>
    <row r="566" ht="15.75" customHeight="1">
      <c r="A566" s="8"/>
      <c r="C566" s="5"/>
      <c r="D566" s="5"/>
      <c r="E566" s="5"/>
    </row>
    <row r="567" ht="15.75" customHeight="1">
      <c r="A567" s="8"/>
      <c r="C567" s="5"/>
      <c r="D567" s="5"/>
      <c r="E567" s="5"/>
    </row>
    <row r="568" ht="15.75" customHeight="1">
      <c r="A568" s="8"/>
      <c r="C568" s="5"/>
      <c r="D568" s="5"/>
      <c r="E568" s="5"/>
    </row>
    <row r="569" ht="15.75" customHeight="1">
      <c r="A569" s="8"/>
      <c r="C569" s="5"/>
      <c r="D569" s="5"/>
      <c r="E569" s="5"/>
    </row>
    <row r="570" ht="15.75" customHeight="1">
      <c r="A570" s="8"/>
      <c r="C570" s="5"/>
      <c r="D570" s="5"/>
      <c r="E570" s="5"/>
    </row>
    <row r="571" ht="15.75" customHeight="1">
      <c r="A571" s="8"/>
      <c r="C571" s="5"/>
      <c r="D571" s="5"/>
      <c r="E571" s="5"/>
    </row>
    <row r="572" ht="15.75" customHeight="1">
      <c r="A572" s="8"/>
      <c r="C572" s="5"/>
      <c r="D572" s="5"/>
      <c r="E572" s="5"/>
    </row>
    <row r="573" ht="15.75" customHeight="1">
      <c r="A573" s="8"/>
      <c r="C573" s="5"/>
      <c r="D573" s="5"/>
      <c r="E573" s="5"/>
    </row>
    <row r="574" ht="15.75" customHeight="1">
      <c r="A574" s="8"/>
      <c r="C574" s="5"/>
      <c r="D574" s="5"/>
      <c r="E574" s="5"/>
    </row>
    <row r="575" ht="15.75" customHeight="1">
      <c r="A575" s="8"/>
      <c r="C575" s="5"/>
      <c r="D575" s="5"/>
      <c r="E575" s="5"/>
    </row>
    <row r="576" ht="15.75" customHeight="1">
      <c r="A576" s="8"/>
      <c r="C576" s="5"/>
      <c r="D576" s="5"/>
      <c r="E576" s="5"/>
    </row>
    <row r="577" ht="15.75" customHeight="1">
      <c r="A577" s="8"/>
      <c r="C577" s="5"/>
      <c r="D577" s="5"/>
      <c r="E577" s="5"/>
    </row>
    <row r="578" ht="15.75" customHeight="1">
      <c r="A578" s="8"/>
      <c r="C578" s="5"/>
      <c r="D578" s="5"/>
      <c r="E578" s="5"/>
    </row>
    <row r="579" ht="15.75" customHeight="1">
      <c r="A579" s="8"/>
      <c r="C579" s="5"/>
      <c r="D579" s="5"/>
      <c r="E579" s="5"/>
    </row>
    <row r="580" ht="15.75" customHeight="1">
      <c r="A580" s="8"/>
      <c r="C580" s="5"/>
      <c r="D580" s="5"/>
      <c r="E580" s="5"/>
    </row>
    <row r="581" ht="15.75" customHeight="1">
      <c r="A581" s="8"/>
      <c r="C581" s="5"/>
      <c r="D581" s="5"/>
      <c r="E581" s="5"/>
    </row>
    <row r="582" ht="15.75" customHeight="1">
      <c r="A582" s="8"/>
      <c r="C582" s="5"/>
      <c r="D582" s="5"/>
      <c r="E582" s="5"/>
    </row>
    <row r="583" ht="15.75" customHeight="1">
      <c r="A583" s="8"/>
      <c r="C583" s="5"/>
      <c r="D583" s="5"/>
      <c r="E583" s="5"/>
    </row>
    <row r="584" ht="15.75" customHeight="1">
      <c r="A584" s="8"/>
      <c r="C584" s="5"/>
      <c r="D584" s="5"/>
      <c r="E584" s="5"/>
    </row>
    <row r="585" ht="15.75" customHeight="1">
      <c r="A585" s="8"/>
      <c r="C585" s="5"/>
      <c r="D585" s="5"/>
      <c r="E585" s="5"/>
    </row>
    <row r="586" ht="15.75" customHeight="1">
      <c r="A586" s="8"/>
      <c r="C586" s="5"/>
      <c r="D586" s="5"/>
      <c r="E586" s="5"/>
    </row>
    <row r="587" ht="15.75" customHeight="1">
      <c r="A587" s="8"/>
      <c r="C587" s="5"/>
      <c r="D587" s="5"/>
      <c r="E587" s="5"/>
    </row>
    <row r="588" ht="15.75" customHeight="1">
      <c r="A588" s="8"/>
      <c r="C588" s="5"/>
      <c r="D588" s="5"/>
      <c r="E588" s="5"/>
    </row>
    <row r="589" ht="15.75" customHeight="1">
      <c r="A589" s="8"/>
      <c r="C589" s="5"/>
      <c r="D589" s="5"/>
      <c r="E589" s="5"/>
    </row>
    <row r="590" ht="15.75" customHeight="1">
      <c r="A590" s="8"/>
      <c r="C590" s="5"/>
      <c r="D590" s="5"/>
      <c r="E590" s="5"/>
    </row>
    <row r="591" ht="15.75" customHeight="1">
      <c r="A591" s="8"/>
      <c r="C591" s="5"/>
      <c r="D591" s="5"/>
      <c r="E591" s="5"/>
    </row>
    <row r="592" ht="15.75" customHeight="1">
      <c r="A592" s="8"/>
      <c r="C592" s="5"/>
      <c r="D592" s="5"/>
      <c r="E592" s="5"/>
    </row>
    <row r="593" ht="15.75" customHeight="1">
      <c r="A593" s="8"/>
      <c r="C593" s="5"/>
      <c r="D593" s="5"/>
      <c r="E593" s="5"/>
    </row>
    <row r="594" ht="15.75" customHeight="1">
      <c r="A594" s="8"/>
      <c r="C594" s="5"/>
      <c r="D594" s="5"/>
      <c r="E594" s="5"/>
    </row>
    <row r="595" ht="15.75" customHeight="1">
      <c r="A595" s="8"/>
      <c r="C595" s="5"/>
      <c r="D595" s="5"/>
      <c r="E595" s="5"/>
    </row>
    <row r="596" ht="15.75" customHeight="1">
      <c r="A596" s="8"/>
      <c r="C596" s="5"/>
      <c r="D596" s="5"/>
      <c r="E596" s="5"/>
    </row>
    <row r="597" ht="15.75" customHeight="1">
      <c r="A597" s="8"/>
      <c r="C597" s="5"/>
      <c r="D597" s="5"/>
      <c r="E597" s="5"/>
    </row>
    <row r="598" ht="15.75" customHeight="1">
      <c r="A598" s="8"/>
      <c r="C598" s="5"/>
      <c r="D598" s="5"/>
      <c r="E598" s="5"/>
    </row>
    <row r="599" ht="15.75" customHeight="1">
      <c r="A599" s="8"/>
      <c r="C599" s="5"/>
      <c r="D599" s="5"/>
      <c r="E599" s="5"/>
    </row>
    <row r="600" ht="15.75" customHeight="1">
      <c r="A600" s="8"/>
      <c r="C600" s="5"/>
      <c r="D600" s="5"/>
      <c r="E600" s="5"/>
    </row>
    <row r="601" ht="15.75" customHeight="1">
      <c r="A601" s="8"/>
      <c r="C601" s="5"/>
      <c r="D601" s="5"/>
      <c r="E601" s="5"/>
    </row>
    <row r="602" ht="15.75" customHeight="1">
      <c r="A602" s="8"/>
      <c r="C602" s="5"/>
      <c r="D602" s="5"/>
      <c r="E602" s="5"/>
    </row>
    <row r="603" ht="15.75" customHeight="1">
      <c r="A603" s="8"/>
      <c r="C603" s="5"/>
      <c r="D603" s="5"/>
      <c r="E603" s="5"/>
    </row>
    <row r="604" ht="15.75" customHeight="1">
      <c r="A604" s="8"/>
      <c r="C604" s="5"/>
      <c r="D604" s="5"/>
      <c r="E604" s="5"/>
    </row>
    <row r="605" ht="15.75" customHeight="1">
      <c r="A605" s="8"/>
      <c r="C605" s="5"/>
      <c r="D605" s="5"/>
      <c r="E605" s="5"/>
    </row>
    <row r="606" ht="15.75" customHeight="1">
      <c r="A606" s="8"/>
      <c r="C606" s="5"/>
      <c r="D606" s="5"/>
      <c r="E606" s="5"/>
    </row>
    <row r="607" ht="15.75" customHeight="1">
      <c r="A607" s="8"/>
      <c r="C607" s="5"/>
      <c r="D607" s="5"/>
      <c r="E607" s="5"/>
    </row>
    <row r="608" ht="15.75" customHeight="1">
      <c r="A608" s="8"/>
      <c r="C608" s="5"/>
      <c r="D608" s="5"/>
      <c r="E608" s="5"/>
    </row>
    <row r="609" ht="15.75" customHeight="1">
      <c r="A609" s="8"/>
      <c r="C609" s="5"/>
      <c r="D609" s="5"/>
      <c r="E609" s="5"/>
    </row>
    <row r="610" ht="15.75" customHeight="1">
      <c r="A610" s="8"/>
      <c r="C610" s="5"/>
      <c r="D610" s="5"/>
      <c r="E610" s="5"/>
    </row>
    <row r="611" ht="15.75" customHeight="1">
      <c r="A611" s="8"/>
      <c r="C611" s="5"/>
      <c r="D611" s="5"/>
      <c r="E611" s="5"/>
    </row>
    <row r="612" ht="15.75" customHeight="1">
      <c r="A612" s="8"/>
      <c r="C612" s="5"/>
      <c r="D612" s="5"/>
      <c r="E612" s="5"/>
    </row>
    <row r="613" ht="15.75" customHeight="1">
      <c r="A613" s="8"/>
      <c r="C613" s="5"/>
      <c r="D613" s="5"/>
      <c r="E613" s="5"/>
    </row>
    <row r="614" ht="15.75" customHeight="1">
      <c r="A614" s="8"/>
      <c r="C614" s="5"/>
      <c r="D614" s="5"/>
      <c r="E614" s="5"/>
    </row>
    <row r="615" ht="15.75" customHeight="1">
      <c r="A615" s="8"/>
      <c r="C615" s="5"/>
      <c r="D615" s="5"/>
      <c r="E615" s="5"/>
    </row>
    <row r="616" ht="15.75" customHeight="1">
      <c r="A616" s="8"/>
      <c r="C616" s="5"/>
      <c r="D616" s="5"/>
      <c r="E616" s="5"/>
    </row>
    <row r="617" ht="15.75" customHeight="1">
      <c r="A617" s="8"/>
      <c r="C617" s="5"/>
      <c r="D617" s="5"/>
      <c r="E617" s="5"/>
    </row>
    <row r="618" ht="15.75" customHeight="1">
      <c r="A618" s="8"/>
      <c r="C618" s="5"/>
      <c r="D618" s="5"/>
      <c r="E618" s="5"/>
    </row>
    <row r="619" ht="15.75" customHeight="1">
      <c r="A619" s="8"/>
      <c r="C619" s="5"/>
      <c r="D619" s="5"/>
      <c r="E619" s="5"/>
    </row>
    <row r="620" ht="15.75" customHeight="1">
      <c r="A620" s="8"/>
      <c r="C620" s="5"/>
      <c r="D620" s="5"/>
      <c r="E620" s="5"/>
    </row>
    <row r="621" ht="15.75" customHeight="1">
      <c r="A621" s="8"/>
      <c r="C621" s="5"/>
      <c r="D621" s="5"/>
      <c r="E621" s="5"/>
    </row>
    <row r="622" ht="15.75" customHeight="1">
      <c r="A622" s="8"/>
      <c r="C622" s="5"/>
      <c r="D622" s="5"/>
      <c r="E622" s="5"/>
    </row>
    <row r="623" ht="15.75" customHeight="1">
      <c r="A623" s="8"/>
      <c r="C623" s="5"/>
      <c r="D623" s="5"/>
      <c r="E623" s="5"/>
    </row>
    <row r="624" ht="15.75" customHeight="1">
      <c r="A624" s="8"/>
      <c r="C624" s="5"/>
      <c r="D624" s="5"/>
      <c r="E624" s="5"/>
    </row>
    <row r="625" ht="15.75" customHeight="1">
      <c r="A625" s="8"/>
      <c r="C625" s="5"/>
      <c r="D625" s="5"/>
      <c r="E625" s="5"/>
    </row>
    <row r="626" ht="15.75" customHeight="1">
      <c r="A626" s="8"/>
      <c r="C626" s="5"/>
      <c r="D626" s="5"/>
      <c r="E626" s="5"/>
    </row>
    <row r="627" ht="15.75" customHeight="1">
      <c r="A627" s="8"/>
      <c r="C627" s="5"/>
      <c r="D627" s="5"/>
      <c r="E627" s="5"/>
    </row>
    <row r="628" ht="15.75" customHeight="1">
      <c r="A628" s="8"/>
      <c r="C628" s="5"/>
      <c r="D628" s="5"/>
      <c r="E628" s="5"/>
    </row>
    <row r="629" ht="15.75" customHeight="1">
      <c r="A629" s="8"/>
      <c r="C629" s="5"/>
      <c r="D629" s="5"/>
      <c r="E629" s="5"/>
    </row>
    <row r="630" ht="15.75" customHeight="1">
      <c r="A630" s="8"/>
      <c r="C630" s="5"/>
      <c r="D630" s="5"/>
      <c r="E630" s="5"/>
    </row>
    <row r="631" ht="15.75" customHeight="1">
      <c r="A631" s="8"/>
      <c r="C631" s="5"/>
      <c r="D631" s="5"/>
      <c r="E631" s="5"/>
    </row>
    <row r="632" ht="15.75" customHeight="1">
      <c r="A632" s="8"/>
      <c r="C632" s="5"/>
      <c r="D632" s="5"/>
      <c r="E632" s="5"/>
    </row>
    <row r="633" ht="15.75" customHeight="1">
      <c r="A633" s="8"/>
      <c r="C633" s="5"/>
      <c r="D633" s="5"/>
      <c r="E633" s="5"/>
    </row>
    <row r="634" ht="15.75" customHeight="1">
      <c r="A634" s="8"/>
      <c r="C634" s="5"/>
      <c r="D634" s="5"/>
      <c r="E634" s="5"/>
    </row>
    <row r="635" ht="15.75" customHeight="1">
      <c r="A635" s="8"/>
      <c r="C635" s="5"/>
      <c r="D635" s="5"/>
      <c r="E635" s="5"/>
    </row>
    <row r="636" ht="15.75" customHeight="1">
      <c r="A636" s="8"/>
      <c r="C636" s="5"/>
      <c r="D636" s="5"/>
      <c r="E636" s="5"/>
    </row>
    <row r="637" ht="15.75" customHeight="1">
      <c r="A637" s="8"/>
      <c r="C637" s="5"/>
      <c r="D637" s="5"/>
      <c r="E637" s="5"/>
    </row>
    <row r="638" ht="15.75" customHeight="1">
      <c r="A638" s="8"/>
      <c r="C638" s="5"/>
      <c r="D638" s="5"/>
      <c r="E638" s="5"/>
    </row>
    <row r="639" ht="15.75" customHeight="1">
      <c r="A639" s="8"/>
      <c r="C639" s="5"/>
      <c r="D639" s="5"/>
      <c r="E639" s="5"/>
    </row>
    <row r="640" ht="15.75" customHeight="1">
      <c r="A640" s="8"/>
      <c r="C640" s="5"/>
      <c r="D640" s="5"/>
      <c r="E640" s="5"/>
    </row>
    <row r="641" ht="15.75" customHeight="1">
      <c r="A641" s="8"/>
      <c r="C641" s="5"/>
      <c r="D641" s="5"/>
      <c r="E641" s="5"/>
    </row>
    <row r="642" ht="15.75" customHeight="1">
      <c r="A642" s="8"/>
      <c r="C642" s="5"/>
      <c r="D642" s="5"/>
      <c r="E642" s="5"/>
    </row>
    <row r="643" ht="15.75" customHeight="1">
      <c r="A643" s="8"/>
      <c r="C643" s="5"/>
      <c r="D643" s="5"/>
      <c r="E643" s="5"/>
    </row>
    <row r="644" ht="15.75" customHeight="1">
      <c r="A644" s="8"/>
      <c r="C644" s="5"/>
      <c r="D644" s="5"/>
      <c r="E644" s="5"/>
    </row>
    <row r="645" ht="15.75" customHeight="1">
      <c r="A645" s="8"/>
      <c r="C645" s="5"/>
      <c r="D645" s="5"/>
      <c r="E645" s="5"/>
    </row>
    <row r="646" ht="15.75" customHeight="1">
      <c r="A646" s="8"/>
      <c r="C646" s="5"/>
      <c r="D646" s="5"/>
      <c r="E646" s="5"/>
    </row>
    <row r="647" ht="15.75" customHeight="1">
      <c r="A647" s="8"/>
      <c r="C647" s="5"/>
      <c r="D647" s="5"/>
      <c r="E647" s="5"/>
    </row>
    <row r="648" ht="15.75" customHeight="1">
      <c r="A648" s="8"/>
      <c r="C648" s="5"/>
      <c r="D648" s="5"/>
      <c r="E648" s="5"/>
    </row>
    <row r="649" ht="15.75" customHeight="1">
      <c r="A649" s="8"/>
      <c r="C649" s="5"/>
      <c r="D649" s="5"/>
      <c r="E649" s="5"/>
    </row>
    <row r="650" ht="15.75" customHeight="1">
      <c r="A650" s="8"/>
      <c r="C650" s="5"/>
      <c r="D650" s="5"/>
      <c r="E650" s="5"/>
    </row>
    <row r="651" ht="15.75" customHeight="1">
      <c r="A651" s="8"/>
      <c r="C651" s="5"/>
      <c r="D651" s="5"/>
      <c r="E651" s="5"/>
    </row>
    <row r="652" ht="15.75" customHeight="1">
      <c r="A652" s="8"/>
      <c r="C652" s="5"/>
      <c r="D652" s="5"/>
      <c r="E652" s="5"/>
    </row>
    <row r="653" ht="15.75" customHeight="1">
      <c r="A653" s="8"/>
      <c r="C653" s="5"/>
      <c r="D653" s="5"/>
      <c r="E653" s="5"/>
    </row>
    <row r="654" ht="15.75" customHeight="1">
      <c r="A654" s="8"/>
      <c r="C654" s="5"/>
      <c r="D654" s="5"/>
      <c r="E654" s="5"/>
    </row>
    <row r="655" ht="15.75" customHeight="1">
      <c r="A655" s="8"/>
      <c r="C655" s="5"/>
      <c r="D655" s="5"/>
      <c r="E655" s="5"/>
    </row>
    <row r="656" ht="15.75" customHeight="1">
      <c r="A656" s="8"/>
      <c r="C656" s="5"/>
      <c r="D656" s="5"/>
      <c r="E656" s="5"/>
    </row>
    <row r="657" ht="15.75" customHeight="1">
      <c r="A657" s="8"/>
      <c r="C657" s="5"/>
      <c r="D657" s="5"/>
      <c r="E657" s="5"/>
    </row>
    <row r="658" ht="15.75" customHeight="1">
      <c r="A658" s="8"/>
      <c r="C658" s="5"/>
      <c r="D658" s="5"/>
      <c r="E658" s="5"/>
    </row>
    <row r="659" ht="15.75" customHeight="1">
      <c r="A659" s="8"/>
      <c r="C659" s="5"/>
      <c r="D659" s="5"/>
      <c r="E659" s="5"/>
    </row>
    <row r="660" ht="15.75" customHeight="1">
      <c r="A660" s="8"/>
      <c r="C660" s="5"/>
      <c r="D660" s="5"/>
      <c r="E660" s="5"/>
    </row>
    <row r="661" ht="15.75" customHeight="1">
      <c r="A661" s="8"/>
      <c r="C661" s="5"/>
      <c r="D661" s="5"/>
      <c r="E661" s="5"/>
    </row>
    <row r="662" ht="15.75" customHeight="1">
      <c r="A662" s="8"/>
      <c r="C662" s="5"/>
      <c r="D662" s="5"/>
      <c r="E662" s="5"/>
    </row>
    <row r="663" ht="15.75" customHeight="1">
      <c r="A663" s="8"/>
      <c r="C663" s="5"/>
      <c r="D663" s="5"/>
      <c r="E663" s="5"/>
    </row>
    <row r="664" ht="15.75" customHeight="1">
      <c r="A664" s="8"/>
      <c r="C664" s="5"/>
      <c r="D664" s="5"/>
      <c r="E664" s="5"/>
    </row>
    <row r="665" ht="15.75" customHeight="1">
      <c r="A665" s="8"/>
      <c r="C665" s="5"/>
      <c r="D665" s="5"/>
      <c r="E665" s="5"/>
    </row>
    <row r="666" ht="15.75" customHeight="1">
      <c r="A666" s="8"/>
      <c r="C666" s="5"/>
      <c r="D666" s="5"/>
      <c r="E666" s="5"/>
    </row>
    <row r="667" ht="15.75" customHeight="1">
      <c r="A667" s="8"/>
      <c r="C667" s="5"/>
      <c r="D667" s="5"/>
      <c r="E667" s="5"/>
    </row>
    <row r="668" ht="15.75" customHeight="1">
      <c r="A668" s="8"/>
      <c r="C668" s="5"/>
      <c r="D668" s="5"/>
      <c r="E668" s="5"/>
    </row>
    <row r="669" ht="15.75" customHeight="1">
      <c r="A669" s="8"/>
      <c r="C669" s="5"/>
      <c r="D669" s="5"/>
      <c r="E669" s="5"/>
    </row>
    <row r="670" ht="15.75" customHeight="1">
      <c r="A670" s="8"/>
      <c r="C670" s="5"/>
      <c r="D670" s="5"/>
      <c r="E670" s="5"/>
    </row>
    <row r="671" ht="15.75" customHeight="1">
      <c r="A671" s="8"/>
      <c r="C671" s="5"/>
      <c r="D671" s="5"/>
      <c r="E671" s="5"/>
    </row>
    <row r="672" ht="15.75" customHeight="1">
      <c r="A672" s="8"/>
      <c r="C672" s="5"/>
      <c r="D672" s="5"/>
      <c r="E672" s="5"/>
    </row>
    <row r="673" ht="15.75" customHeight="1">
      <c r="A673" s="8"/>
      <c r="C673" s="5"/>
      <c r="D673" s="5"/>
      <c r="E673" s="5"/>
    </row>
    <row r="674" ht="15.75" customHeight="1">
      <c r="A674" s="8"/>
      <c r="C674" s="5"/>
      <c r="D674" s="5"/>
      <c r="E674" s="5"/>
    </row>
    <row r="675" ht="15.75" customHeight="1">
      <c r="A675" s="8"/>
      <c r="C675" s="5"/>
      <c r="D675" s="5"/>
      <c r="E675" s="5"/>
    </row>
    <row r="676" ht="15.75" customHeight="1">
      <c r="A676" s="8"/>
      <c r="C676" s="5"/>
      <c r="D676" s="5"/>
      <c r="E676" s="5"/>
    </row>
    <row r="677" ht="15.75" customHeight="1">
      <c r="A677" s="8"/>
      <c r="C677" s="5"/>
      <c r="D677" s="5"/>
      <c r="E677" s="5"/>
    </row>
    <row r="678" ht="15.75" customHeight="1">
      <c r="A678" s="8"/>
      <c r="C678" s="5"/>
      <c r="D678" s="5"/>
      <c r="E678" s="5"/>
    </row>
    <row r="679" ht="15.75" customHeight="1">
      <c r="A679" s="8"/>
      <c r="C679" s="5"/>
      <c r="D679" s="5"/>
      <c r="E679" s="5"/>
    </row>
    <row r="680" ht="15.75" customHeight="1">
      <c r="A680" s="8"/>
      <c r="C680" s="5"/>
      <c r="D680" s="5"/>
      <c r="E680" s="5"/>
    </row>
    <row r="681" ht="15.75" customHeight="1">
      <c r="A681" s="8"/>
      <c r="C681" s="5"/>
      <c r="D681" s="5"/>
      <c r="E681" s="5"/>
    </row>
    <row r="682" ht="15.75" customHeight="1">
      <c r="A682" s="8"/>
      <c r="C682" s="5"/>
      <c r="D682" s="5"/>
      <c r="E682" s="5"/>
    </row>
    <row r="683" ht="15.75" customHeight="1">
      <c r="A683" s="8"/>
      <c r="C683" s="5"/>
      <c r="D683" s="5"/>
      <c r="E683" s="5"/>
    </row>
    <row r="684" ht="15.75" customHeight="1">
      <c r="A684" s="8"/>
      <c r="C684" s="5"/>
      <c r="D684" s="5"/>
      <c r="E684" s="5"/>
    </row>
    <row r="685" ht="15.75" customHeight="1">
      <c r="A685" s="8"/>
      <c r="C685" s="5"/>
      <c r="D685" s="5"/>
      <c r="E685" s="5"/>
    </row>
    <row r="686" ht="15.75" customHeight="1">
      <c r="A686" s="8"/>
      <c r="C686" s="5"/>
      <c r="D686" s="5"/>
      <c r="E686" s="5"/>
    </row>
    <row r="687" ht="15.75" customHeight="1">
      <c r="A687" s="8"/>
      <c r="C687" s="5"/>
      <c r="D687" s="5"/>
      <c r="E687" s="5"/>
    </row>
    <row r="688" ht="15.75" customHeight="1">
      <c r="A688" s="8"/>
      <c r="C688" s="5"/>
      <c r="D688" s="5"/>
      <c r="E688" s="5"/>
    </row>
    <row r="689" ht="15.75" customHeight="1">
      <c r="A689" s="8"/>
      <c r="C689" s="5"/>
      <c r="D689" s="5"/>
      <c r="E689" s="5"/>
    </row>
    <row r="690" ht="15.75" customHeight="1">
      <c r="A690" s="8"/>
      <c r="C690" s="5"/>
      <c r="D690" s="5"/>
      <c r="E690" s="5"/>
    </row>
    <row r="691" ht="15.75" customHeight="1">
      <c r="A691" s="8"/>
      <c r="C691" s="5"/>
      <c r="D691" s="5"/>
      <c r="E691" s="5"/>
    </row>
    <row r="692" ht="15.75" customHeight="1">
      <c r="A692" s="8"/>
      <c r="C692" s="5"/>
      <c r="D692" s="5"/>
      <c r="E692" s="5"/>
    </row>
    <row r="693" ht="15.75" customHeight="1">
      <c r="A693" s="8"/>
      <c r="C693" s="5"/>
      <c r="D693" s="5"/>
      <c r="E693" s="5"/>
    </row>
    <row r="694" ht="15.75" customHeight="1">
      <c r="A694" s="8"/>
      <c r="C694" s="5"/>
      <c r="D694" s="5"/>
      <c r="E694" s="5"/>
    </row>
    <row r="695" ht="15.75" customHeight="1">
      <c r="A695" s="8"/>
      <c r="C695" s="5"/>
      <c r="D695" s="5"/>
      <c r="E695" s="5"/>
    </row>
    <row r="696" ht="15.75" customHeight="1">
      <c r="A696" s="8"/>
      <c r="C696" s="5"/>
      <c r="D696" s="5"/>
      <c r="E696" s="5"/>
    </row>
    <row r="697" ht="15.75" customHeight="1">
      <c r="A697" s="8"/>
      <c r="C697" s="5"/>
      <c r="D697" s="5"/>
      <c r="E697" s="5"/>
    </row>
    <row r="698" ht="15.75" customHeight="1">
      <c r="A698" s="8"/>
      <c r="C698" s="5"/>
      <c r="D698" s="5"/>
      <c r="E698" s="5"/>
    </row>
    <row r="699" ht="15.75" customHeight="1">
      <c r="A699" s="8"/>
      <c r="C699" s="5"/>
      <c r="D699" s="5"/>
      <c r="E699" s="5"/>
    </row>
    <row r="700" ht="15.75" customHeight="1">
      <c r="A700" s="8"/>
      <c r="C700" s="5"/>
      <c r="D700" s="5"/>
      <c r="E700" s="5"/>
    </row>
    <row r="701" ht="15.75" customHeight="1">
      <c r="A701" s="8"/>
      <c r="C701" s="5"/>
      <c r="D701" s="5"/>
      <c r="E701" s="5"/>
    </row>
    <row r="702" ht="15.75" customHeight="1">
      <c r="A702" s="8"/>
      <c r="C702" s="5"/>
      <c r="D702" s="5"/>
      <c r="E702" s="5"/>
    </row>
    <row r="703" ht="15.75" customHeight="1">
      <c r="A703" s="8"/>
      <c r="C703" s="5"/>
      <c r="D703" s="5"/>
      <c r="E703" s="5"/>
    </row>
    <row r="704" ht="15.75" customHeight="1">
      <c r="A704" s="8"/>
      <c r="C704" s="5"/>
      <c r="D704" s="5"/>
      <c r="E704" s="5"/>
    </row>
    <row r="705" ht="15.75" customHeight="1">
      <c r="A705" s="8"/>
      <c r="C705" s="5"/>
      <c r="D705" s="5"/>
      <c r="E705" s="5"/>
    </row>
    <row r="706" ht="15.75" customHeight="1">
      <c r="A706" s="8"/>
      <c r="C706" s="5"/>
      <c r="D706" s="5"/>
      <c r="E706" s="5"/>
    </row>
    <row r="707" ht="15.75" customHeight="1">
      <c r="A707" s="8"/>
      <c r="C707" s="5"/>
      <c r="D707" s="5"/>
      <c r="E707" s="5"/>
    </row>
    <row r="708" ht="15.75" customHeight="1">
      <c r="A708" s="8"/>
      <c r="C708" s="5"/>
      <c r="D708" s="5"/>
      <c r="E708" s="5"/>
    </row>
    <row r="709" ht="15.75" customHeight="1">
      <c r="A709" s="8"/>
      <c r="C709" s="5"/>
      <c r="D709" s="5"/>
      <c r="E709" s="5"/>
    </row>
    <row r="710" ht="15.75" customHeight="1">
      <c r="A710" s="8"/>
      <c r="C710" s="5"/>
      <c r="D710" s="5"/>
      <c r="E710" s="5"/>
    </row>
    <row r="711" ht="15.75" customHeight="1">
      <c r="A711" s="8"/>
      <c r="C711" s="5"/>
      <c r="D711" s="5"/>
      <c r="E711" s="5"/>
    </row>
    <row r="712" ht="15.75" customHeight="1">
      <c r="A712" s="8"/>
      <c r="C712" s="5"/>
      <c r="D712" s="5"/>
      <c r="E712" s="5"/>
    </row>
    <row r="713" ht="15.75" customHeight="1">
      <c r="A713" s="8"/>
      <c r="C713" s="5"/>
      <c r="D713" s="5"/>
      <c r="E713" s="5"/>
    </row>
    <row r="714" ht="15.75" customHeight="1">
      <c r="A714" s="8"/>
      <c r="C714" s="5"/>
      <c r="D714" s="5"/>
      <c r="E714" s="5"/>
    </row>
    <row r="715" ht="15.75" customHeight="1">
      <c r="A715" s="8"/>
      <c r="C715" s="5"/>
      <c r="D715" s="5"/>
      <c r="E715" s="5"/>
    </row>
    <row r="716" ht="15.75" customHeight="1">
      <c r="A716" s="8"/>
      <c r="C716" s="5"/>
      <c r="D716" s="5"/>
      <c r="E716" s="5"/>
    </row>
    <row r="717" ht="15.75" customHeight="1">
      <c r="A717" s="8"/>
      <c r="C717" s="5"/>
      <c r="D717" s="5"/>
      <c r="E717" s="5"/>
    </row>
    <row r="718" ht="15.75" customHeight="1">
      <c r="A718" s="8"/>
      <c r="C718" s="5"/>
      <c r="D718" s="5"/>
      <c r="E718" s="5"/>
    </row>
    <row r="719" ht="15.75" customHeight="1">
      <c r="A719" s="8"/>
      <c r="C719" s="5"/>
      <c r="D719" s="5"/>
      <c r="E719" s="5"/>
    </row>
    <row r="720" ht="15.75" customHeight="1">
      <c r="A720" s="8"/>
      <c r="C720" s="5"/>
      <c r="D720" s="5"/>
      <c r="E720" s="5"/>
    </row>
    <row r="721" ht="15.75" customHeight="1">
      <c r="A721" s="8"/>
      <c r="C721" s="5"/>
      <c r="D721" s="5"/>
      <c r="E721" s="5"/>
    </row>
    <row r="722" ht="15.75" customHeight="1">
      <c r="A722" s="8"/>
      <c r="C722" s="5"/>
      <c r="D722" s="5"/>
      <c r="E722" s="5"/>
    </row>
    <row r="723" ht="15.75" customHeight="1">
      <c r="A723" s="8"/>
      <c r="C723" s="5"/>
      <c r="D723" s="5"/>
      <c r="E723" s="5"/>
    </row>
    <row r="724" ht="15.75" customHeight="1">
      <c r="A724" s="8"/>
      <c r="C724" s="5"/>
      <c r="D724" s="5"/>
      <c r="E724" s="5"/>
    </row>
    <row r="725" ht="15.75" customHeight="1">
      <c r="A725" s="8"/>
      <c r="C725" s="5"/>
      <c r="D725" s="5"/>
      <c r="E725" s="5"/>
    </row>
    <row r="726" ht="15.75" customHeight="1">
      <c r="A726" s="8"/>
      <c r="C726" s="5"/>
      <c r="D726" s="5"/>
      <c r="E726" s="5"/>
    </row>
    <row r="727" ht="15.75" customHeight="1">
      <c r="A727" s="8"/>
      <c r="C727" s="5"/>
      <c r="D727" s="5"/>
      <c r="E727" s="5"/>
    </row>
    <row r="728" ht="15.75" customHeight="1">
      <c r="A728" s="8"/>
      <c r="C728" s="5"/>
      <c r="D728" s="5"/>
      <c r="E728" s="5"/>
    </row>
    <row r="729" ht="15.75" customHeight="1">
      <c r="A729" s="8"/>
      <c r="C729" s="5"/>
      <c r="D729" s="5"/>
      <c r="E729" s="5"/>
    </row>
    <row r="730" ht="15.75" customHeight="1">
      <c r="A730" s="8"/>
      <c r="C730" s="5"/>
      <c r="D730" s="5"/>
      <c r="E730" s="5"/>
    </row>
    <row r="731" ht="15.75" customHeight="1">
      <c r="A731" s="8"/>
      <c r="C731" s="5"/>
      <c r="D731" s="5"/>
      <c r="E731" s="5"/>
    </row>
    <row r="732" ht="15.75" customHeight="1">
      <c r="A732" s="8"/>
      <c r="C732" s="5"/>
      <c r="D732" s="5"/>
      <c r="E732" s="5"/>
    </row>
    <row r="733" ht="15.75" customHeight="1">
      <c r="A733" s="8"/>
      <c r="C733" s="5"/>
      <c r="D733" s="5"/>
      <c r="E733" s="5"/>
    </row>
    <row r="734" ht="15.75" customHeight="1">
      <c r="A734" s="8"/>
      <c r="C734" s="5"/>
      <c r="D734" s="5"/>
      <c r="E734" s="5"/>
    </row>
    <row r="735" ht="15.75" customHeight="1">
      <c r="A735" s="8"/>
      <c r="C735" s="5"/>
      <c r="D735" s="5"/>
      <c r="E735" s="5"/>
    </row>
    <row r="736" ht="15.75" customHeight="1">
      <c r="A736" s="8"/>
      <c r="C736" s="5"/>
      <c r="D736" s="5"/>
      <c r="E736" s="5"/>
    </row>
    <row r="737" ht="15.75" customHeight="1">
      <c r="A737" s="8"/>
      <c r="C737" s="5"/>
      <c r="D737" s="5"/>
      <c r="E737" s="5"/>
    </row>
    <row r="738" ht="15.75" customHeight="1">
      <c r="A738" s="8"/>
      <c r="C738" s="5"/>
      <c r="D738" s="5"/>
      <c r="E738" s="5"/>
    </row>
    <row r="739" ht="15.75" customHeight="1">
      <c r="A739" s="8"/>
      <c r="C739" s="5"/>
      <c r="D739" s="5"/>
      <c r="E739" s="5"/>
    </row>
    <row r="740" ht="15.75" customHeight="1">
      <c r="A740" s="8"/>
      <c r="C740" s="5"/>
      <c r="D740" s="5"/>
      <c r="E740" s="5"/>
    </row>
    <row r="741" ht="15.75" customHeight="1">
      <c r="A741" s="8"/>
      <c r="C741" s="5"/>
      <c r="D741" s="5"/>
      <c r="E741" s="5"/>
    </row>
    <row r="742" ht="15.75" customHeight="1">
      <c r="A742" s="8"/>
      <c r="C742" s="5"/>
      <c r="D742" s="5"/>
      <c r="E742" s="5"/>
    </row>
    <row r="743" ht="15.75" customHeight="1">
      <c r="A743" s="8"/>
      <c r="C743" s="5"/>
      <c r="D743" s="5"/>
      <c r="E743" s="5"/>
    </row>
    <row r="744" ht="15.75" customHeight="1">
      <c r="A744" s="8"/>
      <c r="C744" s="5"/>
      <c r="D744" s="5"/>
      <c r="E744" s="5"/>
    </row>
    <row r="745" ht="15.75" customHeight="1">
      <c r="A745" s="8"/>
      <c r="C745" s="5"/>
      <c r="D745" s="5"/>
      <c r="E745" s="5"/>
    </row>
    <row r="746" ht="15.75" customHeight="1">
      <c r="A746" s="8"/>
      <c r="C746" s="5"/>
      <c r="D746" s="5"/>
      <c r="E746" s="5"/>
    </row>
    <row r="747" ht="15.75" customHeight="1">
      <c r="A747" s="8"/>
      <c r="C747" s="5"/>
      <c r="D747" s="5"/>
      <c r="E747" s="5"/>
    </row>
    <row r="748" ht="15.75" customHeight="1">
      <c r="A748" s="8"/>
      <c r="C748" s="5"/>
      <c r="D748" s="5"/>
      <c r="E748" s="5"/>
    </row>
    <row r="749" ht="15.75" customHeight="1">
      <c r="A749" s="8"/>
      <c r="C749" s="5"/>
      <c r="D749" s="5"/>
      <c r="E749" s="5"/>
    </row>
    <row r="750" ht="15.75" customHeight="1">
      <c r="A750" s="8"/>
      <c r="C750" s="5"/>
      <c r="D750" s="5"/>
      <c r="E750" s="5"/>
    </row>
    <row r="751" ht="15.75" customHeight="1">
      <c r="A751" s="8"/>
      <c r="C751" s="5"/>
      <c r="D751" s="5"/>
      <c r="E751" s="5"/>
    </row>
    <row r="752" ht="15.75" customHeight="1">
      <c r="A752" s="8"/>
      <c r="C752" s="5"/>
      <c r="D752" s="5"/>
      <c r="E752" s="5"/>
    </row>
    <row r="753" ht="15.75" customHeight="1">
      <c r="A753" s="8"/>
      <c r="C753" s="5"/>
      <c r="D753" s="5"/>
      <c r="E753" s="5"/>
    </row>
    <row r="754" ht="15.75" customHeight="1">
      <c r="A754" s="8"/>
      <c r="C754" s="5"/>
      <c r="D754" s="5"/>
      <c r="E754" s="5"/>
    </row>
    <row r="755" ht="15.75" customHeight="1">
      <c r="A755" s="8"/>
      <c r="C755" s="5"/>
      <c r="D755" s="5"/>
      <c r="E755" s="5"/>
    </row>
    <row r="756" ht="15.75" customHeight="1">
      <c r="A756" s="8"/>
      <c r="C756" s="5"/>
      <c r="D756" s="5"/>
      <c r="E756" s="5"/>
    </row>
    <row r="757" ht="15.75" customHeight="1">
      <c r="A757" s="8"/>
      <c r="C757" s="5"/>
      <c r="D757" s="5"/>
      <c r="E757" s="5"/>
    </row>
    <row r="758" ht="15.75" customHeight="1">
      <c r="A758" s="8"/>
      <c r="C758" s="5"/>
      <c r="D758" s="5"/>
      <c r="E758" s="5"/>
    </row>
    <row r="759" ht="15.75" customHeight="1">
      <c r="A759" s="8"/>
      <c r="C759" s="5"/>
      <c r="D759" s="5"/>
      <c r="E759" s="5"/>
    </row>
    <row r="760" ht="15.75" customHeight="1">
      <c r="A760" s="8"/>
      <c r="C760" s="5"/>
      <c r="D760" s="5"/>
      <c r="E760" s="5"/>
    </row>
    <row r="761" ht="15.75" customHeight="1">
      <c r="A761" s="8"/>
      <c r="C761" s="5"/>
      <c r="D761" s="5"/>
      <c r="E761" s="5"/>
    </row>
    <row r="762" ht="15.75" customHeight="1">
      <c r="A762" s="8"/>
      <c r="C762" s="5"/>
      <c r="D762" s="5"/>
      <c r="E762" s="5"/>
    </row>
    <row r="763" ht="15.75" customHeight="1">
      <c r="A763" s="8"/>
      <c r="C763" s="5"/>
      <c r="D763" s="5"/>
      <c r="E763" s="5"/>
    </row>
    <row r="764" ht="15.75" customHeight="1">
      <c r="A764" s="8"/>
      <c r="C764" s="5"/>
      <c r="D764" s="5"/>
      <c r="E764" s="5"/>
    </row>
    <row r="765" ht="15.75" customHeight="1">
      <c r="A765" s="8"/>
      <c r="C765" s="5"/>
      <c r="D765" s="5"/>
      <c r="E765" s="5"/>
    </row>
    <row r="766" ht="15.75" customHeight="1">
      <c r="A766" s="8"/>
      <c r="C766" s="5"/>
      <c r="D766" s="5"/>
      <c r="E766" s="5"/>
    </row>
    <row r="767" ht="15.75" customHeight="1">
      <c r="A767" s="8"/>
      <c r="C767" s="5"/>
      <c r="D767" s="5"/>
      <c r="E767" s="5"/>
    </row>
    <row r="768" ht="15.75" customHeight="1">
      <c r="A768" s="8"/>
      <c r="C768" s="5"/>
      <c r="D768" s="5"/>
      <c r="E768" s="5"/>
    </row>
    <row r="769" ht="15.75" customHeight="1">
      <c r="A769" s="8"/>
      <c r="C769" s="5"/>
      <c r="D769" s="5"/>
      <c r="E769" s="5"/>
    </row>
    <row r="770" ht="15.75" customHeight="1">
      <c r="A770" s="8"/>
      <c r="C770" s="5"/>
      <c r="D770" s="5"/>
      <c r="E770" s="5"/>
    </row>
    <row r="771" ht="15.75" customHeight="1">
      <c r="A771" s="8"/>
      <c r="C771" s="5"/>
      <c r="D771" s="5"/>
      <c r="E771" s="5"/>
    </row>
    <row r="772" ht="15.75" customHeight="1">
      <c r="A772" s="8"/>
      <c r="C772" s="5"/>
      <c r="D772" s="5"/>
      <c r="E772" s="5"/>
    </row>
    <row r="773" ht="15.75" customHeight="1">
      <c r="A773" s="8"/>
      <c r="C773" s="5"/>
      <c r="D773" s="5"/>
      <c r="E773" s="5"/>
    </row>
    <row r="774" ht="15.75" customHeight="1">
      <c r="A774" s="8"/>
      <c r="C774" s="5"/>
      <c r="D774" s="5"/>
      <c r="E774" s="5"/>
    </row>
    <row r="775" ht="15.75" customHeight="1">
      <c r="A775" s="8"/>
      <c r="C775" s="5"/>
      <c r="D775" s="5"/>
      <c r="E775" s="5"/>
    </row>
    <row r="776" ht="15.75" customHeight="1">
      <c r="A776" s="8"/>
      <c r="C776" s="5"/>
      <c r="D776" s="5"/>
      <c r="E776" s="5"/>
    </row>
    <row r="777" ht="15.75" customHeight="1">
      <c r="A777" s="8"/>
      <c r="C777" s="5"/>
      <c r="D777" s="5"/>
      <c r="E777" s="5"/>
    </row>
    <row r="778" ht="15.75" customHeight="1">
      <c r="A778" s="8"/>
      <c r="C778" s="5"/>
      <c r="D778" s="5"/>
      <c r="E778" s="5"/>
    </row>
    <row r="779" ht="15.75" customHeight="1">
      <c r="A779" s="8"/>
      <c r="C779" s="5"/>
      <c r="D779" s="5"/>
      <c r="E779" s="5"/>
    </row>
    <row r="780" ht="15.75" customHeight="1">
      <c r="A780" s="8"/>
      <c r="C780" s="5"/>
      <c r="D780" s="5"/>
      <c r="E780" s="5"/>
    </row>
    <row r="781" ht="15.75" customHeight="1">
      <c r="A781" s="8"/>
      <c r="C781" s="5"/>
      <c r="D781" s="5"/>
      <c r="E781" s="5"/>
    </row>
    <row r="782" ht="15.75" customHeight="1">
      <c r="A782" s="8"/>
      <c r="C782" s="5"/>
      <c r="D782" s="5"/>
      <c r="E782" s="5"/>
    </row>
    <row r="783" ht="15.75" customHeight="1">
      <c r="A783" s="8"/>
      <c r="C783" s="5"/>
      <c r="D783" s="5"/>
      <c r="E783" s="5"/>
    </row>
    <row r="784" ht="15.75" customHeight="1">
      <c r="A784" s="8"/>
      <c r="C784" s="5"/>
      <c r="D784" s="5"/>
      <c r="E784" s="5"/>
    </row>
    <row r="785" ht="15.75" customHeight="1">
      <c r="A785" s="8"/>
      <c r="C785" s="5"/>
      <c r="D785" s="5"/>
      <c r="E785" s="5"/>
    </row>
    <row r="786" ht="15.75" customHeight="1">
      <c r="A786" s="8"/>
      <c r="C786" s="5"/>
      <c r="D786" s="5"/>
      <c r="E786" s="5"/>
    </row>
    <row r="787" ht="15.75" customHeight="1">
      <c r="A787" s="8"/>
      <c r="C787" s="5"/>
      <c r="D787" s="5"/>
      <c r="E787" s="5"/>
    </row>
    <row r="788" ht="15.75" customHeight="1">
      <c r="A788" s="8"/>
      <c r="C788" s="5"/>
      <c r="D788" s="5"/>
      <c r="E788" s="5"/>
    </row>
    <row r="789" ht="15.75" customHeight="1">
      <c r="A789" s="8"/>
      <c r="C789" s="5"/>
      <c r="D789" s="5"/>
      <c r="E789" s="5"/>
    </row>
    <row r="790" ht="15.75" customHeight="1">
      <c r="A790" s="8"/>
      <c r="C790" s="5"/>
      <c r="D790" s="5"/>
      <c r="E790" s="5"/>
    </row>
    <row r="791" ht="15.75" customHeight="1">
      <c r="A791" s="8"/>
      <c r="C791" s="5"/>
      <c r="D791" s="5"/>
      <c r="E791" s="5"/>
    </row>
    <row r="792" ht="15.75" customHeight="1">
      <c r="A792" s="8"/>
      <c r="C792" s="5"/>
      <c r="D792" s="5"/>
      <c r="E792" s="5"/>
    </row>
    <row r="793" ht="15.75" customHeight="1">
      <c r="A793" s="8"/>
      <c r="C793" s="5"/>
      <c r="D793" s="5"/>
      <c r="E793" s="5"/>
    </row>
    <row r="794" ht="15.75" customHeight="1">
      <c r="A794" s="8"/>
      <c r="C794" s="5"/>
      <c r="D794" s="5"/>
      <c r="E794" s="5"/>
    </row>
    <row r="795" ht="15.75" customHeight="1">
      <c r="A795" s="8"/>
      <c r="C795" s="5"/>
      <c r="D795" s="5"/>
      <c r="E795" s="5"/>
    </row>
    <row r="796" ht="15.75" customHeight="1">
      <c r="A796" s="8"/>
      <c r="C796" s="5"/>
      <c r="D796" s="5"/>
      <c r="E796" s="5"/>
    </row>
    <row r="797" ht="15.75" customHeight="1">
      <c r="A797" s="8"/>
      <c r="C797" s="5"/>
      <c r="D797" s="5"/>
      <c r="E797" s="5"/>
    </row>
    <row r="798" ht="15.75" customHeight="1">
      <c r="A798" s="8"/>
      <c r="C798" s="5"/>
      <c r="D798" s="5"/>
      <c r="E798" s="5"/>
    </row>
    <row r="799" ht="15.75" customHeight="1">
      <c r="A799" s="8"/>
      <c r="C799" s="5"/>
      <c r="D799" s="5"/>
      <c r="E799" s="5"/>
    </row>
    <row r="800" ht="15.75" customHeight="1">
      <c r="A800" s="8"/>
      <c r="C800" s="5"/>
      <c r="D800" s="5"/>
      <c r="E800" s="5"/>
    </row>
    <row r="801" ht="15.75" customHeight="1">
      <c r="A801" s="8"/>
      <c r="C801" s="5"/>
      <c r="D801" s="5"/>
      <c r="E801" s="5"/>
    </row>
    <row r="802" ht="15.75" customHeight="1">
      <c r="A802" s="8"/>
      <c r="C802" s="5"/>
      <c r="D802" s="5"/>
      <c r="E802" s="5"/>
    </row>
    <row r="803" ht="15.75" customHeight="1">
      <c r="A803" s="8"/>
      <c r="C803" s="5"/>
      <c r="D803" s="5"/>
      <c r="E803" s="5"/>
    </row>
    <row r="804" ht="15.75" customHeight="1">
      <c r="A804" s="8"/>
      <c r="C804" s="5"/>
      <c r="D804" s="5"/>
      <c r="E804" s="5"/>
    </row>
    <row r="805" ht="15.75" customHeight="1">
      <c r="A805" s="8"/>
      <c r="C805" s="5"/>
      <c r="D805" s="5"/>
      <c r="E805" s="5"/>
    </row>
    <row r="806" ht="15.75" customHeight="1">
      <c r="A806" s="8"/>
      <c r="C806" s="5"/>
      <c r="D806" s="5"/>
      <c r="E806" s="5"/>
    </row>
    <row r="807" ht="15.75" customHeight="1">
      <c r="A807" s="8"/>
      <c r="C807" s="5"/>
      <c r="D807" s="5"/>
      <c r="E807" s="5"/>
    </row>
    <row r="808" ht="15.75" customHeight="1">
      <c r="A808" s="8"/>
      <c r="C808" s="5"/>
      <c r="D808" s="5"/>
      <c r="E808" s="5"/>
    </row>
    <row r="809" ht="15.75" customHeight="1">
      <c r="A809" s="8"/>
      <c r="C809" s="5"/>
      <c r="D809" s="5"/>
      <c r="E809" s="5"/>
    </row>
    <row r="810" ht="15.75" customHeight="1">
      <c r="A810" s="8"/>
      <c r="C810" s="5"/>
      <c r="D810" s="5"/>
      <c r="E810" s="5"/>
    </row>
    <row r="811" ht="15.75" customHeight="1">
      <c r="A811" s="8"/>
      <c r="C811" s="5"/>
      <c r="D811" s="5"/>
      <c r="E811" s="5"/>
    </row>
    <row r="812" ht="15.75" customHeight="1">
      <c r="A812" s="8"/>
      <c r="C812" s="5"/>
      <c r="D812" s="5"/>
      <c r="E812" s="5"/>
    </row>
    <row r="813" ht="15.75" customHeight="1">
      <c r="A813" s="8"/>
      <c r="C813" s="5"/>
      <c r="D813" s="5"/>
      <c r="E813" s="5"/>
    </row>
    <row r="814" ht="15.75" customHeight="1">
      <c r="A814" s="8"/>
      <c r="C814" s="5"/>
      <c r="D814" s="5"/>
      <c r="E814" s="5"/>
    </row>
    <row r="815" ht="15.75" customHeight="1">
      <c r="A815" s="8"/>
      <c r="C815" s="5"/>
      <c r="D815" s="5"/>
      <c r="E815" s="5"/>
    </row>
    <row r="816" ht="15.75" customHeight="1">
      <c r="A816" s="8"/>
      <c r="C816" s="5"/>
      <c r="D816" s="5"/>
      <c r="E816" s="5"/>
    </row>
    <row r="817" ht="15.75" customHeight="1">
      <c r="A817" s="8"/>
      <c r="C817" s="5"/>
      <c r="D817" s="5"/>
      <c r="E817" s="5"/>
    </row>
    <row r="818" ht="15.75" customHeight="1">
      <c r="A818" s="8"/>
      <c r="C818" s="5"/>
      <c r="D818" s="5"/>
      <c r="E818" s="5"/>
    </row>
    <row r="819" ht="15.75" customHeight="1">
      <c r="A819" s="8"/>
      <c r="C819" s="5"/>
      <c r="D819" s="5"/>
      <c r="E819" s="5"/>
    </row>
    <row r="820" ht="15.75" customHeight="1">
      <c r="A820" s="8"/>
      <c r="C820" s="5"/>
      <c r="D820" s="5"/>
      <c r="E820" s="5"/>
    </row>
    <row r="821" ht="15.75" customHeight="1">
      <c r="A821" s="8"/>
      <c r="C821" s="5"/>
      <c r="D821" s="5"/>
      <c r="E821" s="5"/>
    </row>
    <row r="822" ht="15.75" customHeight="1">
      <c r="A822" s="8"/>
      <c r="C822" s="5"/>
      <c r="D822" s="5"/>
      <c r="E822" s="5"/>
    </row>
    <row r="823" ht="15.75" customHeight="1">
      <c r="A823" s="8"/>
      <c r="C823" s="5"/>
      <c r="D823" s="5"/>
      <c r="E823" s="5"/>
    </row>
    <row r="824" ht="15.75" customHeight="1">
      <c r="A824" s="8"/>
      <c r="C824" s="5"/>
      <c r="D824" s="5"/>
      <c r="E824" s="5"/>
    </row>
    <row r="825" ht="15.75" customHeight="1">
      <c r="A825" s="8"/>
      <c r="C825" s="5"/>
      <c r="D825" s="5"/>
      <c r="E825" s="5"/>
    </row>
    <row r="826" ht="15.75" customHeight="1">
      <c r="A826" s="8"/>
      <c r="C826" s="5"/>
      <c r="D826" s="5"/>
      <c r="E826" s="5"/>
    </row>
    <row r="827" ht="15.75" customHeight="1">
      <c r="A827" s="8"/>
      <c r="C827" s="5"/>
      <c r="D827" s="5"/>
      <c r="E827" s="5"/>
    </row>
    <row r="828" ht="15.75" customHeight="1">
      <c r="A828" s="8"/>
      <c r="C828" s="5"/>
      <c r="D828" s="5"/>
      <c r="E828" s="5"/>
    </row>
    <row r="829" ht="15.75" customHeight="1">
      <c r="A829" s="8"/>
      <c r="C829" s="5"/>
      <c r="D829" s="5"/>
      <c r="E829" s="5"/>
    </row>
    <row r="830" ht="15.75" customHeight="1">
      <c r="A830" s="8"/>
      <c r="C830" s="5"/>
      <c r="D830" s="5"/>
      <c r="E830" s="5"/>
    </row>
    <row r="831" ht="15.75" customHeight="1">
      <c r="A831" s="8"/>
      <c r="C831" s="5"/>
      <c r="D831" s="5"/>
      <c r="E831" s="5"/>
    </row>
    <row r="832" ht="15.75" customHeight="1">
      <c r="A832" s="8"/>
      <c r="C832" s="5"/>
      <c r="D832" s="5"/>
      <c r="E832" s="5"/>
    </row>
    <row r="833" ht="15.75" customHeight="1">
      <c r="A833" s="8"/>
      <c r="C833" s="5"/>
      <c r="D833" s="5"/>
      <c r="E833" s="5"/>
    </row>
    <row r="834" ht="15.75" customHeight="1">
      <c r="A834" s="8"/>
      <c r="C834" s="5"/>
      <c r="D834" s="5"/>
      <c r="E834" s="5"/>
    </row>
    <row r="835" ht="15.75" customHeight="1">
      <c r="A835" s="8"/>
      <c r="C835" s="5"/>
      <c r="D835" s="5"/>
      <c r="E835" s="5"/>
    </row>
    <row r="836" ht="15.75" customHeight="1">
      <c r="A836" s="8"/>
      <c r="C836" s="5"/>
      <c r="D836" s="5"/>
      <c r="E836" s="5"/>
    </row>
    <row r="837" ht="15.75" customHeight="1">
      <c r="A837" s="8"/>
      <c r="C837" s="5"/>
      <c r="D837" s="5"/>
      <c r="E837" s="5"/>
    </row>
    <row r="838" ht="15.75" customHeight="1">
      <c r="A838" s="8"/>
      <c r="C838" s="5"/>
      <c r="D838" s="5"/>
      <c r="E838" s="5"/>
    </row>
    <row r="839" ht="15.75" customHeight="1">
      <c r="A839" s="8"/>
      <c r="C839" s="5"/>
      <c r="D839" s="5"/>
      <c r="E839" s="5"/>
    </row>
    <row r="840" ht="15.75" customHeight="1">
      <c r="A840" s="8"/>
      <c r="C840" s="5"/>
      <c r="D840" s="5"/>
      <c r="E840" s="5"/>
    </row>
    <row r="841" ht="15.75" customHeight="1">
      <c r="A841" s="8"/>
      <c r="C841" s="5"/>
      <c r="D841" s="5"/>
      <c r="E841" s="5"/>
    </row>
    <row r="842" ht="15.75" customHeight="1">
      <c r="A842" s="8"/>
      <c r="C842" s="5"/>
      <c r="D842" s="5"/>
      <c r="E842" s="5"/>
    </row>
    <row r="843" ht="15.75" customHeight="1">
      <c r="A843" s="8"/>
      <c r="C843" s="5"/>
      <c r="D843" s="5"/>
      <c r="E843" s="5"/>
    </row>
    <row r="844" ht="15.75" customHeight="1">
      <c r="A844" s="8"/>
      <c r="C844" s="5"/>
      <c r="D844" s="5"/>
      <c r="E844" s="5"/>
    </row>
    <row r="845" ht="15.75" customHeight="1">
      <c r="A845" s="8"/>
      <c r="C845" s="5"/>
      <c r="D845" s="5"/>
      <c r="E845" s="5"/>
    </row>
    <row r="846" ht="15.75" customHeight="1">
      <c r="A846" s="8"/>
      <c r="C846" s="5"/>
      <c r="D846" s="5"/>
      <c r="E846" s="5"/>
    </row>
    <row r="847" ht="15.75" customHeight="1">
      <c r="A847" s="8"/>
      <c r="C847" s="5"/>
      <c r="D847" s="5"/>
      <c r="E847" s="5"/>
    </row>
    <row r="848" ht="15.75" customHeight="1">
      <c r="A848" s="8"/>
      <c r="C848" s="5"/>
      <c r="D848" s="5"/>
      <c r="E848" s="5"/>
    </row>
    <row r="849" ht="15.75" customHeight="1">
      <c r="A849" s="8"/>
      <c r="C849" s="5"/>
      <c r="D849" s="5"/>
      <c r="E849" s="5"/>
    </row>
    <row r="850" ht="15.75" customHeight="1">
      <c r="A850" s="8"/>
      <c r="C850" s="5"/>
      <c r="D850" s="5"/>
      <c r="E850" s="5"/>
    </row>
    <row r="851" ht="15.75" customHeight="1">
      <c r="A851" s="8"/>
      <c r="C851" s="5"/>
      <c r="D851" s="5"/>
      <c r="E851" s="5"/>
    </row>
    <row r="852" ht="15.75" customHeight="1">
      <c r="A852" s="8"/>
      <c r="C852" s="5"/>
      <c r="D852" s="5"/>
      <c r="E852" s="5"/>
    </row>
    <row r="853" ht="15.75" customHeight="1">
      <c r="A853" s="8"/>
      <c r="C853" s="5"/>
      <c r="D853" s="5"/>
      <c r="E853" s="5"/>
    </row>
    <row r="854" ht="15.75" customHeight="1">
      <c r="A854" s="8"/>
      <c r="C854" s="5"/>
      <c r="D854" s="5"/>
      <c r="E854" s="5"/>
    </row>
    <row r="855" ht="15.75" customHeight="1">
      <c r="A855" s="8"/>
      <c r="C855" s="5"/>
      <c r="D855" s="5"/>
      <c r="E855" s="5"/>
    </row>
    <row r="856" ht="15.75" customHeight="1">
      <c r="A856" s="8"/>
      <c r="C856" s="5"/>
      <c r="D856" s="5"/>
      <c r="E856" s="5"/>
    </row>
    <row r="857" ht="15.75" customHeight="1">
      <c r="A857" s="8"/>
      <c r="C857" s="5"/>
      <c r="D857" s="5"/>
      <c r="E857" s="5"/>
    </row>
    <row r="858" ht="15.75" customHeight="1">
      <c r="A858" s="8"/>
      <c r="C858" s="5"/>
      <c r="D858" s="5"/>
      <c r="E858" s="5"/>
    </row>
    <row r="859" ht="15.75" customHeight="1">
      <c r="A859" s="8"/>
      <c r="C859" s="5"/>
      <c r="D859" s="5"/>
      <c r="E859" s="5"/>
    </row>
    <row r="860" ht="15.75" customHeight="1">
      <c r="A860" s="8"/>
      <c r="C860" s="5"/>
      <c r="D860" s="5"/>
      <c r="E860" s="5"/>
    </row>
    <row r="861" ht="15.75" customHeight="1">
      <c r="A861" s="8"/>
      <c r="C861" s="5"/>
      <c r="D861" s="5"/>
      <c r="E861" s="5"/>
    </row>
    <row r="862" ht="15.75" customHeight="1">
      <c r="A862" s="8"/>
      <c r="C862" s="5"/>
      <c r="D862" s="5"/>
      <c r="E862" s="5"/>
    </row>
    <row r="863" ht="15.75" customHeight="1">
      <c r="A863" s="8"/>
      <c r="C863" s="5"/>
      <c r="D863" s="5"/>
      <c r="E863" s="5"/>
    </row>
    <row r="864" ht="15.75" customHeight="1">
      <c r="A864" s="8"/>
      <c r="C864" s="5"/>
      <c r="D864" s="5"/>
      <c r="E864" s="5"/>
    </row>
    <row r="865" ht="15.75" customHeight="1">
      <c r="A865" s="8"/>
      <c r="C865" s="5"/>
      <c r="D865" s="5"/>
      <c r="E865" s="5"/>
    </row>
    <row r="866" ht="15.75" customHeight="1">
      <c r="A866" s="8"/>
      <c r="C866" s="5"/>
      <c r="D866" s="5"/>
      <c r="E866" s="5"/>
    </row>
    <row r="867" ht="15.75" customHeight="1">
      <c r="A867" s="8"/>
      <c r="C867" s="5"/>
      <c r="D867" s="5"/>
      <c r="E867" s="5"/>
    </row>
    <row r="868" ht="15.75" customHeight="1">
      <c r="A868" s="8"/>
      <c r="C868" s="5"/>
      <c r="D868" s="5"/>
      <c r="E868" s="5"/>
    </row>
    <row r="869" ht="15.75" customHeight="1">
      <c r="A869" s="8"/>
      <c r="C869" s="5"/>
      <c r="D869" s="5"/>
      <c r="E869" s="5"/>
    </row>
    <row r="870" ht="15.75" customHeight="1">
      <c r="A870" s="8"/>
      <c r="C870" s="5"/>
      <c r="D870" s="5"/>
      <c r="E870" s="5"/>
    </row>
    <row r="871" ht="15.75" customHeight="1">
      <c r="A871" s="8"/>
      <c r="C871" s="5"/>
      <c r="D871" s="5"/>
      <c r="E871" s="5"/>
    </row>
    <row r="872" ht="15.75" customHeight="1">
      <c r="A872" s="8"/>
      <c r="C872" s="5"/>
      <c r="D872" s="5"/>
      <c r="E872" s="5"/>
    </row>
    <row r="873" ht="15.75" customHeight="1">
      <c r="A873" s="8"/>
      <c r="C873" s="5"/>
      <c r="D873" s="5"/>
      <c r="E873" s="5"/>
    </row>
    <row r="874" ht="15.75" customHeight="1">
      <c r="A874" s="8"/>
      <c r="C874" s="5"/>
      <c r="D874" s="5"/>
      <c r="E874" s="5"/>
    </row>
    <row r="875" ht="15.75" customHeight="1">
      <c r="A875" s="8"/>
      <c r="C875" s="5"/>
      <c r="D875" s="5"/>
      <c r="E875" s="5"/>
    </row>
    <row r="876" ht="15.75" customHeight="1">
      <c r="A876" s="8"/>
      <c r="C876" s="5"/>
      <c r="D876" s="5"/>
      <c r="E876" s="5"/>
    </row>
    <row r="877" ht="15.75" customHeight="1">
      <c r="A877" s="8"/>
      <c r="C877" s="5"/>
      <c r="D877" s="5"/>
      <c r="E877" s="5"/>
    </row>
    <row r="878" ht="15.75" customHeight="1">
      <c r="A878" s="8"/>
      <c r="C878" s="5"/>
      <c r="D878" s="5"/>
      <c r="E878" s="5"/>
    </row>
    <row r="879" ht="15.75" customHeight="1">
      <c r="A879" s="8"/>
      <c r="C879" s="5"/>
      <c r="D879" s="5"/>
      <c r="E879" s="5"/>
    </row>
    <row r="880" ht="15.75" customHeight="1">
      <c r="A880" s="8"/>
      <c r="C880" s="5"/>
      <c r="D880" s="5"/>
      <c r="E880" s="5"/>
    </row>
    <row r="881" ht="15.75" customHeight="1">
      <c r="A881" s="8"/>
      <c r="C881" s="5"/>
      <c r="D881" s="5"/>
      <c r="E881" s="5"/>
    </row>
    <row r="882" ht="15.75" customHeight="1">
      <c r="A882" s="8"/>
      <c r="C882" s="5"/>
      <c r="D882" s="5"/>
      <c r="E882" s="5"/>
    </row>
    <row r="883" ht="15.75" customHeight="1">
      <c r="A883" s="8"/>
      <c r="C883" s="5"/>
      <c r="D883" s="5"/>
      <c r="E883" s="5"/>
    </row>
    <row r="884" ht="15.75" customHeight="1">
      <c r="A884" s="8"/>
      <c r="C884" s="5"/>
      <c r="D884" s="5"/>
      <c r="E884" s="5"/>
    </row>
    <row r="885" ht="15.75" customHeight="1">
      <c r="A885" s="8"/>
      <c r="C885" s="5"/>
      <c r="D885" s="5"/>
      <c r="E885" s="5"/>
    </row>
    <row r="886" ht="15.75" customHeight="1">
      <c r="A886" s="8"/>
      <c r="C886" s="5"/>
      <c r="D886" s="5"/>
      <c r="E886" s="5"/>
    </row>
    <row r="887" ht="15.75" customHeight="1">
      <c r="A887" s="8"/>
      <c r="C887" s="5"/>
      <c r="D887" s="5"/>
      <c r="E887" s="5"/>
    </row>
    <row r="888" ht="15.75" customHeight="1">
      <c r="A888" s="8"/>
      <c r="C888" s="5"/>
      <c r="D888" s="5"/>
      <c r="E888" s="5"/>
    </row>
    <row r="889" ht="15.75" customHeight="1">
      <c r="A889" s="8"/>
      <c r="C889" s="5"/>
      <c r="D889" s="5"/>
      <c r="E889" s="5"/>
    </row>
    <row r="890" ht="15.75" customHeight="1">
      <c r="A890" s="8"/>
      <c r="C890" s="5"/>
      <c r="D890" s="5"/>
      <c r="E890" s="5"/>
    </row>
    <row r="891" ht="15.75" customHeight="1">
      <c r="A891" s="8"/>
      <c r="C891" s="5"/>
      <c r="D891" s="5"/>
      <c r="E891" s="5"/>
    </row>
    <row r="892" ht="15.75" customHeight="1">
      <c r="A892" s="8"/>
      <c r="C892" s="5"/>
      <c r="D892" s="5"/>
      <c r="E892" s="5"/>
    </row>
    <row r="893" ht="15.75" customHeight="1">
      <c r="A893" s="8"/>
      <c r="C893" s="5"/>
      <c r="D893" s="5"/>
      <c r="E893" s="5"/>
    </row>
    <row r="894" ht="15.75" customHeight="1">
      <c r="A894" s="8"/>
      <c r="C894" s="5"/>
      <c r="D894" s="5"/>
      <c r="E894" s="5"/>
    </row>
    <row r="895" ht="15.75" customHeight="1">
      <c r="A895" s="8"/>
      <c r="C895" s="5"/>
      <c r="D895" s="5"/>
      <c r="E895" s="5"/>
    </row>
    <row r="896" ht="15.75" customHeight="1">
      <c r="A896" s="8"/>
      <c r="C896" s="5"/>
      <c r="D896" s="5"/>
      <c r="E896" s="5"/>
    </row>
    <row r="897" ht="15.75" customHeight="1">
      <c r="A897" s="8"/>
      <c r="C897" s="5"/>
      <c r="D897" s="5"/>
      <c r="E897" s="5"/>
    </row>
    <row r="898" ht="15.75" customHeight="1">
      <c r="A898" s="8"/>
      <c r="C898" s="5"/>
      <c r="D898" s="5"/>
      <c r="E898" s="5"/>
    </row>
    <row r="899" ht="15.75" customHeight="1">
      <c r="A899" s="8"/>
      <c r="C899" s="5"/>
      <c r="D899" s="5"/>
      <c r="E899" s="5"/>
    </row>
    <row r="900" ht="15.75" customHeight="1">
      <c r="A900" s="8"/>
      <c r="C900" s="5"/>
      <c r="D900" s="5"/>
      <c r="E900" s="5"/>
    </row>
    <row r="901" ht="15.75" customHeight="1">
      <c r="A901" s="8"/>
      <c r="C901" s="5"/>
      <c r="D901" s="5"/>
      <c r="E901" s="5"/>
    </row>
    <row r="902" ht="15.75" customHeight="1">
      <c r="A902" s="8"/>
      <c r="C902" s="5"/>
      <c r="D902" s="5"/>
      <c r="E902" s="5"/>
    </row>
    <row r="903" ht="15.75" customHeight="1">
      <c r="A903" s="8"/>
      <c r="C903" s="5"/>
      <c r="D903" s="5"/>
      <c r="E903" s="5"/>
    </row>
    <row r="904" ht="15.75" customHeight="1">
      <c r="A904" s="8"/>
      <c r="C904" s="5"/>
      <c r="D904" s="5"/>
      <c r="E904" s="5"/>
    </row>
    <row r="905" ht="15.75" customHeight="1">
      <c r="A905" s="8"/>
      <c r="C905" s="5"/>
      <c r="D905" s="5"/>
      <c r="E905" s="5"/>
    </row>
    <row r="906" ht="15.75" customHeight="1">
      <c r="A906" s="8"/>
      <c r="C906" s="5"/>
      <c r="D906" s="5"/>
      <c r="E906" s="5"/>
    </row>
    <row r="907" ht="15.75" customHeight="1">
      <c r="A907" s="8"/>
      <c r="C907" s="5"/>
      <c r="D907" s="5"/>
      <c r="E907" s="5"/>
    </row>
    <row r="908" ht="15.75" customHeight="1">
      <c r="A908" s="8"/>
      <c r="C908" s="5"/>
      <c r="D908" s="5"/>
      <c r="E908" s="5"/>
    </row>
    <row r="909" ht="15.75" customHeight="1">
      <c r="A909" s="8"/>
      <c r="C909" s="5"/>
      <c r="D909" s="5"/>
      <c r="E909" s="5"/>
    </row>
    <row r="910" ht="15.75" customHeight="1">
      <c r="A910" s="8"/>
      <c r="C910" s="5"/>
      <c r="D910" s="5"/>
      <c r="E910" s="5"/>
    </row>
    <row r="911" ht="15.75" customHeight="1">
      <c r="A911" s="8"/>
      <c r="C911" s="5"/>
      <c r="D911" s="5"/>
      <c r="E911" s="5"/>
    </row>
    <row r="912" ht="15.75" customHeight="1">
      <c r="A912" s="8"/>
      <c r="C912" s="5"/>
      <c r="D912" s="5"/>
      <c r="E912" s="5"/>
    </row>
    <row r="913" ht="15.75" customHeight="1">
      <c r="A913" s="8"/>
      <c r="C913" s="5"/>
      <c r="D913" s="5"/>
      <c r="E913" s="5"/>
    </row>
    <row r="914" ht="15.75" customHeight="1">
      <c r="A914" s="8"/>
      <c r="C914" s="5"/>
      <c r="D914" s="5"/>
      <c r="E914" s="5"/>
    </row>
    <row r="915" ht="15.75" customHeight="1">
      <c r="A915" s="8"/>
      <c r="C915" s="5"/>
      <c r="D915" s="5"/>
      <c r="E915" s="5"/>
    </row>
    <row r="916" ht="15.75" customHeight="1">
      <c r="A916" s="8"/>
      <c r="C916" s="5"/>
      <c r="D916" s="5"/>
      <c r="E916" s="5"/>
    </row>
    <row r="917" ht="15.75" customHeight="1">
      <c r="A917" s="8"/>
      <c r="C917" s="5"/>
      <c r="D917" s="5"/>
      <c r="E917" s="5"/>
    </row>
    <row r="918" ht="15.75" customHeight="1">
      <c r="A918" s="8"/>
      <c r="C918" s="5"/>
      <c r="D918" s="5"/>
      <c r="E918" s="5"/>
    </row>
    <row r="919" ht="15.75" customHeight="1">
      <c r="A919" s="8"/>
      <c r="C919" s="5"/>
      <c r="D919" s="5"/>
      <c r="E919" s="5"/>
    </row>
    <row r="920" ht="15.75" customHeight="1">
      <c r="A920" s="8"/>
      <c r="C920" s="5"/>
      <c r="D920" s="5"/>
      <c r="E920" s="5"/>
    </row>
    <row r="921" ht="15.75" customHeight="1">
      <c r="A921" s="8"/>
      <c r="C921" s="5"/>
      <c r="D921" s="5"/>
      <c r="E921" s="5"/>
    </row>
    <row r="922" ht="15.75" customHeight="1">
      <c r="A922" s="8"/>
      <c r="C922" s="5"/>
      <c r="D922" s="5"/>
      <c r="E922" s="5"/>
    </row>
    <row r="923" ht="15.75" customHeight="1">
      <c r="A923" s="8"/>
      <c r="C923" s="5"/>
      <c r="D923" s="5"/>
      <c r="E923" s="5"/>
    </row>
    <row r="924" ht="15.75" customHeight="1">
      <c r="A924" s="8"/>
      <c r="C924" s="5"/>
      <c r="D924" s="5"/>
      <c r="E924" s="5"/>
    </row>
    <row r="925" ht="15.75" customHeight="1">
      <c r="A925" s="8"/>
      <c r="C925" s="5"/>
      <c r="D925" s="5"/>
      <c r="E925" s="5"/>
    </row>
    <row r="926" ht="15.75" customHeight="1">
      <c r="A926" s="8"/>
      <c r="C926" s="5"/>
      <c r="D926" s="5"/>
      <c r="E926" s="5"/>
    </row>
    <row r="927" ht="15.75" customHeight="1">
      <c r="A927" s="8"/>
      <c r="C927" s="5"/>
      <c r="D927" s="5"/>
      <c r="E927" s="5"/>
    </row>
    <row r="928" ht="15.75" customHeight="1">
      <c r="A928" s="8"/>
      <c r="C928" s="5"/>
      <c r="D928" s="5"/>
      <c r="E928" s="5"/>
    </row>
    <row r="929" ht="15.75" customHeight="1">
      <c r="A929" s="8"/>
      <c r="C929" s="5"/>
      <c r="D929" s="5"/>
      <c r="E929" s="5"/>
    </row>
    <row r="930" ht="15.75" customHeight="1">
      <c r="A930" s="8"/>
      <c r="C930" s="5"/>
      <c r="D930" s="5"/>
      <c r="E930" s="5"/>
    </row>
    <row r="931" ht="15.75" customHeight="1">
      <c r="A931" s="8"/>
      <c r="C931" s="5"/>
      <c r="D931" s="5"/>
      <c r="E931" s="5"/>
    </row>
    <row r="932" ht="15.75" customHeight="1">
      <c r="A932" s="8"/>
      <c r="C932" s="5"/>
      <c r="D932" s="5"/>
      <c r="E932" s="5"/>
    </row>
    <row r="933" ht="15.75" customHeight="1">
      <c r="A933" s="8"/>
      <c r="C933" s="5"/>
      <c r="D933" s="5"/>
      <c r="E933" s="5"/>
    </row>
    <row r="934" ht="15.75" customHeight="1">
      <c r="A934" s="8"/>
      <c r="C934" s="5"/>
      <c r="D934" s="5"/>
      <c r="E934" s="5"/>
    </row>
    <row r="935" ht="15.75" customHeight="1">
      <c r="A935" s="8"/>
      <c r="C935" s="5"/>
      <c r="D935" s="5"/>
      <c r="E935" s="5"/>
    </row>
    <row r="936" ht="15.75" customHeight="1">
      <c r="A936" s="8"/>
      <c r="C936" s="5"/>
      <c r="D936" s="5"/>
      <c r="E936" s="5"/>
    </row>
    <row r="937" ht="15.75" customHeight="1">
      <c r="A937" s="8"/>
      <c r="C937" s="5"/>
      <c r="D937" s="5"/>
      <c r="E937" s="5"/>
    </row>
    <row r="938" ht="15.75" customHeight="1">
      <c r="A938" s="8"/>
      <c r="C938" s="5"/>
      <c r="D938" s="5"/>
      <c r="E938" s="5"/>
    </row>
    <row r="939" ht="15.75" customHeight="1">
      <c r="A939" s="8"/>
      <c r="C939" s="5"/>
      <c r="D939" s="5"/>
      <c r="E939" s="5"/>
    </row>
    <row r="940" ht="15.75" customHeight="1">
      <c r="A940" s="8"/>
      <c r="C940" s="5"/>
      <c r="D940" s="5"/>
      <c r="E940" s="5"/>
    </row>
    <row r="941" ht="15.75" customHeight="1">
      <c r="A941" s="8"/>
      <c r="C941" s="5"/>
      <c r="D941" s="5"/>
      <c r="E941" s="5"/>
    </row>
    <row r="942" ht="15.75" customHeight="1">
      <c r="A942" s="8"/>
      <c r="C942" s="5"/>
      <c r="D942" s="5"/>
      <c r="E942" s="5"/>
    </row>
    <row r="943" ht="15.75" customHeight="1">
      <c r="A943" s="8"/>
      <c r="C943" s="5"/>
      <c r="D943" s="5"/>
      <c r="E943" s="5"/>
    </row>
    <row r="944" ht="15.75" customHeight="1">
      <c r="A944" s="8"/>
      <c r="C944" s="5"/>
      <c r="D944" s="5"/>
      <c r="E944" s="5"/>
    </row>
    <row r="945" ht="15.75" customHeight="1">
      <c r="A945" s="8"/>
      <c r="C945" s="5"/>
      <c r="D945" s="5"/>
      <c r="E945" s="5"/>
    </row>
    <row r="946" ht="15.75" customHeight="1">
      <c r="A946" s="8"/>
      <c r="C946" s="5"/>
      <c r="D946" s="5"/>
      <c r="E946" s="5"/>
    </row>
    <row r="947" ht="15.75" customHeight="1">
      <c r="A947" s="8"/>
      <c r="C947" s="5"/>
      <c r="D947" s="5"/>
      <c r="E947" s="5"/>
    </row>
    <row r="948" ht="15.75" customHeight="1">
      <c r="A948" s="8"/>
      <c r="C948" s="5"/>
      <c r="D948" s="5"/>
      <c r="E948" s="5"/>
    </row>
    <row r="949" ht="15.75" customHeight="1">
      <c r="A949" s="8"/>
      <c r="C949" s="5"/>
      <c r="D949" s="5"/>
      <c r="E949" s="5"/>
    </row>
    <row r="950" ht="15.75" customHeight="1">
      <c r="A950" s="8"/>
      <c r="C950" s="5"/>
      <c r="D950" s="5"/>
      <c r="E950" s="5"/>
    </row>
    <row r="951" ht="15.75" customHeight="1">
      <c r="A951" s="8"/>
      <c r="C951" s="5"/>
      <c r="D951" s="5"/>
      <c r="E951" s="5"/>
    </row>
    <row r="952" ht="15.75" customHeight="1">
      <c r="A952" s="8"/>
      <c r="C952" s="5"/>
      <c r="D952" s="5"/>
      <c r="E952" s="5"/>
    </row>
    <row r="953" ht="15.75" customHeight="1">
      <c r="A953" s="8"/>
      <c r="C953" s="5"/>
      <c r="D953" s="5"/>
      <c r="E953" s="5"/>
    </row>
    <row r="954" ht="15.75" customHeight="1">
      <c r="A954" s="8"/>
      <c r="C954" s="5"/>
      <c r="D954" s="5"/>
      <c r="E954" s="5"/>
    </row>
    <row r="955" ht="15.75" customHeight="1">
      <c r="A955" s="8"/>
      <c r="C955" s="5"/>
      <c r="D955" s="5"/>
      <c r="E955" s="5"/>
    </row>
    <row r="956" ht="15.75" customHeight="1">
      <c r="A956" s="8"/>
      <c r="C956" s="5"/>
      <c r="D956" s="5"/>
      <c r="E956" s="5"/>
    </row>
    <row r="957" ht="15.75" customHeight="1">
      <c r="A957" s="8"/>
      <c r="C957" s="5"/>
      <c r="D957" s="5"/>
      <c r="E957" s="5"/>
    </row>
    <row r="958" ht="15.75" customHeight="1">
      <c r="A958" s="8"/>
      <c r="C958" s="5"/>
      <c r="D958" s="5"/>
      <c r="E958" s="5"/>
    </row>
    <row r="959" ht="15.75" customHeight="1">
      <c r="A959" s="8"/>
      <c r="C959" s="5"/>
      <c r="D959" s="5"/>
      <c r="E959" s="5"/>
    </row>
    <row r="960" ht="15.75" customHeight="1">
      <c r="A960" s="8"/>
      <c r="C960" s="5"/>
      <c r="D960" s="5"/>
      <c r="E960" s="5"/>
    </row>
    <row r="961" ht="15.75" customHeight="1">
      <c r="A961" s="8"/>
      <c r="C961" s="5"/>
      <c r="D961" s="5"/>
      <c r="E961" s="5"/>
    </row>
    <row r="962" ht="15.75" customHeight="1">
      <c r="A962" s="8"/>
      <c r="C962" s="5"/>
      <c r="D962" s="5"/>
      <c r="E962" s="5"/>
    </row>
    <row r="963" ht="15.75" customHeight="1">
      <c r="A963" s="8"/>
      <c r="C963" s="5"/>
      <c r="D963" s="5"/>
      <c r="E963" s="5"/>
    </row>
    <row r="964" ht="15.75" customHeight="1">
      <c r="A964" s="8"/>
      <c r="C964" s="5"/>
      <c r="D964" s="5"/>
      <c r="E964" s="5"/>
    </row>
    <row r="965" ht="15.75" customHeight="1">
      <c r="A965" s="8"/>
      <c r="C965" s="5"/>
      <c r="D965" s="5"/>
      <c r="E965" s="5"/>
    </row>
    <row r="966" ht="15.75" customHeight="1">
      <c r="A966" s="8"/>
      <c r="C966" s="5"/>
      <c r="D966" s="5"/>
      <c r="E966" s="5"/>
    </row>
    <row r="967" ht="15.75" customHeight="1">
      <c r="A967" s="8"/>
      <c r="C967" s="5"/>
      <c r="D967" s="5"/>
      <c r="E967" s="5"/>
    </row>
    <row r="968" ht="15.75" customHeight="1">
      <c r="A968" s="8"/>
      <c r="C968" s="5"/>
      <c r="D968" s="5"/>
      <c r="E968" s="5"/>
    </row>
    <row r="969" ht="15.75" customHeight="1">
      <c r="A969" s="8"/>
      <c r="C969" s="5"/>
      <c r="D969" s="5"/>
      <c r="E969" s="5"/>
    </row>
    <row r="970" ht="15.75" customHeight="1">
      <c r="A970" s="8"/>
      <c r="C970" s="5"/>
      <c r="D970" s="5"/>
      <c r="E970" s="5"/>
    </row>
    <row r="971" ht="15.75" customHeight="1">
      <c r="A971" s="8"/>
      <c r="C971" s="5"/>
      <c r="D971" s="5"/>
      <c r="E971" s="5"/>
    </row>
    <row r="972" ht="15.75" customHeight="1">
      <c r="A972" s="8"/>
      <c r="C972" s="5"/>
      <c r="D972" s="5"/>
      <c r="E972" s="5"/>
    </row>
    <row r="973" ht="15.75" customHeight="1">
      <c r="A973" s="8"/>
      <c r="C973" s="5"/>
      <c r="D973" s="5"/>
      <c r="E973" s="5"/>
    </row>
    <row r="974" ht="15.75" customHeight="1">
      <c r="A974" s="8"/>
      <c r="C974" s="5"/>
      <c r="D974" s="5"/>
      <c r="E974" s="5"/>
    </row>
    <row r="975" ht="15.75" customHeight="1">
      <c r="A975" s="8"/>
      <c r="C975" s="5"/>
      <c r="D975" s="5"/>
      <c r="E975" s="5"/>
    </row>
    <row r="976" ht="15.75" customHeight="1">
      <c r="A976" s="8"/>
      <c r="C976" s="5"/>
      <c r="D976" s="5"/>
      <c r="E976" s="5"/>
    </row>
    <row r="977" ht="15.75" customHeight="1">
      <c r="A977" s="8"/>
      <c r="C977" s="5"/>
      <c r="D977" s="5"/>
      <c r="E977" s="5"/>
    </row>
    <row r="978" ht="15.75" customHeight="1">
      <c r="A978" s="8"/>
      <c r="C978" s="5"/>
      <c r="D978" s="5"/>
      <c r="E978" s="5"/>
    </row>
    <row r="979" ht="15.75" customHeight="1">
      <c r="A979" s="8"/>
      <c r="C979" s="5"/>
      <c r="D979" s="5"/>
      <c r="E979" s="5"/>
    </row>
    <row r="980" ht="15.75" customHeight="1">
      <c r="A980" s="8"/>
      <c r="C980" s="5"/>
      <c r="D980" s="5"/>
      <c r="E980" s="5"/>
    </row>
    <row r="981" ht="15.75" customHeight="1">
      <c r="A981" s="8"/>
      <c r="C981" s="5"/>
      <c r="D981" s="5"/>
      <c r="E981" s="5"/>
    </row>
    <row r="982" ht="15.75" customHeight="1">
      <c r="A982" s="8"/>
      <c r="C982" s="5"/>
      <c r="D982" s="5"/>
      <c r="E982" s="5"/>
    </row>
    <row r="983" ht="15.75" customHeight="1">
      <c r="A983" s="8"/>
      <c r="C983" s="5"/>
      <c r="D983" s="5"/>
      <c r="E983" s="5"/>
    </row>
    <row r="984" ht="15.75" customHeight="1">
      <c r="A984" s="8"/>
      <c r="C984" s="5"/>
      <c r="D984" s="5"/>
      <c r="E984" s="5"/>
    </row>
    <row r="985" ht="15.75" customHeight="1">
      <c r="A985" s="8"/>
      <c r="C985" s="5"/>
      <c r="D985" s="5"/>
      <c r="E985" s="5"/>
    </row>
    <row r="986" ht="15.75" customHeight="1">
      <c r="A986" s="8"/>
      <c r="C986" s="5"/>
      <c r="D986" s="5"/>
      <c r="E986" s="5"/>
    </row>
    <row r="987" ht="15.75" customHeight="1">
      <c r="A987" s="8"/>
      <c r="C987" s="5"/>
      <c r="D987" s="5"/>
      <c r="E987" s="5"/>
    </row>
    <row r="988" ht="15.75" customHeight="1">
      <c r="A988" s="8"/>
      <c r="C988" s="5"/>
      <c r="D988" s="5"/>
      <c r="E988" s="5"/>
    </row>
    <row r="989" ht="15.75" customHeight="1">
      <c r="A989" s="8"/>
      <c r="C989" s="5"/>
      <c r="D989" s="5"/>
      <c r="E989" s="5"/>
    </row>
    <row r="990" ht="15.75" customHeight="1">
      <c r="A990" s="8"/>
      <c r="C990" s="5"/>
      <c r="D990" s="5"/>
      <c r="E990" s="5"/>
    </row>
    <row r="991" ht="15.75" customHeight="1">
      <c r="A991" s="8"/>
      <c r="C991" s="5"/>
      <c r="D991" s="5"/>
      <c r="E991" s="5"/>
    </row>
    <row r="992" ht="15.75" customHeight="1">
      <c r="A992" s="8"/>
      <c r="C992" s="5"/>
      <c r="D992" s="5"/>
      <c r="E992" s="5"/>
    </row>
    <row r="993" ht="15.75" customHeight="1">
      <c r="A993" s="8"/>
      <c r="C993" s="5"/>
      <c r="D993" s="5"/>
      <c r="E993" s="5"/>
    </row>
    <row r="994" ht="15.75" customHeight="1">
      <c r="A994" s="8"/>
      <c r="C994" s="5"/>
      <c r="D994" s="5"/>
      <c r="E994" s="5"/>
    </row>
    <row r="995" ht="15.75" customHeight="1">
      <c r="A995" s="8"/>
      <c r="C995" s="5"/>
      <c r="D995" s="5"/>
      <c r="E995" s="5"/>
    </row>
    <row r="996" ht="15.75" customHeight="1">
      <c r="A996" s="8"/>
      <c r="C996" s="5"/>
      <c r="D996" s="5"/>
      <c r="E996" s="5"/>
    </row>
    <row r="997" ht="15.75" customHeight="1">
      <c r="A997" s="8"/>
      <c r="C997" s="5"/>
      <c r="D997" s="5"/>
      <c r="E997" s="5"/>
    </row>
    <row r="998" ht="15.75" customHeight="1">
      <c r="A998" s="8"/>
      <c r="C998" s="5"/>
      <c r="D998" s="5"/>
      <c r="E998" s="5"/>
    </row>
    <row r="999" ht="15.75" customHeight="1">
      <c r="A999" s="8"/>
      <c r="C999" s="5"/>
      <c r="D999" s="5"/>
      <c r="E999" s="5"/>
    </row>
    <row r="1000" ht="15.75" customHeight="1">
      <c r="A1000" s="8"/>
      <c r="C1000" s="5"/>
      <c r="D1000" s="5"/>
      <c r="E1000" s="5"/>
    </row>
  </sheetData>
  <autoFilter ref="$A$4:$G$19"/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68.78"/>
    <col customWidth="1" min="3" max="5" width="17.44"/>
    <col customWidth="1" min="6" max="6" width="21.0"/>
    <col customWidth="1" min="7" max="7" width="31.67"/>
    <col customWidth="1" min="8" max="8" width="62.11"/>
    <col customWidth="1" min="9" max="9" width="18.78"/>
    <col customWidth="1" min="10" max="26" width="10.56"/>
  </cols>
  <sheetData>
    <row r="1" ht="15.75" customHeight="1">
      <c r="A1" s="2" t="s">
        <v>1954</v>
      </c>
      <c r="C1" s="5"/>
      <c r="D1" s="5"/>
      <c r="E1" s="5"/>
    </row>
    <row r="2" ht="15.75" customHeight="1">
      <c r="A2" s="2"/>
      <c r="C2" s="5"/>
      <c r="D2" s="5"/>
      <c r="E2" s="5"/>
    </row>
    <row r="3" ht="15.75" customHeight="1">
      <c r="A3" s="8"/>
      <c r="C3" s="5"/>
      <c r="D3" s="5"/>
      <c r="E3" s="5"/>
    </row>
    <row r="4" ht="15.75" customHeight="1">
      <c r="A4" s="1" t="s">
        <v>1958</v>
      </c>
      <c r="B4" s="3" t="s">
        <v>12</v>
      </c>
      <c r="C4" s="10"/>
      <c r="D4" s="10"/>
      <c r="E4" s="10">
        <v>754980.0</v>
      </c>
    </row>
    <row r="5" ht="15.75" customHeight="1">
      <c r="A5" s="8">
        <v>46025.0</v>
      </c>
      <c r="B5" s="4" t="s">
        <v>17</v>
      </c>
      <c r="C5" s="5">
        <v>754980.0</v>
      </c>
      <c r="D5" s="5">
        <v>0.0</v>
      </c>
      <c r="E5" s="5">
        <f t="shared" ref="E5:E442" si="1">E4-C5+D5</f>
        <v>0</v>
      </c>
      <c r="F5" s="4" t="s">
        <v>21</v>
      </c>
      <c r="G5" s="14" t="s">
        <v>23</v>
      </c>
    </row>
    <row r="6" ht="15.75" customHeight="1">
      <c r="A6" s="8">
        <v>46030.0</v>
      </c>
      <c r="B6" s="4" t="s">
        <v>110</v>
      </c>
      <c r="C6" s="5">
        <v>0.0</v>
      </c>
      <c r="D6" s="5">
        <v>9245020.0</v>
      </c>
      <c r="E6" s="5">
        <f t="shared" si="1"/>
        <v>9245020</v>
      </c>
      <c r="F6" s="4" t="s">
        <v>21</v>
      </c>
      <c r="G6" s="4" t="s">
        <v>116</v>
      </c>
    </row>
    <row r="7" ht="15.75" customHeight="1">
      <c r="A7" s="8">
        <v>46031.0</v>
      </c>
      <c r="B7" s="4" t="s">
        <v>1966</v>
      </c>
      <c r="C7" s="5">
        <v>350000.0</v>
      </c>
      <c r="D7" s="5">
        <v>0.0</v>
      </c>
      <c r="E7" s="5">
        <f t="shared" si="1"/>
        <v>8895020</v>
      </c>
      <c r="F7" s="4" t="s">
        <v>50</v>
      </c>
      <c r="G7" s="4" t="s">
        <v>245</v>
      </c>
      <c r="H7" s="4" t="s">
        <v>413</v>
      </c>
      <c r="K7" s="4" t="s">
        <v>6</v>
      </c>
    </row>
    <row r="8" ht="15.75" customHeight="1">
      <c r="A8" s="8">
        <v>46034.0</v>
      </c>
      <c r="B8" s="4" t="s">
        <v>1969</v>
      </c>
      <c r="C8" s="5">
        <v>243590.0</v>
      </c>
      <c r="D8" s="5">
        <v>0.0</v>
      </c>
      <c r="E8" s="5">
        <f t="shared" si="1"/>
        <v>8651430</v>
      </c>
      <c r="F8" s="4" t="s">
        <v>50</v>
      </c>
      <c r="G8" s="4" t="s">
        <v>245</v>
      </c>
      <c r="H8" s="4" t="s">
        <v>1972</v>
      </c>
    </row>
    <row r="9" ht="15.75" customHeight="1">
      <c r="A9" s="8">
        <v>46034.0</v>
      </c>
      <c r="B9" s="4" t="s">
        <v>1975</v>
      </c>
      <c r="C9" s="5">
        <v>500000.0</v>
      </c>
      <c r="D9" s="5">
        <v>0.0</v>
      </c>
      <c r="E9" s="5">
        <f t="shared" si="1"/>
        <v>8151430</v>
      </c>
      <c r="F9" s="4" t="s">
        <v>50</v>
      </c>
      <c r="G9" s="4" t="s">
        <v>245</v>
      </c>
      <c r="H9" s="4" t="s">
        <v>1972</v>
      </c>
    </row>
    <row r="10" ht="15.75" customHeight="1">
      <c r="A10" s="8">
        <v>46034.0</v>
      </c>
      <c r="B10" s="4" t="s">
        <v>1977</v>
      </c>
      <c r="C10" s="5">
        <v>11000.0</v>
      </c>
      <c r="D10" s="5">
        <v>0.0</v>
      </c>
      <c r="E10" s="5">
        <f t="shared" si="1"/>
        <v>8140430</v>
      </c>
      <c r="F10" s="4" t="s">
        <v>50</v>
      </c>
      <c r="G10" s="4" t="s">
        <v>1978</v>
      </c>
    </row>
    <row r="11" ht="15.75" customHeight="1">
      <c r="A11" s="8">
        <v>46034.0</v>
      </c>
      <c r="B11" s="4" t="s">
        <v>1980</v>
      </c>
      <c r="C11" s="5">
        <v>377500.0</v>
      </c>
      <c r="D11" s="5">
        <v>0.0</v>
      </c>
      <c r="E11" s="5">
        <f t="shared" si="1"/>
        <v>7762930</v>
      </c>
      <c r="F11" s="4" t="s">
        <v>50</v>
      </c>
      <c r="G11" s="4" t="s">
        <v>245</v>
      </c>
      <c r="H11" s="4" t="s">
        <v>1981</v>
      </c>
      <c r="K11" s="4" t="s">
        <v>6</v>
      </c>
    </row>
    <row r="12" ht="15.75" customHeight="1">
      <c r="A12" s="8">
        <v>46035.0</v>
      </c>
      <c r="B12" s="4" t="s">
        <v>1983</v>
      </c>
      <c r="C12" s="5">
        <v>260000.0</v>
      </c>
      <c r="D12" s="5">
        <v>0.0</v>
      </c>
      <c r="E12" s="5">
        <f t="shared" si="1"/>
        <v>7502930</v>
      </c>
      <c r="F12" s="4" t="s">
        <v>50</v>
      </c>
      <c r="G12" s="4" t="s">
        <v>1984</v>
      </c>
    </row>
    <row r="13" ht="15.75" customHeight="1">
      <c r="A13" s="8">
        <v>46035.0</v>
      </c>
      <c r="B13" s="4" t="s">
        <v>1986</v>
      </c>
      <c r="C13" s="5">
        <v>100000.0</v>
      </c>
      <c r="D13" s="5">
        <v>0.0</v>
      </c>
      <c r="E13" s="5">
        <f t="shared" si="1"/>
        <v>7402930</v>
      </c>
      <c r="F13" s="4" t="s">
        <v>50</v>
      </c>
      <c r="G13" s="4" t="s">
        <v>1988</v>
      </c>
    </row>
    <row r="14" ht="15.75" customHeight="1">
      <c r="A14" s="8">
        <v>46035.0</v>
      </c>
      <c r="B14" s="4" t="s">
        <v>1989</v>
      </c>
      <c r="C14" s="5">
        <v>107500.0</v>
      </c>
      <c r="D14" s="5">
        <v>0.0</v>
      </c>
      <c r="E14" s="5">
        <f t="shared" si="1"/>
        <v>7295430</v>
      </c>
      <c r="F14" s="4" t="s">
        <v>50</v>
      </c>
      <c r="G14" s="4" t="s">
        <v>1984</v>
      </c>
    </row>
    <row r="15" ht="15.75" customHeight="1">
      <c r="A15" s="8">
        <v>46035.0</v>
      </c>
      <c r="B15" s="4" t="s">
        <v>1991</v>
      </c>
      <c r="C15" s="5">
        <v>182000.0</v>
      </c>
      <c r="D15" s="5">
        <v>0.0</v>
      </c>
      <c r="E15" s="5">
        <f t="shared" si="1"/>
        <v>7113430</v>
      </c>
      <c r="F15" s="4" t="s">
        <v>50</v>
      </c>
      <c r="G15" s="4" t="s">
        <v>1988</v>
      </c>
    </row>
    <row r="16" ht="15.75" customHeight="1">
      <c r="A16" s="8">
        <v>46035.0</v>
      </c>
      <c r="B16" s="4" t="s">
        <v>1994</v>
      </c>
      <c r="C16" s="5">
        <v>27000.0</v>
      </c>
      <c r="D16" s="5">
        <v>0.0</v>
      </c>
      <c r="E16" s="5">
        <f t="shared" si="1"/>
        <v>7086430</v>
      </c>
      <c r="F16" s="4" t="s">
        <v>50</v>
      </c>
      <c r="G16" s="4" t="s">
        <v>1978</v>
      </c>
    </row>
    <row r="17" ht="15.75" customHeight="1">
      <c r="A17" s="8">
        <v>46035.0</v>
      </c>
      <c r="B17" s="4" t="s">
        <v>1995</v>
      </c>
      <c r="C17" s="5">
        <v>24000.0</v>
      </c>
      <c r="D17" s="5">
        <v>0.0</v>
      </c>
      <c r="E17" s="5">
        <f t="shared" si="1"/>
        <v>7062430</v>
      </c>
      <c r="F17" s="4" t="s">
        <v>50</v>
      </c>
      <c r="G17" s="4" t="s">
        <v>1996</v>
      </c>
    </row>
    <row r="18" ht="15.75" customHeight="1">
      <c r="A18" s="8">
        <v>46035.0</v>
      </c>
      <c r="B18" s="4" t="s">
        <v>1998</v>
      </c>
      <c r="C18" s="5">
        <v>65000.0</v>
      </c>
      <c r="D18" s="5">
        <v>0.0</v>
      </c>
      <c r="E18" s="5">
        <f t="shared" si="1"/>
        <v>6997430</v>
      </c>
      <c r="F18" s="4" t="s">
        <v>50</v>
      </c>
      <c r="G18" s="4" t="s">
        <v>1988</v>
      </c>
    </row>
    <row r="19" ht="15.75" customHeight="1">
      <c r="A19" s="8">
        <v>46035.0</v>
      </c>
      <c r="B19" s="4" t="s">
        <v>2001</v>
      </c>
      <c r="C19" s="5">
        <v>9000.0</v>
      </c>
      <c r="D19" s="5">
        <v>0.0</v>
      </c>
      <c r="E19" s="5">
        <f t="shared" si="1"/>
        <v>6988430</v>
      </c>
      <c r="F19" s="4" t="s">
        <v>50</v>
      </c>
      <c r="G19" s="4" t="s">
        <v>1996</v>
      </c>
    </row>
    <row r="20" ht="15.75" customHeight="1">
      <c r="A20" s="8">
        <v>46035.0</v>
      </c>
      <c r="B20" s="4" t="s">
        <v>2002</v>
      </c>
      <c r="C20" s="5">
        <v>76000.0</v>
      </c>
      <c r="D20" s="5">
        <v>0.0</v>
      </c>
      <c r="E20" s="5">
        <f t="shared" si="1"/>
        <v>6912430</v>
      </c>
      <c r="F20" s="4" t="s">
        <v>50</v>
      </c>
      <c r="G20" s="4" t="s">
        <v>1984</v>
      </c>
      <c r="H20" s="4" t="s">
        <v>6</v>
      </c>
    </row>
    <row r="21" ht="15.75" customHeight="1">
      <c r="A21" s="8">
        <v>46035.0</v>
      </c>
      <c r="B21" s="4" t="s">
        <v>2005</v>
      </c>
      <c r="C21" s="5">
        <v>42000.0</v>
      </c>
      <c r="D21" s="5">
        <v>0.0</v>
      </c>
      <c r="E21" s="5">
        <f t="shared" si="1"/>
        <v>6870430</v>
      </c>
      <c r="F21" s="4" t="s">
        <v>50</v>
      </c>
      <c r="G21" s="4" t="s">
        <v>1996</v>
      </c>
    </row>
    <row r="22" ht="15.75" customHeight="1">
      <c r="A22" s="8">
        <v>46035.0</v>
      </c>
      <c r="B22" s="4" t="s">
        <v>2006</v>
      </c>
      <c r="C22" s="5">
        <v>65000.0</v>
      </c>
      <c r="D22" s="5">
        <v>0.0</v>
      </c>
      <c r="E22" s="5">
        <f t="shared" si="1"/>
        <v>6805430</v>
      </c>
      <c r="F22" s="4" t="s">
        <v>50</v>
      </c>
      <c r="G22" s="4" t="s">
        <v>1996</v>
      </c>
    </row>
    <row r="23" ht="15.75" customHeight="1">
      <c r="A23" s="8">
        <v>46035.0</v>
      </c>
      <c r="B23" s="4" t="s">
        <v>1980</v>
      </c>
      <c r="C23" s="5">
        <v>661500.0</v>
      </c>
      <c r="D23" s="5">
        <v>0.0</v>
      </c>
      <c r="E23" s="5">
        <f t="shared" si="1"/>
        <v>6143930</v>
      </c>
      <c r="F23" s="4" t="s">
        <v>50</v>
      </c>
      <c r="G23" s="4" t="s">
        <v>245</v>
      </c>
      <c r="H23" s="4" t="s">
        <v>413</v>
      </c>
    </row>
    <row r="24" ht="15.75" customHeight="1">
      <c r="A24" s="8">
        <v>46035.0</v>
      </c>
      <c r="B24" s="4" t="s">
        <v>2009</v>
      </c>
      <c r="C24" s="5">
        <v>90000.0</v>
      </c>
      <c r="D24" s="5">
        <v>0.0</v>
      </c>
      <c r="E24" s="5">
        <f t="shared" si="1"/>
        <v>6053930</v>
      </c>
      <c r="F24" s="4" t="s">
        <v>50</v>
      </c>
      <c r="G24" s="4" t="s">
        <v>245</v>
      </c>
      <c r="H24" s="4" t="s">
        <v>413</v>
      </c>
    </row>
    <row r="25" ht="15.75" customHeight="1">
      <c r="A25" s="8">
        <v>46036.0</v>
      </c>
      <c r="B25" s="4" t="s">
        <v>2012</v>
      </c>
      <c r="C25" s="5">
        <v>48000.0</v>
      </c>
      <c r="D25" s="5">
        <v>0.0</v>
      </c>
      <c r="E25" s="5">
        <f t="shared" si="1"/>
        <v>6005930</v>
      </c>
      <c r="F25" s="4" t="s">
        <v>50</v>
      </c>
      <c r="G25" s="4" t="s">
        <v>1996</v>
      </c>
    </row>
    <row r="26" ht="15.75" customHeight="1">
      <c r="A26" s="8">
        <v>46036.0</v>
      </c>
      <c r="B26" s="4" t="s">
        <v>2013</v>
      </c>
      <c r="C26" s="5">
        <v>165000.0</v>
      </c>
      <c r="D26" s="5">
        <v>0.0</v>
      </c>
      <c r="E26" s="5">
        <f t="shared" si="1"/>
        <v>5840930</v>
      </c>
      <c r="F26" s="4" t="s">
        <v>50</v>
      </c>
      <c r="G26" s="4" t="s">
        <v>1780</v>
      </c>
    </row>
    <row r="27" ht="15.75" customHeight="1">
      <c r="A27" s="8">
        <v>46037.0</v>
      </c>
      <c r="B27" s="4" t="s">
        <v>2016</v>
      </c>
      <c r="C27" s="5">
        <v>300000.0</v>
      </c>
      <c r="D27" s="5">
        <v>0.0</v>
      </c>
      <c r="E27" s="5">
        <f t="shared" si="1"/>
        <v>5540930</v>
      </c>
      <c r="F27" s="4" t="s">
        <v>50</v>
      </c>
      <c r="G27" s="4" t="s">
        <v>1978</v>
      </c>
    </row>
    <row r="28" ht="15.75" customHeight="1">
      <c r="A28" s="8">
        <v>46041.0</v>
      </c>
      <c r="B28" s="4" t="s">
        <v>2018</v>
      </c>
      <c r="C28" s="5">
        <v>229000.0</v>
      </c>
      <c r="D28" s="5">
        <v>0.0</v>
      </c>
      <c r="E28" s="5">
        <f t="shared" si="1"/>
        <v>5311930</v>
      </c>
      <c r="F28" s="4" t="s">
        <v>50</v>
      </c>
      <c r="G28" s="4" t="s">
        <v>245</v>
      </c>
      <c r="H28" s="4" t="s">
        <v>1981</v>
      </c>
      <c r="K28" s="4" t="s">
        <v>6</v>
      </c>
    </row>
    <row r="29" ht="15.75" customHeight="1">
      <c r="A29" s="8">
        <v>46041.0</v>
      </c>
      <c r="B29" s="4" t="s">
        <v>2009</v>
      </c>
      <c r="C29" s="5">
        <v>92000.0</v>
      </c>
      <c r="D29" s="5">
        <v>0.0</v>
      </c>
      <c r="E29" s="5">
        <f t="shared" si="1"/>
        <v>5219930</v>
      </c>
      <c r="F29" s="4" t="s">
        <v>50</v>
      </c>
      <c r="G29" s="4" t="s">
        <v>245</v>
      </c>
      <c r="H29" s="4" t="s">
        <v>1981</v>
      </c>
      <c r="K29" s="4" t="s">
        <v>6</v>
      </c>
    </row>
    <row r="30" ht="15.75" customHeight="1">
      <c r="A30" s="8">
        <v>46042.0</v>
      </c>
      <c r="B30" s="4" t="s">
        <v>2021</v>
      </c>
      <c r="C30" s="5">
        <v>60000.0</v>
      </c>
      <c r="D30" s="5">
        <v>0.0</v>
      </c>
      <c r="E30" s="5">
        <f t="shared" si="1"/>
        <v>5159930</v>
      </c>
      <c r="F30" s="4" t="s">
        <v>58</v>
      </c>
      <c r="G30" s="4" t="s">
        <v>59</v>
      </c>
      <c r="H30" s="14" t="s">
        <v>100</v>
      </c>
    </row>
    <row r="31" ht="15.75" customHeight="1">
      <c r="A31" s="8">
        <v>46042.0</v>
      </c>
      <c r="B31" s="4" t="s">
        <v>2023</v>
      </c>
      <c r="C31" s="5">
        <v>235300.0</v>
      </c>
      <c r="D31" s="5">
        <v>0.0</v>
      </c>
      <c r="E31" s="5">
        <f t="shared" si="1"/>
        <v>4924630</v>
      </c>
      <c r="F31" s="4" t="s">
        <v>58</v>
      </c>
      <c r="G31" s="4" t="s">
        <v>59</v>
      </c>
      <c r="H31" s="14" t="s">
        <v>100</v>
      </c>
    </row>
    <row r="32" ht="15.75" customHeight="1">
      <c r="A32" s="8">
        <v>46045.0</v>
      </c>
      <c r="B32" s="4" t="s">
        <v>2025</v>
      </c>
      <c r="C32" s="5">
        <v>149850.0</v>
      </c>
      <c r="D32" s="5">
        <v>0.0</v>
      </c>
      <c r="E32" s="5">
        <f t="shared" si="1"/>
        <v>4774780</v>
      </c>
      <c r="F32" s="4" t="s">
        <v>58</v>
      </c>
      <c r="G32" s="4" t="s">
        <v>59</v>
      </c>
      <c r="H32" s="4" t="s">
        <v>188</v>
      </c>
    </row>
    <row r="33" ht="15.75" customHeight="1">
      <c r="A33" s="8">
        <v>46045.0</v>
      </c>
      <c r="B33" s="4" t="s">
        <v>2009</v>
      </c>
      <c r="C33" s="5">
        <v>39000.0</v>
      </c>
      <c r="D33" s="5">
        <v>0.0</v>
      </c>
      <c r="E33" s="5">
        <f t="shared" si="1"/>
        <v>4735780</v>
      </c>
      <c r="F33" s="4" t="s">
        <v>58</v>
      </c>
      <c r="G33" s="4" t="s">
        <v>59</v>
      </c>
      <c r="H33" s="4" t="s">
        <v>188</v>
      </c>
    </row>
    <row r="34" ht="15.75" customHeight="1">
      <c r="A34" s="8">
        <v>46048.0</v>
      </c>
      <c r="B34" s="4" t="s">
        <v>2029</v>
      </c>
      <c r="C34" s="5">
        <v>320000.0</v>
      </c>
      <c r="D34" s="5">
        <v>0.0</v>
      </c>
      <c r="E34" s="5">
        <f t="shared" si="1"/>
        <v>4415780</v>
      </c>
      <c r="F34" s="4" t="s">
        <v>50</v>
      </c>
      <c r="G34" s="4" t="s">
        <v>245</v>
      </c>
      <c r="H34" s="4" t="s">
        <v>246</v>
      </c>
      <c r="K34" s="4" t="s">
        <v>6</v>
      </c>
    </row>
    <row r="35" ht="15.75" customHeight="1">
      <c r="A35" s="8">
        <v>46048.0</v>
      </c>
      <c r="B35" s="4" t="s">
        <v>2009</v>
      </c>
      <c r="C35" s="5">
        <v>40000.0</v>
      </c>
      <c r="D35" s="5">
        <v>0.0</v>
      </c>
      <c r="E35" s="5">
        <f t="shared" si="1"/>
        <v>4375780</v>
      </c>
      <c r="F35" s="4" t="s">
        <v>50</v>
      </c>
      <c r="G35" s="4" t="s">
        <v>245</v>
      </c>
      <c r="H35" s="4" t="s">
        <v>246</v>
      </c>
      <c r="K35" s="4" t="s">
        <v>6</v>
      </c>
    </row>
    <row r="36" ht="15.75" customHeight="1">
      <c r="A36" s="8">
        <v>46048.0</v>
      </c>
      <c r="B36" s="4" t="s">
        <v>2032</v>
      </c>
      <c r="C36" s="5">
        <v>230012.0</v>
      </c>
      <c r="D36" s="5">
        <v>0.0</v>
      </c>
      <c r="E36" s="5">
        <f t="shared" si="1"/>
        <v>4145768</v>
      </c>
      <c r="F36" s="4" t="s">
        <v>50</v>
      </c>
      <c r="G36" s="4" t="s">
        <v>51</v>
      </c>
      <c r="H36" s="4" t="s">
        <v>72</v>
      </c>
    </row>
    <row r="37" ht="15.75" customHeight="1">
      <c r="A37" s="8">
        <v>46048.0</v>
      </c>
      <c r="B37" s="4" t="s">
        <v>2033</v>
      </c>
      <c r="C37" s="5">
        <v>102156.0</v>
      </c>
      <c r="D37" s="5">
        <v>0.0</v>
      </c>
      <c r="E37" s="5">
        <f t="shared" si="1"/>
        <v>4043612</v>
      </c>
      <c r="F37" s="4" t="s">
        <v>50</v>
      </c>
      <c r="G37" s="4" t="s">
        <v>1984</v>
      </c>
    </row>
    <row r="38" ht="15.75" customHeight="1">
      <c r="A38" s="8">
        <v>46049.0</v>
      </c>
      <c r="B38" s="4" t="s">
        <v>2034</v>
      </c>
      <c r="C38" s="5">
        <v>168000.0</v>
      </c>
      <c r="D38" s="5">
        <v>0.0</v>
      </c>
      <c r="E38" s="5">
        <f t="shared" si="1"/>
        <v>3875612</v>
      </c>
      <c r="F38" s="4" t="s">
        <v>50</v>
      </c>
      <c r="G38" s="4" t="s">
        <v>1984</v>
      </c>
    </row>
    <row r="39" ht="15.75" customHeight="1">
      <c r="A39" s="8">
        <v>46049.0</v>
      </c>
      <c r="B39" s="4" t="s">
        <v>2035</v>
      </c>
      <c r="C39" s="5">
        <v>24000.0</v>
      </c>
      <c r="D39" s="5">
        <v>0.0</v>
      </c>
      <c r="E39" s="5">
        <f t="shared" si="1"/>
        <v>3851612</v>
      </c>
      <c r="F39" s="4" t="s">
        <v>50</v>
      </c>
      <c r="G39" s="4" t="s">
        <v>1978</v>
      </c>
    </row>
    <row r="40" ht="15.75" customHeight="1">
      <c r="A40" s="8">
        <v>46049.0</v>
      </c>
      <c r="B40" s="4" t="s">
        <v>2036</v>
      </c>
      <c r="C40" s="5">
        <v>95000.0</v>
      </c>
      <c r="D40" s="5">
        <v>0.0</v>
      </c>
      <c r="E40" s="5">
        <f t="shared" si="1"/>
        <v>3756612</v>
      </c>
      <c r="F40" s="14" t="s">
        <v>58</v>
      </c>
      <c r="G40" s="14" t="s">
        <v>59</v>
      </c>
      <c r="H40" s="4" t="s">
        <v>238</v>
      </c>
    </row>
    <row r="41" ht="15.75" customHeight="1">
      <c r="A41" s="8">
        <v>46049.0</v>
      </c>
      <c r="B41" s="4" t="s">
        <v>2038</v>
      </c>
      <c r="C41" s="5">
        <v>40000.0</v>
      </c>
      <c r="D41" s="5">
        <v>0.0</v>
      </c>
      <c r="E41" s="5">
        <f t="shared" si="1"/>
        <v>3716612</v>
      </c>
      <c r="F41" s="4" t="s">
        <v>50</v>
      </c>
      <c r="G41" s="4" t="s">
        <v>1984</v>
      </c>
    </row>
    <row r="42" ht="15.75" customHeight="1">
      <c r="A42" s="8">
        <v>46049.0</v>
      </c>
      <c r="B42" s="4" t="s">
        <v>2039</v>
      </c>
      <c r="C42" s="5">
        <v>25000.0</v>
      </c>
      <c r="D42" s="5">
        <v>0.0</v>
      </c>
      <c r="E42" s="5">
        <f t="shared" si="1"/>
        <v>3691612</v>
      </c>
      <c r="F42" s="4" t="s">
        <v>50</v>
      </c>
      <c r="G42" s="4" t="s">
        <v>1984</v>
      </c>
    </row>
    <row r="43" ht="15.75" customHeight="1">
      <c r="A43" s="8">
        <v>46049.0</v>
      </c>
      <c r="B43" s="4" t="s">
        <v>2043</v>
      </c>
      <c r="C43" s="5">
        <v>81500.0</v>
      </c>
      <c r="D43" s="5">
        <v>0.0</v>
      </c>
      <c r="E43" s="5">
        <f t="shared" si="1"/>
        <v>3610112</v>
      </c>
      <c r="F43" s="4" t="s">
        <v>50</v>
      </c>
      <c r="G43" s="4" t="s">
        <v>1984</v>
      </c>
    </row>
    <row r="44" ht="15.75" customHeight="1">
      <c r="A44" s="8">
        <v>46049.0</v>
      </c>
      <c r="B44" s="4" t="s">
        <v>2044</v>
      </c>
      <c r="C44" s="5">
        <v>107512.0</v>
      </c>
      <c r="D44" s="5">
        <v>0.0</v>
      </c>
      <c r="E44" s="5">
        <f t="shared" si="1"/>
        <v>3502600</v>
      </c>
      <c r="F44" s="4" t="s">
        <v>50</v>
      </c>
      <c r="G44" s="4" t="s">
        <v>1780</v>
      </c>
    </row>
    <row r="45" ht="15.75" customHeight="1">
      <c r="A45" s="8">
        <v>46050.0</v>
      </c>
      <c r="B45" s="4" t="s">
        <v>2029</v>
      </c>
      <c r="C45" s="5">
        <v>386500.0</v>
      </c>
      <c r="D45" s="5">
        <v>0.0</v>
      </c>
      <c r="E45" s="5">
        <f t="shared" si="1"/>
        <v>3116100</v>
      </c>
      <c r="F45" s="4" t="s">
        <v>50</v>
      </c>
      <c r="G45" s="4" t="s">
        <v>245</v>
      </c>
      <c r="H45" s="4" t="s">
        <v>1981</v>
      </c>
      <c r="K45" s="4" t="s">
        <v>6</v>
      </c>
    </row>
    <row r="46" ht="15.75" customHeight="1">
      <c r="A46" s="8">
        <v>46050.0</v>
      </c>
      <c r="B46" s="4" t="s">
        <v>2009</v>
      </c>
      <c r="C46" s="5">
        <v>131000.0</v>
      </c>
      <c r="D46" s="5">
        <v>0.0</v>
      </c>
      <c r="E46" s="5">
        <f t="shared" si="1"/>
        <v>2985100</v>
      </c>
      <c r="F46" s="4" t="s">
        <v>50</v>
      </c>
      <c r="G46" s="4" t="s">
        <v>245</v>
      </c>
      <c r="H46" s="4" t="s">
        <v>1981</v>
      </c>
      <c r="K46" s="4" t="s">
        <v>6</v>
      </c>
    </row>
    <row r="47" ht="15.75" customHeight="1">
      <c r="A47" s="8">
        <v>46050.0</v>
      </c>
      <c r="B47" s="4" t="s">
        <v>2047</v>
      </c>
      <c r="C47" s="5">
        <v>484774.0</v>
      </c>
      <c r="D47" s="5">
        <v>0.0</v>
      </c>
      <c r="E47" s="5">
        <f t="shared" si="1"/>
        <v>2500326</v>
      </c>
      <c r="F47" s="4" t="s">
        <v>50</v>
      </c>
      <c r="G47" s="4" t="s">
        <v>245</v>
      </c>
      <c r="H47" s="4" t="s">
        <v>1981</v>
      </c>
      <c r="K47" s="4" t="s">
        <v>6</v>
      </c>
    </row>
    <row r="48" ht="15.75" customHeight="1">
      <c r="A48" s="8">
        <v>46051.0</v>
      </c>
      <c r="B48" s="4" t="s">
        <v>2049</v>
      </c>
      <c r="C48" s="5">
        <v>1380000.0</v>
      </c>
      <c r="D48" s="5">
        <v>0.0</v>
      </c>
      <c r="E48" s="5">
        <f t="shared" si="1"/>
        <v>1120326</v>
      </c>
      <c r="F48" s="4" t="s">
        <v>50</v>
      </c>
      <c r="G48" s="4" t="s">
        <v>1988</v>
      </c>
    </row>
    <row r="49" ht="15.75" customHeight="1">
      <c r="A49" s="8">
        <v>46051.0</v>
      </c>
      <c r="B49" s="4" t="s">
        <v>2051</v>
      </c>
      <c r="C49" s="5">
        <v>150000.0</v>
      </c>
      <c r="D49" s="5">
        <v>0.0</v>
      </c>
      <c r="E49" s="5">
        <f t="shared" si="1"/>
        <v>970326</v>
      </c>
      <c r="F49" s="4" t="s">
        <v>50</v>
      </c>
      <c r="G49" s="4" t="s">
        <v>1988</v>
      </c>
    </row>
    <row r="50" ht="15.75" customHeight="1">
      <c r="A50" s="8">
        <v>46051.0</v>
      </c>
      <c r="B50" s="4" t="s">
        <v>2047</v>
      </c>
      <c r="C50" s="5">
        <v>500000.0</v>
      </c>
      <c r="D50" s="5">
        <v>0.0</v>
      </c>
      <c r="E50" s="5">
        <f t="shared" si="1"/>
        <v>470326</v>
      </c>
      <c r="F50" s="4" t="s">
        <v>50</v>
      </c>
      <c r="G50" s="4" t="s">
        <v>245</v>
      </c>
      <c r="H50" s="4" t="s">
        <v>1981</v>
      </c>
      <c r="K50" s="4" t="s">
        <v>6</v>
      </c>
    </row>
    <row r="51" ht="15.75" customHeight="1">
      <c r="A51" s="8">
        <v>46059.0</v>
      </c>
      <c r="B51" s="4" t="s">
        <v>543</v>
      </c>
      <c r="C51" s="5">
        <v>0.0</v>
      </c>
      <c r="D51" s="5">
        <v>9529674.0</v>
      </c>
      <c r="E51" s="5">
        <f t="shared" si="1"/>
        <v>10000000</v>
      </c>
      <c r="F51" s="4" t="s">
        <v>21</v>
      </c>
      <c r="G51" s="4" t="s">
        <v>116</v>
      </c>
    </row>
    <row r="52" ht="15.75" customHeight="1">
      <c r="A52" s="8">
        <v>46062.0</v>
      </c>
      <c r="B52" s="4" t="s">
        <v>2009</v>
      </c>
      <c r="C52" s="5">
        <v>90000.0</v>
      </c>
      <c r="D52" s="5">
        <v>0.0</v>
      </c>
      <c r="E52" s="5">
        <f t="shared" si="1"/>
        <v>9910000</v>
      </c>
      <c r="F52" s="4" t="s">
        <v>50</v>
      </c>
      <c r="G52" s="4" t="s">
        <v>245</v>
      </c>
      <c r="H52" s="4" t="s">
        <v>413</v>
      </c>
    </row>
    <row r="53" ht="15.75" customHeight="1">
      <c r="A53" s="8">
        <v>46062.0</v>
      </c>
      <c r="B53" s="4" t="s">
        <v>2029</v>
      </c>
      <c r="C53" s="5">
        <v>637000.0</v>
      </c>
      <c r="D53" s="5">
        <v>0.0</v>
      </c>
      <c r="E53" s="5">
        <f t="shared" si="1"/>
        <v>9273000</v>
      </c>
      <c r="F53" s="4" t="s">
        <v>50</v>
      </c>
      <c r="G53" s="4" t="s">
        <v>245</v>
      </c>
      <c r="H53" s="4" t="s">
        <v>413</v>
      </c>
    </row>
    <row r="54" ht="15.75" customHeight="1">
      <c r="A54" s="8">
        <v>46062.0</v>
      </c>
      <c r="B54" s="4" t="s">
        <v>2009</v>
      </c>
      <c r="C54" s="5">
        <v>32000.0</v>
      </c>
      <c r="D54" s="5">
        <v>0.0</v>
      </c>
      <c r="E54" s="5">
        <f t="shared" si="1"/>
        <v>9241000</v>
      </c>
      <c r="F54" s="4" t="s">
        <v>50</v>
      </c>
      <c r="G54" s="4" t="s">
        <v>245</v>
      </c>
      <c r="H54" s="4" t="s">
        <v>1981</v>
      </c>
      <c r="K54" s="4" t="s">
        <v>6</v>
      </c>
    </row>
    <row r="55" ht="15.75" customHeight="1">
      <c r="A55" s="8">
        <v>46062.0</v>
      </c>
      <c r="B55" s="4" t="s">
        <v>2029</v>
      </c>
      <c r="C55" s="5">
        <v>297500.0</v>
      </c>
      <c r="D55" s="5">
        <v>0.0</v>
      </c>
      <c r="E55" s="5">
        <f t="shared" si="1"/>
        <v>8943500</v>
      </c>
      <c r="F55" s="4" t="s">
        <v>50</v>
      </c>
      <c r="G55" s="4" t="s">
        <v>245</v>
      </c>
      <c r="H55" s="4" t="s">
        <v>1981</v>
      </c>
      <c r="K55" s="4" t="s">
        <v>6</v>
      </c>
    </row>
    <row r="56" ht="15.75" customHeight="1">
      <c r="A56" s="8">
        <v>46062.0</v>
      </c>
      <c r="B56" s="4" t="s">
        <v>2060</v>
      </c>
      <c r="C56" s="5">
        <v>265000.0</v>
      </c>
      <c r="D56" s="5">
        <v>0.0</v>
      </c>
      <c r="E56" s="5">
        <f t="shared" si="1"/>
        <v>8678500</v>
      </c>
      <c r="F56" s="4" t="s">
        <v>50</v>
      </c>
      <c r="G56" s="4" t="s">
        <v>1988</v>
      </c>
    </row>
    <row r="57" ht="15.75" customHeight="1">
      <c r="A57" s="8">
        <v>46062.0</v>
      </c>
      <c r="B57" s="4" t="s">
        <v>2062</v>
      </c>
      <c r="C57" s="5">
        <v>68000.0</v>
      </c>
      <c r="D57" s="5">
        <v>0.0</v>
      </c>
      <c r="E57" s="5">
        <f t="shared" si="1"/>
        <v>8610500</v>
      </c>
      <c r="F57" s="4" t="s">
        <v>105</v>
      </c>
      <c r="G57" s="4" t="s">
        <v>2064</v>
      </c>
      <c r="H57" s="4" t="s">
        <v>20</v>
      </c>
    </row>
    <row r="58" ht="15.75" customHeight="1">
      <c r="A58" s="8">
        <v>46062.0</v>
      </c>
      <c r="B58" s="4" t="s">
        <v>2065</v>
      </c>
      <c r="C58" s="5">
        <v>105000.0</v>
      </c>
      <c r="D58" s="5">
        <v>0.0</v>
      </c>
      <c r="E58" s="5">
        <f t="shared" si="1"/>
        <v>8505500</v>
      </c>
      <c r="F58" s="4" t="s">
        <v>50</v>
      </c>
      <c r="G58" s="4" t="s">
        <v>1984</v>
      </c>
    </row>
    <row r="59" ht="15.75" customHeight="1">
      <c r="A59" s="8">
        <v>46062.0</v>
      </c>
      <c r="B59" s="4" t="s">
        <v>2067</v>
      </c>
      <c r="C59" s="5">
        <v>125000.0</v>
      </c>
      <c r="D59" s="5">
        <v>0.0</v>
      </c>
      <c r="E59" s="5">
        <f t="shared" si="1"/>
        <v>8380500</v>
      </c>
      <c r="F59" s="4" t="s">
        <v>58</v>
      </c>
      <c r="G59" s="4" t="s">
        <v>59</v>
      </c>
      <c r="H59" s="4" t="s">
        <v>319</v>
      </c>
    </row>
    <row r="60" ht="15.75" customHeight="1">
      <c r="A60" s="8">
        <v>46062.0</v>
      </c>
      <c r="B60" s="4" t="s">
        <v>2069</v>
      </c>
      <c r="C60" s="5">
        <v>235000.0</v>
      </c>
      <c r="D60" s="5">
        <v>0.0</v>
      </c>
      <c r="E60" s="5">
        <f t="shared" si="1"/>
        <v>8145500</v>
      </c>
      <c r="F60" s="4" t="s">
        <v>50</v>
      </c>
      <c r="G60" s="4" t="s">
        <v>1984</v>
      </c>
    </row>
    <row r="61" ht="15.75" customHeight="1">
      <c r="A61" s="8">
        <v>46062.0</v>
      </c>
      <c r="B61" s="4" t="s">
        <v>2073</v>
      </c>
      <c r="C61" s="5">
        <v>345593.0</v>
      </c>
      <c r="D61" s="5">
        <v>0.0</v>
      </c>
      <c r="E61" s="5">
        <f t="shared" si="1"/>
        <v>7799907</v>
      </c>
      <c r="F61" s="4" t="s">
        <v>50</v>
      </c>
      <c r="G61" s="4" t="s">
        <v>245</v>
      </c>
      <c r="H61" s="4" t="s">
        <v>1972</v>
      </c>
    </row>
    <row r="62" ht="15.75" customHeight="1">
      <c r="A62" s="8">
        <v>46062.0</v>
      </c>
      <c r="B62" s="4" t="s">
        <v>2076</v>
      </c>
      <c r="C62" s="5">
        <v>25000.0</v>
      </c>
      <c r="D62" s="5">
        <v>0.0</v>
      </c>
      <c r="E62" s="5">
        <f t="shared" si="1"/>
        <v>7774907</v>
      </c>
      <c r="F62" s="4" t="s">
        <v>50</v>
      </c>
      <c r="G62" s="4" t="s">
        <v>245</v>
      </c>
      <c r="H62" s="4" t="s">
        <v>1972</v>
      </c>
    </row>
    <row r="63" ht="15.75" customHeight="1">
      <c r="A63" s="8">
        <v>46062.0</v>
      </c>
      <c r="B63" s="4" t="s">
        <v>2078</v>
      </c>
      <c r="C63" s="5">
        <v>500000.0</v>
      </c>
      <c r="D63" s="5">
        <v>0.0</v>
      </c>
      <c r="E63" s="5">
        <f t="shared" si="1"/>
        <v>7274907</v>
      </c>
      <c r="F63" s="4" t="s">
        <v>50</v>
      </c>
      <c r="G63" s="4" t="s">
        <v>245</v>
      </c>
      <c r="H63" s="4" t="s">
        <v>1972</v>
      </c>
    </row>
    <row r="64" ht="15.75" customHeight="1">
      <c r="A64" s="8">
        <v>46062.0</v>
      </c>
      <c r="B64" s="4" t="s">
        <v>2081</v>
      </c>
      <c r="C64" s="5">
        <v>29000.0</v>
      </c>
      <c r="D64" s="5">
        <v>0.0</v>
      </c>
      <c r="E64" s="5">
        <f t="shared" si="1"/>
        <v>7245907</v>
      </c>
      <c r="F64" s="4" t="s">
        <v>50</v>
      </c>
      <c r="G64" s="4" t="s">
        <v>1978</v>
      </c>
    </row>
    <row r="65" ht="15.75" customHeight="1">
      <c r="A65" s="8">
        <v>46062.0</v>
      </c>
      <c r="B65" s="4" t="s">
        <v>2083</v>
      </c>
      <c r="C65" s="5">
        <v>180000.0</v>
      </c>
      <c r="D65" s="5">
        <v>0.0</v>
      </c>
      <c r="E65" s="5">
        <f t="shared" si="1"/>
        <v>7065907</v>
      </c>
      <c r="F65" s="4" t="s">
        <v>105</v>
      </c>
      <c r="G65" s="4" t="s">
        <v>106</v>
      </c>
      <c r="H65" s="4" t="s">
        <v>2086</v>
      </c>
    </row>
    <row r="66" ht="15.75" customHeight="1">
      <c r="A66" s="8">
        <v>46062.0</v>
      </c>
      <c r="B66" s="4" t="s">
        <v>2087</v>
      </c>
      <c r="C66" s="5">
        <v>55718.0</v>
      </c>
      <c r="D66" s="5">
        <v>0.0</v>
      </c>
      <c r="E66" s="5">
        <f t="shared" si="1"/>
        <v>7010189</v>
      </c>
      <c r="F66" s="4" t="s">
        <v>50</v>
      </c>
      <c r="G66" s="4" t="s">
        <v>245</v>
      </c>
      <c r="H66" s="4" t="s">
        <v>1981</v>
      </c>
      <c r="K66" s="4" t="s">
        <v>6</v>
      </c>
    </row>
    <row r="67" ht="15.75" customHeight="1">
      <c r="A67" s="8">
        <v>46062.0</v>
      </c>
      <c r="B67" s="4" t="s">
        <v>2029</v>
      </c>
      <c r="C67" s="5">
        <v>183500.0</v>
      </c>
      <c r="D67" s="5">
        <v>0.0</v>
      </c>
      <c r="E67" s="5">
        <f t="shared" si="1"/>
        <v>6826689</v>
      </c>
      <c r="F67" s="15" t="s">
        <v>18</v>
      </c>
      <c r="G67" s="15" t="s">
        <v>80</v>
      </c>
      <c r="H67" s="14" t="s">
        <v>324</v>
      </c>
    </row>
    <row r="68" ht="15.75" customHeight="1">
      <c r="A68" s="8">
        <v>46062.0</v>
      </c>
      <c r="B68" s="4" t="s">
        <v>2029</v>
      </c>
      <c r="C68" s="5">
        <v>253500.0</v>
      </c>
      <c r="D68" s="5">
        <v>0.0</v>
      </c>
      <c r="E68" s="5">
        <f t="shared" si="1"/>
        <v>6573189</v>
      </c>
      <c r="F68" s="4" t="s">
        <v>58</v>
      </c>
      <c r="G68" s="4" t="s">
        <v>59</v>
      </c>
      <c r="H68" s="4" t="s">
        <v>234</v>
      </c>
    </row>
    <row r="69" ht="15.75" customHeight="1">
      <c r="A69" s="8">
        <v>46062.0</v>
      </c>
      <c r="B69" s="4" t="s">
        <v>2009</v>
      </c>
      <c r="C69" s="5">
        <v>54000.0</v>
      </c>
      <c r="D69" s="5">
        <v>0.0</v>
      </c>
      <c r="E69" s="5">
        <f t="shared" si="1"/>
        <v>6519189</v>
      </c>
      <c r="F69" s="4" t="s">
        <v>58</v>
      </c>
      <c r="G69" s="4" t="s">
        <v>59</v>
      </c>
      <c r="H69" s="4" t="s">
        <v>234</v>
      </c>
    </row>
    <row r="70" ht="15.75" customHeight="1">
      <c r="A70" s="8">
        <v>46062.0</v>
      </c>
      <c r="B70" s="4" t="s">
        <v>2090</v>
      </c>
      <c r="C70" s="5">
        <v>130000.0</v>
      </c>
      <c r="D70" s="5">
        <v>0.0</v>
      </c>
      <c r="E70" s="5">
        <f t="shared" si="1"/>
        <v>6389189</v>
      </c>
      <c r="F70" s="4" t="s">
        <v>105</v>
      </c>
      <c r="G70" s="4" t="s">
        <v>106</v>
      </c>
      <c r="H70" s="4" t="s">
        <v>2092</v>
      </c>
    </row>
    <row r="71" ht="15.75" customHeight="1">
      <c r="A71" s="8">
        <v>46062.0</v>
      </c>
      <c r="B71" s="4" t="s">
        <v>2029</v>
      </c>
      <c r="C71" s="5">
        <v>370050.0</v>
      </c>
      <c r="D71" s="5">
        <v>0.0</v>
      </c>
      <c r="E71" s="5">
        <f t="shared" si="1"/>
        <v>6019139</v>
      </c>
      <c r="F71" s="4" t="s">
        <v>50</v>
      </c>
      <c r="G71" s="4" t="s">
        <v>245</v>
      </c>
      <c r="H71" s="4" t="s">
        <v>1981</v>
      </c>
      <c r="K71" s="4" t="s">
        <v>6</v>
      </c>
    </row>
    <row r="72" ht="15.75" customHeight="1">
      <c r="A72" s="8">
        <v>46062.0</v>
      </c>
      <c r="B72" s="4" t="s">
        <v>2095</v>
      </c>
      <c r="C72" s="5">
        <v>45000.0</v>
      </c>
      <c r="D72" s="5">
        <v>0.0</v>
      </c>
      <c r="E72" s="5">
        <f t="shared" si="1"/>
        <v>5974139</v>
      </c>
      <c r="F72" s="4" t="s">
        <v>50</v>
      </c>
      <c r="G72" s="4" t="s">
        <v>245</v>
      </c>
      <c r="H72" s="4" t="s">
        <v>1981</v>
      </c>
      <c r="K72" s="4" t="s">
        <v>6</v>
      </c>
    </row>
    <row r="73" ht="15.75" customHeight="1">
      <c r="A73" s="8">
        <v>46069.0</v>
      </c>
      <c r="B73" s="4" t="s">
        <v>2097</v>
      </c>
      <c r="C73" s="5">
        <v>100000.0</v>
      </c>
      <c r="D73" s="5">
        <v>0.0</v>
      </c>
      <c r="E73" s="5">
        <f t="shared" si="1"/>
        <v>5874139</v>
      </c>
      <c r="F73" s="4" t="s">
        <v>58</v>
      </c>
      <c r="G73" s="4" t="s">
        <v>59</v>
      </c>
      <c r="H73" s="4" t="s">
        <v>294</v>
      </c>
    </row>
    <row r="74" ht="15.75" customHeight="1">
      <c r="A74" s="8">
        <v>46069.0</v>
      </c>
      <c r="B74" s="4" t="s">
        <v>2100</v>
      </c>
      <c r="C74" s="5">
        <v>350000.0</v>
      </c>
      <c r="D74" s="5">
        <v>0.0</v>
      </c>
      <c r="E74" s="5">
        <f t="shared" si="1"/>
        <v>5524139</v>
      </c>
      <c r="F74" s="4" t="s">
        <v>58</v>
      </c>
      <c r="G74" s="4" t="s">
        <v>59</v>
      </c>
      <c r="H74" s="4" t="s">
        <v>314</v>
      </c>
    </row>
    <row r="75" ht="15.75" customHeight="1">
      <c r="A75" s="8">
        <v>46071.0</v>
      </c>
      <c r="B75" s="4" t="s">
        <v>2102</v>
      </c>
      <c r="C75" s="5">
        <v>200000.0</v>
      </c>
      <c r="D75" s="5">
        <v>0.0</v>
      </c>
      <c r="E75" s="5">
        <f t="shared" si="1"/>
        <v>5324139</v>
      </c>
      <c r="F75" s="4" t="s">
        <v>58</v>
      </c>
      <c r="G75" s="4" t="s">
        <v>59</v>
      </c>
      <c r="H75" s="14" t="s">
        <v>326</v>
      </c>
    </row>
    <row r="76" ht="15.75" customHeight="1">
      <c r="A76" s="8">
        <v>46071.0</v>
      </c>
      <c r="B76" s="4" t="s">
        <v>2016</v>
      </c>
      <c r="C76" s="5">
        <v>300000.0</v>
      </c>
      <c r="D76" s="5">
        <v>0.0</v>
      </c>
      <c r="E76" s="5">
        <f t="shared" si="1"/>
        <v>5024139</v>
      </c>
      <c r="F76" s="4" t="s">
        <v>50</v>
      </c>
      <c r="G76" s="4" t="s">
        <v>1978</v>
      </c>
    </row>
    <row r="77" ht="15.75" customHeight="1">
      <c r="A77" s="8">
        <v>46072.0</v>
      </c>
      <c r="B77" s="4" t="s">
        <v>2065</v>
      </c>
      <c r="C77" s="5">
        <v>189000.0</v>
      </c>
      <c r="D77" s="5">
        <v>0.0</v>
      </c>
      <c r="E77" s="5">
        <f t="shared" si="1"/>
        <v>4835139</v>
      </c>
      <c r="F77" s="4" t="s">
        <v>50</v>
      </c>
      <c r="G77" s="4" t="s">
        <v>1984</v>
      </c>
    </row>
    <row r="78" ht="15.75" customHeight="1">
      <c r="A78" s="8">
        <v>46072.0</v>
      </c>
      <c r="B78" s="4" t="s">
        <v>2107</v>
      </c>
      <c r="C78" s="5">
        <v>55000.0</v>
      </c>
      <c r="D78" s="5">
        <v>0.0</v>
      </c>
      <c r="E78" s="5">
        <f t="shared" si="1"/>
        <v>4780139</v>
      </c>
      <c r="F78" s="4" t="s">
        <v>50</v>
      </c>
      <c r="G78" s="4" t="s">
        <v>1996</v>
      </c>
    </row>
    <row r="79" ht="15.75" customHeight="1">
      <c r="A79" s="8">
        <v>46072.0</v>
      </c>
      <c r="B79" s="4" t="s">
        <v>2110</v>
      </c>
      <c r="C79" s="5">
        <v>80000.0</v>
      </c>
      <c r="D79" s="5">
        <v>0.0</v>
      </c>
      <c r="E79" s="5">
        <f t="shared" si="1"/>
        <v>4700139</v>
      </c>
      <c r="F79" s="4" t="s">
        <v>50</v>
      </c>
      <c r="G79" s="4" t="s">
        <v>1984</v>
      </c>
    </row>
    <row r="80" ht="15.75" customHeight="1">
      <c r="A80" s="8">
        <v>46072.0</v>
      </c>
      <c r="B80" s="4" t="s">
        <v>2111</v>
      </c>
      <c r="C80" s="5">
        <v>45600.0</v>
      </c>
      <c r="D80" s="5">
        <v>0.0</v>
      </c>
      <c r="E80" s="5">
        <f t="shared" si="1"/>
        <v>4654539</v>
      </c>
      <c r="F80" s="4" t="s">
        <v>50</v>
      </c>
      <c r="G80" s="4" t="s">
        <v>1984</v>
      </c>
    </row>
    <row r="81" ht="15.75" customHeight="1">
      <c r="A81" s="8">
        <v>46072.0</v>
      </c>
      <c r="B81" s="4" t="s">
        <v>2062</v>
      </c>
      <c r="C81" s="5">
        <v>41000.0</v>
      </c>
      <c r="D81" s="5">
        <v>0.0</v>
      </c>
      <c r="E81" s="5">
        <f t="shared" si="1"/>
        <v>4613539</v>
      </c>
      <c r="F81" s="4" t="s">
        <v>105</v>
      </c>
      <c r="G81" s="4" t="s">
        <v>2064</v>
      </c>
      <c r="H81" s="4" t="s">
        <v>20</v>
      </c>
    </row>
    <row r="82" ht="15.75" customHeight="1">
      <c r="A82" s="8">
        <v>46072.0</v>
      </c>
      <c r="B82" s="4" t="s">
        <v>2114</v>
      </c>
      <c r="C82" s="5">
        <v>50000.0</v>
      </c>
      <c r="D82" s="5">
        <v>0.0</v>
      </c>
      <c r="E82" s="5">
        <f t="shared" si="1"/>
        <v>4563539</v>
      </c>
      <c r="F82" s="4" t="s">
        <v>50</v>
      </c>
      <c r="G82" s="4" t="s">
        <v>178</v>
      </c>
      <c r="H82" s="4" t="s">
        <v>6</v>
      </c>
    </row>
    <row r="83" ht="15.75" customHeight="1">
      <c r="A83" s="8">
        <v>46072.0</v>
      </c>
      <c r="B83" s="4" t="s">
        <v>2116</v>
      </c>
      <c r="C83" s="5">
        <v>21000.0</v>
      </c>
      <c r="D83" s="5">
        <v>0.0</v>
      </c>
      <c r="E83" s="5">
        <f t="shared" si="1"/>
        <v>4542539</v>
      </c>
      <c r="F83" s="4" t="s">
        <v>18</v>
      </c>
      <c r="G83" s="4" t="s">
        <v>80</v>
      </c>
      <c r="H83" s="14" t="s">
        <v>324</v>
      </c>
    </row>
    <row r="84" ht="15.75" customHeight="1">
      <c r="A84" s="8">
        <v>46073.0</v>
      </c>
      <c r="B84" s="4" t="s">
        <v>2118</v>
      </c>
      <c r="C84" s="5">
        <v>100000.0</v>
      </c>
      <c r="D84" s="5">
        <v>0.0</v>
      </c>
      <c r="E84" s="5">
        <f t="shared" si="1"/>
        <v>4442539</v>
      </c>
      <c r="F84" s="4" t="s">
        <v>50</v>
      </c>
      <c r="G84" s="4" t="s">
        <v>245</v>
      </c>
      <c r="H84" s="4" t="s">
        <v>2120</v>
      </c>
    </row>
    <row r="85" ht="15.75" customHeight="1">
      <c r="A85" s="8">
        <v>46073.0</v>
      </c>
      <c r="B85" s="4" t="s">
        <v>2121</v>
      </c>
      <c r="C85" s="5">
        <v>109000.0</v>
      </c>
      <c r="D85" s="5">
        <v>0.0</v>
      </c>
      <c r="E85" s="5">
        <f t="shared" si="1"/>
        <v>4333539</v>
      </c>
      <c r="F85" s="4" t="s">
        <v>50</v>
      </c>
      <c r="G85" s="4" t="s">
        <v>245</v>
      </c>
      <c r="H85" s="4" t="s">
        <v>2120</v>
      </c>
    </row>
    <row r="86" ht="15.75" customHeight="1">
      <c r="A86" s="8">
        <v>46073.0</v>
      </c>
      <c r="B86" s="4" t="s">
        <v>2123</v>
      </c>
      <c r="C86" s="5">
        <v>87000.0</v>
      </c>
      <c r="D86" s="5">
        <v>0.0</v>
      </c>
      <c r="E86" s="5">
        <f t="shared" si="1"/>
        <v>4246539</v>
      </c>
      <c r="F86" s="4" t="s">
        <v>50</v>
      </c>
      <c r="G86" s="4" t="s">
        <v>245</v>
      </c>
      <c r="H86" s="4" t="s">
        <v>2120</v>
      </c>
    </row>
    <row r="87" ht="15.75" customHeight="1">
      <c r="A87" s="8">
        <v>46078.0</v>
      </c>
      <c r="B87" s="4" t="s">
        <v>2047</v>
      </c>
      <c r="C87" s="5">
        <v>479939.0</v>
      </c>
      <c r="D87" s="5">
        <v>0.0</v>
      </c>
      <c r="E87" s="5">
        <f t="shared" si="1"/>
        <v>3766600</v>
      </c>
      <c r="F87" s="4" t="s">
        <v>50</v>
      </c>
      <c r="G87" s="4" t="s">
        <v>245</v>
      </c>
      <c r="H87" s="4" t="s">
        <v>1981</v>
      </c>
      <c r="K87" s="4" t="s">
        <v>6</v>
      </c>
    </row>
    <row r="88" ht="15.75" customHeight="1">
      <c r="A88" s="8">
        <v>46078.0</v>
      </c>
      <c r="B88" s="4" t="s">
        <v>2029</v>
      </c>
      <c r="C88" s="5">
        <v>351000.0</v>
      </c>
      <c r="D88" s="5">
        <v>0.0</v>
      </c>
      <c r="E88" s="5">
        <f t="shared" si="1"/>
        <v>3415600</v>
      </c>
      <c r="F88" s="4" t="s">
        <v>50</v>
      </c>
      <c r="G88" s="4" t="s">
        <v>245</v>
      </c>
      <c r="H88" s="4" t="s">
        <v>1981</v>
      </c>
      <c r="K88" s="4" t="s">
        <v>6</v>
      </c>
    </row>
    <row r="89" ht="15.75" customHeight="1">
      <c r="A89" s="8">
        <v>46078.0</v>
      </c>
      <c r="B89" s="4" t="s">
        <v>2009</v>
      </c>
      <c r="C89" s="5">
        <v>78000.0</v>
      </c>
      <c r="D89" s="5">
        <v>0.0</v>
      </c>
      <c r="E89" s="5">
        <f t="shared" si="1"/>
        <v>3337600</v>
      </c>
      <c r="F89" s="4" t="s">
        <v>50</v>
      </c>
      <c r="G89" s="4" t="s">
        <v>245</v>
      </c>
      <c r="H89" s="4" t="s">
        <v>1981</v>
      </c>
      <c r="K89" s="4" t="s">
        <v>6</v>
      </c>
    </row>
    <row r="90" ht="15.75" customHeight="1">
      <c r="A90" s="8">
        <v>46078.0</v>
      </c>
      <c r="B90" s="4" t="s">
        <v>2029</v>
      </c>
      <c r="C90" s="5">
        <v>227000.0</v>
      </c>
      <c r="D90" s="5">
        <v>0.0</v>
      </c>
      <c r="E90" s="5">
        <f t="shared" si="1"/>
        <v>3110600</v>
      </c>
      <c r="F90" s="4" t="s">
        <v>50</v>
      </c>
      <c r="G90" s="4" t="s">
        <v>245</v>
      </c>
      <c r="H90" s="4" t="s">
        <v>246</v>
      </c>
      <c r="K90" s="4" t="s">
        <v>6</v>
      </c>
    </row>
    <row r="91" ht="15.75" customHeight="1">
      <c r="A91" s="8">
        <v>46078.0</v>
      </c>
      <c r="B91" s="4" t="s">
        <v>2009</v>
      </c>
      <c r="C91" s="5">
        <v>37000.0</v>
      </c>
      <c r="D91" s="5">
        <v>0.0</v>
      </c>
      <c r="E91" s="5">
        <f t="shared" si="1"/>
        <v>3073600</v>
      </c>
      <c r="F91" s="4" t="s">
        <v>50</v>
      </c>
      <c r="G91" s="4" t="s">
        <v>245</v>
      </c>
      <c r="H91" s="4" t="s">
        <v>246</v>
      </c>
      <c r="K91" s="4" t="s">
        <v>6</v>
      </c>
    </row>
    <row r="92" ht="15.75" customHeight="1">
      <c r="A92" s="8">
        <v>46078.0</v>
      </c>
      <c r="B92" s="4" t="s">
        <v>2134</v>
      </c>
      <c r="C92" s="5">
        <v>356400.0</v>
      </c>
      <c r="D92" s="5">
        <v>0.0</v>
      </c>
      <c r="E92" s="5">
        <f t="shared" si="1"/>
        <v>2717200</v>
      </c>
      <c r="F92" s="4" t="s">
        <v>50</v>
      </c>
      <c r="G92" s="4" t="s">
        <v>1780</v>
      </c>
    </row>
    <row r="93" ht="15.75" customHeight="1">
      <c r="A93" s="8">
        <v>46078.0</v>
      </c>
      <c r="B93" s="4" t="s">
        <v>2136</v>
      </c>
      <c r="C93" s="5">
        <v>82750.0</v>
      </c>
      <c r="D93" s="5">
        <v>0.0</v>
      </c>
      <c r="E93" s="5">
        <f t="shared" si="1"/>
        <v>2634450</v>
      </c>
      <c r="F93" s="4" t="s">
        <v>50</v>
      </c>
      <c r="G93" s="4" t="s">
        <v>1780</v>
      </c>
    </row>
    <row r="94" ht="15.75" customHeight="1">
      <c r="A94" s="8">
        <v>46079.0</v>
      </c>
      <c r="B94" s="4" t="s">
        <v>2139</v>
      </c>
      <c r="C94" s="5">
        <f>222000-C95</f>
        <v>200000</v>
      </c>
      <c r="D94" s="5">
        <v>0.0</v>
      </c>
      <c r="E94" s="5">
        <f t="shared" si="1"/>
        <v>2434450</v>
      </c>
      <c r="F94" s="4" t="s">
        <v>50</v>
      </c>
      <c r="G94" s="4" t="s">
        <v>1996</v>
      </c>
    </row>
    <row r="95" ht="15.75" customHeight="1">
      <c r="A95" s="8">
        <v>46079.0</v>
      </c>
      <c r="B95" s="4" t="s">
        <v>2139</v>
      </c>
      <c r="C95" s="5">
        <v>22000.0</v>
      </c>
      <c r="D95" s="5">
        <v>0.0</v>
      </c>
      <c r="E95" s="5">
        <f t="shared" si="1"/>
        <v>2412450</v>
      </c>
      <c r="F95" s="4" t="s">
        <v>21</v>
      </c>
      <c r="G95" s="4" t="s">
        <v>2142</v>
      </c>
      <c r="H95" s="4" t="s">
        <v>613</v>
      </c>
    </row>
    <row r="96" ht="15.75" customHeight="1">
      <c r="A96" s="8">
        <v>46079.0</v>
      </c>
      <c r="B96" s="4" t="s">
        <v>2143</v>
      </c>
      <c r="C96" s="5">
        <v>85500.0</v>
      </c>
      <c r="D96" s="5">
        <v>0.0</v>
      </c>
      <c r="E96" s="5">
        <f t="shared" si="1"/>
        <v>2326950</v>
      </c>
      <c r="F96" s="4" t="s">
        <v>58</v>
      </c>
      <c r="G96" s="4" t="s">
        <v>59</v>
      </c>
      <c r="H96" s="14" t="s">
        <v>326</v>
      </c>
    </row>
    <row r="97" ht="15.75" customHeight="1">
      <c r="A97" s="8">
        <v>46080.0</v>
      </c>
      <c r="B97" s="4" t="s">
        <v>2029</v>
      </c>
      <c r="C97" s="5">
        <v>56500.0</v>
      </c>
      <c r="D97" s="5">
        <v>0.0</v>
      </c>
      <c r="E97" s="5">
        <f t="shared" si="1"/>
        <v>2270450</v>
      </c>
      <c r="F97" s="4" t="s">
        <v>50</v>
      </c>
      <c r="G97" s="4" t="s">
        <v>245</v>
      </c>
      <c r="H97" s="4" t="s">
        <v>2120</v>
      </c>
    </row>
    <row r="98" ht="15.75" customHeight="1">
      <c r="A98" s="8">
        <v>46080.0</v>
      </c>
      <c r="B98" s="4" t="s">
        <v>2145</v>
      </c>
      <c r="C98" s="5">
        <v>75000.0</v>
      </c>
      <c r="D98" s="5">
        <v>0.0</v>
      </c>
      <c r="E98" s="5">
        <f t="shared" si="1"/>
        <v>2195450</v>
      </c>
      <c r="F98" s="4" t="s">
        <v>58</v>
      </c>
      <c r="G98" s="4" t="s">
        <v>59</v>
      </c>
      <c r="H98" s="4" t="s">
        <v>68</v>
      </c>
    </row>
    <row r="99" ht="15.75" customHeight="1">
      <c r="A99" s="8">
        <v>46080.0</v>
      </c>
      <c r="B99" s="4" t="s">
        <v>2147</v>
      </c>
      <c r="C99" s="5">
        <v>11000.0</v>
      </c>
      <c r="D99" s="5">
        <v>0.0</v>
      </c>
      <c r="E99" s="5">
        <f t="shared" si="1"/>
        <v>2184450</v>
      </c>
      <c r="F99" s="4" t="s">
        <v>50</v>
      </c>
      <c r="G99" s="4" t="s">
        <v>1978</v>
      </c>
    </row>
    <row r="100" ht="15.75" customHeight="1">
      <c r="A100" s="8">
        <v>46083.0</v>
      </c>
      <c r="B100" s="4" t="s">
        <v>2016</v>
      </c>
      <c r="C100" s="5">
        <v>300000.0</v>
      </c>
      <c r="D100" s="5">
        <v>0.0</v>
      </c>
      <c r="E100" s="5">
        <f t="shared" si="1"/>
        <v>1884450</v>
      </c>
      <c r="F100" s="4" t="s">
        <v>50</v>
      </c>
      <c r="G100" s="4" t="s">
        <v>1978</v>
      </c>
    </row>
    <row r="101" ht="15.75" customHeight="1">
      <c r="A101" s="8">
        <v>46083.0</v>
      </c>
      <c r="B101" s="4" t="s">
        <v>2149</v>
      </c>
      <c r="C101" s="5">
        <v>346437.0</v>
      </c>
      <c r="D101" s="5">
        <v>0.0</v>
      </c>
      <c r="E101" s="5">
        <f t="shared" si="1"/>
        <v>1538013</v>
      </c>
      <c r="F101" s="4" t="s">
        <v>50</v>
      </c>
      <c r="G101" s="4" t="s">
        <v>51</v>
      </c>
      <c r="H101" s="4" t="s">
        <v>72</v>
      </c>
    </row>
    <row r="102" ht="15.75" customHeight="1">
      <c r="A102" s="8">
        <v>46085.0</v>
      </c>
      <c r="B102" s="4" t="s">
        <v>2151</v>
      </c>
      <c r="C102" s="5">
        <v>500000.0</v>
      </c>
      <c r="D102" s="5">
        <v>0.0</v>
      </c>
      <c r="E102" s="5">
        <f t="shared" si="1"/>
        <v>1038013</v>
      </c>
      <c r="F102" s="4" t="s">
        <v>50</v>
      </c>
      <c r="G102" s="4" t="s">
        <v>245</v>
      </c>
      <c r="H102" s="4" t="s">
        <v>1972</v>
      </c>
    </row>
    <row r="103" ht="15.75" customHeight="1">
      <c r="A103" s="8">
        <v>46085.0</v>
      </c>
      <c r="B103" s="4" t="s">
        <v>2152</v>
      </c>
      <c r="C103" s="5">
        <v>244008.0</v>
      </c>
      <c r="D103" s="5">
        <v>0.0</v>
      </c>
      <c r="E103" s="5">
        <f t="shared" si="1"/>
        <v>794005</v>
      </c>
      <c r="F103" s="4" t="s">
        <v>50</v>
      </c>
      <c r="G103" s="4" t="s">
        <v>245</v>
      </c>
      <c r="H103" s="4" t="s">
        <v>1972</v>
      </c>
    </row>
    <row r="104" ht="15.75" customHeight="1">
      <c r="A104" s="8">
        <v>46090.0</v>
      </c>
      <c r="B104" s="4" t="s">
        <v>2047</v>
      </c>
      <c r="C104" s="5">
        <v>543089.0</v>
      </c>
      <c r="D104" s="5">
        <v>0.0</v>
      </c>
      <c r="E104" s="5">
        <f t="shared" si="1"/>
        <v>250916</v>
      </c>
      <c r="F104" s="4" t="s">
        <v>50</v>
      </c>
      <c r="G104" s="4" t="s">
        <v>245</v>
      </c>
      <c r="H104" s="4" t="s">
        <v>1981</v>
      </c>
      <c r="K104" s="4" t="s">
        <v>6</v>
      </c>
    </row>
    <row r="105" ht="15.75" customHeight="1">
      <c r="A105" s="8">
        <v>46091.0</v>
      </c>
      <c r="B105" s="4" t="s">
        <v>543</v>
      </c>
      <c r="C105" s="5">
        <v>0.0</v>
      </c>
      <c r="D105" s="5">
        <v>9749084.0</v>
      </c>
      <c r="E105" s="5">
        <f t="shared" si="1"/>
        <v>10000000</v>
      </c>
      <c r="F105" s="15" t="s">
        <v>21</v>
      </c>
      <c r="G105" s="4" t="s">
        <v>116</v>
      </c>
    </row>
    <row r="106" ht="15.75" customHeight="1">
      <c r="A106" s="8">
        <v>46092.0</v>
      </c>
      <c r="B106" s="4" t="s">
        <v>2155</v>
      </c>
      <c r="C106" s="5">
        <v>679000.0</v>
      </c>
      <c r="D106" s="5">
        <v>0.0</v>
      </c>
      <c r="E106" s="5">
        <f t="shared" si="1"/>
        <v>9321000</v>
      </c>
      <c r="F106" s="4" t="s">
        <v>58</v>
      </c>
      <c r="G106" s="4" t="s">
        <v>59</v>
      </c>
      <c r="H106" s="14" t="s">
        <v>404</v>
      </c>
    </row>
    <row r="107" ht="15.75" customHeight="1">
      <c r="A107" s="8">
        <v>46092.0</v>
      </c>
      <c r="B107" s="4" t="s">
        <v>2157</v>
      </c>
      <c r="C107" s="5">
        <v>108500.0</v>
      </c>
      <c r="D107" s="5">
        <v>0.0</v>
      </c>
      <c r="E107" s="5">
        <f t="shared" si="1"/>
        <v>9212500</v>
      </c>
      <c r="F107" s="4" t="s">
        <v>50</v>
      </c>
      <c r="G107" s="4" t="s">
        <v>245</v>
      </c>
      <c r="H107" s="4" t="s">
        <v>1981</v>
      </c>
      <c r="K107" s="4" t="s">
        <v>6</v>
      </c>
    </row>
    <row r="108" ht="15.75" customHeight="1">
      <c r="A108" s="8">
        <v>46092.0</v>
      </c>
      <c r="B108" s="4" t="s">
        <v>2159</v>
      </c>
      <c r="C108" s="5">
        <v>79500.0</v>
      </c>
      <c r="D108" s="5">
        <v>0.0</v>
      </c>
      <c r="E108" s="5">
        <f t="shared" si="1"/>
        <v>9133000</v>
      </c>
      <c r="F108" s="4" t="s">
        <v>50</v>
      </c>
      <c r="G108" s="4" t="s">
        <v>245</v>
      </c>
      <c r="H108" s="4" t="s">
        <v>1981</v>
      </c>
      <c r="K108" s="4" t="s">
        <v>6</v>
      </c>
    </row>
    <row r="109" ht="15.75" customHeight="1">
      <c r="A109" s="8">
        <v>46092.0</v>
      </c>
      <c r="B109" s="4" t="s">
        <v>2160</v>
      </c>
      <c r="C109" s="5">
        <v>70000.0</v>
      </c>
      <c r="D109" s="5">
        <v>0.0</v>
      </c>
      <c r="E109" s="5">
        <f t="shared" si="1"/>
        <v>9063000</v>
      </c>
      <c r="F109" s="4" t="s">
        <v>50</v>
      </c>
      <c r="G109" s="4" t="s">
        <v>245</v>
      </c>
      <c r="H109" s="4" t="s">
        <v>1981</v>
      </c>
      <c r="K109" s="4" t="s">
        <v>6</v>
      </c>
    </row>
    <row r="110" ht="15.75" customHeight="1">
      <c r="A110" s="8">
        <v>46092.0</v>
      </c>
      <c r="B110" s="4" t="s">
        <v>2162</v>
      </c>
      <c r="C110" s="5">
        <v>60000.0</v>
      </c>
      <c r="D110" s="5">
        <v>0.0</v>
      </c>
      <c r="E110" s="5">
        <f t="shared" si="1"/>
        <v>9003000</v>
      </c>
      <c r="F110" s="4" t="s">
        <v>50</v>
      </c>
      <c r="G110" s="4" t="s">
        <v>245</v>
      </c>
      <c r="H110" s="4" t="s">
        <v>1981</v>
      </c>
      <c r="K110" s="4" t="s">
        <v>6</v>
      </c>
    </row>
    <row r="111" ht="15.75" customHeight="1">
      <c r="A111" s="8">
        <v>46092.0</v>
      </c>
      <c r="B111" s="4" t="s">
        <v>2164</v>
      </c>
      <c r="C111" s="5">
        <v>20000.0</v>
      </c>
      <c r="D111" s="5">
        <v>0.0</v>
      </c>
      <c r="E111" s="5">
        <f t="shared" si="1"/>
        <v>8983000</v>
      </c>
      <c r="F111" s="4" t="s">
        <v>50</v>
      </c>
      <c r="G111" s="4" t="s">
        <v>245</v>
      </c>
      <c r="H111" s="4" t="s">
        <v>1981</v>
      </c>
      <c r="K111" s="4" t="s">
        <v>6</v>
      </c>
    </row>
    <row r="112" ht="15.75" customHeight="1">
      <c r="A112" s="8">
        <v>46092.0</v>
      </c>
      <c r="B112" s="4" t="s">
        <v>2166</v>
      </c>
      <c r="C112" s="5">
        <v>372000.0</v>
      </c>
      <c r="D112" s="5">
        <v>0.0</v>
      </c>
      <c r="E112" s="5">
        <f t="shared" si="1"/>
        <v>8611000</v>
      </c>
      <c r="F112" s="4" t="s">
        <v>58</v>
      </c>
      <c r="G112" s="4" t="s">
        <v>59</v>
      </c>
      <c r="H112" s="14" t="s">
        <v>404</v>
      </c>
    </row>
    <row r="113" ht="15.75" customHeight="1">
      <c r="A113" s="8">
        <v>46092.0</v>
      </c>
      <c r="B113" s="4" t="s">
        <v>2167</v>
      </c>
      <c r="C113" s="5">
        <v>58500.0</v>
      </c>
      <c r="D113" s="5">
        <v>0.0</v>
      </c>
      <c r="E113" s="5">
        <f t="shared" si="1"/>
        <v>8552500</v>
      </c>
      <c r="F113" s="4" t="s">
        <v>58</v>
      </c>
      <c r="G113" s="4" t="s">
        <v>59</v>
      </c>
      <c r="H113" s="4" t="s">
        <v>408</v>
      </c>
    </row>
    <row r="114" ht="15.75" customHeight="1">
      <c r="A114" s="8">
        <v>46092.0</v>
      </c>
      <c r="B114" s="4" t="s">
        <v>2157</v>
      </c>
      <c r="C114" s="5">
        <v>647000.0</v>
      </c>
      <c r="D114" s="5">
        <v>0.0</v>
      </c>
      <c r="E114" s="5">
        <f t="shared" si="1"/>
        <v>7905500</v>
      </c>
      <c r="F114" s="4" t="s">
        <v>50</v>
      </c>
      <c r="G114" s="4" t="s">
        <v>245</v>
      </c>
      <c r="H114" s="4" t="s">
        <v>413</v>
      </c>
    </row>
    <row r="115" ht="15.75" customHeight="1">
      <c r="A115" s="8">
        <v>46092.0</v>
      </c>
      <c r="B115" s="4" t="s">
        <v>2159</v>
      </c>
      <c r="C115" s="5">
        <v>152000.0</v>
      </c>
      <c r="D115" s="5">
        <v>0.0</v>
      </c>
      <c r="E115" s="5">
        <f t="shared" si="1"/>
        <v>7753500</v>
      </c>
      <c r="F115" s="4" t="s">
        <v>50</v>
      </c>
      <c r="G115" s="4" t="s">
        <v>245</v>
      </c>
      <c r="H115" s="4" t="s">
        <v>413</v>
      </c>
    </row>
    <row r="116" ht="15.75" customHeight="1">
      <c r="A116" s="8">
        <v>46092.0</v>
      </c>
      <c r="B116" s="4" t="s">
        <v>2162</v>
      </c>
      <c r="C116" s="5">
        <v>75000.0</v>
      </c>
      <c r="D116" s="5">
        <v>0.0</v>
      </c>
      <c r="E116" s="5">
        <f t="shared" si="1"/>
        <v>7678500</v>
      </c>
      <c r="F116" s="4" t="s">
        <v>50</v>
      </c>
      <c r="G116" s="4" t="s">
        <v>245</v>
      </c>
      <c r="H116" s="4" t="s">
        <v>413</v>
      </c>
    </row>
    <row r="117" ht="15.75" customHeight="1">
      <c r="A117" s="8">
        <v>46093.0</v>
      </c>
      <c r="B117" s="4" t="s">
        <v>2065</v>
      </c>
      <c r="C117" s="5">
        <v>105000.0</v>
      </c>
      <c r="D117" s="5">
        <v>0.0</v>
      </c>
      <c r="E117" s="5">
        <f t="shared" si="1"/>
        <v>7573500</v>
      </c>
      <c r="F117" s="4" t="s">
        <v>50</v>
      </c>
      <c r="G117" s="4" t="s">
        <v>1984</v>
      </c>
    </row>
    <row r="118" ht="15.75" customHeight="1">
      <c r="A118" s="8">
        <v>46093.0</v>
      </c>
      <c r="B118" s="4" t="s">
        <v>2174</v>
      </c>
      <c r="C118" s="5">
        <v>100000.0</v>
      </c>
      <c r="D118" s="5">
        <v>0.0</v>
      </c>
      <c r="E118" s="5">
        <f t="shared" si="1"/>
        <v>7473500</v>
      </c>
      <c r="F118" s="4" t="s">
        <v>50</v>
      </c>
      <c r="G118" s="4" t="s">
        <v>1988</v>
      </c>
    </row>
    <row r="119" ht="15.75" customHeight="1">
      <c r="A119" s="8">
        <v>46093.0</v>
      </c>
      <c r="B119" s="4" t="s">
        <v>2175</v>
      </c>
      <c r="C119" s="5">
        <v>145400.0</v>
      </c>
      <c r="D119" s="5">
        <v>0.0</v>
      </c>
      <c r="E119" s="5">
        <f t="shared" si="1"/>
        <v>7328100</v>
      </c>
      <c r="F119" s="4" t="s">
        <v>50</v>
      </c>
      <c r="G119" s="4" t="s">
        <v>1984</v>
      </c>
    </row>
    <row r="120" ht="15.75" customHeight="1">
      <c r="A120" s="8">
        <v>46093.0</v>
      </c>
      <c r="B120" s="4" t="s">
        <v>2176</v>
      </c>
      <c r="C120" s="5">
        <v>185000.0</v>
      </c>
      <c r="D120" s="5">
        <v>0.0</v>
      </c>
      <c r="E120" s="5">
        <f t="shared" si="1"/>
        <v>7143100</v>
      </c>
      <c r="F120" s="4" t="s">
        <v>50</v>
      </c>
      <c r="G120" s="4" t="s">
        <v>1996</v>
      </c>
    </row>
    <row r="121" ht="15.75" customHeight="1">
      <c r="A121" s="8">
        <v>46093.0</v>
      </c>
      <c r="B121" s="4" t="s">
        <v>2178</v>
      </c>
      <c r="C121" s="5">
        <v>30000.0</v>
      </c>
      <c r="D121" s="5">
        <v>0.0</v>
      </c>
      <c r="E121" s="5">
        <f t="shared" si="1"/>
        <v>7113100</v>
      </c>
      <c r="F121" s="4" t="s">
        <v>58</v>
      </c>
      <c r="G121" s="4" t="s">
        <v>59</v>
      </c>
      <c r="H121" s="4" t="s">
        <v>408</v>
      </c>
    </row>
    <row r="122" ht="15.75" customHeight="1">
      <c r="A122" s="8">
        <v>46093.0</v>
      </c>
      <c r="B122" s="4" t="s">
        <v>2180</v>
      </c>
      <c r="C122" s="5">
        <v>1202000.0</v>
      </c>
      <c r="D122" s="5">
        <v>0.0</v>
      </c>
      <c r="E122" s="5">
        <f t="shared" si="1"/>
        <v>5911100</v>
      </c>
      <c r="F122" s="4" t="s">
        <v>58</v>
      </c>
      <c r="G122" s="4" t="s">
        <v>59</v>
      </c>
      <c r="H122" s="4" t="s">
        <v>408</v>
      </c>
    </row>
    <row r="123" ht="15.75" customHeight="1">
      <c r="A123" s="8">
        <v>46094.0</v>
      </c>
      <c r="B123" s="4" t="s">
        <v>2182</v>
      </c>
      <c r="C123" s="5">
        <v>602000.0</v>
      </c>
      <c r="D123" s="5">
        <v>0.0</v>
      </c>
      <c r="E123" s="5">
        <f t="shared" si="1"/>
        <v>5309100</v>
      </c>
      <c r="F123" s="4" t="s">
        <v>58</v>
      </c>
      <c r="G123" s="4" t="s">
        <v>59</v>
      </c>
      <c r="H123" s="4" t="s">
        <v>408</v>
      </c>
    </row>
    <row r="124" ht="15.75" customHeight="1">
      <c r="A124" s="8">
        <v>46094.0</v>
      </c>
      <c r="B124" s="4" t="s">
        <v>2186</v>
      </c>
      <c r="C124" s="5">
        <v>392500.0</v>
      </c>
      <c r="D124" s="5">
        <v>0.0</v>
      </c>
      <c r="E124" s="5">
        <f t="shared" si="1"/>
        <v>4916600</v>
      </c>
      <c r="F124" s="4" t="s">
        <v>58</v>
      </c>
      <c r="G124" s="4" t="s">
        <v>59</v>
      </c>
      <c r="H124" s="4" t="s">
        <v>408</v>
      </c>
    </row>
    <row r="125" ht="15.75" customHeight="1">
      <c r="A125" s="8">
        <v>46097.0</v>
      </c>
      <c r="B125" s="4" t="s">
        <v>2016</v>
      </c>
      <c r="C125" s="5">
        <v>300000.0</v>
      </c>
      <c r="D125" s="5">
        <v>0.0</v>
      </c>
      <c r="E125" s="5">
        <f t="shared" si="1"/>
        <v>4616600</v>
      </c>
      <c r="F125" s="4" t="s">
        <v>50</v>
      </c>
      <c r="G125" s="4" t="s">
        <v>1978</v>
      </c>
    </row>
    <row r="126" ht="15.75" customHeight="1">
      <c r="A126" s="8">
        <v>46098.0</v>
      </c>
      <c r="B126" s="4" t="s">
        <v>2189</v>
      </c>
      <c r="C126" s="5">
        <v>150000.0</v>
      </c>
      <c r="D126" s="5">
        <v>0.0</v>
      </c>
      <c r="E126" s="5">
        <f t="shared" si="1"/>
        <v>4466600</v>
      </c>
      <c r="F126" s="4" t="s">
        <v>58</v>
      </c>
      <c r="G126" s="4" t="s">
        <v>59</v>
      </c>
      <c r="H126" s="4" t="s">
        <v>408</v>
      </c>
    </row>
    <row r="127" ht="15.75" customHeight="1">
      <c r="A127" s="8">
        <v>46098.0</v>
      </c>
      <c r="B127" s="4" t="s">
        <v>2193</v>
      </c>
      <c r="C127" s="5">
        <v>80000.0</v>
      </c>
      <c r="D127" s="5">
        <v>0.0</v>
      </c>
      <c r="E127" s="5">
        <f t="shared" si="1"/>
        <v>4386600</v>
      </c>
      <c r="F127" s="4" t="s">
        <v>58</v>
      </c>
      <c r="G127" s="4" t="s">
        <v>59</v>
      </c>
      <c r="H127" s="4" t="s">
        <v>408</v>
      </c>
    </row>
    <row r="128" ht="15.75" customHeight="1">
      <c r="A128" s="8">
        <v>46098.0</v>
      </c>
      <c r="B128" s="4" t="s">
        <v>2195</v>
      </c>
      <c r="C128" s="5">
        <v>61000.0</v>
      </c>
      <c r="D128" s="5">
        <v>0.0</v>
      </c>
      <c r="E128" s="5">
        <f t="shared" si="1"/>
        <v>4325600</v>
      </c>
      <c r="F128" s="4" t="s">
        <v>58</v>
      </c>
      <c r="G128" s="4" t="s">
        <v>59</v>
      </c>
      <c r="H128" s="4" t="s">
        <v>408</v>
      </c>
    </row>
    <row r="129" ht="15.75" customHeight="1">
      <c r="A129" s="8">
        <v>46098.0</v>
      </c>
      <c r="B129" s="4" t="s">
        <v>2198</v>
      </c>
      <c r="C129" s="5">
        <v>45000.0</v>
      </c>
      <c r="D129" s="5">
        <v>0.0</v>
      </c>
      <c r="E129" s="5">
        <f t="shared" si="1"/>
        <v>4280600</v>
      </c>
      <c r="F129" s="4" t="s">
        <v>58</v>
      </c>
      <c r="G129" s="4" t="s">
        <v>59</v>
      </c>
      <c r="H129" s="4" t="s">
        <v>408</v>
      </c>
    </row>
    <row r="130" ht="15.75" customHeight="1">
      <c r="A130" s="8">
        <v>46098.0</v>
      </c>
      <c r="B130" s="4" t="s">
        <v>2157</v>
      </c>
      <c r="C130" s="5">
        <v>195500.0</v>
      </c>
      <c r="D130" s="5">
        <v>0.0</v>
      </c>
      <c r="E130" s="5">
        <f t="shared" si="1"/>
        <v>4085100</v>
      </c>
      <c r="F130" s="4" t="s">
        <v>50</v>
      </c>
      <c r="G130" s="4" t="s">
        <v>245</v>
      </c>
      <c r="H130" s="4" t="s">
        <v>246</v>
      </c>
    </row>
    <row r="131" ht="15.75" customHeight="1">
      <c r="A131" s="8">
        <v>46098.0</v>
      </c>
      <c r="B131" s="4" t="s">
        <v>2123</v>
      </c>
      <c r="C131" s="5">
        <v>145000.0</v>
      </c>
      <c r="D131" s="5">
        <v>0.0</v>
      </c>
      <c r="E131" s="5">
        <f t="shared" si="1"/>
        <v>3940100</v>
      </c>
      <c r="F131" s="4" t="s">
        <v>50</v>
      </c>
      <c r="G131" s="4" t="s">
        <v>245</v>
      </c>
      <c r="H131" s="4" t="s">
        <v>246</v>
      </c>
      <c r="K131" s="4" t="s">
        <v>6</v>
      </c>
    </row>
    <row r="132" ht="15.75" customHeight="1">
      <c r="A132" s="8">
        <v>46098.0</v>
      </c>
      <c r="B132" s="4" t="s">
        <v>2206</v>
      </c>
      <c r="C132" s="5">
        <v>38000.0</v>
      </c>
      <c r="D132" s="5">
        <v>0.0</v>
      </c>
      <c r="E132" s="5">
        <f t="shared" si="1"/>
        <v>3902100</v>
      </c>
      <c r="F132" s="4" t="s">
        <v>50</v>
      </c>
      <c r="G132" s="4" t="s">
        <v>245</v>
      </c>
      <c r="H132" s="4" t="s">
        <v>246</v>
      </c>
      <c r="K132" s="4" t="s">
        <v>6</v>
      </c>
    </row>
    <row r="133" ht="15.75" customHeight="1">
      <c r="A133" s="8">
        <v>46098.0</v>
      </c>
      <c r="B133" s="4" t="s">
        <v>2209</v>
      </c>
      <c r="C133" s="5">
        <v>700000.0</v>
      </c>
      <c r="D133" s="5">
        <v>0.0</v>
      </c>
      <c r="E133" s="5">
        <f t="shared" si="1"/>
        <v>3202100</v>
      </c>
      <c r="F133" s="4" t="s">
        <v>50</v>
      </c>
      <c r="G133" s="4" t="s">
        <v>245</v>
      </c>
      <c r="H133" s="4" t="s">
        <v>2212</v>
      </c>
      <c r="K133" s="4" t="s">
        <v>6</v>
      </c>
    </row>
    <row r="134" ht="15.75" customHeight="1">
      <c r="A134" s="8">
        <v>46098.0</v>
      </c>
      <c r="B134" s="4" t="s">
        <v>2213</v>
      </c>
      <c r="C134" s="5">
        <v>600000.0</v>
      </c>
      <c r="D134" s="5">
        <v>0.0</v>
      </c>
      <c r="E134" s="5">
        <f t="shared" si="1"/>
        <v>2602100</v>
      </c>
      <c r="F134" s="4" t="s">
        <v>58</v>
      </c>
      <c r="G134" s="4" t="s">
        <v>59</v>
      </c>
      <c r="H134" s="4" t="s">
        <v>408</v>
      </c>
    </row>
    <row r="135" ht="15.75" customHeight="1">
      <c r="A135" s="8">
        <v>46098.0</v>
      </c>
      <c r="B135" s="4" t="s">
        <v>2216</v>
      </c>
      <c r="C135" s="5">
        <v>429419.0</v>
      </c>
      <c r="D135" s="5">
        <v>0.0</v>
      </c>
      <c r="E135" s="5">
        <f t="shared" si="1"/>
        <v>2172681</v>
      </c>
      <c r="F135" s="4" t="s">
        <v>50</v>
      </c>
      <c r="G135" s="4" t="s">
        <v>245</v>
      </c>
      <c r="H135" s="4" t="s">
        <v>1981</v>
      </c>
      <c r="K135" s="4" t="s">
        <v>6</v>
      </c>
    </row>
    <row r="136" ht="15.75" customHeight="1">
      <c r="A136" s="8">
        <v>46098.0</v>
      </c>
      <c r="B136" s="4" t="s">
        <v>2217</v>
      </c>
      <c r="C136" s="5">
        <v>310000.0</v>
      </c>
      <c r="D136" s="5">
        <v>0.0</v>
      </c>
      <c r="E136" s="5">
        <f t="shared" si="1"/>
        <v>1862681</v>
      </c>
      <c r="F136" s="4" t="s">
        <v>58</v>
      </c>
      <c r="G136" s="4" t="s">
        <v>59</v>
      </c>
      <c r="H136" s="15" t="s">
        <v>408</v>
      </c>
    </row>
    <row r="137" ht="15.75" customHeight="1">
      <c r="A137" s="21">
        <v>46104.0</v>
      </c>
      <c r="B137" s="14" t="s">
        <v>2222</v>
      </c>
      <c r="C137" s="6">
        <v>95000.0</v>
      </c>
      <c r="D137" s="5">
        <v>0.0</v>
      </c>
      <c r="E137" s="5">
        <f t="shared" si="1"/>
        <v>1767681</v>
      </c>
      <c r="F137" s="15" t="s">
        <v>50</v>
      </c>
      <c r="G137" s="4" t="s">
        <v>178</v>
      </c>
    </row>
    <row r="138" ht="15.75" customHeight="1">
      <c r="A138" s="22">
        <v>46106.0</v>
      </c>
      <c r="B138" s="23" t="s">
        <v>2224</v>
      </c>
      <c r="C138" s="24">
        <v>212624.0</v>
      </c>
      <c r="D138" s="5">
        <v>0.0</v>
      </c>
      <c r="E138" s="5">
        <f t="shared" si="1"/>
        <v>1555057</v>
      </c>
      <c r="F138" s="15" t="s">
        <v>50</v>
      </c>
      <c r="G138" s="4" t="s">
        <v>51</v>
      </c>
      <c r="H138" s="4" t="s">
        <v>72</v>
      </c>
    </row>
    <row r="139" ht="15.75" customHeight="1">
      <c r="A139" s="21">
        <v>46108.0</v>
      </c>
      <c r="B139" s="14" t="s">
        <v>2227</v>
      </c>
      <c r="C139" s="6">
        <v>33000.0</v>
      </c>
      <c r="D139" s="5">
        <v>0.0</v>
      </c>
      <c r="E139" s="5">
        <f t="shared" si="1"/>
        <v>1522057</v>
      </c>
      <c r="F139" s="25" t="s">
        <v>58</v>
      </c>
      <c r="G139" s="23" t="s">
        <v>59</v>
      </c>
      <c r="H139" s="15" t="s">
        <v>408</v>
      </c>
    </row>
    <row r="140" ht="15.75" customHeight="1">
      <c r="A140" s="21">
        <v>46108.0</v>
      </c>
      <c r="B140" s="14" t="s">
        <v>2229</v>
      </c>
      <c r="C140" s="6">
        <v>367650.0</v>
      </c>
      <c r="D140" s="5">
        <v>0.0</v>
      </c>
      <c r="E140" s="5">
        <f t="shared" si="1"/>
        <v>1154407</v>
      </c>
      <c r="F140" s="15" t="s">
        <v>50</v>
      </c>
      <c r="G140" s="4" t="s">
        <v>245</v>
      </c>
      <c r="H140" s="4" t="s">
        <v>413</v>
      </c>
    </row>
    <row r="141" ht="15.75" customHeight="1">
      <c r="A141" s="21">
        <v>46112.0</v>
      </c>
      <c r="B141" s="14" t="s">
        <v>2232</v>
      </c>
      <c r="C141" s="6">
        <v>131000.0</v>
      </c>
      <c r="D141" s="5">
        <v>0.0</v>
      </c>
      <c r="E141" s="5">
        <f t="shared" si="1"/>
        <v>1023407</v>
      </c>
      <c r="F141" s="15" t="s">
        <v>50</v>
      </c>
      <c r="G141" s="4" t="s">
        <v>1996</v>
      </c>
    </row>
    <row r="142" ht="15.75" customHeight="1">
      <c r="A142" s="21">
        <v>46119.0</v>
      </c>
      <c r="B142" s="14" t="s">
        <v>1173</v>
      </c>
      <c r="C142" s="6">
        <v>0.0</v>
      </c>
      <c r="D142" s="5">
        <v>8976593.0</v>
      </c>
      <c r="E142" s="5">
        <f t="shared" si="1"/>
        <v>10000000</v>
      </c>
      <c r="F142" s="15" t="s">
        <v>21</v>
      </c>
      <c r="G142" s="4" t="s">
        <v>116</v>
      </c>
    </row>
    <row r="143" ht="15.75" customHeight="1">
      <c r="A143" s="21">
        <v>46113.0</v>
      </c>
      <c r="B143" s="14" t="s">
        <v>2236</v>
      </c>
      <c r="C143" s="6">
        <v>100000.0</v>
      </c>
      <c r="D143" s="5">
        <v>0.0</v>
      </c>
      <c r="E143" s="5">
        <f t="shared" si="1"/>
        <v>9900000</v>
      </c>
      <c r="F143" s="15" t="s">
        <v>50</v>
      </c>
      <c r="G143" s="4" t="s">
        <v>178</v>
      </c>
    </row>
    <row r="144" ht="15.75" customHeight="1">
      <c r="A144" s="21">
        <v>46118.0</v>
      </c>
      <c r="B144" s="14" t="s">
        <v>2238</v>
      </c>
      <c r="C144" s="6">
        <v>975000.0</v>
      </c>
      <c r="D144" s="5">
        <v>0.0</v>
      </c>
      <c r="E144" s="5">
        <f t="shared" si="1"/>
        <v>8925000</v>
      </c>
      <c r="F144" s="15" t="s">
        <v>50</v>
      </c>
      <c r="G144" s="4" t="s">
        <v>1996</v>
      </c>
    </row>
    <row r="145" ht="15.75" customHeight="1">
      <c r="A145" s="21">
        <v>46118.0</v>
      </c>
      <c r="B145" s="14" t="s">
        <v>2239</v>
      </c>
      <c r="C145" s="6">
        <v>57900.0</v>
      </c>
      <c r="D145" s="5">
        <v>0.0</v>
      </c>
      <c r="E145" s="5">
        <f t="shared" si="1"/>
        <v>8867100</v>
      </c>
      <c r="F145" s="15" t="s">
        <v>50</v>
      </c>
      <c r="G145" s="4" t="s">
        <v>1996</v>
      </c>
    </row>
    <row r="146" ht="15.75" customHeight="1">
      <c r="A146" s="21">
        <v>46118.0</v>
      </c>
      <c r="B146" s="14" t="s">
        <v>2244</v>
      </c>
      <c r="C146" s="6">
        <v>20000.0</v>
      </c>
      <c r="D146" s="5">
        <v>0.0</v>
      </c>
      <c r="E146" s="5">
        <f t="shared" si="1"/>
        <v>8847100</v>
      </c>
      <c r="F146" s="15" t="s">
        <v>50</v>
      </c>
      <c r="G146" s="4" t="s">
        <v>245</v>
      </c>
      <c r="H146" s="4" t="s">
        <v>1981</v>
      </c>
    </row>
    <row r="147" ht="15.75" customHeight="1">
      <c r="A147" s="21">
        <v>46118.0</v>
      </c>
      <c r="B147" s="14" t="s">
        <v>2159</v>
      </c>
      <c r="C147" s="6">
        <v>34000.0</v>
      </c>
      <c r="D147" s="5">
        <v>0.0</v>
      </c>
      <c r="E147" s="5">
        <f t="shared" si="1"/>
        <v>8813100</v>
      </c>
      <c r="F147" s="15" t="s">
        <v>50</v>
      </c>
      <c r="G147" s="4" t="s">
        <v>245</v>
      </c>
      <c r="H147" s="4" t="s">
        <v>1981</v>
      </c>
    </row>
    <row r="148" ht="15.75" customHeight="1">
      <c r="A148" s="21">
        <v>46118.0</v>
      </c>
      <c r="B148" s="14" t="s">
        <v>2247</v>
      </c>
      <c r="C148" s="6">
        <v>230000.0</v>
      </c>
      <c r="D148" s="5">
        <v>0.0</v>
      </c>
      <c r="E148" s="5">
        <f t="shared" si="1"/>
        <v>8583100</v>
      </c>
      <c r="F148" s="15" t="s">
        <v>50</v>
      </c>
      <c r="G148" s="4" t="s">
        <v>245</v>
      </c>
      <c r="H148" s="4" t="s">
        <v>1981</v>
      </c>
    </row>
    <row r="149" ht="15.75" customHeight="1">
      <c r="A149" s="21">
        <v>46118.0</v>
      </c>
      <c r="B149" s="14" t="s">
        <v>2249</v>
      </c>
      <c r="C149" s="6">
        <v>45000.0</v>
      </c>
      <c r="D149" s="5">
        <v>0.0</v>
      </c>
      <c r="E149" s="5">
        <f t="shared" si="1"/>
        <v>8538100</v>
      </c>
      <c r="F149" s="15" t="s">
        <v>50</v>
      </c>
      <c r="G149" s="4" t="s">
        <v>245</v>
      </c>
      <c r="H149" s="4" t="s">
        <v>1981</v>
      </c>
    </row>
    <row r="150" ht="15.75" customHeight="1">
      <c r="A150" s="21">
        <v>46118.0</v>
      </c>
      <c r="B150" s="14" t="s">
        <v>2251</v>
      </c>
      <c r="C150" s="6">
        <v>36000.0</v>
      </c>
      <c r="D150" s="5">
        <v>0.0</v>
      </c>
      <c r="E150" s="5">
        <f t="shared" si="1"/>
        <v>8502100</v>
      </c>
      <c r="F150" s="15" t="s">
        <v>50</v>
      </c>
      <c r="G150" s="4" t="s">
        <v>1996</v>
      </c>
    </row>
    <row r="151" ht="15.75" customHeight="1">
      <c r="A151" s="21">
        <v>46118.0</v>
      </c>
      <c r="B151" s="14" t="s">
        <v>2254</v>
      </c>
      <c r="C151" s="6">
        <v>90000.0</v>
      </c>
      <c r="D151" s="5">
        <v>0.0</v>
      </c>
      <c r="E151" s="5">
        <f t="shared" si="1"/>
        <v>8412100</v>
      </c>
      <c r="F151" s="15" t="s">
        <v>58</v>
      </c>
      <c r="G151" s="4" t="s">
        <v>59</v>
      </c>
      <c r="H151" s="4" t="s">
        <v>931</v>
      </c>
    </row>
    <row r="152" ht="15.75" customHeight="1">
      <c r="A152" s="21">
        <v>46118.0</v>
      </c>
      <c r="B152" s="14" t="s">
        <v>2256</v>
      </c>
      <c r="C152" s="6">
        <v>180000.0</v>
      </c>
      <c r="D152" s="5">
        <v>0.0</v>
      </c>
      <c r="E152" s="5">
        <f t="shared" si="1"/>
        <v>8232100</v>
      </c>
      <c r="F152" s="15" t="s">
        <v>50</v>
      </c>
      <c r="G152" s="4" t="s">
        <v>1984</v>
      </c>
    </row>
    <row r="153" ht="15.75" customHeight="1">
      <c r="A153" s="21">
        <v>46118.0</v>
      </c>
      <c r="B153" s="14" t="s">
        <v>2257</v>
      </c>
      <c r="C153" s="6">
        <v>140000.0</v>
      </c>
      <c r="D153" s="5">
        <v>0.0</v>
      </c>
      <c r="E153" s="5">
        <f t="shared" si="1"/>
        <v>8092100</v>
      </c>
      <c r="F153" s="15" t="s">
        <v>58</v>
      </c>
      <c r="G153" s="4" t="s">
        <v>59</v>
      </c>
      <c r="H153" s="4" t="s">
        <v>931</v>
      </c>
    </row>
    <row r="154" ht="15.75" customHeight="1">
      <c r="A154" s="21">
        <v>46118.0</v>
      </c>
      <c r="B154" s="14" t="s">
        <v>2259</v>
      </c>
      <c r="C154" s="6">
        <v>6000.0</v>
      </c>
      <c r="D154" s="5">
        <v>0.0</v>
      </c>
      <c r="E154" s="5">
        <f t="shared" si="1"/>
        <v>8086100</v>
      </c>
      <c r="F154" s="15" t="s">
        <v>50</v>
      </c>
      <c r="G154" s="4" t="s">
        <v>1978</v>
      </c>
    </row>
    <row r="155" ht="15.75" customHeight="1">
      <c r="A155" s="21">
        <v>46118.0</v>
      </c>
      <c r="B155" s="14" t="s">
        <v>2261</v>
      </c>
      <c r="C155" s="6">
        <v>68000.0</v>
      </c>
      <c r="D155" s="5">
        <v>0.0</v>
      </c>
      <c r="E155" s="5">
        <f t="shared" si="1"/>
        <v>8018100</v>
      </c>
      <c r="F155" s="15" t="s">
        <v>50</v>
      </c>
      <c r="G155" s="4" t="s">
        <v>1978</v>
      </c>
    </row>
    <row r="156" ht="15.75" customHeight="1">
      <c r="A156" s="21">
        <v>46118.0</v>
      </c>
      <c r="B156" s="14" t="s">
        <v>2263</v>
      </c>
      <c r="C156" s="6">
        <v>500000.0</v>
      </c>
      <c r="D156" s="5">
        <v>0.0</v>
      </c>
      <c r="E156" s="5">
        <f t="shared" si="1"/>
        <v>7518100</v>
      </c>
      <c r="F156" s="15" t="s">
        <v>50</v>
      </c>
      <c r="G156" s="4" t="s">
        <v>245</v>
      </c>
      <c r="H156" s="4" t="s">
        <v>1972</v>
      </c>
    </row>
    <row r="157" ht="15.75" customHeight="1">
      <c r="A157" s="21">
        <v>46118.0</v>
      </c>
      <c r="B157" s="14" t="s">
        <v>2265</v>
      </c>
      <c r="C157" s="6">
        <v>206931.0</v>
      </c>
      <c r="D157" s="5">
        <v>0.0</v>
      </c>
      <c r="E157" s="5">
        <f t="shared" si="1"/>
        <v>7311169</v>
      </c>
      <c r="F157" s="15" t="s">
        <v>50</v>
      </c>
      <c r="G157" s="4" t="s">
        <v>245</v>
      </c>
      <c r="H157" s="4" t="s">
        <v>1972</v>
      </c>
    </row>
    <row r="158" ht="15.75" customHeight="1">
      <c r="A158" s="21">
        <v>46118.0</v>
      </c>
      <c r="B158" s="14" t="s">
        <v>2266</v>
      </c>
      <c r="C158" s="6">
        <v>36000.0</v>
      </c>
      <c r="D158" s="5">
        <v>0.0</v>
      </c>
      <c r="E158" s="5">
        <f t="shared" si="1"/>
        <v>7275169</v>
      </c>
      <c r="F158" s="15" t="s">
        <v>50</v>
      </c>
      <c r="G158" s="4" t="s">
        <v>245</v>
      </c>
      <c r="H158" s="4" t="s">
        <v>1972</v>
      </c>
    </row>
    <row r="159" ht="15.75" customHeight="1">
      <c r="A159" s="21">
        <v>46118.0</v>
      </c>
      <c r="B159" s="14" t="s">
        <v>2247</v>
      </c>
      <c r="C159" s="6">
        <v>560000.0</v>
      </c>
      <c r="D159" s="5">
        <v>0.0</v>
      </c>
      <c r="E159" s="5">
        <f t="shared" si="1"/>
        <v>6715169</v>
      </c>
      <c r="F159" s="15" t="s">
        <v>50</v>
      </c>
      <c r="G159" s="4" t="s">
        <v>245</v>
      </c>
      <c r="H159" s="4" t="s">
        <v>413</v>
      </c>
    </row>
    <row r="160" ht="15.75" customHeight="1">
      <c r="A160" s="21">
        <v>46118.0</v>
      </c>
      <c r="B160" s="14" t="s">
        <v>2159</v>
      </c>
      <c r="C160" s="6">
        <v>79000.0</v>
      </c>
      <c r="D160" s="5">
        <v>0.0</v>
      </c>
      <c r="E160" s="5">
        <f t="shared" si="1"/>
        <v>6636169</v>
      </c>
      <c r="F160" s="15" t="s">
        <v>50</v>
      </c>
      <c r="G160" s="4" t="s">
        <v>245</v>
      </c>
      <c r="H160" s="4" t="s">
        <v>413</v>
      </c>
    </row>
    <row r="161" ht="15.75" customHeight="1">
      <c r="A161" s="21">
        <v>46118.0</v>
      </c>
      <c r="B161" s="14" t="s">
        <v>2206</v>
      </c>
      <c r="C161" s="6">
        <v>100000.0</v>
      </c>
      <c r="D161" s="5">
        <v>0.0</v>
      </c>
      <c r="E161" s="5">
        <f t="shared" si="1"/>
        <v>6536169</v>
      </c>
      <c r="F161" s="15" t="s">
        <v>50</v>
      </c>
      <c r="G161" s="4" t="s">
        <v>245</v>
      </c>
      <c r="H161" s="4" t="s">
        <v>413</v>
      </c>
    </row>
    <row r="162" ht="15.75" customHeight="1">
      <c r="A162" s="21">
        <v>46118.0</v>
      </c>
      <c r="B162" s="14" t="s">
        <v>2271</v>
      </c>
      <c r="C162" s="6">
        <v>435000.0</v>
      </c>
      <c r="D162" s="5">
        <v>0.0</v>
      </c>
      <c r="E162" s="5">
        <f t="shared" si="1"/>
        <v>6101169</v>
      </c>
      <c r="F162" s="15" t="s">
        <v>50</v>
      </c>
      <c r="G162" s="4" t="s">
        <v>1996</v>
      </c>
    </row>
    <row r="163" ht="15.75" customHeight="1">
      <c r="A163" s="21">
        <v>46118.0</v>
      </c>
      <c r="B163" s="14" t="s">
        <v>2274</v>
      </c>
      <c r="C163" s="6">
        <v>60000.0</v>
      </c>
      <c r="D163" s="5">
        <v>0.0</v>
      </c>
      <c r="E163" s="5">
        <f t="shared" si="1"/>
        <v>6041169</v>
      </c>
      <c r="F163" s="15" t="s">
        <v>50</v>
      </c>
      <c r="G163" s="4" t="s">
        <v>1996</v>
      </c>
    </row>
    <row r="164" ht="15.75" customHeight="1">
      <c r="A164" s="21">
        <v>46118.0</v>
      </c>
      <c r="B164" s="14" t="s">
        <v>2278</v>
      </c>
      <c r="C164" s="6">
        <v>260000.0</v>
      </c>
      <c r="D164" s="5">
        <v>0.0</v>
      </c>
      <c r="E164" s="5">
        <f t="shared" si="1"/>
        <v>5781169</v>
      </c>
      <c r="F164" s="15" t="s">
        <v>58</v>
      </c>
      <c r="G164" s="4" t="s">
        <v>59</v>
      </c>
      <c r="H164" s="4" t="s">
        <v>111</v>
      </c>
    </row>
    <row r="165" ht="15.75" customHeight="1">
      <c r="A165" s="21">
        <v>46118.0</v>
      </c>
      <c r="B165" s="14" t="s">
        <v>2280</v>
      </c>
      <c r="C165" s="6">
        <v>400000.0</v>
      </c>
      <c r="D165" s="5">
        <v>0.0</v>
      </c>
      <c r="E165" s="5">
        <f t="shared" si="1"/>
        <v>5381169</v>
      </c>
      <c r="F165" s="15" t="s">
        <v>50</v>
      </c>
      <c r="G165" s="4" t="s">
        <v>1988</v>
      </c>
    </row>
    <row r="166" ht="15.75" customHeight="1">
      <c r="A166" s="21">
        <v>46118.0</v>
      </c>
      <c r="B166" s="14" t="s">
        <v>2283</v>
      </c>
      <c r="C166" s="6">
        <v>480000.0</v>
      </c>
      <c r="D166" s="5">
        <v>0.0</v>
      </c>
      <c r="E166" s="5">
        <f t="shared" si="1"/>
        <v>4901169</v>
      </c>
      <c r="F166" s="15" t="s">
        <v>105</v>
      </c>
      <c r="G166" s="4" t="s">
        <v>106</v>
      </c>
      <c r="H166" s="4" t="s">
        <v>2092</v>
      </c>
    </row>
    <row r="167" ht="15.75" customHeight="1">
      <c r="A167" s="21">
        <v>46120.0</v>
      </c>
      <c r="B167" s="14" t="s">
        <v>2247</v>
      </c>
      <c r="C167" s="6">
        <v>179500.0</v>
      </c>
      <c r="D167" s="5">
        <v>0.0</v>
      </c>
      <c r="E167" s="5">
        <f t="shared" si="1"/>
        <v>4721669</v>
      </c>
      <c r="F167" s="15" t="s">
        <v>50</v>
      </c>
      <c r="G167" s="4" t="s">
        <v>245</v>
      </c>
      <c r="H167" s="4" t="s">
        <v>246</v>
      </c>
      <c r="K167" s="4" t="s">
        <v>6</v>
      </c>
    </row>
    <row r="168" ht="15.75" customHeight="1">
      <c r="A168" s="21">
        <v>46120.0</v>
      </c>
      <c r="B168" s="14" t="s">
        <v>2159</v>
      </c>
      <c r="C168" s="6">
        <v>89000.0</v>
      </c>
      <c r="D168" s="5">
        <v>0.0</v>
      </c>
      <c r="E168" s="5">
        <f t="shared" si="1"/>
        <v>4632669</v>
      </c>
      <c r="F168" s="15" t="s">
        <v>50</v>
      </c>
      <c r="G168" s="4" t="s">
        <v>245</v>
      </c>
      <c r="H168" s="4" t="s">
        <v>246</v>
      </c>
      <c r="K168" s="4" t="s">
        <v>6</v>
      </c>
    </row>
    <row r="169" ht="15.75" customHeight="1">
      <c r="A169" s="21">
        <v>46120.0</v>
      </c>
      <c r="B169" s="14" t="s">
        <v>2287</v>
      </c>
      <c r="C169" s="6">
        <v>100000.0</v>
      </c>
      <c r="D169" s="5">
        <v>0.0</v>
      </c>
      <c r="E169" s="5">
        <f t="shared" si="1"/>
        <v>4532669</v>
      </c>
      <c r="F169" s="15" t="s">
        <v>50</v>
      </c>
      <c r="G169" s="4" t="s">
        <v>245</v>
      </c>
      <c r="H169" s="4" t="s">
        <v>246</v>
      </c>
      <c r="K169" s="4" t="s">
        <v>6</v>
      </c>
    </row>
    <row r="170" ht="15.75" customHeight="1">
      <c r="A170" s="21">
        <v>46120.0</v>
      </c>
      <c r="B170" s="14" t="s">
        <v>2289</v>
      </c>
      <c r="C170" s="6">
        <v>875000.0</v>
      </c>
      <c r="D170" s="5">
        <v>0.0</v>
      </c>
      <c r="E170" s="5">
        <f t="shared" si="1"/>
        <v>3657669</v>
      </c>
      <c r="F170" s="15" t="s">
        <v>50</v>
      </c>
      <c r="G170" s="4" t="s">
        <v>1996</v>
      </c>
    </row>
    <row r="171" ht="15.75" customHeight="1">
      <c r="A171" s="21">
        <v>46120.0</v>
      </c>
      <c r="B171" s="14" t="s">
        <v>2290</v>
      </c>
      <c r="C171" s="6">
        <v>170000.0</v>
      </c>
      <c r="D171" s="5">
        <v>0.0</v>
      </c>
      <c r="E171" s="5">
        <f t="shared" si="1"/>
        <v>3487669</v>
      </c>
      <c r="F171" s="15" t="s">
        <v>50</v>
      </c>
      <c r="G171" s="4" t="s">
        <v>1996</v>
      </c>
    </row>
    <row r="172" ht="15.75" customHeight="1">
      <c r="A172" s="21">
        <v>46120.0</v>
      </c>
      <c r="B172" s="14" t="s">
        <v>2291</v>
      </c>
      <c r="C172" s="6">
        <v>343300.0</v>
      </c>
      <c r="D172" s="5">
        <v>0.0</v>
      </c>
      <c r="E172" s="5">
        <f t="shared" si="1"/>
        <v>3144369</v>
      </c>
      <c r="F172" s="15" t="s">
        <v>50</v>
      </c>
      <c r="G172" s="4" t="s">
        <v>1780</v>
      </c>
    </row>
    <row r="173" ht="15.75" customHeight="1">
      <c r="A173" s="21">
        <v>46120.0</v>
      </c>
      <c r="B173" s="14" t="s">
        <v>2292</v>
      </c>
      <c r="C173" s="6">
        <v>300000.0</v>
      </c>
      <c r="D173" s="5">
        <v>0.0</v>
      </c>
      <c r="E173" s="5">
        <f t="shared" si="1"/>
        <v>2844369</v>
      </c>
      <c r="F173" s="15" t="s">
        <v>50</v>
      </c>
      <c r="G173" s="4" t="s">
        <v>1978</v>
      </c>
    </row>
    <row r="174" ht="15.75" customHeight="1">
      <c r="A174" s="21">
        <v>46121.0</v>
      </c>
      <c r="B174" s="14" t="s">
        <v>2047</v>
      </c>
      <c r="C174" s="6">
        <v>500000.0</v>
      </c>
      <c r="D174" s="5">
        <v>0.0</v>
      </c>
      <c r="E174" s="5">
        <f t="shared" si="1"/>
        <v>2344369</v>
      </c>
      <c r="F174" s="15" t="s">
        <v>50</v>
      </c>
      <c r="G174" s="4" t="s">
        <v>245</v>
      </c>
      <c r="H174" s="4" t="s">
        <v>1981</v>
      </c>
      <c r="K174" s="4" t="s">
        <v>6</v>
      </c>
    </row>
    <row r="175" ht="15.75" customHeight="1">
      <c r="A175" s="21">
        <v>46122.0</v>
      </c>
      <c r="B175" s="14" t="s">
        <v>2296</v>
      </c>
      <c r="C175" s="6">
        <v>350000.0</v>
      </c>
      <c r="D175" s="5">
        <v>0.0</v>
      </c>
      <c r="E175" s="5">
        <f t="shared" si="1"/>
        <v>1994369</v>
      </c>
      <c r="F175" s="15" t="s">
        <v>58</v>
      </c>
      <c r="G175" s="4" t="s">
        <v>59</v>
      </c>
      <c r="H175" s="15" t="s">
        <v>408</v>
      </c>
    </row>
    <row r="176" ht="15.75" customHeight="1">
      <c r="A176" s="21">
        <v>46122.0</v>
      </c>
      <c r="B176" s="14" t="s">
        <v>2299</v>
      </c>
      <c r="C176" s="6">
        <v>5000.0</v>
      </c>
      <c r="D176" s="5">
        <v>0.0</v>
      </c>
      <c r="E176" s="5">
        <f t="shared" si="1"/>
        <v>1989369</v>
      </c>
      <c r="F176" s="15" t="s">
        <v>58</v>
      </c>
      <c r="G176" s="4" t="s">
        <v>59</v>
      </c>
      <c r="H176" s="15" t="s">
        <v>408</v>
      </c>
    </row>
    <row r="177" ht="15.75" customHeight="1">
      <c r="A177" s="21">
        <v>46122.0</v>
      </c>
      <c r="B177" s="14" t="s">
        <v>2301</v>
      </c>
      <c r="C177" s="6">
        <v>105500.0</v>
      </c>
      <c r="D177" s="5">
        <v>0.0</v>
      </c>
      <c r="E177" s="5">
        <f t="shared" si="1"/>
        <v>1883869</v>
      </c>
      <c r="F177" s="15" t="s">
        <v>58</v>
      </c>
      <c r="G177" s="4" t="s">
        <v>59</v>
      </c>
      <c r="H177" s="15" t="s">
        <v>408</v>
      </c>
    </row>
    <row r="178" ht="15.75" customHeight="1">
      <c r="A178" s="21">
        <v>46122.0</v>
      </c>
      <c r="B178" s="14" t="s">
        <v>2304</v>
      </c>
      <c r="C178" s="6">
        <v>23500.0</v>
      </c>
      <c r="D178" s="5">
        <v>0.0</v>
      </c>
      <c r="E178" s="5">
        <f t="shared" si="1"/>
        <v>1860369</v>
      </c>
      <c r="F178" s="15" t="s">
        <v>58</v>
      </c>
      <c r="G178" s="4" t="s">
        <v>59</v>
      </c>
      <c r="H178" s="15" t="s">
        <v>408</v>
      </c>
    </row>
    <row r="179" ht="15.75" customHeight="1">
      <c r="A179" s="21">
        <v>46122.0</v>
      </c>
      <c r="B179" s="14" t="s">
        <v>2305</v>
      </c>
      <c r="C179" s="6">
        <v>80000.0</v>
      </c>
      <c r="D179" s="5">
        <v>0.0</v>
      </c>
      <c r="E179" s="5">
        <f t="shared" si="1"/>
        <v>1780369</v>
      </c>
      <c r="F179" s="15" t="s">
        <v>50</v>
      </c>
      <c r="G179" s="4" t="s">
        <v>1780</v>
      </c>
    </row>
    <row r="180" ht="15.75" customHeight="1">
      <c r="A180" s="21">
        <v>46122.0</v>
      </c>
      <c r="B180" s="14" t="s">
        <v>2308</v>
      </c>
      <c r="C180" s="6">
        <v>52350.0</v>
      </c>
      <c r="D180" s="5">
        <v>0.0</v>
      </c>
      <c r="E180" s="5">
        <f t="shared" si="1"/>
        <v>1728019</v>
      </c>
      <c r="F180" s="15" t="s">
        <v>50</v>
      </c>
      <c r="G180" s="4" t="s">
        <v>1780</v>
      </c>
    </row>
    <row r="181" ht="15.75" customHeight="1">
      <c r="A181" s="21">
        <v>46122.0</v>
      </c>
      <c r="B181" s="14" t="s">
        <v>2311</v>
      </c>
      <c r="C181" s="6">
        <v>56000.0</v>
      </c>
      <c r="D181" s="5">
        <v>0.0</v>
      </c>
      <c r="E181" s="5">
        <f t="shared" si="1"/>
        <v>1672019</v>
      </c>
      <c r="F181" s="15" t="s">
        <v>50</v>
      </c>
      <c r="G181" s="15" t="s">
        <v>1780</v>
      </c>
    </row>
    <row r="182" ht="15.75" customHeight="1">
      <c r="A182" s="21">
        <v>46122.0</v>
      </c>
      <c r="B182" s="14" t="s">
        <v>2313</v>
      </c>
      <c r="C182" s="6">
        <v>345000.0</v>
      </c>
      <c r="D182" s="5">
        <v>0.0</v>
      </c>
      <c r="E182" s="5">
        <f t="shared" si="1"/>
        <v>1327019</v>
      </c>
      <c r="F182" s="15" t="s">
        <v>50</v>
      </c>
      <c r="G182" s="4" t="s">
        <v>1996</v>
      </c>
    </row>
    <row r="183" ht="15.75" customHeight="1">
      <c r="A183" s="21">
        <v>46125.0</v>
      </c>
      <c r="B183" s="14" t="s">
        <v>2316</v>
      </c>
      <c r="C183" s="6">
        <v>350000.0</v>
      </c>
      <c r="D183" s="5">
        <v>0.0</v>
      </c>
      <c r="E183" s="5">
        <f t="shared" si="1"/>
        <v>977019</v>
      </c>
      <c r="F183" s="15" t="s">
        <v>50</v>
      </c>
      <c r="G183" s="15" t="s">
        <v>1988</v>
      </c>
    </row>
    <row r="184" ht="15.75" customHeight="1">
      <c r="A184" s="21">
        <v>46129.0</v>
      </c>
      <c r="B184" s="14" t="s">
        <v>2292</v>
      </c>
      <c r="C184" s="6">
        <v>300000.0</v>
      </c>
      <c r="D184" s="5">
        <v>0.0</v>
      </c>
      <c r="E184" s="5">
        <f t="shared" si="1"/>
        <v>677019</v>
      </c>
      <c r="F184" s="15" t="s">
        <v>50</v>
      </c>
      <c r="G184" s="4" t="s">
        <v>1978</v>
      </c>
    </row>
    <row r="185" ht="15.75" customHeight="1">
      <c r="A185" s="21">
        <v>46133.0</v>
      </c>
      <c r="B185" s="14" t="s">
        <v>543</v>
      </c>
      <c r="C185" s="6">
        <v>0.0</v>
      </c>
      <c r="D185" s="6">
        <v>9322981.0</v>
      </c>
      <c r="E185" s="5">
        <f t="shared" si="1"/>
        <v>10000000</v>
      </c>
      <c r="F185" s="15" t="s">
        <v>21</v>
      </c>
      <c r="G185" s="4" t="s">
        <v>116</v>
      </c>
    </row>
    <row r="186" ht="15.75" customHeight="1">
      <c r="A186" s="21">
        <v>46134.0</v>
      </c>
      <c r="B186" s="14" t="s">
        <v>2320</v>
      </c>
      <c r="C186" s="6">
        <v>200000.0</v>
      </c>
      <c r="D186" s="5">
        <v>0.0</v>
      </c>
      <c r="E186" s="5">
        <f t="shared" si="1"/>
        <v>9800000</v>
      </c>
      <c r="F186" s="15" t="s">
        <v>50</v>
      </c>
      <c r="G186" s="4" t="s">
        <v>1988</v>
      </c>
    </row>
    <row r="187" ht="15.75" customHeight="1">
      <c r="A187" s="21">
        <v>46134.0</v>
      </c>
      <c r="B187" s="14" t="s">
        <v>2321</v>
      </c>
      <c r="C187" s="6">
        <v>22000.0</v>
      </c>
      <c r="D187" s="5">
        <v>0.0</v>
      </c>
      <c r="E187" s="5">
        <f t="shared" si="1"/>
        <v>9778000</v>
      </c>
      <c r="F187" s="15" t="s">
        <v>50</v>
      </c>
      <c r="G187" s="4" t="s">
        <v>245</v>
      </c>
      <c r="H187" s="4" t="s">
        <v>2212</v>
      </c>
    </row>
    <row r="188" ht="15.75" customHeight="1">
      <c r="A188" s="21">
        <v>46134.0</v>
      </c>
      <c r="B188" s="14" t="s">
        <v>2247</v>
      </c>
      <c r="C188" s="6">
        <v>164500.0</v>
      </c>
      <c r="D188" s="5">
        <v>0.0</v>
      </c>
      <c r="E188" s="5">
        <f t="shared" si="1"/>
        <v>9613500</v>
      </c>
      <c r="F188" s="15" t="s">
        <v>50</v>
      </c>
      <c r="G188" s="4" t="s">
        <v>245</v>
      </c>
      <c r="H188" s="4" t="s">
        <v>246</v>
      </c>
      <c r="K188" s="4" t="s">
        <v>6</v>
      </c>
    </row>
    <row r="189" ht="15.75" customHeight="1">
      <c r="A189" s="21">
        <v>46134.0</v>
      </c>
      <c r="B189" s="14" t="s">
        <v>2159</v>
      </c>
      <c r="C189" s="6">
        <v>91000.0</v>
      </c>
      <c r="D189" s="5">
        <v>0.0</v>
      </c>
      <c r="E189" s="5">
        <f t="shared" si="1"/>
        <v>9522500</v>
      </c>
      <c r="F189" s="15" t="s">
        <v>50</v>
      </c>
      <c r="G189" s="4" t="s">
        <v>245</v>
      </c>
      <c r="H189" s="4" t="s">
        <v>246</v>
      </c>
      <c r="K189" s="4" t="s">
        <v>6</v>
      </c>
    </row>
    <row r="190" ht="15.75" customHeight="1">
      <c r="A190" s="21">
        <v>46134.0</v>
      </c>
      <c r="B190" s="14" t="s">
        <v>2325</v>
      </c>
      <c r="C190" s="6">
        <v>100000.0</v>
      </c>
      <c r="D190" s="5">
        <v>0.0</v>
      </c>
      <c r="E190" s="5">
        <f t="shared" si="1"/>
        <v>9422500</v>
      </c>
      <c r="F190" s="15" t="s">
        <v>50</v>
      </c>
      <c r="G190" s="4" t="s">
        <v>245</v>
      </c>
      <c r="H190" s="4" t="s">
        <v>246</v>
      </c>
      <c r="K190" s="4" t="s">
        <v>6</v>
      </c>
    </row>
    <row r="191" ht="15.75" customHeight="1">
      <c r="A191" s="21">
        <v>46134.0</v>
      </c>
      <c r="B191" s="14" t="s">
        <v>2327</v>
      </c>
      <c r="C191" s="6">
        <v>126607.0</v>
      </c>
      <c r="D191" s="5">
        <v>0.0</v>
      </c>
      <c r="E191" s="5">
        <f t="shared" si="1"/>
        <v>9295893</v>
      </c>
      <c r="F191" s="15" t="s">
        <v>50</v>
      </c>
      <c r="G191" s="4" t="s">
        <v>178</v>
      </c>
      <c r="H191" s="4" t="s">
        <v>6</v>
      </c>
    </row>
    <row r="192" ht="15.75" customHeight="1">
      <c r="A192" s="21">
        <v>46134.0</v>
      </c>
      <c r="B192" s="14" t="s">
        <v>2329</v>
      </c>
      <c r="C192" s="6">
        <v>450800.0</v>
      </c>
      <c r="D192" s="5">
        <v>0.0</v>
      </c>
      <c r="E192" s="5">
        <f t="shared" si="1"/>
        <v>8845093</v>
      </c>
      <c r="F192" s="15" t="s">
        <v>50</v>
      </c>
      <c r="G192" s="15" t="s">
        <v>1780</v>
      </c>
    </row>
    <row r="193" ht="15.75" customHeight="1">
      <c r="A193" s="21">
        <v>46134.0</v>
      </c>
      <c r="B193" s="14" t="s">
        <v>2247</v>
      </c>
      <c r="C193" s="6">
        <v>283500.0</v>
      </c>
      <c r="D193" s="5">
        <v>0.0</v>
      </c>
      <c r="E193" s="5">
        <f t="shared" si="1"/>
        <v>8561593</v>
      </c>
      <c r="F193" s="15" t="s">
        <v>50</v>
      </c>
      <c r="G193" s="4" t="s">
        <v>245</v>
      </c>
      <c r="H193" s="4" t="s">
        <v>1981</v>
      </c>
      <c r="K193" s="4" t="s">
        <v>6</v>
      </c>
    </row>
    <row r="194" ht="15.75" customHeight="1">
      <c r="A194" s="21">
        <v>46134.0</v>
      </c>
      <c r="B194" s="14" t="s">
        <v>2159</v>
      </c>
      <c r="C194" s="6">
        <v>76500.0</v>
      </c>
      <c r="D194" s="5">
        <v>0.0</v>
      </c>
      <c r="E194" s="5">
        <f t="shared" si="1"/>
        <v>8485093</v>
      </c>
      <c r="F194" s="15" t="s">
        <v>50</v>
      </c>
      <c r="G194" s="4" t="s">
        <v>245</v>
      </c>
      <c r="H194" s="4" t="s">
        <v>1981</v>
      </c>
      <c r="K194" s="4" t="s">
        <v>6</v>
      </c>
    </row>
    <row r="195" ht="15.75" customHeight="1">
      <c r="A195" s="21">
        <v>46134.0</v>
      </c>
      <c r="B195" s="14" t="s">
        <v>2249</v>
      </c>
      <c r="C195" s="6">
        <v>22000.0</v>
      </c>
      <c r="D195" s="5">
        <v>0.0</v>
      </c>
      <c r="E195" s="5">
        <f t="shared" si="1"/>
        <v>8463093</v>
      </c>
      <c r="F195" s="15" t="s">
        <v>50</v>
      </c>
      <c r="G195" s="4" t="s">
        <v>245</v>
      </c>
      <c r="H195" s="4" t="s">
        <v>1981</v>
      </c>
      <c r="K195" s="4" t="s">
        <v>6</v>
      </c>
    </row>
    <row r="196" ht="15.75" customHeight="1">
      <c r="A196" s="21">
        <v>46134.0</v>
      </c>
      <c r="B196" s="14" t="s">
        <v>2333</v>
      </c>
      <c r="C196" s="6">
        <v>30000.0</v>
      </c>
      <c r="D196" s="5">
        <v>0.0</v>
      </c>
      <c r="E196" s="5">
        <f t="shared" si="1"/>
        <v>8433093</v>
      </c>
      <c r="F196" s="15" t="s">
        <v>50</v>
      </c>
      <c r="G196" s="4" t="s">
        <v>245</v>
      </c>
      <c r="H196" s="4" t="s">
        <v>1981</v>
      </c>
      <c r="K196" s="4" t="s">
        <v>6</v>
      </c>
    </row>
    <row r="197" ht="15.75" customHeight="1">
      <c r="A197" s="21">
        <v>46134.0</v>
      </c>
      <c r="B197" s="14" t="s">
        <v>2335</v>
      </c>
      <c r="C197" s="6">
        <v>35000.0</v>
      </c>
      <c r="D197" s="5">
        <v>0.0</v>
      </c>
      <c r="E197" s="5">
        <f t="shared" si="1"/>
        <v>8398093</v>
      </c>
      <c r="F197" s="15" t="s">
        <v>50</v>
      </c>
      <c r="G197" s="4" t="s">
        <v>245</v>
      </c>
      <c r="H197" s="4" t="s">
        <v>1981</v>
      </c>
      <c r="K197" s="4" t="s">
        <v>6</v>
      </c>
    </row>
    <row r="198" ht="15.75" customHeight="1">
      <c r="A198" s="21">
        <v>46134.0</v>
      </c>
      <c r="B198" s="14" t="s">
        <v>2047</v>
      </c>
      <c r="C198" s="6">
        <v>501000.0</v>
      </c>
      <c r="D198" s="5">
        <v>0.0</v>
      </c>
      <c r="E198" s="5">
        <f t="shared" si="1"/>
        <v>7897093</v>
      </c>
      <c r="F198" s="15" t="s">
        <v>50</v>
      </c>
      <c r="G198" s="4" t="s">
        <v>245</v>
      </c>
      <c r="H198" s="4" t="s">
        <v>1981</v>
      </c>
      <c r="K198" s="4" t="s">
        <v>6</v>
      </c>
    </row>
    <row r="199" ht="15.75" customHeight="1">
      <c r="A199" s="21">
        <v>46134.0</v>
      </c>
      <c r="B199" s="14" t="s">
        <v>2339</v>
      </c>
      <c r="C199" s="6">
        <v>183900.0</v>
      </c>
      <c r="D199" s="5">
        <v>0.0</v>
      </c>
      <c r="E199" s="5">
        <f t="shared" si="1"/>
        <v>7713193</v>
      </c>
      <c r="F199" s="15" t="s">
        <v>50</v>
      </c>
      <c r="G199" s="4" t="s">
        <v>1984</v>
      </c>
    </row>
    <row r="200" ht="15.75" customHeight="1">
      <c r="A200" s="21">
        <v>46134.0</v>
      </c>
      <c r="B200" s="14" t="s">
        <v>2292</v>
      </c>
      <c r="C200" s="6">
        <v>200000.0</v>
      </c>
      <c r="D200" s="5">
        <v>0.0</v>
      </c>
      <c r="E200" s="5">
        <f t="shared" si="1"/>
        <v>7513193</v>
      </c>
      <c r="F200" s="15" t="s">
        <v>50</v>
      </c>
      <c r="G200" s="4" t="s">
        <v>1978</v>
      </c>
    </row>
    <row r="201" ht="15.75" customHeight="1">
      <c r="A201" s="21">
        <v>46134.0</v>
      </c>
      <c r="B201" s="14" t="s">
        <v>2341</v>
      </c>
      <c r="C201" s="6">
        <v>260000.0</v>
      </c>
      <c r="D201" s="5">
        <v>0.0</v>
      </c>
      <c r="E201" s="5">
        <f t="shared" si="1"/>
        <v>7253193</v>
      </c>
      <c r="F201" s="15" t="s">
        <v>50</v>
      </c>
      <c r="G201" s="4" t="s">
        <v>1996</v>
      </c>
    </row>
    <row r="202" ht="15.75" customHeight="1">
      <c r="A202" s="21">
        <v>46134.0</v>
      </c>
      <c r="B202" s="14" t="s">
        <v>2342</v>
      </c>
      <c r="C202" s="6">
        <v>10000.0</v>
      </c>
      <c r="D202" s="5">
        <v>0.0</v>
      </c>
      <c r="E202" s="5">
        <f t="shared" si="1"/>
        <v>7243193</v>
      </c>
      <c r="F202" s="15" t="s">
        <v>50</v>
      </c>
      <c r="G202" s="4" t="s">
        <v>1996</v>
      </c>
    </row>
    <row r="203" ht="15.75" customHeight="1">
      <c r="A203" s="21">
        <v>46134.0</v>
      </c>
      <c r="B203" s="14" t="s">
        <v>2343</v>
      </c>
      <c r="C203" s="6">
        <v>130000.0</v>
      </c>
      <c r="D203" s="5">
        <v>0.0</v>
      </c>
      <c r="E203" s="5">
        <f t="shared" si="1"/>
        <v>7113193</v>
      </c>
      <c r="F203" s="15" t="s">
        <v>50</v>
      </c>
      <c r="G203" s="4" t="s">
        <v>1996</v>
      </c>
    </row>
    <row r="204" ht="15.75" customHeight="1">
      <c r="A204" s="8">
        <v>46134.0</v>
      </c>
      <c r="B204" s="4" t="s">
        <v>2344</v>
      </c>
      <c r="C204" s="5">
        <v>45000.0</v>
      </c>
      <c r="D204" s="5">
        <v>0.0</v>
      </c>
      <c r="E204" s="5">
        <f t="shared" si="1"/>
        <v>7068193</v>
      </c>
      <c r="F204" s="4" t="s">
        <v>50</v>
      </c>
      <c r="G204" s="4" t="s">
        <v>1996</v>
      </c>
    </row>
    <row r="205" ht="15.75" customHeight="1">
      <c r="A205" s="8">
        <v>46134.0</v>
      </c>
      <c r="B205" s="4" t="s">
        <v>2345</v>
      </c>
      <c r="C205" s="5">
        <v>248000.0</v>
      </c>
      <c r="D205" s="5">
        <v>0.0</v>
      </c>
      <c r="E205" s="5">
        <f t="shared" si="1"/>
        <v>6820193</v>
      </c>
      <c r="F205" s="4" t="s">
        <v>58</v>
      </c>
      <c r="G205" s="4" t="s">
        <v>59</v>
      </c>
      <c r="H205" s="15" t="s">
        <v>408</v>
      </c>
    </row>
    <row r="206" ht="15.75" customHeight="1">
      <c r="A206" s="21">
        <v>46134.0</v>
      </c>
      <c r="B206" s="14" t="s">
        <v>2348</v>
      </c>
      <c r="C206" s="6">
        <v>100000.0</v>
      </c>
      <c r="D206" s="5">
        <v>0.0</v>
      </c>
      <c r="E206" s="5">
        <f t="shared" si="1"/>
        <v>6720193</v>
      </c>
      <c r="F206" s="15" t="s">
        <v>58</v>
      </c>
      <c r="G206" s="4" t="s">
        <v>59</v>
      </c>
      <c r="H206" s="15" t="s">
        <v>408</v>
      </c>
    </row>
    <row r="207" ht="15.75" customHeight="1">
      <c r="A207" s="21">
        <v>46134.0</v>
      </c>
      <c r="B207" s="14" t="s">
        <v>2350</v>
      </c>
      <c r="C207" s="6">
        <v>282000.0</v>
      </c>
      <c r="D207" s="5">
        <v>0.0</v>
      </c>
      <c r="E207" s="5">
        <f t="shared" si="1"/>
        <v>6438193</v>
      </c>
      <c r="F207" s="15" t="s">
        <v>58</v>
      </c>
      <c r="G207" s="4" t="s">
        <v>59</v>
      </c>
      <c r="H207" s="15" t="s">
        <v>408</v>
      </c>
    </row>
    <row r="208" ht="15.75" customHeight="1">
      <c r="A208" s="21">
        <v>46138.0</v>
      </c>
      <c r="B208" s="14" t="s">
        <v>2352</v>
      </c>
      <c r="C208" s="6">
        <v>215244.0</v>
      </c>
      <c r="D208" s="5">
        <v>0.0</v>
      </c>
      <c r="E208" s="5">
        <f t="shared" si="1"/>
        <v>6222949</v>
      </c>
      <c r="F208" s="4" t="s">
        <v>50</v>
      </c>
      <c r="G208" s="4" t="s">
        <v>51</v>
      </c>
      <c r="H208" s="4" t="s">
        <v>72</v>
      </c>
    </row>
    <row r="209" ht="15.75" customHeight="1">
      <c r="A209" s="21">
        <v>46139.0</v>
      </c>
      <c r="B209" s="14" t="s">
        <v>2353</v>
      </c>
      <c r="C209" s="6">
        <v>300000.0</v>
      </c>
      <c r="D209" s="5">
        <v>0.0</v>
      </c>
      <c r="E209" s="5">
        <f t="shared" si="1"/>
        <v>5922949</v>
      </c>
      <c r="F209" s="15" t="s">
        <v>50</v>
      </c>
      <c r="G209" s="4" t="s">
        <v>1978</v>
      </c>
    </row>
    <row r="210" ht="15.75" customHeight="1">
      <c r="A210" s="21">
        <v>46141.0</v>
      </c>
      <c r="B210" s="14" t="s">
        <v>2356</v>
      </c>
      <c r="C210" s="6">
        <v>95500.0</v>
      </c>
      <c r="D210" s="5">
        <v>0.0</v>
      </c>
      <c r="E210" s="5">
        <f t="shared" si="1"/>
        <v>5827449</v>
      </c>
      <c r="F210" s="15" t="s">
        <v>50</v>
      </c>
      <c r="G210" s="4" t="s">
        <v>1984</v>
      </c>
    </row>
    <row r="211" ht="15.75" customHeight="1">
      <c r="A211" s="21">
        <v>46141.0</v>
      </c>
      <c r="B211" s="14" t="s">
        <v>2358</v>
      </c>
      <c r="C211" s="6">
        <v>130000.0</v>
      </c>
      <c r="D211" s="5">
        <v>0.0</v>
      </c>
      <c r="E211" s="5">
        <f t="shared" si="1"/>
        <v>5697449</v>
      </c>
      <c r="F211" s="15" t="s">
        <v>105</v>
      </c>
      <c r="G211" s="4" t="s">
        <v>106</v>
      </c>
      <c r="H211" s="4" t="s">
        <v>247</v>
      </c>
    </row>
    <row r="212" ht="15.75" customHeight="1">
      <c r="A212" s="21">
        <v>46142.0</v>
      </c>
      <c r="B212" s="14" t="s">
        <v>2247</v>
      </c>
      <c r="C212" s="6">
        <v>639500.0</v>
      </c>
      <c r="D212" s="5">
        <v>0.0</v>
      </c>
      <c r="E212" s="5">
        <f t="shared" si="1"/>
        <v>5057949</v>
      </c>
      <c r="F212" s="15" t="s">
        <v>50</v>
      </c>
      <c r="G212" s="4" t="s">
        <v>245</v>
      </c>
      <c r="H212" s="4" t="s">
        <v>413</v>
      </c>
    </row>
    <row r="213" ht="15.75" customHeight="1">
      <c r="A213" s="21">
        <v>46142.0</v>
      </c>
      <c r="B213" s="14" t="s">
        <v>2159</v>
      </c>
      <c r="C213" s="6">
        <v>107000.0</v>
      </c>
      <c r="D213" s="5">
        <v>0.0</v>
      </c>
      <c r="E213" s="5">
        <f t="shared" si="1"/>
        <v>4950949</v>
      </c>
      <c r="F213" s="15" t="s">
        <v>50</v>
      </c>
      <c r="G213" s="4" t="s">
        <v>245</v>
      </c>
      <c r="H213" s="4" t="s">
        <v>413</v>
      </c>
    </row>
    <row r="214" ht="15.75" customHeight="1">
      <c r="A214" s="21">
        <v>46142.0</v>
      </c>
      <c r="B214" s="14" t="s">
        <v>2162</v>
      </c>
      <c r="C214" s="6">
        <v>95000.0</v>
      </c>
      <c r="D214" s="5">
        <v>0.0</v>
      </c>
      <c r="E214" s="5">
        <f t="shared" si="1"/>
        <v>4855949</v>
      </c>
      <c r="F214" s="15" t="s">
        <v>50</v>
      </c>
      <c r="G214" s="4" t="s">
        <v>245</v>
      </c>
      <c r="H214" s="4" t="s">
        <v>413</v>
      </c>
    </row>
    <row r="215" ht="15.75" customHeight="1">
      <c r="A215" s="21">
        <v>46142.0</v>
      </c>
      <c r="B215" s="14" t="s">
        <v>2159</v>
      </c>
      <c r="C215" s="6">
        <v>91500.0</v>
      </c>
      <c r="D215" s="5">
        <v>0.0</v>
      </c>
      <c r="E215" s="5">
        <f t="shared" si="1"/>
        <v>4764449</v>
      </c>
      <c r="F215" s="15" t="s">
        <v>50</v>
      </c>
      <c r="G215" s="4" t="s">
        <v>245</v>
      </c>
      <c r="H215" s="4" t="s">
        <v>1981</v>
      </c>
      <c r="K215" s="4" t="s">
        <v>6</v>
      </c>
    </row>
    <row r="216" ht="15.75" customHeight="1">
      <c r="A216" s="21">
        <v>46142.0</v>
      </c>
      <c r="B216" s="14" t="s">
        <v>2247</v>
      </c>
      <c r="C216" s="6">
        <v>230500.0</v>
      </c>
      <c r="D216" s="5">
        <v>0.0</v>
      </c>
      <c r="E216" s="5">
        <f t="shared" si="1"/>
        <v>4533949</v>
      </c>
      <c r="F216" s="15" t="s">
        <v>50</v>
      </c>
      <c r="G216" s="4" t="s">
        <v>245</v>
      </c>
      <c r="H216" s="4" t="s">
        <v>1981</v>
      </c>
      <c r="K216" s="4" t="s">
        <v>6</v>
      </c>
    </row>
    <row r="217" ht="15.75" customHeight="1">
      <c r="A217" s="21">
        <v>46142.0</v>
      </c>
      <c r="B217" s="14" t="s">
        <v>2162</v>
      </c>
      <c r="C217" s="6">
        <v>55000.0</v>
      </c>
      <c r="D217" s="5">
        <v>0.0</v>
      </c>
      <c r="E217" s="5">
        <f t="shared" si="1"/>
        <v>4478949</v>
      </c>
      <c r="F217" s="15" t="s">
        <v>50</v>
      </c>
      <c r="G217" s="4" t="s">
        <v>245</v>
      </c>
      <c r="H217" s="4" t="s">
        <v>1981</v>
      </c>
      <c r="K217" s="4" t="s">
        <v>6</v>
      </c>
    </row>
    <row r="218" ht="15.75" customHeight="1">
      <c r="A218" s="21">
        <v>46142.0</v>
      </c>
      <c r="B218" s="14" t="s">
        <v>2369</v>
      </c>
      <c r="C218" s="6">
        <v>119500.0</v>
      </c>
      <c r="D218" s="5">
        <v>0.0</v>
      </c>
      <c r="E218" s="5">
        <f t="shared" si="1"/>
        <v>4359449</v>
      </c>
      <c r="F218" s="15" t="s">
        <v>50</v>
      </c>
      <c r="G218" s="4" t="s">
        <v>245</v>
      </c>
      <c r="H218" s="4" t="s">
        <v>1981</v>
      </c>
      <c r="K218" s="4" t="s">
        <v>6</v>
      </c>
    </row>
    <row r="219" ht="15.75" customHeight="1">
      <c r="A219" s="21">
        <v>46142.0</v>
      </c>
      <c r="B219" s="14" t="s">
        <v>2372</v>
      </c>
      <c r="C219" s="6">
        <v>301800.0</v>
      </c>
      <c r="D219" s="5">
        <v>0.0</v>
      </c>
      <c r="E219" s="5">
        <f t="shared" si="1"/>
        <v>4057649</v>
      </c>
      <c r="F219" s="15" t="s">
        <v>50</v>
      </c>
      <c r="G219" s="4" t="s">
        <v>1780</v>
      </c>
    </row>
    <row r="220" ht="15.75" customHeight="1">
      <c r="A220" s="21">
        <v>46142.0</v>
      </c>
      <c r="B220" s="14" t="s">
        <v>2374</v>
      </c>
      <c r="C220" s="6">
        <v>102500.0</v>
      </c>
      <c r="D220" s="5">
        <v>0.0</v>
      </c>
      <c r="E220" s="5">
        <f t="shared" si="1"/>
        <v>3955149</v>
      </c>
      <c r="F220" s="15" t="s">
        <v>58</v>
      </c>
      <c r="G220" s="4" t="s">
        <v>59</v>
      </c>
      <c r="H220" s="4" t="s">
        <v>677</v>
      </c>
    </row>
    <row r="221" ht="15.75" customHeight="1">
      <c r="A221" s="21">
        <v>46148.0</v>
      </c>
      <c r="B221" s="14" t="s">
        <v>2376</v>
      </c>
      <c r="C221" s="6">
        <v>120000.0</v>
      </c>
      <c r="D221" s="5">
        <v>0.0</v>
      </c>
      <c r="E221" s="5">
        <f t="shared" si="1"/>
        <v>3835149</v>
      </c>
      <c r="F221" s="15" t="s">
        <v>50</v>
      </c>
      <c r="G221" s="4" t="s">
        <v>1988</v>
      </c>
      <c r="H221" s="4" t="s">
        <v>6</v>
      </c>
    </row>
    <row r="222" ht="15.75" customHeight="1">
      <c r="A222" s="21">
        <v>46148.0</v>
      </c>
      <c r="B222" s="14" t="s">
        <v>2292</v>
      </c>
      <c r="C222" s="6">
        <v>300000.0</v>
      </c>
      <c r="D222" s="5">
        <v>0.0</v>
      </c>
      <c r="E222" s="5">
        <f t="shared" si="1"/>
        <v>3535149</v>
      </c>
      <c r="F222" s="15" t="s">
        <v>50</v>
      </c>
      <c r="G222" s="4" t="s">
        <v>1978</v>
      </c>
      <c r="H222" s="4" t="s">
        <v>6</v>
      </c>
    </row>
    <row r="223" ht="15.75" customHeight="1">
      <c r="A223" s="21">
        <v>46148.0</v>
      </c>
      <c r="B223" s="14" t="s">
        <v>2378</v>
      </c>
      <c r="C223" s="6">
        <v>342600.0</v>
      </c>
      <c r="D223" s="5">
        <v>0.0</v>
      </c>
      <c r="E223" s="5">
        <f t="shared" si="1"/>
        <v>3192549</v>
      </c>
      <c r="F223" s="15" t="s">
        <v>50</v>
      </c>
      <c r="G223" s="14" t="s">
        <v>1780</v>
      </c>
      <c r="H223" s="4" t="s">
        <v>6</v>
      </c>
    </row>
    <row r="224" ht="15.75" customHeight="1">
      <c r="A224" s="21">
        <v>46148.0</v>
      </c>
      <c r="B224" s="14" t="s">
        <v>2381</v>
      </c>
      <c r="C224" s="6">
        <v>500000.0</v>
      </c>
      <c r="D224" s="5">
        <v>0.0</v>
      </c>
      <c r="E224" s="5">
        <f t="shared" si="1"/>
        <v>2692549</v>
      </c>
      <c r="F224" s="15" t="s">
        <v>50</v>
      </c>
      <c r="G224" s="4" t="s">
        <v>245</v>
      </c>
      <c r="H224" s="4" t="s">
        <v>1972</v>
      </c>
    </row>
    <row r="225" ht="15.75" customHeight="1">
      <c r="A225" s="21">
        <v>46148.0</v>
      </c>
      <c r="B225" s="14" t="s">
        <v>2383</v>
      </c>
      <c r="C225" s="6">
        <v>341922.0</v>
      </c>
      <c r="D225" s="5">
        <v>0.0</v>
      </c>
      <c r="E225" s="5">
        <f t="shared" si="1"/>
        <v>2350627</v>
      </c>
      <c r="F225" s="15" t="s">
        <v>50</v>
      </c>
      <c r="G225" s="4" t="s">
        <v>245</v>
      </c>
      <c r="H225" s="4" t="s">
        <v>1972</v>
      </c>
    </row>
    <row r="226" ht="15.75" customHeight="1">
      <c r="A226" s="21">
        <v>46148.0</v>
      </c>
      <c r="B226" s="14" t="s">
        <v>2387</v>
      </c>
      <c r="C226" s="6">
        <v>43000.0</v>
      </c>
      <c r="D226" s="5">
        <v>0.0</v>
      </c>
      <c r="E226" s="5">
        <f t="shared" si="1"/>
        <v>2307627</v>
      </c>
      <c r="F226" s="15" t="s">
        <v>50</v>
      </c>
      <c r="G226" s="4" t="s">
        <v>245</v>
      </c>
      <c r="H226" s="4" t="s">
        <v>1972</v>
      </c>
    </row>
    <row r="227" ht="15.75" customHeight="1">
      <c r="A227" s="21">
        <v>46148.0</v>
      </c>
      <c r="B227" s="14" t="s">
        <v>2389</v>
      </c>
      <c r="C227" s="6">
        <v>51300.0</v>
      </c>
      <c r="D227" s="5">
        <v>0.0</v>
      </c>
      <c r="E227" s="5">
        <f t="shared" si="1"/>
        <v>2256327</v>
      </c>
      <c r="F227" s="15" t="s">
        <v>50</v>
      </c>
      <c r="G227" s="4" t="s">
        <v>1984</v>
      </c>
      <c r="H227" s="4" t="s">
        <v>6</v>
      </c>
    </row>
    <row r="228" ht="15.75" customHeight="1">
      <c r="A228" s="21">
        <v>46148.0</v>
      </c>
      <c r="B228" s="14" t="s">
        <v>2393</v>
      </c>
      <c r="C228" s="6">
        <v>60000.0</v>
      </c>
      <c r="D228" s="5">
        <v>0.0</v>
      </c>
      <c r="E228" s="5">
        <f t="shared" si="1"/>
        <v>2196327</v>
      </c>
      <c r="F228" s="15" t="s">
        <v>50</v>
      </c>
      <c r="G228" s="4" t="s">
        <v>1984</v>
      </c>
      <c r="H228" s="4" t="s">
        <v>2395</v>
      </c>
    </row>
    <row r="229" ht="15.75" customHeight="1">
      <c r="A229" s="21">
        <v>46148.0</v>
      </c>
      <c r="B229" s="14" t="s">
        <v>2397</v>
      </c>
      <c r="C229" s="6">
        <v>66300.0</v>
      </c>
      <c r="D229" s="5">
        <v>0.0</v>
      </c>
      <c r="E229" s="5">
        <f t="shared" si="1"/>
        <v>2130027</v>
      </c>
      <c r="F229" s="15" t="s">
        <v>50</v>
      </c>
      <c r="G229" s="4" t="s">
        <v>1978</v>
      </c>
      <c r="H229" s="4" t="s">
        <v>6</v>
      </c>
    </row>
    <row r="230" ht="15.75" customHeight="1">
      <c r="A230" s="21">
        <v>46150.0</v>
      </c>
      <c r="B230" s="14" t="s">
        <v>2399</v>
      </c>
      <c r="C230" s="6">
        <v>70000.0</v>
      </c>
      <c r="D230" s="5">
        <v>0.0</v>
      </c>
      <c r="E230" s="5">
        <f t="shared" si="1"/>
        <v>2060027</v>
      </c>
      <c r="F230" s="15" t="s">
        <v>50</v>
      </c>
      <c r="G230" s="4" t="s">
        <v>1996</v>
      </c>
      <c r="H230" s="4" t="s">
        <v>6</v>
      </c>
    </row>
    <row r="231" ht="15.75" customHeight="1">
      <c r="A231" s="21">
        <v>46150.0</v>
      </c>
      <c r="B231" s="14" t="s">
        <v>2401</v>
      </c>
      <c r="C231" s="6">
        <v>208800.0</v>
      </c>
      <c r="D231" s="5">
        <v>0.0</v>
      </c>
      <c r="E231" s="5">
        <f t="shared" si="1"/>
        <v>1851227</v>
      </c>
      <c r="F231" s="15" t="s">
        <v>50</v>
      </c>
      <c r="G231" s="14" t="s">
        <v>1780</v>
      </c>
      <c r="H231" s="4" t="s">
        <v>6</v>
      </c>
    </row>
    <row r="232" ht="15.75" customHeight="1">
      <c r="A232" s="21">
        <v>46150.0</v>
      </c>
      <c r="B232" s="14" t="s">
        <v>2404</v>
      </c>
      <c r="C232" s="6">
        <v>185000.0</v>
      </c>
      <c r="D232" s="5">
        <v>0.0</v>
      </c>
      <c r="E232" s="5">
        <f t="shared" si="1"/>
        <v>1666227</v>
      </c>
      <c r="F232" s="15" t="s">
        <v>50</v>
      </c>
      <c r="G232" s="4" t="s">
        <v>1988</v>
      </c>
      <c r="H232" s="4" t="s">
        <v>6</v>
      </c>
    </row>
    <row r="233" ht="15.75" customHeight="1">
      <c r="A233" s="21">
        <v>46150.0</v>
      </c>
      <c r="B233" s="14" t="s">
        <v>2407</v>
      </c>
      <c r="C233" s="6">
        <v>82000.0</v>
      </c>
      <c r="D233" s="5">
        <v>0.0</v>
      </c>
      <c r="E233" s="5">
        <f t="shared" si="1"/>
        <v>1584227</v>
      </c>
      <c r="F233" s="15" t="s">
        <v>50</v>
      </c>
      <c r="G233" s="4" t="s">
        <v>178</v>
      </c>
      <c r="H233" s="4" t="s">
        <v>6</v>
      </c>
    </row>
    <row r="234" ht="15.75" customHeight="1">
      <c r="A234" s="21">
        <v>46154.0</v>
      </c>
      <c r="B234" s="14" t="s">
        <v>2410</v>
      </c>
      <c r="C234" s="6">
        <v>100000.0</v>
      </c>
      <c r="D234" s="5">
        <v>0.0</v>
      </c>
      <c r="E234" s="5">
        <f t="shared" si="1"/>
        <v>1484227</v>
      </c>
      <c r="F234" s="15" t="s">
        <v>50</v>
      </c>
      <c r="G234" s="4" t="s">
        <v>1988</v>
      </c>
    </row>
    <row r="235" ht="15.75" customHeight="1">
      <c r="A235" s="21">
        <v>46154.0</v>
      </c>
      <c r="B235" s="14" t="s">
        <v>2411</v>
      </c>
      <c r="C235" s="6">
        <v>75000.0</v>
      </c>
      <c r="D235" s="5">
        <v>0.0</v>
      </c>
      <c r="E235" s="5">
        <f t="shared" si="1"/>
        <v>1409227</v>
      </c>
      <c r="F235" s="15" t="s">
        <v>50</v>
      </c>
      <c r="G235" s="4" t="s">
        <v>1780</v>
      </c>
    </row>
    <row r="236" ht="15.75" customHeight="1">
      <c r="A236" s="21">
        <v>46154.0</v>
      </c>
      <c r="B236" s="14" t="s">
        <v>2412</v>
      </c>
      <c r="C236" s="6">
        <v>92600.0</v>
      </c>
      <c r="D236" s="5">
        <v>0.0</v>
      </c>
      <c r="E236" s="5">
        <f t="shared" si="1"/>
        <v>1316627</v>
      </c>
      <c r="F236" s="15" t="s">
        <v>50</v>
      </c>
      <c r="G236" s="4" t="s">
        <v>1984</v>
      </c>
    </row>
    <row r="237" ht="15.75" customHeight="1">
      <c r="A237" s="21">
        <v>46154.0</v>
      </c>
      <c r="B237" s="14" t="s">
        <v>2414</v>
      </c>
      <c r="C237" s="6">
        <v>86200.0</v>
      </c>
      <c r="D237" s="5">
        <v>0.0</v>
      </c>
      <c r="E237" s="5">
        <f t="shared" si="1"/>
        <v>1230427</v>
      </c>
      <c r="F237" s="15" t="s">
        <v>50</v>
      </c>
      <c r="G237" s="4" t="s">
        <v>1984</v>
      </c>
    </row>
    <row r="238" ht="15.75" customHeight="1">
      <c r="A238" s="21">
        <v>46154.0</v>
      </c>
      <c r="B238" s="14" t="s">
        <v>2415</v>
      </c>
      <c r="C238" s="6">
        <v>34500.0</v>
      </c>
      <c r="D238" s="5">
        <v>0.0</v>
      </c>
      <c r="E238" s="5">
        <f t="shared" si="1"/>
        <v>1195927</v>
      </c>
      <c r="F238" s="15" t="s">
        <v>50</v>
      </c>
      <c r="G238" s="4" t="s">
        <v>1984</v>
      </c>
    </row>
    <row r="239" ht="15.75" customHeight="1">
      <c r="A239" s="21">
        <v>46154.0</v>
      </c>
      <c r="B239" s="14" t="s">
        <v>2416</v>
      </c>
      <c r="C239" s="6">
        <v>26000.0</v>
      </c>
      <c r="D239" s="5">
        <v>0.0</v>
      </c>
      <c r="E239" s="5">
        <f t="shared" si="1"/>
        <v>1169927</v>
      </c>
      <c r="F239" s="15" t="s">
        <v>50</v>
      </c>
      <c r="G239" s="4" t="s">
        <v>1984</v>
      </c>
    </row>
    <row r="240" ht="15.75" customHeight="1">
      <c r="A240" s="21">
        <v>46154.0</v>
      </c>
      <c r="B240" s="14" t="s">
        <v>2417</v>
      </c>
      <c r="C240" s="6">
        <v>224000.0</v>
      </c>
      <c r="D240" s="5">
        <v>0.0</v>
      </c>
      <c r="E240" s="5">
        <f t="shared" si="1"/>
        <v>945927</v>
      </c>
      <c r="F240" s="15" t="s">
        <v>50</v>
      </c>
      <c r="G240" s="4" t="s">
        <v>1988</v>
      </c>
    </row>
    <row r="241" ht="15.75" customHeight="1">
      <c r="A241" s="21">
        <v>46154.0</v>
      </c>
      <c r="B241" s="14" t="s">
        <v>2418</v>
      </c>
      <c r="C241" s="6">
        <v>100000.0</v>
      </c>
      <c r="D241" s="5">
        <v>0.0</v>
      </c>
      <c r="E241" s="5">
        <f t="shared" si="1"/>
        <v>845927</v>
      </c>
      <c r="F241" s="15" t="s">
        <v>50</v>
      </c>
      <c r="G241" s="4" t="s">
        <v>1988</v>
      </c>
    </row>
    <row r="242" ht="15.75" customHeight="1">
      <c r="A242" s="21">
        <v>46154.0</v>
      </c>
      <c r="B242" s="14" t="s">
        <v>2420</v>
      </c>
      <c r="C242" s="6">
        <v>63000.0</v>
      </c>
      <c r="D242" s="5">
        <v>0.0</v>
      </c>
      <c r="E242" s="5">
        <f t="shared" si="1"/>
        <v>782927</v>
      </c>
      <c r="F242" s="15" t="s">
        <v>50</v>
      </c>
      <c r="G242" s="4" t="s">
        <v>1984</v>
      </c>
    </row>
    <row r="243" ht="15.75" customHeight="1">
      <c r="A243" s="21">
        <v>46154.0</v>
      </c>
      <c r="B243" s="14" t="s">
        <v>2421</v>
      </c>
      <c r="C243" s="6">
        <v>300000.0</v>
      </c>
      <c r="D243" s="5">
        <v>0.0</v>
      </c>
      <c r="E243" s="5">
        <f t="shared" si="1"/>
        <v>482927</v>
      </c>
      <c r="F243" s="15" t="s">
        <v>50</v>
      </c>
      <c r="G243" s="4" t="s">
        <v>1988</v>
      </c>
    </row>
    <row r="244" ht="15.75" customHeight="1">
      <c r="A244" s="21">
        <v>46154.0</v>
      </c>
      <c r="B244" s="14" t="s">
        <v>2423</v>
      </c>
      <c r="C244" s="6">
        <v>260000.0</v>
      </c>
      <c r="D244" s="5">
        <v>0.0</v>
      </c>
      <c r="E244" s="5">
        <f t="shared" si="1"/>
        <v>222927</v>
      </c>
      <c r="F244" s="15" t="s">
        <v>58</v>
      </c>
      <c r="G244" s="4" t="s">
        <v>59</v>
      </c>
      <c r="H244" s="4" t="s">
        <v>694</v>
      </c>
    </row>
    <row r="245" ht="15.75" customHeight="1">
      <c r="A245" s="21">
        <v>46168.0</v>
      </c>
      <c r="B245" s="14" t="s">
        <v>1460</v>
      </c>
      <c r="C245" s="6">
        <v>0.0</v>
      </c>
      <c r="D245" s="6">
        <v>9777073.0</v>
      </c>
      <c r="E245" s="5">
        <f t="shared" si="1"/>
        <v>10000000</v>
      </c>
      <c r="F245" s="15" t="s">
        <v>21</v>
      </c>
      <c r="G245" s="4" t="s">
        <v>116</v>
      </c>
    </row>
    <row r="246" ht="15.75" customHeight="1">
      <c r="A246" s="21">
        <v>46170.0</v>
      </c>
      <c r="B246" s="14" t="s">
        <v>2425</v>
      </c>
      <c r="C246" s="6">
        <v>707000.0</v>
      </c>
      <c r="D246" s="5">
        <v>0.0</v>
      </c>
      <c r="E246" s="5">
        <f t="shared" si="1"/>
        <v>9293000</v>
      </c>
      <c r="F246" s="14" t="s">
        <v>50</v>
      </c>
      <c r="G246" s="14" t="s">
        <v>1996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21">
        <v>46170.0</v>
      </c>
      <c r="B247" s="14" t="s">
        <v>2428</v>
      </c>
      <c r="C247" s="6">
        <v>100000.0</v>
      </c>
      <c r="D247" s="5">
        <v>0.0</v>
      </c>
      <c r="E247" s="5">
        <f t="shared" si="1"/>
        <v>9193000</v>
      </c>
      <c r="F247" s="15" t="s">
        <v>58</v>
      </c>
      <c r="G247" s="4" t="s">
        <v>59</v>
      </c>
      <c r="H247" s="4" t="s">
        <v>111</v>
      </c>
    </row>
    <row r="248" ht="15.75" customHeight="1">
      <c r="A248" s="21">
        <v>46170.0</v>
      </c>
      <c r="B248" s="14" t="s">
        <v>2430</v>
      </c>
      <c r="C248" s="6">
        <v>25000.0</v>
      </c>
      <c r="D248" s="5">
        <v>0.0</v>
      </c>
      <c r="E248" s="5">
        <f t="shared" si="1"/>
        <v>9168000</v>
      </c>
      <c r="F248" s="15" t="s">
        <v>50</v>
      </c>
      <c r="G248" s="4" t="s">
        <v>245</v>
      </c>
      <c r="H248" s="4" t="s">
        <v>2212</v>
      </c>
    </row>
    <row r="249" ht="15.75" customHeight="1">
      <c r="A249" s="21">
        <v>46170.0</v>
      </c>
      <c r="B249" s="14" t="s">
        <v>2431</v>
      </c>
      <c r="C249" s="6">
        <v>260000.0</v>
      </c>
      <c r="D249" s="5">
        <v>0.0</v>
      </c>
      <c r="E249" s="5">
        <f t="shared" si="1"/>
        <v>8908000</v>
      </c>
      <c r="F249" s="15" t="s">
        <v>58</v>
      </c>
      <c r="G249" s="4" t="s">
        <v>59</v>
      </c>
      <c r="H249" s="4" t="s">
        <v>683</v>
      </c>
    </row>
    <row r="250" ht="15.75" customHeight="1">
      <c r="A250" s="21">
        <v>46170.0</v>
      </c>
      <c r="B250" s="14" t="s">
        <v>2433</v>
      </c>
      <c r="C250" s="6">
        <v>100000.0</v>
      </c>
      <c r="D250" s="5">
        <v>0.0</v>
      </c>
      <c r="E250" s="5">
        <f t="shared" si="1"/>
        <v>8808000</v>
      </c>
      <c r="F250" s="15" t="s">
        <v>50</v>
      </c>
      <c r="G250" s="4" t="s">
        <v>1978</v>
      </c>
    </row>
    <row r="251" ht="15.75" customHeight="1">
      <c r="A251" s="21">
        <v>46170.0</v>
      </c>
      <c r="B251" s="14" t="s">
        <v>2434</v>
      </c>
      <c r="C251" s="6">
        <v>105000.0</v>
      </c>
      <c r="D251" s="5">
        <v>0.0</v>
      </c>
      <c r="E251" s="5">
        <f t="shared" si="1"/>
        <v>8703000</v>
      </c>
      <c r="F251" s="4" t="s">
        <v>105</v>
      </c>
      <c r="G251" s="4" t="s">
        <v>2064</v>
      </c>
      <c r="H251" s="4" t="s">
        <v>72</v>
      </c>
    </row>
    <row r="252" ht="15.75" customHeight="1">
      <c r="A252" s="21">
        <v>46170.0</v>
      </c>
      <c r="B252" s="14" t="s">
        <v>2436</v>
      </c>
      <c r="C252" s="6">
        <v>5000.0</v>
      </c>
      <c r="D252" s="5">
        <v>0.0</v>
      </c>
      <c r="E252" s="5">
        <f t="shared" si="1"/>
        <v>8698000</v>
      </c>
      <c r="F252" s="15" t="s">
        <v>50</v>
      </c>
      <c r="G252" s="4" t="s">
        <v>245</v>
      </c>
      <c r="H252" s="4" t="s">
        <v>1981</v>
      </c>
    </row>
    <row r="253" ht="15.75" customHeight="1">
      <c r="A253" s="21">
        <v>46170.0</v>
      </c>
      <c r="B253" s="14" t="s">
        <v>2437</v>
      </c>
      <c r="C253" s="6">
        <v>107000.0</v>
      </c>
      <c r="D253" s="5">
        <v>0.0</v>
      </c>
      <c r="E253" s="5">
        <f t="shared" si="1"/>
        <v>8591000</v>
      </c>
      <c r="F253" s="15" t="s">
        <v>50</v>
      </c>
      <c r="G253" s="4" t="s">
        <v>1984</v>
      </c>
    </row>
    <row r="254" ht="15.75" customHeight="1">
      <c r="A254" s="21">
        <v>46170.0</v>
      </c>
      <c r="B254" s="14" t="s">
        <v>2438</v>
      </c>
      <c r="C254" s="6">
        <v>45000.0</v>
      </c>
      <c r="D254" s="5">
        <v>0.0</v>
      </c>
      <c r="E254" s="5">
        <f t="shared" si="1"/>
        <v>8546000</v>
      </c>
      <c r="F254" s="15" t="s">
        <v>50</v>
      </c>
      <c r="G254" s="4" t="s">
        <v>1984</v>
      </c>
    </row>
    <row r="255" ht="15.75" customHeight="1">
      <c r="A255" s="21">
        <v>46170.0</v>
      </c>
      <c r="B255" s="14" t="s">
        <v>2440</v>
      </c>
      <c r="C255" s="6">
        <v>110000.0</v>
      </c>
      <c r="D255" s="5">
        <v>0.0</v>
      </c>
      <c r="E255" s="5">
        <f t="shared" si="1"/>
        <v>8436000</v>
      </c>
      <c r="F255" s="15" t="s">
        <v>50</v>
      </c>
      <c r="G255" s="4" t="s">
        <v>1996</v>
      </c>
    </row>
    <row r="256" ht="15.75" customHeight="1">
      <c r="A256" s="21">
        <v>46170.0</v>
      </c>
      <c r="B256" s="14" t="s">
        <v>2444</v>
      </c>
      <c r="C256" s="6">
        <v>63000.0</v>
      </c>
      <c r="D256" s="5">
        <v>0.0</v>
      </c>
      <c r="E256" s="5">
        <f t="shared" si="1"/>
        <v>8373000</v>
      </c>
      <c r="F256" s="15" t="s">
        <v>50</v>
      </c>
      <c r="G256" s="4" t="s">
        <v>1984</v>
      </c>
    </row>
    <row r="257" ht="15.75" customHeight="1">
      <c r="A257" s="21">
        <v>46170.0</v>
      </c>
      <c r="B257" s="14" t="s">
        <v>2446</v>
      </c>
      <c r="C257" s="6">
        <v>115500.0</v>
      </c>
      <c r="D257" s="5">
        <v>0.0</v>
      </c>
      <c r="E257" s="5">
        <f t="shared" si="1"/>
        <v>8257500</v>
      </c>
      <c r="F257" s="15" t="s">
        <v>50</v>
      </c>
      <c r="G257" s="4" t="s">
        <v>1984</v>
      </c>
    </row>
    <row r="258" ht="15.75" customHeight="1">
      <c r="A258" s="21">
        <v>46170.0</v>
      </c>
      <c r="B258" s="14" t="s">
        <v>2448</v>
      </c>
      <c r="C258" s="6">
        <v>120000.0</v>
      </c>
      <c r="D258" s="5">
        <v>0.0</v>
      </c>
      <c r="E258" s="5">
        <f t="shared" si="1"/>
        <v>8137500</v>
      </c>
      <c r="F258" s="15" t="s">
        <v>50</v>
      </c>
      <c r="G258" s="4" t="s">
        <v>245</v>
      </c>
      <c r="H258" s="4" t="s">
        <v>1972</v>
      </c>
    </row>
    <row r="259" ht="15.75" customHeight="1">
      <c r="A259" s="21">
        <v>46170.0</v>
      </c>
      <c r="B259" s="14" t="s">
        <v>2160</v>
      </c>
      <c r="C259" s="6">
        <v>156500.0</v>
      </c>
      <c r="D259" s="5">
        <v>0.0</v>
      </c>
      <c r="E259" s="5">
        <f t="shared" si="1"/>
        <v>7981000</v>
      </c>
      <c r="F259" s="15" t="s">
        <v>50</v>
      </c>
      <c r="G259" s="4" t="s">
        <v>245</v>
      </c>
      <c r="H259" s="4" t="s">
        <v>1981</v>
      </c>
    </row>
    <row r="260" ht="15.75" customHeight="1">
      <c r="A260" s="21">
        <v>46170.0</v>
      </c>
      <c r="B260" s="14" t="s">
        <v>2452</v>
      </c>
      <c r="C260" s="6">
        <v>335000.0</v>
      </c>
      <c r="D260" s="5">
        <v>0.0</v>
      </c>
      <c r="E260" s="5">
        <f t="shared" si="1"/>
        <v>7646000</v>
      </c>
      <c r="F260" s="15" t="s">
        <v>50</v>
      </c>
      <c r="G260" s="4" t="s">
        <v>245</v>
      </c>
      <c r="H260" s="4" t="s">
        <v>1981</v>
      </c>
    </row>
    <row r="261" ht="15.75" customHeight="1">
      <c r="A261" s="21">
        <v>46170.0</v>
      </c>
      <c r="B261" s="14" t="s">
        <v>2455</v>
      </c>
      <c r="C261" s="6">
        <v>20000.0</v>
      </c>
      <c r="D261" s="5">
        <v>0.0</v>
      </c>
      <c r="E261" s="5">
        <f t="shared" si="1"/>
        <v>7626000</v>
      </c>
      <c r="F261" s="15" t="s">
        <v>50</v>
      </c>
      <c r="G261" s="4" t="s">
        <v>245</v>
      </c>
      <c r="H261" s="4" t="s">
        <v>1981</v>
      </c>
    </row>
    <row r="262" ht="15.75" customHeight="1">
      <c r="A262" s="21">
        <v>46170.0</v>
      </c>
      <c r="B262" s="14" t="s">
        <v>2159</v>
      </c>
      <c r="C262" s="6">
        <v>106000.0</v>
      </c>
      <c r="D262" s="5">
        <v>0.0</v>
      </c>
      <c r="E262" s="5">
        <f t="shared" si="1"/>
        <v>7520000</v>
      </c>
      <c r="F262" s="15" t="s">
        <v>50</v>
      </c>
      <c r="G262" s="4" t="s">
        <v>245</v>
      </c>
      <c r="H262" s="4" t="s">
        <v>1981</v>
      </c>
    </row>
    <row r="263" ht="15.75" customHeight="1">
      <c r="A263" s="21">
        <v>46170.0</v>
      </c>
      <c r="B263" s="14" t="s">
        <v>2458</v>
      </c>
      <c r="C263" s="6">
        <v>200000.0</v>
      </c>
      <c r="D263" s="5">
        <v>0.0</v>
      </c>
      <c r="E263" s="5">
        <f t="shared" si="1"/>
        <v>7320000</v>
      </c>
      <c r="F263" s="15" t="s">
        <v>50</v>
      </c>
      <c r="G263" s="4" t="s">
        <v>1988</v>
      </c>
      <c r="H263" s="4" t="s">
        <v>6</v>
      </c>
    </row>
    <row r="264" ht="15.75" customHeight="1">
      <c r="A264" s="21">
        <v>46170.0</v>
      </c>
      <c r="B264" s="14" t="s">
        <v>2461</v>
      </c>
      <c r="C264" s="6">
        <v>731000.0</v>
      </c>
      <c r="D264" s="5">
        <v>0.0</v>
      </c>
      <c r="E264" s="5">
        <f t="shared" si="1"/>
        <v>6589000</v>
      </c>
      <c r="F264" s="15" t="s">
        <v>50</v>
      </c>
      <c r="G264" s="4" t="s">
        <v>245</v>
      </c>
      <c r="H264" s="4" t="s">
        <v>413</v>
      </c>
    </row>
    <row r="265" ht="15.75" customHeight="1">
      <c r="A265" s="21">
        <v>46170.0</v>
      </c>
      <c r="B265" s="14" t="s">
        <v>2159</v>
      </c>
      <c r="C265" s="6">
        <v>127000.0</v>
      </c>
      <c r="D265" s="5">
        <v>0.0</v>
      </c>
      <c r="E265" s="5">
        <f t="shared" si="1"/>
        <v>6462000</v>
      </c>
      <c r="F265" s="15" t="s">
        <v>50</v>
      </c>
      <c r="G265" s="4" t="s">
        <v>245</v>
      </c>
      <c r="H265" s="4" t="s">
        <v>413</v>
      </c>
    </row>
    <row r="266" ht="15.75" customHeight="1">
      <c r="A266" s="21">
        <v>46170.0</v>
      </c>
      <c r="B266" s="14" t="s">
        <v>2455</v>
      </c>
      <c r="C266" s="6">
        <v>60000.0</v>
      </c>
      <c r="D266" s="5">
        <v>0.0</v>
      </c>
      <c r="E266" s="5">
        <f t="shared" si="1"/>
        <v>6402000</v>
      </c>
      <c r="F266" s="15" t="s">
        <v>50</v>
      </c>
      <c r="G266" s="4" t="s">
        <v>245</v>
      </c>
      <c r="H266" s="4" t="s">
        <v>413</v>
      </c>
    </row>
    <row r="267" ht="15.75" customHeight="1">
      <c r="A267" s="21">
        <v>46170.0</v>
      </c>
      <c r="B267" s="14" t="s">
        <v>2461</v>
      </c>
      <c r="C267" s="6">
        <v>218000.0</v>
      </c>
      <c r="D267" s="5">
        <v>0.0</v>
      </c>
      <c r="E267" s="5">
        <f t="shared" si="1"/>
        <v>6184000</v>
      </c>
      <c r="F267" s="15" t="s">
        <v>50</v>
      </c>
      <c r="G267" s="4" t="s">
        <v>245</v>
      </c>
      <c r="H267" s="4" t="s">
        <v>246</v>
      </c>
    </row>
    <row r="268" ht="15.75" customHeight="1">
      <c r="A268" s="21">
        <v>46170.0</v>
      </c>
      <c r="B268" s="14" t="s">
        <v>2159</v>
      </c>
      <c r="C268" s="6">
        <v>166000.0</v>
      </c>
      <c r="D268" s="5">
        <v>0.0</v>
      </c>
      <c r="E268" s="5">
        <f t="shared" si="1"/>
        <v>6018000</v>
      </c>
      <c r="F268" s="15" t="s">
        <v>50</v>
      </c>
      <c r="G268" s="4" t="s">
        <v>245</v>
      </c>
      <c r="H268" s="4" t="s">
        <v>246</v>
      </c>
    </row>
    <row r="269" ht="15.75" customHeight="1">
      <c r="A269" s="21">
        <v>46170.0</v>
      </c>
      <c r="B269" s="14" t="s">
        <v>2455</v>
      </c>
      <c r="C269" s="6">
        <v>41000.0</v>
      </c>
      <c r="D269" s="5">
        <v>0.0</v>
      </c>
      <c r="E269" s="5">
        <f t="shared" si="1"/>
        <v>5977000</v>
      </c>
      <c r="F269" s="15" t="s">
        <v>50</v>
      </c>
      <c r="G269" s="4" t="s">
        <v>245</v>
      </c>
      <c r="H269" s="4" t="s">
        <v>246</v>
      </c>
    </row>
    <row r="270" ht="15.75" customHeight="1">
      <c r="A270" s="21">
        <v>46170.0</v>
      </c>
      <c r="B270" s="14" t="s">
        <v>2461</v>
      </c>
      <c r="C270" s="6">
        <v>285000.0</v>
      </c>
      <c r="D270" s="5">
        <v>0.0</v>
      </c>
      <c r="E270" s="5">
        <f t="shared" si="1"/>
        <v>5692000</v>
      </c>
      <c r="F270" s="15" t="s">
        <v>50</v>
      </c>
      <c r="G270" s="4" t="s">
        <v>245</v>
      </c>
      <c r="H270" s="4" t="s">
        <v>1981</v>
      </c>
    </row>
    <row r="271" ht="15.75" customHeight="1">
      <c r="A271" s="21">
        <v>46170.0</v>
      </c>
      <c r="B271" s="14" t="s">
        <v>2159</v>
      </c>
      <c r="C271" s="6">
        <v>71000.0</v>
      </c>
      <c r="D271" s="5">
        <v>0.0</v>
      </c>
      <c r="E271" s="5">
        <f t="shared" si="1"/>
        <v>5621000</v>
      </c>
      <c r="F271" s="15" t="s">
        <v>50</v>
      </c>
      <c r="G271" s="4" t="s">
        <v>245</v>
      </c>
      <c r="H271" s="4" t="s">
        <v>1981</v>
      </c>
    </row>
    <row r="272" ht="15.75" customHeight="1">
      <c r="A272" s="21">
        <v>46170.0</v>
      </c>
      <c r="B272" s="14" t="s">
        <v>2483</v>
      </c>
      <c r="C272" s="6">
        <v>45500.0</v>
      </c>
      <c r="D272" s="5">
        <v>0.0</v>
      </c>
      <c r="E272" s="5">
        <f t="shared" si="1"/>
        <v>5575500</v>
      </c>
      <c r="F272" s="15" t="s">
        <v>50</v>
      </c>
      <c r="G272" s="4" t="s">
        <v>245</v>
      </c>
      <c r="H272" s="4" t="s">
        <v>1981</v>
      </c>
    </row>
    <row r="273" ht="15.75" customHeight="1">
      <c r="A273" s="21">
        <v>46170.0</v>
      </c>
      <c r="B273" s="14" t="s">
        <v>2485</v>
      </c>
      <c r="C273" s="6">
        <v>320000.0</v>
      </c>
      <c r="D273" s="5">
        <v>0.0</v>
      </c>
      <c r="E273" s="5">
        <f t="shared" si="1"/>
        <v>5255500</v>
      </c>
      <c r="F273" s="15" t="s">
        <v>58</v>
      </c>
      <c r="G273" s="4" t="s">
        <v>59</v>
      </c>
      <c r="H273" s="4" t="s">
        <v>111</v>
      </c>
    </row>
    <row r="274" ht="15.75" customHeight="1">
      <c r="A274" s="21">
        <v>46170.0</v>
      </c>
      <c r="B274" s="14" t="s">
        <v>2489</v>
      </c>
      <c r="C274" s="6">
        <v>170000.0</v>
      </c>
      <c r="D274" s="5">
        <v>0.0</v>
      </c>
      <c r="E274" s="5">
        <f t="shared" si="1"/>
        <v>5085500</v>
      </c>
      <c r="F274" s="15" t="s">
        <v>58</v>
      </c>
      <c r="G274" s="4" t="s">
        <v>59</v>
      </c>
      <c r="H274" s="4" t="s">
        <v>111</v>
      </c>
    </row>
    <row r="275" ht="15.75" customHeight="1">
      <c r="A275" s="21">
        <v>46170.0</v>
      </c>
      <c r="B275" s="14" t="s">
        <v>2492</v>
      </c>
      <c r="C275" s="6">
        <v>169000.0</v>
      </c>
      <c r="D275" s="5">
        <v>0.0</v>
      </c>
      <c r="E275" s="5">
        <f t="shared" si="1"/>
        <v>4916500</v>
      </c>
      <c r="F275" s="15" t="s">
        <v>58</v>
      </c>
      <c r="G275" s="4" t="s">
        <v>59</v>
      </c>
      <c r="H275" s="4" t="s">
        <v>111</v>
      </c>
    </row>
    <row r="276" ht="15.75" customHeight="1">
      <c r="A276" s="21">
        <v>46170.0</v>
      </c>
      <c r="B276" s="14" t="s">
        <v>2494</v>
      </c>
      <c r="C276" s="6">
        <v>187000.0</v>
      </c>
      <c r="D276" s="5">
        <v>0.0</v>
      </c>
      <c r="E276" s="5">
        <f t="shared" si="1"/>
        <v>4729500</v>
      </c>
      <c r="F276" s="15" t="s">
        <v>50</v>
      </c>
      <c r="G276" s="4" t="s">
        <v>1996</v>
      </c>
    </row>
    <row r="277" ht="15.75" customHeight="1">
      <c r="A277" s="21">
        <v>46170.0</v>
      </c>
      <c r="B277" s="14" t="s">
        <v>2087</v>
      </c>
      <c r="C277" s="6">
        <v>55718.0</v>
      </c>
      <c r="D277" s="5">
        <v>0.0</v>
      </c>
      <c r="E277" s="5">
        <f t="shared" si="1"/>
        <v>4673782</v>
      </c>
      <c r="F277" s="15" t="s">
        <v>50</v>
      </c>
      <c r="G277" s="4" t="s">
        <v>245</v>
      </c>
      <c r="H277" s="4" t="s">
        <v>1981</v>
      </c>
    </row>
    <row r="278" ht="15.75" customHeight="1">
      <c r="A278" s="21">
        <v>46170.0</v>
      </c>
      <c r="B278" s="14" t="s">
        <v>2087</v>
      </c>
      <c r="C278" s="6">
        <v>55719.0</v>
      </c>
      <c r="D278" s="5">
        <v>0.0</v>
      </c>
      <c r="E278" s="5">
        <f t="shared" si="1"/>
        <v>4618063</v>
      </c>
      <c r="F278" s="15" t="s">
        <v>50</v>
      </c>
      <c r="G278" s="4" t="s">
        <v>245</v>
      </c>
      <c r="H278" s="4" t="s">
        <v>1981</v>
      </c>
    </row>
    <row r="279" ht="15.75" customHeight="1">
      <c r="A279" s="21">
        <v>46171.0</v>
      </c>
      <c r="B279" s="14" t="s">
        <v>2504</v>
      </c>
      <c r="C279" s="6">
        <v>500000.0</v>
      </c>
      <c r="D279" s="5">
        <v>0.0</v>
      </c>
      <c r="E279" s="5">
        <f t="shared" si="1"/>
        <v>4118063</v>
      </c>
      <c r="F279" s="15" t="s">
        <v>50</v>
      </c>
      <c r="G279" s="4" t="s">
        <v>1978</v>
      </c>
    </row>
    <row r="280" ht="15.75" customHeight="1">
      <c r="A280" s="21">
        <v>46171.0</v>
      </c>
      <c r="B280" s="14" t="s">
        <v>2507</v>
      </c>
      <c r="C280" s="6">
        <v>34000.0</v>
      </c>
      <c r="D280" s="5">
        <v>0.0</v>
      </c>
      <c r="E280" s="5">
        <f t="shared" si="1"/>
        <v>4084063</v>
      </c>
      <c r="F280" s="15" t="s">
        <v>50</v>
      </c>
      <c r="G280" s="4" t="s">
        <v>1978</v>
      </c>
    </row>
    <row r="281" ht="15.75" customHeight="1">
      <c r="A281" s="21">
        <v>46171.0</v>
      </c>
      <c r="B281" s="14" t="s">
        <v>2510</v>
      </c>
      <c r="C281" s="6">
        <v>136000.0</v>
      </c>
      <c r="D281" s="5">
        <v>0.0</v>
      </c>
      <c r="E281" s="5">
        <f t="shared" si="1"/>
        <v>3948063</v>
      </c>
      <c r="F281" s="15" t="s">
        <v>50</v>
      </c>
      <c r="G281" s="4" t="s">
        <v>1984</v>
      </c>
    </row>
    <row r="282" ht="15.75" customHeight="1">
      <c r="A282" s="21">
        <v>46171.0</v>
      </c>
      <c r="B282" s="14" t="s">
        <v>2065</v>
      </c>
      <c r="C282" s="6">
        <v>42000.0</v>
      </c>
      <c r="D282" s="5">
        <v>0.0</v>
      </c>
      <c r="E282" s="5">
        <f t="shared" si="1"/>
        <v>3906063</v>
      </c>
      <c r="F282" s="15" t="s">
        <v>50</v>
      </c>
      <c r="G282" s="4" t="s">
        <v>1984</v>
      </c>
    </row>
    <row r="283" ht="15.75" customHeight="1">
      <c r="A283" s="21">
        <v>46171.0</v>
      </c>
      <c r="B283" s="14" t="s">
        <v>2513</v>
      </c>
      <c r="C283" s="6">
        <v>260000.0</v>
      </c>
      <c r="D283" s="5">
        <v>0.0</v>
      </c>
      <c r="E283" s="5">
        <f t="shared" si="1"/>
        <v>3646063</v>
      </c>
      <c r="F283" s="15" t="s">
        <v>58</v>
      </c>
      <c r="G283" s="4" t="s">
        <v>59</v>
      </c>
      <c r="H283" s="4" t="s">
        <v>111</v>
      </c>
    </row>
    <row r="284" ht="15.75" customHeight="1">
      <c r="A284" s="21">
        <v>46171.0</v>
      </c>
      <c r="B284" s="14" t="s">
        <v>2516</v>
      </c>
      <c r="C284" s="6">
        <v>385599.0</v>
      </c>
      <c r="D284" s="5">
        <v>0.0</v>
      </c>
      <c r="E284" s="5">
        <f t="shared" si="1"/>
        <v>3260464</v>
      </c>
      <c r="F284" s="15" t="s">
        <v>50</v>
      </c>
      <c r="G284" s="14" t="s">
        <v>1780</v>
      </c>
    </row>
    <row r="285" ht="15.75" customHeight="1">
      <c r="A285" s="21">
        <v>46178.0</v>
      </c>
      <c r="B285" s="14" t="s">
        <v>2518</v>
      </c>
      <c r="C285" s="6">
        <v>85000.0</v>
      </c>
      <c r="D285" s="5">
        <v>0.0</v>
      </c>
      <c r="E285" s="5">
        <f t="shared" si="1"/>
        <v>3175464</v>
      </c>
      <c r="F285" s="15" t="s">
        <v>105</v>
      </c>
      <c r="G285" s="4" t="s">
        <v>106</v>
      </c>
      <c r="H285" s="4" t="s">
        <v>412</v>
      </c>
    </row>
    <row r="286" ht="15.75" customHeight="1">
      <c r="A286" s="21">
        <v>46178.0</v>
      </c>
      <c r="B286" s="14" t="s">
        <v>2520</v>
      </c>
      <c r="C286" s="6">
        <v>2500.0</v>
      </c>
      <c r="D286" s="5">
        <v>0.0</v>
      </c>
      <c r="E286" s="5">
        <f t="shared" si="1"/>
        <v>3172964</v>
      </c>
      <c r="F286" s="15" t="s">
        <v>43</v>
      </c>
      <c r="G286" s="4" t="s">
        <v>2521</v>
      </c>
    </row>
    <row r="287" ht="15.75" customHeight="1">
      <c r="A287" s="21">
        <v>46178.0</v>
      </c>
      <c r="B287" s="14" t="s">
        <v>2523</v>
      </c>
      <c r="C287" s="6">
        <v>300000.0</v>
      </c>
      <c r="D287" s="5">
        <v>0.0</v>
      </c>
      <c r="E287" s="5">
        <f t="shared" si="1"/>
        <v>2872964</v>
      </c>
      <c r="F287" s="15" t="s">
        <v>50</v>
      </c>
      <c r="G287" s="4" t="s">
        <v>1996</v>
      </c>
    </row>
    <row r="288" ht="15.75" customHeight="1">
      <c r="A288" s="21">
        <v>46178.0</v>
      </c>
      <c r="B288" s="14" t="s">
        <v>2525</v>
      </c>
      <c r="C288" s="6">
        <v>15500.0</v>
      </c>
      <c r="D288" s="5">
        <v>0.0</v>
      </c>
      <c r="E288" s="5">
        <f t="shared" si="1"/>
        <v>2857464</v>
      </c>
      <c r="F288" s="15" t="s">
        <v>50</v>
      </c>
      <c r="G288" s="4" t="s">
        <v>245</v>
      </c>
      <c r="H288" s="4" t="s">
        <v>1981</v>
      </c>
    </row>
    <row r="289" ht="15.75" customHeight="1">
      <c r="A289" s="21">
        <v>46178.0</v>
      </c>
      <c r="B289" s="14" t="s">
        <v>2249</v>
      </c>
      <c r="C289" s="6">
        <v>45500.0</v>
      </c>
      <c r="D289" s="5">
        <v>0.0</v>
      </c>
      <c r="E289" s="5">
        <f t="shared" si="1"/>
        <v>2811964</v>
      </c>
      <c r="F289" s="15" t="s">
        <v>50</v>
      </c>
      <c r="G289" s="4" t="s">
        <v>245</v>
      </c>
      <c r="H289" s="4" t="s">
        <v>1981</v>
      </c>
    </row>
    <row r="290" ht="15.75" customHeight="1">
      <c r="A290" s="21">
        <v>46178.0</v>
      </c>
      <c r="B290" s="14" t="s">
        <v>2455</v>
      </c>
      <c r="C290" s="6">
        <v>10000.0</v>
      </c>
      <c r="D290" s="5">
        <v>0.0</v>
      </c>
      <c r="E290" s="5">
        <f t="shared" si="1"/>
        <v>2801964</v>
      </c>
      <c r="F290" s="15" t="s">
        <v>50</v>
      </c>
      <c r="G290" s="4" t="s">
        <v>245</v>
      </c>
      <c r="H290" s="4" t="s">
        <v>1981</v>
      </c>
    </row>
    <row r="291" ht="15.75" customHeight="1">
      <c r="A291" s="21">
        <v>46178.0</v>
      </c>
      <c r="B291" s="14" t="s">
        <v>2461</v>
      </c>
      <c r="C291" s="6">
        <v>226000.0</v>
      </c>
      <c r="D291" s="5">
        <v>0.0</v>
      </c>
      <c r="E291" s="5">
        <f t="shared" si="1"/>
        <v>2575964</v>
      </c>
      <c r="F291" s="15" t="s">
        <v>50</v>
      </c>
      <c r="G291" s="4" t="s">
        <v>245</v>
      </c>
      <c r="H291" s="4" t="s">
        <v>1981</v>
      </c>
    </row>
    <row r="292" ht="15.75" customHeight="1">
      <c r="A292" s="21">
        <v>46178.0</v>
      </c>
      <c r="B292" s="14" t="s">
        <v>2159</v>
      </c>
      <c r="C292" s="6">
        <v>63000.0</v>
      </c>
      <c r="D292" s="5">
        <v>0.0</v>
      </c>
      <c r="E292" s="5">
        <f t="shared" si="1"/>
        <v>2512964</v>
      </c>
      <c r="F292" s="15" t="s">
        <v>50</v>
      </c>
      <c r="G292" s="4" t="s">
        <v>245</v>
      </c>
      <c r="H292" s="4" t="s">
        <v>1981</v>
      </c>
    </row>
    <row r="293" ht="15.75" customHeight="1">
      <c r="A293" s="21">
        <v>46180.0</v>
      </c>
      <c r="B293" s="14" t="s">
        <v>2535</v>
      </c>
      <c r="C293" s="6">
        <v>202300.0</v>
      </c>
      <c r="D293" s="5">
        <v>0.0</v>
      </c>
      <c r="E293" s="5">
        <f t="shared" si="1"/>
        <v>2310664</v>
      </c>
      <c r="F293" s="4" t="s">
        <v>50</v>
      </c>
      <c r="G293" s="4" t="s">
        <v>51</v>
      </c>
      <c r="H293" s="4" t="s">
        <v>72</v>
      </c>
    </row>
    <row r="294" ht="15.75" customHeight="1">
      <c r="A294" s="21">
        <v>46180.0</v>
      </c>
      <c r="B294" s="14" t="s">
        <v>2538</v>
      </c>
      <c r="C294" s="6">
        <v>501000.0</v>
      </c>
      <c r="D294" s="5">
        <v>0.0</v>
      </c>
      <c r="E294" s="5">
        <f t="shared" si="1"/>
        <v>1809664</v>
      </c>
      <c r="F294" s="15" t="s">
        <v>50</v>
      </c>
      <c r="G294" s="4" t="s">
        <v>245</v>
      </c>
      <c r="H294" s="4" t="s">
        <v>1981</v>
      </c>
    </row>
    <row r="295" ht="15.75" customHeight="1">
      <c r="A295" s="21">
        <v>46183.0</v>
      </c>
      <c r="B295" s="14" t="s">
        <v>2541</v>
      </c>
      <c r="C295" s="6">
        <v>172330.0</v>
      </c>
      <c r="D295" s="5">
        <v>0.0</v>
      </c>
      <c r="E295" s="5">
        <f t="shared" si="1"/>
        <v>1637334</v>
      </c>
      <c r="F295" s="15" t="s">
        <v>50</v>
      </c>
      <c r="G295" s="4" t="s">
        <v>245</v>
      </c>
      <c r="H295" s="4" t="s">
        <v>413</v>
      </c>
    </row>
    <row r="296" ht="15.75" customHeight="1">
      <c r="A296" s="21">
        <v>46183.0</v>
      </c>
      <c r="B296" s="14" t="s">
        <v>2249</v>
      </c>
      <c r="C296" s="6">
        <v>149000.0</v>
      </c>
      <c r="D296" s="5">
        <v>0.0</v>
      </c>
      <c r="E296" s="5">
        <f t="shared" si="1"/>
        <v>1488334</v>
      </c>
      <c r="F296" s="15" t="s">
        <v>50</v>
      </c>
      <c r="G296" s="4" t="s">
        <v>245</v>
      </c>
      <c r="H296" s="4" t="s">
        <v>1981</v>
      </c>
    </row>
    <row r="297" ht="15.75" customHeight="1">
      <c r="A297" s="21">
        <v>46183.0</v>
      </c>
      <c r="B297" s="14" t="s">
        <v>2461</v>
      </c>
      <c r="C297" s="6">
        <v>191500.0</v>
      </c>
      <c r="D297" s="5">
        <v>0.0</v>
      </c>
      <c r="E297" s="5">
        <f t="shared" si="1"/>
        <v>1296834</v>
      </c>
      <c r="F297" s="15" t="s">
        <v>50</v>
      </c>
      <c r="G297" s="4" t="s">
        <v>245</v>
      </c>
      <c r="H297" s="4" t="s">
        <v>1981</v>
      </c>
    </row>
    <row r="298" ht="15.75" customHeight="1">
      <c r="A298" s="21">
        <v>46183.0</v>
      </c>
      <c r="B298" s="14" t="s">
        <v>2159</v>
      </c>
      <c r="C298" s="6">
        <v>19000.0</v>
      </c>
      <c r="D298" s="5">
        <v>0.0</v>
      </c>
      <c r="E298" s="5">
        <f t="shared" si="1"/>
        <v>1277834</v>
      </c>
      <c r="F298" s="15" t="s">
        <v>50</v>
      </c>
      <c r="G298" s="4" t="s">
        <v>245</v>
      </c>
      <c r="H298" s="4" t="s">
        <v>1981</v>
      </c>
    </row>
    <row r="299" ht="15.75" customHeight="1">
      <c r="A299" s="21">
        <v>46183.0</v>
      </c>
      <c r="B299" s="14" t="s">
        <v>2455</v>
      </c>
      <c r="C299" s="6">
        <v>20000.0</v>
      </c>
      <c r="D299" s="5">
        <v>0.0</v>
      </c>
      <c r="E299" s="5">
        <f t="shared" si="1"/>
        <v>1257834</v>
      </c>
      <c r="F299" s="15" t="s">
        <v>50</v>
      </c>
      <c r="G299" s="4" t="s">
        <v>245</v>
      </c>
      <c r="H299" s="4" t="s">
        <v>1981</v>
      </c>
    </row>
    <row r="300" ht="15.75" customHeight="1">
      <c r="A300" s="21">
        <v>46185.0</v>
      </c>
      <c r="B300" s="14" t="s">
        <v>2065</v>
      </c>
      <c r="C300" s="6">
        <v>168000.0</v>
      </c>
      <c r="D300" s="5">
        <v>0.0</v>
      </c>
      <c r="E300" s="5">
        <f t="shared" si="1"/>
        <v>1089834</v>
      </c>
      <c r="F300" s="15" t="s">
        <v>50</v>
      </c>
      <c r="G300" s="4" t="s">
        <v>1984</v>
      </c>
    </row>
    <row r="301" ht="15.75" customHeight="1">
      <c r="A301" s="21">
        <v>46185.0</v>
      </c>
      <c r="B301" s="14" t="s">
        <v>2553</v>
      </c>
      <c r="C301" s="6">
        <v>17500.0</v>
      </c>
      <c r="D301" s="5">
        <v>0.0</v>
      </c>
      <c r="E301" s="5">
        <f t="shared" si="1"/>
        <v>1072334</v>
      </c>
      <c r="F301" s="15" t="s">
        <v>50</v>
      </c>
      <c r="G301" s="4" t="s">
        <v>1984</v>
      </c>
    </row>
    <row r="302" ht="15.75" customHeight="1">
      <c r="A302" s="21">
        <v>46185.0</v>
      </c>
      <c r="B302" s="14" t="s">
        <v>2556</v>
      </c>
      <c r="C302" s="6">
        <v>27900.0</v>
      </c>
      <c r="D302" s="5">
        <v>0.0</v>
      </c>
      <c r="E302" s="5">
        <f t="shared" si="1"/>
        <v>1044434</v>
      </c>
      <c r="F302" s="15" t="s">
        <v>50</v>
      </c>
      <c r="G302" s="4" t="s">
        <v>1988</v>
      </c>
    </row>
    <row r="303" ht="15.75" customHeight="1">
      <c r="A303" s="21">
        <v>46185.0</v>
      </c>
      <c r="B303" s="14" t="s">
        <v>2558</v>
      </c>
      <c r="C303" s="6">
        <v>24900.0</v>
      </c>
      <c r="D303" s="5">
        <v>0.0</v>
      </c>
      <c r="E303" s="5">
        <f t="shared" si="1"/>
        <v>1019534</v>
      </c>
      <c r="F303" s="4" t="s">
        <v>105</v>
      </c>
      <c r="G303" s="4" t="s">
        <v>2064</v>
      </c>
      <c r="H303" s="4" t="s">
        <v>72</v>
      </c>
    </row>
    <row r="304" ht="15.75" customHeight="1">
      <c r="A304" s="21">
        <v>46185.0</v>
      </c>
      <c r="B304" s="14" t="s">
        <v>2559</v>
      </c>
      <c r="C304" s="6">
        <v>39000.0</v>
      </c>
      <c r="D304" s="5">
        <v>0.0</v>
      </c>
      <c r="E304" s="5">
        <f t="shared" si="1"/>
        <v>980534</v>
      </c>
      <c r="F304" s="15" t="s">
        <v>50</v>
      </c>
      <c r="G304" s="4" t="s">
        <v>1996</v>
      </c>
    </row>
    <row r="305" ht="15.75" customHeight="1">
      <c r="A305" s="8">
        <v>46185.0</v>
      </c>
      <c r="B305" s="4" t="s">
        <v>2562</v>
      </c>
      <c r="C305" s="5">
        <v>108000.0</v>
      </c>
      <c r="D305" s="5">
        <v>0.0</v>
      </c>
      <c r="E305" s="5">
        <f t="shared" si="1"/>
        <v>872534</v>
      </c>
      <c r="F305" s="4" t="s">
        <v>50</v>
      </c>
      <c r="G305" s="4" t="s">
        <v>1996</v>
      </c>
    </row>
    <row r="306" ht="15.75" customHeight="1">
      <c r="A306" s="8">
        <v>46192.0</v>
      </c>
      <c r="B306" s="4" t="s">
        <v>2564</v>
      </c>
      <c r="C306" s="5">
        <v>154300.0</v>
      </c>
      <c r="D306" s="5">
        <v>0.0</v>
      </c>
      <c r="E306" s="5">
        <f t="shared" si="1"/>
        <v>718234</v>
      </c>
      <c r="F306" s="4" t="s">
        <v>105</v>
      </c>
      <c r="G306" s="4" t="s">
        <v>2064</v>
      </c>
      <c r="H306" s="4" t="s">
        <v>72</v>
      </c>
    </row>
    <row r="307" ht="15.75" customHeight="1">
      <c r="A307" s="8">
        <v>46192.0</v>
      </c>
      <c r="B307" s="4" t="s">
        <v>2567</v>
      </c>
      <c r="C307" s="5">
        <v>198800.0</v>
      </c>
      <c r="D307" s="5">
        <v>0.0</v>
      </c>
      <c r="E307" s="5">
        <f t="shared" si="1"/>
        <v>519434</v>
      </c>
      <c r="F307" s="4" t="s">
        <v>50</v>
      </c>
      <c r="G307" s="4" t="s">
        <v>1984</v>
      </c>
    </row>
    <row r="308" ht="15.75" customHeight="1">
      <c r="A308" s="8">
        <v>46192.0</v>
      </c>
      <c r="B308" s="4" t="s">
        <v>2353</v>
      </c>
      <c r="C308" s="5">
        <v>300000.0</v>
      </c>
      <c r="D308" s="5">
        <v>0.0</v>
      </c>
      <c r="E308" s="5">
        <f t="shared" si="1"/>
        <v>219434</v>
      </c>
      <c r="F308" s="4" t="s">
        <v>50</v>
      </c>
      <c r="G308" s="4" t="s">
        <v>1978</v>
      </c>
    </row>
    <row r="309" ht="15.75" customHeight="1">
      <c r="A309" s="8">
        <v>46203.0</v>
      </c>
      <c r="B309" s="14" t="s">
        <v>543</v>
      </c>
      <c r="C309" s="5">
        <v>0.0</v>
      </c>
      <c r="D309" s="5">
        <v>9780566.0</v>
      </c>
      <c r="E309" s="5">
        <f t="shared" si="1"/>
        <v>10000000</v>
      </c>
      <c r="F309" s="14" t="s">
        <v>21</v>
      </c>
      <c r="G309" s="14" t="s">
        <v>116</v>
      </c>
    </row>
    <row r="310" ht="15.75" customHeight="1">
      <c r="A310" s="8">
        <v>46196.0</v>
      </c>
      <c r="B310" s="4" t="s">
        <v>2574</v>
      </c>
      <c r="C310" s="5">
        <v>100000.0</v>
      </c>
      <c r="D310" s="5">
        <v>0.0</v>
      </c>
      <c r="E310" s="5">
        <f t="shared" si="1"/>
        <v>9900000</v>
      </c>
      <c r="F310" s="4" t="s">
        <v>50</v>
      </c>
      <c r="G310" s="4" t="s">
        <v>245</v>
      </c>
      <c r="H310" s="4" t="s">
        <v>1981</v>
      </c>
    </row>
    <row r="311" ht="15.75" customHeight="1">
      <c r="A311" s="8">
        <v>46198.0</v>
      </c>
      <c r="B311" s="4" t="s">
        <v>2577</v>
      </c>
      <c r="C311" s="5">
        <v>115000.0</v>
      </c>
      <c r="D311" s="5">
        <v>0.0</v>
      </c>
      <c r="E311" s="5">
        <f t="shared" si="1"/>
        <v>9785000</v>
      </c>
      <c r="F311" s="4" t="s">
        <v>50</v>
      </c>
      <c r="G311" s="4" t="s">
        <v>245</v>
      </c>
      <c r="H311" s="4" t="s">
        <v>2212</v>
      </c>
    </row>
    <row r="312" ht="15.75" customHeight="1">
      <c r="A312" s="8">
        <v>46198.0</v>
      </c>
      <c r="B312" s="4" t="s">
        <v>2580</v>
      </c>
      <c r="C312" s="5">
        <v>2500.0</v>
      </c>
      <c r="D312" s="5">
        <v>0.0</v>
      </c>
      <c r="E312" s="5">
        <f t="shared" si="1"/>
        <v>9782500</v>
      </c>
      <c r="F312" s="4" t="s">
        <v>43</v>
      </c>
      <c r="G312" s="4" t="s">
        <v>2521</v>
      </c>
    </row>
    <row r="313" ht="15.75" customHeight="1">
      <c r="A313" s="8">
        <v>46203.0</v>
      </c>
      <c r="B313" s="14" t="s">
        <v>2583</v>
      </c>
      <c r="C313" s="5">
        <v>260000.0</v>
      </c>
      <c r="D313" s="5">
        <v>0.0</v>
      </c>
      <c r="E313" s="5">
        <f t="shared" si="1"/>
        <v>9522500</v>
      </c>
      <c r="F313" s="14" t="s">
        <v>58</v>
      </c>
      <c r="G313" s="14" t="s">
        <v>59</v>
      </c>
      <c r="H313" s="4" t="s">
        <v>592</v>
      </c>
    </row>
    <row r="314" ht="15.75" customHeight="1">
      <c r="A314" s="8">
        <v>46203.0</v>
      </c>
      <c r="B314" s="14" t="s">
        <v>2586</v>
      </c>
      <c r="C314" s="5">
        <v>260000.0</v>
      </c>
      <c r="D314" s="5">
        <v>0.0</v>
      </c>
      <c r="E314" s="5">
        <f t="shared" si="1"/>
        <v>9262500</v>
      </c>
      <c r="F314" s="4" t="s">
        <v>58</v>
      </c>
      <c r="G314" s="14" t="s">
        <v>59</v>
      </c>
      <c r="H314" s="4" t="s">
        <v>739</v>
      </c>
    </row>
    <row r="315" ht="15.75" customHeight="1">
      <c r="A315" s="8">
        <v>46203.0</v>
      </c>
      <c r="B315" s="14" t="s">
        <v>2589</v>
      </c>
      <c r="C315" s="5">
        <v>162501.0</v>
      </c>
      <c r="D315" s="5">
        <v>0.0</v>
      </c>
      <c r="E315" s="5">
        <f t="shared" si="1"/>
        <v>9099999</v>
      </c>
      <c r="F315" s="14" t="s">
        <v>58</v>
      </c>
      <c r="G315" s="14" t="s">
        <v>59</v>
      </c>
      <c r="H315" s="4" t="s">
        <v>735</v>
      </c>
    </row>
    <row r="316" ht="15.75" customHeight="1">
      <c r="A316" s="8">
        <v>46203.0</v>
      </c>
      <c r="B316" s="14" t="s">
        <v>2590</v>
      </c>
      <c r="C316" s="5">
        <v>202700.0</v>
      </c>
      <c r="D316" s="5">
        <v>0.0</v>
      </c>
      <c r="E316" s="5">
        <f t="shared" si="1"/>
        <v>8897299</v>
      </c>
      <c r="F316" s="14" t="s">
        <v>58</v>
      </c>
      <c r="G316" s="14" t="s">
        <v>59</v>
      </c>
      <c r="H316" s="4" t="s">
        <v>735</v>
      </c>
    </row>
    <row r="317" ht="15.75" customHeight="1">
      <c r="A317" s="8">
        <v>46203.0</v>
      </c>
      <c r="B317" s="14" t="s">
        <v>2593</v>
      </c>
      <c r="C317" s="5">
        <v>40000.0</v>
      </c>
      <c r="D317" s="5">
        <v>0.0</v>
      </c>
      <c r="E317" s="5">
        <f t="shared" si="1"/>
        <v>8857299</v>
      </c>
      <c r="F317" s="14" t="s">
        <v>58</v>
      </c>
      <c r="G317" s="14" t="s">
        <v>59</v>
      </c>
      <c r="H317" s="4" t="s">
        <v>735</v>
      </c>
    </row>
    <row r="318" ht="15.75" customHeight="1">
      <c r="A318" s="8">
        <v>46203.0</v>
      </c>
      <c r="B318" s="14" t="s">
        <v>2596</v>
      </c>
      <c r="C318" s="5">
        <v>190000.0</v>
      </c>
      <c r="D318" s="5">
        <v>0.0</v>
      </c>
      <c r="E318" s="5">
        <f t="shared" si="1"/>
        <v>8667299</v>
      </c>
      <c r="F318" s="14" t="s">
        <v>58</v>
      </c>
      <c r="G318" s="14" t="s">
        <v>59</v>
      </c>
      <c r="H318" s="4" t="s">
        <v>592</v>
      </c>
    </row>
    <row r="319" ht="15.75" customHeight="1">
      <c r="A319" s="8">
        <v>46203.0</v>
      </c>
      <c r="B319" s="14" t="s">
        <v>2599</v>
      </c>
      <c r="C319" s="5">
        <v>500000.0</v>
      </c>
      <c r="D319" s="5">
        <v>0.0</v>
      </c>
      <c r="E319" s="5">
        <f t="shared" si="1"/>
        <v>8167299</v>
      </c>
      <c r="F319" s="14" t="s">
        <v>50</v>
      </c>
      <c r="G319" s="14" t="s">
        <v>245</v>
      </c>
      <c r="H319" s="4" t="s">
        <v>1972</v>
      </c>
    </row>
    <row r="320" ht="15.75" customHeight="1">
      <c r="A320" s="8">
        <v>46203.0</v>
      </c>
      <c r="B320" s="14" t="s">
        <v>2602</v>
      </c>
      <c r="C320" s="5">
        <v>241881.0</v>
      </c>
      <c r="D320" s="5">
        <v>0.0</v>
      </c>
      <c r="E320" s="5">
        <f t="shared" si="1"/>
        <v>7925418</v>
      </c>
      <c r="F320" s="14" t="s">
        <v>50</v>
      </c>
      <c r="G320" s="14" t="s">
        <v>245</v>
      </c>
      <c r="H320" s="4" t="s">
        <v>1972</v>
      </c>
    </row>
    <row r="321" ht="15.75" customHeight="1">
      <c r="A321" s="8">
        <v>46203.0</v>
      </c>
      <c r="B321" s="14" t="s">
        <v>2604</v>
      </c>
      <c r="C321" s="5">
        <v>41000.0</v>
      </c>
      <c r="D321" s="5">
        <v>0.0</v>
      </c>
      <c r="E321" s="5">
        <f t="shared" si="1"/>
        <v>7884418</v>
      </c>
      <c r="F321" s="14" t="s">
        <v>50</v>
      </c>
      <c r="G321" s="14" t="s">
        <v>245</v>
      </c>
      <c r="H321" s="4" t="s">
        <v>1972</v>
      </c>
    </row>
    <row r="322" ht="15.75" customHeight="1">
      <c r="A322" s="8">
        <v>46203.0</v>
      </c>
      <c r="B322" s="14" t="s">
        <v>2083</v>
      </c>
      <c r="C322" s="5">
        <v>250000.0</v>
      </c>
      <c r="D322" s="5">
        <v>0.0</v>
      </c>
      <c r="E322" s="5">
        <f t="shared" si="1"/>
        <v>7634418</v>
      </c>
      <c r="F322" s="14" t="s">
        <v>105</v>
      </c>
      <c r="G322" s="14" t="s">
        <v>106</v>
      </c>
      <c r="H322" s="4" t="s">
        <v>2086</v>
      </c>
    </row>
    <row r="323" ht="15.75" customHeight="1">
      <c r="A323" s="8">
        <v>46203.0</v>
      </c>
      <c r="B323" s="14" t="s">
        <v>2610</v>
      </c>
      <c r="C323" s="5">
        <v>15000.0</v>
      </c>
      <c r="D323" s="5">
        <v>0.0</v>
      </c>
      <c r="E323" s="5">
        <f t="shared" si="1"/>
        <v>7619418</v>
      </c>
      <c r="F323" s="14" t="s">
        <v>50</v>
      </c>
      <c r="G323" s="15" t="s">
        <v>178</v>
      </c>
      <c r="H323" s="4" t="s">
        <v>6</v>
      </c>
    </row>
    <row r="324" ht="15.75" customHeight="1">
      <c r="A324" s="8">
        <v>46203.0</v>
      </c>
      <c r="B324" s="14" t="s">
        <v>2613</v>
      </c>
      <c r="C324" s="5">
        <v>10000.0</v>
      </c>
      <c r="D324" s="5">
        <v>0.0</v>
      </c>
      <c r="E324" s="5">
        <f t="shared" si="1"/>
        <v>7609418</v>
      </c>
      <c r="F324" s="14" t="s">
        <v>58</v>
      </c>
      <c r="G324" s="14" t="s">
        <v>59</v>
      </c>
      <c r="H324" s="4" t="s">
        <v>694</v>
      </c>
    </row>
    <row r="325" ht="15.75" customHeight="1">
      <c r="A325" s="8">
        <v>46203.0</v>
      </c>
      <c r="B325" s="14" t="s">
        <v>2616</v>
      </c>
      <c r="C325" s="5">
        <v>15000.0</v>
      </c>
      <c r="D325" s="5">
        <v>0.0</v>
      </c>
      <c r="E325" s="5">
        <f t="shared" si="1"/>
        <v>7594418</v>
      </c>
      <c r="F325" s="14" t="s">
        <v>58</v>
      </c>
      <c r="G325" s="14" t="s">
        <v>59</v>
      </c>
      <c r="H325" s="4" t="s">
        <v>677</v>
      </c>
    </row>
    <row r="326" ht="15.75" customHeight="1">
      <c r="A326" s="8">
        <v>46203.0</v>
      </c>
      <c r="B326" s="14" t="s">
        <v>2619</v>
      </c>
      <c r="C326" s="5">
        <v>87886.0</v>
      </c>
      <c r="D326" s="5">
        <v>0.0</v>
      </c>
      <c r="E326" s="5">
        <f t="shared" si="1"/>
        <v>7506532</v>
      </c>
      <c r="F326" s="14" t="s">
        <v>50</v>
      </c>
      <c r="G326" s="14" t="s">
        <v>245</v>
      </c>
      <c r="H326" s="4" t="s">
        <v>1981</v>
      </c>
    </row>
    <row r="327" ht="15.75" customHeight="1">
      <c r="A327" s="8">
        <v>46203.0</v>
      </c>
      <c r="B327" s="14" t="s">
        <v>2249</v>
      </c>
      <c r="C327" s="5">
        <v>45000.0</v>
      </c>
      <c r="D327" s="5">
        <v>0.0</v>
      </c>
      <c r="E327" s="5">
        <f t="shared" si="1"/>
        <v>7461532</v>
      </c>
      <c r="F327" s="14" t="s">
        <v>50</v>
      </c>
      <c r="G327" s="14" t="s">
        <v>245</v>
      </c>
      <c r="H327" s="4" t="s">
        <v>1981</v>
      </c>
    </row>
    <row r="328" ht="15.75" customHeight="1">
      <c r="A328" s="8">
        <v>46203.0</v>
      </c>
      <c r="B328" s="14" t="s">
        <v>2623</v>
      </c>
      <c r="C328" s="5">
        <v>264000.0</v>
      </c>
      <c r="D328" s="5">
        <v>0.0</v>
      </c>
      <c r="E328" s="5">
        <f t="shared" si="1"/>
        <v>7197532</v>
      </c>
      <c r="F328" s="14" t="s">
        <v>50</v>
      </c>
      <c r="G328" s="14" t="s">
        <v>245</v>
      </c>
      <c r="H328" s="4" t="s">
        <v>1981</v>
      </c>
    </row>
    <row r="329" ht="15.75" customHeight="1">
      <c r="A329" s="8">
        <v>46203.0</v>
      </c>
      <c r="B329" s="14" t="s">
        <v>2159</v>
      </c>
      <c r="C329" s="5">
        <v>47000.0</v>
      </c>
      <c r="D329" s="5">
        <v>0.0</v>
      </c>
      <c r="E329" s="5">
        <f t="shared" si="1"/>
        <v>7150532</v>
      </c>
      <c r="F329" s="14" t="s">
        <v>50</v>
      </c>
      <c r="G329" s="14" t="s">
        <v>245</v>
      </c>
      <c r="H329" s="4" t="s">
        <v>1981</v>
      </c>
    </row>
    <row r="330" ht="15.75" customHeight="1">
      <c r="A330" s="8">
        <v>46203.0</v>
      </c>
      <c r="B330" s="14" t="s">
        <v>2455</v>
      </c>
      <c r="C330" s="5">
        <v>30000.0</v>
      </c>
      <c r="D330" s="5">
        <v>0.0</v>
      </c>
      <c r="E330" s="5">
        <f t="shared" si="1"/>
        <v>7120532</v>
      </c>
      <c r="F330" s="14" t="s">
        <v>50</v>
      </c>
      <c r="G330" s="14" t="s">
        <v>245</v>
      </c>
      <c r="H330" s="4" t="s">
        <v>1981</v>
      </c>
    </row>
    <row r="331" ht="15.75" customHeight="1">
      <c r="A331" s="8">
        <v>46203.0</v>
      </c>
      <c r="B331" s="14" t="s">
        <v>2629</v>
      </c>
      <c r="C331" s="5">
        <v>586000.0</v>
      </c>
      <c r="D331" s="5">
        <v>0.0</v>
      </c>
      <c r="E331" s="5">
        <f t="shared" si="1"/>
        <v>6534532</v>
      </c>
      <c r="F331" s="14" t="s">
        <v>50</v>
      </c>
      <c r="G331" s="14" t="s">
        <v>245</v>
      </c>
      <c r="H331" s="4" t="s">
        <v>413</v>
      </c>
    </row>
    <row r="332" ht="15.75" customHeight="1">
      <c r="A332" s="8">
        <v>46203.0</v>
      </c>
      <c r="B332" s="14" t="s">
        <v>2159</v>
      </c>
      <c r="C332" s="5">
        <v>75000.0</v>
      </c>
      <c r="D332" s="5">
        <v>0.0</v>
      </c>
      <c r="E332" s="5">
        <f t="shared" si="1"/>
        <v>6459532</v>
      </c>
      <c r="F332" s="14" t="s">
        <v>50</v>
      </c>
      <c r="G332" s="14" t="s">
        <v>245</v>
      </c>
      <c r="H332" s="4" t="s">
        <v>413</v>
      </c>
    </row>
    <row r="333" ht="15.75" customHeight="1">
      <c r="A333" s="8">
        <v>46203.0</v>
      </c>
      <c r="B333" s="14" t="s">
        <v>2455</v>
      </c>
      <c r="C333" s="5">
        <v>60000.0</v>
      </c>
      <c r="D333" s="5">
        <v>0.0</v>
      </c>
      <c r="E333" s="5">
        <f t="shared" si="1"/>
        <v>6399532</v>
      </c>
      <c r="F333" s="14" t="s">
        <v>50</v>
      </c>
      <c r="G333" s="14" t="s">
        <v>245</v>
      </c>
      <c r="H333" s="4" t="s">
        <v>413</v>
      </c>
    </row>
    <row r="334" ht="15.75" customHeight="1">
      <c r="A334" s="8">
        <v>46203.0</v>
      </c>
      <c r="B334" s="14" t="s">
        <v>2635</v>
      </c>
      <c r="C334" s="5">
        <v>475000.0</v>
      </c>
      <c r="D334" s="5">
        <v>0.0</v>
      </c>
      <c r="E334" s="5">
        <f t="shared" si="1"/>
        <v>5924532</v>
      </c>
      <c r="F334" s="14" t="s">
        <v>1471</v>
      </c>
      <c r="G334" s="14" t="s">
        <v>1579</v>
      </c>
    </row>
    <row r="335" ht="15.75" customHeight="1">
      <c r="A335" s="8">
        <v>46203.0</v>
      </c>
      <c r="B335" s="14" t="s">
        <v>2638</v>
      </c>
      <c r="C335" s="5">
        <v>30000.0</v>
      </c>
      <c r="D335" s="5">
        <v>0.0</v>
      </c>
      <c r="E335" s="5">
        <f t="shared" si="1"/>
        <v>5894532</v>
      </c>
      <c r="F335" s="14" t="s">
        <v>50</v>
      </c>
      <c r="G335" s="14" t="s">
        <v>245</v>
      </c>
      <c r="H335" s="4" t="s">
        <v>2212</v>
      </c>
    </row>
    <row r="336" ht="15.75" customHeight="1">
      <c r="A336" s="8">
        <v>46203.0</v>
      </c>
      <c r="B336" s="14" t="s">
        <v>2640</v>
      </c>
      <c r="C336" s="5">
        <v>170000.0</v>
      </c>
      <c r="D336" s="5">
        <v>0.0</v>
      </c>
      <c r="E336" s="5">
        <f t="shared" si="1"/>
        <v>5724532</v>
      </c>
      <c r="F336" s="14" t="s">
        <v>1471</v>
      </c>
      <c r="G336" s="14" t="s">
        <v>1579</v>
      </c>
    </row>
    <row r="337" ht="15.75" customHeight="1">
      <c r="A337" s="8">
        <v>46205.0</v>
      </c>
      <c r="B337" s="14" t="s">
        <v>2643</v>
      </c>
      <c r="C337" s="5">
        <v>500000.0</v>
      </c>
      <c r="D337" s="5">
        <v>0.0</v>
      </c>
      <c r="E337" s="5">
        <f t="shared" si="1"/>
        <v>5224532</v>
      </c>
      <c r="F337" s="14" t="s">
        <v>50</v>
      </c>
      <c r="G337" s="14" t="s">
        <v>1978</v>
      </c>
    </row>
    <row r="338" ht="15.75" customHeight="1">
      <c r="A338" s="8">
        <v>46205.0</v>
      </c>
      <c r="B338" s="14" t="s">
        <v>2646</v>
      </c>
      <c r="C338" s="5">
        <v>157432.0</v>
      </c>
      <c r="D338" s="5">
        <v>0.0</v>
      </c>
      <c r="E338" s="5">
        <f t="shared" si="1"/>
        <v>5067100</v>
      </c>
      <c r="F338" s="14" t="s">
        <v>50</v>
      </c>
      <c r="G338" s="14" t="s">
        <v>1780</v>
      </c>
    </row>
    <row r="339" ht="15.75" customHeight="1">
      <c r="A339" s="8">
        <v>46205.0</v>
      </c>
      <c r="B339" s="14" t="s">
        <v>2648</v>
      </c>
      <c r="C339" s="5">
        <v>164026.0</v>
      </c>
      <c r="D339" s="5">
        <v>0.0</v>
      </c>
      <c r="E339" s="5">
        <f t="shared" si="1"/>
        <v>4903074</v>
      </c>
      <c r="F339" s="14" t="s">
        <v>50</v>
      </c>
      <c r="G339" s="14" t="s">
        <v>1780</v>
      </c>
    </row>
    <row r="340" ht="15.75" customHeight="1">
      <c r="A340" s="8">
        <v>46206.0</v>
      </c>
      <c r="B340" s="14" t="s">
        <v>2650</v>
      </c>
      <c r="C340" s="5">
        <v>286600.0</v>
      </c>
      <c r="D340" s="5">
        <v>0.0</v>
      </c>
      <c r="E340" s="5">
        <f t="shared" si="1"/>
        <v>4616474</v>
      </c>
      <c r="F340" s="14" t="s">
        <v>58</v>
      </c>
      <c r="G340" s="14" t="s">
        <v>59</v>
      </c>
      <c r="H340" s="4" t="s">
        <v>2652</v>
      </c>
    </row>
    <row r="341" ht="15.75" customHeight="1">
      <c r="A341" s="8">
        <v>46209.0</v>
      </c>
      <c r="B341" s="14" t="s">
        <v>2653</v>
      </c>
      <c r="C341" s="5">
        <v>215288.0</v>
      </c>
      <c r="D341" s="5">
        <v>0.0</v>
      </c>
      <c r="E341" s="5">
        <f t="shared" si="1"/>
        <v>4401186</v>
      </c>
      <c r="F341" s="4" t="s">
        <v>50</v>
      </c>
      <c r="G341" s="14" t="s">
        <v>51</v>
      </c>
      <c r="H341" s="4" t="s">
        <v>72</v>
      </c>
    </row>
    <row r="342" ht="15.75" customHeight="1">
      <c r="A342" s="8">
        <v>46210.0</v>
      </c>
      <c r="B342" s="14" t="s">
        <v>2655</v>
      </c>
      <c r="C342" s="5">
        <v>627599.0</v>
      </c>
      <c r="D342" s="5">
        <v>0.0</v>
      </c>
      <c r="E342" s="5">
        <f t="shared" si="1"/>
        <v>3773587</v>
      </c>
      <c r="F342" s="14" t="s">
        <v>50</v>
      </c>
      <c r="G342" s="14" t="s">
        <v>1780</v>
      </c>
    </row>
    <row r="343" ht="15.75" customHeight="1">
      <c r="A343" s="8">
        <v>46210.0</v>
      </c>
      <c r="B343" s="14" t="s">
        <v>2657</v>
      </c>
      <c r="C343" s="5">
        <v>267500.0</v>
      </c>
      <c r="D343" s="5">
        <v>0.0</v>
      </c>
      <c r="E343" s="5">
        <f t="shared" si="1"/>
        <v>3506087</v>
      </c>
      <c r="F343" s="14" t="s">
        <v>50</v>
      </c>
      <c r="G343" s="14" t="s">
        <v>245</v>
      </c>
      <c r="H343" s="4" t="s">
        <v>1981</v>
      </c>
      <c r="K343" s="4" t="s">
        <v>6</v>
      </c>
    </row>
    <row r="344" ht="15.75" customHeight="1">
      <c r="A344" s="8">
        <v>46210.0</v>
      </c>
      <c r="B344" s="14" t="s">
        <v>2659</v>
      </c>
      <c r="C344" s="5">
        <v>101000.0</v>
      </c>
      <c r="D344" s="5">
        <v>0.0</v>
      </c>
      <c r="E344" s="5">
        <f t="shared" si="1"/>
        <v>3405087</v>
      </c>
      <c r="F344" s="14" t="s">
        <v>50</v>
      </c>
      <c r="G344" s="14" t="s">
        <v>245</v>
      </c>
      <c r="H344" s="4" t="s">
        <v>1981</v>
      </c>
      <c r="K344" s="4" t="s">
        <v>6</v>
      </c>
    </row>
    <row r="345" ht="15.75" customHeight="1">
      <c r="A345" s="8">
        <v>46210.0</v>
      </c>
      <c r="B345" s="14" t="s">
        <v>2661</v>
      </c>
      <c r="C345" s="5">
        <v>34000.0</v>
      </c>
      <c r="D345" s="5">
        <v>0.0</v>
      </c>
      <c r="E345" s="5">
        <f t="shared" si="1"/>
        <v>3371087</v>
      </c>
      <c r="F345" s="14" t="s">
        <v>50</v>
      </c>
      <c r="G345" s="14" t="s">
        <v>245</v>
      </c>
      <c r="H345" s="4" t="s">
        <v>1981</v>
      </c>
      <c r="K345" s="4" t="s">
        <v>6</v>
      </c>
    </row>
    <row r="346" ht="15.75" customHeight="1">
      <c r="A346" s="8">
        <v>46210.0</v>
      </c>
      <c r="B346" s="14" t="s">
        <v>2664</v>
      </c>
      <c r="C346" s="5">
        <v>20000.0</v>
      </c>
      <c r="D346" s="5">
        <v>0.0</v>
      </c>
      <c r="E346" s="5">
        <f t="shared" si="1"/>
        <v>3351087</v>
      </c>
      <c r="F346" s="14" t="s">
        <v>50</v>
      </c>
      <c r="G346" s="14" t="s">
        <v>245</v>
      </c>
      <c r="H346" s="4" t="s">
        <v>1981</v>
      </c>
      <c r="K346" s="4" t="s">
        <v>6</v>
      </c>
    </row>
    <row r="347" ht="15.75" customHeight="1">
      <c r="A347" s="8">
        <v>46210.0</v>
      </c>
      <c r="B347" s="14" t="s">
        <v>2666</v>
      </c>
      <c r="C347" s="5">
        <v>20000.0</v>
      </c>
      <c r="D347" s="5">
        <v>0.0</v>
      </c>
      <c r="E347" s="5">
        <f t="shared" si="1"/>
        <v>3331087</v>
      </c>
      <c r="F347" s="14" t="s">
        <v>50</v>
      </c>
      <c r="G347" s="14" t="s">
        <v>245</v>
      </c>
      <c r="H347" s="4" t="s">
        <v>1981</v>
      </c>
      <c r="K347" s="4" t="s">
        <v>6</v>
      </c>
    </row>
    <row r="348" ht="15.75" customHeight="1">
      <c r="A348" s="8">
        <v>46210.0</v>
      </c>
      <c r="B348" s="14" t="s">
        <v>2065</v>
      </c>
      <c r="C348" s="5">
        <v>126000.0</v>
      </c>
      <c r="D348" s="5">
        <v>0.0</v>
      </c>
      <c r="E348" s="5">
        <f t="shared" si="1"/>
        <v>3205087</v>
      </c>
      <c r="F348" s="14" t="s">
        <v>50</v>
      </c>
      <c r="G348" s="14" t="s">
        <v>1984</v>
      </c>
    </row>
    <row r="349" ht="15.75" customHeight="1">
      <c r="A349" s="8">
        <v>46210.0</v>
      </c>
      <c r="B349" s="14" t="s">
        <v>2668</v>
      </c>
      <c r="C349" s="5">
        <v>122000.0</v>
      </c>
      <c r="D349" s="5">
        <v>0.0</v>
      </c>
      <c r="E349" s="5">
        <f t="shared" si="1"/>
        <v>3083087</v>
      </c>
      <c r="F349" s="14" t="s">
        <v>50</v>
      </c>
      <c r="G349" s="14" t="s">
        <v>1984</v>
      </c>
    </row>
    <row r="350" ht="15.75" customHeight="1">
      <c r="A350" s="8">
        <v>46210.0</v>
      </c>
      <c r="B350" s="14" t="s">
        <v>2669</v>
      </c>
      <c r="C350" s="5">
        <v>130100.0</v>
      </c>
      <c r="D350" s="5">
        <v>0.0</v>
      </c>
      <c r="E350" s="5">
        <f t="shared" si="1"/>
        <v>2952987</v>
      </c>
      <c r="F350" s="14" t="s">
        <v>50</v>
      </c>
      <c r="G350" s="14" t="s">
        <v>1984</v>
      </c>
    </row>
    <row r="351" ht="15.75" customHeight="1">
      <c r="A351" s="8">
        <v>46210.0</v>
      </c>
      <c r="B351" s="14" t="s">
        <v>2083</v>
      </c>
      <c r="C351" s="5">
        <v>110000.0</v>
      </c>
      <c r="D351" s="5">
        <v>0.0</v>
      </c>
      <c r="E351" s="5">
        <f t="shared" si="1"/>
        <v>2842987</v>
      </c>
      <c r="F351" s="14" t="s">
        <v>105</v>
      </c>
      <c r="G351" s="14" t="s">
        <v>106</v>
      </c>
      <c r="H351" s="4" t="s">
        <v>2086</v>
      </c>
    </row>
    <row r="352" ht="15.75" customHeight="1">
      <c r="A352" s="8">
        <v>46210.0</v>
      </c>
      <c r="B352" s="14" t="s">
        <v>2671</v>
      </c>
      <c r="C352" s="5">
        <v>500000.0</v>
      </c>
      <c r="D352" s="5">
        <v>0.0</v>
      </c>
      <c r="E352" s="5">
        <f t="shared" si="1"/>
        <v>2342987</v>
      </c>
      <c r="F352" s="14" t="s">
        <v>50</v>
      </c>
      <c r="G352" s="14" t="s">
        <v>245</v>
      </c>
      <c r="H352" s="4" t="s">
        <v>1972</v>
      </c>
    </row>
    <row r="353" ht="15.75" customHeight="1">
      <c r="A353" s="8">
        <v>46210.0</v>
      </c>
      <c r="B353" s="14" t="s">
        <v>2673</v>
      </c>
      <c r="C353" s="5">
        <v>33000.0</v>
      </c>
      <c r="D353" s="5">
        <v>0.0</v>
      </c>
      <c r="E353" s="5">
        <f t="shared" si="1"/>
        <v>2309987</v>
      </c>
      <c r="F353" s="14" t="s">
        <v>50</v>
      </c>
      <c r="G353" s="14" t="s">
        <v>245</v>
      </c>
      <c r="H353" s="4" t="s">
        <v>1972</v>
      </c>
    </row>
    <row r="354" ht="15.75" customHeight="1">
      <c r="A354" s="8">
        <v>46210.0</v>
      </c>
      <c r="B354" s="14" t="s">
        <v>2675</v>
      </c>
      <c r="C354" s="5">
        <v>460000.0</v>
      </c>
      <c r="D354" s="5">
        <v>0.0</v>
      </c>
      <c r="E354" s="5">
        <f t="shared" si="1"/>
        <v>1849987</v>
      </c>
      <c r="F354" s="14" t="s">
        <v>50</v>
      </c>
      <c r="G354" s="14" t="s">
        <v>245</v>
      </c>
      <c r="H354" s="4" t="s">
        <v>1972</v>
      </c>
    </row>
    <row r="355" ht="15.75" customHeight="1">
      <c r="A355" s="8">
        <v>46211.0</v>
      </c>
      <c r="B355" s="14" t="s">
        <v>2677</v>
      </c>
      <c r="C355" s="5">
        <v>17000.0</v>
      </c>
      <c r="D355" s="5">
        <v>0.0</v>
      </c>
      <c r="E355" s="5">
        <f t="shared" si="1"/>
        <v>1832987</v>
      </c>
      <c r="F355" s="14" t="s">
        <v>58</v>
      </c>
      <c r="G355" s="14" t="s">
        <v>59</v>
      </c>
      <c r="H355" s="4" t="s">
        <v>2652</v>
      </c>
    </row>
    <row r="356" ht="15.75" customHeight="1">
      <c r="A356" s="8">
        <v>46211.0</v>
      </c>
      <c r="B356" s="14" t="s">
        <v>2679</v>
      </c>
      <c r="C356" s="5">
        <v>569500.0</v>
      </c>
      <c r="D356" s="5">
        <v>0.0</v>
      </c>
      <c r="E356" s="5">
        <f t="shared" si="1"/>
        <v>1263487</v>
      </c>
      <c r="F356" s="14" t="s">
        <v>50</v>
      </c>
      <c r="G356" s="14" t="s">
        <v>245</v>
      </c>
      <c r="H356" s="4" t="s">
        <v>413</v>
      </c>
    </row>
    <row r="357" ht="15.75" customHeight="1">
      <c r="A357" s="8">
        <v>46211.0</v>
      </c>
      <c r="B357" s="14" t="s">
        <v>2681</v>
      </c>
      <c r="C357" s="5">
        <v>150000.0</v>
      </c>
      <c r="D357" s="5">
        <v>0.0</v>
      </c>
      <c r="E357" s="5">
        <f t="shared" si="1"/>
        <v>1113487</v>
      </c>
      <c r="F357" s="14" t="s">
        <v>50</v>
      </c>
      <c r="G357" s="14" t="s">
        <v>245</v>
      </c>
      <c r="H357" s="4" t="s">
        <v>413</v>
      </c>
    </row>
    <row r="358" ht="15.75" customHeight="1">
      <c r="A358" s="8">
        <v>46211.0</v>
      </c>
      <c r="B358" s="14" t="s">
        <v>2683</v>
      </c>
      <c r="C358" s="5">
        <v>90000.0</v>
      </c>
      <c r="D358" s="5">
        <v>0.0</v>
      </c>
      <c r="E358" s="5">
        <f t="shared" si="1"/>
        <v>1023487</v>
      </c>
      <c r="F358" s="14" t="s">
        <v>50</v>
      </c>
      <c r="G358" s="14" t="s">
        <v>245</v>
      </c>
      <c r="H358" s="4" t="s">
        <v>413</v>
      </c>
    </row>
    <row r="359" ht="15.75" customHeight="1">
      <c r="A359" s="8">
        <v>46212.0</v>
      </c>
      <c r="B359" s="14" t="s">
        <v>1173</v>
      </c>
      <c r="C359" s="5">
        <v>0.0</v>
      </c>
      <c r="D359" s="5">
        <v>8976513.0</v>
      </c>
      <c r="E359" s="5">
        <f t="shared" si="1"/>
        <v>10000000</v>
      </c>
      <c r="F359" s="14" t="s">
        <v>21</v>
      </c>
      <c r="G359" s="14" t="s">
        <v>116</v>
      </c>
    </row>
    <row r="360" ht="15.75" customHeight="1">
      <c r="A360" s="8">
        <v>46212.0</v>
      </c>
      <c r="B360" s="14" t="s">
        <v>2686</v>
      </c>
      <c r="C360" s="5">
        <v>762250.0</v>
      </c>
      <c r="D360" s="5">
        <v>0.0</v>
      </c>
      <c r="E360" s="5">
        <f t="shared" si="1"/>
        <v>9237750</v>
      </c>
      <c r="F360" s="14" t="s">
        <v>105</v>
      </c>
      <c r="G360" s="14" t="s">
        <v>380</v>
      </c>
    </row>
    <row r="361" ht="15.75" customHeight="1">
      <c r="A361" s="8">
        <v>46213.0</v>
      </c>
      <c r="B361" s="14" t="s">
        <v>2688</v>
      </c>
      <c r="C361" s="5">
        <v>241300.0</v>
      </c>
      <c r="D361" s="5">
        <v>0.0</v>
      </c>
      <c r="E361" s="5">
        <f t="shared" si="1"/>
        <v>8996450</v>
      </c>
      <c r="F361" s="4" t="s">
        <v>105</v>
      </c>
      <c r="G361" s="14" t="s">
        <v>2064</v>
      </c>
      <c r="H361" s="4" t="s">
        <v>72</v>
      </c>
    </row>
    <row r="362" ht="15.75" customHeight="1">
      <c r="A362" s="8">
        <v>46213.0</v>
      </c>
      <c r="B362" s="14" t="s">
        <v>2690</v>
      </c>
      <c r="C362" s="5">
        <v>405790.0</v>
      </c>
      <c r="D362" s="5">
        <v>0.0</v>
      </c>
      <c r="E362" s="5">
        <f t="shared" si="1"/>
        <v>8590660</v>
      </c>
      <c r="F362" s="14" t="s">
        <v>58</v>
      </c>
      <c r="G362" s="14" t="s">
        <v>59</v>
      </c>
      <c r="H362" s="4" t="s">
        <v>2692</v>
      </c>
    </row>
    <row r="363" ht="15.75" customHeight="1">
      <c r="A363" s="8">
        <v>46213.0</v>
      </c>
      <c r="B363" s="14" t="s">
        <v>2693</v>
      </c>
      <c r="C363" s="5">
        <v>205000.0</v>
      </c>
      <c r="D363" s="5">
        <v>0.0</v>
      </c>
      <c r="E363" s="5">
        <f t="shared" si="1"/>
        <v>8385660</v>
      </c>
      <c r="F363" s="14" t="s">
        <v>50</v>
      </c>
      <c r="G363" s="14" t="s">
        <v>245</v>
      </c>
      <c r="H363" s="4" t="s">
        <v>246</v>
      </c>
    </row>
    <row r="364" ht="15.75" customHeight="1">
      <c r="A364" s="8">
        <v>46213.0</v>
      </c>
      <c r="B364" s="14" t="s">
        <v>2695</v>
      </c>
      <c r="C364" s="5">
        <v>273000.0</v>
      </c>
      <c r="D364" s="5">
        <v>0.0</v>
      </c>
      <c r="E364" s="5">
        <f t="shared" si="1"/>
        <v>8112660</v>
      </c>
      <c r="F364" s="14" t="s">
        <v>50</v>
      </c>
      <c r="G364" s="14" t="s">
        <v>245</v>
      </c>
      <c r="H364" s="4" t="s">
        <v>246</v>
      </c>
    </row>
    <row r="365" ht="15.75" customHeight="1">
      <c r="A365" s="8">
        <v>46213.0</v>
      </c>
      <c r="B365" s="14" t="s">
        <v>2697</v>
      </c>
      <c r="C365" s="5">
        <v>39000.0</v>
      </c>
      <c r="D365" s="5">
        <v>0.0</v>
      </c>
      <c r="E365" s="5">
        <f t="shared" si="1"/>
        <v>8073660</v>
      </c>
      <c r="F365" s="14" t="s">
        <v>50</v>
      </c>
      <c r="G365" s="14" t="s">
        <v>245</v>
      </c>
      <c r="H365" s="4" t="s">
        <v>246</v>
      </c>
    </row>
    <row r="366" ht="15.75" customHeight="1">
      <c r="A366" s="8">
        <v>46220.0</v>
      </c>
      <c r="B366" s="14" t="s">
        <v>2699</v>
      </c>
      <c r="C366" s="5">
        <v>500000.0</v>
      </c>
      <c r="D366" s="5">
        <v>0.0</v>
      </c>
      <c r="E366" s="5">
        <f t="shared" si="1"/>
        <v>7573660</v>
      </c>
      <c r="F366" s="14" t="s">
        <v>58</v>
      </c>
      <c r="G366" s="14" t="s">
        <v>59</v>
      </c>
      <c r="H366" s="4" t="s">
        <v>854</v>
      </c>
    </row>
    <row r="367" ht="15.75" customHeight="1">
      <c r="A367" s="8">
        <v>46220.0</v>
      </c>
      <c r="B367" s="14" t="s">
        <v>2701</v>
      </c>
      <c r="C367" s="5">
        <v>98500.0</v>
      </c>
      <c r="D367" s="5">
        <v>0.0</v>
      </c>
      <c r="E367" s="5">
        <f t="shared" si="1"/>
        <v>7475160</v>
      </c>
      <c r="F367" s="14" t="s">
        <v>58</v>
      </c>
      <c r="G367" s="14" t="s">
        <v>59</v>
      </c>
      <c r="H367" s="4" t="s">
        <v>931</v>
      </c>
    </row>
    <row r="368" ht="15.75" customHeight="1">
      <c r="A368" s="8">
        <v>46220.0</v>
      </c>
      <c r="B368" s="14" t="s">
        <v>2703</v>
      </c>
      <c r="C368" s="5">
        <v>38000.0</v>
      </c>
      <c r="D368" s="5">
        <v>0.0</v>
      </c>
      <c r="E368" s="5">
        <f t="shared" si="1"/>
        <v>7437160</v>
      </c>
      <c r="F368" s="14" t="s">
        <v>58</v>
      </c>
      <c r="G368" s="14" t="s">
        <v>59</v>
      </c>
      <c r="H368" s="4" t="s">
        <v>694</v>
      </c>
    </row>
    <row r="369" ht="15.75" customHeight="1">
      <c r="A369" s="8">
        <v>46220.0</v>
      </c>
      <c r="B369" s="14" t="s">
        <v>2047</v>
      </c>
      <c r="C369" s="5">
        <v>501000.0</v>
      </c>
      <c r="D369" s="5">
        <v>0.0</v>
      </c>
      <c r="E369" s="5">
        <f t="shared" si="1"/>
        <v>6936160</v>
      </c>
      <c r="F369" s="14" t="s">
        <v>50</v>
      </c>
      <c r="G369" s="14" t="s">
        <v>245</v>
      </c>
      <c r="H369" s="4" t="s">
        <v>1981</v>
      </c>
    </row>
    <row r="370" ht="15.75" customHeight="1">
      <c r="A370" s="8">
        <v>46220.0</v>
      </c>
      <c r="B370" s="14" t="s">
        <v>2706</v>
      </c>
      <c r="C370" s="5">
        <v>44500.0</v>
      </c>
      <c r="D370" s="5">
        <v>0.0</v>
      </c>
      <c r="E370" s="5">
        <f t="shared" si="1"/>
        <v>6891660</v>
      </c>
      <c r="F370" s="14" t="s">
        <v>105</v>
      </c>
      <c r="G370" s="14" t="s">
        <v>106</v>
      </c>
      <c r="H370" s="4" t="s">
        <v>72</v>
      </c>
    </row>
    <row r="371" ht="15.75" customHeight="1">
      <c r="A371" s="8">
        <v>46220.0</v>
      </c>
      <c r="B371" s="14" t="s">
        <v>2708</v>
      </c>
      <c r="C371" s="5">
        <v>55000.0</v>
      </c>
      <c r="D371" s="5">
        <v>0.0</v>
      </c>
      <c r="E371" s="5">
        <f t="shared" si="1"/>
        <v>6836660</v>
      </c>
      <c r="F371" s="4" t="s">
        <v>105</v>
      </c>
      <c r="G371" s="14" t="s">
        <v>2064</v>
      </c>
      <c r="H371" s="4" t="s">
        <v>72</v>
      </c>
    </row>
    <row r="372" ht="15.75" customHeight="1">
      <c r="A372" s="8">
        <v>46220.0</v>
      </c>
      <c r="B372" s="14" t="s">
        <v>2710</v>
      </c>
      <c r="C372" s="5">
        <v>231200.0</v>
      </c>
      <c r="D372" s="5">
        <v>0.0</v>
      </c>
      <c r="E372" s="5">
        <f t="shared" si="1"/>
        <v>6605460</v>
      </c>
      <c r="F372" s="14" t="s">
        <v>50</v>
      </c>
      <c r="G372" s="14" t="s">
        <v>1984</v>
      </c>
      <c r="H372" s="4" t="s">
        <v>6</v>
      </c>
    </row>
    <row r="373" ht="15.75" customHeight="1">
      <c r="A373" s="8">
        <v>46223.0</v>
      </c>
      <c r="B373" s="14" t="s">
        <v>2712</v>
      </c>
      <c r="C373" s="5">
        <v>150750.0</v>
      </c>
      <c r="D373" s="5">
        <v>0.0</v>
      </c>
      <c r="E373" s="5">
        <f t="shared" si="1"/>
        <v>6454710</v>
      </c>
      <c r="F373" s="14" t="s">
        <v>50</v>
      </c>
      <c r="G373" s="15" t="s">
        <v>1780</v>
      </c>
    </row>
    <row r="374" ht="15.75" customHeight="1">
      <c r="A374" s="8">
        <v>46223.0</v>
      </c>
      <c r="B374" s="14" t="s">
        <v>2714</v>
      </c>
      <c r="C374" s="5">
        <v>110000.0</v>
      </c>
      <c r="D374" s="5">
        <v>0.0</v>
      </c>
      <c r="E374" s="5">
        <f t="shared" si="1"/>
        <v>6344710</v>
      </c>
      <c r="F374" s="14" t="s">
        <v>50</v>
      </c>
      <c r="G374" s="15" t="s">
        <v>1780</v>
      </c>
    </row>
    <row r="375" ht="15.75" customHeight="1">
      <c r="A375" s="8">
        <v>46223.0</v>
      </c>
      <c r="B375" s="14" t="s">
        <v>2629</v>
      </c>
      <c r="C375" s="5">
        <v>191000.0</v>
      </c>
      <c r="D375" s="5">
        <v>0.0</v>
      </c>
      <c r="E375" s="5">
        <f t="shared" si="1"/>
        <v>6153710</v>
      </c>
      <c r="F375" s="14" t="s">
        <v>50</v>
      </c>
      <c r="G375" s="14" t="s">
        <v>245</v>
      </c>
      <c r="H375" s="4" t="s">
        <v>1981</v>
      </c>
    </row>
    <row r="376" ht="15.75" customHeight="1">
      <c r="A376" s="8">
        <v>46223.0</v>
      </c>
      <c r="B376" s="14" t="s">
        <v>2159</v>
      </c>
      <c r="C376" s="5">
        <v>99000.0</v>
      </c>
      <c r="D376" s="5">
        <v>0.0</v>
      </c>
      <c r="E376" s="5">
        <f t="shared" si="1"/>
        <v>6054710</v>
      </c>
      <c r="F376" s="14" t="s">
        <v>50</v>
      </c>
      <c r="G376" s="14" t="s">
        <v>245</v>
      </c>
      <c r="H376" s="4" t="s">
        <v>1981</v>
      </c>
    </row>
    <row r="377" ht="15.75" customHeight="1">
      <c r="A377" s="8">
        <v>46223.0</v>
      </c>
      <c r="B377" s="14" t="s">
        <v>2718</v>
      </c>
      <c r="C377" s="5">
        <v>45000.0</v>
      </c>
      <c r="D377" s="5">
        <v>0.0</v>
      </c>
      <c r="E377" s="5">
        <f t="shared" si="1"/>
        <v>6009710</v>
      </c>
      <c r="F377" s="14" t="s">
        <v>50</v>
      </c>
      <c r="G377" s="14" t="s">
        <v>245</v>
      </c>
      <c r="H377" s="4" t="s">
        <v>1981</v>
      </c>
    </row>
    <row r="378" ht="15.75" customHeight="1">
      <c r="A378" s="8">
        <v>46223.0</v>
      </c>
      <c r="B378" s="14" t="s">
        <v>2661</v>
      </c>
      <c r="C378" s="5">
        <v>50000.0</v>
      </c>
      <c r="D378" s="5">
        <v>0.0</v>
      </c>
      <c r="E378" s="5">
        <f t="shared" si="1"/>
        <v>5959710</v>
      </c>
      <c r="F378" s="14" t="s">
        <v>50</v>
      </c>
      <c r="G378" s="14" t="s">
        <v>245</v>
      </c>
      <c r="H378" s="4" t="s">
        <v>1981</v>
      </c>
    </row>
    <row r="379" ht="15.75" customHeight="1">
      <c r="A379" s="8">
        <v>46223.0</v>
      </c>
      <c r="B379" s="14" t="s">
        <v>2721</v>
      </c>
      <c r="C379" s="5">
        <v>22200.0</v>
      </c>
      <c r="D379" s="5">
        <v>0.0</v>
      </c>
      <c r="E379" s="5">
        <f t="shared" si="1"/>
        <v>5937510</v>
      </c>
      <c r="F379" s="14" t="s">
        <v>50</v>
      </c>
      <c r="G379" s="14" t="s">
        <v>245</v>
      </c>
      <c r="H379" s="4" t="s">
        <v>1981</v>
      </c>
    </row>
    <row r="380" ht="15.75" customHeight="1">
      <c r="A380" s="8">
        <v>46224.0</v>
      </c>
      <c r="B380" s="14" t="s">
        <v>2723</v>
      </c>
      <c r="C380" s="5">
        <v>75000.0</v>
      </c>
      <c r="D380" s="5">
        <v>0.0</v>
      </c>
      <c r="E380" s="5">
        <f t="shared" si="1"/>
        <v>5862510</v>
      </c>
      <c r="F380" s="14" t="s">
        <v>50</v>
      </c>
      <c r="G380" s="15" t="s">
        <v>178</v>
      </c>
    </row>
    <row r="381" ht="15.75" customHeight="1">
      <c r="A381" s="8">
        <v>46226.0</v>
      </c>
      <c r="B381" s="14" t="s">
        <v>2712</v>
      </c>
      <c r="C381" s="5">
        <v>726050.0</v>
      </c>
      <c r="D381" s="5">
        <v>0.0</v>
      </c>
      <c r="E381" s="5">
        <f t="shared" si="1"/>
        <v>5136460</v>
      </c>
      <c r="F381" s="14" t="s">
        <v>50</v>
      </c>
      <c r="G381" s="15" t="s">
        <v>1780</v>
      </c>
    </row>
    <row r="382" ht="15.75" customHeight="1">
      <c r="A382" s="8">
        <v>46229.0</v>
      </c>
      <c r="B382" s="14" t="s">
        <v>2726</v>
      </c>
      <c r="C382" s="5">
        <v>356812.0</v>
      </c>
      <c r="D382" s="5">
        <v>0.0</v>
      </c>
      <c r="E382" s="5">
        <f t="shared" si="1"/>
        <v>4779648</v>
      </c>
      <c r="F382" s="14" t="s">
        <v>50</v>
      </c>
      <c r="G382" s="14" t="s">
        <v>51</v>
      </c>
      <c r="H382" s="4" t="s">
        <v>72</v>
      </c>
    </row>
    <row r="383" ht="15.75" customHeight="1">
      <c r="A383" s="8">
        <v>46230.0</v>
      </c>
      <c r="B383" s="14" t="s">
        <v>2728</v>
      </c>
      <c r="C383" s="5">
        <v>217800.0</v>
      </c>
      <c r="D383" s="5">
        <v>0.0</v>
      </c>
      <c r="E383" s="5">
        <f t="shared" si="1"/>
        <v>4561848</v>
      </c>
      <c r="F383" s="14" t="s">
        <v>58</v>
      </c>
      <c r="G383" s="14" t="s">
        <v>59</v>
      </c>
      <c r="H383" s="4" t="s">
        <v>722</v>
      </c>
    </row>
    <row r="384" ht="15.75" customHeight="1">
      <c r="A384" s="8">
        <v>46231.0</v>
      </c>
      <c r="B384" s="14" t="s">
        <v>2016</v>
      </c>
      <c r="C384" s="5">
        <v>500000.0</v>
      </c>
      <c r="D384" s="5">
        <v>0.0</v>
      </c>
      <c r="E384" s="5">
        <f t="shared" si="1"/>
        <v>4061848</v>
      </c>
      <c r="F384" s="14" t="s">
        <v>50</v>
      </c>
      <c r="G384" s="14" t="s">
        <v>1978</v>
      </c>
    </row>
    <row r="385" ht="15.75" customHeight="1">
      <c r="A385" s="8">
        <v>46231.0</v>
      </c>
      <c r="B385" s="14" t="s">
        <v>2730</v>
      </c>
      <c r="C385" s="5">
        <v>712500.0</v>
      </c>
      <c r="D385" s="5">
        <v>0.0</v>
      </c>
      <c r="E385" s="5">
        <f t="shared" si="1"/>
        <v>3349348</v>
      </c>
      <c r="F385" s="14" t="s">
        <v>50</v>
      </c>
      <c r="G385" s="14" t="s">
        <v>1780</v>
      </c>
    </row>
    <row r="386" ht="15.75" customHeight="1">
      <c r="A386" s="8">
        <v>46234.0</v>
      </c>
      <c r="B386" s="14" t="s">
        <v>2732</v>
      </c>
      <c r="C386" s="5">
        <v>813000.0</v>
      </c>
      <c r="D386" s="5">
        <v>0.0</v>
      </c>
      <c r="E386" s="5">
        <f t="shared" si="1"/>
        <v>2536348</v>
      </c>
      <c r="F386" s="14" t="s">
        <v>105</v>
      </c>
      <c r="G386" s="14" t="s">
        <v>380</v>
      </c>
    </row>
    <row r="387" ht="15.75" customHeight="1">
      <c r="A387" s="8">
        <v>46234.0</v>
      </c>
      <c r="B387" s="14" t="s">
        <v>2734</v>
      </c>
      <c r="C387" s="5">
        <v>447000.0</v>
      </c>
      <c r="D387" s="5">
        <v>0.0</v>
      </c>
      <c r="E387" s="5">
        <f t="shared" si="1"/>
        <v>2089348</v>
      </c>
      <c r="F387" s="14" t="s">
        <v>50</v>
      </c>
      <c r="G387" s="14" t="s">
        <v>245</v>
      </c>
      <c r="H387" s="4" t="s">
        <v>413</v>
      </c>
    </row>
    <row r="388" ht="15.75" customHeight="1">
      <c r="A388" s="8">
        <v>46234.0</v>
      </c>
      <c r="B388" s="14" t="s">
        <v>2735</v>
      </c>
      <c r="C388" s="5">
        <v>113500.0</v>
      </c>
      <c r="D388" s="5">
        <v>0.0</v>
      </c>
      <c r="E388" s="5">
        <f t="shared" si="1"/>
        <v>1975848</v>
      </c>
      <c r="F388" s="14" t="s">
        <v>50</v>
      </c>
      <c r="G388" s="14" t="s">
        <v>245</v>
      </c>
      <c r="H388" s="4" t="s">
        <v>413</v>
      </c>
    </row>
    <row r="389" ht="15.75" customHeight="1">
      <c r="A389" s="8">
        <v>46234.0</v>
      </c>
      <c r="B389" s="14" t="s">
        <v>2737</v>
      </c>
      <c r="C389" s="5">
        <v>26000.0</v>
      </c>
      <c r="D389" s="5">
        <v>0.0</v>
      </c>
      <c r="E389" s="5">
        <f t="shared" si="1"/>
        <v>1949848</v>
      </c>
      <c r="F389" s="14" t="s">
        <v>50</v>
      </c>
      <c r="G389" s="14" t="s">
        <v>245</v>
      </c>
      <c r="H389" s="4" t="s">
        <v>413</v>
      </c>
    </row>
    <row r="390" ht="15.75" customHeight="1">
      <c r="A390" s="8">
        <v>46234.0</v>
      </c>
      <c r="B390" s="14" t="s">
        <v>2739</v>
      </c>
      <c r="C390" s="5">
        <v>128500.0</v>
      </c>
      <c r="D390" s="5">
        <v>0.0</v>
      </c>
      <c r="E390" s="5">
        <f t="shared" si="1"/>
        <v>1821348</v>
      </c>
      <c r="F390" s="14" t="s">
        <v>50</v>
      </c>
      <c r="G390" s="14" t="s">
        <v>245</v>
      </c>
      <c r="H390" s="4" t="s">
        <v>1981</v>
      </c>
    </row>
    <row r="391" ht="15.75" customHeight="1">
      <c r="A391" s="8">
        <v>46234.0</v>
      </c>
      <c r="B391" s="14" t="s">
        <v>2740</v>
      </c>
      <c r="C391" s="5">
        <v>52000.0</v>
      </c>
      <c r="D391" s="5">
        <v>0.0</v>
      </c>
      <c r="E391" s="5">
        <f t="shared" si="1"/>
        <v>1769348</v>
      </c>
      <c r="F391" s="14" t="s">
        <v>50</v>
      </c>
      <c r="G391" s="14" t="s">
        <v>245</v>
      </c>
      <c r="H391" s="4" t="s">
        <v>1981</v>
      </c>
    </row>
    <row r="392" ht="15.75" customHeight="1">
      <c r="A392" s="8">
        <v>46234.0</v>
      </c>
      <c r="B392" s="14" t="s">
        <v>2742</v>
      </c>
      <c r="C392" s="5">
        <v>81500.0</v>
      </c>
      <c r="D392" s="5">
        <v>0.0</v>
      </c>
      <c r="E392" s="5">
        <f t="shared" si="1"/>
        <v>1687848</v>
      </c>
      <c r="F392" s="14" t="s">
        <v>50</v>
      </c>
      <c r="G392" s="14" t="s">
        <v>245</v>
      </c>
      <c r="H392" s="4" t="s">
        <v>1981</v>
      </c>
    </row>
    <row r="393" ht="15.75" customHeight="1">
      <c r="A393" s="8">
        <v>46234.0</v>
      </c>
      <c r="B393" s="14" t="s">
        <v>2744</v>
      </c>
      <c r="C393" s="5">
        <v>50000.0</v>
      </c>
      <c r="D393" s="5">
        <v>0.0</v>
      </c>
      <c r="E393" s="5">
        <f t="shared" si="1"/>
        <v>1637848</v>
      </c>
      <c r="F393" s="14" t="s">
        <v>50</v>
      </c>
      <c r="G393" s="14" t="s">
        <v>245</v>
      </c>
      <c r="H393" s="4" t="s">
        <v>1981</v>
      </c>
    </row>
    <row r="394" ht="15.75" customHeight="1">
      <c r="A394" s="8">
        <v>46234.0</v>
      </c>
      <c r="B394" s="14" t="s">
        <v>2087</v>
      </c>
      <c r="C394" s="5">
        <v>80978.0</v>
      </c>
      <c r="D394" s="5">
        <v>0.0</v>
      </c>
      <c r="E394" s="5">
        <f t="shared" si="1"/>
        <v>1556870</v>
      </c>
      <c r="F394" s="14" t="s">
        <v>50</v>
      </c>
      <c r="G394" s="14" t="s">
        <v>245</v>
      </c>
      <c r="H394" s="4" t="s">
        <v>1981</v>
      </c>
    </row>
    <row r="395" ht="15.75" customHeight="1">
      <c r="A395" s="8">
        <v>46234.0</v>
      </c>
      <c r="B395" s="14" t="s">
        <v>2065</v>
      </c>
      <c r="C395" s="5">
        <v>168000.0</v>
      </c>
      <c r="D395" s="5">
        <v>0.0</v>
      </c>
      <c r="E395" s="5">
        <f t="shared" si="1"/>
        <v>1388870</v>
      </c>
      <c r="F395" s="14" t="s">
        <v>50</v>
      </c>
      <c r="G395" s="14" t="s">
        <v>1984</v>
      </c>
    </row>
    <row r="396" ht="15.75" customHeight="1">
      <c r="A396" s="8">
        <v>46234.0</v>
      </c>
      <c r="B396" s="14" t="s">
        <v>2748</v>
      </c>
      <c r="C396" s="5">
        <v>256000.0</v>
      </c>
      <c r="D396" s="5">
        <v>0.0</v>
      </c>
      <c r="E396" s="5">
        <f t="shared" si="1"/>
        <v>1132870</v>
      </c>
      <c r="F396" s="14" t="s">
        <v>50</v>
      </c>
      <c r="G396" s="14" t="s">
        <v>1984</v>
      </c>
    </row>
    <row r="397" ht="15.75" customHeight="1">
      <c r="A397" s="8">
        <v>46234.0</v>
      </c>
      <c r="B397" s="14" t="s">
        <v>2750</v>
      </c>
      <c r="C397" s="5">
        <v>39000.0</v>
      </c>
      <c r="D397" s="5">
        <v>0.0</v>
      </c>
      <c r="E397" s="5">
        <f t="shared" si="1"/>
        <v>1093870</v>
      </c>
      <c r="F397" s="14" t="s">
        <v>105</v>
      </c>
      <c r="G397" s="14" t="s">
        <v>106</v>
      </c>
      <c r="H397" s="4" t="s">
        <v>72</v>
      </c>
    </row>
    <row r="398" ht="15.75" customHeight="1">
      <c r="A398" s="8">
        <v>46234.0</v>
      </c>
      <c r="B398" s="14" t="s">
        <v>2752</v>
      </c>
      <c r="C398" s="5">
        <v>100000.0</v>
      </c>
      <c r="D398" s="5">
        <v>0.0</v>
      </c>
      <c r="E398" s="5">
        <f t="shared" si="1"/>
        <v>993870</v>
      </c>
      <c r="F398" s="14" t="s">
        <v>50</v>
      </c>
      <c r="G398" s="14" t="s">
        <v>1988</v>
      </c>
    </row>
    <row r="399" ht="15.75" customHeight="1">
      <c r="A399" s="8">
        <v>46242.0</v>
      </c>
      <c r="B399" s="14" t="s">
        <v>543</v>
      </c>
      <c r="C399" s="5">
        <v>0.0</v>
      </c>
      <c r="D399" s="5">
        <v>9006130.0</v>
      </c>
      <c r="E399" s="5">
        <f t="shared" si="1"/>
        <v>10000000</v>
      </c>
      <c r="F399" s="14" t="s">
        <v>21</v>
      </c>
      <c r="G399" s="14" t="s">
        <v>116</v>
      </c>
    </row>
    <row r="400" ht="15.75" customHeight="1">
      <c r="A400" s="8">
        <v>46234.0</v>
      </c>
      <c r="B400" s="14" t="s">
        <v>2755</v>
      </c>
      <c r="C400" s="5">
        <v>251000.0</v>
      </c>
      <c r="D400" s="5">
        <v>0.0</v>
      </c>
      <c r="E400" s="5">
        <f t="shared" si="1"/>
        <v>9749000</v>
      </c>
      <c r="F400" s="14" t="s">
        <v>50</v>
      </c>
      <c r="G400" s="14" t="s">
        <v>245</v>
      </c>
      <c r="H400" s="4" t="s">
        <v>1981</v>
      </c>
    </row>
    <row r="401" ht="15.75" customHeight="1">
      <c r="A401" s="8">
        <v>46244.0</v>
      </c>
      <c r="B401" s="14" t="s">
        <v>2757</v>
      </c>
      <c r="C401" s="5">
        <v>100000.0</v>
      </c>
      <c r="D401" s="5">
        <v>0.0</v>
      </c>
      <c r="E401" s="5">
        <f t="shared" si="1"/>
        <v>9649000</v>
      </c>
      <c r="F401" s="14" t="s">
        <v>105</v>
      </c>
      <c r="G401" s="14" t="s">
        <v>106</v>
      </c>
      <c r="H401" s="4" t="s">
        <v>412</v>
      </c>
    </row>
    <row r="402" ht="15.75" customHeight="1">
      <c r="A402" s="8">
        <v>46244.0</v>
      </c>
      <c r="B402" s="14" t="s">
        <v>2759</v>
      </c>
      <c r="C402" s="5">
        <v>2500.0</v>
      </c>
      <c r="D402" s="5">
        <v>0.0</v>
      </c>
      <c r="E402" s="5">
        <f t="shared" si="1"/>
        <v>9646500</v>
      </c>
      <c r="F402" s="14" t="s">
        <v>43</v>
      </c>
      <c r="G402" s="14" t="s">
        <v>2521</v>
      </c>
    </row>
    <row r="403" ht="15.75" customHeight="1">
      <c r="A403" s="8">
        <v>46244.0</v>
      </c>
      <c r="B403" s="14" t="s">
        <v>2761</v>
      </c>
      <c r="C403" s="5">
        <v>356900.0</v>
      </c>
      <c r="D403" s="5">
        <v>0.0</v>
      </c>
      <c r="E403" s="5">
        <f t="shared" si="1"/>
        <v>9289600</v>
      </c>
      <c r="F403" s="14" t="s">
        <v>105</v>
      </c>
      <c r="G403" s="14" t="s">
        <v>106</v>
      </c>
      <c r="H403" s="4" t="s">
        <v>2763</v>
      </c>
    </row>
    <row r="404" ht="15.75" customHeight="1">
      <c r="A404" s="8">
        <v>46244.0</v>
      </c>
      <c r="B404" s="14" t="s">
        <v>2764</v>
      </c>
      <c r="C404" s="5">
        <v>139000.0</v>
      </c>
      <c r="D404" s="5">
        <v>0.0</v>
      </c>
      <c r="E404" s="5">
        <f t="shared" si="1"/>
        <v>9150600</v>
      </c>
      <c r="F404" s="14" t="s">
        <v>50</v>
      </c>
      <c r="G404" s="14" t="s">
        <v>245</v>
      </c>
      <c r="H404" s="4" t="s">
        <v>1981</v>
      </c>
    </row>
    <row r="405" ht="15.75" customHeight="1">
      <c r="A405" s="8">
        <v>46244.0</v>
      </c>
      <c r="B405" s="14" t="s">
        <v>2766</v>
      </c>
      <c r="C405" s="5">
        <v>57500.0</v>
      </c>
      <c r="D405" s="5">
        <v>0.0</v>
      </c>
      <c r="E405" s="5">
        <f t="shared" si="1"/>
        <v>9093100</v>
      </c>
      <c r="F405" s="14" t="s">
        <v>50</v>
      </c>
      <c r="G405" s="14" t="s">
        <v>245</v>
      </c>
      <c r="H405" s="4" t="s">
        <v>1981</v>
      </c>
    </row>
    <row r="406" ht="15.75" customHeight="1">
      <c r="A406" s="8">
        <v>46244.0</v>
      </c>
      <c r="B406" s="14" t="s">
        <v>2768</v>
      </c>
      <c r="C406" s="5">
        <v>198500.0</v>
      </c>
      <c r="D406" s="5">
        <v>0.0</v>
      </c>
      <c r="E406" s="5">
        <f t="shared" si="1"/>
        <v>8894600</v>
      </c>
      <c r="F406" s="14" t="s">
        <v>50</v>
      </c>
      <c r="G406" s="14" t="s">
        <v>245</v>
      </c>
      <c r="H406" s="4" t="s">
        <v>1981</v>
      </c>
    </row>
    <row r="407" ht="15.75" customHeight="1">
      <c r="A407" s="8">
        <v>46244.0</v>
      </c>
      <c r="B407" s="14" t="s">
        <v>2770</v>
      </c>
      <c r="C407" s="5">
        <v>58000.0</v>
      </c>
      <c r="D407" s="5">
        <v>0.0</v>
      </c>
      <c r="E407" s="5">
        <f t="shared" si="1"/>
        <v>8836600</v>
      </c>
      <c r="F407" s="14" t="s">
        <v>50</v>
      </c>
      <c r="G407" s="14" t="s">
        <v>245</v>
      </c>
      <c r="H407" s="4" t="s">
        <v>1981</v>
      </c>
    </row>
    <row r="408" ht="15.75" customHeight="1">
      <c r="A408" s="8">
        <v>46244.0</v>
      </c>
      <c r="B408" s="14" t="s">
        <v>2772</v>
      </c>
      <c r="C408" s="5">
        <v>480000.0</v>
      </c>
      <c r="D408" s="5">
        <v>0.0</v>
      </c>
      <c r="E408" s="5">
        <f t="shared" si="1"/>
        <v>8356600</v>
      </c>
      <c r="F408" s="14" t="s">
        <v>50</v>
      </c>
      <c r="G408" s="14" t="s">
        <v>245</v>
      </c>
      <c r="H408" s="4" t="s">
        <v>1972</v>
      </c>
    </row>
    <row r="409" ht="15.75" customHeight="1">
      <c r="A409" s="8">
        <v>46244.0</v>
      </c>
      <c r="B409" s="14" t="s">
        <v>2774</v>
      </c>
      <c r="C409" s="5">
        <v>50000.0</v>
      </c>
      <c r="D409" s="5">
        <v>0.0</v>
      </c>
      <c r="E409" s="5">
        <f t="shared" si="1"/>
        <v>8306600</v>
      </c>
      <c r="F409" s="14" t="s">
        <v>50</v>
      </c>
      <c r="G409" s="14" t="s">
        <v>245</v>
      </c>
      <c r="H409" s="4" t="s">
        <v>1972</v>
      </c>
    </row>
    <row r="410" ht="15.75" customHeight="1">
      <c r="A410" s="8">
        <v>46244.0</v>
      </c>
      <c r="B410" s="14" t="s">
        <v>2776</v>
      </c>
      <c r="C410" s="5">
        <v>500000.0</v>
      </c>
      <c r="D410" s="5">
        <v>0.0</v>
      </c>
      <c r="E410" s="5">
        <f t="shared" si="1"/>
        <v>7806600</v>
      </c>
      <c r="F410" s="14" t="s">
        <v>50</v>
      </c>
      <c r="G410" s="14" t="s">
        <v>245</v>
      </c>
      <c r="H410" s="4" t="s">
        <v>1972</v>
      </c>
    </row>
    <row r="411" ht="15.75" customHeight="1">
      <c r="A411" s="8">
        <v>46244.0</v>
      </c>
      <c r="B411" s="14" t="s">
        <v>2778</v>
      </c>
      <c r="C411" s="5">
        <v>96000.0</v>
      </c>
      <c r="D411" s="5">
        <v>0.0</v>
      </c>
      <c r="E411" s="5">
        <f t="shared" si="1"/>
        <v>7710600</v>
      </c>
      <c r="F411" s="14" t="s">
        <v>50</v>
      </c>
      <c r="G411" s="14" t="s">
        <v>1978</v>
      </c>
    </row>
    <row r="412" ht="15.75" customHeight="1">
      <c r="A412" s="8">
        <v>46244.0</v>
      </c>
      <c r="B412" s="14" t="s">
        <v>2780</v>
      </c>
      <c r="C412" s="5">
        <v>93500.0</v>
      </c>
      <c r="D412" s="5">
        <v>0.0</v>
      </c>
      <c r="E412" s="5">
        <f t="shared" si="1"/>
        <v>7617100</v>
      </c>
      <c r="F412" s="14" t="s">
        <v>58</v>
      </c>
      <c r="G412" s="14" t="s">
        <v>59</v>
      </c>
      <c r="H412" s="4" t="s">
        <v>931</v>
      </c>
    </row>
    <row r="413" ht="15.75" customHeight="1">
      <c r="A413" s="8">
        <v>46244.0</v>
      </c>
      <c r="B413" s="14" t="s">
        <v>2780</v>
      </c>
      <c r="C413" s="5">
        <v>93500.0</v>
      </c>
      <c r="D413" s="5">
        <v>0.0</v>
      </c>
      <c r="E413" s="5">
        <f t="shared" si="1"/>
        <v>7523600</v>
      </c>
      <c r="F413" s="14" t="s">
        <v>58</v>
      </c>
      <c r="G413" s="14" t="s">
        <v>59</v>
      </c>
      <c r="H413" s="4" t="s">
        <v>931</v>
      </c>
    </row>
    <row r="414" ht="15.75" customHeight="1">
      <c r="A414" s="8">
        <v>46244.0</v>
      </c>
      <c r="B414" s="14" t="s">
        <v>2780</v>
      </c>
      <c r="C414" s="5">
        <v>93500.0</v>
      </c>
      <c r="D414" s="5">
        <v>0.0</v>
      </c>
      <c r="E414" s="5">
        <f t="shared" si="1"/>
        <v>7430100</v>
      </c>
      <c r="F414" s="14" t="s">
        <v>58</v>
      </c>
      <c r="G414" s="14" t="s">
        <v>59</v>
      </c>
      <c r="H414" s="4" t="s">
        <v>2670</v>
      </c>
    </row>
    <row r="415" ht="15.75" customHeight="1">
      <c r="A415" s="8">
        <v>46244.0</v>
      </c>
      <c r="B415" s="14" t="s">
        <v>2784</v>
      </c>
      <c r="C415" s="5">
        <v>70000.0</v>
      </c>
      <c r="D415" s="5">
        <v>0.0</v>
      </c>
      <c r="E415" s="5">
        <f t="shared" si="1"/>
        <v>7360100</v>
      </c>
      <c r="F415" s="14" t="s">
        <v>58</v>
      </c>
      <c r="G415" s="14" t="s">
        <v>59</v>
      </c>
      <c r="H415" s="4" t="s">
        <v>964</v>
      </c>
    </row>
    <row r="416" ht="15.75" customHeight="1">
      <c r="A416" s="8">
        <v>46245.0</v>
      </c>
      <c r="B416" s="14" t="s">
        <v>2786</v>
      </c>
      <c r="C416" s="5">
        <v>319000.0</v>
      </c>
      <c r="D416" s="5">
        <v>0.0</v>
      </c>
      <c r="E416" s="5">
        <f t="shared" si="1"/>
        <v>7041100</v>
      </c>
      <c r="F416" s="14" t="s">
        <v>50</v>
      </c>
      <c r="G416" s="14" t="s">
        <v>1780</v>
      </c>
    </row>
    <row r="417" ht="15.75" customHeight="1">
      <c r="A417" s="8">
        <v>46245.0</v>
      </c>
      <c r="B417" s="14" t="s">
        <v>2755</v>
      </c>
      <c r="C417" s="5">
        <v>251000.0</v>
      </c>
      <c r="D417" s="5">
        <v>0.0</v>
      </c>
      <c r="E417" s="5">
        <f t="shared" si="1"/>
        <v>6790100</v>
      </c>
      <c r="F417" s="14" t="s">
        <v>50</v>
      </c>
      <c r="G417" s="14" t="s">
        <v>245</v>
      </c>
      <c r="H417" s="4" t="s">
        <v>1981</v>
      </c>
    </row>
    <row r="418" ht="15.75" customHeight="1">
      <c r="A418" s="8">
        <v>46246.0</v>
      </c>
      <c r="B418" s="14" t="s">
        <v>2788</v>
      </c>
      <c r="C418" s="5">
        <v>271700.0</v>
      </c>
      <c r="D418" s="5">
        <v>0.0</v>
      </c>
      <c r="E418" s="5">
        <f t="shared" si="1"/>
        <v>6518400</v>
      </c>
      <c r="F418" s="14" t="s">
        <v>50</v>
      </c>
      <c r="G418" s="14" t="s">
        <v>1988</v>
      </c>
    </row>
    <row r="419" ht="15.75" customHeight="1">
      <c r="A419" s="8">
        <v>46247.0</v>
      </c>
      <c r="B419" s="14" t="s">
        <v>2789</v>
      </c>
      <c r="C419" s="5">
        <v>295000.0</v>
      </c>
      <c r="D419" s="5">
        <v>0.0</v>
      </c>
      <c r="E419" s="5">
        <f t="shared" si="1"/>
        <v>6223400</v>
      </c>
      <c r="F419" s="14" t="s">
        <v>24</v>
      </c>
      <c r="G419" s="14" t="s">
        <v>125</v>
      </c>
      <c r="H419" s="4" t="s">
        <v>946</v>
      </c>
    </row>
    <row r="420" ht="15.75" customHeight="1">
      <c r="A420" s="8">
        <v>46247.0</v>
      </c>
      <c r="B420" s="14" t="s">
        <v>2791</v>
      </c>
      <c r="C420" s="5">
        <v>168001.0</v>
      </c>
      <c r="D420" s="5">
        <v>0.0</v>
      </c>
      <c r="E420" s="5">
        <f t="shared" si="1"/>
        <v>6055399</v>
      </c>
      <c r="F420" s="14" t="s">
        <v>24</v>
      </c>
      <c r="G420" s="14" t="s">
        <v>125</v>
      </c>
      <c r="H420" s="4" t="s">
        <v>946</v>
      </c>
    </row>
    <row r="421" ht="15.75" customHeight="1">
      <c r="A421" s="8">
        <v>46253.0</v>
      </c>
      <c r="B421" s="14" t="s">
        <v>2793</v>
      </c>
      <c r="C421" s="5">
        <v>40000.0</v>
      </c>
      <c r="D421" s="5">
        <v>0.0</v>
      </c>
      <c r="E421" s="5">
        <f t="shared" si="1"/>
        <v>6015399</v>
      </c>
      <c r="F421" s="14" t="s">
        <v>50</v>
      </c>
      <c r="G421" s="14" t="s">
        <v>245</v>
      </c>
      <c r="H421" s="4" t="s">
        <v>1981</v>
      </c>
    </row>
    <row r="422" ht="15.75" customHeight="1">
      <c r="A422" s="8">
        <v>46253.0</v>
      </c>
      <c r="B422" s="14" t="s">
        <v>2794</v>
      </c>
      <c r="C422" s="5">
        <v>51000.0</v>
      </c>
      <c r="D422" s="5">
        <v>0.0</v>
      </c>
      <c r="E422" s="5">
        <f t="shared" si="1"/>
        <v>5964399</v>
      </c>
      <c r="F422" s="14" t="s">
        <v>50</v>
      </c>
      <c r="G422" s="14" t="s">
        <v>245</v>
      </c>
      <c r="H422" s="4" t="s">
        <v>1981</v>
      </c>
    </row>
    <row r="423" ht="15.75" customHeight="1">
      <c r="A423" s="8">
        <v>46253.0</v>
      </c>
      <c r="B423" s="14" t="s">
        <v>2796</v>
      </c>
      <c r="C423" s="5">
        <v>294000.0</v>
      </c>
      <c r="D423" s="5">
        <v>0.0</v>
      </c>
      <c r="E423" s="5">
        <f t="shared" si="1"/>
        <v>5670399</v>
      </c>
      <c r="F423" s="14" t="s">
        <v>50</v>
      </c>
      <c r="G423" s="14" t="s">
        <v>245</v>
      </c>
      <c r="H423" s="4" t="s">
        <v>1981</v>
      </c>
    </row>
    <row r="424" ht="15.75" customHeight="1">
      <c r="A424" s="8">
        <v>46253.0</v>
      </c>
      <c r="B424" s="14" t="s">
        <v>2798</v>
      </c>
      <c r="C424" s="5">
        <v>122000.0</v>
      </c>
      <c r="D424" s="5">
        <v>0.0</v>
      </c>
      <c r="E424" s="5">
        <f t="shared" si="1"/>
        <v>5548399</v>
      </c>
      <c r="F424" s="14" t="s">
        <v>50</v>
      </c>
      <c r="G424" s="14" t="s">
        <v>245</v>
      </c>
      <c r="H424" s="4" t="s">
        <v>1981</v>
      </c>
    </row>
    <row r="425" ht="15.75" customHeight="1">
      <c r="A425" s="8">
        <v>46253.0</v>
      </c>
      <c r="B425" s="14" t="s">
        <v>2800</v>
      </c>
      <c r="C425" s="5">
        <v>52400.0</v>
      </c>
      <c r="D425" s="5">
        <v>0.0</v>
      </c>
      <c r="E425" s="5">
        <f t="shared" si="1"/>
        <v>5495999</v>
      </c>
      <c r="F425" s="14" t="s">
        <v>24</v>
      </c>
      <c r="G425" s="14" t="s">
        <v>125</v>
      </c>
      <c r="H425" s="4" t="s">
        <v>2509</v>
      </c>
    </row>
    <row r="426" ht="15.75" customHeight="1">
      <c r="A426" s="8">
        <v>46254.0</v>
      </c>
      <c r="B426" s="14" t="s">
        <v>2802</v>
      </c>
      <c r="C426" s="5">
        <v>552000.0</v>
      </c>
      <c r="D426" s="5">
        <v>0.0</v>
      </c>
      <c r="E426" s="5">
        <f t="shared" si="1"/>
        <v>4943999</v>
      </c>
      <c r="F426" s="14" t="s">
        <v>50</v>
      </c>
      <c r="G426" s="14" t="s">
        <v>1780</v>
      </c>
    </row>
    <row r="427" ht="15.75" customHeight="1">
      <c r="A427" s="8">
        <v>46254.0</v>
      </c>
      <c r="B427" s="14" t="s">
        <v>2804</v>
      </c>
      <c r="C427" s="5">
        <v>178000.0</v>
      </c>
      <c r="D427" s="5">
        <v>0.0</v>
      </c>
      <c r="E427" s="5">
        <f t="shared" si="1"/>
        <v>4765999</v>
      </c>
      <c r="F427" s="14" t="s">
        <v>50</v>
      </c>
      <c r="G427" s="14" t="s">
        <v>245</v>
      </c>
      <c r="H427" s="4" t="s">
        <v>2805</v>
      </c>
    </row>
    <row r="428" ht="15.75" customHeight="1">
      <c r="A428" s="8">
        <v>46254.0</v>
      </c>
      <c r="B428" s="14" t="s">
        <v>2806</v>
      </c>
      <c r="C428" s="5">
        <v>297500.0</v>
      </c>
      <c r="D428" s="5">
        <v>0.0</v>
      </c>
      <c r="E428" s="5">
        <f t="shared" si="1"/>
        <v>4468499</v>
      </c>
      <c r="F428" s="14" t="s">
        <v>50</v>
      </c>
      <c r="G428" s="14" t="s">
        <v>245</v>
      </c>
      <c r="H428" s="4" t="s">
        <v>2805</v>
      </c>
    </row>
    <row r="429" ht="15.75" customHeight="1">
      <c r="A429" s="8">
        <v>46254.0</v>
      </c>
      <c r="B429" s="14" t="s">
        <v>2065</v>
      </c>
      <c r="C429" s="5">
        <v>105000.0</v>
      </c>
      <c r="D429" s="5">
        <v>0.0</v>
      </c>
      <c r="E429" s="5">
        <f t="shared" si="1"/>
        <v>4363499</v>
      </c>
      <c r="F429" s="14" t="s">
        <v>50</v>
      </c>
      <c r="G429" s="14" t="s">
        <v>1984</v>
      </c>
    </row>
    <row r="430" ht="15.75" customHeight="1">
      <c r="A430" s="8">
        <v>46254.0</v>
      </c>
      <c r="B430" s="14" t="s">
        <v>2809</v>
      </c>
      <c r="C430" s="5">
        <v>405200.0</v>
      </c>
      <c r="D430" s="5">
        <v>0.0</v>
      </c>
      <c r="E430" s="5">
        <f t="shared" si="1"/>
        <v>3958299</v>
      </c>
      <c r="F430" s="14" t="s">
        <v>50</v>
      </c>
      <c r="G430" s="14" t="s">
        <v>1984</v>
      </c>
    </row>
    <row r="431" ht="15.75" customHeight="1">
      <c r="A431" s="8">
        <v>46254.0</v>
      </c>
      <c r="B431" s="14" t="s">
        <v>2810</v>
      </c>
      <c r="C431" s="5">
        <v>602300.0</v>
      </c>
      <c r="D431" s="5">
        <v>0.0</v>
      </c>
      <c r="E431" s="5">
        <f t="shared" si="1"/>
        <v>3355999</v>
      </c>
      <c r="F431" s="14" t="s">
        <v>105</v>
      </c>
      <c r="G431" s="14" t="s">
        <v>2064</v>
      </c>
      <c r="H431" s="4" t="s">
        <v>72</v>
      </c>
    </row>
    <row r="432" ht="15.75" customHeight="1">
      <c r="A432" s="8">
        <v>46255.0</v>
      </c>
      <c r="B432" s="14" t="s">
        <v>2812</v>
      </c>
      <c r="C432" s="5">
        <v>610000.0</v>
      </c>
      <c r="D432" s="5">
        <v>0.0</v>
      </c>
      <c r="E432" s="5">
        <f t="shared" si="1"/>
        <v>2745999</v>
      </c>
      <c r="F432" s="14" t="s">
        <v>50</v>
      </c>
      <c r="G432" s="14" t="s">
        <v>245</v>
      </c>
      <c r="H432" s="4" t="s">
        <v>2805</v>
      </c>
    </row>
    <row r="433" ht="15.75" customHeight="1">
      <c r="A433" s="8">
        <v>46255.0</v>
      </c>
      <c r="B433" s="14" t="s">
        <v>2813</v>
      </c>
      <c r="C433" s="5">
        <v>197500.0</v>
      </c>
      <c r="D433" s="5">
        <v>0.0</v>
      </c>
      <c r="E433" s="5">
        <f t="shared" si="1"/>
        <v>2548499</v>
      </c>
      <c r="F433" s="14" t="s">
        <v>50</v>
      </c>
      <c r="G433" s="14" t="s">
        <v>245</v>
      </c>
      <c r="H433" s="4" t="s">
        <v>2805</v>
      </c>
    </row>
    <row r="434" ht="15.75" customHeight="1">
      <c r="A434" s="8">
        <v>46255.0</v>
      </c>
      <c r="B434" s="14" t="s">
        <v>2814</v>
      </c>
      <c r="C434" s="5">
        <v>61000.0</v>
      </c>
      <c r="D434" s="5">
        <v>0.0</v>
      </c>
      <c r="E434" s="5">
        <f t="shared" si="1"/>
        <v>2487499</v>
      </c>
      <c r="F434" s="14" t="s">
        <v>50</v>
      </c>
      <c r="G434" s="14" t="s">
        <v>245</v>
      </c>
      <c r="H434" s="4" t="s">
        <v>2805</v>
      </c>
    </row>
    <row r="435" ht="15.75" customHeight="1">
      <c r="A435" s="8">
        <v>46258.0</v>
      </c>
      <c r="B435" s="14" t="s">
        <v>2816</v>
      </c>
      <c r="C435" s="5">
        <v>174700.0</v>
      </c>
      <c r="D435" s="5">
        <v>0.0</v>
      </c>
      <c r="E435" s="5">
        <f t="shared" si="1"/>
        <v>2312799</v>
      </c>
      <c r="F435" s="14" t="s">
        <v>105</v>
      </c>
      <c r="G435" s="14" t="s">
        <v>106</v>
      </c>
      <c r="H435" s="4" t="s">
        <v>247</v>
      </c>
    </row>
    <row r="436" ht="15.75" customHeight="1">
      <c r="A436" s="8">
        <v>46258.0</v>
      </c>
      <c r="B436" s="14" t="s">
        <v>2818</v>
      </c>
      <c r="C436" s="5">
        <v>500000.0</v>
      </c>
      <c r="D436" s="5">
        <v>0.0</v>
      </c>
      <c r="E436" s="5">
        <f t="shared" si="1"/>
        <v>1812799</v>
      </c>
      <c r="F436" s="14" t="s">
        <v>50</v>
      </c>
      <c r="G436" s="14" t="s">
        <v>1978</v>
      </c>
    </row>
    <row r="437" ht="15.75" customHeight="1">
      <c r="A437" s="8">
        <v>46258.0</v>
      </c>
      <c r="B437" s="14" t="s">
        <v>2047</v>
      </c>
      <c r="C437" s="5">
        <v>501000.0</v>
      </c>
      <c r="D437" s="5">
        <v>0.0</v>
      </c>
      <c r="E437" s="5">
        <f t="shared" si="1"/>
        <v>1311799</v>
      </c>
      <c r="F437" s="14" t="s">
        <v>50</v>
      </c>
      <c r="G437" s="14" t="s">
        <v>245</v>
      </c>
      <c r="H437" s="4" t="s">
        <v>1981</v>
      </c>
    </row>
    <row r="438" ht="15.75" customHeight="1">
      <c r="A438" s="8">
        <v>46260.0</v>
      </c>
      <c r="B438" s="14" t="s">
        <v>2732</v>
      </c>
      <c r="C438" s="5">
        <v>660750.0</v>
      </c>
      <c r="D438" s="5">
        <v>0.0</v>
      </c>
      <c r="E438" s="5">
        <f t="shared" si="1"/>
        <v>651049</v>
      </c>
      <c r="F438" s="14" t="s">
        <v>105</v>
      </c>
      <c r="G438" s="14" t="s">
        <v>380</v>
      </c>
    </row>
    <row r="439" ht="15.75" customHeight="1">
      <c r="A439" s="8">
        <v>46261.0</v>
      </c>
      <c r="B439" s="14" t="s">
        <v>2821</v>
      </c>
      <c r="C439" s="5">
        <v>100000.0</v>
      </c>
      <c r="D439" s="5">
        <v>0.0</v>
      </c>
      <c r="E439" s="5">
        <f t="shared" si="1"/>
        <v>551049</v>
      </c>
      <c r="F439" s="14" t="s">
        <v>50</v>
      </c>
      <c r="G439" s="14" t="s">
        <v>1988</v>
      </c>
    </row>
    <row r="440" ht="15.75" customHeight="1">
      <c r="A440" s="8">
        <v>46262.0</v>
      </c>
      <c r="B440" s="14" t="s">
        <v>2823</v>
      </c>
      <c r="C440" s="5">
        <v>191100.0</v>
      </c>
      <c r="D440" s="5">
        <v>0.0</v>
      </c>
      <c r="E440" s="5">
        <f t="shared" si="1"/>
        <v>359949</v>
      </c>
      <c r="F440" s="14" t="s">
        <v>50</v>
      </c>
      <c r="G440" s="14" t="s">
        <v>1988</v>
      </c>
    </row>
    <row r="441" ht="15.75" customHeight="1">
      <c r="A441" s="8">
        <v>46262.0</v>
      </c>
      <c r="B441" s="14" t="s">
        <v>2824</v>
      </c>
      <c r="C441" s="5">
        <v>359949.0</v>
      </c>
      <c r="D441" s="5">
        <v>0.0</v>
      </c>
      <c r="E441" s="5">
        <f t="shared" si="1"/>
        <v>0</v>
      </c>
      <c r="F441" s="14" t="s">
        <v>21</v>
      </c>
      <c r="G441" s="14" t="s">
        <v>23</v>
      </c>
    </row>
    <row r="442" ht="15.75" customHeight="1">
      <c r="A442" s="8">
        <v>46265.0</v>
      </c>
      <c r="B442" s="14" t="s">
        <v>2375</v>
      </c>
      <c r="C442" s="5">
        <v>0.0</v>
      </c>
      <c r="D442" s="5">
        <v>1.0E7</v>
      </c>
      <c r="E442" s="5">
        <f t="shared" si="1"/>
        <v>10000000</v>
      </c>
      <c r="F442" s="14" t="s">
        <v>21</v>
      </c>
      <c r="G442" s="14" t="s">
        <v>116</v>
      </c>
    </row>
    <row r="443" ht="15.75" customHeight="1">
      <c r="A443" s="8"/>
      <c r="C443" s="5"/>
      <c r="D443" s="5"/>
      <c r="E443" s="5"/>
    </row>
    <row r="444" ht="15.75" customHeight="1">
      <c r="A444" s="8"/>
      <c r="C444" s="5">
        <f t="shared" ref="C444:D444" si="2">SUBTOTAL(9,C5:C443)</f>
        <v>85118614</v>
      </c>
      <c r="D444" s="5">
        <f t="shared" si="2"/>
        <v>94363634</v>
      </c>
      <c r="E444" s="5"/>
    </row>
    <row r="445" ht="15.75" customHeight="1">
      <c r="A445" s="8"/>
      <c r="C445" s="5"/>
      <c r="D445" s="5">
        <f>D444-C444</f>
        <v>9245020</v>
      </c>
      <c r="E445" s="5"/>
    </row>
    <row r="446" ht="15.75" customHeight="1">
      <c r="A446" s="8"/>
      <c r="C446" s="5"/>
      <c r="D446" s="5"/>
      <c r="E446" s="5"/>
    </row>
    <row r="447" ht="15.75" customHeight="1">
      <c r="A447" s="8"/>
      <c r="C447" s="5"/>
      <c r="D447" s="5"/>
      <c r="E447" s="5"/>
    </row>
    <row r="448" ht="15.75" customHeight="1">
      <c r="A448" s="8"/>
      <c r="C448" s="5"/>
      <c r="D448" s="5"/>
      <c r="E448" s="5"/>
    </row>
    <row r="449" ht="15.75" customHeight="1">
      <c r="A449" s="8"/>
      <c r="C449" s="5"/>
      <c r="D449" s="5"/>
      <c r="E449" s="5"/>
    </row>
    <row r="450" ht="15.75" customHeight="1">
      <c r="A450" s="8"/>
      <c r="C450" s="5"/>
      <c r="D450" s="5"/>
      <c r="E450" s="5"/>
    </row>
    <row r="451" ht="15.75" customHeight="1">
      <c r="A451" s="8"/>
      <c r="C451" s="5"/>
      <c r="D451" s="5"/>
      <c r="E451" s="5"/>
    </row>
    <row r="452" ht="15.75" customHeight="1">
      <c r="A452" s="8"/>
      <c r="C452" s="5"/>
      <c r="D452" s="5"/>
      <c r="E452" s="5"/>
    </row>
    <row r="453" ht="15.75" customHeight="1">
      <c r="A453" s="8"/>
      <c r="C453" s="5"/>
      <c r="D453" s="5"/>
      <c r="E453" s="5"/>
    </row>
    <row r="454" ht="15.75" customHeight="1">
      <c r="A454" s="8"/>
      <c r="C454" s="5"/>
      <c r="D454" s="5"/>
      <c r="E454" s="5"/>
    </row>
    <row r="455" ht="15.75" customHeight="1">
      <c r="A455" s="8"/>
      <c r="C455" s="5"/>
      <c r="D455" s="5"/>
      <c r="E455" s="5"/>
    </row>
    <row r="456" ht="15.75" customHeight="1">
      <c r="A456" s="8"/>
      <c r="C456" s="5"/>
      <c r="D456" s="5"/>
      <c r="E456" s="5"/>
    </row>
    <row r="457" ht="15.75" customHeight="1">
      <c r="A457" s="8"/>
      <c r="C457" s="5"/>
      <c r="D457" s="5"/>
      <c r="E457" s="5"/>
    </row>
    <row r="458" ht="15.75" customHeight="1">
      <c r="A458" s="8"/>
      <c r="C458" s="5"/>
      <c r="D458" s="5"/>
      <c r="E458" s="5"/>
    </row>
    <row r="459" ht="15.75" customHeight="1">
      <c r="A459" s="8"/>
      <c r="C459" s="5"/>
      <c r="D459" s="5"/>
      <c r="E459" s="5"/>
    </row>
    <row r="460" ht="15.75" customHeight="1">
      <c r="A460" s="8"/>
      <c r="C460" s="5"/>
      <c r="D460" s="5"/>
      <c r="E460" s="5"/>
    </row>
    <row r="461" ht="15.75" customHeight="1">
      <c r="A461" s="8"/>
      <c r="C461" s="5"/>
      <c r="D461" s="5"/>
      <c r="E461" s="5"/>
    </row>
    <row r="462" ht="15.75" customHeight="1">
      <c r="A462" s="8"/>
      <c r="C462" s="5"/>
      <c r="D462" s="5"/>
      <c r="E462" s="5"/>
    </row>
    <row r="463" ht="15.75" customHeight="1">
      <c r="A463" s="8"/>
      <c r="C463" s="5"/>
      <c r="D463" s="5"/>
      <c r="E463" s="5"/>
    </row>
    <row r="464" ht="15.75" customHeight="1">
      <c r="A464" s="8"/>
      <c r="C464" s="5"/>
      <c r="D464" s="5"/>
      <c r="E464" s="5"/>
    </row>
    <row r="465" ht="15.75" customHeight="1">
      <c r="A465" s="8"/>
      <c r="C465" s="5"/>
      <c r="D465" s="5"/>
      <c r="E465" s="5"/>
    </row>
    <row r="466" ht="15.75" customHeight="1">
      <c r="A466" s="8"/>
      <c r="C466" s="5"/>
      <c r="D466" s="5"/>
      <c r="E466" s="5"/>
    </row>
    <row r="467" ht="15.75" customHeight="1">
      <c r="A467" s="8"/>
      <c r="C467" s="5"/>
      <c r="D467" s="5"/>
      <c r="E467" s="5"/>
    </row>
    <row r="468" ht="15.75" customHeight="1">
      <c r="A468" s="8"/>
      <c r="C468" s="5"/>
      <c r="D468" s="5"/>
      <c r="E468" s="5"/>
    </row>
    <row r="469" ht="15.75" customHeight="1">
      <c r="A469" s="8"/>
      <c r="C469" s="5"/>
      <c r="D469" s="5"/>
      <c r="E469" s="5"/>
    </row>
    <row r="470" ht="15.75" customHeight="1">
      <c r="A470" s="8"/>
      <c r="C470" s="5"/>
      <c r="D470" s="5"/>
      <c r="E470" s="5"/>
    </row>
    <row r="471" ht="15.75" customHeight="1">
      <c r="A471" s="8"/>
      <c r="C471" s="5"/>
      <c r="D471" s="5"/>
      <c r="E471" s="5"/>
    </row>
    <row r="472" ht="15.75" customHeight="1">
      <c r="A472" s="8"/>
      <c r="C472" s="5"/>
      <c r="D472" s="5"/>
      <c r="E472" s="5"/>
    </row>
    <row r="473" ht="15.75" customHeight="1">
      <c r="A473" s="8"/>
      <c r="C473" s="5"/>
      <c r="D473" s="5"/>
      <c r="E473" s="5"/>
    </row>
    <row r="474" ht="15.75" customHeight="1">
      <c r="A474" s="8"/>
      <c r="C474" s="5"/>
      <c r="D474" s="5"/>
      <c r="E474" s="5"/>
    </row>
    <row r="475" ht="15.75" customHeight="1">
      <c r="A475" s="8"/>
      <c r="C475" s="5"/>
      <c r="D475" s="5"/>
      <c r="E475" s="5"/>
    </row>
    <row r="476" ht="15.75" customHeight="1">
      <c r="A476" s="8"/>
      <c r="C476" s="5"/>
      <c r="D476" s="5"/>
      <c r="E476" s="5"/>
    </row>
    <row r="477" ht="15.75" customHeight="1">
      <c r="A477" s="8"/>
      <c r="C477" s="5"/>
      <c r="D477" s="5"/>
      <c r="E477" s="5"/>
    </row>
    <row r="478" ht="15.75" customHeight="1">
      <c r="A478" s="8"/>
      <c r="C478" s="5"/>
      <c r="D478" s="5"/>
      <c r="E478" s="5"/>
    </row>
    <row r="479" ht="15.75" customHeight="1">
      <c r="A479" s="8"/>
      <c r="C479" s="5"/>
      <c r="D479" s="5"/>
      <c r="E479" s="5"/>
    </row>
    <row r="480" ht="15.75" customHeight="1">
      <c r="A480" s="8"/>
      <c r="C480" s="5"/>
      <c r="D480" s="5"/>
      <c r="E480" s="5"/>
    </row>
    <row r="481" ht="15.75" customHeight="1">
      <c r="A481" s="8"/>
      <c r="C481" s="5"/>
      <c r="D481" s="5"/>
      <c r="E481" s="5"/>
    </row>
    <row r="482" ht="15.75" customHeight="1">
      <c r="A482" s="8"/>
      <c r="C482" s="5"/>
      <c r="D482" s="5"/>
      <c r="E482" s="5"/>
    </row>
    <row r="483" ht="15.75" customHeight="1">
      <c r="A483" s="8"/>
      <c r="C483" s="5"/>
      <c r="D483" s="5"/>
      <c r="E483" s="5"/>
    </row>
    <row r="484" ht="15.75" customHeight="1">
      <c r="A484" s="8"/>
      <c r="C484" s="5"/>
      <c r="D484" s="5"/>
      <c r="E484" s="5"/>
    </row>
    <row r="485" ht="15.75" customHeight="1">
      <c r="A485" s="8"/>
      <c r="C485" s="5"/>
      <c r="D485" s="5"/>
      <c r="E485" s="5"/>
    </row>
    <row r="486" ht="15.75" customHeight="1">
      <c r="A486" s="8"/>
      <c r="C486" s="5"/>
      <c r="D486" s="5"/>
      <c r="E486" s="5"/>
    </row>
    <row r="487" ht="15.75" customHeight="1">
      <c r="A487" s="8"/>
      <c r="C487" s="5"/>
      <c r="D487" s="5"/>
      <c r="E487" s="5"/>
    </row>
    <row r="488" ht="15.75" customHeight="1">
      <c r="A488" s="8"/>
      <c r="C488" s="5"/>
      <c r="D488" s="5"/>
      <c r="E488" s="5"/>
    </row>
    <row r="489" ht="15.75" customHeight="1">
      <c r="A489" s="8"/>
      <c r="C489" s="5"/>
      <c r="D489" s="5"/>
      <c r="E489" s="5"/>
    </row>
    <row r="490" ht="15.75" customHeight="1">
      <c r="A490" s="8"/>
      <c r="C490" s="5"/>
      <c r="D490" s="5"/>
      <c r="E490" s="5"/>
    </row>
    <row r="491" ht="15.75" customHeight="1">
      <c r="A491" s="8"/>
      <c r="C491" s="5"/>
      <c r="D491" s="5"/>
      <c r="E491" s="5"/>
    </row>
    <row r="492" ht="15.75" customHeight="1">
      <c r="A492" s="8"/>
      <c r="C492" s="5"/>
      <c r="D492" s="5"/>
      <c r="E492" s="5"/>
    </row>
    <row r="493" ht="15.75" customHeight="1">
      <c r="A493" s="8"/>
      <c r="C493" s="5"/>
      <c r="D493" s="5"/>
      <c r="E493" s="5"/>
    </row>
    <row r="494" ht="15.75" customHeight="1">
      <c r="A494" s="8"/>
      <c r="C494" s="5"/>
      <c r="D494" s="5"/>
      <c r="E494" s="5"/>
    </row>
    <row r="495" ht="15.75" customHeight="1">
      <c r="A495" s="8"/>
      <c r="C495" s="5"/>
      <c r="D495" s="5"/>
      <c r="E495" s="5"/>
    </row>
    <row r="496" ht="15.75" customHeight="1">
      <c r="A496" s="8"/>
      <c r="C496" s="5"/>
      <c r="D496" s="5"/>
      <c r="E496" s="5"/>
    </row>
    <row r="497" ht="15.75" customHeight="1">
      <c r="A497" s="8"/>
      <c r="C497" s="5"/>
      <c r="D497" s="5"/>
      <c r="E497" s="5"/>
    </row>
    <row r="498" ht="15.75" customHeight="1">
      <c r="A498" s="8"/>
      <c r="C498" s="5"/>
      <c r="D498" s="5"/>
      <c r="E498" s="5"/>
    </row>
    <row r="499" ht="15.75" customHeight="1">
      <c r="A499" s="8"/>
      <c r="C499" s="5"/>
      <c r="D499" s="5"/>
      <c r="E499" s="5"/>
    </row>
    <row r="500" ht="15.75" customHeight="1">
      <c r="A500" s="8"/>
      <c r="C500" s="5"/>
      <c r="D500" s="5"/>
      <c r="E500" s="5"/>
    </row>
    <row r="501" ht="15.75" customHeight="1">
      <c r="A501" s="8"/>
      <c r="C501" s="5"/>
      <c r="D501" s="5"/>
      <c r="E501" s="5"/>
    </row>
    <row r="502" ht="15.75" customHeight="1">
      <c r="A502" s="8"/>
      <c r="C502" s="5"/>
      <c r="D502" s="5"/>
      <c r="E502" s="5"/>
    </row>
    <row r="503" ht="15.75" customHeight="1">
      <c r="A503" s="8"/>
      <c r="C503" s="5"/>
      <c r="D503" s="5"/>
      <c r="E503" s="5"/>
    </row>
    <row r="504" ht="15.75" customHeight="1">
      <c r="A504" s="8"/>
      <c r="C504" s="5"/>
      <c r="D504" s="5"/>
      <c r="E504" s="5"/>
    </row>
    <row r="505" ht="15.75" customHeight="1">
      <c r="A505" s="8"/>
      <c r="C505" s="5"/>
      <c r="D505" s="5"/>
      <c r="E505" s="5"/>
    </row>
    <row r="506" ht="15.75" customHeight="1">
      <c r="A506" s="8"/>
      <c r="C506" s="5"/>
      <c r="D506" s="5"/>
      <c r="E506" s="5"/>
    </row>
    <row r="507" ht="15.75" customHeight="1">
      <c r="A507" s="8"/>
      <c r="C507" s="5"/>
      <c r="D507" s="5"/>
      <c r="E507" s="5"/>
    </row>
    <row r="508" ht="15.75" customHeight="1">
      <c r="A508" s="8"/>
      <c r="C508" s="5"/>
      <c r="D508" s="5"/>
      <c r="E508" s="5"/>
    </row>
    <row r="509" ht="15.75" customHeight="1">
      <c r="A509" s="8"/>
      <c r="C509" s="5"/>
      <c r="D509" s="5"/>
      <c r="E509" s="5"/>
    </row>
    <row r="510" ht="15.75" customHeight="1">
      <c r="A510" s="8"/>
      <c r="C510" s="5"/>
      <c r="D510" s="5"/>
      <c r="E510" s="5"/>
    </row>
    <row r="511" ht="15.75" customHeight="1">
      <c r="A511" s="8"/>
      <c r="C511" s="5"/>
      <c r="D511" s="5"/>
      <c r="E511" s="5"/>
    </row>
    <row r="512" ht="15.75" customHeight="1">
      <c r="A512" s="8"/>
      <c r="C512" s="5"/>
      <c r="D512" s="5"/>
      <c r="E512" s="5"/>
    </row>
    <row r="513" ht="15.75" customHeight="1">
      <c r="A513" s="8"/>
      <c r="C513" s="5"/>
      <c r="D513" s="5"/>
      <c r="E513" s="5"/>
    </row>
    <row r="514" ht="15.75" customHeight="1">
      <c r="A514" s="8"/>
      <c r="C514" s="5"/>
      <c r="D514" s="5"/>
      <c r="E514" s="5"/>
    </row>
    <row r="515" ht="15.75" customHeight="1">
      <c r="A515" s="8"/>
      <c r="C515" s="5"/>
      <c r="D515" s="5"/>
      <c r="E515" s="5"/>
    </row>
    <row r="516" ht="15.75" customHeight="1">
      <c r="A516" s="8"/>
      <c r="C516" s="5"/>
      <c r="D516" s="5"/>
      <c r="E516" s="5"/>
    </row>
    <row r="517" ht="15.75" customHeight="1">
      <c r="A517" s="8"/>
      <c r="C517" s="5"/>
      <c r="D517" s="5"/>
      <c r="E517" s="5"/>
    </row>
    <row r="518" ht="15.75" customHeight="1">
      <c r="A518" s="8"/>
      <c r="C518" s="5"/>
      <c r="D518" s="5"/>
      <c r="E518" s="5"/>
    </row>
    <row r="519" ht="15.75" customHeight="1">
      <c r="A519" s="8"/>
      <c r="C519" s="5"/>
      <c r="D519" s="5"/>
      <c r="E519" s="5"/>
    </row>
    <row r="520" ht="15.75" customHeight="1">
      <c r="A520" s="8"/>
      <c r="C520" s="5"/>
      <c r="D520" s="5"/>
      <c r="E520" s="5"/>
    </row>
    <row r="521" ht="15.75" customHeight="1">
      <c r="A521" s="8"/>
      <c r="C521" s="5"/>
      <c r="D521" s="5"/>
      <c r="E521" s="5"/>
    </row>
    <row r="522" ht="15.75" customHeight="1">
      <c r="A522" s="8"/>
      <c r="C522" s="5"/>
      <c r="D522" s="5"/>
      <c r="E522" s="5"/>
    </row>
    <row r="523" ht="15.75" customHeight="1">
      <c r="A523" s="8"/>
      <c r="C523" s="5"/>
      <c r="D523" s="5"/>
      <c r="E523" s="5"/>
    </row>
    <row r="524" ht="15.75" customHeight="1">
      <c r="A524" s="8"/>
      <c r="C524" s="5"/>
      <c r="D524" s="5"/>
      <c r="E524" s="5"/>
    </row>
    <row r="525" ht="15.75" customHeight="1">
      <c r="A525" s="8"/>
      <c r="C525" s="5"/>
      <c r="D525" s="5"/>
      <c r="E525" s="5"/>
    </row>
    <row r="526" ht="15.75" customHeight="1">
      <c r="A526" s="8"/>
      <c r="C526" s="5"/>
      <c r="D526" s="5"/>
      <c r="E526" s="5"/>
    </row>
    <row r="527" ht="15.75" customHeight="1">
      <c r="A527" s="8"/>
      <c r="C527" s="5"/>
      <c r="D527" s="5"/>
      <c r="E527" s="5"/>
    </row>
    <row r="528" ht="15.75" customHeight="1">
      <c r="A528" s="8"/>
      <c r="C528" s="5"/>
      <c r="D528" s="5"/>
      <c r="E528" s="5"/>
    </row>
    <row r="529" ht="15.75" customHeight="1">
      <c r="A529" s="8"/>
      <c r="C529" s="5"/>
      <c r="D529" s="5"/>
      <c r="E529" s="5"/>
    </row>
    <row r="530" ht="15.75" customHeight="1">
      <c r="A530" s="8"/>
      <c r="C530" s="5"/>
      <c r="D530" s="5"/>
      <c r="E530" s="5"/>
    </row>
    <row r="531" ht="15.75" customHeight="1">
      <c r="A531" s="8"/>
      <c r="C531" s="5"/>
      <c r="D531" s="5"/>
      <c r="E531" s="5"/>
    </row>
    <row r="532" ht="15.75" customHeight="1">
      <c r="A532" s="8"/>
      <c r="C532" s="5"/>
      <c r="D532" s="5"/>
      <c r="E532" s="5"/>
    </row>
    <row r="533" ht="15.75" customHeight="1">
      <c r="A533" s="8"/>
      <c r="C533" s="5"/>
      <c r="D533" s="5"/>
      <c r="E533" s="5"/>
    </row>
    <row r="534" ht="15.75" customHeight="1">
      <c r="A534" s="8"/>
      <c r="C534" s="5"/>
      <c r="D534" s="5"/>
      <c r="E534" s="5"/>
    </row>
    <row r="535" ht="15.75" customHeight="1">
      <c r="A535" s="8"/>
      <c r="C535" s="5"/>
      <c r="D535" s="5"/>
      <c r="E535" s="5"/>
    </row>
    <row r="536" ht="15.75" customHeight="1">
      <c r="A536" s="8"/>
      <c r="C536" s="5"/>
      <c r="D536" s="5"/>
      <c r="E536" s="5"/>
    </row>
    <row r="537" ht="15.75" customHeight="1">
      <c r="A537" s="8"/>
      <c r="C537" s="5"/>
      <c r="D537" s="5"/>
      <c r="E537" s="5"/>
    </row>
    <row r="538" ht="15.75" customHeight="1">
      <c r="A538" s="8"/>
      <c r="C538" s="5"/>
      <c r="D538" s="5"/>
      <c r="E538" s="5"/>
    </row>
    <row r="539" ht="15.75" customHeight="1">
      <c r="A539" s="8"/>
      <c r="C539" s="5"/>
      <c r="D539" s="5"/>
      <c r="E539" s="5"/>
    </row>
    <row r="540" ht="15.75" customHeight="1">
      <c r="A540" s="8"/>
      <c r="C540" s="5"/>
      <c r="D540" s="5"/>
      <c r="E540" s="5"/>
    </row>
    <row r="541" ht="15.75" customHeight="1">
      <c r="A541" s="8"/>
      <c r="C541" s="5"/>
      <c r="D541" s="5"/>
      <c r="E541" s="5"/>
    </row>
    <row r="542" ht="15.75" customHeight="1">
      <c r="A542" s="8"/>
      <c r="C542" s="5"/>
      <c r="D542" s="5"/>
      <c r="E542" s="5"/>
    </row>
    <row r="543" ht="15.75" customHeight="1">
      <c r="A543" s="8"/>
      <c r="C543" s="5"/>
      <c r="D543" s="5"/>
      <c r="E543" s="5"/>
    </row>
    <row r="544" ht="15.75" customHeight="1">
      <c r="A544" s="8"/>
      <c r="C544" s="5"/>
      <c r="D544" s="5"/>
      <c r="E544" s="5"/>
    </row>
    <row r="545" ht="15.75" customHeight="1">
      <c r="A545" s="8"/>
      <c r="C545" s="5"/>
      <c r="D545" s="5"/>
      <c r="E545" s="5"/>
    </row>
    <row r="546" ht="15.75" customHeight="1">
      <c r="A546" s="8"/>
      <c r="C546" s="5"/>
      <c r="D546" s="5"/>
      <c r="E546" s="5"/>
    </row>
    <row r="547" ht="15.75" customHeight="1">
      <c r="A547" s="8"/>
      <c r="C547" s="5"/>
      <c r="D547" s="5"/>
      <c r="E547" s="5"/>
    </row>
    <row r="548" ht="15.75" customHeight="1">
      <c r="A548" s="8"/>
      <c r="C548" s="5"/>
      <c r="D548" s="5"/>
      <c r="E548" s="5"/>
    </row>
    <row r="549" ht="15.75" customHeight="1">
      <c r="A549" s="8"/>
      <c r="C549" s="5"/>
      <c r="D549" s="5"/>
      <c r="E549" s="5"/>
    </row>
    <row r="550" ht="15.75" customHeight="1">
      <c r="A550" s="8"/>
      <c r="C550" s="5"/>
      <c r="D550" s="5"/>
      <c r="E550" s="5"/>
    </row>
    <row r="551" ht="15.75" customHeight="1">
      <c r="A551" s="8"/>
      <c r="C551" s="5"/>
      <c r="D551" s="5"/>
      <c r="E551" s="5"/>
    </row>
    <row r="552" ht="15.75" customHeight="1">
      <c r="A552" s="8"/>
      <c r="C552" s="5"/>
      <c r="D552" s="5"/>
      <c r="E552" s="5"/>
    </row>
    <row r="553" ht="15.75" customHeight="1">
      <c r="A553" s="8"/>
      <c r="C553" s="5"/>
      <c r="D553" s="5"/>
      <c r="E553" s="5"/>
    </row>
    <row r="554" ht="15.75" customHeight="1">
      <c r="A554" s="8"/>
      <c r="C554" s="5"/>
      <c r="D554" s="5"/>
      <c r="E554" s="5"/>
    </row>
    <row r="555" ht="15.75" customHeight="1">
      <c r="A555" s="8"/>
      <c r="C555" s="5"/>
      <c r="D555" s="5"/>
      <c r="E555" s="5"/>
    </row>
    <row r="556" ht="15.75" customHeight="1">
      <c r="A556" s="8"/>
      <c r="C556" s="5"/>
      <c r="D556" s="5"/>
      <c r="E556" s="5"/>
    </row>
    <row r="557" ht="15.75" customHeight="1">
      <c r="A557" s="8"/>
      <c r="C557" s="5"/>
      <c r="D557" s="5"/>
      <c r="E557" s="5"/>
    </row>
    <row r="558" ht="15.75" customHeight="1">
      <c r="A558" s="8"/>
      <c r="C558" s="5"/>
      <c r="D558" s="5"/>
      <c r="E558" s="5"/>
    </row>
    <row r="559" ht="15.75" customHeight="1">
      <c r="A559" s="8"/>
      <c r="C559" s="5"/>
      <c r="D559" s="5"/>
      <c r="E559" s="5"/>
    </row>
    <row r="560" ht="15.75" customHeight="1">
      <c r="A560" s="8"/>
      <c r="C560" s="5"/>
      <c r="D560" s="5"/>
      <c r="E560" s="5"/>
    </row>
    <row r="561" ht="15.75" customHeight="1">
      <c r="A561" s="8"/>
      <c r="C561" s="5"/>
      <c r="D561" s="5"/>
      <c r="E561" s="5"/>
    </row>
    <row r="562" ht="15.75" customHeight="1">
      <c r="A562" s="8"/>
      <c r="C562" s="5"/>
      <c r="D562" s="5"/>
      <c r="E562" s="5"/>
    </row>
    <row r="563" ht="15.75" customHeight="1">
      <c r="A563" s="8"/>
      <c r="C563" s="5"/>
      <c r="D563" s="5"/>
      <c r="E563" s="5"/>
    </row>
    <row r="564" ht="15.75" customHeight="1">
      <c r="A564" s="8"/>
      <c r="C564" s="5"/>
      <c r="D564" s="5"/>
      <c r="E564" s="5"/>
    </row>
    <row r="565" ht="15.75" customHeight="1">
      <c r="A565" s="8"/>
      <c r="C565" s="5"/>
      <c r="D565" s="5"/>
      <c r="E565" s="5"/>
    </row>
    <row r="566" ht="15.75" customHeight="1">
      <c r="A566" s="8"/>
      <c r="C566" s="5"/>
      <c r="D566" s="5"/>
      <c r="E566" s="5"/>
    </row>
    <row r="567" ht="15.75" customHeight="1">
      <c r="A567" s="8"/>
      <c r="C567" s="5"/>
      <c r="D567" s="5"/>
      <c r="E567" s="5"/>
    </row>
    <row r="568" ht="15.75" customHeight="1">
      <c r="A568" s="8"/>
      <c r="C568" s="5"/>
      <c r="D568" s="5"/>
      <c r="E568" s="5"/>
    </row>
    <row r="569" ht="15.75" customHeight="1">
      <c r="A569" s="8"/>
      <c r="C569" s="5"/>
      <c r="D569" s="5"/>
      <c r="E569" s="5"/>
    </row>
    <row r="570" ht="15.75" customHeight="1">
      <c r="A570" s="8"/>
      <c r="C570" s="5"/>
      <c r="D570" s="5"/>
      <c r="E570" s="5"/>
    </row>
    <row r="571" ht="15.75" customHeight="1">
      <c r="A571" s="8"/>
      <c r="C571" s="5"/>
      <c r="D571" s="5"/>
      <c r="E571" s="5"/>
    </row>
    <row r="572" ht="15.75" customHeight="1">
      <c r="A572" s="8"/>
      <c r="C572" s="5"/>
      <c r="D572" s="5"/>
      <c r="E572" s="5"/>
    </row>
    <row r="573" ht="15.75" customHeight="1">
      <c r="A573" s="8"/>
      <c r="C573" s="5"/>
      <c r="D573" s="5"/>
      <c r="E573" s="5"/>
    </row>
    <row r="574" ht="15.75" customHeight="1">
      <c r="A574" s="8"/>
      <c r="C574" s="5"/>
      <c r="D574" s="5"/>
      <c r="E574" s="5"/>
    </row>
    <row r="575" ht="15.75" customHeight="1">
      <c r="A575" s="8"/>
      <c r="C575" s="5"/>
      <c r="D575" s="5"/>
      <c r="E575" s="5"/>
    </row>
    <row r="576" ht="15.75" customHeight="1">
      <c r="A576" s="8"/>
      <c r="C576" s="5"/>
      <c r="D576" s="5"/>
      <c r="E576" s="5"/>
    </row>
    <row r="577" ht="15.75" customHeight="1">
      <c r="A577" s="8"/>
      <c r="C577" s="5"/>
      <c r="D577" s="5"/>
      <c r="E577" s="5"/>
    </row>
    <row r="578" ht="15.75" customHeight="1">
      <c r="A578" s="8"/>
      <c r="C578" s="5"/>
      <c r="D578" s="5"/>
      <c r="E578" s="5"/>
    </row>
    <row r="579" ht="15.75" customHeight="1">
      <c r="A579" s="8"/>
      <c r="C579" s="5"/>
      <c r="D579" s="5"/>
      <c r="E579" s="5"/>
    </row>
    <row r="580" ht="15.75" customHeight="1">
      <c r="A580" s="8"/>
      <c r="C580" s="5"/>
      <c r="D580" s="5"/>
      <c r="E580" s="5"/>
    </row>
    <row r="581" ht="15.75" customHeight="1">
      <c r="A581" s="8"/>
      <c r="C581" s="5"/>
      <c r="D581" s="5"/>
      <c r="E581" s="5"/>
    </row>
    <row r="582" ht="15.75" customHeight="1">
      <c r="A582" s="8"/>
      <c r="C582" s="5"/>
      <c r="D582" s="5"/>
      <c r="E582" s="5"/>
    </row>
    <row r="583" ht="15.75" customHeight="1">
      <c r="A583" s="8"/>
      <c r="C583" s="5"/>
      <c r="D583" s="5"/>
      <c r="E583" s="5"/>
    </row>
    <row r="584" ht="15.75" customHeight="1">
      <c r="A584" s="8"/>
      <c r="C584" s="5"/>
      <c r="D584" s="5"/>
      <c r="E584" s="5"/>
    </row>
    <row r="585" ht="15.75" customHeight="1">
      <c r="A585" s="8"/>
      <c r="C585" s="5"/>
      <c r="D585" s="5"/>
      <c r="E585" s="5"/>
    </row>
    <row r="586" ht="15.75" customHeight="1">
      <c r="A586" s="8"/>
      <c r="C586" s="5"/>
      <c r="D586" s="5"/>
      <c r="E586" s="5"/>
    </row>
    <row r="587" ht="15.75" customHeight="1">
      <c r="A587" s="8"/>
      <c r="C587" s="5"/>
      <c r="D587" s="5"/>
      <c r="E587" s="5"/>
    </row>
    <row r="588" ht="15.75" customHeight="1">
      <c r="A588" s="8"/>
      <c r="C588" s="5"/>
      <c r="D588" s="5"/>
      <c r="E588" s="5"/>
    </row>
    <row r="589" ht="15.75" customHeight="1">
      <c r="A589" s="8"/>
      <c r="C589" s="5"/>
      <c r="D589" s="5"/>
      <c r="E589" s="5"/>
    </row>
    <row r="590" ht="15.75" customHeight="1">
      <c r="A590" s="8"/>
      <c r="C590" s="5"/>
      <c r="D590" s="5"/>
      <c r="E590" s="5"/>
    </row>
    <row r="591" ht="15.75" customHeight="1">
      <c r="A591" s="8"/>
      <c r="C591" s="5"/>
      <c r="D591" s="5"/>
      <c r="E591" s="5"/>
    </row>
    <row r="592" ht="15.75" customHeight="1">
      <c r="A592" s="8"/>
      <c r="C592" s="5"/>
      <c r="D592" s="5"/>
      <c r="E592" s="5"/>
    </row>
    <row r="593" ht="15.75" customHeight="1">
      <c r="A593" s="8"/>
      <c r="C593" s="5"/>
      <c r="D593" s="5"/>
      <c r="E593" s="5"/>
    </row>
    <row r="594" ht="15.75" customHeight="1">
      <c r="A594" s="8"/>
      <c r="C594" s="5"/>
      <c r="D594" s="5"/>
      <c r="E594" s="5"/>
    </row>
    <row r="595" ht="15.75" customHeight="1">
      <c r="A595" s="8"/>
      <c r="C595" s="5"/>
      <c r="D595" s="5"/>
      <c r="E595" s="5"/>
    </row>
    <row r="596" ht="15.75" customHeight="1">
      <c r="A596" s="8"/>
      <c r="C596" s="5"/>
      <c r="D596" s="5"/>
      <c r="E596" s="5"/>
    </row>
    <row r="597" ht="15.75" customHeight="1">
      <c r="A597" s="8"/>
      <c r="C597" s="5"/>
      <c r="D597" s="5"/>
      <c r="E597" s="5"/>
    </row>
    <row r="598" ht="15.75" customHeight="1">
      <c r="A598" s="8"/>
      <c r="C598" s="5"/>
      <c r="D598" s="5"/>
      <c r="E598" s="5"/>
    </row>
    <row r="599" ht="15.75" customHeight="1">
      <c r="A599" s="8"/>
      <c r="C599" s="5"/>
      <c r="D599" s="5"/>
      <c r="E599" s="5"/>
    </row>
    <row r="600" ht="15.75" customHeight="1">
      <c r="A600" s="8"/>
      <c r="C600" s="5"/>
      <c r="D600" s="5"/>
      <c r="E600" s="5"/>
    </row>
    <row r="601" ht="15.75" customHeight="1">
      <c r="A601" s="8"/>
      <c r="C601" s="5"/>
      <c r="D601" s="5"/>
      <c r="E601" s="5"/>
    </row>
    <row r="602" ht="15.75" customHeight="1">
      <c r="A602" s="8"/>
      <c r="C602" s="5"/>
      <c r="D602" s="5"/>
      <c r="E602" s="5"/>
    </row>
    <row r="603" ht="15.75" customHeight="1">
      <c r="A603" s="8"/>
      <c r="C603" s="5"/>
      <c r="D603" s="5"/>
      <c r="E603" s="5"/>
    </row>
    <row r="604" ht="15.75" customHeight="1">
      <c r="A604" s="8"/>
      <c r="C604" s="5"/>
      <c r="D604" s="5"/>
      <c r="E604" s="5"/>
    </row>
    <row r="605" ht="15.75" customHeight="1">
      <c r="A605" s="8"/>
      <c r="C605" s="5"/>
      <c r="D605" s="5"/>
      <c r="E605" s="5"/>
    </row>
    <row r="606" ht="15.75" customHeight="1">
      <c r="A606" s="8"/>
      <c r="C606" s="5"/>
      <c r="D606" s="5"/>
      <c r="E606" s="5"/>
    </row>
    <row r="607" ht="15.75" customHeight="1">
      <c r="A607" s="8"/>
      <c r="C607" s="5"/>
      <c r="D607" s="5"/>
      <c r="E607" s="5"/>
    </row>
    <row r="608" ht="15.75" customHeight="1">
      <c r="A608" s="8"/>
      <c r="C608" s="5"/>
      <c r="D608" s="5"/>
      <c r="E608" s="5"/>
    </row>
    <row r="609" ht="15.75" customHeight="1">
      <c r="A609" s="8"/>
      <c r="C609" s="5"/>
      <c r="D609" s="5"/>
      <c r="E609" s="5"/>
    </row>
    <row r="610" ht="15.75" customHeight="1">
      <c r="A610" s="8"/>
      <c r="C610" s="5"/>
      <c r="D610" s="5"/>
      <c r="E610" s="5"/>
    </row>
    <row r="611" ht="15.75" customHeight="1">
      <c r="A611" s="8"/>
      <c r="C611" s="5"/>
      <c r="D611" s="5"/>
      <c r="E611" s="5"/>
    </row>
    <row r="612" ht="15.75" customHeight="1">
      <c r="A612" s="8"/>
      <c r="C612" s="5"/>
      <c r="D612" s="5"/>
      <c r="E612" s="5"/>
    </row>
    <row r="613" ht="15.75" customHeight="1">
      <c r="A613" s="8"/>
      <c r="C613" s="5"/>
      <c r="D613" s="5"/>
      <c r="E613" s="5"/>
    </row>
    <row r="614" ht="15.75" customHeight="1">
      <c r="A614" s="8"/>
      <c r="C614" s="5"/>
      <c r="D614" s="5"/>
      <c r="E614" s="5"/>
    </row>
    <row r="615" ht="15.75" customHeight="1">
      <c r="A615" s="8"/>
      <c r="C615" s="5"/>
      <c r="D615" s="5"/>
      <c r="E615" s="5"/>
    </row>
    <row r="616" ht="15.75" customHeight="1">
      <c r="A616" s="8"/>
      <c r="C616" s="5"/>
      <c r="D616" s="5"/>
      <c r="E616" s="5"/>
    </row>
    <row r="617" ht="15.75" customHeight="1">
      <c r="A617" s="8"/>
      <c r="C617" s="5"/>
      <c r="D617" s="5"/>
      <c r="E617" s="5"/>
    </row>
    <row r="618" ht="15.75" customHeight="1">
      <c r="A618" s="8"/>
      <c r="C618" s="5"/>
      <c r="D618" s="5"/>
      <c r="E618" s="5"/>
    </row>
    <row r="619" ht="15.75" customHeight="1">
      <c r="A619" s="8"/>
      <c r="C619" s="5"/>
      <c r="D619" s="5"/>
      <c r="E619" s="5"/>
    </row>
    <row r="620" ht="15.75" customHeight="1">
      <c r="A620" s="8"/>
      <c r="C620" s="5"/>
      <c r="D620" s="5"/>
      <c r="E620" s="5"/>
    </row>
    <row r="621" ht="15.75" customHeight="1">
      <c r="A621" s="8"/>
      <c r="C621" s="5"/>
      <c r="D621" s="5"/>
      <c r="E621" s="5"/>
    </row>
    <row r="622" ht="15.75" customHeight="1">
      <c r="A622" s="8"/>
      <c r="C622" s="5"/>
      <c r="D622" s="5"/>
      <c r="E622" s="5"/>
    </row>
    <row r="623" ht="15.75" customHeight="1">
      <c r="A623" s="8"/>
      <c r="C623" s="5"/>
      <c r="D623" s="5"/>
      <c r="E623" s="5"/>
    </row>
    <row r="624" ht="15.75" customHeight="1">
      <c r="A624" s="8"/>
      <c r="C624" s="5"/>
      <c r="D624" s="5"/>
      <c r="E624" s="5"/>
    </row>
    <row r="625" ht="15.75" customHeight="1">
      <c r="A625" s="8"/>
      <c r="C625" s="5"/>
      <c r="D625" s="5"/>
      <c r="E625" s="5"/>
    </row>
    <row r="626" ht="15.75" customHeight="1">
      <c r="A626" s="8"/>
      <c r="C626" s="5"/>
      <c r="D626" s="5"/>
      <c r="E626" s="5"/>
    </row>
    <row r="627" ht="15.75" customHeight="1">
      <c r="A627" s="8"/>
      <c r="C627" s="5"/>
      <c r="D627" s="5"/>
      <c r="E627" s="5"/>
    </row>
    <row r="628" ht="15.75" customHeight="1">
      <c r="A628" s="8"/>
      <c r="C628" s="5"/>
      <c r="D628" s="5"/>
      <c r="E628" s="5"/>
    </row>
    <row r="629" ht="15.75" customHeight="1">
      <c r="A629" s="8"/>
      <c r="C629" s="5"/>
      <c r="D629" s="5"/>
      <c r="E629" s="5"/>
    </row>
    <row r="630" ht="15.75" customHeight="1">
      <c r="A630" s="8"/>
      <c r="C630" s="5"/>
      <c r="D630" s="5"/>
      <c r="E630" s="5"/>
    </row>
    <row r="631" ht="15.75" customHeight="1">
      <c r="A631" s="8"/>
      <c r="C631" s="5"/>
      <c r="D631" s="5"/>
      <c r="E631" s="5"/>
    </row>
    <row r="632" ht="15.75" customHeight="1">
      <c r="A632" s="8"/>
      <c r="C632" s="5"/>
      <c r="D632" s="5"/>
      <c r="E632" s="5"/>
    </row>
    <row r="633" ht="15.75" customHeight="1">
      <c r="A633" s="8"/>
      <c r="C633" s="5"/>
      <c r="D633" s="5"/>
      <c r="E633" s="5"/>
    </row>
    <row r="634" ht="15.75" customHeight="1">
      <c r="A634" s="8"/>
      <c r="C634" s="5"/>
      <c r="D634" s="5"/>
      <c r="E634" s="5"/>
    </row>
    <row r="635" ht="15.75" customHeight="1">
      <c r="A635" s="8"/>
      <c r="C635" s="5"/>
      <c r="D635" s="5"/>
      <c r="E635" s="5"/>
    </row>
    <row r="636" ht="15.75" customHeight="1">
      <c r="A636" s="8"/>
      <c r="C636" s="5"/>
      <c r="D636" s="5"/>
      <c r="E636" s="5"/>
    </row>
    <row r="637" ht="15.75" customHeight="1">
      <c r="A637" s="8"/>
      <c r="C637" s="5"/>
      <c r="D637" s="5"/>
      <c r="E637" s="5"/>
    </row>
    <row r="638" ht="15.75" customHeight="1">
      <c r="A638" s="8"/>
      <c r="C638" s="5"/>
      <c r="D638" s="5"/>
      <c r="E638" s="5"/>
    </row>
    <row r="639" ht="15.75" customHeight="1">
      <c r="A639" s="8"/>
      <c r="C639" s="5"/>
      <c r="D639" s="5"/>
      <c r="E639" s="5"/>
    </row>
    <row r="640" ht="15.75" customHeight="1">
      <c r="A640" s="8"/>
      <c r="C640" s="5"/>
      <c r="D640" s="5"/>
      <c r="E640" s="5"/>
    </row>
    <row r="641" ht="15.75" customHeight="1">
      <c r="A641" s="8"/>
      <c r="C641" s="5"/>
      <c r="D641" s="5"/>
      <c r="E641" s="5"/>
    </row>
    <row r="642" ht="15.75" customHeight="1">
      <c r="A642" s="8"/>
      <c r="C642" s="5"/>
      <c r="D642" s="5"/>
      <c r="E642" s="5"/>
    </row>
    <row r="643" ht="15.75" customHeight="1">
      <c r="A643" s="8"/>
      <c r="C643" s="5"/>
      <c r="D643" s="5"/>
      <c r="E643" s="5"/>
    </row>
    <row r="644" ht="15.75" customHeight="1">
      <c r="A644" s="8"/>
      <c r="C644" s="5"/>
      <c r="D644" s="5"/>
      <c r="E644" s="5"/>
    </row>
    <row r="645" ht="15.75" customHeight="1">
      <c r="A645" s="8"/>
      <c r="C645" s="5"/>
      <c r="D645" s="5"/>
      <c r="E645" s="5"/>
    </row>
    <row r="646" ht="15.75" customHeight="1">
      <c r="A646" s="8"/>
      <c r="C646" s="5"/>
      <c r="D646" s="5"/>
      <c r="E646" s="5"/>
    </row>
    <row r="647" ht="15.75" customHeight="1">
      <c r="A647" s="8"/>
      <c r="C647" s="5"/>
      <c r="D647" s="5"/>
      <c r="E647" s="5"/>
    </row>
    <row r="648" ht="15.75" customHeight="1">
      <c r="A648" s="8"/>
      <c r="C648" s="5"/>
      <c r="D648" s="5"/>
      <c r="E648" s="5"/>
    </row>
    <row r="649" ht="15.75" customHeight="1">
      <c r="A649" s="8"/>
      <c r="C649" s="5"/>
      <c r="D649" s="5"/>
      <c r="E649" s="5"/>
    </row>
    <row r="650" ht="15.75" customHeight="1">
      <c r="A650" s="8"/>
      <c r="C650" s="5"/>
      <c r="D650" s="5"/>
      <c r="E650" s="5"/>
    </row>
    <row r="651" ht="15.75" customHeight="1">
      <c r="A651" s="8"/>
      <c r="C651" s="5"/>
      <c r="D651" s="5"/>
      <c r="E651" s="5"/>
    </row>
    <row r="652" ht="15.75" customHeight="1">
      <c r="A652" s="8"/>
      <c r="C652" s="5"/>
      <c r="D652" s="5"/>
      <c r="E652" s="5"/>
    </row>
    <row r="653" ht="15.75" customHeight="1">
      <c r="A653" s="8"/>
      <c r="C653" s="5"/>
      <c r="D653" s="5"/>
      <c r="E653" s="5"/>
    </row>
    <row r="654" ht="15.75" customHeight="1">
      <c r="A654" s="8"/>
      <c r="C654" s="5"/>
      <c r="D654" s="5"/>
      <c r="E654" s="5"/>
    </row>
    <row r="655" ht="15.75" customHeight="1">
      <c r="A655" s="8"/>
      <c r="C655" s="5"/>
      <c r="D655" s="5"/>
      <c r="E655" s="5"/>
    </row>
    <row r="656" ht="15.75" customHeight="1">
      <c r="A656" s="8"/>
      <c r="C656" s="5"/>
      <c r="D656" s="5"/>
      <c r="E656" s="5"/>
    </row>
    <row r="657" ht="15.75" customHeight="1">
      <c r="A657" s="8"/>
      <c r="C657" s="5"/>
      <c r="D657" s="5"/>
      <c r="E657" s="5"/>
    </row>
    <row r="658" ht="15.75" customHeight="1">
      <c r="A658" s="8"/>
      <c r="C658" s="5"/>
      <c r="D658" s="5"/>
      <c r="E658" s="5"/>
    </row>
    <row r="659" ht="15.75" customHeight="1">
      <c r="A659" s="8"/>
      <c r="C659" s="5"/>
      <c r="D659" s="5"/>
      <c r="E659" s="5"/>
    </row>
    <row r="660" ht="15.75" customHeight="1">
      <c r="A660" s="8"/>
      <c r="C660" s="5"/>
      <c r="D660" s="5"/>
      <c r="E660" s="5"/>
    </row>
    <row r="661" ht="15.75" customHeight="1">
      <c r="A661" s="8"/>
      <c r="C661" s="5"/>
      <c r="D661" s="5"/>
      <c r="E661" s="5"/>
    </row>
    <row r="662" ht="15.75" customHeight="1">
      <c r="A662" s="8"/>
      <c r="C662" s="5"/>
      <c r="D662" s="5"/>
      <c r="E662" s="5"/>
    </row>
    <row r="663" ht="15.75" customHeight="1">
      <c r="A663" s="8"/>
      <c r="C663" s="5"/>
      <c r="D663" s="5"/>
      <c r="E663" s="5"/>
    </row>
    <row r="664" ht="15.75" customHeight="1">
      <c r="A664" s="8"/>
      <c r="C664" s="5"/>
      <c r="D664" s="5"/>
      <c r="E664" s="5"/>
    </row>
    <row r="665" ht="15.75" customHeight="1">
      <c r="A665" s="8"/>
      <c r="C665" s="5"/>
      <c r="D665" s="5"/>
      <c r="E665" s="5"/>
    </row>
    <row r="666" ht="15.75" customHeight="1">
      <c r="A666" s="8"/>
      <c r="C666" s="5"/>
      <c r="D666" s="5"/>
      <c r="E666" s="5"/>
    </row>
    <row r="667" ht="15.75" customHeight="1">
      <c r="A667" s="8"/>
      <c r="C667" s="5"/>
      <c r="D667" s="5"/>
      <c r="E667" s="5"/>
    </row>
    <row r="668" ht="15.75" customHeight="1">
      <c r="A668" s="8"/>
      <c r="C668" s="5"/>
      <c r="D668" s="5"/>
      <c r="E668" s="5"/>
    </row>
    <row r="669" ht="15.75" customHeight="1">
      <c r="A669" s="8"/>
      <c r="C669" s="5"/>
      <c r="D669" s="5"/>
      <c r="E669" s="5"/>
    </row>
    <row r="670" ht="15.75" customHeight="1">
      <c r="A670" s="8"/>
      <c r="C670" s="5"/>
      <c r="D670" s="5"/>
      <c r="E670" s="5"/>
    </row>
    <row r="671" ht="15.75" customHeight="1">
      <c r="A671" s="8"/>
      <c r="C671" s="5"/>
      <c r="D671" s="5"/>
      <c r="E671" s="5"/>
    </row>
    <row r="672" ht="15.75" customHeight="1">
      <c r="A672" s="8"/>
      <c r="C672" s="5"/>
      <c r="D672" s="5"/>
      <c r="E672" s="5"/>
    </row>
    <row r="673" ht="15.75" customHeight="1">
      <c r="A673" s="8"/>
      <c r="C673" s="5"/>
      <c r="D673" s="5"/>
      <c r="E673" s="5"/>
    </row>
    <row r="674" ht="15.75" customHeight="1">
      <c r="A674" s="8"/>
      <c r="C674" s="5"/>
      <c r="D674" s="5"/>
      <c r="E674" s="5"/>
    </row>
    <row r="675" ht="15.75" customHeight="1">
      <c r="A675" s="8"/>
      <c r="C675" s="5"/>
      <c r="D675" s="5"/>
      <c r="E675" s="5"/>
    </row>
    <row r="676" ht="15.75" customHeight="1">
      <c r="A676" s="8"/>
      <c r="C676" s="5"/>
      <c r="D676" s="5"/>
      <c r="E676" s="5"/>
    </row>
    <row r="677" ht="15.75" customHeight="1">
      <c r="A677" s="8"/>
      <c r="C677" s="5"/>
      <c r="D677" s="5"/>
      <c r="E677" s="5"/>
    </row>
    <row r="678" ht="15.75" customHeight="1">
      <c r="A678" s="8"/>
      <c r="C678" s="5"/>
      <c r="D678" s="5"/>
      <c r="E678" s="5"/>
    </row>
    <row r="679" ht="15.75" customHeight="1">
      <c r="A679" s="8"/>
      <c r="C679" s="5"/>
      <c r="D679" s="5"/>
      <c r="E679" s="5"/>
    </row>
    <row r="680" ht="15.75" customHeight="1">
      <c r="A680" s="8"/>
      <c r="C680" s="5"/>
      <c r="D680" s="5"/>
      <c r="E680" s="5"/>
    </row>
    <row r="681" ht="15.75" customHeight="1">
      <c r="A681" s="8"/>
      <c r="C681" s="5"/>
      <c r="D681" s="5"/>
      <c r="E681" s="5"/>
    </row>
    <row r="682" ht="15.75" customHeight="1">
      <c r="A682" s="8"/>
      <c r="C682" s="5"/>
      <c r="D682" s="5"/>
      <c r="E682" s="5"/>
    </row>
    <row r="683" ht="15.75" customHeight="1">
      <c r="A683" s="8"/>
      <c r="C683" s="5"/>
      <c r="D683" s="5"/>
      <c r="E683" s="5"/>
    </row>
    <row r="684" ht="15.75" customHeight="1">
      <c r="A684" s="8"/>
      <c r="C684" s="5"/>
      <c r="D684" s="5"/>
      <c r="E684" s="5"/>
    </row>
    <row r="685" ht="15.75" customHeight="1">
      <c r="A685" s="8"/>
      <c r="C685" s="5"/>
      <c r="D685" s="5"/>
      <c r="E685" s="5"/>
    </row>
    <row r="686" ht="15.75" customHeight="1">
      <c r="A686" s="8"/>
      <c r="C686" s="5"/>
      <c r="D686" s="5"/>
      <c r="E686" s="5"/>
    </row>
    <row r="687" ht="15.75" customHeight="1">
      <c r="A687" s="8"/>
      <c r="C687" s="5"/>
      <c r="D687" s="5"/>
      <c r="E687" s="5"/>
    </row>
    <row r="688" ht="15.75" customHeight="1">
      <c r="A688" s="8"/>
      <c r="C688" s="5"/>
      <c r="D688" s="5"/>
      <c r="E688" s="5"/>
    </row>
    <row r="689" ht="15.75" customHeight="1">
      <c r="A689" s="8"/>
      <c r="C689" s="5"/>
      <c r="D689" s="5"/>
      <c r="E689" s="5"/>
    </row>
    <row r="690" ht="15.75" customHeight="1">
      <c r="A690" s="8"/>
      <c r="C690" s="5"/>
      <c r="D690" s="5"/>
      <c r="E690" s="5"/>
    </row>
    <row r="691" ht="15.75" customHeight="1">
      <c r="A691" s="8"/>
      <c r="C691" s="5"/>
      <c r="D691" s="5"/>
      <c r="E691" s="5"/>
    </row>
    <row r="692" ht="15.75" customHeight="1">
      <c r="A692" s="8"/>
      <c r="C692" s="5"/>
      <c r="D692" s="5"/>
      <c r="E692" s="5"/>
    </row>
    <row r="693" ht="15.75" customHeight="1">
      <c r="A693" s="8"/>
      <c r="C693" s="5"/>
      <c r="D693" s="5"/>
      <c r="E693" s="5"/>
    </row>
    <row r="694" ht="15.75" customHeight="1">
      <c r="A694" s="8"/>
      <c r="C694" s="5"/>
      <c r="D694" s="5"/>
      <c r="E694" s="5"/>
    </row>
    <row r="695" ht="15.75" customHeight="1">
      <c r="A695" s="8"/>
      <c r="C695" s="5"/>
      <c r="D695" s="5"/>
      <c r="E695" s="5"/>
    </row>
    <row r="696" ht="15.75" customHeight="1">
      <c r="A696" s="8"/>
      <c r="C696" s="5"/>
      <c r="D696" s="5"/>
      <c r="E696" s="5"/>
    </row>
    <row r="697" ht="15.75" customHeight="1">
      <c r="A697" s="8"/>
      <c r="C697" s="5"/>
      <c r="D697" s="5"/>
      <c r="E697" s="5"/>
    </row>
    <row r="698" ht="15.75" customHeight="1">
      <c r="A698" s="8"/>
      <c r="C698" s="5"/>
      <c r="D698" s="5"/>
      <c r="E698" s="5"/>
    </row>
    <row r="699" ht="15.75" customHeight="1">
      <c r="A699" s="8"/>
      <c r="C699" s="5"/>
      <c r="D699" s="5"/>
      <c r="E699" s="5"/>
    </row>
    <row r="700" ht="15.75" customHeight="1">
      <c r="A700" s="8"/>
      <c r="C700" s="5"/>
      <c r="D700" s="5"/>
      <c r="E700" s="5"/>
    </row>
    <row r="701" ht="15.75" customHeight="1">
      <c r="A701" s="8"/>
      <c r="C701" s="5"/>
      <c r="D701" s="5"/>
      <c r="E701" s="5"/>
    </row>
    <row r="702" ht="15.75" customHeight="1">
      <c r="A702" s="8"/>
      <c r="C702" s="5"/>
      <c r="D702" s="5"/>
      <c r="E702" s="5"/>
    </row>
    <row r="703" ht="15.75" customHeight="1">
      <c r="A703" s="8"/>
      <c r="C703" s="5"/>
      <c r="D703" s="5"/>
      <c r="E703" s="5"/>
    </row>
    <row r="704" ht="15.75" customHeight="1">
      <c r="A704" s="8"/>
      <c r="C704" s="5"/>
      <c r="D704" s="5"/>
      <c r="E704" s="5"/>
    </row>
    <row r="705" ht="15.75" customHeight="1">
      <c r="A705" s="8"/>
      <c r="C705" s="5"/>
      <c r="D705" s="5"/>
      <c r="E705" s="5"/>
    </row>
    <row r="706" ht="15.75" customHeight="1">
      <c r="A706" s="8"/>
      <c r="C706" s="5"/>
      <c r="D706" s="5"/>
      <c r="E706" s="5"/>
    </row>
    <row r="707" ht="15.75" customHeight="1">
      <c r="A707" s="8"/>
      <c r="C707" s="5"/>
      <c r="D707" s="5"/>
      <c r="E707" s="5"/>
    </row>
    <row r="708" ht="15.75" customHeight="1">
      <c r="A708" s="8"/>
      <c r="C708" s="5"/>
      <c r="D708" s="5"/>
      <c r="E708" s="5"/>
    </row>
    <row r="709" ht="15.75" customHeight="1">
      <c r="A709" s="8"/>
      <c r="C709" s="5"/>
      <c r="D709" s="5"/>
      <c r="E709" s="5"/>
    </row>
    <row r="710" ht="15.75" customHeight="1">
      <c r="A710" s="8"/>
      <c r="C710" s="5"/>
      <c r="D710" s="5"/>
      <c r="E710" s="5"/>
    </row>
    <row r="711" ht="15.75" customHeight="1">
      <c r="A711" s="8"/>
      <c r="C711" s="5"/>
      <c r="D711" s="5"/>
      <c r="E711" s="5"/>
    </row>
    <row r="712" ht="15.75" customHeight="1">
      <c r="A712" s="8"/>
      <c r="C712" s="5"/>
      <c r="D712" s="5"/>
      <c r="E712" s="5"/>
    </row>
    <row r="713" ht="15.75" customHeight="1">
      <c r="A713" s="8"/>
      <c r="C713" s="5"/>
      <c r="D713" s="5"/>
      <c r="E713" s="5"/>
    </row>
    <row r="714" ht="15.75" customHeight="1">
      <c r="A714" s="8"/>
      <c r="C714" s="5"/>
      <c r="D714" s="5"/>
      <c r="E714" s="5"/>
    </row>
    <row r="715" ht="15.75" customHeight="1">
      <c r="A715" s="8"/>
      <c r="C715" s="5"/>
      <c r="D715" s="5"/>
      <c r="E715" s="5"/>
    </row>
    <row r="716" ht="15.75" customHeight="1">
      <c r="A716" s="8"/>
      <c r="C716" s="5"/>
      <c r="D716" s="5"/>
      <c r="E716" s="5"/>
    </row>
    <row r="717" ht="15.75" customHeight="1">
      <c r="A717" s="8"/>
      <c r="C717" s="5"/>
      <c r="D717" s="5"/>
      <c r="E717" s="5"/>
    </row>
    <row r="718" ht="15.75" customHeight="1">
      <c r="A718" s="8"/>
      <c r="C718" s="5"/>
      <c r="D718" s="5"/>
      <c r="E718" s="5"/>
    </row>
    <row r="719" ht="15.75" customHeight="1">
      <c r="A719" s="8"/>
      <c r="C719" s="5"/>
      <c r="D719" s="5"/>
      <c r="E719" s="5"/>
    </row>
    <row r="720" ht="15.75" customHeight="1">
      <c r="A720" s="8"/>
      <c r="C720" s="5"/>
      <c r="D720" s="5"/>
      <c r="E720" s="5"/>
    </row>
    <row r="721" ht="15.75" customHeight="1">
      <c r="A721" s="8"/>
      <c r="C721" s="5"/>
      <c r="D721" s="5"/>
      <c r="E721" s="5"/>
    </row>
    <row r="722" ht="15.75" customHeight="1">
      <c r="A722" s="8"/>
      <c r="C722" s="5"/>
      <c r="D722" s="5"/>
      <c r="E722" s="5"/>
    </row>
    <row r="723" ht="15.75" customHeight="1">
      <c r="A723" s="8"/>
      <c r="C723" s="5"/>
      <c r="D723" s="5"/>
      <c r="E723" s="5"/>
    </row>
    <row r="724" ht="15.75" customHeight="1">
      <c r="A724" s="8"/>
      <c r="C724" s="5"/>
      <c r="D724" s="5"/>
      <c r="E724" s="5"/>
    </row>
    <row r="725" ht="15.75" customHeight="1">
      <c r="A725" s="8"/>
      <c r="C725" s="5"/>
      <c r="D725" s="5"/>
      <c r="E725" s="5"/>
    </row>
    <row r="726" ht="15.75" customHeight="1">
      <c r="A726" s="8"/>
      <c r="C726" s="5"/>
      <c r="D726" s="5"/>
      <c r="E726" s="5"/>
    </row>
    <row r="727" ht="15.75" customHeight="1">
      <c r="A727" s="8"/>
      <c r="C727" s="5"/>
      <c r="D727" s="5"/>
      <c r="E727" s="5"/>
    </row>
    <row r="728" ht="15.75" customHeight="1">
      <c r="A728" s="8"/>
      <c r="C728" s="5"/>
      <c r="D728" s="5"/>
      <c r="E728" s="5"/>
    </row>
    <row r="729" ht="15.75" customHeight="1">
      <c r="A729" s="8"/>
      <c r="C729" s="5"/>
      <c r="D729" s="5"/>
      <c r="E729" s="5"/>
    </row>
    <row r="730" ht="15.75" customHeight="1">
      <c r="A730" s="8"/>
      <c r="C730" s="5"/>
      <c r="D730" s="5"/>
      <c r="E730" s="5"/>
    </row>
    <row r="731" ht="15.75" customHeight="1">
      <c r="A731" s="8"/>
      <c r="C731" s="5"/>
      <c r="D731" s="5"/>
      <c r="E731" s="5"/>
    </row>
    <row r="732" ht="15.75" customHeight="1">
      <c r="A732" s="8"/>
      <c r="C732" s="5"/>
      <c r="D732" s="5"/>
      <c r="E732" s="5"/>
    </row>
    <row r="733" ht="15.75" customHeight="1">
      <c r="A733" s="8"/>
      <c r="C733" s="5"/>
      <c r="D733" s="5"/>
      <c r="E733" s="5"/>
    </row>
    <row r="734" ht="15.75" customHeight="1">
      <c r="A734" s="8"/>
      <c r="C734" s="5"/>
      <c r="D734" s="5"/>
      <c r="E734" s="5"/>
    </row>
    <row r="735" ht="15.75" customHeight="1">
      <c r="A735" s="8"/>
      <c r="C735" s="5"/>
      <c r="D735" s="5"/>
      <c r="E735" s="5"/>
    </row>
    <row r="736" ht="15.75" customHeight="1">
      <c r="A736" s="8"/>
      <c r="C736" s="5"/>
      <c r="D736" s="5"/>
      <c r="E736" s="5"/>
    </row>
    <row r="737" ht="15.75" customHeight="1">
      <c r="A737" s="8"/>
      <c r="C737" s="5"/>
      <c r="D737" s="5"/>
      <c r="E737" s="5"/>
    </row>
    <row r="738" ht="15.75" customHeight="1">
      <c r="A738" s="8"/>
      <c r="C738" s="5"/>
      <c r="D738" s="5"/>
      <c r="E738" s="5"/>
    </row>
    <row r="739" ht="15.75" customHeight="1">
      <c r="A739" s="8"/>
      <c r="C739" s="5"/>
      <c r="D739" s="5"/>
      <c r="E739" s="5"/>
    </row>
    <row r="740" ht="15.75" customHeight="1">
      <c r="A740" s="8"/>
      <c r="C740" s="5"/>
      <c r="D740" s="5"/>
      <c r="E740" s="5"/>
    </row>
    <row r="741" ht="15.75" customHeight="1">
      <c r="A741" s="8"/>
      <c r="C741" s="5"/>
      <c r="D741" s="5"/>
      <c r="E741" s="5"/>
    </row>
    <row r="742" ht="15.75" customHeight="1">
      <c r="A742" s="8"/>
      <c r="C742" s="5"/>
      <c r="D742" s="5"/>
      <c r="E742" s="5"/>
    </row>
    <row r="743" ht="15.75" customHeight="1">
      <c r="A743" s="8"/>
      <c r="C743" s="5"/>
      <c r="D743" s="5"/>
      <c r="E743" s="5"/>
    </row>
    <row r="744" ht="15.75" customHeight="1">
      <c r="A744" s="8"/>
      <c r="C744" s="5"/>
      <c r="D744" s="5"/>
      <c r="E744" s="5"/>
    </row>
    <row r="745" ht="15.75" customHeight="1">
      <c r="A745" s="8"/>
      <c r="C745" s="5"/>
      <c r="D745" s="5"/>
      <c r="E745" s="5"/>
    </row>
    <row r="746" ht="15.75" customHeight="1">
      <c r="A746" s="8"/>
      <c r="C746" s="5"/>
      <c r="D746" s="5"/>
      <c r="E746" s="5"/>
    </row>
    <row r="747" ht="15.75" customHeight="1">
      <c r="A747" s="8"/>
      <c r="C747" s="5"/>
      <c r="D747" s="5"/>
      <c r="E747" s="5"/>
    </row>
    <row r="748" ht="15.75" customHeight="1">
      <c r="A748" s="8"/>
      <c r="C748" s="5"/>
      <c r="D748" s="5"/>
      <c r="E748" s="5"/>
    </row>
    <row r="749" ht="15.75" customHeight="1">
      <c r="A749" s="8"/>
      <c r="C749" s="5"/>
      <c r="D749" s="5"/>
      <c r="E749" s="5"/>
    </row>
    <row r="750" ht="15.75" customHeight="1">
      <c r="A750" s="8"/>
      <c r="C750" s="5"/>
      <c r="D750" s="5"/>
      <c r="E750" s="5"/>
    </row>
    <row r="751" ht="15.75" customHeight="1">
      <c r="A751" s="8"/>
      <c r="C751" s="5"/>
      <c r="D751" s="5"/>
      <c r="E751" s="5"/>
    </row>
    <row r="752" ht="15.75" customHeight="1">
      <c r="A752" s="8"/>
      <c r="C752" s="5"/>
      <c r="D752" s="5"/>
      <c r="E752" s="5"/>
    </row>
    <row r="753" ht="15.75" customHeight="1">
      <c r="A753" s="8"/>
      <c r="C753" s="5"/>
      <c r="D753" s="5"/>
      <c r="E753" s="5"/>
    </row>
    <row r="754" ht="15.75" customHeight="1">
      <c r="A754" s="8"/>
      <c r="C754" s="5"/>
      <c r="D754" s="5"/>
      <c r="E754" s="5"/>
    </row>
    <row r="755" ht="15.75" customHeight="1">
      <c r="A755" s="8"/>
      <c r="C755" s="5"/>
      <c r="D755" s="5"/>
      <c r="E755" s="5"/>
    </row>
    <row r="756" ht="15.75" customHeight="1">
      <c r="A756" s="8"/>
      <c r="C756" s="5"/>
      <c r="D756" s="5"/>
      <c r="E756" s="5"/>
    </row>
    <row r="757" ht="15.75" customHeight="1">
      <c r="A757" s="8"/>
      <c r="C757" s="5"/>
      <c r="D757" s="5"/>
      <c r="E757" s="5"/>
    </row>
    <row r="758" ht="15.75" customHeight="1">
      <c r="A758" s="8"/>
      <c r="C758" s="5"/>
      <c r="D758" s="5"/>
      <c r="E758" s="5"/>
    </row>
    <row r="759" ht="15.75" customHeight="1">
      <c r="A759" s="8"/>
      <c r="C759" s="5"/>
      <c r="D759" s="5"/>
      <c r="E759" s="5"/>
    </row>
    <row r="760" ht="15.75" customHeight="1">
      <c r="A760" s="8"/>
      <c r="C760" s="5"/>
      <c r="D760" s="5"/>
      <c r="E760" s="5"/>
    </row>
    <row r="761" ht="15.75" customHeight="1">
      <c r="A761" s="8"/>
      <c r="C761" s="5"/>
      <c r="D761" s="5"/>
      <c r="E761" s="5"/>
    </row>
    <row r="762" ht="15.75" customHeight="1">
      <c r="A762" s="8"/>
      <c r="C762" s="5"/>
      <c r="D762" s="5"/>
      <c r="E762" s="5"/>
    </row>
    <row r="763" ht="15.75" customHeight="1">
      <c r="A763" s="8"/>
      <c r="C763" s="5"/>
      <c r="D763" s="5"/>
      <c r="E763" s="5"/>
    </row>
    <row r="764" ht="15.75" customHeight="1">
      <c r="A764" s="8"/>
      <c r="C764" s="5"/>
      <c r="D764" s="5"/>
      <c r="E764" s="5"/>
    </row>
    <row r="765" ht="15.75" customHeight="1">
      <c r="A765" s="8"/>
      <c r="C765" s="5"/>
      <c r="D765" s="5"/>
      <c r="E765" s="5"/>
    </row>
    <row r="766" ht="15.75" customHeight="1">
      <c r="A766" s="8"/>
      <c r="C766" s="5"/>
      <c r="D766" s="5"/>
      <c r="E766" s="5"/>
    </row>
    <row r="767" ht="15.75" customHeight="1">
      <c r="A767" s="8"/>
      <c r="C767" s="5"/>
      <c r="D767" s="5"/>
      <c r="E767" s="5"/>
    </row>
    <row r="768" ht="15.75" customHeight="1">
      <c r="A768" s="8"/>
      <c r="C768" s="5"/>
      <c r="D768" s="5"/>
      <c r="E768" s="5"/>
    </row>
    <row r="769" ht="15.75" customHeight="1">
      <c r="A769" s="8"/>
      <c r="C769" s="5"/>
      <c r="D769" s="5"/>
      <c r="E769" s="5"/>
    </row>
    <row r="770" ht="15.75" customHeight="1">
      <c r="A770" s="8"/>
      <c r="C770" s="5"/>
      <c r="D770" s="5"/>
      <c r="E770" s="5"/>
    </row>
    <row r="771" ht="15.75" customHeight="1">
      <c r="A771" s="8"/>
      <c r="C771" s="5"/>
      <c r="D771" s="5"/>
      <c r="E771" s="5"/>
    </row>
    <row r="772" ht="15.75" customHeight="1">
      <c r="A772" s="8"/>
      <c r="C772" s="5"/>
      <c r="D772" s="5"/>
      <c r="E772" s="5"/>
    </row>
    <row r="773" ht="15.75" customHeight="1">
      <c r="A773" s="8"/>
      <c r="C773" s="5"/>
      <c r="D773" s="5"/>
      <c r="E773" s="5"/>
    </row>
    <row r="774" ht="15.75" customHeight="1">
      <c r="A774" s="8"/>
      <c r="C774" s="5"/>
      <c r="D774" s="5"/>
      <c r="E774" s="5"/>
    </row>
    <row r="775" ht="15.75" customHeight="1">
      <c r="A775" s="8"/>
      <c r="C775" s="5"/>
      <c r="D775" s="5"/>
      <c r="E775" s="5"/>
    </row>
    <row r="776" ht="15.75" customHeight="1">
      <c r="A776" s="8"/>
      <c r="C776" s="5"/>
      <c r="D776" s="5"/>
      <c r="E776" s="5"/>
    </row>
    <row r="777" ht="15.75" customHeight="1">
      <c r="A777" s="8"/>
      <c r="C777" s="5"/>
      <c r="D777" s="5"/>
      <c r="E777" s="5"/>
    </row>
    <row r="778" ht="15.75" customHeight="1">
      <c r="A778" s="8"/>
      <c r="C778" s="5"/>
      <c r="D778" s="5"/>
      <c r="E778" s="5"/>
    </row>
    <row r="779" ht="15.75" customHeight="1">
      <c r="A779" s="8"/>
      <c r="C779" s="5"/>
      <c r="D779" s="5"/>
      <c r="E779" s="5"/>
    </row>
    <row r="780" ht="15.75" customHeight="1">
      <c r="A780" s="8"/>
      <c r="C780" s="5"/>
      <c r="D780" s="5"/>
      <c r="E780" s="5"/>
    </row>
    <row r="781" ht="15.75" customHeight="1">
      <c r="A781" s="8"/>
      <c r="C781" s="5"/>
      <c r="D781" s="5"/>
      <c r="E781" s="5"/>
    </row>
    <row r="782" ht="15.75" customHeight="1">
      <c r="A782" s="8"/>
      <c r="C782" s="5"/>
      <c r="D782" s="5"/>
      <c r="E782" s="5"/>
    </row>
    <row r="783" ht="15.75" customHeight="1">
      <c r="A783" s="8"/>
      <c r="C783" s="5"/>
      <c r="D783" s="5"/>
      <c r="E783" s="5"/>
    </row>
    <row r="784" ht="15.75" customHeight="1">
      <c r="A784" s="8"/>
      <c r="C784" s="5"/>
      <c r="D784" s="5"/>
      <c r="E784" s="5"/>
    </row>
    <row r="785" ht="15.75" customHeight="1">
      <c r="A785" s="8"/>
      <c r="C785" s="5"/>
      <c r="D785" s="5"/>
      <c r="E785" s="5"/>
    </row>
    <row r="786" ht="15.75" customHeight="1">
      <c r="A786" s="8"/>
      <c r="C786" s="5"/>
      <c r="D786" s="5"/>
      <c r="E786" s="5"/>
    </row>
    <row r="787" ht="15.75" customHeight="1">
      <c r="A787" s="8"/>
      <c r="C787" s="5"/>
      <c r="D787" s="5"/>
      <c r="E787" s="5"/>
    </row>
    <row r="788" ht="15.75" customHeight="1">
      <c r="A788" s="8"/>
      <c r="C788" s="5"/>
      <c r="D788" s="5"/>
      <c r="E788" s="5"/>
    </row>
    <row r="789" ht="15.75" customHeight="1">
      <c r="A789" s="8"/>
      <c r="C789" s="5"/>
      <c r="D789" s="5"/>
      <c r="E789" s="5"/>
    </row>
    <row r="790" ht="15.75" customHeight="1">
      <c r="A790" s="8"/>
      <c r="C790" s="5"/>
      <c r="D790" s="5"/>
      <c r="E790" s="5"/>
    </row>
    <row r="791" ht="15.75" customHeight="1">
      <c r="A791" s="8"/>
      <c r="C791" s="5"/>
      <c r="D791" s="5"/>
      <c r="E791" s="5"/>
    </row>
    <row r="792" ht="15.75" customHeight="1">
      <c r="A792" s="8"/>
      <c r="C792" s="5"/>
      <c r="D792" s="5"/>
      <c r="E792" s="5"/>
    </row>
    <row r="793" ht="15.75" customHeight="1">
      <c r="A793" s="8"/>
      <c r="C793" s="5"/>
      <c r="D793" s="5"/>
      <c r="E793" s="5"/>
    </row>
    <row r="794" ht="15.75" customHeight="1">
      <c r="A794" s="8"/>
      <c r="C794" s="5"/>
      <c r="D794" s="5"/>
      <c r="E794" s="5"/>
    </row>
    <row r="795" ht="15.75" customHeight="1">
      <c r="A795" s="8"/>
      <c r="C795" s="5"/>
      <c r="D795" s="5"/>
      <c r="E795" s="5"/>
    </row>
    <row r="796" ht="15.75" customHeight="1">
      <c r="A796" s="8"/>
      <c r="C796" s="5"/>
      <c r="D796" s="5"/>
      <c r="E796" s="5"/>
    </row>
    <row r="797" ht="15.75" customHeight="1">
      <c r="A797" s="8"/>
      <c r="C797" s="5"/>
      <c r="D797" s="5"/>
      <c r="E797" s="5"/>
    </row>
    <row r="798" ht="15.75" customHeight="1">
      <c r="A798" s="8"/>
      <c r="C798" s="5"/>
      <c r="D798" s="5"/>
      <c r="E798" s="5"/>
    </row>
    <row r="799" ht="15.75" customHeight="1">
      <c r="A799" s="8"/>
      <c r="C799" s="5"/>
      <c r="D799" s="5"/>
      <c r="E799" s="5"/>
    </row>
    <row r="800" ht="15.75" customHeight="1">
      <c r="A800" s="8"/>
      <c r="C800" s="5"/>
      <c r="D800" s="5"/>
      <c r="E800" s="5"/>
    </row>
    <row r="801" ht="15.75" customHeight="1">
      <c r="A801" s="8"/>
      <c r="C801" s="5"/>
      <c r="D801" s="5"/>
      <c r="E801" s="5"/>
    </row>
    <row r="802" ht="15.75" customHeight="1">
      <c r="A802" s="8"/>
      <c r="C802" s="5"/>
      <c r="D802" s="5"/>
      <c r="E802" s="5"/>
    </row>
    <row r="803" ht="15.75" customHeight="1">
      <c r="A803" s="8"/>
      <c r="C803" s="5"/>
      <c r="D803" s="5"/>
      <c r="E803" s="5"/>
    </row>
    <row r="804" ht="15.75" customHeight="1">
      <c r="A804" s="8"/>
      <c r="C804" s="5"/>
      <c r="D804" s="5"/>
      <c r="E804" s="5"/>
    </row>
    <row r="805" ht="15.75" customHeight="1">
      <c r="A805" s="8"/>
      <c r="C805" s="5"/>
      <c r="D805" s="5"/>
      <c r="E805" s="5"/>
    </row>
    <row r="806" ht="15.75" customHeight="1">
      <c r="A806" s="8"/>
      <c r="C806" s="5"/>
      <c r="D806" s="5"/>
      <c r="E806" s="5"/>
    </row>
    <row r="807" ht="15.75" customHeight="1">
      <c r="A807" s="8"/>
      <c r="C807" s="5"/>
      <c r="D807" s="5"/>
      <c r="E807" s="5"/>
    </row>
    <row r="808" ht="15.75" customHeight="1">
      <c r="A808" s="8"/>
      <c r="C808" s="5"/>
      <c r="D808" s="5"/>
      <c r="E808" s="5"/>
    </row>
    <row r="809" ht="15.75" customHeight="1">
      <c r="A809" s="8"/>
      <c r="C809" s="5"/>
      <c r="D809" s="5"/>
      <c r="E809" s="5"/>
    </row>
    <row r="810" ht="15.75" customHeight="1">
      <c r="A810" s="8"/>
      <c r="C810" s="5"/>
      <c r="D810" s="5"/>
      <c r="E810" s="5"/>
    </row>
    <row r="811" ht="15.75" customHeight="1">
      <c r="A811" s="8"/>
      <c r="C811" s="5"/>
      <c r="D811" s="5"/>
      <c r="E811" s="5"/>
    </row>
    <row r="812" ht="15.75" customHeight="1">
      <c r="A812" s="8"/>
      <c r="C812" s="5"/>
      <c r="D812" s="5"/>
      <c r="E812" s="5"/>
    </row>
    <row r="813" ht="15.75" customHeight="1">
      <c r="A813" s="8"/>
      <c r="C813" s="5"/>
      <c r="D813" s="5"/>
      <c r="E813" s="5"/>
    </row>
    <row r="814" ht="15.75" customHeight="1">
      <c r="A814" s="8"/>
      <c r="C814" s="5"/>
      <c r="D814" s="5"/>
      <c r="E814" s="5"/>
    </row>
    <row r="815" ht="15.75" customHeight="1">
      <c r="A815" s="8"/>
      <c r="C815" s="5"/>
      <c r="D815" s="5"/>
      <c r="E815" s="5"/>
    </row>
    <row r="816" ht="15.75" customHeight="1">
      <c r="A816" s="8"/>
      <c r="C816" s="5"/>
      <c r="D816" s="5"/>
      <c r="E816" s="5"/>
    </row>
    <row r="817" ht="15.75" customHeight="1">
      <c r="A817" s="8"/>
      <c r="C817" s="5"/>
      <c r="D817" s="5"/>
      <c r="E817" s="5"/>
    </row>
    <row r="818" ht="15.75" customHeight="1">
      <c r="A818" s="8"/>
      <c r="C818" s="5"/>
      <c r="D818" s="5"/>
      <c r="E818" s="5"/>
    </row>
    <row r="819" ht="15.75" customHeight="1">
      <c r="A819" s="8"/>
      <c r="C819" s="5"/>
      <c r="D819" s="5"/>
      <c r="E819" s="5"/>
    </row>
    <row r="820" ht="15.75" customHeight="1">
      <c r="A820" s="8"/>
      <c r="C820" s="5"/>
      <c r="D820" s="5"/>
      <c r="E820" s="5"/>
    </row>
    <row r="821" ht="15.75" customHeight="1">
      <c r="A821" s="8"/>
      <c r="C821" s="5"/>
      <c r="D821" s="5"/>
      <c r="E821" s="5"/>
    </row>
    <row r="822" ht="15.75" customHeight="1">
      <c r="A822" s="8"/>
      <c r="C822" s="5"/>
      <c r="D822" s="5"/>
      <c r="E822" s="5"/>
    </row>
    <row r="823" ht="15.75" customHeight="1">
      <c r="A823" s="8"/>
      <c r="C823" s="5"/>
      <c r="D823" s="5"/>
      <c r="E823" s="5"/>
    </row>
    <row r="824" ht="15.75" customHeight="1">
      <c r="A824" s="8"/>
      <c r="C824" s="5"/>
      <c r="D824" s="5"/>
      <c r="E824" s="5"/>
    </row>
    <row r="825" ht="15.75" customHeight="1">
      <c r="A825" s="8"/>
      <c r="C825" s="5"/>
      <c r="D825" s="5"/>
      <c r="E825" s="5"/>
    </row>
    <row r="826" ht="15.75" customHeight="1">
      <c r="A826" s="8"/>
      <c r="C826" s="5"/>
      <c r="D826" s="5"/>
      <c r="E826" s="5"/>
    </row>
    <row r="827" ht="15.75" customHeight="1">
      <c r="A827" s="8"/>
      <c r="C827" s="5"/>
      <c r="D827" s="5"/>
      <c r="E827" s="5"/>
    </row>
    <row r="828" ht="15.75" customHeight="1">
      <c r="A828" s="8"/>
      <c r="C828" s="5"/>
      <c r="D828" s="5"/>
      <c r="E828" s="5"/>
    </row>
    <row r="829" ht="15.75" customHeight="1">
      <c r="A829" s="8"/>
      <c r="C829" s="5"/>
      <c r="D829" s="5"/>
      <c r="E829" s="5"/>
    </row>
    <row r="830" ht="15.75" customHeight="1">
      <c r="A830" s="8"/>
      <c r="C830" s="5"/>
      <c r="D830" s="5"/>
      <c r="E830" s="5"/>
    </row>
    <row r="831" ht="15.75" customHeight="1">
      <c r="A831" s="8"/>
      <c r="C831" s="5"/>
      <c r="D831" s="5"/>
      <c r="E831" s="5"/>
    </row>
    <row r="832" ht="15.75" customHeight="1">
      <c r="A832" s="8"/>
      <c r="C832" s="5"/>
      <c r="D832" s="5"/>
      <c r="E832" s="5"/>
    </row>
    <row r="833" ht="15.75" customHeight="1">
      <c r="A833" s="8"/>
      <c r="C833" s="5"/>
      <c r="D833" s="5"/>
      <c r="E833" s="5"/>
    </row>
    <row r="834" ht="15.75" customHeight="1">
      <c r="A834" s="8"/>
      <c r="C834" s="5"/>
      <c r="D834" s="5"/>
      <c r="E834" s="5"/>
    </row>
    <row r="835" ht="15.75" customHeight="1">
      <c r="A835" s="8"/>
      <c r="C835" s="5"/>
      <c r="D835" s="5"/>
      <c r="E835" s="5"/>
    </row>
    <row r="836" ht="15.75" customHeight="1">
      <c r="A836" s="8"/>
      <c r="C836" s="5"/>
      <c r="D836" s="5"/>
      <c r="E836" s="5"/>
    </row>
    <row r="837" ht="15.75" customHeight="1">
      <c r="A837" s="8"/>
      <c r="C837" s="5"/>
      <c r="D837" s="5"/>
      <c r="E837" s="5"/>
    </row>
    <row r="838" ht="15.75" customHeight="1">
      <c r="A838" s="8"/>
      <c r="C838" s="5"/>
      <c r="D838" s="5"/>
      <c r="E838" s="5"/>
    </row>
    <row r="839" ht="15.75" customHeight="1">
      <c r="A839" s="8"/>
      <c r="C839" s="5"/>
      <c r="D839" s="5"/>
      <c r="E839" s="5"/>
    </row>
    <row r="840" ht="15.75" customHeight="1">
      <c r="A840" s="8"/>
      <c r="C840" s="5"/>
      <c r="D840" s="5"/>
      <c r="E840" s="5"/>
    </row>
    <row r="841" ht="15.75" customHeight="1">
      <c r="A841" s="8"/>
      <c r="C841" s="5"/>
      <c r="D841" s="5"/>
      <c r="E841" s="5"/>
    </row>
    <row r="842" ht="15.75" customHeight="1">
      <c r="A842" s="8"/>
      <c r="C842" s="5"/>
      <c r="D842" s="5"/>
      <c r="E842" s="5"/>
    </row>
    <row r="843" ht="15.75" customHeight="1">
      <c r="A843" s="8"/>
      <c r="C843" s="5"/>
      <c r="D843" s="5"/>
      <c r="E843" s="5"/>
    </row>
    <row r="844" ht="15.75" customHeight="1">
      <c r="A844" s="8"/>
      <c r="C844" s="5"/>
      <c r="D844" s="5"/>
      <c r="E844" s="5"/>
    </row>
    <row r="845" ht="15.75" customHeight="1">
      <c r="A845" s="8"/>
      <c r="C845" s="5"/>
      <c r="D845" s="5"/>
      <c r="E845" s="5"/>
    </row>
    <row r="846" ht="15.75" customHeight="1">
      <c r="A846" s="8"/>
      <c r="C846" s="5"/>
      <c r="D846" s="5"/>
      <c r="E846" s="5"/>
    </row>
    <row r="847" ht="15.75" customHeight="1">
      <c r="A847" s="8"/>
      <c r="C847" s="5"/>
      <c r="D847" s="5"/>
      <c r="E847" s="5"/>
    </row>
    <row r="848" ht="15.75" customHeight="1">
      <c r="A848" s="8"/>
      <c r="C848" s="5"/>
      <c r="D848" s="5"/>
      <c r="E848" s="5"/>
    </row>
    <row r="849" ht="15.75" customHeight="1">
      <c r="A849" s="8"/>
      <c r="C849" s="5"/>
      <c r="D849" s="5"/>
      <c r="E849" s="5"/>
    </row>
    <row r="850" ht="15.75" customHeight="1">
      <c r="A850" s="8"/>
      <c r="C850" s="5"/>
      <c r="D850" s="5"/>
      <c r="E850" s="5"/>
    </row>
    <row r="851" ht="15.75" customHeight="1">
      <c r="A851" s="8"/>
      <c r="C851" s="5"/>
      <c r="D851" s="5"/>
      <c r="E851" s="5"/>
    </row>
    <row r="852" ht="15.75" customHeight="1">
      <c r="A852" s="8"/>
      <c r="C852" s="5"/>
      <c r="D852" s="5"/>
      <c r="E852" s="5"/>
    </row>
    <row r="853" ht="15.75" customHeight="1">
      <c r="A853" s="8"/>
      <c r="C853" s="5"/>
      <c r="D853" s="5"/>
      <c r="E853" s="5"/>
    </row>
    <row r="854" ht="15.75" customHeight="1">
      <c r="A854" s="8"/>
      <c r="C854" s="5"/>
      <c r="D854" s="5"/>
      <c r="E854" s="5"/>
    </row>
    <row r="855" ht="15.75" customHeight="1">
      <c r="A855" s="8"/>
      <c r="C855" s="5"/>
      <c r="D855" s="5"/>
      <c r="E855" s="5"/>
    </row>
    <row r="856" ht="15.75" customHeight="1">
      <c r="A856" s="8"/>
      <c r="C856" s="5"/>
      <c r="D856" s="5"/>
      <c r="E856" s="5"/>
    </row>
    <row r="857" ht="15.75" customHeight="1">
      <c r="A857" s="8"/>
      <c r="C857" s="5"/>
      <c r="D857" s="5"/>
      <c r="E857" s="5"/>
    </row>
    <row r="858" ht="15.75" customHeight="1">
      <c r="A858" s="8"/>
      <c r="C858" s="5"/>
      <c r="D858" s="5"/>
      <c r="E858" s="5"/>
    </row>
    <row r="859" ht="15.75" customHeight="1">
      <c r="A859" s="8"/>
      <c r="C859" s="5"/>
      <c r="D859" s="5"/>
      <c r="E859" s="5"/>
    </row>
    <row r="860" ht="15.75" customHeight="1">
      <c r="A860" s="8"/>
      <c r="C860" s="5"/>
      <c r="D860" s="5"/>
      <c r="E860" s="5"/>
    </row>
    <row r="861" ht="15.75" customHeight="1">
      <c r="A861" s="8"/>
      <c r="C861" s="5"/>
      <c r="D861" s="5"/>
      <c r="E861" s="5"/>
    </row>
    <row r="862" ht="15.75" customHeight="1">
      <c r="A862" s="8"/>
      <c r="C862" s="5"/>
      <c r="D862" s="5"/>
      <c r="E862" s="5"/>
    </row>
    <row r="863" ht="15.75" customHeight="1">
      <c r="A863" s="8"/>
      <c r="C863" s="5"/>
      <c r="D863" s="5"/>
      <c r="E863" s="5"/>
    </row>
    <row r="864" ht="15.75" customHeight="1">
      <c r="A864" s="8"/>
      <c r="C864" s="5"/>
      <c r="D864" s="5"/>
      <c r="E864" s="5"/>
    </row>
    <row r="865" ht="15.75" customHeight="1">
      <c r="A865" s="8"/>
      <c r="C865" s="5"/>
      <c r="D865" s="5"/>
      <c r="E865" s="5"/>
    </row>
    <row r="866" ht="15.75" customHeight="1">
      <c r="A866" s="8"/>
      <c r="C866" s="5"/>
      <c r="D866" s="5"/>
      <c r="E866" s="5"/>
    </row>
    <row r="867" ht="15.75" customHeight="1">
      <c r="A867" s="8"/>
      <c r="C867" s="5"/>
      <c r="D867" s="5"/>
      <c r="E867" s="5"/>
    </row>
    <row r="868" ht="15.75" customHeight="1">
      <c r="A868" s="8"/>
      <c r="C868" s="5"/>
      <c r="D868" s="5"/>
      <c r="E868" s="5"/>
    </row>
    <row r="869" ht="15.75" customHeight="1">
      <c r="A869" s="8"/>
      <c r="C869" s="5"/>
      <c r="D869" s="5"/>
      <c r="E869" s="5"/>
    </row>
    <row r="870" ht="15.75" customHeight="1">
      <c r="A870" s="8"/>
      <c r="C870" s="5"/>
      <c r="D870" s="5"/>
      <c r="E870" s="5"/>
    </row>
    <row r="871" ht="15.75" customHeight="1">
      <c r="A871" s="8"/>
      <c r="C871" s="5"/>
      <c r="D871" s="5"/>
      <c r="E871" s="5"/>
    </row>
    <row r="872" ht="15.75" customHeight="1">
      <c r="A872" s="8"/>
      <c r="C872" s="5"/>
      <c r="D872" s="5"/>
      <c r="E872" s="5"/>
    </row>
    <row r="873" ht="15.75" customHeight="1">
      <c r="A873" s="8"/>
      <c r="C873" s="5"/>
      <c r="D873" s="5"/>
      <c r="E873" s="5"/>
    </row>
    <row r="874" ht="15.75" customHeight="1">
      <c r="A874" s="8"/>
      <c r="C874" s="5"/>
      <c r="D874" s="5"/>
      <c r="E874" s="5"/>
    </row>
    <row r="875" ht="15.75" customHeight="1">
      <c r="A875" s="8"/>
      <c r="C875" s="5"/>
      <c r="D875" s="5"/>
      <c r="E875" s="5"/>
    </row>
    <row r="876" ht="15.75" customHeight="1">
      <c r="A876" s="8"/>
      <c r="C876" s="5"/>
      <c r="D876" s="5"/>
      <c r="E876" s="5"/>
    </row>
    <row r="877" ht="15.75" customHeight="1">
      <c r="A877" s="8"/>
      <c r="C877" s="5"/>
      <c r="D877" s="5"/>
      <c r="E877" s="5"/>
    </row>
    <row r="878" ht="15.75" customHeight="1">
      <c r="A878" s="8"/>
      <c r="C878" s="5"/>
      <c r="D878" s="5"/>
      <c r="E878" s="5"/>
    </row>
    <row r="879" ht="15.75" customHeight="1">
      <c r="A879" s="8"/>
      <c r="C879" s="5"/>
      <c r="D879" s="5"/>
      <c r="E879" s="5"/>
    </row>
    <row r="880" ht="15.75" customHeight="1">
      <c r="A880" s="8"/>
      <c r="C880" s="5"/>
      <c r="D880" s="5"/>
      <c r="E880" s="5"/>
    </row>
    <row r="881" ht="15.75" customHeight="1">
      <c r="A881" s="8"/>
      <c r="C881" s="5"/>
      <c r="D881" s="5"/>
      <c r="E881" s="5"/>
    </row>
    <row r="882" ht="15.75" customHeight="1">
      <c r="A882" s="8"/>
      <c r="C882" s="5"/>
      <c r="D882" s="5"/>
      <c r="E882" s="5"/>
    </row>
    <row r="883" ht="15.75" customHeight="1">
      <c r="A883" s="8"/>
      <c r="C883" s="5"/>
      <c r="D883" s="5"/>
      <c r="E883" s="5"/>
    </row>
    <row r="884" ht="15.75" customHeight="1">
      <c r="A884" s="8"/>
      <c r="C884" s="5"/>
      <c r="D884" s="5"/>
      <c r="E884" s="5"/>
    </row>
    <row r="885" ht="15.75" customHeight="1">
      <c r="A885" s="8"/>
      <c r="C885" s="5"/>
      <c r="D885" s="5"/>
      <c r="E885" s="5"/>
    </row>
    <row r="886" ht="15.75" customHeight="1">
      <c r="A886" s="8"/>
      <c r="C886" s="5"/>
      <c r="D886" s="5"/>
      <c r="E886" s="5"/>
    </row>
    <row r="887" ht="15.75" customHeight="1">
      <c r="A887" s="8"/>
      <c r="C887" s="5"/>
      <c r="D887" s="5"/>
      <c r="E887" s="5"/>
    </row>
    <row r="888" ht="15.75" customHeight="1">
      <c r="A888" s="8"/>
      <c r="C888" s="5"/>
      <c r="D888" s="5"/>
      <c r="E888" s="5"/>
    </row>
    <row r="889" ht="15.75" customHeight="1">
      <c r="A889" s="8"/>
      <c r="C889" s="5"/>
      <c r="D889" s="5"/>
      <c r="E889" s="5"/>
    </row>
    <row r="890" ht="15.75" customHeight="1">
      <c r="A890" s="8"/>
      <c r="C890" s="5"/>
      <c r="D890" s="5"/>
      <c r="E890" s="5"/>
    </row>
    <row r="891" ht="15.75" customHeight="1">
      <c r="A891" s="8"/>
      <c r="C891" s="5"/>
      <c r="D891" s="5"/>
      <c r="E891" s="5"/>
    </row>
    <row r="892" ht="15.75" customHeight="1">
      <c r="A892" s="8"/>
      <c r="C892" s="5"/>
      <c r="D892" s="5"/>
      <c r="E892" s="5"/>
    </row>
    <row r="893" ht="15.75" customHeight="1">
      <c r="A893" s="8"/>
      <c r="C893" s="5"/>
      <c r="D893" s="5"/>
      <c r="E893" s="5"/>
    </row>
    <row r="894" ht="15.75" customHeight="1">
      <c r="A894" s="8"/>
      <c r="C894" s="5"/>
      <c r="D894" s="5"/>
      <c r="E894" s="5"/>
    </row>
    <row r="895" ht="15.75" customHeight="1">
      <c r="A895" s="8"/>
      <c r="C895" s="5"/>
      <c r="D895" s="5"/>
      <c r="E895" s="5"/>
    </row>
    <row r="896" ht="15.75" customHeight="1">
      <c r="A896" s="8"/>
      <c r="C896" s="5"/>
      <c r="D896" s="5"/>
      <c r="E896" s="5"/>
    </row>
    <row r="897" ht="15.75" customHeight="1">
      <c r="A897" s="8"/>
      <c r="C897" s="5"/>
      <c r="D897" s="5"/>
      <c r="E897" s="5"/>
    </row>
    <row r="898" ht="15.75" customHeight="1">
      <c r="A898" s="8"/>
      <c r="C898" s="5"/>
      <c r="D898" s="5"/>
      <c r="E898" s="5"/>
    </row>
    <row r="899" ht="15.75" customHeight="1">
      <c r="A899" s="8"/>
      <c r="C899" s="5"/>
      <c r="D899" s="5"/>
      <c r="E899" s="5"/>
    </row>
    <row r="900" ht="15.75" customHeight="1">
      <c r="A900" s="8"/>
      <c r="C900" s="5"/>
      <c r="D900" s="5"/>
      <c r="E900" s="5"/>
    </row>
    <row r="901" ht="15.75" customHeight="1">
      <c r="A901" s="8"/>
      <c r="C901" s="5"/>
      <c r="D901" s="5"/>
      <c r="E901" s="5"/>
    </row>
    <row r="902" ht="15.75" customHeight="1">
      <c r="A902" s="8"/>
      <c r="C902" s="5"/>
      <c r="D902" s="5"/>
      <c r="E902" s="5"/>
    </row>
    <row r="903" ht="15.75" customHeight="1">
      <c r="A903" s="8"/>
      <c r="C903" s="5"/>
      <c r="D903" s="5"/>
      <c r="E903" s="5"/>
    </row>
    <row r="904" ht="15.75" customHeight="1">
      <c r="A904" s="8"/>
      <c r="C904" s="5"/>
      <c r="D904" s="5"/>
      <c r="E904" s="5"/>
    </row>
    <row r="905" ht="15.75" customHeight="1">
      <c r="A905" s="8"/>
      <c r="C905" s="5"/>
      <c r="D905" s="5"/>
      <c r="E905" s="5"/>
    </row>
    <row r="906" ht="15.75" customHeight="1">
      <c r="A906" s="8"/>
      <c r="C906" s="5"/>
      <c r="D906" s="5"/>
      <c r="E906" s="5"/>
    </row>
    <row r="907" ht="15.75" customHeight="1">
      <c r="A907" s="8"/>
      <c r="C907" s="5"/>
      <c r="D907" s="5"/>
      <c r="E907" s="5"/>
    </row>
    <row r="908" ht="15.75" customHeight="1">
      <c r="A908" s="8"/>
      <c r="C908" s="5"/>
      <c r="D908" s="5"/>
      <c r="E908" s="5"/>
    </row>
    <row r="909" ht="15.75" customHeight="1">
      <c r="A909" s="8"/>
      <c r="C909" s="5"/>
      <c r="D909" s="5"/>
      <c r="E909" s="5"/>
    </row>
    <row r="910" ht="15.75" customHeight="1">
      <c r="A910" s="8"/>
      <c r="C910" s="5"/>
      <c r="D910" s="5"/>
      <c r="E910" s="5"/>
    </row>
    <row r="911" ht="15.75" customHeight="1">
      <c r="A911" s="8"/>
      <c r="C911" s="5"/>
      <c r="D911" s="5"/>
      <c r="E911" s="5"/>
    </row>
    <row r="912" ht="15.75" customHeight="1">
      <c r="A912" s="8"/>
      <c r="C912" s="5"/>
      <c r="D912" s="5"/>
      <c r="E912" s="5"/>
    </row>
    <row r="913" ht="15.75" customHeight="1">
      <c r="A913" s="8"/>
      <c r="C913" s="5"/>
      <c r="D913" s="5"/>
      <c r="E913" s="5"/>
    </row>
    <row r="914" ht="15.75" customHeight="1">
      <c r="A914" s="8"/>
      <c r="C914" s="5"/>
      <c r="D914" s="5"/>
      <c r="E914" s="5"/>
    </row>
    <row r="915" ht="15.75" customHeight="1">
      <c r="A915" s="8"/>
      <c r="C915" s="5"/>
      <c r="D915" s="5"/>
      <c r="E915" s="5"/>
    </row>
    <row r="916" ht="15.75" customHeight="1">
      <c r="A916" s="8"/>
      <c r="C916" s="5"/>
      <c r="D916" s="5"/>
      <c r="E916" s="5"/>
    </row>
    <row r="917" ht="15.75" customHeight="1">
      <c r="A917" s="8"/>
      <c r="C917" s="5"/>
      <c r="D917" s="5"/>
      <c r="E917" s="5"/>
    </row>
    <row r="918" ht="15.75" customHeight="1">
      <c r="A918" s="8"/>
      <c r="C918" s="5"/>
      <c r="D918" s="5"/>
      <c r="E918" s="5"/>
    </row>
    <row r="919" ht="15.75" customHeight="1">
      <c r="A919" s="8"/>
      <c r="C919" s="5"/>
      <c r="D919" s="5"/>
      <c r="E919" s="5"/>
    </row>
    <row r="920" ht="15.75" customHeight="1">
      <c r="A920" s="8"/>
      <c r="C920" s="5"/>
      <c r="D920" s="5"/>
      <c r="E920" s="5"/>
    </row>
    <row r="921" ht="15.75" customHeight="1">
      <c r="A921" s="8"/>
      <c r="C921" s="5"/>
      <c r="D921" s="5"/>
      <c r="E921" s="5"/>
    </row>
    <row r="922" ht="15.75" customHeight="1">
      <c r="A922" s="8"/>
      <c r="C922" s="5"/>
      <c r="D922" s="5"/>
      <c r="E922" s="5"/>
    </row>
    <row r="923" ht="15.75" customHeight="1">
      <c r="A923" s="8"/>
      <c r="C923" s="5"/>
      <c r="D923" s="5"/>
      <c r="E923" s="5"/>
    </row>
    <row r="924" ht="15.75" customHeight="1">
      <c r="A924" s="8"/>
      <c r="C924" s="5"/>
      <c r="D924" s="5"/>
      <c r="E924" s="5"/>
    </row>
    <row r="925" ht="15.75" customHeight="1">
      <c r="A925" s="8"/>
      <c r="C925" s="5"/>
      <c r="D925" s="5"/>
      <c r="E925" s="5"/>
    </row>
    <row r="926" ht="15.75" customHeight="1">
      <c r="A926" s="8"/>
      <c r="C926" s="5"/>
      <c r="D926" s="5"/>
      <c r="E926" s="5"/>
    </row>
    <row r="927" ht="15.75" customHeight="1">
      <c r="A927" s="8"/>
      <c r="C927" s="5"/>
      <c r="D927" s="5"/>
      <c r="E927" s="5"/>
    </row>
    <row r="928" ht="15.75" customHeight="1">
      <c r="A928" s="8"/>
      <c r="C928" s="5"/>
      <c r="D928" s="5"/>
      <c r="E928" s="5"/>
    </row>
    <row r="929" ht="15.75" customHeight="1">
      <c r="A929" s="8"/>
      <c r="C929" s="5"/>
      <c r="D929" s="5"/>
      <c r="E929" s="5"/>
    </row>
    <row r="930" ht="15.75" customHeight="1">
      <c r="A930" s="8"/>
      <c r="C930" s="5"/>
      <c r="D930" s="5"/>
      <c r="E930" s="5"/>
    </row>
    <row r="931" ht="15.75" customHeight="1">
      <c r="A931" s="8"/>
      <c r="C931" s="5"/>
      <c r="D931" s="5"/>
      <c r="E931" s="5"/>
    </row>
    <row r="932" ht="15.75" customHeight="1">
      <c r="A932" s="8"/>
      <c r="C932" s="5"/>
      <c r="D932" s="5"/>
      <c r="E932" s="5"/>
    </row>
    <row r="933" ht="15.75" customHeight="1">
      <c r="A933" s="8"/>
      <c r="C933" s="5"/>
      <c r="D933" s="5"/>
      <c r="E933" s="5"/>
    </row>
    <row r="934" ht="15.75" customHeight="1">
      <c r="A934" s="8"/>
      <c r="C934" s="5"/>
      <c r="D934" s="5"/>
      <c r="E934" s="5"/>
    </row>
    <row r="935" ht="15.75" customHeight="1">
      <c r="A935" s="8"/>
      <c r="C935" s="5"/>
      <c r="D935" s="5"/>
      <c r="E935" s="5"/>
    </row>
    <row r="936" ht="15.75" customHeight="1">
      <c r="A936" s="8"/>
      <c r="C936" s="5"/>
      <c r="D936" s="5"/>
      <c r="E936" s="5"/>
    </row>
    <row r="937" ht="15.75" customHeight="1">
      <c r="A937" s="8"/>
      <c r="C937" s="5"/>
      <c r="D937" s="5"/>
      <c r="E937" s="5"/>
    </row>
    <row r="938" ht="15.75" customHeight="1">
      <c r="A938" s="8"/>
      <c r="C938" s="5"/>
      <c r="D938" s="5"/>
      <c r="E938" s="5"/>
    </row>
    <row r="939" ht="15.75" customHeight="1">
      <c r="A939" s="8"/>
      <c r="C939" s="5"/>
      <c r="D939" s="5"/>
      <c r="E939" s="5"/>
    </row>
    <row r="940" ht="15.75" customHeight="1">
      <c r="A940" s="8"/>
      <c r="C940" s="5"/>
      <c r="D940" s="5"/>
      <c r="E940" s="5"/>
    </row>
    <row r="941" ht="15.75" customHeight="1">
      <c r="A941" s="8"/>
      <c r="C941" s="5"/>
      <c r="D941" s="5"/>
      <c r="E941" s="5"/>
    </row>
    <row r="942" ht="15.75" customHeight="1">
      <c r="A942" s="8"/>
      <c r="C942" s="5"/>
      <c r="D942" s="5"/>
      <c r="E942" s="5"/>
    </row>
    <row r="943" ht="15.75" customHeight="1">
      <c r="A943" s="8"/>
      <c r="C943" s="5"/>
      <c r="D943" s="5"/>
      <c r="E943" s="5"/>
    </row>
    <row r="944" ht="15.75" customHeight="1">
      <c r="A944" s="8"/>
      <c r="C944" s="5"/>
      <c r="D944" s="5"/>
      <c r="E944" s="5"/>
    </row>
    <row r="945" ht="15.75" customHeight="1">
      <c r="A945" s="8"/>
      <c r="C945" s="5"/>
      <c r="D945" s="5"/>
      <c r="E945" s="5"/>
    </row>
    <row r="946" ht="15.75" customHeight="1">
      <c r="A946" s="8"/>
      <c r="C946" s="5"/>
      <c r="D946" s="5"/>
      <c r="E946" s="5"/>
    </row>
    <row r="947" ht="15.75" customHeight="1">
      <c r="A947" s="8"/>
      <c r="C947" s="5"/>
      <c r="D947" s="5"/>
      <c r="E947" s="5"/>
    </row>
    <row r="948" ht="15.75" customHeight="1">
      <c r="A948" s="8"/>
      <c r="C948" s="5"/>
      <c r="D948" s="5"/>
      <c r="E948" s="5"/>
    </row>
    <row r="949" ht="15.75" customHeight="1">
      <c r="A949" s="8"/>
      <c r="C949" s="5"/>
      <c r="D949" s="5"/>
      <c r="E949" s="5"/>
    </row>
    <row r="950" ht="15.75" customHeight="1">
      <c r="A950" s="8"/>
      <c r="C950" s="5"/>
      <c r="D950" s="5"/>
      <c r="E950" s="5"/>
    </row>
    <row r="951" ht="15.75" customHeight="1">
      <c r="A951" s="8"/>
      <c r="C951" s="5"/>
      <c r="D951" s="5"/>
      <c r="E951" s="5"/>
    </row>
    <row r="952" ht="15.75" customHeight="1">
      <c r="A952" s="8"/>
      <c r="C952" s="5"/>
      <c r="D952" s="5"/>
      <c r="E952" s="5"/>
    </row>
    <row r="953" ht="15.75" customHeight="1">
      <c r="A953" s="8"/>
      <c r="C953" s="5"/>
      <c r="D953" s="5"/>
      <c r="E953" s="5"/>
    </row>
    <row r="954" ht="15.75" customHeight="1">
      <c r="A954" s="8"/>
      <c r="C954" s="5"/>
      <c r="D954" s="5"/>
      <c r="E954" s="5"/>
    </row>
    <row r="955" ht="15.75" customHeight="1">
      <c r="A955" s="8"/>
      <c r="C955" s="5"/>
      <c r="D955" s="5"/>
      <c r="E955" s="5"/>
    </row>
    <row r="956" ht="15.75" customHeight="1">
      <c r="A956" s="8"/>
      <c r="C956" s="5"/>
      <c r="D956" s="5"/>
      <c r="E956" s="5"/>
    </row>
    <row r="957" ht="15.75" customHeight="1">
      <c r="A957" s="8"/>
      <c r="C957" s="5"/>
      <c r="D957" s="5"/>
      <c r="E957" s="5"/>
    </row>
    <row r="958" ht="15.75" customHeight="1">
      <c r="A958" s="8"/>
      <c r="C958" s="5"/>
      <c r="D958" s="5"/>
      <c r="E958" s="5"/>
    </row>
    <row r="959" ht="15.75" customHeight="1">
      <c r="A959" s="8"/>
      <c r="C959" s="5"/>
      <c r="D959" s="5"/>
      <c r="E959" s="5"/>
    </row>
    <row r="960" ht="15.75" customHeight="1">
      <c r="A960" s="8"/>
      <c r="C960" s="5"/>
      <c r="D960" s="5"/>
      <c r="E960" s="5"/>
    </row>
    <row r="961" ht="15.75" customHeight="1">
      <c r="A961" s="8"/>
      <c r="C961" s="5"/>
      <c r="D961" s="5"/>
      <c r="E961" s="5"/>
    </row>
    <row r="962" ht="15.75" customHeight="1">
      <c r="A962" s="8"/>
      <c r="C962" s="5"/>
      <c r="D962" s="5"/>
      <c r="E962" s="5"/>
    </row>
    <row r="963" ht="15.75" customHeight="1">
      <c r="A963" s="8"/>
      <c r="C963" s="5"/>
      <c r="D963" s="5"/>
      <c r="E963" s="5"/>
    </row>
    <row r="964" ht="15.75" customHeight="1">
      <c r="A964" s="8"/>
      <c r="C964" s="5"/>
      <c r="D964" s="5"/>
      <c r="E964" s="5"/>
    </row>
    <row r="965" ht="15.75" customHeight="1">
      <c r="A965" s="8"/>
      <c r="C965" s="5"/>
      <c r="D965" s="5"/>
      <c r="E965" s="5"/>
    </row>
    <row r="966" ht="15.75" customHeight="1">
      <c r="A966" s="8"/>
      <c r="C966" s="5"/>
      <c r="D966" s="5"/>
      <c r="E966" s="5"/>
    </row>
    <row r="967" ht="15.75" customHeight="1">
      <c r="A967" s="8"/>
      <c r="C967" s="5"/>
      <c r="D967" s="5"/>
      <c r="E967" s="5"/>
    </row>
    <row r="968" ht="15.75" customHeight="1">
      <c r="A968" s="8"/>
      <c r="C968" s="5"/>
      <c r="D968" s="5"/>
      <c r="E968" s="5"/>
    </row>
    <row r="969" ht="15.75" customHeight="1">
      <c r="A969" s="8"/>
      <c r="C969" s="5"/>
      <c r="D969" s="5"/>
      <c r="E969" s="5"/>
    </row>
    <row r="970" ht="15.75" customHeight="1">
      <c r="A970" s="8"/>
      <c r="C970" s="5"/>
      <c r="D970" s="5"/>
      <c r="E970" s="5"/>
    </row>
    <row r="971" ht="15.75" customHeight="1">
      <c r="A971" s="8"/>
      <c r="C971" s="5"/>
      <c r="D971" s="5"/>
      <c r="E971" s="5"/>
    </row>
    <row r="972" ht="15.75" customHeight="1">
      <c r="A972" s="8"/>
      <c r="C972" s="5"/>
      <c r="D972" s="5"/>
      <c r="E972" s="5"/>
    </row>
    <row r="973" ht="15.75" customHeight="1">
      <c r="A973" s="8"/>
      <c r="C973" s="5"/>
      <c r="D973" s="5"/>
      <c r="E973" s="5"/>
    </row>
    <row r="974" ht="15.75" customHeight="1">
      <c r="A974" s="8"/>
      <c r="C974" s="5"/>
      <c r="D974" s="5"/>
      <c r="E974" s="5"/>
    </row>
    <row r="975" ht="15.75" customHeight="1">
      <c r="A975" s="8"/>
      <c r="C975" s="5"/>
      <c r="D975" s="5"/>
      <c r="E975" s="5"/>
    </row>
    <row r="976" ht="15.75" customHeight="1">
      <c r="A976" s="8"/>
      <c r="C976" s="5"/>
      <c r="D976" s="5"/>
      <c r="E976" s="5"/>
    </row>
    <row r="977" ht="15.75" customHeight="1">
      <c r="A977" s="8"/>
      <c r="C977" s="5"/>
      <c r="D977" s="5"/>
      <c r="E977" s="5"/>
    </row>
    <row r="978" ht="15.75" customHeight="1">
      <c r="A978" s="8"/>
      <c r="C978" s="5"/>
      <c r="D978" s="5"/>
      <c r="E978" s="5"/>
    </row>
    <row r="979" ht="15.75" customHeight="1">
      <c r="A979" s="8"/>
      <c r="C979" s="5"/>
      <c r="D979" s="5"/>
      <c r="E979" s="5"/>
    </row>
    <row r="980" ht="15.75" customHeight="1">
      <c r="A980" s="8"/>
      <c r="C980" s="5"/>
      <c r="D980" s="5"/>
      <c r="E980" s="5"/>
    </row>
    <row r="981" ht="15.75" customHeight="1">
      <c r="A981" s="8"/>
      <c r="C981" s="5"/>
      <c r="D981" s="5"/>
      <c r="E981" s="5"/>
    </row>
    <row r="982" ht="15.75" customHeight="1">
      <c r="A982" s="8"/>
      <c r="C982" s="5"/>
      <c r="D982" s="5"/>
      <c r="E982" s="5"/>
    </row>
    <row r="983" ht="15.75" customHeight="1">
      <c r="A983" s="8"/>
      <c r="C983" s="5"/>
      <c r="D983" s="5"/>
      <c r="E983" s="5"/>
    </row>
    <row r="984" ht="15.75" customHeight="1">
      <c r="A984" s="8"/>
      <c r="C984" s="5"/>
      <c r="D984" s="5"/>
      <c r="E984" s="5"/>
    </row>
    <row r="985" ht="15.75" customHeight="1">
      <c r="A985" s="8"/>
      <c r="C985" s="5"/>
      <c r="D985" s="5"/>
      <c r="E985" s="5"/>
    </row>
    <row r="986" ht="15.75" customHeight="1">
      <c r="A986" s="8"/>
      <c r="C986" s="5"/>
      <c r="D986" s="5"/>
      <c r="E986" s="5"/>
    </row>
    <row r="987" ht="15.75" customHeight="1">
      <c r="A987" s="8"/>
      <c r="C987" s="5"/>
      <c r="D987" s="5"/>
      <c r="E987" s="5"/>
    </row>
    <row r="988" ht="15.75" customHeight="1">
      <c r="A988" s="8"/>
      <c r="C988" s="5"/>
      <c r="D988" s="5"/>
      <c r="E988" s="5"/>
    </row>
    <row r="989" ht="15.75" customHeight="1">
      <c r="A989" s="8"/>
      <c r="C989" s="5"/>
      <c r="D989" s="5"/>
      <c r="E989" s="5"/>
    </row>
    <row r="990" ht="15.75" customHeight="1">
      <c r="A990" s="8"/>
      <c r="C990" s="5"/>
      <c r="D990" s="5"/>
      <c r="E990" s="5"/>
    </row>
    <row r="991" ht="15.75" customHeight="1">
      <c r="A991" s="8"/>
      <c r="C991" s="5"/>
      <c r="D991" s="5"/>
      <c r="E991" s="5"/>
    </row>
    <row r="992" ht="15.75" customHeight="1">
      <c r="A992" s="8"/>
      <c r="C992" s="5"/>
      <c r="D992" s="5"/>
      <c r="E992" s="5"/>
    </row>
    <row r="993" ht="15.75" customHeight="1">
      <c r="A993" s="8"/>
      <c r="C993" s="5"/>
      <c r="D993" s="5"/>
      <c r="E993" s="5"/>
    </row>
    <row r="994" ht="15.75" customHeight="1">
      <c r="A994" s="8"/>
      <c r="C994" s="5"/>
      <c r="D994" s="5"/>
      <c r="E994" s="5"/>
    </row>
    <row r="995" ht="15.75" customHeight="1">
      <c r="A995" s="8"/>
      <c r="C995" s="5"/>
      <c r="D995" s="5"/>
      <c r="E995" s="5"/>
    </row>
    <row r="996" ht="15.75" customHeight="1">
      <c r="A996" s="8"/>
      <c r="C996" s="5"/>
      <c r="D996" s="5"/>
      <c r="E996" s="5"/>
    </row>
    <row r="997" ht="15.75" customHeight="1">
      <c r="A997" s="8"/>
      <c r="C997" s="5"/>
      <c r="D997" s="5"/>
      <c r="E997" s="5"/>
    </row>
    <row r="998" ht="15.75" customHeight="1">
      <c r="A998" s="8"/>
      <c r="C998" s="5"/>
      <c r="D998" s="5"/>
      <c r="E998" s="5"/>
    </row>
    <row r="999" ht="15.75" customHeight="1">
      <c r="A999" s="8"/>
      <c r="C999" s="5"/>
      <c r="D999" s="5"/>
      <c r="E999" s="5"/>
    </row>
    <row r="1000" ht="15.75" customHeight="1">
      <c r="A1000" s="8"/>
      <c r="C1000" s="5"/>
      <c r="D1000" s="5"/>
      <c r="E1000" s="5"/>
    </row>
  </sheetData>
  <autoFilter ref="$A$4:$I$442"/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89.78"/>
    <col customWidth="1" min="3" max="5" width="20.0"/>
    <col customWidth="1" min="6" max="6" width="32.44"/>
    <col customWidth="1" min="7" max="7" width="35.0"/>
    <col customWidth="1" min="8" max="8" width="60.67"/>
    <col customWidth="1" min="9" max="9" width="33.0"/>
    <col customWidth="1" min="10" max="12" width="10.56"/>
  </cols>
  <sheetData>
    <row r="1" ht="15.75" customHeight="1">
      <c r="A1" s="2" t="s">
        <v>2441</v>
      </c>
      <c r="C1" s="5" t="s">
        <v>6</v>
      </c>
      <c r="D1" s="5" t="s">
        <v>6</v>
      </c>
      <c r="E1" s="5" t="s">
        <v>6</v>
      </c>
    </row>
    <row r="2" ht="15.75" customHeight="1">
      <c r="A2" s="2" t="s">
        <v>2447</v>
      </c>
      <c r="C2" s="5"/>
      <c r="D2" s="5" t="s">
        <v>6</v>
      </c>
      <c r="E2" s="5" t="s">
        <v>6</v>
      </c>
      <c r="F2" s="4" t="s">
        <v>6</v>
      </c>
      <c r="G2" s="4" t="s">
        <v>6</v>
      </c>
      <c r="H2" s="4" t="s">
        <v>6</v>
      </c>
    </row>
    <row r="3" ht="15.75" customHeight="1">
      <c r="A3" s="8"/>
      <c r="C3" s="5"/>
      <c r="D3" s="5"/>
      <c r="E3" s="5"/>
    </row>
    <row r="4" ht="15.75" customHeight="1">
      <c r="A4" s="1" t="s">
        <v>10</v>
      </c>
      <c r="B4" s="3" t="s">
        <v>12</v>
      </c>
      <c r="C4" s="5"/>
      <c r="D4" s="5"/>
      <c r="E4" s="5">
        <v>0.0</v>
      </c>
    </row>
    <row r="5" ht="15.75" customHeight="1">
      <c r="A5" s="8">
        <v>46023.0</v>
      </c>
      <c r="B5" s="14" t="s">
        <v>2451</v>
      </c>
      <c r="C5" s="5">
        <v>0.0</v>
      </c>
      <c r="D5" s="5">
        <v>2.97039384E8</v>
      </c>
      <c r="E5" s="5">
        <f t="shared" ref="E5:E792" si="1">E4-C5+D5</f>
        <v>297039384</v>
      </c>
      <c r="F5" s="14" t="s">
        <v>24</v>
      </c>
      <c r="G5" s="14" t="s">
        <v>125</v>
      </c>
      <c r="H5" s="14" t="s">
        <v>85</v>
      </c>
      <c r="I5" s="14"/>
      <c r="J5" s="14"/>
      <c r="K5" s="14"/>
      <c r="L5" s="14"/>
    </row>
    <row r="6" ht="15.75" customHeight="1">
      <c r="A6" s="8"/>
      <c r="B6" s="14" t="s">
        <v>2460</v>
      </c>
      <c r="C6" s="5">
        <v>950000.0</v>
      </c>
      <c r="D6" s="5">
        <v>0.0</v>
      </c>
      <c r="E6" s="5">
        <f t="shared" si="1"/>
        <v>296089384</v>
      </c>
      <c r="F6" s="4" t="s">
        <v>2464</v>
      </c>
      <c r="G6" s="4" t="s">
        <v>59</v>
      </c>
      <c r="H6" s="15" t="s">
        <v>85</v>
      </c>
      <c r="I6" s="14"/>
      <c r="J6" s="14"/>
      <c r="K6" s="14"/>
      <c r="L6" s="14"/>
    </row>
    <row r="7" ht="15.75" customHeight="1">
      <c r="A7" s="8"/>
      <c r="B7" s="14" t="s">
        <v>2465</v>
      </c>
      <c r="C7" s="5">
        <v>950000.0</v>
      </c>
      <c r="D7" s="5">
        <v>0.0</v>
      </c>
      <c r="E7" s="5">
        <f t="shared" si="1"/>
        <v>295139384</v>
      </c>
      <c r="F7" s="4" t="s">
        <v>2464</v>
      </c>
      <c r="G7" s="4" t="s">
        <v>59</v>
      </c>
      <c r="H7" s="15" t="s">
        <v>85</v>
      </c>
      <c r="I7" s="14"/>
      <c r="J7" s="14"/>
      <c r="K7" s="14"/>
      <c r="L7" s="14"/>
    </row>
    <row r="8" ht="15.75" customHeight="1">
      <c r="A8" s="8"/>
      <c r="B8" s="14" t="s">
        <v>2468</v>
      </c>
      <c r="C8" s="5">
        <v>2.0E8</v>
      </c>
      <c r="D8" s="5">
        <v>0.0</v>
      </c>
      <c r="E8" s="5">
        <f t="shared" si="1"/>
        <v>95139384</v>
      </c>
      <c r="F8" s="4" t="s">
        <v>2464</v>
      </c>
      <c r="G8" s="4" t="s">
        <v>59</v>
      </c>
      <c r="H8" s="15" t="s">
        <v>85</v>
      </c>
      <c r="I8" s="14"/>
      <c r="J8" s="14"/>
      <c r="K8" s="14"/>
      <c r="L8" s="14"/>
    </row>
    <row r="9" ht="15.75" customHeight="1">
      <c r="A9" s="8"/>
      <c r="B9" s="14" t="s">
        <v>2471</v>
      </c>
      <c r="C9" s="5">
        <v>-6.7948E7</v>
      </c>
      <c r="D9" s="5">
        <v>0.0</v>
      </c>
      <c r="E9" s="5">
        <f t="shared" si="1"/>
        <v>163087384</v>
      </c>
      <c r="F9" s="4" t="s">
        <v>2464</v>
      </c>
      <c r="G9" s="4" t="s">
        <v>59</v>
      </c>
      <c r="H9" s="15" t="s">
        <v>85</v>
      </c>
      <c r="I9" s="14"/>
      <c r="J9" s="14"/>
      <c r="K9" s="14"/>
      <c r="L9" s="14"/>
    </row>
    <row r="10" ht="15.75" customHeight="1">
      <c r="A10" s="8"/>
      <c r="B10" s="14" t="s">
        <v>2473</v>
      </c>
      <c r="C10" s="5">
        <v>1000000.0</v>
      </c>
      <c r="D10" s="5">
        <v>0.0</v>
      </c>
      <c r="E10" s="5">
        <f t="shared" si="1"/>
        <v>162087384</v>
      </c>
      <c r="F10" s="4" t="s">
        <v>2464</v>
      </c>
      <c r="G10" s="4" t="s">
        <v>59</v>
      </c>
      <c r="H10" s="15" t="s">
        <v>85</v>
      </c>
      <c r="I10" s="14"/>
      <c r="J10" s="14"/>
      <c r="K10" s="14"/>
      <c r="L10" s="14"/>
    </row>
    <row r="11" ht="15.75" customHeight="1">
      <c r="A11" s="8"/>
      <c r="B11" s="14" t="s">
        <v>2475</v>
      </c>
      <c r="C11" s="5">
        <v>3.0E7</v>
      </c>
      <c r="D11" s="5">
        <v>0.0</v>
      </c>
      <c r="E11" s="5">
        <f t="shared" si="1"/>
        <v>132087384</v>
      </c>
      <c r="F11" s="4" t="s">
        <v>2464</v>
      </c>
      <c r="G11" s="4" t="s">
        <v>59</v>
      </c>
      <c r="H11" s="15" t="s">
        <v>85</v>
      </c>
      <c r="I11" s="14"/>
      <c r="J11" s="14"/>
      <c r="K11" s="14"/>
      <c r="L11" s="14"/>
    </row>
    <row r="12" ht="15.75" customHeight="1">
      <c r="A12" s="8"/>
      <c r="B12" s="14" t="s">
        <v>2478</v>
      </c>
      <c r="C12" s="5">
        <v>4.5612813E7</v>
      </c>
      <c r="D12" s="5">
        <v>0.0</v>
      </c>
      <c r="E12" s="5">
        <f t="shared" si="1"/>
        <v>86474571</v>
      </c>
      <c r="F12" s="4" t="s">
        <v>2464</v>
      </c>
      <c r="G12" s="4" t="s">
        <v>59</v>
      </c>
      <c r="H12" s="15" t="s">
        <v>85</v>
      </c>
      <c r="I12" s="14"/>
      <c r="J12" s="14"/>
      <c r="K12" s="14"/>
      <c r="L12" s="14"/>
    </row>
    <row r="13" ht="15.75" customHeight="1">
      <c r="A13" s="8"/>
      <c r="B13" s="14" t="s">
        <v>2480</v>
      </c>
      <c r="C13" s="5">
        <v>4175570.0</v>
      </c>
      <c r="D13" s="5">
        <v>0.0</v>
      </c>
      <c r="E13" s="5">
        <f t="shared" si="1"/>
        <v>82299001</v>
      </c>
      <c r="F13" s="4" t="s">
        <v>2464</v>
      </c>
      <c r="G13" s="4" t="s">
        <v>59</v>
      </c>
      <c r="H13" s="15" t="s">
        <v>85</v>
      </c>
      <c r="I13" s="14"/>
      <c r="J13" s="14"/>
      <c r="K13" s="14"/>
      <c r="L13" s="14"/>
    </row>
    <row r="14" ht="15.75" customHeight="1">
      <c r="A14" s="8"/>
      <c r="B14" s="14" t="s">
        <v>2484</v>
      </c>
      <c r="C14" s="5">
        <v>995001.0</v>
      </c>
      <c r="D14" s="5">
        <v>0.0</v>
      </c>
      <c r="E14" s="5">
        <f t="shared" si="1"/>
        <v>81304000</v>
      </c>
      <c r="F14" s="4" t="s">
        <v>2464</v>
      </c>
      <c r="G14" s="4" t="s">
        <v>59</v>
      </c>
      <c r="H14" s="15" t="s">
        <v>85</v>
      </c>
      <c r="I14" s="14"/>
      <c r="J14" s="14"/>
      <c r="K14" s="14"/>
      <c r="L14" s="14"/>
    </row>
    <row r="15" ht="15.75" customHeight="1">
      <c r="A15" s="8"/>
      <c r="B15" s="14" t="s">
        <v>2487</v>
      </c>
      <c r="C15" s="5">
        <v>5324000.0</v>
      </c>
      <c r="D15" s="5">
        <v>0.0</v>
      </c>
      <c r="E15" s="5">
        <f t="shared" si="1"/>
        <v>75980000</v>
      </c>
      <c r="F15" s="4" t="s">
        <v>2464</v>
      </c>
      <c r="G15" s="4" t="s">
        <v>59</v>
      </c>
      <c r="H15" s="15" t="s">
        <v>85</v>
      </c>
      <c r="I15" s="14"/>
      <c r="J15" s="14"/>
      <c r="K15" s="14"/>
      <c r="L15" s="14"/>
    </row>
    <row r="16" ht="15.75" customHeight="1">
      <c r="A16" s="8"/>
      <c r="B16" s="14" t="s">
        <v>2490</v>
      </c>
      <c r="C16" s="5">
        <v>1.8495E7</v>
      </c>
      <c r="D16" s="5">
        <v>0.0</v>
      </c>
      <c r="E16" s="5">
        <f t="shared" si="1"/>
        <v>57485000</v>
      </c>
      <c r="F16" s="4" t="s">
        <v>2464</v>
      </c>
      <c r="G16" s="4" t="s">
        <v>59</v>
      </c>
      <c r="H16" s="15" t="s">
        <v>85</v>
      </c>
      <c r="I16" s="14"/>
      <c r="J16" s="14"/>
      <c r="K16" s="14"/>
      <c r="L16" s="14"/>
    </row>
    <row r="17" ht="15.75" customHeight="1">
      <c r="A17" s="8"/>
      <c r="B17" s="14" t="s">
        <v>2490</v>
      </c>
      <c r="C17" s="5">
        <v>1.8495E7</v>
      </c>
      <c r="D17" s="5">
        <v>0.0</v>
      </c>
      <c r="E17" s="5">
        <f t="shared" si="1"/>
        <v>38990000</v>
      </c>
      <c r="F17" s="4" t="s">
        <v>2464</v>
      </c>
      <c r="G17" s="4" t="s">
        <v>59</v>
      </c>
      <c r="H17" s="15" t="s">
        <v>85</v>
      </c>
      <c r="I17" s="14"/>
      <c r="J17" s="14"/>
      <c r="K17" s="14"/>
      <c r="L17" s="14"/>
    </row>
    <row r="18" ht="15.75" customHeight="1">
      <c r="A18" s="8"/>
      <c r="B18" s="14" t="s">
        <v>2490</v>
      </c>
      <c r="C18" s="5">
        <v>1.8495E7</v>
      </c>
      <c r="D18" s="5">
        <v>0.0</v>
      </c>
      <c r="E18" s="5">
        <f t="shared" si="1"/>
        <v>20495000</v>
      </c>
      <c r="F18" s="4" t="s">
        <v>2464</v>
      </c>
      <c r="G18" s="4" t="s">
        <v>59</v>
      </c>
      <c r="H18" s="15" t="s">
        <v>85</v>
      </c>
      <c r="I18" s="14"/>
      <c r="J18" s="14"/>
      <c r="K18" s="14"/>
      <c r="L18" s="14"/>
    </row>
    <row r="19" ht="15.75" customHeight="1">
      <c r="A19" s="8"/>
      <c r="B19" s="14" t="s">
        <v>2490</v>
      </c>
      <c r="C19" s="5">
        <v>1.8495E7</v>
      </c>
      <c r="D19" s="5">
        <v>0.0</v>
      </c>
      <c r="E19" s="5">
        <f t="shared" si="1"/>
        <v>2000000</v>
      </c>
      <c r="F19" s="4" t="s">
        <v>2464</v>
      </c>
      <c r="G19" s="4" t="s">
        <v>59</v>
      </c>
      <c r="H19" s="15" t="s">
        <v>85</v>
      </c>
      <c r="I19" s="14"/>
      <c r="J19" s="14"/>
      <c r="K19" s="14"/>
      <c r="L19" s="14"/>
    </row>
    <row r="20" ht="15.75" customHeight="1">
      <c r="A20" s="8"/>
      <c r="B20" s="14" t="s">
        <v>2498</v>
      </c>
      <c r="C20" s="5">
        <v>2000000.0</v>
      </c>
      <c r="D20" s="5">
        <v>0.0</v>
      </c>
      <c r="E20" s="5">
        <f t="shared" si="1"/>
        <v>0</v>
      </c>
      <c r="F20" s="4" t="s">
        <v>2464</v>
      </c>
      <c r="G20" s="4" t="s">
        <v>59</v>
      </c>
      <c r="H20" s="15" t="s">
        <v>85</v>
      </c>
      <c r="I20" s="14"/>
      <c r="J20" s="14"/>
      <c r="K20" s="14"/>
      <c r="L20" s="14"/>
    </row>
    <row r="21" ht="15.75" customHeight="1">
      <c r="A21" s="8">
        <v>46023.0</v>
      </c>
      <c r="B21" s="14" t="s">
        <v>2451</v>
      </c>
      <c r="C21" s="5">
        <v>0.0</v>
      </c>
      <c r="D21" s="5">
        <v>2.0367531E8</v>
      </c>
      <c r="E21" s="5">
        <f t="shared" si="1"/>
        <v>203675310</v>
      </c>
      <c r="F21" s="14" t="s">
        <v>24</v>
      </c>
      <c r="G21" s="14" t="s">
        <v>125</v>
      </c>
      <c r="H21" s="15" t="s">
        <v>330</v>
      </c>
      <c r="I21" s="14"/>
      <c r="J21" s="14"/>
      <c r="K21" s="14"/>
      <c r="L21" s="14"/>
    </row>
    <row r="22" ht="15.75" customHeight="1">
      <c r="A22" s="8"/>
      <c r="B22" s="14" t="s">
        <v>2503</v>
      </c>
      <c r="C22" s="5">
        <v>1450000.0</v>
      </c>
      <c r="D22" s="5">
        <v>0.0</v>
      </c>
      <c r="E22" s="5">
        <f t="shared" si="1"/>
        <v>202225310</v>
      </c>
      <c r="F22" s="4" t="s">
        <v>2464</v>
      </c>
      <c r="G22" s="4" t="s">
        <v>59</v>
      </c>
      <c r="H22" s="15" t="s">
        <v>330</v>
      </c>
      <c r="I22" s="14"/>
      <c r="J22" s="14"/>
      <c r="K22" s="14"/>
      <c r="L22" s="14"/>
    </row>
    <row r="23" ht="15.75" customHeight="1">
      <c r="A23" s="8"/>
      <c r="B23" s="14" t="s">
        <v>2505</v>
      </c>
      <c r="C23" s="5">
        <v>900000.0</v>
      </c>
      <c r="D23" s="5">
        <v>0.0</v>
      </c>
      <c r="E23" s="5">
        <f t="shared" si="1"/>
        <v>201325310</v>
      </c>
      <c r="F23" s="4" t="s">
        <v>2464</v>
      </c>
      <c r="G23" s="4" t="s">
        <v>59</v>
      </c>
      <c r="H23" s="15" t="s">
        <v>330</v>
      </c>
      <c r="I23" s="14"/>
      <c r="J23" s="14"/>
      <c r="K23" s="14"/>
      <c r="L23" s="14"/>
    </row>
    <row r="24" ht="15.75" customHeight="1">
      <c r="A24" s="8"/>
      <c r="B24" s="14" t="s">
        <v>2508</v>
      </c>
      <c r="C24" s="5">
        <v>1.75E7</v>
      </c>
      <c r="D24" s="5">
        <v>0.0</v>
      </c>
      <c r="E24" s="5">
        <f t="shared" si="1"/>
        <v>183825310</v>
      </c>
      <c r="F24" s="4" t="s">
        <v>2464</v>
      </c>
      <c r="G24" s="4" t="s">
        <v>59</v>
      </c>
      <c r="H24" s="15" t="s">
        <v>330</v>
      </c>
      <c r="I24" s="14"/>
      <c r="J24" s="14"/>
      <c r="K24" s="14"/>
      <c r="L24" s="14"/>
    </row>
    <row r="25" ht="15.75" customHeight="1">
      <c r="A25" s="8"/>
      <c r="B25" s="14" t="s">
        <v>2511</v>
      </c>
      <c r="C25" s="5">
        <v>3.1137E7</v>
      </c>
      <c r="D25" s="5">
        <v>0.0</v>
      </c>
      <c r="E25" s="5">
        <f t="shared" si="1"/>
        <v>152688310</v>
      </c>
      <c r="F25" s="4" t="s">
        <v>2464</v>
      </c>
      <c r="G25" s="4" t="s">
        <v>59</v>
      </c>
      <c r="H25" s="15" t="s">
        <v>330</v>
      </c>
      <c r="I25" s="14"/>
      <c r="J25" s="14"/>
      <c r="K25" s="14"/>
      <c r="L25" s="14"/>
    </row>
    <row r="26" ht="15.75" customHeight="1">
      <c r="A26" s="8"/>
      <c r="B26" s="14" t="s">
        <v>2514</v>
      </c>
      <c r="C26" s="5">
        <v>6000000.0</v>
      </c>
      <c r="D26" s="5">
        <v>0.0</v>
      </c>
      <c r="E26" s="5">
        <f t="shared" si="1"/>
        <v>146688310</v>
      </c>
      <c r="F26" s="4" t="s">
        <v>2464</v>
      </c>
      <c r="G26" s="4" t="s">
        <v>59</v>
      </c>
      <c r="H26" s="15" t="s">
        <v>330</v>
      </c>
      <c r="I26" s="14"/>
      <c r="J26" s="14"/>
      <c r="K26" s="14"/>
      <c r="L26" s="14"/>
    </row>
    <row r="27" ht="15.75" customHeight="1">
      <c r="A27" s="8"/>
      <c r="B27" s="14" t="s">
        <v>2515</v>
      </c>
      <c r="C27" s="5">
        <v>2250000.0</v>
      </c>
      <c r="D27" s="5">
        <v>0.0</v>
      </c>
      <c r="E27" s="5">
        <f t="shared" si="1"/>
        <v>144438310</v>
      </c>
      <c r="F27" s="4" t="s">
        <v>2464</v>
      </c>
      <c r="G27" s="4" t="s">
        <v>59</v>
      </c>
      <c r="H27" s="15" t="s">
        <v>330</v>
      </c>
      <c r="I27" s="14"/>
      <c r="J27" s="14"/>
      <c r="K27" s="14"/>
      <c r="L27" s="14"/>
    </row>
    <row r="28" ht="15.75" customHeight="1">
      <c r="A28" s="8"/>
      <c r="B28" s="14" t="s">
        <v>2517</v>
      </c>
      <c r="C28" s="5">
        <v>1387800.0</v>
      </c>
      <c r="D28" s="5">
        <v>0.0</v>
      </c>
      <c r="E28" s="5">
        <f t="shared" si="1"/>
        <v>143050510</v>
      </c>
      <c r="F28" s="4" t="s">
        <v>2464</v>
      </c>
      <c r="G28" s="4" t="s">
        <v>59</v>
      </c>
      <c r="H28" s="15" t="s">
        <v>330</v>
      </c>
      <c r="I28" s="14"/>
      <c r="J28" s="14"/>
      <c r="K28" s="14"/>
      <c r="L28" s="14"/>
    </row>
    <row r="29" ht="15.75" customHeight="1">
      <c r="A29" s="8"/>
      <c r="B29" s="14" t="s">
        <v>2519</v>
      </c>
      <c r="C29" s="5">
        <v>9502310.0</v>
      </c>
      <c r="D29" s="5">
        <v>0.0</v>
      </c>
      <c r="E29" s="5">
        <f t="shared" si="1"/>
        <v>133548200</v>
      </c>
      <c r="F29" s="4" t="s">
        <v>2464</v>
      </c>
      <c r="G29" s="4" t="s">
        <v>59</v>
      </c>
      <c r="H29" s="15" t="s">
        <v>330</v>
      </c>
      <c r="I29" s="14"/>
      <c r="J29" s="14"/>
      <c r="K29" s="14"/>
      <c r="L29" s="14"/>
    </row>
    <row r="30" ht="15.75" customHeight="1">
      <c r="A30" s="8"/>
      <c r="B30" s="14" t="s">
        <v>2522</v>
      </c>
      <c r="C30" s="5">
        <v>1.5E7</v>
      </c>
      <c r="D30" s="5">
        <v>0.0</v>
      </c>
      <c r="E30" s="5">
        <f t="shared" si="1"/>
        <v>118548200</v>
      </c>
      <c r="F30" s="4" t="s">
        <v>2464</v>
      </c>
      <c r="G30" s="4" t="s">
        <v>59</v>
      </c>
      <c r="H30" s="15" t="s">
        <v>330</v>
      </c>
      <c r="I30" s="14"/>
      <c r="J30" s="14"/>
      <c r="K30" s="14"/>
      <c r="L30" s="14"/>
    </row>
    <row r="31" ht="15.75" customHeight="1">
      <c r="A31" s="8"/>
      <c r="B31" s="14" t="s">
        <v>2526</v>
      </c>
      <c r="C31" s="5">
        <v>5.0E7</v>
      </c>
      <c r="D31" s="5">
        <v>0.0</v>
      </c>
      <c r="E31" s="5">
        <f t="shared" si="1"/>
        <v>68548200</v>
      </c>
      <c r="F31" s="4" t="s">
        <v>2464</v>
      </c>
      <c r="G31" s="4" t="s">
        <v>59</v>
      </c>
      <c r="H31" s="15" t="s">
        <v>330</v>
      </c>
      <c r="I31" s="14"/>
      <c r="J31" s="14"/>
      <c r="K31" s="14"/>
      <c r="L31" s="14"/>
    </row>
    <row r="32" ht="15.75" customHeight="1">
      <c r="A32" s="8"/>
      <c r="B32" s="14" t="s">
        <v>2529</v>
      </c>
      <c r="C32" s="5">
        <v>5000000.0</v>
      </c>
      <c r="D32" s="5">
        <v>0.0</v>
      </c>
      <c r="E32" s="5">
        <f t="shared" si="1"/>
        <v>63548200</v>
      </c>
      <c r="F32" s="4" t="s">
        <v>2464</v>
      </c>
      <c r="G32" s="4" t="s">
        <v>59</v>
      </c>
      <c r="H32" s="15" t="s">
        <v>330</v>
      </c>
      <c r="I32" s="14"/>
      <c r="J32" s="14"/>
      <c r="K32" s="14"/>
      <c r="L32" s="14"/>
    </row>
    <row r="33" ht="15.75" customHeight="1">
      <c r="A33" s="8"/>
      <c r="B33" s="14" t="s">
        <v>2530</v>
      </c>
      <c r="C33" s="5">
        <v>300000.0</v>
      </c>
      <c r="D33" s="5">
        <v>0.0</v>
      </c>
      <c r="E33" s="5">
        <f t="shared" si="1"/>
        <v>63248200</v>
      </c>
      <c r="F33" s="4" t="s">
        <v>2464</v>
      </c>
      <c r="G33" s="4" t="s">
        <v>59</v>
      </c>
      <c r="H33" s="15" t="s">
        <v>330</v>
      </c>
      <c r="I33" s="14"/>
      <c r="J33" s="14"/>
      <c r="K33" s="14"/>
      <c r="L33" s="14"/>
    </row>
    <row r="34" ht="15.75" customHeight="1">
      <c r="A34" s="8"/>
      <c r="B34" s="14" t="s">
        <v>2531</v>
      </c>
      <c r="C34" s="5">
        <v>100000.0</v>
      </c>
      <c r="D34" s="5">
        <v>0.0</v>
      </c>
      <c r="E34" s="5">
        <f t="shared" si="1"/>
        <v>63148200</v>
      </c>
      <c r="F34" s="4" t="s">
        <v>2464</v>
      </c>
      <c r="G34" s="4" t="s">
        <v>59</v>
      </c>
      <c r="H34" s="15" t="s">
        <v>330</v>
      </c>
      <c r="I34" s="14"/>
      <c r="J34" s="14"/>
      <c r="K34" s="14"/>
      <c r="L34" s="14"/>
    </row>
    <row r="35" ht="15.75" customHeight="1">
      <c r="A35" s="8"/>
      <c r="B35" s="14" t="s">
        <v>2533</v>
      </c>
      <c r="C35" s="5">
        <v>1000000.0</v>
      </c>
      <c r="D35" s="5">
        <v>0.0</v>
      </c>
      <c r="E35" s="5">
        <f t="shared" si="1"/>
        <v>62148200</v>
      </c>
      <c r="F35" s="4" t="s">
        <v>2464</v>
      </c>
      <c r="G35" s="4" t="s">
        <v>59</v>
      </c>
      <c r="H35" s="15" t="s">
        <v>330</v>
      </c>
      <c r="I35" s="14"/>
      <c r="J35" s="14"/>
      <c r="K35" s="14"/>
      <c r="L35" s="14"/>
    </row>
    <row r="36" ht="15.75" customHeight="1">
      <c r="A36" s="8"/>
      <c r="B36" s="14" t="s">
        <v>2537</v>
      </c>
      <c r="C36" s="5">
        <v>500000.0</v>
      </c>
      <c r="D36" s="5">
        <v>0.0</v>
      </c>
      <c r="E36" s="5">
        <f t="shared" si="1"/>
        <v>61648200</v>
      </c>
      <c r="F36" s="4" t="s">
        <v>2464</v>
      </c>
      <c r="G36" s="4" t="s">
        <v>59</v>
      </c>
      <c r="H36" s="15" t="s">
        <v>330</v>
      </c>
      <c r="I36" s="14"/>
      <c r="J36" s="14"/>
      <c r="K36" s="14"/>
      <c r="L36" s="14"/>
    </row>
    <row r="37" ht="15.75" customHeight="1">
      <c r="A37" s="8"/>
      <c r="B37" s="14" t="s">
        <v>2539</v>
      </c>
      <c r="C37" s="5">
        <v>3000000.0</v>
      </c>
      <c r="D37" s="5">
        <v>0.0</v>
      </c>
      <c r="E37" s="5">
        <f t="shared" si="1"/>
        <v>58648200</v>
      </c>
      <c r="F37" s="4" t="s">
        <v>2464</v>
      </c>
      <c r="G37" s="4" t="s">
        <v>59</v>
      </c>
      <c r="H37" s="15" t="s">
        <v>330</v>
      </c>
      <c r="I37" s="14"/>
      <c r="J37" s="14"/>
      <c r="K37" s="14"/>
      <c r="L37" s="14"/>
    </row>
    <row r="38" ht="15.75" customHeight="1">
      <c r="A38" s="8"/>
      <c r="B38" s="14" t="s">
        <v>2542</v>
      </c>
      <c r="C38" s="5">
        <v>90000.0</v>
      </c>
      <c r="D38" s="5">
        <v>0.0</v>
      </c>
      <c r="E38" s="5">
        <f t="shared" si="1"/>
        <v>58558200</v>
      </c>
      <c r="F38" s="4" t="s">
        <v>2464</v>
      </c>
      <c r="G38" s="4" t="s">
        <v>59</v>
      </c>
      <c r="H38" s="15" t="s">
        <v>330</v>
      </c>
      <c r="I38" s="14"/>
      <c r="J38" s="14"/>
      <c r="K38" s="14"/>
      <c r="L38" s="14"/>
    </row>
    <row r="39" ht="15.75" customHeight="1">
      <c r="A39" s="8"/>
      <c r="B39" s="14" t="s">
        <v>2544</v>
      </c>
      <c r="C39" s="5">
        <v>5277700.0</v>
      </c>
      <c r="D39" s="5">
        <v>0.0</v>
      </c>
      <c r="E39" s="5">
        <f t="shared" si="1"/>
        <v>53280500</v>
      </c>
      <c r="F39" s="4" t="s">
        <v>2464</v>
      </c>
      <c r="G39" s="4" t="s">
        <v>59</v>
      </c>
      <c r="H39" s="15" t="s">
        <v>330</v>
      </c>
      <c r="I39" s="14"/>
      <c r="J39" s="14"/>
      <c r="K39" s="14"/>
      <c r="L39" s="14"/>
    </row>
    <row r="40" ht="15.75" customHeight="1">
      <c r="A40" s="8"/>
      <c r="B40" s="14" t="s">
        <v>2546</v>
      </c>
      <c r="C40" s="5">
        <v>502500.0</v>
      </c>
      <c r="D40" s="5">
        <v>0.0</v>
      </c>
      <c r="E40" s="5">
        <f t="shared" si="1"/>
        <v>52778000</v>
      </c>
      <c r="F40" s="4" t="s">
        <v>2464</v>
      </c>
      <c r="G40" s="4" t="s">
        <v>59</v>
      </c>
      <c r="H40" s="15" t="s">
        <v>330</v>
      </c>
      <c r="I40" s="14"/>
      <c r="J40" s="14"/>
      <c r="K40" s="14"/>
      <c r="L40" s="14"/>
    </row>
    <row r="41" ht="15.75" customHeight="1">
      <c r="A41" s="8"/>
      <c r="B41" s="14" t="s">
        <v>2548</v>
      </c>
      <c r="C41" s="5">
        <v>562500.0</v>
      </c>
      <c r="D41" s="5">
        <v>0.0</v>
      </c>
      <c r="E41" s="5">
        <f t="shared" si="1"/>
        <v>52215500</v>
      </c>
      <c r="F41" s="4" t="s">
        <v>2464</v>
      </c>
      <c r="G41" s="4" t="s">
        <v>59</v>
      </c>
      <c r="H41" s="15" t="s">
        <v>330</v>
      </c>
      <c r="I41" s="14"/>
      <c r="J41" s="14"/>
      <c r="K41" s="14"/>
      <c r="L41" s="14"/>
    </row>
    <row r="42" ht="15.75" customHeight="1">
      <c r="A42" s="8"/>
      <c r="B42" s="14" t="s">
        <v>2550</v>
      </c>
      <c r="C42" s="5">
        <v>3.234E7</v>
      </c>
      <c r="D42" s="5">
        <v>0.0</v>
      </c>
      <c r="E42" s="5">
        <f t="shared" si="1"/>
        <v>19875500</v>
      </c>
      <c r="F42" s="4" t="s">
        <v>2464</v>
      </c>
      <c r="G42" s="4" t="s">
        <v>59</v>
      </c>
      <c r="H42" s="15" t="s">
        <v>330</v>
      </c>
      <c r="I42" s="14"/>
      <c r="J42" s="14"/>
      <c r="K42" s="14"/>
      <c r="L42" s="14"/>
    </row>
    <row r="43" ht="15.75" customHeight="1">
      <c r="A43" s="8"/>
      <c r="B43" s="14" t="s">
        <v>2552</v>
      </c>
      <c r="C43" s="5">
        <v>1995500.0</v>
      </c>
      <c r="D43" s="5">
        <v>0.0</v>
      </c>
      <c r="E43" s="5">
        <f t="shared" si="1"/>
        <v>17880000</v>
      </c>
      <c r="F43" s="4" t="s">
        <v>2464</v>
      </c>
      <c r="G43" s="4" t="s">
        <v>59</v>
      </c>
      <c r="H43" s="15" t="s">
        <v>330</v>
      </c>
      <c r="I43" s="14"/>
      <c r="J43" s="14"/>
      <c r="K43" s="14"/>
      <c r="L43" s="14"/>
    </row>
    <row r="44" ht="15.75" customHeight="1">
      <c r="A44" s="8"/>
      <c r="B44" s="14" t="s">
        <v>2555</v>
      </c>
      <c r="C44" s="5">
        <v>1.788E7</v>
      </c>
      <c r="D44" s="5">
        <v>0.0</v>
      </c>
      <c r="E44" s="5">
        <f t="shared" si="1"/>
        <v>0</v>
      </c>
      <c r="F44" s="4" t="s">
        <v>2464</v>
      </c>
      <c r="G44" s="4" t="s">
        <v>59</v>
      </c>
      <c r="H44" s="15" t="s">
        <v>330</v>
      </c>
      <c r="I44" s="14"/>
      <c r="J44" s="14"/>
      <c r="K44" s="14"/>
      <c r="L44" s="14"/>
    </row>
    <row r="45" ht="15.75" customHeight="1">
      <c r="A45" s="8">
        <v>46023.0</v>
      </c>
      <c r="B45" s="14" t="s">
        <v>2451</v>
      </c>
      <c r="C45" s="5">
        <v>0.0</v>
      </c>
      <c r="D45" s="5">
        <v>3.7257295E8</v>
      </c>
      <c r="E45" s="5">
        <f t="shared" si="1"/>
        <v>372572950</v>
      </c>
      <c r="F45" s="14" t="s">
        <v>24</v>
      </c>
      <c r="G45" s="14" t="s">
        <v>125</v>
      </c>
      <c r="H45" s="15" t="s">
        <v>317</v>
      </c>
      <c r="I45" s="14"/>
      <c r="J45" s="14"/>
      <c r="K45" s="14"/>
      <c r="L45" s="14"/>
    </row>
    <row r="46" ht="15.75" customHeight="1">
      <c r="A46" s="8"/>
      <c r="B46" s="14" t="s">
        <v>2560</v>
      </c>
      <c r="C46" s="5">
        <v>1400000.0</v>
      </c>
      <c r="D46" s="5">
        <v>0.0</v>
      </c>
      <c r="E46" s="5">
        <f t="shared" si="1"/>
        <v>371172950</v>
      </c>
      <c r="F46" s="4" t="s">
        <v>2464</v>
      </c>
      <c r="G46" s="4" t="s">
        <v>59</v>
      </c>
      <c r="H46" s="15" t="s">
        <v>317</v>
      </c>
      <c r="I46" s="14"/>
      <c r="J46" s="14"/>
      <c r="K46" s="14"/>
      <c r="L46" s="14"/>
    </row>
    <row r="47" ht="15.75" customHeight="1">
      <c r="A47" s="8"/>
      <c r="B47" s="14" t="s">
        <v>2563</v>
      </c>
      <c r="C47" s="5">
        <v>2100000.0</v>
      </c>
      <c r="D47" s="5">
        <v>0.0</v>
      </c>
      <c r="E47" s="5">
        <f t="shared" si="1"/>
        <v>369072950</v>
      </c>
      <c r="F47" s="4" t="s">
        <v>2464</v>
      </c>
      <c r="G47" s="4" t="s">
        <v>59</v>
      </c>
      <c r="H47" s="15" t="s">
        <v>317</v>
      </c>
      <c r="I47" s="14"/>
      <c r="J47" s="14"/>
      <c r="K47" s="14"/>
      <c r="L47" s="14"/>
    </row>
    <row r="48" ht="15.75" customHeight="1">
      <c r="A48" s="8"/>
      <c r="B48" s="14" t="s">
        <v>2566</v>
      </c>
      <c r="C48" s="5">
        <v>1.8639E7</v>
      </c>
      <c r="D48" s="5">
        <v>0.0</v>
      </c>
      <c r="E48" s="5">
        <f t="shared" si="1"/>
        <v>350433950</v>
      </c>
      <c r="F48" s="4" t="s">
        <v>2464</v>
      </c>
      <c r="G48" s="4" t="s">
        <v>59</v>
      </c>
      <c r="H48" s="15" t="s">
        <v>317</v>
      </c>
      <c r="I48" s="14"/>
      <c r="J48" s="14"/>
      <c r="K48" s="14"/>
      <c r="L48" s="14"/>
    </row>
    <row r="49" ht="15.75" customHeight="1">
      <c r="A49" s="8"/>
      <c r="B49" s="14" t="s">
        <v>2568</v>
      </c>
      <c r="C49" s="5">
        <v>2.1819E7</v>
      </c>
      <c r="D49" s="5">
        <v>0.0</v>
      </c>
      <c r="E49" s="5">
        <f t="shared" si="1"/>
        <v>328614950</v>
      </c>
      <c r="F49" s="4" t="s">
        <v>2464</v>
      </c>
      <c r="G49" s="4" t="s">
        <v>59</v>
      </c>
      <c r="H49" s="15" t="s">
        <v>317</v>
      </c>
      <c r="I49" s="14"/>
      <c r="J49" s="14"/>
      <c r="K49" s="14"/>
      <c r="L49" s="14"/>
    </row>
    <row r="50" ht="15.75" customHeight="1">
      <c r="A50" s="8"/>
      <c r="B50" s="14" t="s">
        <v>2570</v>
      </c>
      <c r="C50" s="5">
        <v>6000000.0</v>
      </c>
      <c r="D50" s="5">
        <v>0.0</v>
      </c>
      <c r="E50" s="5">
        <f t="shared" si="1"/>
        <v>322614950</v>
      </c>
      <c r="F50" s="4" t="s">
        <v>2464</v>
      </c>
      <c r="G50" s="4" t="s">
        <v>59</v>
      </c>
      <c r="H50" s="15" t="s">
        <v>317</v>
      </c>
      <c r="I50" s="14"/>
      <c r="J50" s="14"/>
      <c r="K50" s="14"/>
      <c r="L50" s="14"/>
    </row>
    <row r="51" ht="15.75" customHeight="1">
      <c r="A51" s="8"/>
      <c r="B51" s="14" t="s">
        <v>2572</v>
      </c>
      <c r="C51" s="5">
        <v>6125000.0</v>
      </c>
      <c r="D51" s="5">
        <v>0.0</v>
      </c>
      <c r="E51" s="5">
        <f t="shared" si="1"/>
        <v>316489950</v>
      </c>
      <c r="F51" s="4" t="s">
        <v>2464</v>
      </c>
      <c r="G51" s="4" t="s">
        <v>59</v>
      </c>
      <c r="H51" s="15" t="s">
        <v>317</v>
      </c>
      <c r="I51" s="14"/>
      <c r="J51" s="14"/>
      <c r="K51" s="14"/>
      <c r="L51" s="14"/>
    </row>
    <row r="52" ht="15.75" customHeight="1">
      <c r="A52" s="8"/>
      <c r="B52" s="14" t="s">
        <v>2575</v>
      </c>
      <c r="C52" s="5">
        <v>2.0E7</v>
      </c>
      <c r="D52" s="5">
        <v>0.0</v>
      </c>
      <c r="E52" s="5">
        <f t="shared" si="1"/>
        <v>296489950</v>
      </c>
      <c r="F52" s="4" t="s">
        <v>2464</v>
      </c>
      <c r="G52" s="4" t="s">
        <v>59</v>
      </c>
      <c r="H52" s="15" t="s">
        <v>317</v>
      </c>
      <c r="I52" s="14"/>
      <c r="J52" s="14"/>
      <c r="K52" s="14"/>
      <c r="L52" s="14"/>
    </row>
    <row r="53" ht="15.75" customHeight="1">
      <c r="A53" s="8"/>
      <c r="B53" s="14" t="s">
        <v>2578</v>
      </c>
      <c r="C53" s="5">
        <v>1.7E8</v>
      </c>
      <c r="D53" s="5">
        <v>0.0</v>
      </c>
      <c r="E53" s="5">
        <f t="shared" si="1"/>
        <v>126489950</v>
      </c>
      <c r="F53" s="4" t="s">
        <v>2464</v>
      </c>
      <c r="G53" s="4" t="s">
        <v>59</v>
      </c>
      <c r="H53" s="15" t="s">
        <v>317</v>
      </c>
      <c r="I53" s="14"/>
      <c r="J53" s="14"/>
      <c r="K53" s="14"/>
      <c r="L53" s="14"/>
    </row>
    <row r="54" ht="15.75" customHeight="1">
      <c r="A54" s="8"/>
      <c r="B54" s="14" t="s">
        <v>2581</v>
      </c>
      <c r="C54" s="5">
        <v>3000000.0</v>
      </c>
      <c r="D54" s="5">
        <v>0.0</v>
      </c>
      <c r="E54" s="5">
        <f t="shared" si="1"/>
        <v>123489950</v>
      </c>
      <c r="F54" s="4" t="s">
        <v>2464</v>
      </c>
      <c r="G54" s="4" t="s">
        <v>59</v>
      </c>
      <c r="H54" s="15" t="s">
        <v>317</v>
      </c>
      <c r="I54" s="14"/>
      <c r="J54" s="14"/>
      <c r="K54" s="14"/>
      <c r="L54" s="14"/>
    </row>
    <row r="55" ht="15.75" customHeight="1">
      <c r="A55" s="8"/>
      <c r="B55" s="14" t="s">
        <v>2584</v>
      </c>
      <c r="C55" s="5">
        <v>8000000.0</v>
      </c>
      <c r="D55" s="5">
        <v>0.0</v>
      </c>
      <c r="E55" s="5">
        <f t="shared" si="1"/>
        <v>115489950</v>
      </c>
      <c r="F55" s="4" t="s">
        <v>2464</v>
      </c>
      <c r="G55" s="4" t="s">
        <v>59</v>
      </c>
      <c r="H55" s="15" t="s">
        <v>317</v>
      </c>
      <c r="I55" s="14"/>
      <c r="J55" s="14"/>
      <c r="K55" s="14"/>
      <c r="L55" s="14"/>
    </row>
    <row r="56" ht="15.75" customHeight="1">
      <c r="A56" s="8"/>
      <c r="B56" s="14" t="s">
        <v>2587</v>
      </c>
      <c r="C56" s="5">
        <v>5.0E7</v>
      </c>
      <c r="D56" s="5">
        <v>0.0</v>
      </c>
      <c r="E56" s="5">
        <f t="shared" si="1"/>
        <v>65489950</v>
      </c>
      <c r="F56" s="4" t="s">
        <v>2464</v>
      </c>
      <c r="G56" s="4" t="s">
        <v>59</v>
      </c>
      <c r="H56" s="15" t="s">
        <v>317</v>
      </c>
      <c r="I56" s="14"/>
      <c r="J56" s="14"/>
      <c r="K56" s="14"/>
      <c r="L56" s="14"/>
    </row>
    <row r="57" ht="15.75" customHeight="1">
      <c r="A57" s="8"/>
      <c r="B57" s="14" t="s">
        <v>2533</v>
      </c>
      <c r="C57" s="5">
        <v>2000000.0</v>
      </c>
      <c r="D57" s="5">
        <v>0.0</v>
      </c>
      <c r="E57" s="5">
        <f t="shared" si="1"/>
        <v>63489950</v>
      </c>
      <c r="F57" s="4" t="s">
        <v>2464</v>
      </c>
      <c r="G57" s="4" t="s">
        <v>59</v>
      </c>
      <c r="H57" s="15" t="s">
        <v>317</v>
      </c>
      <c r="I57" s="14"/>
      <c r="J57" s="14"/>
      <c r="K57" s="14"/>
      <c r="L57" s="14"/>
    </row>
    <row r="58" ht="15.75" customHeight="1">
      <c r="A58" s="8"/>
      <c r="B58" s="14" t="s">
        <v>2592</v>
      </c>
      <c r="C58" s="5">
        <v>1.2278E7</v>
      </c>
      <c r="D58" s="5">
        <v>0.0</v>
      </c>
      <c r="E58" s="5">
        <f t="shared" si="1"/>
        <v>51211950</v>
      </c>
      <c r="F58" s="4" t="s">
        <v>2464</v>
      </c>
      <c r="G58" s="4" t="s">
        <v>59</v>
      </c>
      <c r="H58" s="15" t="s">
        <v>317</v>
      </c>
      <c r="I58" s="14"/>
      <c r="J58" s="14"/>
      <c r="K58" s="14"/>
      <c r="L58" s="14"/>
    </row>
    <row r="59" ht="15.75" customHeight="1">
      <c r="A59" s="8"/>
      <c r="B59" s="14" t="s">
        <v>2594</v>
      </c>
      <c r="C59" s="5">
        <v>1020650.0</v>
      </c>
      <c r="D59" s="5">
        <v>0.0</v>
      </c>
      <c r="E59" s="5">
        <f t="shared" si="1"/>
        <v>50191300</v>
      </c>
      <c r="F59" s="4" t="s">
        <v>2464</v>
      </c>
      <c r="G59" s="4" t="s">
        <v>59</v>
      </c>
      <c r="H59" s="15" t="s">
        <v>317</v>
      </c>
      <c r="I59" s="14"/>
      <c r="J59" s="14"/>
      <c r="K59" s="14"/>
      <c r="L59" s="14"/>
    </row>
    <row r="60" ht="15.75" customHeight="1">
      <c r="A60" s="8"/>
      <c r="B60" s="14" t="s">
        <v>2597</v>
      </c>
      <c r="C60" s="5">
        <v>984500.0</v>
      </c>
      <c r="D60" s="5">
        <v>0.0</v>
      </c>
      <c r="E60" s="5">
        <f t="shared" si="1"/>
        <v>49206800</v>
      </c>
      <c r="F60" s="4" t="s">
        <v>2464</v>
      </c>
      <c r="G60" s="4" t="s">
        <v>59</v>
      </c>
      <c r="H60" s="15" t="s">
        <v>317</v>
      </c>
      <c r="I60" s="14"/>
      <c r="J60" s="14"/>
      <c r="K60" s="14"/>
      <c r="L60" s="14"/>
    </row>
    <row r="61" ht="15.75" customHeight="1">
      <c r="A61" s="8"/>
      <c r="B61" s="14" t="s">
        <v>2600</v>
      </c>
      <c r="C61" s="5">
        <v>608400.0</v>
      </c>
      <c r="D61" s="5">
        <v>0.0</v>
      </c>
      <c r="E61" s="5">
        <f t="shared" si="1"/>
        <v>48598400</v>
      </c>
      <c r="F61" s="4" t="s">
        <v>2464</v>
      </c>
      <c r="G61" s="4" t="s">
        <v>59</v>
      </c>
      <c r="H61" s="15" t="s">
        <v>317</v>
      </c>
      <c r="I61" s="14"/>
      <c r="J61" s="14"/>
      <c r="K61" s="14"/>
      <c r="L61" s="14"/>
    </row>
    <row r="62" ht="15.75" customHeight="1">
      <c r="A62" s="8"/>
      <c r="B62" s="14" t="s">
        <v>2601</v>
      </c>
      <c r="C62" s="5">
        <v>413400.0</v>
      </c>
      <c r="D62" s="5">
        <v>0.0</v>
      </c>
      <c r="E62" s="5">
        <f t="shared" si="1"/>
        <v>48185000</v>
      </c>
      <c r="F62" s="4" t="s">
        <v>2464</v>
      </c>
      <c r="G62" s="4" t="s">
        <v>59</v>
      </c>
      <c r="H62" s="15" t="s">
        <v>317</v>
      </c>
      <c r="I62" s="14"/>
      <c r="J62" s="14"/>
      <c r="K62" s="14"/>
      <c r="L62" s="14"/>
    </row>
    <row r="63" ht="15.75" customHeight="1">
      <c r="A63" s="8"/>
      <c r="B63" s="14" t="s">
        <v>2605</v>
      </c>
      <c r="C63" s="5">
        <v>3.463E7</v>
      </c>
      <c r="D63" s="5">
        <v>0.0</v>
      </c>
      <c r="E63" s="5">
        <f t="shared" si="1"/>
        <v>13555000</v>
      </c>
      <c r="F63" s="4" t="s">
        <v>2464</v>
      </c>
      <c r="G63" s="4" t="s">
        <v>59</v>
      </c>
      <c r="H63" s="15" t="s">
        <v>317</v>
      </c>
      <c r="I63" s="14"/>
      <c r="J63" s="14"/>
      <c r="K63" s="14"/>
      <c r="L63" s="14"/>
    </row>
    <row r="64" ht="15.75" customHeight="1">
      <c r="A64" s="8"/>
      <c r="B64" s="14" t="s">
        <v>2607</v>
      </c>
      <c r="C64" s="5">
        <v>1.3555E7</v>
      </c>
      <c r="D64" s="5">
        <v>0.0</v>
      </c>
      <c r="E64" s="5">
        <f t="shared" si="1"/>
        <v>0</v>
      </c>
      <c r="F64" s="4" t="s">
        <v>2464</v>
      </c>
      <c r="G64" s="4" t="s">
        <v>59</v>
      </c>
      <c r="H64" s="15" t="s">
        <v>317</v>
      </c>
      <c r="I64" s="14"/>
      <c r="J64" s="14"/>
      <c r="K64" s="14"/>
      <c r="L64" s="14"/>
    </row>
    <row r="65" ht="15.75" customHeight="1">
      <c r="A65" s="8">
        <v>46023.0</v>
      </c>
      <c r="B65" s="14" t="s">
        <v>2451</v>
      </c>
      <c r="C65" s="5">
        <v>0.0</v>
      </c>
      <c r="D65" s="5">
        <v>7.13607914E8</v>
      </c>
      <c r="E65" s="5">
        <f t="shared" si="1"/>
        <v>713607914</v>
      </c>
      <c r="F65" s="14" t="s">
        <v>24</v>
      </c>
      <c r="G65" s="14" t="s">
        <v>125</v>
      </c>
      <c r="H65" s="15" t="s">
        <v>68</v>
      </c>
      <c r="I65" s="14"/>
      <c r="J65" s="14"/>
      <c r="K65" s="14"/>
      <c r="L65" s="14"/>
    </row>
    <row r="66" ht="15.75" customHeight="1">
      <c r="A66" s="8"/>
      <c r="B66" s="14" t="s">
        <v>2612</v>
      </c>
      <c r="C66" s="5">
        <v>2000000.0</v>
      </c>
      <c r="D66" s="5">
        <v>0.0</v>
      </c>
      <c r="E66" s="5">
        <f t="shared" si="1"/>
        <v>711607914</v>
      </c>
      <c r="F66" s="4" t="s">
        <v>2464</v>
      </c>
      <c r="G66" s="4" t="s">
        <v>59</v>
      </c>
      <c r="H66" s="15" t="s">
        <v>68</v>
      </c>
      <c r="I66" s="14"/>
      <c r="J66" s="14"/>
      <c r="K66" s="14"/>
      <c r="L66" s="14"/>
    </row>
    <row r="67" ht="15.75" customHeight="1">
      <c r="A67" s="8"/>
      <c r="B67" s="14" t="s">
        <v>2615</v>
      </c>
      <c r="C67" s="5">
        <v>1450000.0</v>
      </c>
      <c r="D67" s="5">
        <v>0.0</v>
      </c>
      <c r="E67" s="5">
        <f t="shared" si="1"/>
        <v>710157914</v>
      </c>
      <c r="F67" s="4" t="s">
        <v>2464</v>
      </c>
      <c r="G67" s="4" t="s">
        <v>59</v>
      </c>
      <c r="H67" s="15" t="s">
        <v>68</v>
      </c>
      <c r="I67" s="14"/>
      <c r="J67" s="14"/>
      <c r="K67" s="14"/>
      <c r="L67" s="14"/>
    </row>
    <row r="68" ht="15.75" customHeight="1">
      <c r="A68" s="8"/>
      <c r="B68" s="14" t="s">
        <v>2618</v>
      </c>
      <c r="C68" s="5">
        <v>1450000.0</v>
      </c>
      <c r="D68" s="5">
        <v>0.0</v>
      </c>
      <c r="E68" s="5">
        <f t="shared" si="1"/>
        <v>708707914</v>
      </c>
      <c r="F68" s="4" t="s">
        <v>2464</v>
      </c>
      <c r="G68" s="4" t="s">
        <v>59</v>
      </c>
      <c r="H68" s="15" t="s">
        <v>68</v>
      </c>
      <c r="I68" s="14"/>
      <c r="J68" s="14"/>
      <c r="K68" s="14"/>
      <c r="L68" s="14"/>
    </row>
    <row r="69" ht="15.75" customHeight="1">
      <c r="A69" s="8"/>
      <c r="B69" s="14" t="s">
        <v>2620</v>
      </c>
      <c r="C69" s="5">
        <v>7500000.0</v>
      </c>
      <c r="D69" s="5">
        <v>0.0</v>
      </c>
      <c r="E69" s="5">
        <f t="shared" si="1"/>
        <v>701207914</v>
      </c>
      <c r="F69" s="4" t="s">
        <v>2464</v>
      </c>
      <c r="G69" s="4" t="s">
        <v>59</v>
      </c>
      <c r="H69" s="15" t="s">
        <v>68</v>
      </c>
      <c r="I69" s="14"/>
      <c r="J69" s="14"/>
      <c r="K69" s="14"/>
      <c r="L69" s="14"/>
    </row>
    <row r="70" ht="15.75" customHeight="1">
      <c r="A70" s="8"/>
      <c r="B70" s="14" t="s">
        <v>2622</v>
      </c>
      <c r="C70" s="5">
        <v>1.225E7</v>
      </c>
      <c r="D70" s="5">
        <v>0.0</v>
      </c>
      <c r="E70" s="5">
        <f t="shared" si="1"/>
        <v>688957914</v>
      </c>
      <c r="F70" s="4" t="s">
        <v>2464</v>
      </c>
      <c r="G70" s="4" t="s">
        <v>59</v>
      </c>
      <c r="H70" s="15" t="s">
        <v>68</v>
      </c>
      <c r="I70" s="14"/>
      <c r="J70" s="14"/>
      <c r="K70" s="14"/>
      <c r="L70" s="14"/>
    </row>
    <row r="71" ht="15.75" customHeight="1">
      <c r="A71" s="8"/>
      <c r="B71" s="14" t="s">
        <v>2625</v>
      </c>
      <c r="C71" s="5">
        <v>1.049544E8</v>
      </c>
      <c r="D71" s="5">
        <v>0.0</v>
      </c>
      <c r="E71" s="5">
        <f t="shared" si="1"/>
        <v>584003514</v>
      </c>
      <c r="F71" s="4" t="s">
        <v>2464</v>
      </c>
      <c r="G71" s="4" t="s">
        <v>59</v>
      </c>
      <c r="H71" s="15" t="s">
        <v>68</v>
      </c>
      <c r="I71" s="14"/>
      <c r="J71" s="14"/>
      <c r="K71" s="14"/>
      <c r="L71" s="14"/>
    </row>
    <row r="72" ht="15.75" customHeight="1">
      <c r="A72" s="8"/>
      <c r="B72" s="14" t="s">
        <v>2627</v>
      </c>
      <c r="C72" s="5">
        <v>1.2765014E7</v>
      </c>
      <c r="D72" s="5">
        <v>0.0</v>
      </c>
      <c r="E72" s="5">
        <f t="shared" si="1"/>
        <v>571238500</v>
      </c>
      <c r="F72" s="4" t="s">
        <v>2464</v>
      </c>
      <c r="G72" s="4" t="s">
        <v>59</v>
      </c>
      <c r="H72" s="15" t="s">
        <v>68</v>
      </c>
      <c r="I72" s="14"/>
      <c r="J72" s="14"/>
      <c r="K72" s="14"/>
      <c r="L72" s="14"/>
    </row>
    <row r="73" ht="15.75" customHeight="1">
      <c r="A73" s="8"/>
      <c r="B73" s="14" t="s">
        <v>2630</v>
      </c>
      <c r="C73" s="5">
        <v>9.0E7</v>
      </c>
      <c r="D73" s="5">
        <v>0.0</v>
      </c>
      <c r="E73" s="5">
        <f t="shared" si="1"/>
        <v>481238500</v>
      </c>
      <c r="F73" s="4" t="s">
        <v>2464</v>
      </c>
      <c r="G73" s="4" t="s">
        <v>59</v>
      </c>
      <c r="H73" s="15" t="s">
        <v>68</v>
      </c>
      <c r="I73" s="14"/>
      <c r="J73" s="14"/>
      <c r="K73" s="14"/>
      <c r="L73" s="14"/>
    </row>
    <row r="74" ht="15.75" customHeight="1">
      <c r="A74" s="8"/>
      <c r="B74" s="14" t="s">
        <v>2632</v>
      </c>
      <c r="C74" s="5">
        <v>3.4E8</v>
      </c>
      <c r="D74" s="5">
        <v>0.0</v>
      </c>
      <c r="E74" s="5">
        <f t="shared" si="1"/>
        <v>141238500</v>
      </c>
      <c r="F74" s="4" t="s">
        <v>2464</v>
      </c>
      <c r="G74" s="4" t="s">
        <v>59</v>
      </c>
      <c r="H74" s="15" t="s">
        <v>68</v>
      </c>
      <c r="I74" s="14"/>
      <c r="J74" s="14"/>
      <c r="K74" s="14"/>
      <c r="L74" s="14"/>
    </row>
    <row r="75" ht="15.75" customHeight="1">
      <c r="A75" s="8"/>
      <c r="B75" s="14" t="s">
        <v>2633</v>
      </c>
      <c r="C75" s="5">
        <v>3000000.0</v>
      </c>
      <c r="D75" s="5">
        <v>0.0</v>
      </c>
      <c r="E75" s="5">
        <f t="shared" si="1"/>
        <v>138238500</v>
      </c>
      <c r="F75" s="4" t="s">
        <v>2464</v>
      </c>
      <c r="G75" s="4" t="s">
        <v>59</v>
      </c>
      <c r="H75" s="15" t="s">
        <v>68</v>
      </c>
      <c r="I75" s="14"/>
      <c r="J75" s="14"/>
      <c r="K75" s="14"/>
      <c r="L75" s="14"/>
    </row>
    <row r="76" ht="15.75" customHeight="1">
      <c r="A76" s="8"/>
      <c r="B76" s="14" t="s">
        <v>2636</v>
      </c>
      <c r="C76" s="5">
        <v>8000000.0</v>
      </c>
      <c r="D76" s="5">
        <v>0.0</v>
      </c>
      <c r="E76" s="5">
        <f t="shared" si="1"/>
        <v>130238500</v>
      </c>
      <c r="F76" s="4" t="s">
        <v>2464</v>
      </c>
      <c r="G76" s="4" t="s">
        <v>59</v>
      </c>
      <c r="H76" s="15" t="s">
        <v>68</v>
      </c>
      <c r="I76" s="14"/>
      <c r="J76" s="14"/>
      <c r="K76" s="14"/>
      <c r="L76" s="14"/>
    </row>
    <row r="77" ht="15.75" customHeight="1">
      <c r="A77" s="8"/>
      <c r="B77" s="14" t="s">
        <v>2639</v>
      </c>
      <c r="C77" s="5">
        <v>1500000.0</v>
      </c>
      <c r="D77" s="5">
        <v>0.0</v>
      </c>
      <c r="E77" s="5">
        <f t="shared" si="1"/>
        <v>128738500</v>
      </c>
      <c r="F77" s="4" t="s">
        <v>2464</v>
      </c>
      <c r="G77" s="4" t="s">
        <v>59</v>
      </c>
      <c r="H77" s="15" t="s">
        <v>68</v>
      </c>
      <c r="I77" s="14"/>
      <c r="J77" s="14"/>
      <c r="K77" s="14"/>
      <c r="L77" s="14"/>
    </row>
    <row r="78" ht="15.75" customHeight="1">
      <c r="A78" s="8"/>
      <c r="B78" s="14" t="s">
        <v>2642</v>
      </c>
      <c r="C78" s="5">
        <v>45000.0</v>
      </c>
      <c r="D78" s="5">
        <v>0.0</v>
      </c>
      <c r="E78" s="5">
        <f t="shared" si="1"/>
        <v>128693500</v>
      </c>
      <c r="F78" s="4" t="s">
        <v>2464</v>
      </c>
      <c r="G78" s="4" t="s">
        <v>59</v>
      </c>
      <c r="H78" s="15" t="s">
        <v>68</v>
      </c>
      <c r="I78" s="14"/>
      <c r="J78" s="14"/>
      <c r="K78" s="14"/>
      <c r="L78" s="14"/>
    </row>
    <row r="79" ht="15.75" customHeight="1">
      <c r="A79" s="8"/>
      <c r="B79" s="14" t="s">
        <v>2644</v>
      </c>
      <c r="C79" s="5">
        <v>3402500.0</v>
      </c>
      <c r="D79" s="5">
        <v>0.0</v>
      </c>
      <c r="E79" s="5">
        <f t="shared" si="1"/>
        <v>125291000</v>
      </c>
      <c r="F79" s="4" t="s">
        <v>2464</v>
      </c>
      <c r="G79" s="4" t="s">
        <v>59</v>
      </c>
      <c r="H79" s="15" t="s">
        <v>68</v>
      </c>
      <c r="I79" s="14"/>
      <c r="J79" s="14"/>
      <c r="K79" s="14"/>
      <c r="L79" s="14"/>
    </row>
    <row r="80" ht="15.75" customHeight="1">
      <c r="A80" s="8"/>
      <c r="B80" s="14" t="s">
        <v>2647</v>
      </c>
      <c r="C80" s="5">
        <v>940000.0</v>
      </c>
      <c r="D80" s="5">
        <v>0.0</v>
      </c>
      <c r="E80" s="5">
        <f t="shared" si="1"/>
        <v>124351000</v>
      </c>
      <c r="F80" s="4" t="s">
        <v>2464</v>
      </c>
      <c r="G80" s="4" t="s">
        <v>59</v>
      </c>
      <c r="H80" s="15" t="s">
        <v>68</v>
      </c>
      <c r="I80" s="14"/>
      <c r="J80" s="14"/>
      <c r="K80" s="14"/>
      <c r="L80" s="14"/>
    </row>
    <row r="81" ht="15.75" customHeight="1">
      <c r="A81" s="8"/>
      <c r="B81" s="14" t="s">
        <v>2649</v>
      </c>
      <c r="C81" s="5">
        <v>80000.0</v>
      </c>
      <c r="D81" s="5">
        <v>0.0</v>
      </c>
      <c r="E81" s="5">
        <f t="shared" si="1"/>
        <v>124271000</v>
      </c>
      <c r="F81" s="4" t="s">
        <v>2464</v>
      </c>
      <c r="G81" s="4" t="s">
        <v>59</v>
      </c>
      <c r="H81" s="15" t="s">
        <v>68</v>
      </c>
      <c r="I81" s="14"/>
      <c r="J81" s="14"/>
      <c r="K81" s="14"/>
      <c r="L81" s="14"/>
    </row>
    <row r="82" ht="15.75" customHeight="1">
      <c r="A82" s="8"/>
      <c r="B82" s="14" t="s">
        <v>2651</v>
      </c>
      <c r="C82" s="5">
        <v>120000.0</v>
      </c>
      <c r="D82" s="5">
        <v>0.0</v>
      </c>
      <c r="E82" s="5">
        <f t="shared" si="1"/>
        <v>124151000</v>
      </c>
      <c r="F82" s="4" t="s">
        <v>2464</v>
      </c>
      <c r="G82" s="4" t="s">
        <v>59</v>
      </c>
      <c r="H82" s="15" t="s">
        <v>68</v>
      </c>
      <c r="I82" s="14"/>
      <c r="J82" s="14"/>
      <c r="K82" s="14"/>
      <c r="L82" s="14"/>
    </row>
    <row r="83" ht="15.75" customHeight="1">
      <c r="A83" s="8"/>
      <c r="B83" s="14" t="s">
        <v>2654</v>
      </c>
      <c r="C83" s="5">
        <v>200000.0</v>
      </c>
      <c r="D83" s="5">
        <v>0.0</v>
      </c>
      <c r="E83" s="5">
        <f t="shared" si="1"/>
        <v>123951000</v>
      </c>
      <c r="F83" s="4" t="s">
        <v>2464</v>
      </c>
      <c r="G83" s="4" t="s">
        <v>59</v>
      </c>
      <c r="H83" s="15" t="s">
        <v>68</v>
      </c>
      <c r="I83" s="14"/>
      <c r="J83" s="14"/>
      <c r="K83" s="14"/>
      <c r="L83" s="14"/>
    </row>
    <row r="84" ht="15.75" customHeight="1">
      <c r="A84" s="8"/>
      <c r="B84" s="14" t="s">
        <v>2656</v>
      </c>
      <c r="C84" s="5">
        <v>200000.0</v>
      </c>
      <c r="D84" s="5">
        <v>0.0</v>
      </c>
      <c r="E84" s="5">
        <f t="shared" si="1"/>
        <v>123751000</v>
      </c>
      <c r="F84" s="4" t="s">
        <v>2464</v>
      </c>
      <c r="G84" s="4" t="s">
        <v>59</v>
      </c>
      <c r="H84" s="15" t="s">
        <v>68</v>
      </c>
      <c r="I84" s="14"/>
      <c r="J84" s="14"/>
      <c r="K84" s="14"/>
      <c r="L84" s="14"/>
    </row>
    <row r="85" ht="15.75" customHeight="1">
      <c r="A85" s="8"/>
      <c r="B85" s="14" t="s">
        <v>2658</v>
      </c>
      <c r="C85" s="5">
        <v>3000000.0</v>
      </c>
      <c r="D85" s="5">
        <v>0.0</v>
      </c>
      <c r="E85" s="5">
        <f t="shared" si="1"/>
        <v>120751000</v>
      </c>
      <c r="F85" s="4" t="s">
        <v>2464</v>
      </c>
      <c r="G85" s="4" t="s">
        <v>59</v>
      </c>
      <c r="H85" s="15" t="s">
        <v>68</v>
      </c>
      <c r="I85" s="14"/>
      <c r="J85" s="14"/>
      <c r="K85" s="14"/>
      <c r="L85" s="14"/>
    </row>
    <row r="86" ht="15.75" customHeight="1">
      <c r="A86" s="8"/>
      <c r="B86" s="14" t="s">
        <v>2660</v>
      </c>
      <c r="C86" s="5">
        <v>2.0E7</v>
      </c>
      <c r="D86" s="5">
        <v>0.0</v>
      </c>
      <c r="E86" s="5">
        <f t="shared" si="1"/>
        <v>100751000</v>
      </c>
      <c r="F86" s="4" t="s">
        <v>2464</v>
      </c>
      <c r="G86" s="4" t="s">
        <v>59</v>
      </c>
      <c r="H86" s="15" t="s">
        <v>68</v>
      </c>
      <c r="I86" s="14"/>
      <c r="J86" s="14"/>
      <c r="K86" s="14"/>
      <c r="L86" s="14"/>
    </row>
    <row r="87" ht="15.75" customHeight="1">
      <c r="A87" s="8"/>
      <c r="B87" s="14" t="s">
        <v>2662</v>
      </c>
      <c r="C87" s="5">
        <v>4100000.0</v>
      </c>
      <c r="D87" s="5">
        <v>0.0</v>
      </c>
      <c r="E87" s="5">
        <f t="shared" si="1"/>
        <v>96651000</v>
      </c>
      <c r="F87" s="4" t="s">
        <v>2464</v>
      </c>
      <c r="G87" s="4" t="s">
        <v>59</v>
      </c>
      <c r="H87" s="15" t="s">
        <v>68</v>
      </c>
      <c r="I87" s="14"/>
      <c r="J87" s="14"/>
      <c r="K87" s="14"/>
      <c r="L87" s="14"/>
    </row>
    <row r="88" ht="15.75" customHeight="1">
      <c r="A88" s="8"/>
      <c r="B88" s="14" t="s">
        <v>2663</v>
      </c>
      <c r="C88" s="5">
        <v>6.275E7</v>
      </c>
      <c r="D88" s="5">
        <v>0.0</v>
      </c>
      <c r="E88" s="5">
        <f t="shared" si="1"/>
        <v>33901000</v>
      </c>
      <c r="F88" s="4" t="s">
        <v>2464</v>
      </c>
      <c r="G88" s="4" t="s">
        <v>59</v>
      </c>
      <c r="H88" s="15" t="s">
        <v>68</v>
      </c>
      <c r="I88" s="14"/>
      <c r="J88" s="14"/>
      <c r="K88" s="14"/>
      <c r="L88" s="14"/>
    </row>
    <row r="89" ht="15.75" customHeight="1">
      <c r="A89" s="8"/>
      <c r="B89" s="14" t="s">
        <v>2665</v>
      </c>
      <c r="C89" s="5">
        <v>6872500.0</v>
      </c>
      <c r="D89" s="5">
        <v>0.0</v>
      </c>
      <c r="E89" s="5">
        <f t="shared" si="1"/>
        <v>27028500</v>
      </c>
      <c r="F89" s="4" t="s">
        <v>2464</v>
      </c>
      <c r="G89" s="4" t="s">
        <v>59</v>
      </c>
      <c r="H89" s="15" t="s">
        <v>68</v>
      </c>
      <c r="I89" s="14"/>
      <c r="J89" s="14"/>
      <c r="K89" s="14"/>
      <c r="L89" s="14"/>
    </row>
    <row r="90" ht="15.75" customHeight="1">
      <c r="A90" s="8"/>
      <c r="B90" s="14" t="s">
        <v>2667</v>
      </c>
      <c r="C90" s="5">
        <v>628500.0</v>
      </c>
      <c r="D90" s="5">
        <v>0.0</v>
      </c>
      <c r="E90" s="5">
        <f t="shared" si="1"/>
        <v>26400000</v>
      </c>
      <c r="F90" s="4" t="s">
        <v>2464</v>
      </c>
      <c r="G90" s="4" t="s">
        <v>59</v>
      </c>
      <c r="H90" s="15" t="s">
        <v>68</v>
      </c>
      <c r="I90" s="14"/>
      <c r="J90" s="14"/>
      <c r="K90" s="14"/>
      <c r="L90" s="14"/>
    </row>
    <row r="91" ht="15.75" customHeight="1">
      <c r="A91" s="8"/>
      <c r="B91" s="14" t="s">
        <v>2663</v>
      </c>
      <c r="C91" s="5">
        <v>2.64E7</v>
      </c>
      <c r="D91" s="5">
        <v>0.0</v>
      </c>
      <c r="E91" s="5">
        <f t="shared" si="1"/>
        <v>0</v>
      </c>
      <c r="F91" s="4" t="s">
        <v>2464</v>
      </c>
      <c r="G91" s="4" t="s">
        <v>59</v>
      </c>
      <c r="H91" s="15" t="s">
        <v>68</v>
      </c>
      <c r="I91" s="14"/>
      <c r="J91" s="14"/>
      <c r="K91" s="14"/>
      <c r="L91" s="14"/>
    </row>
    <row r="92" ht="15.75" customHeight="1">
      <c r="A92" s="8">
        <v>46023.0</v>
      </c>
      <c r="B92" s="14" t="s">
        <v>2451</v>
      </c>
      <c r="C92" s="5">
        <v>0.0</v>
      </c>
      <c r="D92" s="5">
        <v>6.06199815E8</v>
      </c>
      <c r="E92" s="5">
        <f t="shared" si="1"/>
        <v>606199815</v>
      </c>
      <c r="F92" s="14" t="s">
        <v>24</v>
      </c>
      <c r="G92" s="14" t="s">
        <v>125</v>
      </c>
      <c r="H92" s="15" t="s">
        <v>2670</v>
      </c>
      <c r="I92" s="14"/>
      <c r="J92" s="14"/>
      <c r="K92" s="14"/>
      <c r="L92" s="14"/>
    </row>
    <row r="93" ht="15.75" customHeight="1">
      <c r="A93" s="8"/>
      <c r="B93" s="14" t="s">
        <v>2672</v>
      </c>
      <c r="C93" s="5">
        <v>150000.0</v>
      </c>
      <c r="D93" s="5">
        <v>0.0</v>
      </c>
      <c r="E93" s="5">
        <f t="shared" si="1"/>
        <v>606049815</v>
      </c>
      <c r="F93" s="4" t="s">
        <v>2464</v>
      </c>
      <c r="G93" s="4" t="s">
        <v>59</v>
      </c>
      <c r="H93" s="15" t="s">
        <v>2670</v>
      </c>
      <c r="I93" s="14"/>
      <c r="J93" s="14"/>
      <c r="K93" s="14"/>
      <c r="L93" s="14"/>
    </row>
    <row r="94" ht="15.75" customHeight="1">
      <c r="A94" s="8"/>
      <c r="B94" s="14" t="s">
        <v>2674</v>
      </c>
      <c r="C94" s="5">
        <v>950000.0</v>
      </c>
      <c r="D94" s="5">
        <v>0.0</v>
      </c>
      <c r="E94" s="5">
        <f t="shared" si="1"/>
        <v>605099815</v>
      </c>
      <c r="F94" s="4" t="s">
        <v>2464</v>
      </c>
      <c r="G94" s="4" t="s">
        <v>59</v>
      </c>
      <c r="H94" s="15" t="s">
        <v>2670</v>
      </c>
      <c r="I94" s="14"/>
      <c r="J94" s="14"/>
      <c r="K94" s="14"/>
      <c r="L94" s="14"/>
    </row>
    <row r="95" ht="15.75" customHeight="1">
      <c r="A95" s="8"/>
      <c r="B95" s="14" t="s">
        <v>2676</v>
      </c>
      <c r="C95" s="5">
        <v>1350000.0</v>
      </c>
      <c r="D95" s="5">
        <v>0.0</v>
      </c>
      <c r="E95" s="5">
        <f t="shared" si="1"/>
        <v>603749815</v>
      </c>
      <c r="F95" s="4" t="s">
        <v>2464</v>
      </c>
      <c r="G95" s="4" t="s">
        <v>59</v>
      </c>
      <c r="H95" s="15" t="s">
        <v>2670</v>
      </c>
      <c r="I95" s="14"/>
      <c r="J95" s="14"/>
      <c r="K95" s="14"/>
      <c r="L95" s="14"/>
    </row>
    <row r="96" ht="15.75" customHeight="1">
      <c r="A96" s="8"/>
      <c r="B96" s="14" t="s">
        <v>2678</v>
      </c>
      <c r="C96" s="5">
        <v>900000.0</v>
      </c>
      <c r="D96" s="5">
        <v>0.0</v>
      </c>
      <c r="E96" s="5">
        <f t="shared" si="1"/>
        <v>602849815</v>
      </c>
      <c r="F96" s="4" t="s">
        <v>2464</v>
      </c>
      <c r="G96" s="4" t="s">
        <v>59</v>
      </c>
      <c r="H96" s="15" t="s">
        <v>2670</v>
      </c>
      <c r="I96" s="14"/>
      <c r="J96" s="14"/>
      <c r="K96" s="14"/>
      <c r="L96" s="14"/>
    </row>
    <row r="97" ht="15.75" customHeight="1">
      <c r="A97" s="8"/>
      <c r="B97" s="14" t="s">
        <v>2680</v>
      </c>
      <c r="C97" s="5">
        <v>1250000.0</v>
      </c>
      <c r="D97" s="5">
        <v>0.0</v>
      </c>
      <c r="E97" s="5">
        <f t="shared" si="1"/>
        <v>601599815</v>
      </c>
      <c r="F97" s="4" t="s">
        <v>2464</v>
      </c>
      <c r="G97" s="4" t="s">
        <v>59</v>
      </c>
      <c r="H97" s="15" t="s">
        <v>2670</v>
      </c>
      <c r="I97" s="14"/>
      <c r="J97" s="14"/>
      <c r="K97" s="14"/>
      <c r="L97" s="14"/>
    </row>
    <row r="98" ht="15.75" customHeight="1">
      <c r="A98" s="8"/>
      <c r="B98" s="14" t="s">
        <v>2682</v>
      </c>
      <c r="C98" s="5">
        <v>150000.0</v>
      </c>
      <c r="D98" s="5">
        <v>0.0</v>
      </c>
      <c r="E98" s="5">
        <f t="shared" si="1"/>
        <v>601449815</v>
      </c>
      <c r="F98" s="4" t="s">
        <v>2464</v>
      </c>
      <c r="G98" s="4" t="s">
        <v>59</v>
      </c>
      <c r="H98" s="15" t="s">
        <v>2670</v>
      </c>
      <c r="I98" s="14"/>
      <c r="J98" s="14"/>
      <c r="K98" s="14"/>
      <c r="L98" s="14"/>
    </row>
    <row r="99" ht="15.75" customHeight="1">
      <c r="A99" s="8"/>
      <c r="B99" s="14" t="s">
        <v>2684</v>
      </c>
      <c r="C99" s="5">
        <v>577000.0</v>
      </c>
      <c r="D99" s="5">
        <v>0.0</v>
      </c>
      <c r="E99" s="5">
        <f t="shared" si="1"/>
        <v>600872815</v>
      </c>
      <c r="F99" s="4" t="s">
        <v>2464</v>
      </c>
      <c r="G99" s="4" t="s">
        <v>59</v>
      </c>
      <c r="H99" s="15" t="s">
        <v>2670</v>
      </c>
      <c r="I99" s="14"/>
      <c r="J99" s="14"/>
      <c r="K99" s="14"/>
      <c r="L99" s="14"/>
    </row>
    <row r="100" ht="15.75" customHeight="1">
      <c r="A100" s="8"/>
      <c r="B100" s="14" t="s">
        <v>2685</v>
      </c>
      <c r="C100" s="5">
        <v>1000000.0</v>
      </c>
      <c r="D100" s="5">
        <v>0.0</v>
      </c>
      <c r="E100" s="5">
        <f t="shared" si="1"/>
        <v>599872815</v>
      </c>
      <c r="F100" s="4" t="s">
        <v>2464</v>
      </c>
      <c r="G100" s="4" t="s">
        <v>59</v>
      </c>
      <c r="H100" s="15" t="s">
        <v>2670</v>
      </c>
      <c r="I100" s="14"/>
      <c r="J100" s="14"/>
      <c r="K100" s="14"/>
      <c r="L100" s="14"/>
    </row>
    <row r="101" ht="15.75" customHeight="1">
      <c r="A101" s="8"/>
      <c r="B101" s="14" t="s">
        <v>2687</v>
      </c>
      <c r="C101" s="5">
        <v>1500000.0</v>
      </c>
      <c r="D101" s="5">
        <v>0.0</v>
      </c>
      <c r="E101" s="5">
        <f t="shared" si="1"/>
        <v>598372815</v>
      </c>
      <c r="F101" s="4" t="s">
        <v>2464</v>
      </c>
      <c r="G101" s="4" t="s">
        <v>59</v>
      </c>
      <c r="H101" s="15" t="s">
        <v>2670</v>
      </c>
      <c r="I101" s="14"/>
      <c r="J101" s="14"/>
      <c r="K101" s="14"/>
      <c r="L101" s="14"/>
    </row>
    <row r="102" ht="15.75" customHeight="1">
      <c r="A102" s="8"/>
      <c r="B102" s="14" t="s">
        <v>2689</v>
      </c>
      <c r="C102" s="5">
        <v>1718500.0</v>
      </c>
      <c r="D102" s="5">
        <v>0.0</v>
      </c>
      <c r="E102" s="5">
        <f t="shared" si="1"/>
        <v>596654315</v>
      </c>
      <c r="F102" s="4" t="s">
        <v>2464</v>
      </c>
      <c r="G102" s="4" t="s">
        <v>59</v>
      </c>
      <c r="H102" s="15" t="s">
        <v>2670</v>
      </c>
      <c r="I102" s="14"/>
      <c r="J102" s="14"/>
      <c r="K102" s="14"/>
      <c r="L102" s="14"/>
    </row>
    <row r="103" ht="15.75" customHeight="1">
      <c r="A103" s="8"/>
      <c r="B103" s="14" t="s">
        <v>2691</v>
      </c>
      <c r="C103" s="5">
        <v>7000000.0</v>
      </c>
      <c r="D103" s="5">
        <v>0.0</v>
      </c>
      <c r="E103" s="5">
        <f t="shared" si="1"/>
        <v>589654315</v>
      </c>
      <c r="F103" s="4" t="s">
        <v>2464</v>
      </c>
      <c r="G103" s="4" t="s">
        <v>59</v>
      </c>
      <c r="H103" s="15" t="s">
        <v>2670</v>
      </c>
      <c r="I103" s="14"/>
      <c r="J103" s="14"/>
      <c r="K103" s="14"/>
      <c r="L103" s="14"/>
    </row>
    <row r="104" ht="15.75" customHeight="1">
      <c r="A104" s="8"/>
      <c r="B104" s="14" t="s">
        <v>2694</v>
      </c>
      <c r="C104" s="5">
        <v>7000000.0</v>
      </c>
      <c r="D104" s="5">
        <v>0.0</v>
      </c>
      <c r="E104" s="5">
        <f t="shared" si="1"/>
        <v>582654315</v>
      </c>
      <c r="F104" s="4" t="s">
        <v>2464</v>
      </c>
      <c r="G104" s="4" t="s">
        <v>59</v>
      </c>
      <c r="H104" s="15" t="s">
        <v>2670</v>
      </c>
      <c r="I104" s="14"/>
      <c r="J104" s="14"/>
      <c r="K104" s="14"/>
      <c r="L104" s="14"/>
    </row>
    <row r="105" ht="15.75" customHeight="1">
      <c r="A105" s="8"/>
      <c r="B105" s="14" t="s">
        <v>2696</v>
      </c>
      <c r="C105" s="5">
        <v>6125000.0</v>
      </c>
      <c r="D105" s="5">
        <v>0.0</v>
      </c>
      <c r="E105" s="5">
        <f t="shared" si="1"/>
        <v>576529315</v>
      </c>
      <c r="F105" s="4" t="s">
        <v>2464</v>
      </c>
      <c r="G105" s="4" t="s">
        <v>59</v>
      </c>
      <c r="H105" s="15" t="s">
        <v>2670</v>
      </c>
      <c r="I105" s="14"/>
      <c r="J105" s="14"/>
      <c r="K105" s="14"/>
      <c r="L105" s="14"/>
    </row>
    <row r="106" ht="15.75" customHeight="1">
      <c r="A106" s="8"/>
      <c r="B106" s="14" t="s">
        <v>2698</v>
      </c>
      <c r="C106" s="5">
        <v>5400000.0</v>
      </c>
      <c r="D106" s="5">
        <v>0.0</v>
      </c>
      <c r="E106" s="5">
        <f t="shared" si="1"/>
        <v>571129315</v>
      </c>
      <c r="F106" s="4" t="s">
        <v>2464</v>
      </c>
      <c r="G106" s="4" t="s">
        <v>59</v>
      </c>
      <c r="H106" s="15" t="s">
        <v>2670</v>
      </c>
      <c r="I106" s="14"/>
      <c r="J106" s="14"/>
      <c r="K106" s="14"/>
      <c r="L106" s="14"/>
    </row>
    <row r="107" ht="15.75" customHeight="1">
      <c r="A107" s="8"/>
      <c r="B107" s="14" t="s">
        <v>2700</v>
      </c>
      <c r="C107" s="5">
        <v>1.0625E7</v>
      </c>
      <c r="D107" s="5">
        <v>0.0</v>
      </c>
      <c r="E107" s="5">
        <f t="shared" si="1"/>
        <v>560504315</v>
      </c>
      <c r="F107" s="4" t="s">
        <v>2464</v>
      </c>
      <c r="G107" s="4" t="s">
        <v>59</v>
      </c>
      <c r="H107" s="15" t="s">
        <v>2670</v>
      </c>
      <c r="I107" s="14"/>
      <c r="J107" s="14"/>
      <c r="K107" s="14"/>
      <c r="L107" s="14"/>
    </row>
    <row r="108" ht="15.75" customHeight="1">
      <c r="A108" s="8"/>
      <c r="B108" s="14" t="s">
        <v>2702</v>
      </c>
      <c r="C108" s="5">
        <v>1.47E7</v>
      </c>
      <c r="D108" s="5">
        <v>0.0</v>
      </c>
      <c r="E108" s="5">
        <f t="shared" si="1"/>
        <v>545804315</v>
      </c>
      <c r="F108" s="4" t="s">
        <v>2464</v>
      </c>
      <c r="G108" s="4" t="s">
        <v>59</v>
      </c>
      <c r="H108" s="15" t="s">
        <v>2670</v>
      </c>
      <c r="I108" s="14"/>
      <c r="J108" s="14"/>
      <c r="K108" s="14"/>
      <c r="L108" s="14"/>
    </row>
    <row r="109" ht="15.75" customHeight="1">
      <c r="A109" s="8"/>
      <c r="B109" s="14" t="s">
        <v>2704</v>
      </c>
      <c r="C109" s="5">
        <v>120000.0</v>
      </c>
      <c r="D109" s="5">
        <v>0.0</v>
      </c>
      <c r="E109" s="5">
        <f t="shared" si="1"/>
        <v>545684315</v>
      </c>
      <c r="F109" s="4" t="s">
        <v>2464</v>
      </c>
      <c r="G109" s="4" t="s">
        <v>59</v>
      </c>
      <c r="H109" s="15" t="s">
        <v>2670</v>
      </c>
      <c r="I109" s="14"/>
      <c r="J109" s="14"/>
      <c r="K109" s="14"/>
      <c r="L109" s="14"/>
    </row>
    <row r="110" ht="15.75" customHeight="1">
      <c r="A110" s="8"/>
      <c r="B110" s="14" t="s">
        <v>2705</v>
      </c>
      <c r="C110" s="5">
        <v>345000.0</v>
      </c>
      <c r="D110" s="5">
        <v>0.0</v>
      </c>
      <c r="E110" s="5">
        <f t="shared" si="1"/>
        <v>545339315</v>
      </c>
      <c r="F110" s="4" t="s">
        <v>2464</v>
      </c>
      <c r="G110" s="4" t="s">
        <v>59</v>
      </c>
      <c r="H110" s="15" t="s">
        <v>2670</v>
      </c>
      <c r="I110" s="14"/>
      <c r="J110" s="14"/>
      <c r="K110" s="14"/>
      <c r="L110" s="14"/>
    </row>
    <row r="111" ht="15.75" customHeight="1">
      <c r="A111" s="8"/>
      <c r="B111" s="14" t="s">
        <v>2707</v>
      </c>
      <c r="C111" s="5">
        <v>125000.0</v>
      </c>
      <c r="D111" s="5">
        <v>0.0</v>
      </c>
      <c r="E111" s="5">
        <f t="shared" si="1"/>
        <v>545214315</v>
      </c>
      <c r="F111" s="4" t="s">
        <v>2464</v>
      </c>
      <c r="G111" s="4" t="s">
        <v>59</v>
      </c>
      <c r="H111" s="15" t="s">
        <v>2670</v>
      </c>
      <c r="I111" s="14"/>
      <c r="J111" s="14"/>
      <c r="K111" s="14"/>
      <c r="L111" s="14"/>
    </row>
    <row r="112" ht="15.75" customHeight="1">
      <c r="A112" s="8"/>
      <c r="B112" s="14" t="s">
        <v>2709</v>
      </c>
      <c r="C112" s="5">
        <v>274300.0</v>
      </c>
      <c r="D112" s="5">
        <v>0.0</v>
      </c>
      <c r="E112" s="5">
        <f t="shared" si="1"/>
        <v>544940015</v>
      </c>
      <c r="F112" s="4" t="s">
        <v>2464</v>
      </c>
      <c r="G112" s="4" t="s">
        <v>59</v>
      </c>
      <c r="H112" s="15" t="s">
        <v>2670</v>
      </c>
      <c r="I112" s="14"/>
      <c r="J112" s="14"/>
      <c r="K112" s="14"/>
      <c r="L112" s="14"/>
    </row>
    <row r="113" ht="15.75" customHeight="1">
      <c r="A113" s="8"/>
      <c r="B113" s="14" t="s">
        <v>2711</v>
      </c>
      <c r="C113" s="5">
        <v>200000.0</v>
      </c>
      <c r="D113" s="5">
        <v>0.0</v>
      </c>
      <c r="E113" s="5">
        <f t="shared" si="1"/>
        <v>544740015</v>
      </c>
      <c r="F113" s="4" t="s">
        <v>2464</v>
      </c>
      <c r="G113" s="4" t="s">
        <v>59</v>
      </c>
      <c r="H113" s="15" t="s">
        <v>2670</v>
      </c>
      <c r="I113" s="14"/>
      <c r="J113" s="14"/>
      <c r="K113" s="14"/>
      <c r="L113" s="14"/>
    </row>
    <row r="114" ht="15.75" customHeight="1">
      <c r="A114" s="8"/>
      <c r="B114" s="14" t="s">
        <v>2713</v>
      </c>
      <c r="C114" s="5">
        <v>40000.0</v>
      </c>
      <c r="D114" s="5">
        <v>0.0</v>
      </c>
      <c r="E114" s="5">
        <f t="shared" si="1"/>
        <v>544700015</v>
      </c>
      <c r="F114" s="4" t="s">
        <v>2464</v>
      </c>
      <c r="G114" s="4" t="s">
        <v>59</v>
      </c>
      <c r="H114" s="15" t="s">
        <v>2670</v>
      </c>
      <c r="I114" s="14"/>
      <c r="J114" s="14"/>
      <c r="K114" s="14"/>
      <c r="L114" s="14"/>
    </row>
    <row r="115" ht="15.75" customHeight="1">
      <c r="A115" s="8"/>
      <c r="B115" s="14" t="s">
        <v>2715</v>
      </c>
      <c r="C115" s="5">
        <v>130834.0</v>
      </c>
      <c r="D115" s="5">
        <v>0.0</v>
      </c>
      <c r="E115" s="5">
        <f t="shared" si="1"/>
        <v>544569181</v>
      </c>
      <c r="F115" s="4" t="s">
        <v>2464</v>
      </c>
      <c r="G115" s="4" t="s">
        <v>59</v>
      </c>
      <c r="H115" s="15" t="s">
        <v>2670</v>
      </c>
      <c r="I115" s="14"/>
      <c r="J115" s="14"/>
      <c r="K115" s="14"/>
      <c r="L115" s="14"/>
    </row>
    <row r="116" ht="15.75" customHeight="1">
      <c r="A116" s="8"/>
      <c r="B116" s="14" t="s">
        <v>2716</v>
      </c>
      <c r="C116" s="5">
        <v>1882060.0</v>
      </c>
      <c r="D116" s="5">
        <v>0.0</v>
      </c>
      <c r="E116" s="5">
        <f t="shared" si="1"/>
        <v>542687121</v>
      </c>
      <c r="F116" s="4" t="s">
        <v>2464</v>
      </c>
      <c r="G116" s="4" t="s">
        <v>59</v>
      </c>
      <c r="H116" s="15" t="s">
        <v>2670</v>
      </c>
      <c r="I116" s="14"/>
      <c r="J116" s="14"/>
      <c r="K116" s="14"/>
      <c r="L116" s="14"/>
    </row>
    <row r="117" ht="15.75" customHeight="1">
      <c r="A117" s="8"/>
      <c r="B117" s="14" t="s">
        <v>2717</v>
      </c>
      <c r="C117" s="5">
        <v>502800.0</v>
      </c>
      <c r="D117" s="5">
        <v>0.0</v>
      </c>
      <c r="E117" s="5">
        <f t="shared" si="1"/>
        <v>542184321</v>
      </c>
      <c r="F117" s="4" t="s">
        <v>2464</v>
      </c>
      <c r="G117" s="4" t="s">
        <v>59</v>
      </c>
      <c r="H117" s="15" t="s">
        <v>2670</v>
      </c>
      <c r="I117" s="14"/>
      <c r="J117" s="14"/>
      <c r="K117" s="14"/>
      <c r="L117" s="14"/>
    </row>
    <row r="118" ht="15.75" customHeight="1">
      <c r="A118" s="8"/>
      <c r="B118" s="14" t="s">
        <v>2719</v>
      </c>
      <c r="C118" s="5">
        <v>1072188.0</v>
      </c>
      <c r="D118" s="5">
        <v>0.0</v>
      </c>
      <c r="E118" s="5">
        <f t="shared" si="1"/>
        <v>541112133</v>
      </c>
      <c r="F118" s="4" t="s">
        <v>2464</v>
      </c>
      <c r="G118" s="4" t="s">
        <v>59</v>
      </c>
      <c r="H118" s="15" t="s">
        <v>2670</v>
      </c>
      <c r="I118" s="14"/>
      <c r="J118" s="14"/>
      <c r="K118" s="14"/>
      <c r="L118" s="14"/>
    </row>
    <row r="119" ht="15.75" customHeight="1">
      <c r="A119" s="8"/>
      <c r="B119" s="14" t="s">
        <v>2720</v>
      </c>
      <c r="C119" s="5">
        <v>3.66625E7</v>
      </c>
      <c r="D119" s="5">
        <v>0.0</v>
      </c>
      <c r="E119" s="5">
        <f t="shared" si="1"/>
        <v>504449633</v>
      </c>
      <c r="F119" s="4" t="s">
        <v>2464</v>
      </c>
      <c r="G119" s="4" t="s">
        <v>59</v>
      </c>
      <c r="H119" s="15" t="s">
        <v>2670</v>
      </c>
      <c r="I119" s="14"/>
      <c r="J119" s="14"/>
      <c r="K119" s="14"/>
      <c r="L119" s="14"/>
    </row>
    <row r="120" ht="15.75" customHeight="1">
      <c r="A120" s="8"/>
      <c r="B120" s="14" t="s">
        <v>2722</v>
      </c>
      <c r="C120" s="5">
        <v>284700.0</v>
      </c>
      <c r="D120" s="5">
        <v>0.0</v>
      </c>
      <c r="E120" s="5">
        <f t="shared" si="1"/>
        <v>504164933</v>
      </c>
      <c r="F120" s="4" t="s">
        <v>2464</v>
      </c>
      <c r="G120" s="4" t="s">
        <v>59</v>
      </c>
      <c r="H120" s="15" t="s">
        <v>2670</v>
      </c>
      <c r="I120" s="14"/>
      <c r="J120" s="14"/>
      <c r="K120" s="14"/>
      <c r="L120" s="14"/>
    </row>
    <row r="121" ht="15.75" customHeight="1">
      <c r="A121" s="8"/>
      <c r="B121" s="14" t="s">
        <v>2724</v>
      </c>
      <c r="C121" s="5">
        <v>238600.0</v>
      </c>
      <c r="D121" s="5">
        <v>0.0</v>
      </c>
      <c r="E121" s="5">
        <f t="shared" si="1"/>
        <v>503926333</v>
      </c>
      <c r="F121" s="4" t="s">
        <v>2464</v>
      </c>
      <c r="G121" s="4" t="s">
        <v>59</v>
      </c>
      <c r="H121" s="15" t="s">
        <v>2670</v>
      </c>
      <c r="I121" s="14"/>
      <c r="J121" s="14"/>
      <c r="K121" s="14"/>
      <c r="L121" s="14"/>
    </row>
    <row r="122" ht="15.75" customHeight="1">
      <c r="A122" s="8"/>
      <c r="B122" s="14" t="s">
        <v>2725</v>
      </c>
      <c r="C122" s="5">
        <v>184500.0</v>
      </c>
      <c r="D122" s="5">
        <v>0.0</v>
      </c>
      <c r="E122" s="5">
        <f t="shared" si="1"/>
        <v>503741833</v>
      </c>
      <c r="F122" s="4" t="s">
        <v>2464</v>
      </c>
      <c r="G122" s="4" t="s">
        <v>59</v>
      </c>
      <c r="H122" s="15" t="s">
        <v>2670</v>
      </c>
      <c r="I122" s="14"/>
      <c r="J122" s="14"/>
      <c r="K122" s="14"/>
      <c r="L122" s="14"/>
    </row>
    <row r="123" ht="15.75" customHeight="1">
      <c r="A123" s="8"/>
      <c r="B123" s="14" t="s">
        <v>2727</v>
      </c>
      <c r="C123" s="5">
        <v>1674000.0</v>
      </c>
      <c r="D123" s="5">
        <v>0.0</v>
      </c>
      <c r="E123" s="5">
        <f t="shared" si="1"/>
        <v>502067833</v>
      </c>
      <c r="F123" s="4" t="s">
        <v>2464</v>
      </c>
      <c r="G123" s="4" t="s">
        <v>59</v>
      </c>
      <c r="H123" s="15" t="s">
        <v>2670</v>
      </c>
      <c r="I123" s="14"/>
      <c r="J123" s="14"/>
      <c r="K123" s="14"/>
      <c r="L123" s="14"/>
    </row>
    <row r="124" ht="15.75" customHeight="1">
      <c r="A124" s="8"/>
      <c r="B124" s="14" t="s">
        <v>2729</v>
      </c>
      <c r="C124" s="5">
        <v>15400.0</v>
      </c>
      <c r="D124" s="5">
        <v>0.0</v>
      </c>
      <c r="E124" s="5">
        <f t="shared" si="1"/>
        <v>502052433</v>
      </c>
      <c r="F124" s="4" t="s">
        <v>2464</v>
      </c>
      <c r="G124" s="4" t="s">
        <v>59</v>
      </c>
      <c r="H124" s="15" t="s">
        <v>2670</v>
      </c>
      <c r="I124" s="14"/>
      <c r="J124" s="14"/>
      <c r="K124" s="14"/>
      <c r="L124" s="14"/>
    </row>
    <row r="125" ht="15.75" customHeight="1">
      <c r="A125" s="8"/>
      <c r="B125" s="14" t="s">
        <v>2729</v>
      </c>
      <c r="C125" s="5">
        <v>838200.0</v>
      </c>
      <c r="D125" s="5">
        <v>0.0</v>
      </c>
      <c r="E125" s="5">
        <f t="shared" si="1"/>
        <v>501214233</v>
      </c>
      <c r="F125" s="4" t="s">
        <v>2464</v>
      </c>
      <c r="G125" s="4" t="s">
        <v>59</v>
      </c>
      <c r="H125" s="15" t="s">
        <v>2670</v>
      </c>
      <c r="I125" s="14"/>
      <c r="J125" s="14"/>
      <c r="K125" s="14"/>
      <c r="L125" s="14"/>
    </row>
    <row r="126" ht="15.75" customHeight="1">
      <c r="A126" s="8"/>
      <c r="B126" s="14" t="s">
        <v>2731</v>
      </c>
      <c r="C126" s="5">
        <v>1.993701E7</v>
      </c>
      <c r="D126" s="5">
        <v>0.0</v>
      </c>
      <c r="E126" s="5">
        <f t="shared" si="1"/>
        <v>481277223</v>
      </c>
      <c r="F126" s="4" t="s">
        <v>2464</v>
      </c>
      <c r="G126" s="4" t="s">
        <v>59</v>
      </c>
      <c r="H126" s="15" t="s">
        <v>2670</v>
      </c>
      <c r="I126" s="14"/>
      <c r="J126" s="14"/>
      <c r="K126" s="14"/>
      <c r="L126" s="14"/>
    </row>
    <row r="127" ht="15.75" customHeight="1">
      <c r="A127" s="8"/>
      <c r="B127" s="14" t="s">
        <v>2733</v>
      </c>
      <c r="C127" s="5">
        <v>1.5E7</v>
      </c>
      <c r="D127" s="5">
        <v>0.0</v>
      </c>
      <c r="E127" s="5">
        <f t="shared" si="1"/>
        <v>466277223</v>
      </c>
      <c r="F127" s="4" t="s">
        <v>2464</v>
      </c>
      <c r="G127" s="4" t="s">
        <v>59</v>
      </c>
      <c r="H127" s="15" t="s">
        <v>2670</v>
      </c>
      <c r="I127" s="14"/>
      <c r="J127" s="14"/>
      <c r="K127" s="14"/>
      <c r="L127" s="14"/>
    </row>
    <row r="128" ht="15.75" customHeight="1">
      <c r="A128" s="8"/>
      <c r="B128" s="14" t="s">
        <v>2578</v>
      </c>
      <c r="C128" s="5">
        <v>1.7E8</v>
      </c>
      <c r="D128" s="5">
        <v>0.0</v>
      </c>
      <c r="E128" s="5">
        <f t="shared" si="1"/>
        <v>296277223</v>
      </c>
      <c r="F128" s="4" t="s">
        <v>2464</v>
      </c>
      <c r="G128" s="4" t="s">
        <v>59</v>
      </c>
      <c r="H128" s="15" t="s">
        <v>2670</v>
      </c>
      <c r="I128" s="14"/>
      <c r="J128" s="14"/>
      <c r="K128" s="14"/>
      <c r="L128" s="14"/>
    </row>
    <row r="129" ht="15.75" customHeight="1">
      <c r="A129" s="8"/>
      <c r="B129" s="14" t="s">
        <v>2736</v>
      </c>
      <c r="C129" s="5">
        <v>5000000.0</v>
      </c>
      <c r="D129" s="5">
        <v>0.0</v>
      </c>
      <c r="E129" s="5">
        <f t="shared" si="1"/>
        <v>291277223</v>
      </c>
      <c r="F129" s="4" t="s">
        <v>2464</v>
      </c>
      <c r="G129" s="4" t="s">
        <v>59</v>
      </c>
      <c r="H129" s="15" t="s">
        <v>2670</v>
      </c>
      <c r="I129" s="14"/>
      <c r="J129" s="14"/>
      <c r="K129" s="14"/>
      <c r="L129" s="14"/>
    </row>
    <row r="130" ht="15.75" customHeight="1">
      <c r="A130" s="8"/>
      <c r="B130" s="14" t="s">
        <v>2738</v>
      </c>
      <c r="C130" s="5">
        <v>8000000.0</v>
      </c>
      <c r="D130" s="5">
        <v>0.0</v>
      </c>
      <c r="E130" s="5">
        <f t="shared" si="1"/>
        <v>283277223</v>
      </c>
      <c r="F130" s="4" t="s">
        <v>2464</v>
      </c>
      <c r="G130" s="4" t="s">
        <v>59</v>
      </c>
      <c r="H130" s="15" t="s">
        <v>2670</v>
      </c>
      <c r="I130" s="14"/>
      <c r="J130" s="14"/>
      <c r="K130" s="14"/>
      <c r="L130" s="14"/>
    </row>
    <row r="131" ht="15.75" customHeight="1">
      <c r="A131" s="8"/>
      <c r="B131" s="14" t="s">
        <v>2741</v>
      </c>
      <c r="C131" s="5">
        <v>9796250.0</v>
      </c>
      <c r="D131" s="5">
        <v>0.0</v>
      </c>
      <c r="E131" s="5">
        <f t="shared" si="1"/>
        <v>273480973</v>
      </c>
      <c r="F131" s="4" t="s">
        <v>2464</v>
      </c>
      <c r="G131" s="4" t="s">
        <v>59</v>
      </c>
      <c r="H131" s="15" t="s">
        <v>2670</v>
      </c>
      <c r="I131" s="14"/>
      <c r="J131" s="14"/>
      <c r="K131" s="14"/>
      <c r="L131" s="14"/>
    </row>
    <row r="132" ht="15.75" customHeight="1">
      <c r="A132" s="8"/>
      <c r="B132" s="14" t="s">
        <v>2743</v>
      </c>
      <c r="C132" s="5">
        <v>627500.0</v>
      </c>
      <c r="D132" s="5">
        <v>0.0</v>
      </c>
      <c r="E132" s="5">
        <f t="shared" si="1"/>
        <v>272853473</v>
      </c>
      <c r="F132" s="4" t="s">
        <v>2464</v>
      </c>
      <c r="G132" s="4" t="s">
        <v>59</v>
      </c>
      <c r="H132" s="15" t="s">
        <v>2670</v>
      </c>
      <c r="I132" s="14"/>
      <c r="J132" s="14"/>
      <c r="K132" s="14"/>
      <c r="L132" s="14"/>
    </row>
    <row r="133" ht="15.75" customHeight="1">
      <c r="A133" s="8"/>
      <c r="B133" s="14" t="s">
        <v>2745</v>
      </c>
      <c r="C133" s="5">
        <v>101000.0</v>
      </c>
      <c r="D133" s="5">
        <v>0.0</v>
      </c>
      <c r="E133" s="5">
        <f t="shared" si="1"/>
        <v>272752473</v>
      </c>
      <c r="F133" s="4" t="s">
        <v>2464</v>
      </c>
      <c r="G133" s="4" t="s">
        <v>59</v>
      </c>
      <c r="H133" s="15" t="s">
        <v>2670</v>
      </c>
      <c r="I133" s="14"/>
      <c r="J133" s="14"/>
      <c r="K133" s="14"/>
      <c r="L133" s="14"/>
    </row>
    <row r="134" ht="15.75" customHeight="1">
      <c r="A134" s="8"/>
      <c r="B134" s="14" t="s">
        <v>2746</v>
      </c>
      <c r="C134" s="5">
        <v>212500.0</v>
      </c>
      <c r="D134" s="5">
        <v>0.0</v>
      </c>
      <c r="E134" s="5">
        <f t="shared" si="1"/>
        <v>272539973</v>
      </c>
      <c r="F134" s="4" t="s">
        <v>2464</v>
      </c>
      <c r="G134" s="4" t="s">
        <v>59</v>
      </c>
      <c r="H134" s="15" t="s">
        <v>2670</v>
      </c>
      <c r="I134" s="14"/>
      <c r="J134" s="14"/>
      <c r="K134" s="14"/>
      <c r="L134" s="14"/>
    </row>
    <row r="135" ht="15.75" customHeight="1">
      <c r="A135" s="8"/>
      <c r="B135" s="14" t="s">
        <v>2747</v>
      </c>
      <c r="C135" s="5">
        <v>118210.0</v>
      </c>
      <c r="D135" s="5">
        <v>0.0</v>
      </c>
      <c r="E135" s="5">
        <f t="shared" si="1"/>
        <v>272421763</v>
      </c>
      <c r="F135" s="4" t="s">
        <v>2464</v>
      </c>
      <c r="G135" s="4" t="s">
        <v>59</v>
      </c>
      <c r="H135" s="15" t="s">
        <v>2670</v>
      </c>
      <c r="I135" s="14"/>
      <c r="J135" s="14"/>
      <c r="K135" s="14"/>
      <c r="L135" s="14"/>
    </row>
    <row r="136" ht="15.75" customHeight="1">
      <c r="A136" s="8"/>
      <c r="B136" s="14" t="s">
        <v>2749</v>
      </c>
      <c r="C136" s="5">
        <v>899500.0</v>
      </c>
      <c r="D136" s="5">
        <v>0.0</v>
      </c>
      <c r="E136" s="5">
        <f t="shared" si="1"/>
        <v>271522263</v>
      </c>
      <c r="F136" s="4" t="s">
        <v>2464</v>
      </c>
      <c r="G136" s="4" t="s">
        <v>59</v>
      </c>
      <c r="H136" s="15" t="s">
        <v>2670</v>
      </c>
      <c r="I136" s="14"/>
      <c r="J136" s="14"/>
      <c r="K136" s="14"/>
      <c r="L136" s="14"/>
    </row>
    <row r="137" ht="15.75" customHeight="1">
      <c r="A137" s="8"/>
      <c r="B137" s="14" t="s">
        <v>2751</v>
      </c>
      <c r="C137" s="5">
        <v>77500.0</v>
      </c>
      <c r="D137" s="5">
        <v>0.0</v>
      </c>
      <c r="E137" s="5">
        <f t="shared" si="1"/>
        <v>271444763</v>
      </c>
      <c r="F137" s="4" t="s">
        <v>2464</v>
      </c>
      <c r="G137" s="4" t="s">
        <v>59</v>
      </c>
      <c r="H137" s="15" t="s">
        <v>2670</v>
      </c>
      <c r="I137" s="14"/>
      <c r="J137" s="14"/>
      <c r="K137" s="14"/>
      <c r="L137" s="14"/>
    </row>
    <row r="138" ht="15.75" customHeight="1">
      <c r="A138" s="8"/>
      <c r="B138" s="14" t="s">
        <v>2753</v>
      </c>
      <c r="C138" s="5">
        <v>31800.0</v>
      </c>
      <c r="D138" s="5">
        <v>0.0</v>
      </c>
      <c r="E138" s="5">
        <f t="shared" si="1"/>
        <v>271412963</v>
      </c>
      <c r="F138" s="4" t="s">
        <v>2464</v>
      </c>
      <c r="G138" s="4" t="s">
        <v>59</v>
      </c>
      <c r="H138" s="15" t="s">
        <v>2670</v>
      </c>
      <c r="I138" s="14"/>
      <c r="J138" s="14"/>
      <c r="K138" s="14"/>
      <c r="L138" s="14"/>
    </row>
    <row r="139" ht="15.75" customHeight="1">
      <c r="A139" s="8"/>
      <c r="B139" s="14" t="s">
        <v>2754</v>
      </c>
      <c r="C139" s="5">
        <v>93000.0</v>
      </c>
      <c r="D139" s="5">
        <v>0.0</v>
      </c>
      <c r="E139" s="5">
        <f t="shared" si="1"/>
        <v>271319963</v>
      </c>
      <c r="F139" s="4" t="s">
        <v>2464</v>
      </c>
      <c r="G139" s="4" t="s">
        <v>59</v>
      </c>
      <c r="H139" s="15" t="s">
        <v>2670</v>
      </c>
      <c r="I139" s="14"/>
      <c r="J139" s="14"/>
      <c r="K139" s="14"/>
      <c r="L139" s="14"/>
    </row>
    <row r="140" ht="15.75" customHeight="1">
      <c r="A140" s="8"/>
      <c r="B140" s="14" t="s">
        <v>2756</v>
      </c>
      <c r="C140" s="5">
        <v>522500.0</v>
      </c>
      <c r="D140" s="5">
        <v>0.0</v>
      </c>
      <c r="E140" s="5">
        <f t="shared" si="1"/>
        <v>270797463</v>
      </c>
      <c r="F140" s="4" t="s">
        <v>2464</v>
      </c>
      <c r="G140" s="4" t="s">
        <v>59</v>
      </c>
      <c r="H140" s="15" t="s">
        <v>2670</v>
      </c>
      <c r="I140" s="14"/>
      <c r="J140" s="14"/>
      <c r="K140" s="14"/>
      <c r="L140" s="14"/>
    </row>
    <row r="141" ht="15.75" customHeight="1">
      <c r="A141" s="8"/>
      <c r="B141" s="14" t="s">
        <v>2758</v>
      </c>
      <c r="C141" s="5">
        <v>1032500.0</v>
      </c>
      <c r="D141" s="5">
        <v>0.0</v>
      </c>
      <c r="E141" s="5">
        <f t="shared" si="1"/>
        <v>269764963</v>
      </c>
      <c r="F141" s="4" t="s">
        <v>2464</v>
      </c>
      <c r="G141" s="4" t="s">
        <v>59</v>
      </c>
      <c r="H141" s="15" t="s">
        <v>2670</v>
      </c>
      <c r="I141" s="14"/>
      <c r="J141" s="14"/>
      <c r="K141" s="14"/>
      <c r="L141" s="14"/>
    </row>
    <row r="142" ht="15.75" customHeight="1">
      <c r="A142" s="8"/>
      <c r="B142" s="14" t="s">
        <v>2760</v>
      </c>
      <c r="C142" s="5">
        <v>742500.0</v>
      </c>
      <c r="D142" s="5">
        <v>0.0</v>
      </c>
      <c r="E142" s="5">
        <f t="shared" si="1"/>
        <v>269022463</v>
      </c>
      <c r="F142" s="4" t="s">
        <v>2464</v>
      </c>
      <c r="G142" s="4" t="s">
        <v>59</v>
      </c>
      <c r="H142" s="15" t="s">
        <v>2670</v>
      </c>
      <c r="I142" s="14"/>
      <c r="J142" s="14"/>
      <c r="K142" s="14"/>
      <c r="L142" s="14"/>
    </row>
    <row r="143" ht="15.75" customHeight="1">
      <c r="A143" s="8"/>
      <c r="B143" s="14" t="s">
        <v>2762</v>
      </c>
      <c r="C143" s="5">
        <v>392500.0</v>
      </c>
      <c r="D143" s="5">
        <v>0.0</v>
      </c>
      <c r="E143" s="5">
        <f t="shared" si="1"/>
        <v>268629963</v>
      </c>
      <c r="F143" s="4" t="s">
        <v>2464</v>
      </c>
      <c r="G143" s="4" t="s">
        <v>59</v>
      </c>
      <c r="H143" s="15" t="s">
        <v>2670</v>
      </c>
      <c r="I143" s="14"/>
      <c r="J143" s="14"/>
      <c r="K143" s="14"/>
      <c r="L143" s="14"/>
    </row>
    <row r="144" ht="15.75" customHeight="1">
      <c r="A144" s="8"/>
      <c r="B144" s="14" t="s">
        <v>2765</v>
      </c>
      <c r="C144" s="5">
        <v>6100523.0</v>
      </c>
      <c r="D144" s="5">
        <v>0.0</v>
      </c>
      <c r="E144" s="5">
        <f t="shared" si="1"/>
        <v>262529440</v>
      </c>
      <c r="F144" s="4" t="s">
        <v>2464</v>
      </c>
      <c r="G144" s="4" t="s">
        <v>59</v>
      </c>
      <c r="H144" s="15" t="s">
        <v>2670</v>
      </c>
      <c r="I144" s="14"/>
      <c r="J144" s="14"/>
      <c r="K144" s="14"/>
      <c r="L144" s="14"/>
    </row>
    <row r="145" ht="15.75" customHeight="1">
      <c r="A145" s="8"/>
      <c r="B145" s="14" t="s">
        <v>2767</v>
      </c>
      <c r="C145" s="5">
        <v>273540.0</v>
      </c>
      <c r="D145" s="5">
        <v>0.0</v>
      </c>
      <c r="E145" s="5">
        <f t="shared" si="1"/>
        <v>262255900</v>
      </c>
      <c r="F145" s="4" t="s">
        <v>2464</v>
      </c>
      <c r="G145" s="4" t="s">
        <v>59</v>
      </c>
      <c r="H145" s="15" t="s">
        <v>2670</v>
      </c>
      <c r="I145" s="14"/>
      <c r="J145" s="14"/>
      <c r="K145" s="14"/>
      <c r="L145" s="14"/>
    </row>
    <row r="146" ht="15.75" customHeight="1">
      <c r="A146" s="8"/>
      <c r="B146" s="14" t="s">
        <v>2769</v>
      </c>
      <c r="C146" s="5">
        <v>2130000.0</v>
      </c>
      <c r="D146" s="5">
        <v>0.0</v>
      </c>
      <c r="E146" s="5">
        <f t="shared" si="1"/>
        <v>260125900</v>
      </c>
      <c r="F146" s="4" t="s">
        <v>2464</v>
      </c>
      <c r="G146" s="4" t="s">
        <v>59</v>
      </c>
      <c r="H146" s="15" t="s">
        <v>2670</v>
      </c>
      <c r="I146" s="14"/>
      <c r="J146" s="14"/>
      <c r="K146" s="14"/>
      <c r="L146" s="14"/>
    </row>
    <row r="147" ht="15.75" customHeight="1">
      <c r="A147" s="8"/>
      <c r="B147" s="14" t="s">
        <v>2771</v>
      </c>
      <c r="C147" s="5">
        <v>2280000.0</v>
      </c>
      <c r="D147" s="5">
        <v>0.0</v>
      </c>
      <c r="E147" s="5">
        <f t="shared" si="1"/>
        <v>257845900</v>
      </c>
      <c r="F147" s="4" t="s">
        <v>2464</v>
      </c>
      <c r="G147" s="4" t="s">
        <v>59</v>
      </c>
      <c r="H147" s="15" t="s">
        <v>2670</v>
      </c>
      <c r="I147" s="14"/>
      <c r="J147" s="14"/>
      <c r="K147" s="14"/>
      <c r="L147" s="14"/>
    </row>
    <row r="148" ht="15.75" customHeight="1">
      <c r="A148" s="8"/>
      <c r="B148" s="14" t="s">
        <v>2773</v>
      </c>
      <c r="C148" s="5">
        <v>3050000.0</v>
      </c>
      <c r="D148" s="5">
        <v>0.0</v>
      </c>
      <c r="E148" s="5">
        <f t="shared" si="1"/>
        <v>254795900</v>
      </c>
      <c r="F148" s="4" t="s">
        <v>2464</v>
      </c>
      <c r="G148" s="4" t="s">
        <v>59</v>
      </c>
      <c r="H148" s="15" t="s">
        <v>2670</v>
      </c>
      <c r="I148" s="14"/>
      <c r="J148" s="14"/>
      <c r="K148" s="14"/>
      <c r="L148" s="14"/>
    </row>
    <row r="149" ht="15.75" customHeight="1">
      <c r="A149" s="8"/>
      <c r="B149" s="14" t="s">
        <v>2775</v>
      </c>
      <c r="C149" s="5">
        <v>8102500.0</v>
      </c>
      <c r="D149" s="5">
        <v>0.0</v>
      </c>
      <c r="E149" s="5">
        <f t="shared" si="1"/>
        <v>246693400</v>
      </c>
      <c r="F149" s="4" t="s">
        <v>2464</v>
      </c>
      <c r="G149" s="4" t="s">
        <v>59</v>
      </c>
      <c r="H149" s="15" t="s">
        <v>2670</v>
      </c>
      <c r="I149" s="14"/>
      <c r="J149" s="14"/>
      <c r="K149" s="14"/>
      <c r="L149" s="14"/>
    </row>
    <row r="150" ht="15.75" customHeight="1">
      <c r="A150" s="8"/>
      <c r="B150" s="14" t="s">
        <v>2777</v>
      </c>
      <c r="C150" s="5">
        <v>6348600.0</v>
      </c>
      <c r="D150" s="5">
        <v>0.0</v>
      </c>
      <c r="E150" s="5">
        <f t="shared" si="1"/>
        <v>240344800</v>
      </c>
      <c r="F150" s="4" t="s">
        <v>2464</v>
      </c>
      <c r="G150" s="4" t="s">
        <v>59</v>
      </c>
      <c r="H150" s="15" t="s">
        <v>2670</v>
      </c>
      <c r="I150" s="14"/>
      <c r="J150" s="14"/>
      <c r="K150" s="14"/>
      <c r="L150" s="14"/>
    </row>
    <row r="151" ht="15.75" customHeight="1">
      <c r="A151" s="8"/>
      <c r="B151" s="14" t="s">
        <v>2779</v>
      </c>
      <c r="C151" s="5">
        <v>300000.0</v>
      </c>
      <c r="D151" s="5">
        <v>0.0</v>
      </c>
      <c r="E151" s="5">
        <f t="shared" si="1"/>
        <v>240044800</v>
      </c>
      <c r="F151" s="4" t="s">
        <v>2464</v>
      </c>
      <c r="G151" s="4" t="s">
        <v>59</v>
      </c>
      <c r="H151" s="15" t="s">
        <v>2670</v>
      </c>
      <c r="I151" s="14"/>
      <c r="J151" s="14"/>
      <c r="K151" s="14"/>
      <c r="L151" s="14"/>
    </row>
    <row r="152" ht="15.75" customHeight="1">
      <c r="A152" s="8"/>
      <c r="B152" s="14" t="s">
        <v>2781</v>
      </c>
      <c r="C152" s="5">
        <v>1.0E8</v>
      </c>
      <c r="D152" s="5">
        <v>0.0</v>
      </c>
      <c r="E152" s="5">
        <f t="shared" si="1"/>
        <v>140044800</v>
      </c>
      <c r="F152" s="4" t="s">
        <v>2464</v>
      </c>
      <c r="G152" s="4" t="s">
        <v>59</v>
      </c>
      <c r="H152" s="15" t="s">
        <v>2670</v>
      </c>
      <c r="I152" s="14"/>
      <c r="J152" s="14"/>
      <c r="K152" s="14"/>
      <c r="L152" s="14"/>
    </row>
    <row r="153" ht="15.75" customHeight="1">
      <c r="A153" s="8"/>
      <c r="B153" s="14" t="s">
        <v>2782</v>
      </c>
      <c r="C153" s="5">
        <v>1.36E8</v>
      </c>
      <c r="D153" s="5">
        <v>0.0</v>
      </c>
      <c r="E153" s="5">
        <f t="shared" si="1"/>
        <v>4044800</v>
      </c>
      <c r="F153" s="4" t="s">
        <v>2464</v>
      </c>
      <c r="G153" s="4" t="s">
        <v>59</v>
      </c>
      <c r="H153" s="15" t="s">
        <v>2670</v>
      </c>
      <c r="I153" s="14"/>
      <c r="J153" s="14"/>
      <c r="K153" s="14"/>
      <c r="L153" s="14"/>
    </row>
    <row r="154" ht="15.75" customHeight="1">
      <c r="A154" s="8"/>
      <c r="B154" s="14" t="s">
        <v>2783</v>
      </c>
      <c r="C154" s="5">
        <v>150000.0</v>
      </c>
      <c r="D154" s="5">
        <v>0.0</v>
      </c>
      <c r="E154" s="5">
        <f t="shared" si="1"/>
        <v>3894800</v>
      </c>
      <c r="F154" s="4" t="s">
        <v>2464</v>
      </c>
      <c r="G154" s="4" t="s">
        <v>59</v>
      </c>
      <c r="H154" s="15" t="s">
        <v>2670</v>
      </c>
      <c r="I154" s="14"/>
      <c r="J154" s="14"/>
      <c r="K154" s="14"/>
      <c r="L154" s="14"/>
    </row>
    <row r="155" ht="15.75" customHeight="1">
      <c r="A155" s="8"/>
      <c r="B155" s="14" t="s">
        <v>2785</v>
      </c>
      <c r="C155" s="5">
        <v>1896800.0</v>
      </c>
      <c r="D155" s="5">
        <v>0.0</v>
      </c>
      <c r="E155" s="5">
        <f t="shared" si="1"/>
        <v>1998000</v>
      </c>
      <c r="F155" s="4" t="s">
        <v>2464</v>
      </c>
      <c r="G155" s="4" t="s">
        <v>59</v>
      </c>
      <c r="H155" s="15" t="s">
        <v>2670</v>
      </c>
      <c r="I155" s="14"/>
      <c r="J155" s="14"/>
      <c r="K155" s="14"/>
      <c r="L155" s="14"/>
    </row>
    <row r="156" ht="15.75" customHeight="1">
      <c r="A156" s="8"/>
      <c r="B156" s="14" t="s">
        <v>2787</v>
      </c>
      <c r="C156" s="5">
        <v>1998000.0</v>
      </c>
      <c r="D156" s="5">
        <v>0.0</v>
      </c>
      <c r="E156" s="5">
        <f t="shared" si="1"/>
        <v>0</v>
      </c>
      <c r="F156" s="4" t="s">
        <v>2464</v>
      </c>
      <c r="G156" s="4" t="s">
        <v>59</v>
      </c>
      <c r="H156" s="15" t="s">
        <v>2670</v>
      </c>
      <c r="I156" s="14"/>
      <c r="J156" s="14"/>
      <c r="K156" s="14"/>
      <c r="L156" s="14"/>
    </row>
    <row r="157" ht="15.75" customHeight="1">
      <c r="A157" s="8">
        <v>46023.0</v>
      </c>
      <c r="B157" s="14" t="s">
        <v>2451</v>
      </c>
      <c r="C157" s="5">
        <v>0.0</v>
      </c>
      <c r="D157" s="5">
        <v>2.0280429E7</v>
      </c>
      <c r="E157" s="5">
        <f t="shared" si="1"/>
        <v>20280429</v>
      </c>
      <c r="F157" s="14" t="s">
        <v>24</v>
      </c>
      <c r="G157" s="14" t="s">
        <v>125</v>
      </c>
      <c r="H157" s="14" t="s">
        <v>100</v>
      </c>
      <c r="I157" s="14"/>
      <c r="J157" s="14"/>
      <c r="K157" s="14"/>
      <c r="L157" s="14"/>
    </row>
    <row r="158" ht="15.75" customHeight="1">
      <c r="A158" s="8"/>
      <c r="B158" s="14" t="s">
        <v>2790</v>
      </c>
      <c r="C158" s="5">
        <v>1.7423286E7</v>
      </c>
      <c r="D158" s="5">
        <v>0.0</v>
      </c>
      <c r="E158" s="5">
        <f t="shared" si="1"/>
        <v>2857143</v>
      </c>
      <c r="F158" s="4" t="s">
        <v>2464</v>
      </c>
      <c r="G158" s="4" t="s">
        <v>59</v>
      </c>
      <c r="H158" s="14" t="s">
        <v>100</v>
      </c>
      <c r="I158" s="14"/>
      <c r="J158" s="14"/>
      <c r="K158" s="14"/>
      <c r="L158" s="14"/>
    </row>
    <row r="159" ht="15.75" customHeight="1">
      <c r="A159" s="8"/>
      <c r="B159" s="14" t="s">
        <v>2792</v>
      </c>
      <c r="C159" s="5">
        <v>2857143.0</v>
      </c>
      <c r="D159" s="5">
        <v>0.0</v>
      </c>
      <c r="E159" s="5">
        <f t="shared" si="1"/>
        <v>0</v>
      </c>
      <c r="F159" s="4" t="s">
        <v>2464</v>
      </c>
      <c r="G159" s="4" t="s">
        <v>59</v>
      </c>
      <c r="H159" s="14" t="s">
        <v>100</v>
      </c>
      <c r="I159" s="14"/>
      <c r="J159" s="14"/>
      <c r="K159" s="14"/>
      <c r="L159" s="14"/>
    </row>
    <row r="160" ht="15.75" customHeight="1">
      <c r="A160" s="8">
        <v>46023.0</v>
      </c>
      <c r="B160" s="14" t="s">
        <v>2451</v>
      </c>
      <c r="C160" s="5">
        <v>0.0</v>
      </c>
      <c r="D160" s="5">
        <v>3.25E7</v>
      </c>
      <c r="E160" s="5">
        <f t="shared" si="1"/>
        <v>32500000</v>
      </c>
      <c r="F160" s="14" t="s">
        <v>24</v>
      </c>
      <c r="G160" s="14" t="s">
        <v>125</v>
      </c>
      <c r="H160" s="15" t="s">
        <v>1876</v>
      </c>
      <c r="I160" s="14"/>
      <c r="J160" s="14"/>
      <c r="K160" s="14"/>
      <c r="L160" s="14"/>
    </row>
    <row r="161" ht="15.75" customHeight="1">
      <c r="A161" s="8"/>
      <c r="B161" s="14" t="s">
        <v>2795</v>
      </c>
      <c r="C161" s="5">
        <v>7500000.0</v>
      </c>
      <c r="D161" s="5">
        <v>0.0</v>
      </c>
      <c r="E161" s="5">
        <f t="shared" si="1"/>
        <v>25000000</v>
      </c>
      <c r="F161" s="4" t="s">
        <v>2464</v>
      </c>
      <c r="G161" s="4" t="s">
        <v>59</v>
      </c>
      <c r="H161" s="15" t="s">
        <v>1876</v>
      </c>
      <c r="I161" s="14"/>
      <c r="J161" s="14"/>
      <c r="K161" s="14"/>
      <c r="L161" s="14"/>
    </row>
    <row r="162" ht="15.75" customHeight="1">
      <c r="A162" s="8"/>
      <c r="B162" s="14" t="s">
        <v>2797</v>
      </c>
      <c r="C162" s="5">
        <v>7500000.0</v>
      </c>
      <c r="D162" s="5">
        <v>0.0</v>
      </c>
      <c r="E162" s="5">
        <f t="shared" si="1"/>
        <v>17500000</v>
      </c>
      <c r="F162" s="4" t="s">
        <v>2464</v>
      </c>
      <c r="G162" s="4" t="s">
        <v>59</v>
      </c>
      <c r="H162" s="15" t="s">
        <v>1876</v>
      </c>
      <c r="I162" s="14"/>
      <c r="J162" s="14"/>
      <c r="K162" s="14"/>
      <c r="L162" s="14"/>
    </row>
    <row r="163" ht="15.75" customHeight="1">
      <c r="A163" s="8"/>
      <c r="B163" s="14" t="s">
        <v>2799</v>
      </c>
      <c r="C163" s="5">
        <v>5000000.0</v>
      </c>
      <c r="D163" s="5">
        <v>0.0</v>
      </c>
      <c r="E163" s="5">
        <f t="shared" si="1"/>
        <v>12500000</v>
      </c>
      <c r="F163" s="4" t="s">
        <v>2464</v>
      </c>
      <c r="G163" s="4" t="s">
        <v>59</v>
      </c>
      <c r="H163" s="15" t="s">
        <v>1876</v>
      </c>
      <c r="I163" s="14"/>
      <c r="J163" s="14"/>
      <c r="K163" s="14"/>
      <c r="L163" s="14"/>
    </row>
    <row r="164" ht="15.75" customHeight="1">
      <c r="A164" s="8"/>
      <c r="B164" s="14" t="s">
        <v>2801</v>
      </c>
      <c r="C164" s="5">
        <v>5000000.0</v>
      </c>
      <c r="D164" s="5">
        <v>0.0</v>
      </c>
      <c r="E164" s="5">
        <f t="shared" si="1"/>
        <v>7500000</v>
      </c>
      <c r="F164" s="4" t="s">
        <v>2464</v>
      </c>
      <c r="G164" s="4" t="s">
        <v>59</v>
      </c>
      <c r="H164" s="15" t="s">
        <v>1876</v>
      </c>
      <c r="I164" s="14"/>
      <c r="J164" s="14"/>
      <c r="K164" s="14"/>
      <c r="L164" s="14"/>
    </row>
    <row r="165" ht="15.75" customHeight="1">
      <c r="A165" s="8"/>
      <c r="B165" s="14" t="s">
        <v>2803</v>
      </c>
      <c r="C165" s="5">
        <v>7500000.0</v>
      </c>
      <c r="D165" s="5">
        <v>0.0</v>
      </c>
      <c r="E165" s="5">
        <f t="shared" si="1"/>
        <v>0</v>
      </c>
      <c r="F165" s="4" t="s">
        <v>2464</v>
      </c>
      <c r="G165" s="4" t="s">
        <v>59</v>
      </c>
      <c r="H165" s="15" t="s">
        <v>1876</v>
      </c>
      <c r="I165" s="14"/>
      <c r="J165" s="14"/>
      <c r="K165" s="14"/>
      <c r="L165" s="14"/>
    </row>
    <row r="166" ht="15.75" customHeight="1">
      <c r="A166" s="8">
        <v>46023.0</v>
      </c>
      <c r="B166" s="14" t="s">
        <v>2451</v>
      </c>
      <c r="C166" s="5">
        <v>0.0</v>
      </c>
      <c r="D166" s="5">
        <v>1.6162768E7</v>
      </c>
      <c r="E166" s="5">
        <f t="shared" si="1"/>
        <v>16162768</v>
      </c>
      <c r="F166" s="14" t="s">
        <v>24</v>
      </c>
      <c r="G166" s="14" t="s">
        <v>125</v>
      </c>
      <c r="H166" s="15" t="s">
        <v>850</v>
      </c>
      <c r="I166" s="14"/>
      <c r="J166" s="14"/>
      <c r="K166" s="14"/>
      <c r="L166" s="14"/>
    </row>
    <row r="167" ht="15.75" customHeight="1">
      <c r="A167" s="8"/>
      <c r="B167" s="4" t="s">
        <v>2807</v>
      </c>
      <c r="C167" s="5">
        <v>3600000.0</v>
      </c>
      <c r="D167" s="5">
        <v>0.0</v>
      </c>
      <c r="E167" s="5">
        <f t="shared" si="1"/>
        <v>12562768</v>
      </c>
      <c r="F167" s="4" t="s">
        <v>2464</v>
      </c>
      <c r="G167" s="4" t="s">
        <v>59</v>
      </c>
      <c r="H167" s="15" t="s">
        <v>850</v>
      </c>
      <c r="I167" s="14"/>
      <c r="J167" s="14"/>
      <c r="K167" s="14"/>
      <c r="L167" s="14"/>
    </row>
    <row r="168" ht="15.75" customHeight="1">
      <c r="A168" s="8"/>
      <c r="B168" s="14" t="s">
        <v>2808</v>
      </c>
      <c r="C168" s="5">
        <v>9002474.0</v>
      </c>
      <c r="D168" s="5">
        <v>0.0</v>
      </c>
      <c r="E168" s="5">
        <f t="shared" si="1"/>
        <v>3560294</v>
      </c>
      <c r="F168" s="4" t="s">
        <v>2464</v>
      </c>
      <c r="G168" s="4" t="s">
        <v>59</v>
      </c>
      <c r="H168" s="15" t="s">
        <v>850</v>
      </c>
      <c r="I168" s="14"/>
      <c r="J168" s="14"/>
      <c r="K168" s="14"/>
      <c r="L168" s="14"/>
    </row>
    <row r="169" ht="15.75" customHeight="1">
      <c r="A169" s="8"/>
      <c r="B169" s="14" t="s">
        <v>2811</v>
      </c>
      <c r="C169" s="5">
        <v>3560294.0</v>
      </c>
      <c r="D169" s="5">
        <v>0.0</v>
      </c>
      <c r="E169" s="5">
        <f t="shared" si="1"/>
        <v>0</v>
      </c>
      <c r="F169" s="4" t="s">
        <v>2464</v>
      </c>
      <c r="G169" s="4" t="s">
        <v>59</v>
      </c>
      <c r="H169" s="15" t="s">
        <v>850</v>
      </c>
      <c r="I169" s="14"/>
      <c r="J169" s="14"/>
      <c r="K169" s="14"/>
      <c r="L169" s="14"/>
    </row>
    <row r="170" ht="15.75" customHeight="1">
      <c r="A170" s="8">
        <v>46023.0</v>
      </c>
      <c r="B170" s="14" t="s">
        <v>2451</v>
      </c>
      <c r="C170" s="5">
        <v>0.0</v>
      </c>
      <c r="D170" s="5">
        <v>2.9860694E7</v>
      </c>
      <c r="E170" s="5">
        <f t="shared" si="1"/>
        <v>29860694</v>
      </c>
      <c r="F170" s="14" t="s">
        <v>24</v>
      </c>
      <c r="G170" s="14" t="s">
        <v>125</v>
      </c>
      <c r="H170" s="15" t="s">
        <v>855</v>
      </c>
      <c r="I170" s="14"/>
      <c r="J170" s="14"/>
      <c r="K170" s="14"/>
      <c r="L170" s="14"/>
    </row>
    <row r="171" ht="15.75" customHeight="1">
      <c r="A171" s="8"/>
      <c r="B171" s="14" t="s">
        <v>2815</v>
      </c>
      <c r="C171" s="5">
        <v>2904000.0</v>
      </c>
      <c r="D171" s="5">
        <v>0.0</v>
      </c>
      <c r="E171" s="5">
        <f t="shared" si="1"/>
        <v>26956694</v>
      </c>
      <c r="F171" s="4" t="s">
        <v>2464</v>
      </c>
      <c r="G171" s="4" t="s">
        <v>59</v>
      </c>
      <c r="H171" s="15" t="s">
        <v>855</v>
      </c>
      <c r="I171" s="14"/>
      <c r="J171" s="14"/>
      <c r="K171" s="14"/>
      <c r="L171" s="14"/>
    </row>
    <row r="172" ht="15.75" customHeight="1">
      <c r="A172" s="8"/>
      <c r="B172" s="14" t="s">
        <v>2817</v>
      </c>
      <c r="C172" s="5">
        <v>3199550.0</v>
      </c>
      <c r="D172" s="5">
        <v>0.0</v>
      </c>
      <c r="E172" s="5">
        <f t="shared" si="1"/>
        <v>23757144</v>
      </c>
      <c r="F172" s="4" t="s">
        <v>2464</v>
      </c>
      <c r="G172" s="4" t="s">
        <v>59</v>
      </c>
      <c r="H172" s="15" t="s">
        <v>855</v>
      </c>
      <c r="I172" s="14"/>
      <c r="J172" s="14"/>
      <c r="K172" s="14"/>
      <c r="L172" s="14"/>
    </row>
    <row r="173" ht="15.75" customHeight="1">
      <c r="A173" s="8"/>
      <c r="B173" s="14" t="s">
        <v>2819</v>
      </c>
      <c r="C173" s="5">
        <v>3198350.0</v>
      </c>
      <c r="D173" s="5">
        <v>0.0</v>
      </c>
      <c r="E173" s="5">
        <f t="shared" si="1"/>
        <v>20558794</v>
      </c>
      <c r="F173" s="4" t="s">
        <v>2464</v>
      </c>
      <c r="G173" s="4" t="s">
        <v>59</v>
      </c>
      <c r="H173" s="15" t="s">
        <v>855</v>
      </c>
      <c r="I173" s="14"/>
      <c r="J173" s="14"/>
      <c r="K173" s="14"/>
      <c r="L173" s="14"/>
    </row>
    <row r="174" ht="15.75" customHeight="1">
      <c r="A174" s="8"/>
      <c r="B174" s="14" t="s">
        <v>2820</v>
      </c>
      <c r="C174" s="5">
        <v>5916650.0</v>
      </c>
      <c r="D174" s="5">
        <v>0.0</v>
      </c>
      <c r="E174" s="5">
        <f t="shared" si="1"/>
        <v>14642144</v>
      </c>
      <c r="F174" s="4" t="s">
        <v>2464</v>
      </c>
      <c r="G174" s="4" t="s">
        <v>59</v>
      </c>
      <c r="H174" s="15" t="s">
        <v>855</v>
      </c>
      <c r="I174" s="14"/>
      <c r="J174" s="14"/>
      <c r="K174" s="14"/>
      <c r="L174" s="14"/>
    </row>
    <row r="175" ht="15.75" customHeight="1">
      <c r="A175" s="8"/>
      <c r="B175" s="14" t="s">
        <v>2822</v>
      </c>
      <c r="C175" s="5">
        <v>3168270.0</v>
      </c>
      <c r="D175" s="5">
        <v>0.0</v>
      </c>
      <c r="E175" s="5">
        <f t="shared" si="1"/>
        <v>11473874</v>
      </c>
      <c r="F175" s="4" t="s">
        <v>2464</v>
      </c>
      <c r="G175" s="4" t="s">
        <v>59</v>
      </c>
      <c r="H175" s="15" t="s">
        <v>855</v>
      </c>
      <c r="I175" s="14"/>
      <c r="J175" s="14"/>
      <c r="K175" s="14"/>
      <c r="L175" s="14"/>
    </row>
    <row r="176" ht="15.75" customHeight="1">
      <c r="A176" s="8"/>
      <c r="B176" s="14" t="s">
        <v>2825</v>
      </c>
      <c r="C176" s="5">
        <v>3980157.0</v>
      </c>
      <c r="D176" s="5">
        <v>0.0</v>
      </c>
      <c r="E176" s="5">
        <f t="shared" si="1"/>
        <v>7493717</v>
      </c>
      <c r="F176" s="4" t="s">
        <v>2464</v>
      </c>
      <c r="G176" s="4" t="s">
        <v>59</v>
      </c>
      <c r="H176" s="15" t="s">
        <v>855</v>
      </c>
      <c r="I176" s="14"/>
      <c r="J176" s="14"/>
      <c r="K176" s="14"/>
      <c r="L176" s="14"/>
    </row>
    <row r="177" ht="15.75" customHeight="1">
      <c r="A177" s="8"/>
      <c r="B177" s="14" t="s">
        <v>2826</v>
      </c>
      <c r="C177" s="5">
        <v>1567500.0</v>
      </c>
      <c r="D177" s="5">
        <v>0.0</v>
      </c>
      <c r="E177" s="5">
        <f t="shared" si="1"/>
        <v>5926217</v>
      </c>
      <c r="F177" s="4" t="s">
        <v>2464</v>
      </c>
      <c r="G177" s="4" t="s">
        <v>59</v>
      </c>
      <c r="H177" s="15" t="s">
        <v>855</v>
      </c>
      <c r="I177" s="14"/>
      <c r="J177" s="14"/>
      <c r="K177" s="14"/>
      <c r="L177" s="14"/>
    </row>
    <row r="178" ht="15.75" customHeight="1">
      <c r="A178" s="8"/>
      <c r="B178" s="14" t="s">
        <v>2827</v>
      </c>
      <c r="C178" s="5">
        <v>1310203.0</v>
      </c>
      <c r="D178" s="5">
        <v>0.0</v>
      </c>
      <c r="E178" s="5">
        <f t="shared" si="1"/>
        <v>4616014</v>
      </c>
      <c r="F178" s="4" t="s">
        <v>2464</v>
      </c>
      <c r="G178" s="4" t="s">
        <v>59</v>
      </c>
      <c r="H178" s="15" t="s">
        <v>855</v>
      </c>
      <c r="I178" s="14"/>
      <c r="J178" s="14"/>
      <c r="K178" s="14"/>
      <c r="L178" s="14"/>
    </row>
    <row r="179" ht="15.75" customHeight="1">
      <c r="A179" s="8"/>
      <c r="B179" s="14" t="s">
        <v>2827</v>
      </c>
      <c r="C179" s="5">
        <v>2607260.0</v>
      </c>
      <c r="D179" s="5">
        <v>0.0</v>
      </c>
      <c r="E179" s="5">
        <f t="shared" si="1"/>
        <v>2008754</v>
      </c>
      <c r="F179" s="4" t="s">
        <v>2464</v>
      </c>
      <c r="G179" s="4" t="s">
        <v>59</v>
      </c>
      <c r="H179" s="15" t="s">
        <v>855</v>
      </c>
      <c r="I179" s="14"/>
      <c r="J179" s="14"/>
      <c r="K179" s="14"/>
      <c r="L179" s="14"/>
    </row>
    <row r="180" ht="15.75" customHeight="1">
      <c r="A180" s="8"/>
      <c r="B180" s="14" t="s">
        <v>2827</v>
      </c>
      <c r="C180" s="5">
        <v>2800654.0</v>
      </c>
      <c r="D180" s="5">
        <v>0.0</v>
      </c>
      <c r="E180" s="5">
        <f t="shared" si="1"/>
        <v>-791900</v>
      </c>
      <c r="F180" s="4" t="s">
        <v>2464</v>
      </c>
      <c r="G180" s="4" t="s">
        <v>59</v>
      </c>
      <c r="H180" s="15" t="s">
        <v>855</v>
      </c>
      <c r="I180" s="14"/>
      <c r="J180" s="14"/>
      <c r="K180" s="14"/>
      <c r="L180" s="14"/>
    </row>
    <row r="181" ht="15.75" customHeight="1">
      <c r="A181" s="8"/>
      <c r="B181" s="14" t="s">
        <v>2828</v>
      </c>
      <c r="C181" s="5">
        <v>-791900.0</v>
      </c>
      <c r="D181" s="5">
        <v>0.0</v>
      </c>
      <c r="E181" s="5">
        <f t="shared" si="1"/>
        <v>0</v>
      </c>
      <c r="F181" s="4" t="s">
        <v>2464</v>
      </c>
      <c r="G181" s="4" t="s">
        <v>59</v>
      </c>
      <c r="H181" s="15" t="s">
        <v>855</v>
      </c>
      <c r="I181" s="14"/>
      <c r="J181" s="14"/>
      <c r="K181" s="14"/>
      <c r="L181" s="14"/>
    </row>
    <row r="182" ht="15.75" customHeight="1">
      <c r="A182" s="8">
        <v>46023.0</v>
      </c>
      <c r="B182" s="14" t="s">
        <v>2451</v>
      </c>
      <c r="C182" s="5">
        <v>0.0</v>
      </c>
      <c r="D182" s="5">
        <v>2.6373208E7</v>
      </c>
      <c r="E182" s="5">
        <f t="shared" si="1"/>
        <v>26373208</v>
      </c>
      <c r="F182" s="14" t="s">
        <v>24</v>
      </c>
      <c r="G182" s="14" t="s">
        <v>125</v>
      </c>
      <c r="H182" s="14" t="s">
        <v>871</v>
      </c>
      <c r="I182" s="14"/>
      <c r="J182" s="14"/>
      <c r="K182" s="14"/>
      <c r="L182" s="14"/>
    </row>
    <row r="183" ht="15.75" customHeight="1">
      <c r="A183" s="8"/>
      <c r="B183" s="15" t="s">
        <v>2829</v>
      </c>
      <c r="C183" s="5">
        <v>7631766.0</v>
      </c>
      <c r="D183" s="5">
        <v>0.0</v>
      </c>
      <c r="E183" s="5">
        <f t="shared" si="1"/>
        <v>18741442</v>
      </c>
      <c r="F183" s="4" t="s">
        <v>2464</v>
      </c>
      <c r="G183" s="4" t="s">
        <v>59</v>
      </c>
      <c r="H183" s="15" t="s">
        <v>871</v>
      </c>
      <c r="I183" s="14"/>
      <c r="J183" s="14"/>
      <c r="K183" s="14"/>
      <c r="L183" s="14"/>
    </row>
    <row r="184" ht="15.75" customHeight="1">
      <c r="A184" s="8"/>
      <c r="B184" s="4" t="s">
        <v>2830</v>
      </c>
      <c r="C184" s="5">
        <v>4838322.0</v>
      </c>
      <c r="D184" s="5">
        <v>0.0</v>
      </c>
      <c r="E184" s="5">
        <f t="shared" si="1"/>
        <v>13903120</v>
      </c>
      <c r="F184" s="4" t="s">
        <v>2464</v>
      </c>
      <c r="G184" s="4" t="s">
        <v>59</v>
      </c>
      <c r="H184" s="15" t="s">
        <v>871</v>
      </c>
      <c r="I184" s="14"/>
      <c r="J184" s="14"/>
      <c r="K184" s="14"/>
      <c r="L184" s="14"/>
    </row>
    <row r="185" ht="15.75" customHeight="1">
      <c r="A185" s="8"/>
      <c r="B185" s="14" t="s">
        <v>2831</v>
      </c>
      <c r="C185" s="5">
        <v>1308000.0</v>
      </c>
      <c r="D185" s="5">
        <v>0.0</v>
      </c>
      <c r="E185" s="5">
        <f t="shared" si="1"/>
        <v>12595120</v>
      </c>
      <c r="F185" s="4" t="s">
        <v>2464</v>
      </c>
      <c r="G185" s="4" t="s">
        <v>59</v>
      </c>
      <c r="H185" s="15" t="s">
        <v>871</v>
      </c>
      <c r="I185" s="14"/>
      <c r="J185" s="14"/>
      <c r="K185" s="14"/>
      <c r="L185" s="14"/>
    </row>
    <row r="186" ht="15.75" customHeight="1">
      <c r="A186" s="8"/>
      <c r="B186" s="14" t="s">
        <v>2832</v>
      </c>
      <c r="C186" s="5">
        <v>1.398E7</v>
      </c>
      <c r="D186" s="5">
        <v>0.0</v>
      </c>
      <c r="E186" s="5">
        <f t="shared" si="1"/>
        <v>-1384880</v>
      </c>
      <c r="F186" s="4" t="s">
        <v>2464</v>
      </c>
      <c r="G186" s="4" t="s">
        <v>59</v>
      </c>
      <c r="H186" s="15" t="s">
        <v>871</v>
      </c>
      <c r="I186" s="14"/>
      <c r="J186" s="14"/>
      <c r="K186" s="14"/>
      <c r="L186" s="14"/>
    </row>
    <row r="187" ht="15.75" customHeight="1">
      <c r="A187" s="8"/>
      <c r="B187" s="14" t="s">
        <v>2833</v>
      </c>
      <c r="C187" s="5">
        <v>-1384880.0</v>
      </c>
      <c r="D187" s="5">
        <v>0.0</v>
      </c>
      <c r="E187" s="5">
        <f t="shared" si="1"/>
        <v>0</v>
      </c>
      <c r="F187" s="4" t="s">
        <v>2464</v>
      </c>
      <c r="G187" s="4" t="s">
        <v>59</v>
      </c>
      <c r="H187" s="15" t="s">
        <v>871</v>
      </c>
      <c r="I187" s="14"/>
      <c r="J187" s="14"/>
      <c r="K187" s="14"/>
      <c r="L187" s="14"/>
    </row>
    <row r="188" ht="15.75" customHeight="1">
      <c r="A188" s="8">
        <v>46023.0</v>
      </c>
      <c r="B188" s="14" t="s">
        <v>2451</v>
      </c>
      <c r="C188" s="5">
        <v>0.0</v>
      </c>
      <c r="D188" s="5">
        <v>8411107.0</v>
      </c>
      <c r="E188" s="5">
        <f t="shared" si="1"/>
        <v>8411107</v>
      </c>
      <c r="F188" s="14" t="s">
        <v>24</v>
      </c>
      <c r="G188" s="14" t="s">
        <v>125</v>
      </c>
      <c r="H188" s="14" t="s">
        <v>1610</v>
      </c>
      <c r="I188" s="14"/>
      <c r="J188" s="14"/>
      <c r="K188" s="14"/>
      <c r="L188" s="14"/>
    </row>
    <row r="189" ht="15.75" customHeight="1">
      <c r="A189" s="8"/>
      <c r="B189" s="14" t="s">
        <v>2834</v>
      </c>
      <c r="C189" s="5">
        <v>3884850.0</v>
      </c>
      <c r="D189" s="5">
        <v>0.0</v>
      </c>
      <c r="E189" s="5">
        <f t="shared" si="1"/>
        <v>4526257</v>
      </c>
      <c r="F189" s="4" t="s">
        <v>2464</v>
      </c>
      <c r="G189" s="4" t="s">
        <v>59</v>
      </c>
      <c r="H189" s="15" t="s">
        <v>1610</v>
      </c>
      <c r="I189" s="14"/>
      <c r="J189" s="14"/>
      <c r="K189" s="14"/>
      <c r="L189" s="14"/>
    </row>
    <row r="190" ht="15.75" customHeight="1">
      <c r="A190" s="8"/>
      <c r="B190" s="14" t="s">
        <v>2835</v>
      </c>
      <c r="C190" s="5">
        <v>510000.0</v>
      </c>
      <c r="D190" s="5">
        <v>0.0</v>
      </c>
      <c r="E190" s="5">
        <f t="shared" si="1"/>
        <v>4016257</v>
      </c>
      <c r="F190" s="4" t="s">
        <v>2464</v>
      </c>
      <c r="G190" s="4" t="s">
        <v>59</v>
      </c>
      <c r="H190" s="15" t="s">
        <v>1610</v>
      </c>
      <c r="I190" s="14"/>
      <c r="J190" s="14"/>
      <c r="K190" s="14"/>
      <c r="L190" s="14"/>
    </row>
    <row r="191" ht="15.75" customHeight="1">
      <c r="A191" s="8"/>
      <c r="B191" s="14" t="s">
        <v>2836</v>
      </c>
      <c r="C191" s="5">
        <v>2520000.0</v>
      </c>
      <c r="D191" s="5">
        <v>0.0</v>
      </c>
      <c r="E191" s="5">
        <f t="shared" si="1"/>
        <v>1496257</v>
      </c>
      <c r="F191" s="4" t="s">
        <v>2464</v>
      </c>
      <c r="G191" s="4" t="s">
        <v>59</v>
      </c>
      <c r="H191" s="15" t="s">
        <v>1610</v>
      </c>
      <c r="I191" s="14"/>
      <c r="J191" s="14"/>
      <c r="K191" s="14"/>
      <c r="L191" s="14"/>
    </row>
    <row r="192" ht="15.75" customHeight="1">
      <c r="A192" s="8"/>
      <c r="B192" s="14" t="s">
        <v>2837</v>
      </c>
      <c r="C192" s="5">
        <v>1496257.0</v>
      </c>
      <c r="D192" s="5">
        <v>0.0</v>
      </c>
      <c r="E192" s="5">
        <f t="shared" si="1"/>
        <v>0</v>
      </c>
      <c r="F192" s="4" t="s">
        <v>2464</v>
      </c>
      <c r="G192" s="4" t="s">
        <v>59</v>
      </c>
      <c r="H192" s="15" t="s">
        <v>1610</v>
      </c>
      <c r="I192" s="14"/>
      <c r="J192" s="14"/>
      <c r="K192" s="14"/>
      <c r="L192" s="14"/>
    </row>
    <row r="193" ht="15.75" customHeight="1">
      <c r="A193" s="8">
        <v>46023.0</v>
      </c>
      <c r="B193" s="14" t="s">
        <v>2451</v>
      </c>
      <c r="C193" s="5">
        <v>0.0</v>
      </c>
      <c r="D193" s="5">
        <v>2.854054E7</v>
      </c>
      <c r="E193" s="5">
        <f t="shared" si="1"/>
        <v>28540540</v>
      </c>
      <c r="F193" s="14" t="s">
        <v>24</v>
      </c>
      <c r="G193" s="14" t="s">
        <v>125</v>
      </c>
      <c r="H193" s="15" t="s">
        <v>2838</v>
      </c>
      <c r="I193" s="14"/>
      <c r="J193" s="14"/>
      <c r="K193" s="14"/>
      <c r="L193" s="14"/>
    </row>
    <row r="194" ht="15.75" customHeight="1">
      <c r="A194" s="8"/>
      <c r="B194" s="14" t="s">
        <v>2839</v>
      </c>
      <c r="C194" s="5">
        <v>2.854054E7</v>
      </c>
      <c r="D194" s="5">
        <v>0.0</v>
      </c>
      <c r="E194" s="5">
        <f t="shared" si="1"/>
        <v>0</v>
      </c>
      <c r="F194" s="4" t="s">
        <v>2464</v>
      </c>
      <c r="G194" s="4" t="s">
        <v>59</v>
      </c>
      <c r="H194" s="15" t="s">
        <v>2838</v>
      </c>
      <c r="I194" s="14"/>
      <c r="J194" s="14"/>
      <c r="K194" s="14"/>
      <c r="L194" s="14"/>
    </row>
    <row r="195" ht="15.75" customHeight="1">
      <c r="A195" s="8">
        <v>46023.0</v>
      </c>
      <c r="B195" s="14" t="s">
        <v>2451</v>
      </c>
      <c r="C195" s="5">
        <v>0.0</v>
      </c>
      <c r="D195" s="5">
        <v>1.01165984E8</v>
      </c>
      <c r="E195" s="5">
        <f t="shared" si="1"/>
        <v>101165984</v>
      </c>
      <c r="F195" s="14" t="s">
        <v>24</v>
      </c>
      <c r="G195" s="14" t="s">
        <v>125</v>
      </c>
      <c r="H195" s="15" t="s">
        <v>809</v>
      </c>
      <c r="I195" s="14"/>
      <c r="J195" s="14"/>
      <c r="K195" s="14"/>
      <c r="L195" s="14"/>
    </row>
    <row r="196" ht="15.75" customHeight="1">
      <c r="A196" s="8"/>
      <c r="B196" s="14" t="s">
        <v>2840</v>
      </c>
      <c r="C196" s="5">
        <v>2.3101903E7</v>
      </c>
      <c r="D196" s="5">
        <v>0.0</v>
      </c>
      <c r="E196" s="5">
        <f t="shared" si="1"/>
        <v>78064081</v>
      </c>
      <c r="F196" s="4" t="s">
        <v>2464</v>
      </c>
      <c r="G196" s="4" t="s">
        <v>59</v>
      </c>
      <c r="H196" s="15" t="s">
        <v>809</v>
      </c>
      <c r="I196" s="14"/>
      <c r="J196" s="14"/>
      <c r="K196" s="14"/>
      <c r="L196" s="14"/>
    </row>
    <row r="197" ht="15.75" customHeight="1">
      <c r="A197" s="8"/>
      <c r="B197" s="14" t="s">
        <v>2841</v>
      </c>
      <c r="C197" s="5">
        <v>1.184812E7</v>
      </c>
      <c r="D197" s="5">
        <v>0.0</v>
      </c>
      <c r="E197" s="5">
        <f t="shared" si="1"/>
        <v>66215961</v>
      </c>
      <c r="F197" s="4" t="s">
        <v>2464</v>
      </c>
      <c r="G197" s="4" t="s">
        <v>59</v>
      </c>
      <c r="H197" s="15" t="s">
        <v>809</v>
      </c>
      <c r="I197" s="14"/>
      <c r="J197" s="14"/>
      <c r="K197" s="14"/>
      <c r="L197" s="14"/>
    </row>
    <row r="198" ht="15.75" customHeight="1">
      <c r="A198" s="8"/>
      <c r="B198" s="14" t="s">
        <v>2842</v>
      </c>
      <c r="C198" s="5">
        <v>1.747982E7</v>
      </c>
      <c r="D198" s="5">
        <v>0.0</v>
      </c>
      <c r="E198" s="5">
        <f t="shared" si="1"/>
        <v>48736141</v>
      </c>
      <c r="F198" s="4" t="s">
        <v>2464</v>
      </c>
      <c r="G198" s="4" t="s">
        <v>59</v>
      </c>
      <c r="H198" s="15" t="s">
        <v>809</v>
      </c>
      <c r="I198" s="14"/>
      <c r="J198" s="14"/>
      <c r="K198" s="14"/>
      <c r="L198" s="14"/>
    </row>
    <row r="199" ht="15.75" customHeight="1">
      <c r="A199" s="8"/>
      <c r="B199" s="14" t="s">
        <v>2843</v>
      </c>
      <c r="C199" s="5">
        <v>9290240.0</v>
      </c>
      <c r="D199" s="5">
        <v>0.0</v>
      </c>
      <c r="E199" s="5">
        <f t="shared" si="1"/>
        <v>39445901</v>
      </c>
      <c r="F199" s="4" t="s">
        <v>2464</v>
      </c>
      <c r="G199" s="4" t="s">
        <v>59</v>
      </c>
      <c r="H199" s="15" t="s">
        <v>809</v>
      </c>
      <c r="I199" s="14"/>
      <c r="J199" s="14"/>
      <c r="K199" s="14"/>
      <c r="L199" s="14"/>
    </row>
    <row r="200" ht="15.75" customHeight="1">
      <c r="A200" s="8"/>
      <c r="B200" s="14" t="s">
        <v>2844</v>
      </c>
      <c r="C200" s="5">
        <v>2.653323E7</v>
      </c>
      <c r="D200" s="5">
        <v>0.0</v>
      </c>
      <c r="E200" s="5">
        <f t="shared" si="1"/>
        <v>12912671</v>
      </c>
      <c r="F200" s="4" t="s">
        <v>2464</v>
      </c>
      <c r="G200" s="4" t="s">
        <v>59</v>
      </c>
      <c r="H200" s="15" t="s">
        <v>809</v>
      </c>
      <c r="I200" s="14"/>
      <c r="J200" s="14"/>
      <c r="K200" s="14"/>
      <c r="L200" s="14"/>
    </row>
    <row r="201" ht="15.75" customHeight="1">
      <c r="A201" s="8"/>
      <c r="B201" s="14" t="s">
        <v>2845</v>
      </c>
      <c r="C201" s="5">
        <v>4518484.0</v>
      </c>
      <c r="D201" s="5">
        <v>0.0</v>
      </c>
      <c r="E201" s="5">
        <f t="shared" si="1"/>
        <v>8394187</v>
      </c>
      <c r="F201" s="4" t="s">
        <v>2464</v>
      </c>
      <c r="G201" s="4" t="s">
        <v>59</v>
      </c>
      <c r="H201" s="15" t="s">
        <v>809</v>
      </c>
      <c r="I201" s="14"/>
      <c r="J201" s="14"/>
      <c r="K201" s="14"/>
      <c r="L201" s="14"/>
    </row>
    <row r="202" ht="15.75" customHeight="1">
      <c r="A202" s="8"/>
      <c r="B202" s="14" t="s">
        <v>2846</v>
      </c>
      <c r="C202" s="5">
        <v>4516142.0</v>
      </c>
      <c r="D202" s="5">
        <v>0.0</v>
      </c>
      <c r="E202" s="5">
        <f t="shared" si="1"/>
        <v>3878045</v>
      </c>
      <c r="F202" s="4" t="s">
        <v>2464</v>
      </c>
      <c r="G202" s="4" t="s">
        <v>59</v>
      </c>
      <c r="H202" s="15" t="s">
        <v>809</v>
      </c>
      <c r="I202" s="14"/>
      <c r="J202" s="14"/>
      <c r="K202" s="14"/>
      <c r="L202" s="14"/>
    </row>
    <row r="203" ht="15.75" customHeight="1">
      <c r="A203" s="8"/>
      <c r="B203" s="14" t="s">
        <v>2847</v>
      </c>
      <c r="C203" s="5">
        <v>1393991.0</v>
      </c>
      <c r="D203" s="5">
        <v>0.0</v>
      </c>
      <c r="E203" s="5">
        <f t="shared" si="1"/>
        <v>2484054</v>
      </c>
      <c r="F203" s="4" t="s">
        <v>2464</v>
      </c>
      <c r="G203" s="4" t="s">
        <v>59</v>
      </c>
      <c r="H203" s="15" t="s">
        <v>809</v>
      </c>
      <c r="I203" s="14"/>
      <c r="J203" s="14"/>
      <c r="K203" s="14"/>
      <c r="L203" s="14"/>
    </row>
    <row r="204" ht="15.75" customHeight="1">
      <c r="A204" s="8"/>
      <c r="B204" s="14" t="s">
        <v>2848</v>
      </c>
      <c r="C204" s="5">
        <v>1086337.0</v>
      </c>
      <c r="D204" s="5">
        <v>0.0</v>
      </c>
      <c r="E204" s="5">
        <f t="shared" si="1"/>
        <v>1397717</v>
      </c>
      <c r="F204" s="4" t="s">
        <v>2464</v>
      </c>
      <c r="G204" s="4" t="s">
        <v>59</v>
      </c>
      <c r="H204" s="15" t="s">
        <v>809</v>
      </c>
      <c r="I204" s="14"/>
      <c r="J204" s="14"/>
      <c r="K204" s="14"/>
      <c r="L204" s="14"/>
    </row>
    <row r="205" ht="15.75" customHeight="1">
      <c r="A205" s="8"/>
      <c r="B205" s="14" t="s">
        <v>2849</v>
      </c>
      <c r="C205" s="5">
        <v>1397717.0</v>
      </c>
      <c r="D205" s="5">
        <v>0.0</v>
      </c>
      <c r="E205" s="5">
        <f t="shared" si="1"/>
        <v>0</v>
      </c>
      <c r="F205" s="4" t="s">
        <v>2464</v>
      </c>
      <c r="G205" s="4" t="s">
        <v>59</v>
      </c>
      <c r="H205" s="15" t="s">
        <v>809</v>
      </c>
      <c r="I205" s="14"/>
      <c r="J205" s="14"/>
      <c r="K205" s="14"/>
      <c r="L205" s="14"/>
    </row>
    <row r="206" ht="15.75" customHeight="1">
      <c r="A206" s="8">
        <v>46023.0</v>
      </c>
      <c r="B206" s="14" t="s">
        <v>2451</v>
      </c>
      <c r="C206" s="5">
        <v>0.0</v>
      </c>
      <c r="D206" s="5">
        <v>4.4959316E7</v>
      </c>
      <c r="E206" s="5">
        <f t="shared" si="1"/>
        <v>44959316</v>
      </c>
      <c r="F206" s="14" t="s">
        <v>24</v>
      </c>
      <c r="G206" s="14" t="s">
        <v>125</v>
      </c>
      <c r="H206" s="15" t="s">
        <v>1673</v>
      </c>
      <c r="I206" s="14"/>
      <c r="J206" s="14"/>
      <c r="K206" s="14"/>
      <c r="L206" s="14"/>
    </row>
    <row r="207" ht="15.75" customHeight="1">
      <c r="A207" s="8"/>
      <c r="B207" s="14" t="s">
        <v>2850</v>
      </c>
      <c r="C207" s="5">
        <v>4080000.0</v>
      </c>
      <c r="D207" s="5">
        <v>0.0</v>
      </c>
      <c r="E207" s="5">
        <f t="shared" si="1"/>
        <v>40879316</v>
      </c>
      <c r="F207" s="4" t="s">
        <v>2464</v>
      </c>
      <c r="G207" s="4" t="s">
        <v>59</v>
      </c>
      <c r="H207" s="15" t="s">
        <v>1673</v>
      </c>
      <c r="I207" s="14"/>
      <c r="J207" s="14"/>
      <c r="K207" s="14"/>
      <c r="L207" s="14"/>
    </row>
    <row r="208" ht="15.75" customHeight="1">
      <c r="A208" s="8"/>
      <c r="B208" s="14" t="s">
        <v>2851</v>
      </c>
      <c r="C208" s="5">
        <v>7067269.0</v>
      </c>
      <c r="D208" s="5">
        <v>0.0</v>
      </c>
      <c r="E208" s="5">
        <f t="shared" si="1"/>
        <v>33812047</v>
      </c>
      <c r="F208" s="4" t="s">
        <v>2464</v>
      </c>
      <c r="G208" s="4" t="s">
        <v>59</v>
      </c>
      <c r="H208" s="15" t="s">
        <v>1673</v>
      </c>
      <c r="I208" s="14"/>
      <c r="J208" s="14"/>
      <c r="K208" s="14"/>
      <c r="L208" s="14"/>
    </row>
    <row r="209" ht="15.75" customHeight="1">
      <c r="A209" s="8"/>
      <c r="B209" s="14" t="s">
        <v>2852</v>
      </c>
      <c r="C209" s="5">
        <v>907855.0</v>
      </c>
      <c r="D209" s="5">
        <v>0.0</v>
      </c>
      <c r="E209" s="5">
        <f t="shared" si="1"/>
        <v>32904192</v>
      </c>
      <c r="F209" s="4" t="s">
        <v>2464</v>
      </c>
      <c r="G209" s="4" t="s">
        <v>59</v>
      </c>
      <c r="H209" s="15" t="s">
        <v>1673</v>
      </c>
      <c r="I209" s="14"/>
      <c r="J209" s="14"/>
      <c r="K209" s="14"/>
      <c r="L209" s="14"/>
    </row>
    <row r="210" ht="15.75" customHeight="1">
      <c r="A210" s="8"/>
      <c r="B210" s="14" t="s">
        <v>2853</v>
      </c>
      <c r="C210" s="5">
        <v>4945404.0</v>
      </c>
      <c r="D210" s="5">
        <v>0.0</v>
      </c>
      <c r="E210" s="5">
        <f t="shared" si="1"/>
        <v>27958788</v>
      </c>
      <c r="F210" s="4" t="s">
        <v>2464</v>
      </c>
      <c r="G210" s="4" t="s">
        <v>59</v>
      </c>
      <c r="H210" s="15" t="s">
        <v>1673</v>
      </c>
      <c r="I210" s="14"/>
      <c r="J210" s="14"/>
      <c r="K210" s="14"/>
      <c r="L210" s="14"/>
    </row>
    <row r="211" ht="15.75" customHeight="1">
      <c r="A211" s="8"/>
      <c r="B211" s="14" t="s">
        <v>2854</v>
      </c>
      <c r="C211" s="5">
        <v>1.008642E7</v>
      </c>
      <c r="D211" s="5">
        <v>0.0</v>
      </c>
      <c r="E211" s="5">
        <f t="shared" si="1"/>
        <v>17872368</v>
      </c>
      <c r="F211" s="4" t="s">
        <v>2464</v>
      </c>
      <c r="G211" s="4" t="s">
        <v>59</v>
      </c>
      <c r="H211" s="15" t="s">
        <v>1673</v>
      </c>
      <c r="I211" s="14"/>
      <c r="J211" s="14"/>
      <c r="K211" s="14"/>
      <c r="L211" s="14"/>
    </row>
    <row r="212" ht="15.75" customHeight="1">
      <c r="A212" s="8"/>
      <c r="B212" s="14" t="s">
        <v>2855</v>
      </c>
      <c r="C212" s="5">
        <v>3972608.0</v>
      </c>
      <c r="D212" s="5">
        <v>0.0</v>
      </c>
      <c r="E212" s="5">
        <f t="shared" si="1"/>
        <v>13899760</v>
      </c>
      <c r="F212" s="4" t="s">
        <v>2464</v>
      </c>
      <c r="G212" s="4" t="s">
        <v>59</v>
      </c>
      <c r="H212" s="15" t="s">
        <v>1673</v>
      </c>
      <c r="I212" s="14"/>
      <c r="J212" s="14"/>
      <c r="K212" s="14"/>
      <c r="L212" s="14"/>
    </row>
    <row r="213" ht="15.75" customHeight="1">
      <c r="A213" s="8"/>
      <c r="B213" s="14" t="s">
        <v>2856</v>
      </c>
      <c r="C213" s="5">
        <v>942405.0</v>
      </c>
      <c r="D213" s="5">
        <v>0.0</v>
      </c>
      <c r="E213" s="5">
        <f t="shared" si="1"/>
        <v>12957355</v>
      </c>
      <c r="F213" s="4" t="s">
        <v>2464</v>
      </c>
      <c r="G213" s="4" t="s">
        <v>59</v>
      </c>
      <c r="H213" s="15" t="s">
        <v>1673</v>
      </c>
      <c r="I213" s="14"/>
      <c r="J213" s="14"/>
      <c r="K213" s="14"/>
      <c r="L213" s="14"/>
    </row>
    <row r="214" ht="15.75" customHeight="1">
      <c r="A214" s="8"/>
      <c r="B214" s="14" t="s">
        <v>2857</v>
      </c>
      <c r="C214" s="5">
        <v>1405700.0</v>
      </c>
      <c r="D214" s="5">
        <v>0.0</v>
      </c>
      <c r="E214" s="5">
        <f t="shared" si="1"/>
        <v>11551655</v>
      </c>
      <c r="F214" s="4" t="s">
        <v>2464</v>
      </c>
      <c r="G214" s="4" t="s">
        <v>59</v>
      </c>
      <c r="H214" s="15" t="s">
        <v>1673</v>
      </c>
      <c r="I214" s="14"/>
      <c r="J214" s="14"/>
      <c r="K214" s="14"/>
      <c r="L214" s="14"/>
    </row>
    <row r="215" ht="15.75" customHeight="1">
      <c r="A215" s="8"/>
      <c r="B215" s="14" t="s">
        <v>2858</v>
      </c>
      <c r="C215" s="5">
        <v>1463600.0</v>
      </c>
      <c r="D215" s="5">
        <v>0.0</v>
      </c>
      <c r="E215" s="5">
        <f t="shared" si="1"/>
        <v>10088055</v>
      </c>
      <c r="F215" s="4" t="s">
        <v>2464</v>
      </c>
      <c r="G215" s="4" t="s">
        <v>59</v>
      </c>
      <c r="H215" s="15" t="s">
        <v>1673</v>
      </c>
      <c r="I215" s="14"/>
      <c r="J215" s="14"/>
      <c r="K215" s="14"/>
      <c r="L215" s="14"/>
    </row>
    <row r="216" ht="15.75" customHeight="1">
      <c r="A216" s="8"/>
      <c r="B216" s="14" t="s">
        <v>2859</v>
      </c>
      <c r="C216" s="5">
        <v>1975100.0</v>
      </c>
      <c r="D216" s="5">
        <v>0.0</v>
      </c>
      <c r="E216" s="5">
        <f t="shared" si="1"/>
        <v>8112955</v>
      </c>
      <c r="F216" s="4" t="s">
        <v>2464</v>
      </c>
      <c r="G216" s="4" t="s">
        <v>59</v>
      </c>
      <c r="H216" s="15" t="s">
        <v>1673</v>
      </c>
      <c r="I216" s="14"/>
      <c r="J216" s="14"/>
      <c r="K216" s="14"/>
      <c r="L216" s="14"/>
    </row>
    <row r="217" ht="15.75" customHeight="1">
      <c r="A217" s="8"/>
      <c r="B217" s="14" t="s">
        <v>2860</v>
      </c>
      <c r="C217" s="5">
        <v>5000000.0</v>
      </c>
      <c r="D217" s="5">
        <v>0.0</v>
      </c>
      <c r="E217" s="5">
        <f t="shared" si="1"/>
        <v>3112955</v>
      </c>
      <c r="F217" s="4" t="s">
        <v>2464</v>
      </c>
      <c r="G217" s="4" t="s">
        <v>59</v>
      </c>
      <c r="H217" s="15" t="s">
        <v>1673</v>
      </c>
      <c r="I217" s="14"/>
      <c r="J217" s="14"/>
      <c r="K217" s="14"/>
      <c r="L217" s="14"/>
    </row>
    <row r="218" ht="15.75" customHeight="1">
      <c r="A218" s="8"/>
      <c r="B218" s="14" t="s">
        <v>2861</v>
      </c>
      <c r="C218" s="5">
        <v>1012455.0</v>
      </c>
      <c r="D218" s="5">
        <v>0.0</v>
      </c>
      <c r="E218" s="5">
        <f t="shared" si="1"/>
        <v>2100500</v>
      </c>
      <c r="F218" s="4" t="s">
        <v>2464</v>
      </c>
      <c r="G218" s="4" t="s">
        <v>59</v>
      </c>
      <c r="H218" s="15" t="s">
        <v>1673</v>
      </c>
      <c r="I218" s="14"/>
      <c r="J218" s="14"/>
      <c r="K218" s="14"/>
      <c r="L218" s="14"/>
    </row>
    <row r="219" ht="15.75" customHeight="1">
      <c r="A219" s="8"/>
      <c r="B219" s="14" t="s">
        <v>2862</v>
      </c>
      <c r="C219" s="5">
        <v>1140800.0</v>
      </c>
      <c r="D219" s="5">
        <v>0.0</v>
      </c>
      <c r="E219" s="5">
        <f t="shared" si="1"/>
        <v>959700</v>
      </c>
      <c r="F219" s="4" t="s">
        <v>2464</v>
      </c>
      <c r="G219" s="4" t="s">
        <v>59</v>
      </c>
      <c r="H219" s="15" t="s">
        <v>1673</v>
      </c>
      <c r="I219" s="14"/>
      <c r="J219" s="14"/>
      <c r="K219" s="14"/>
      <c r="L219" s="14"/>
    </row>
    <row r="220" ht="15.75" customHeight="1">
      <c r="A220" s="8"/>
      <c r="B220" s="14" t="s">
        <v>2863</v>
      </c>
      <c r="C220" s="5">
        <v>959700.0</v>
      </c>
      <c r="D220" s="5">
        <v>0.0</v>
      </c>
      <c r="E220" s="5">
        <f t="shared" si="1"/>
        <v>0</v>
      </c>
      <c r="F220" s="4" t="s">
        <v>2464</v>
      </c>
      <c r="G220" s="4" t="s">
        <v>59</v>
      </c>
      <c r="H220" s="15" t="s">
        <v>1673</v>
      </c>
      <c r="I220" s="14"/>
      <c r="J220" s="14"/>
      <c r="K220" s="14"/>
      <c r="L220" s="14"/>
    </row>
    <row r="221" ht="15.75" customHeight="1">
      <c r="A221" s="8">
        <v>46023.0</v>
      </c>
      <c r="B221" s="14" t="s">
        <v>2451</v>
      </c>
      <c r="C221" s="5">
        <v>0.0</v>
      </c>
      <c r="D221" s="5">
        <v>1.15175573E8</v>
      </c>
      <c r="E221" s="5">
        <f t="shared" si="1"/>
        <v>115175573</v>
      </c>
      <c r="F221" s="14" t="s">
        <v>24</v>
      </c>
      <c r="G221" s="14" t="s">
        <v>125</v>
      </c>
      <c r="H221" s="15" t="s">
        <v>1894</v>
      </c>
      <c r="I221" s="14"/>
      <c r="J221" s="14"/>
      <c r="K221" s="14"/>
      <c r="L221" s="14"/>
    </row>
    <row r="222" ht="15.75" customHeight="1">
      <c r="A222" s="8"/>
      <c r="B222" s="14" t="s">
        <v>2864</v>
      </c>
      <c r="C222" s="5">
        <v>450000.0</v>
      </c>
      <c r="D222" s="5">
        <v>0.0</v>
      </c>
      <c r="E222" s="5">
        <f t="shared" si="1"/>
        <v>114725573</v>
      </c>
      <c r="F222" s="4" t="s">
        <v>2464</v>
      </c>
      <c r="G222" s="4" t="s">
        <v>59</v>
      </c>
      <c r="H222" s="15" t="s">
        <v>1894</v>
      </c>
      <c r="I222" s="14"/>
      <c r="J222" s="14"/>
      <c r="K222" s="14"/>
      <c r="L222" s="14"/>
    </row>
    <row r="223" ht="15.75" customHeight="1">
      <c r="A223" s="8"/>
      <c r="B223" s="14" t="s">
        <v>2865</v>
      </c>
      <c r="C223" s="5">
        <v>-80000.0</v>
      </c>
      <c r="D223" s="5">
        <v>0.0</v>
      </c>
      <c r="E223" s="5">
        <f t="shared" si="1"/>
        <v>114805573</v>
      </c>
      <c r="F223" s="4" t="s">
        <v>2464</v>
      </c>
      <c r="G223" s="4" t="s">
        <v>59</v>
      </c>
      <c r="H223" s="15" t="s">
        <v>1894</v>
      </c>
      <c r="I223" s="14"/>
      <c r="J223" s="14"/>
      <c r="K223" s="14"/>
      <c r="L223" s="14"/>
    </row>
    <row r="224" ht="15.75" customHeight="1">
      <c r="A224" s="8"/>
      <c r="B224" s="14" t="s">
        <v>2866</v>
      </c>
      <c r="C224" s="5">
        <v>1626910.0</v>
      </c>
      <c r="D224" s="5">
        <v>0.0</v>
      </c>
      <c r="E224" s="5">
        <f t="shared" si="1"/>
        <v>113178663</v>
      </c>
      <c r="F224" s="4" t="s">
        <v>2464</v>
      </c>
      <c r="G224" s="4" t="s">
        <v>59</v>
      </c>
      <c r="H224" s="15" t="s">
        <v>1894</v>
      </c>
      <c r="I224" s="14"/>
      <c r="J224" s="14"/>
      <c r="K224" s="14"/>
      <c r="L224" s="14"/>
    </row>
    <row r="225" ht="15.75" customHeight="1">
      <c r="A225" s="8"/>
      <c r="B225" s="14" t="s">
        <v>2867</v>
      </c>
      <c r="C225" s="5">
        <v>1452000.0</v>
      </c>
      <c r="D225" s="5">
        <v>0.0</v>
      </c>
      <c r="E225" s="5">
        <f t="shared" si="1"/>
        <v>111726663</v>
      </c>
      <c r="F225" s="4" t="s">
        <v>2464</v>
      </c>
      <c r="G225" s="4" t="s">
        <v>59</v>
      </c>
      <c r="H225" s="15" t="s">
        <v>1894</v>
      </c>
      <c r="I225" s="14"/>
      <c r="J225" s="14"/>
      <c r="K225" s="14"/>
      <c r="L225" s="14"/>
    </row>
    <row r="226" ht="15.75" customHeight="1">
      <c r="A226" s="8"/>
      <c r="B226" s="14" t="s">
        <v>2868</v>
      </c>
      <c r="C226" s="5">
        <v>1.17E7</v>
      </c>
      <c r="D226" s="5">
        <v>0.0</v>
      </c>
      <c r="E226" s="5">
        <f t="shared" si="1"/>
        <v>100026663</v>
      </c>
      <c r="F226" s="4" t="s">
        <v>2464</v>
      </c>
      <c r="G226" s="4" t="s">
        <v>59</v>
      </c>
      <c r="H226" s="15" t="s">
        <v>1894</v>
      </c>
      <c r="I226" s="14"/>
      <c r="J226" s="14"/>
      <c r="K226" s="14"/>
      <c r="L226" s="14"/>
    </row>
    <row r="227" ht="15.75" customHeight="1">
      <c r="A227" s="8"/>
      <c r="B227" s="14" t="s">
        <v>2869</v>
      </c>
      <c r="C227" s="5">
        <v>5157771.0</v>
      </c>
      <c r="D227" s="5">
        <v>0.0</v>
      </c>
      <c r="E227" s="5">
        <f t="shared" si="1"/>
        <v>94868892</v>
      </c>
      <c r="F227" s="4" t="s">
        <v>2464</v>
      </c>
      <c r="G227" s="4" t="s">
        <v>59</v>
      </c>
      <c r="H227" s="15" t="s">
        <v>1894</v>
      </c>
      <c r="I227" s="14"/>
      <c r="J227" s="14"/>
      <c r="K227" s="14"/>
      <c r="L227" s="14"/>
    </row>
    <row r="228" ht="15.75" customHeight="1">
      <c r="A228" s="8"/>
      <c r="B228" s="14" t="s">
        <v>2870</v>
      </c>
      <c r="C228" s="5">
        <v>8498830.0</v>
      </c>
      <c r="D228" s="5">
        <v>0.0</v>
      </c>
      <c r="E228" s="5">
        <f t="shared" si="1"/>
        <v>86370062</v>
      </c>
      <c r="F228" s="4" t="s">
        <v>2464</v>
      </c>
      <c r="G228" s="4" t="s">
        <v>59</v>
      </c>
      <c r="H228" s="15" t="s">
        <v>1894</v>
      </c>
      <c r="I228" s="14"/>
      <c r="J228" s="14"/>
      <c r="K228" s="14"/>
      <c r="L228" s="14"/>
    </row>
    <row r="229" ht="15.75" customHeight="1">
      <c r="A229" s="8"/>
      <c r="B229" s="14" t="s">
        <v>2871</v>
      </c>
      <c r="C229" s="5">
        <v>8016000.0</v>
      </c>
      <c r="D229" s="5">
        <v>0.0</v>
      </c>
      <c r="E229" s="5">
        <f t="shared" si="1"/>
        <v>78354062</v>
      </c>
      <c r="F229" s="4" t="s">
        <v>2464</v>
      </c>
      <c r="G229" s="4" t="s">
        <v>59</v>
      </c>
      <c r="H229" s="15" t="s">
        <v>1894</v>
      </c>
      <c r="I229" s="14"/>
      <c r="J229" s="14"/>
      <c r="K229" s="14"/>
      <c r="L229" s="14"/>
    </row>
    <row r="230" ht="15.75" customHeight="1">
      <c r="A230" s="8"/>
      <c r="B230" s="14" t="s">
        <v>2872</v>
      </c>
      <c r="C230" s="5">
        <v>7519700.0</v>
      </c>
      <c r="D230" s="5">
        <v>0.0</v>
      </c>
      <c r="E230" s="5">
        <f t="shared" si="1"/>
        <v>70834362</v>
      </c>
      <c r="F230" s="4" t="s">
        <v>2464</v>
      </c>
      <c r="G230" s="4" t="s">
        <v>59</v>
      </c>
      <c r="H230" s="15" t="s">
        <v>1894</v>
      </c>
      <c r="I230" s="14"/>
      <c r="J230" s="14"/>
      <c r="K230" s="14"/>
      <c r="L230" s="14"/>
    </row>
    <row r="231" ht="15.75" customHeight="1">
      <c r="A231" s="8"/>
      <c r="B231" s="14" t="s">
        <v>2873</v>
      </c>
      <c r="C231" s="5">
        <v>1708600.0</v>
      </c>
      <c r="D231" s="5">
        <v>0.0</v>
      </c>
      <c r="E231" s="5">
        <f t="shared" si="1"/>
        <v>69125762</v>
      </c>
      <c r="F231" s="4" t="s">
        <v>2464</v>
      </c>
      <c r="G231" s="4" t="s">
        <v>59</v>
      </c>
      <c r="H231" s="15" t="s">
        <v>1894</v>
      </c>
      <c r="I231" s="14"/>
      <c r="J231" s="14"/>
      <c r="K231" s="14"/>
      <c r="L231" s="14"/>
    </row>
    <row r="232" ht="15.75" customHeight="1">
      <c r="A232" s="8"/>
      <c r="B232" s="14" t="s">
        <v>2874</v>
      </c>
      <c r="C232" s="5">
        <v>3522000.0</v>
      </c>
      <c r="D232" s="5">
        <v>0.0</v>
      </c>
      <c r="E232" s="5">
        <f t="shared" si="1"/>
        <v>65603762</v>
      </c>
      <c r="F232" s="4" t="s">
        <v>2464</v>
      </c>
      <c r="G232" s="4" t="s">
        <v>59</v>
      </c>
      <c r="H232" s="15" t="s">
        <v>1894</v>
      </c>
      <c r="I232" s="14"/>
      <c r="J232" s="14"/>
      <c r="K232" s="14"/>
      <c r="L232" s="14"/>
    </row>
    <row r="233" ht="15.75" customHeight="1">
      <c r="A233" s="8"/>
      <c r="B233" s="14" t="s">
        <v>2875</v>
      </c>
      <c r="C233" s="5">
        <v>2867945.0</v>
      </c>
      <c r="D233" s="5">
        <v>0.0</v>
      </c>
      <c r="E233" s="5">
        <f t="shared" si="1"/>
        <v>62735817</v>
      </c>
      <c r="F233" s="4" t="s">
        <v>2464</v>
      </c>
      <c r="G233" s="4" t="s">
        <v>59</v>
      </c>
      <c r="H233" s="15" t="s">
        <v>1894</v>
      </c>
      <c r="I233" s="14"/>
      <c r="J233" s="14"/>
      <c r="K233" s="14"/>
      <c r="L233" s="14"/>
    </row>
    <row r="234" ht="15.75" customHeight="1">
      <c r="A234" s="8"/>
      <c r="B234" s="14" t="s">
        <v>2876</v>
      </c>
      <c r="C234" s="5">
        <v>6002690.0</v>
      </c>
      <c r="D234" s="5">
        <v>0.0</v>
      </c>
      <c r="E234" s="5">
        <f t="shared" si="1"/>
        <v>56733127</v>
      </c>
      <c r="F234" s="4" t="s">
        <v>2464</v>
      </c>
      <c r="G234" s="4" t="s">
        <v>59</v>
      </c>
      <c r="H234" s="15" t="s">
        <v>1894</v>
      </c>
      <c r="I234" s="14"/>
      <c r="J234" s="14"/>
      <c r="K234" s="14"/>
      <c r="L234" s="14"/>
    </row>
    <row r="235" ht="15.75" customHeight="1">
      <c r="A235" s="8"/>
      <c r="B235" s="14" t="s">
        <v>2877</v>
      </c>
      <c r="C235" s="5">
        <v>1.2938555E7</v>
      </c>
      <c r="D235" s="5">
        <v>0.0</v>
      </c>
      <c r="E235" s="5">
        <f t="shared" si="1"/>
        <v>43794572</v>
      </c>
      <c r="F235" s="4" t="s">
        <v>2464</v>
      </c>
      <c r="G235" s="4" t="s">
        <v>59</v>
      </c>
      <c r="H235" s="15" t="s">
        <v>1894</v>
      </c>
      <c r="I235" s="14"/>
      <c r="J235" s="14"/>
      <c r="K235" s="14"/>
      <c r="L235" s="14"/>
    </row>
    <row r="236" ht="15.75" customHeight="1">
      <c r="A236" s="8"/>
      <c r="B236" s="14" t="s">
        <v>2878</v>
      </c>
      <c r="C236" s="5">
        <v>2219105.0</v>
      </c>
      <c r="D236" s="5">
        <v>0.0</v>
      </c>
      <c r="E236" s="5">
        <f t="shared" si="1"/>
        <v>41575467</v>
      </c>
      <c r="F236" s="4" t="s">
        <v>2464</v>
      </c>
      <c r="G236" s="4" t="s">
        <v>59</v>
      </c>
      <c r="H236" s="15" t="s">
        <v>1894</v>
      </c>
      <c r="I236" s="14"/>
      <c r="J236" s="14"/>
      <c r="K236" s="14"/>
      <c r="L236" s="14"/>
    </row>
    <row r="237" ht="15.75" customHeight="1">
      <c r="A237" s="8"/>
      <c r="B237" s="14" t="s">
        <v>2879</v>
      </c>
      <c r="C237" s="5">
        <v>7599633.0</v>
      </c>
      <c r="D237" s="5">
        <v>0.0</v>
      </c>
      <c r="E237" s="5">
        <f t="shared" si="1"/>
        <v>33975834</v>
      </c>
      <c r="F237" s="4" t="s">
        <v>2464</v>
      </c>
      <c r="G237" s="4" t="s">
        <v>59</v>
      </c>
      <c r="H237" s="15" t="s">
        <v>1894</v>
      </c>
      <c r="I237" s="14"/>
      <c r="J237" s="14"/>
      <c r="K237" s="14"/>
      <c r="L237" s="14"/>
    </row>
    <row r="238" ht="15.75" customHeight="1">
      <c r="A238" s="8"/>
      <c r="B238" s="14" t="s">
        <v>2880</v>
      </c>
      <c r="C238" s="5">
        <v>1630000.0</v>
      </c>
      <c r="D238" s="5">
        <v>0.0</v>
      </c>
      <c r="E238" s="5">
        <f t="shared" si="1"/>
        <v>32345834</v>
      </c>
      <c r="F238" s="4" t="s">
        <v>2464</v>
      </c>
      <c r="G238" s="4" t="s">
        <v>59</v>
      </c>
      <c r="H238" s="15" t="s">
        <v>1894</v>
      </c>
      <c r="I238" s="14"/>
      <c r="J238" s="14"/>
      <c r="K238" s="14"/>
      <c r="L238" s="14"/>
    </row>
    <row r="239" ht="15.75" customHeight="1">
      <c r="A239" s="8"/>
      <c r="B239" s="14" t="s">
        <v>2881</v>
      </c>
      <c r="C239" s="5">
        <v>2243230.0</v>
      </c>
      <c r="D239" s="5">
        <v>0.0</v>
      </c>
      <c r="E239" s="5">
        <f t="shared" si="1"/>
        <v>30102604</v>
      </c>
      <c r="F239" s="4" t="s">
        <v>2464</v>
      </c>
      <c r="G239" s="4" t="s">
        <v>59</v>
      </c>
      <c r="H239" s="15" t="s">
        <v>1894</v>
      </c>
      <c r="I239" s="14"/>
      <c r="J239" s="14"/>
      <c r="K239" s="14"/>
      <c r="L239" s="14"/>
    </row>
    <row r="240" ht="15.75" customHeight="1">
      <c r="A240" s="8"/>
      <c r="B240" s="14" t="s">
        <v>2882</v>
      </c>
      <c r="C240" s="5">
        <v>8696600.0</v>
      </c>
      <c r="D240" s="5">
        <v>0.0</v>
      </c>
      <c r="E240" s="5">
        <f t="shared" si="1"/>
        <v>21406004</v>
      </c>
      <c r="F240" s="4" t="s">
        <v>2464</v>
      </c>
      <c r="G240" s="4" t="s">
        <v>59</v>
      </c>
      <c r="H240" s="15" t="s">
        <v>1894</v>
      </c>
      <c r="I240" s="14"/>
      <c r="J240" s="14"/>
      <c r="K240" s="14"/>
      <c r="L240" s="14"/>
    </row>
    <row r="241" ht="15.75" customHeight="1">
      <c r="A241" s="8"/>
      <c r="B241" s="14" t="s">
        <v>2883</v>
      </c>
      <c r="C241" s="5">
        <v>2191500.0</v>
      </c>
      <c r="D241" s="5">
        <v>0.0</v>
      </c>
      <c r="E241" s="5">
        <f t="shared" si="1"/>
        <v>19214504</v>
      </c>
      <c r="F241" s="4" t="s">
        <v>2464</v>
      </c>
      <c r="G241" s="4" t="s">
        <v>59</v>
      </c>
      <c r="H241" s="15" t="s">
        <v>1894</v>
      </c>
      <c r="I241" s="14"/>
      <c r="J241" s="14"/>
      <c r="K241" s="14"/>
      <c r="L241" s="14"/>
    </row>
    <row r="242" ht="15.75" customHeight="1">
      <c r="A242" s="8"/>
      <c r="B242" s="14" t="s">
        <v>2884</v>
      </c>
      <c r="C242" s="5">
        <v>5315027.0</v>
      </c>
      <c r="D242" s="5">
        <v>0.0</v>
      </c>
      <c r="E242" s="5">
        <f t="shared" si="1"/>
        <v>13899477</v>
      </c>
      <c r="F242" s="4" t="s">
        <v>2464</v>
      </c>
      <c r="G242" s="4" t="s">
        <v>59</v>
      </c>
      <c r="H242" s="15" t="s">
        <v>1894</v>
      </c>
      <c r="I242" s="14"/>
      <c r="J242" s="14"/>
      <c r="K242" s="14"/>
      <c r="L242" s="14"/>
    </row>
    <row r="243" ht="15.75" customHeight="1">
      <c r="A243" s="8"/>
      <c r="B243" s="14" t="s">
        <v>2885</v>
      </c>
      <c r="C243" s="5">
        <v>8514010.0</v>
      </c>
      <c r="D243" s="5">
        <v>0.0</v>
      </c>
      <c r="E243" s="5">
        <f t="shared" si="1"/>
        <v>5385467</v>
      </c>
      <c r="F243" s="4" t="s">
        <v>2464</v>
      </c>
      <c r="G243" s="4" t="s">
        <v>59</v>
      </c>
      <c r="H243" s="15" t="s">
        <v>1894</v>
      </c>
      <c r="I243" s="14"/>
      <c r="J243" s="14"/>
      <c r="K243" s="14"/>
      <c r="L243" s="14"/>
    </row>
    <row r="244" ht="15.75" customHeight="1">
      <c r="A244" s="8"/>
      <c r="B244" s="14" t="s">
        <v>2886</v>
      </c>
      <c r="C244" s="5">
        <v>2295280.0</v>
      </c>
      <c r="D244" s="5">
        <v>0.0</v>
      </c>
      <c r="E244" s="5">
        <f t="shared" si="1"/>
        <v>3090187</v>
      </c>
      <c r="F244" s="4" t="s">
        <v>2464</v>
      </c>
      <c r="G244" s="4" t="s">
        <v>59</v>
      </c>
      <c r="H244" s="15" t="s">
        <v>1894</v>
      </c>
      <c r="I244" s="14"/>
      <c r="J244" s="14"/>
      <c r="K244" s="14"/>
      <c r="L244" s="14"/>
    </row>
    <row r="245" ht="15.75" customHeight="1">
      <c r="A245" s="8"/>
      <c r="B245" s="14" t="s">
        <v>2887</v>
      </c>
      <c r="C245" s="5">
        <v>5400000.0</v>
      </c>
      <c r="D245" s="5">
        <v>0.0</v>
      </c>
      <c r="E245" s="5">
        <f t="shared" si="1"/>
        <v>-2309813</v>
      </c>
      <c r="F245" s="4" t="s">
        <v>2464</v>
      </c>
      <c r="G245" s="4" t="s">
        <v>59</v>
      </c>
      <c r="H245" s="15" t="s">
        <v>1894</v>
      </c>
      <c r="I245" s="14"/>
      <c r="J245" s="14"/>
      <c r="K245" s="14"/>
      <c r="L245" s="14"/>
    </row>
    <row r="246" ht="15.75" customHeight="1">
      <c r="A246" s="8"/>
      <c r="B246" s="14" t="s">
        <v>2888</v>
      </c>
      <c r="C246" s="5">
        <v>4486652.0</v>
      </c>
      <c r="D246" s="5">
        <v>0.0</v>
      </c>
      <c r="E246" s="5">
        <f t="shared" si="1"/>
        <v>-6796465</v>
      </c>
      <c r="F246" s="4" t="s">
        <v>2464</v>
      </c>
      <c r="G246" s="4" t="s">
        <v>59</v>
      </c>
      <c r="H246" s="15" t="s">
        <v>1894</v>
      </c>
      <c r="I246" s="14"/>
      <c r="J246" s="14"/>
      <c r="K246" s="14"/>
      <c r="L246" s="14"/>
    </row>
    <row r="247" ht="15.75" customHeight="1">
      <c r="A247" s="8"/>
      <c r="B247" s="14" t="s">
        <v>2889</v>
      </c>
      <c r="C247" s="5">
        <v>1932020.0</v>
      </c>
      <c r="D247" s="5">
        <v>0.0</v>
      </c>
      <c r="E247" s="5">
        <f t="shared" si="1"/>
        <v>-8728485</v>
      </c>
      <c r="F247" s="4" t="s">
        <v>2464</v>
      </c>
      <c r="G247" s="4" t="s">
        <v>59</v>
      </c>
      <c r="H247" s="15" t="s">
        <v>1894</v>
      </c>
      <c r="I247" s="14"/>
      <c r="J247" s="14"/>
      <c r="K247" s="14"/>
      <c r="L247" s="14"/>
    </row>
    <row r="248" ht="15.75" customHeight="1">
      <c r="A248" s="8"/>
      <c r="B248" s="14" t="s">
        <v>2890</v>
      </c>
      <c r="C248" s="5">
        <v>3056400.0</v>
      </c>
      <c r="D248" s="5">
        <v>0.0</v>
      </c>
      <c r="E248" s="5">
        <f t="shared" si="1"/>
        <v>-11784885</v>
      </c>
      <c r="F248" s="4" t="s">
        <v>2464</v>
      </c>
      <c r="G248" s="4" t="s">
        <v>59</v>
      </c>
      <c r="H248" s="15" t="s">
        <v>1894</v>
      </c>
      <c r="I248" s="14"/>
      <c r="J248" s="14"/>
      <c r="K248" s="14"/>
      <c r="L248" s="14"/>
    </row>
    <row r="249" ht="15.75" customHeight="1">
      <c r="A249" s="8"/>
      <c r="B249" s="14" t="s">
        <v>2891</v>
      </c>
      <c r="C249" s="5">
        <v>1567500.0</v>
      </c>
      <c r="D249" s="5">
        <v>0.0</v>
      </c>
      <c r="E249" s="5">
        <f t="shared" si="1"/>
        <v>-13352385</v>
      </c>
      <c r="F249" s="4" t="s">
        <v>2464</v>
      </c>
      <c r="G249" s="4" t="s">
        <v>59</v>
      </c>
      <c r="H249" s="15" t="s">
        <v>1894</v>
      </c>
      <c r="I249" s="14"/>
      <c r="J249" s="14"/>
      <c r="K249" s="14"/>
      <c r="L249" s="14"/>
    </row>
    <row r="250" ht="15.75" customHeight="1">
      <c r="A250" s="8"/>
      <c r="B250" s="14" t="s">
        <v>2892</v>
      </c>
      <c r="C250" s="5">
        <v>1478080.0</v>
      </c>
      <c r="D250" s="5">
        <v>0.0</v>
      </c>
      <c r="E250" s="5">
        <f t="shared" si="1"/>
        <v>-14830465</v>
      </c>
      <c r="F250" s="4" t="s">
        <v>2464</v>
      </c>
      <c r="G250" s="4" t="s">
        <v>59</v>
      </c>
      <c r="H250" s="15" t="s">
        <v>1894</v>
      </c>
      <c r="I250" s="14"/>
      <c r="J250" s="14"/>
      <c r="K250" s="14"/>
      <c r="L250" s="14"/>
    </row>
    <row r="251" ht="15.75" customHeight="1">
      <c r="A251" s="8"/>
      <c r="B251" s="14" t="s">
        <v>2893</v>
      </c>
      <c r="C251" s="5">
        <v>1719998.0</v>
      </c>
      <c r="D251" s="5">
        <v>0.0</v>
      </c>
      <c r="E251" s="5">
        <f t="shared" si="1"/>
        <v>-16550463</v>
      </c>
      <c r="F251" s="4" t="s">
        <v>2464</v>
      </c>
      <c r="G251" s="4" t="s">
        <v>59</v>
      </c>
      <c r="H251" s="15" t="s">
        <v>1894</v>
      </c>
      <c r="I251" s="14"/>
      <c r="J251" s="14"/>
      <c r="K251" s="14"/>
      <c r="L251" s="14"/>
    </row>
    <row r="252" ht="15.75" customHeight="1">
      <c r="A252" s="8"/>
      <c r="B252" s="14" t="s">
        <v>2894</v>
      </c>
      <c r="C252" s="5">
        <v>1488000.0</v>
      </c>
      <c r="D252" s="5">
        <v>0.0</v>
      </c>
      <c r="E252" s="5">
        <f t="shared" si="1"/>
        <v>-18038463</v>
      </c>
      <c r="F252" s="4" t="s">
        <v>2464</v>
      </c>
      <c r="G252" s="4" t="s">
        <v>59</v>
      </c>
      <c r="H252" s="15" t="s">
        <v>1894</v>
      </c>
      <c r="I252" s="14"/>
      <c r="J252" s="14"/>
      <c r="K252" s="14"/>
      <c r="L252" s="14"/>
    </row>
    <row r="253" ht="15.75" customHeight="1">
      <c r="A253" s="8"/>
      <c r="B253" s="14" t="s">
        <v>2895</v>
      </c>
      <c r="C253" s="5">
        <v>770400.0</v>
      </c>
      <c r="D253" s="5">
        <v>0.0</v>
      </c>
      <c r="E253" s="5">
        <f t="shared" si="1"/>
        <v>-18808863</v>
      </c>
      <c r="F253" s="4" t="s">
        <v>2464</v>
      </c>
      <c r="G253" s="4" t="s">
        <v>59</v>
      </c>
      <c r="H253" s="15" t="s">
        <v>1894</v>
      </c>
      <c r="I253" s="14"/>
      <c r="J253" s="14"/>
      <c r="K253" s="14"/>
      <c r="L253" s="14"/>
    </row>
    <row r="254" ht="15.75" customHeight="1">
      <c r="A254" s="8"/>
      <c r="B254" s="14" t="s">
        <v>2896</v>
      </c>
      <c r="C254" s="5">
        <v>911842.0</v>
      </c>
      <c r="D254" s="5">
        <v>0.0</v>
      </c>
      <c r="E254" s="5">
        <f t="shared" si="1"/>
        <v>-19720705</v>
      </c>
      <c r="F254" s="4" t="s">
        <v>2464</v>
      </c>
      <c r="G254" s="4" t="s">
        <v>59</v>
      </c>
      <c r="H254" s="15" t="s">
        <v>1894</v>
      </c>
      <c r="I254" s="14"/>
      <c r="J254" s="14"/>
      <c r="K254" s="14"/>
      <c r="L254" s="14"/>
    </row>
    <row r="255" ht="15.75" customHeight="1">
      <c r="A255" s="8"/>
      <c r="B255" s="14" t="s">
        <v>2897</v>
      </c>
      <c r="C255" s="5">
        <v>1472434.0</v>
      </c>
      <c r="D255" s="5">
        <v>0.0</v>
      </c>
      <c r="E255" s="5">
        <f t="shared" si="1"/>
        <v>-21193139</v>
      </c>
      <c r="F255" s="4" t="s">
        <v>2464</v>
      </c>
      <c r="G255" s="4" t="s">
        <v>59</v>
      </c>
      <c r="H255" s="15" t="s">
        <v>1894</v>
      </c>
      <c r="I255" s="14"/>
      <c r="J255" s="14"/>
      <c r="K255" s="14"/>
      <c r="L255" s="14"/>
    </row>
    <row r="256" ht="15.75" customHeight="1">
      <c r="A256" s="8"/>
      <c r="B256" s="14" t="s">
        <v>2898</v>
      </c>
      <c r="C256" s="5">
        <v>3127288.0</v>
      </c>
      <c r="D256" s="5">
        <v>0.0</v>
      </c>
      <c r="E256" s="5">
        <f t="shared" si="1"/>
        <v>-24320427</v>
      </c>
      <c r="F256" s="4" t="s">
        <v>2464</v>
      </c>
      <c r="G256" s="4" t="s">
        <v>59</v>
      </c>
      <c r="H256" s="15" t="s">
        <v>1894</v>
      </c>
      <c r="I256" s="14"/>
      <c r="J256" s="14"/>
      <c r="K256" s="14"/>
      <c r="L256" s="14"/>
    </row>
    <row r="257" ht="15.75" customHeight="1">
      <c r="A257" s="8"/>
      <c r="B257" s="14" t="s">
        <v>2899</v>
      </c>
      <c r="C257" s="5">
        <v>1449964.0</v>
      </c>
      <c r="D257" s="5">
        <v>0.0</v>
      </c>
      <c r="E257" s="5">
        <f t="shared" si="1"/>
        <v>-25770391</v>
      </c>
      <c r="F257" s="4" t="s">
        <v>2464</v>
      </c>
      <c r="G257" s="4" t="s">
        <v>59</v>
      </c>
      <c r="H257" s="15" t="s">
        <v>1894</v>
      </c>
      <c r="I257" s="14"/>
      <c r="J257" s="14"/>
      <c r="K257" s="14"/>
      <c r="L257" s="14"/>
    </row>
    <row r="258" ht="15.75" customHeight="1">
      <c r="A258" s="8"/>
      <c r="B258" s="14" t="s">
        <v>2900</v>
      </c>
      <c r="C258" s="5">
        <v>1306289.0</v>
      </c>
      <c r="D258" s="5">
        <v>0.0</v>
      </c>
      <c r="E258" s="5">
        <f t="shared" si="1"/>
        <v>-27076680</v>
      </c>
      <c r="F258" s="4" t="s">
        <v>2464</v>
      </c>
      <c r="G258" s="4" t="s">
        <v>59</v>
      </c>
      <c r="H258" s="15" t="s">
        <v>1894</v>
      </c>
      <c r="I258" s="14"/>
      <c r="J258" s="14"/>
      <c r="K258" s="14"/>
      <c r="L258" s="14"/>
    </row>
    <row r="259" ht="15.75" customHeight="1">
      <c r="A259" s="8"/>
      <c r="B259" s="14" t="s">
        <v>2901</v>
      </c>
      <c r="C259" s="5">
        <v>653999.0</v>
      </c>
      <c r="D259" s="5">
        <v>0.0</v>
      </c>
      <c r="E259" s="5">
        <f t="shared" si="1"/>
        <v>-27730679</v>
      </c>
      <c r="F259" s="4" t="s">
        <v>2464</v>
      </c>
      <c r="G259" s="4" t="s">
        <v>59</v>
      </c>
      <c r="H259" s="15" t="s">
        <v>1894</v>
      </c>
      <c r="I259" s="14"/>
      <c r="J259" s="14"/>
      <c r="K259" s="14"/>
      <c r="L259" s="14"/>
    </row>
    <row r="260" ht="15.75" customHeight="1">
      <c r="A260" s="8"/>
      <c r="B260" s="14" t="s">
        <v>2902</v>
      </c>
      <c r="C260" s="5">
        <v>1050000.0</v>
      </c>
      <c r="D260" s="5">
        <v>0.0</v>
      </c>
      <c r="E260" s="5">
        <f t="shared" si="1"/>
        <v>-28780679</v>
      </c>
      <c r="F260" s="4" t="s">
        <v>2464</v>
      </c>
      <c r="G260" s="4" t="s">
        <v>59</v>
      </c>
      <c r="H260" s="15" t="s">
        <v>1894</v>
      </c>
      <c r="I260" s="14"/>
      <c r="J260" s="14"/>
      <c r="K260" s="14"/>
      <c r="L260" s="14"/>
    </row>
    <row r="261" ht="15.75" customHeight="1">
      <c r="A261" s="8"/>
      <c r="B261" s="14" t="s">
        <v>2903</v>
      </c>
      <c r="C261" s="5">
        <v>-1191450.0</v>
      </c>
      <c r="D261" s="5">
        <v>0.0</v>
      </c>
      <c r="E261" s="5">
        <f t="shared" si="1"/>
        <v>-27589229</v>
      </c>
      <c r="F261" s="4" t="s">
        <v>2464</v>
      </c>
      <c r="G261" s="4" t="s">
        <v>59</v>
      </c>
      <c r="H261" s="15" t="s">
        <v>1894</v>
      </c>
      <c r="I261" s="14"/>
      <c r="J261" s="14"/>
      <c r="K261" s="14"/>
      <c r="L261" s="14"/>
    </row>
    <row r="262" ht="15.75" customHeight="1">
      <c r="A262" s="8"/>
      <c r="B262" s="14" t="s">
        <v>2904</v>
      </c>
      <c r="C262" s="5">
        <v>-1776200.0</v>
      </c>
      <c r="D262" s="5">
        <v>0.0</v>
      </c>
      <c r="E262" s="5">
        <f t="shared" si="1"/>
        <v>-25813029</v>
      </c>
      <c r="F262" s="4" t="s">
        <v>2464</v>
      </c>
      <c r="G262" s="4" t="s">
        <v>59</v>
      </c>
      <c r="H262" s="15" t="s">
        <v>1894</v>
      </c>
      <c r="I262" s="14"/>
      <c r="J262" s="14"/>
      <c r="K262" s="14"/>
      <c r="L262" s="14"/>
    </row>
    <row r="263" ht="15.75" customHeight="1">
      <c r="A263" s="8"/>
      <c r="B263" s="14" t="s">
        <v>2905</v>
      </c>
      <c r="C263" s="5">
        <v>-1354250.0</v>
      </c>
      <c r="D263" s="5">
        <v>0.0</v>
      </c>
      <c r="E263" s="5">
        <f t="shared" si="1"/>
        <v>-24458779</v>
      </c>
      <c r="F263" s="4" t="s">
        <v>2464</v>
      </c>
      <c r="G263" s="4" t="s">
        <v>59</v>
      </c>
      <c r="H263" s="15" t="s">
        <v>1894</v>
      </c>
      <c r="I263" s="14"/>
      <c r="J263" s="14"/>
      <c r="K263" s="14"/>
      <c r="L263" s="14"/>
    </row>
    <row r="264" ht="15.75" customHeight="1">
      <c r="A264" s="8"/>
      <c r="B264" s="14" t="s">
        <v>2906</v>
      </c>
      <c r="C264" s="5">
        <v>-1004509.0</v>
      </c>
      <c r="D264" s="5">
        <v>0.0</v>
      </c>
      <c r="E264" s="5">
        <f t="shared" si="1"/>
        <v>-23454270</v>
      </c>
      <c r="F264" s="4" t="s">
        <v>2464</v>
      </c>
      <c r="G264" s="4" t="s">
        <v>59</v>
      </c>
      <c r="H264" s="15" t="s">
        <v>1894</v>
      </c>
      <c r="I264" s="14"/>
      <c r="J264" s="14"/>
      <c r="K264" s="14"/>
      <c r="L264" s="14"/>
    </row>
    <row r="265" ht="15.75" customHeight="1">
      <c r="A265" s="8"/>
      <c r="B265" s="14" t="s">
        <v>2907</v>
      </c>
      <c r="C265" s="5">
        <v>-664005.0</v>
      </c>
      <c r="D265" s="5">
        <v>0.0</v>
      </c>
      <c r="E265" s="5">
        <f t="shared" si="1"/>
        <v>-22790265</v>
      </c>
      <c r="F265" s="4" t="s">
        <v>2464</v>
      </c>
      <c r="G265" s="4" t="s">
        <v>59</v>
      </c>
      <c r="H265" s="15" t="s">
        <v>1894</v>
      </c>
      <c r="I265" s="14"/>
      <c r="J265" s="14"/>
      <c r="K265" s="14"/>
      <c r="L265" s="14"/>
    </row>
    <row r="266" ht="15.75" customHeight="1">
      <c r="A266" s="8"/>
      <c r="B266" s="14" t="s">
        <v>2908</v>
      </c>
      <c r="C266" s="5">
        <v>-976600.0</v>
      </c>
      <c r="D266" s="5">
        <v>0.0</v>
      </c>
      <c r="E266" s="5">
        <f t="shared" si="1"/>
        <v>-21813665</v>
      </c>
      <c r="F266" s="4" t="s">
        <v>2464</v>
      </c>
      <c r="G266" s="4" t="s">
        <v>59</v>
      </c>
      <c r="H266" s="15" t="s">
        <v>1894</v>
      </c>
      <c r="I266" s="14"/>
      <c r="J266" s="14"/>
      <c r="K266" s="14"/>
      <c r="L266" s="14"/>
    </row>
    <row r="267" ht="15.75" customHeight="1">
      <c r="A267" s="8"/>
      <c r="B267" s="14" t="s">
        <v>2909</v>
      </c>
      <c r="C267" s="5">
        <v>-590100.0</v>
      </c>
      <c r="D267" s="5">
        <v>0.0</v>
      </c>
      <c r="E267" s="5">
        <f t="shared" si="1"/>
        <v>-21223565</v>
      </c>
      <c r="F267" s="4" t="s">
        <v>2464</v>
      </c>
      <c r="G267" s="4" t="s">
        <v>59</v>
      </c>
      <c r="H267" s="15" t="s">
        <v>1894</v>
      </c>
      <c r="I267" s="14"/>
      <c r="J267" s="14"/>
      <c r="K267" s="14"/>
      <c r="L267" s="14"/>
    </row>
    <row r="268" ht="15.75" customHeight="1">
      <c r="A268" s="8"/>
      <c r="B268" s="14" t="s">
        <v>2910</v>
      </c>
      <c r="C268" s="5">
        <v>-1015781.0</v>
      </c>
      <c r="D268" s="5">
        <v>0.0</v>
      </c>
      <c r="E268" s="5">
        <f t="shared" si="1"/>
        <v>-20207784</v>
      </c>
      <c r="F268" s="4" t="s">
        <v>2464</v>
      </c>
      <c r="G268" s="4" t="s">
        <v>59</v>
      </c>
      <c r="H268" s="15" t="s">
        <v>1894</v>
      </c>
      <c r="I268" s="14"/>
      <c r="J268" s="14"/>
      <c r="K268" s="14"/>
      <c r="L268" s="14"/>
    </row>
    <row r="269" ht="15.75" customHeight="1">
      <c r="A269" s="8"/>
      <c r="B269" s="14" t="s">
        <v>2911</v>
      </c>
      <c r="C269" s="5">
        <v>-1525850.0</v>
      </c>
      <c r="D269" s="5">
        <v>0.0</v>
      </c>
      <c r="E269" s="5">
        <f t="shared" si="1"/>
        <v>-18681934</v>
      </c>
      <c r="F269" s="4" t="s">
        <v>2464</v>
      </c>
      <c r="G269" s="4" t="s">
        <v>59</v>
      </c>
      <c r="H269" s="15" t="s">
        <v>1894</v>
      </c>
      <c r="I269" s="14"/>
      <c r="J269" s="14"/>
      <c r="K269" s="14"/>
      <c r="L269" s="14"/>
    </row>
    <row r="270" ht="15.75" customHeight="1">
      <c r="A270" s="8"/>
      <c r="B270" s="14" t="s">
        <v>2912</v>
      </c>
      <c r="C270" s="5">
        <v>-1267980.0</v>
      </c>
      <c r="D270" s="5">
        <v>0.0</v>
      </c>
      <c r="E270" s="5">
        <f t="shared" si="1"/>
        <v>-17413954</v>
      </c>
      <c r="F270" s="4" t="s">
        <v>2464</v>
      </c>
      <c r="G270" s="4" t="s">
        <v>59</v>
      </c>
      <c r="H270" s="15" t="s">
        <v>1894</v>
      </c>
      <c r="I270" s="14"/>
      <c r="J270" s="14"/>
      <c r="K270" s="14"/>
      <c r="L270" s="14"/>
    </row>
    <row r="271" ht="15.75" customHeight="1">
      <c r="A271" s="8"/>
      <c r="B271" s="14" t="s">
        <v>2913</v>
      </c>
      <c r="C271" s="5">
        <v>-590100.0</v>
      </c>
      <c r="D271" s="5">
        <v>0.0</v>
      </c>
      <c r="E271" s="5">
        <f t="shared" si="1"/>
        <v>-16823854</v>
      </c>
      <c r="F271" s="4" t="s">
        <v>2464</v>
      </c>
      <c r="G271" s="4" t="s">
        <v>59</v>
      </c>
      <c r="H271" s="15" t="s">
        <v>1894</v>
      </c>
      <c r="I271" s="14"/>
      <c r="J271" s="14"/>
      <c r="K271" s="14"/>
      <c r="L271" s="14"/>
    </row>
    <row r="272" ht="15.75" customHeight="1">
      <c r="A272" s="8"/>
      <c r="B272" s="14" t="s">
        <v>2914</v>
      </c>
      <c r="C272" s="5">
        <v>-146300.0</v>
      </c>
      <c r="D272" s="5">
        <v>0.0</v>
      </c>
      <c r="E272" s="5">
        <f t="shared" si="1"/>
        <v>-16677554</v>
      </c>
      <c r="F272" s="4" t="s">
        <v>2464</v>
      </c>
      <c r="G272" s="4" t="s">
        <v>59</v>
      </c>
      <c r="H272" s="15" t="s">
        <v>1894</v>
      </c>
      <c r="I272" s="14"/>
      <c r="J272" s="14"/>
      <c r="K272" s="14"/>
      <c r="L272" s="14"/>
    </row>
    <row r="273" ht="15.75" customHeight="1">
      <c r="A273" s="8"/>
      <c r="B273" s="14" t="s">
        <v>2915</v>
      </c>
      <c r="C273" s="5">
        <v>-2214620.0</v>
      </c>
      <c r="D273" s="5">
        <v>0.0</v>
      </c>
      <c r="E273" s="5">
        <f t="shared" si="1"/>
        <v>-14462934</v>
      </c>
      <c r="F273" s="4" t="s">
        <v>2464</v>
      </c>
      <c r="G273" s="4" t="s">
        <v>59</v>
      </c>
      <c r="H273" s="15" t="s">
        <v>1894</v>
      </c>
      <c r="I273" s="14"/>
      <c r="J273" s="14"/>
      <c r="K273" s="14"/>
      <c r="L273" s="14"/>
    </row>
    <row r="274" ht="15.75" customHeight="1">
      <c r="A274" s="8"/>
      <c r="B274" s="14" t="s">
        <v>2916</v>
      </c>
      <c r="C274" s="5">
        <v>-2214620.0</v>
      </c>
      <c r="D274" s="5">
        <v>0.0</v>
      </c>
      <c r="E274" s="5">
        <f t="shared" si="1"/>
        <v>-12248314</v>
      </c>
      <c r="F274" s="4" t="s">
        <v>2464</v>
      </c>
      <c r="G274" s="4" t="s">
        <v>59</v>
      </c>
      <c r="H274" s="15" t="s">
        <v>1894</v>
      </c>
      <c r="I274" s="14"/>
      <c r="J274" s="14"/>
      <c r="K274" s="14"/>
      <c r="L274" s="14"/>
    </row>
    <row r="275" ht="15.75" customHeight="1">
      <c r="A275" s="8"/>
      <c r="B275" s="14" t="s">
        <v>2917</v>
      </c>
      <c r="C275" s="5">
        <v>-2621818.0</v>
      </c>
      <c r="D275" s="5">
        <v>0.0</v>
      </c>
      <c r="E275" s="5">
        <f t="shared" si="1"/>
        <v>-9626496</v>
      </c>
      <c r="F275" s="4" t="s">
        <v>2464</v>
      </c>
      <c r="G275" s="4" t="s">
        <v>59</v>
      </c>
      <c r="H275" s="15" t="s">
        <v>1894</v>
      </c>
      <c r="I275" s="14"/>
      <c r="J275" s="14"/>
      <c r="K275" s="14"/>
      <c r="L275" s="14"/>
    </row>
    <row r="276" ht="15.75" customHeight="1">
      <c r="A276" s="8"/>
      <c r="B276" s="14" t="s">
        <v>2918</v>
      </c>
      <c r="C276" s="5">
        <v>-4036650.0</v>
      </c>
      <c r="D276" s="5">
        <v>0.0</v>
      </c>
      <c r="E276" s="5">
        <f t="shared" si="1"/>
        <v>-5589846</v>
      </c>
      <c r="F276" s="4" t="s">
        <v>2464</v>
      </c>
      <c r="G276" s="4" t="s">
        <v>59</v>
      </c>
      <c r="H276" s="15" t="s">
        <v>1894</v>
      </c>
      <c r="I276" s="14"/>
      <c r="J276" s="14"/>
      <c r="K276" s="14"/>
      <c r="L276" s="14"/>
    </row>
    <row r="277" ht="15.75" customHeight="1">
      <c r="A277" s="8"/>
      <c r="B277" s="14" t="s">
        <v>2919</v>
      </c>
      <c r="C277" s="5">
        <v>-1776200.0</v>
      </c>
      <c r="D277" s="5">
        <v>0.0</v>
      </c>
      <c r="E277" s="5">
        <f t="shared" si="1"/>
        <v>-3813646</v>
      </c>
      <c r="F277" s="4" t="s">
        <v>2464</v>
      </c>
      <c r="G277" s="4" t="s">
        <v>59</v>
      </c>
      <c r="H277" s="15" t="s">
        <v>1894</v>
      </c>
      <c r="I277" s="14"/>
      <c r="J277" s="14"/>
      <c r="K277" s="14"/>
      <c r="L277" s="14"/>
    </row>
    <row r="278" ht="15.75" customHeight="1">
      <c r="A278" s="8"/>
      <c r="B278" s="14" t="s">
        <v>2920</v>
      </c>
      <c r="C278" s="5">
        <v>-1004509.0</v>
      </c>
      <c r="D278" s="5">
        <v>0.0</v>
      </c>
      <c r="E278" s="5">
        <f t="shared" si="1"/>
        <v>-2809137</v>
      </c>
      <c r="F278" s="4" t="s">
        <v>2464</v>
      </c>
      <c r="G278" s="4" t="s">
        <v>59</v>
      </c>
      <c r="H278" s="15" t="s">
        <v>1894</v>
      </c>
      <c r="I278" s="14"/>
      <c r="J278" s="14"/>
      <c r="K278" s="14"/>
      <c r="L278" s="14"/>
    </row>
    <row r="279" ht="15.75" customHeight="1">
      <c r="A279" s="8"/>
      <c r="B279" s="14" t="s">
        <v>2921</v>
      </c>
      <c r="C279" s="5">
        <v>-2214620.0</v>
      </c>
      <c r="D279" s="5">
        <v>0.0</v>
      </c>
      <c r="E279" s="5">
        <f t="shared" si="1"/>
        <v>-594517</v>
      </c>
      <c r="F279" s="4" t="s">
        <v>2464</v>
      </c>
      <c r="G279" s="4" t="s">
        <v>59</v>
      </c>
      <c r="H279" s="15" t="s">
        <v>1894</v>
      </c>
      <c r="I279" s="14"/>
      <c r="J279" s="14"/>
      <c r="K279" s="14"/>
      <c r="L279" s="14"/>
    </row>
    <row r="280" ht="15.75" customHeight="1">
      <c r="A280" s="8"/>
      <c r="B280" s="14" t="s">
        <v>2922</v>
      </c>
      <c r="C280" s="5">
        <v>-594517.0</v>
      </c>
      <c r="D280" s="5">
        <v>0.0</v>
      </c>
      <c r="E280" s="5">
        <f t="shared" si="1"/>
        <v>0</v>
      </c>
      <c r="F280" s="4" t="s">
        <v>2464</v>
      </c>
      <c r="G280" s="4" t="s">
        <v>59</v>
      </c>
      <c r="H280" s="15" t="s">
        <v>1894</v>
      </c>
      <c r="I280" s="14"/>
      <c r="J280" s="14"/>
      <c r="K280" s="14"/>
      <c r="L280" s="14"/>
    </row>
    <row r="281" ht="15.75" customHeight="1">
      <c r="A281" s="8">
        <v>46023.0</v>
      </c>
      <c r="B281" s="14" t="s">
        <v>2451</v>
      </c>
      <c r="C281" s="5">
        <v>0.0</v>
      </c>
      <c r="D281" s="5">
        <v>3.004276E7</v>
      </c>
      <c r="E281" s="5">
        <f t="shared" si="1"/>
        <v>30042760</v>
      </c>
      <c r="F281" s="14" t="s">
        <v>24</v>
      </c>
      <c r="G281" s="14" t="s">
        <v>125</v>
      </c>
      <c r="H281" s="15" t="s">
        <v>1886</v>
      </c>
      <c r="I281" s="14"/>
      <c r="J281" s="14"/>
      <c r="K281" s="14"/>
      <c r="L281" s="14"/>
    </row>
    <row r="282" ht="15.75" customHeight="1">
      <c r="A282" s="8"/>
      <c r="B282" s="14" t="s">
        <v>2923</v>
      </c>
      <c r="C282" s="5">
        <v>3640000.0</v>
      </c>
      <c r="D282" s="5">
        <v>0.0</v>
      </c>
      <c r="E282" s="5">
        <f t="shared" si="1"/>
        <v>26402760</v>
      </c>
      <c r="F282" s="4" t="s">
        <v>2464</v>
      </c>
      <c r="G282" s="4" t="s">
        <v>59</v>
      </c>
      <c r="H282" s="15" t="s">
        <v>1886</v>
      </c>
      <c r="I282" s="14"/>
      <c r="J282" s="14"/>
      <c r="K282" s="14"/>
      <c r="L282" s="14"/>
    </row>
    <row r="283" ht="15.75" customHeight="1">
      <c r="A283" s="8"/>
      <c r="B283" s="14" t="s">
        <v>2924</v>
      </c>
      <c r="C283" s="5">
        <v>1432760.0</v>
      </c>
      <c r="D283" s="5">
        <v>0.0</v>
      </c>
      <c r="E283" s="5">
        <f t="shared" si="1"/>
        <v>24970000</v>
      </c>
      <c r="F283" s="4" t="s">
        <v>2464</v>
      </c>
      <c r="G283" s="4" t="s">
        <v>59</v>
      </c>
      <c r="H283" s="15" t="s">
        <v>1886</v>
      </c>
      <c r="I283" s="14"/>
      <c r="J283" s="14"/>
      <c r="K283" s="14"/>
      <c r="L283" s="14"/>
    </row>
    <row r="284" ht="15.75" customHeight="1">
      <c r="A284" s="8"/>
      <c r="B284" s="14" t="s">
        <v>2925</v>
      </c>
      <c r="C284" s="5">
        <v>1.0E7</v>
      </c>
      <c r="D284" s="5">
        <v>0.0</v>
      </c>
      <c r="E284" s="5">
        <f t="shared" si="1"/>
        <v>14970000</v>
      </c>
      <c r="F284" s="4" t="s">
        <v>2464</v>
      </c>
      <c r="G284" s="4" t="s">
        <v>59</v>
      </c>
      <c r="H284" s="15" t="s">
        <v>1886</v>
      </c>
      <c r="I284" s="14"/>
      <c r="J284" s="14"/>
      <c r="K284" s="14"/>
      <c r="L284" s="14"/>
    </row>
    <row r="285" ht="15.75" customHeight="1">
      <c r="A285" s="8"/>
      <c r="B285" s="14" t="s">
        <v>2926</v>
      </c>
      <c r="C285" s="5">
        <v>1000000.0</v>
      </c>
      <c r="D285" s="5">
        <v>0.0</v>
      </c>
      <c r="E285" s="5">
        <f t="shared" si="1"/>
        <v>13970000</v>
      </c>
      <c r="F285" s="4" t="s">
        <v>2464</v>
      </c>
      <c r="G285" s="4" t="s">
        <v>59</v>
      </c>
      <c r="H285" s="15" t="s">
        <v>1886</v>
      </c>
      <c r="I285" s="14"/>
      <c r="J285" s="14"/>
      <c r="K285" s="14"/>
      <c r="L285" s="14"/>
    </row>
    <row r="286" ht="15.75" customHeight="1">
      <c r="A286" s="8"/>
      <c r="B286" s="14" t="s">
        <v>2927</v>
      </c>
      <c r="C286" s="5">
        <v>1000000.0</v>
      </c>
      <c r="D286" s="5">
        <v>0.0</v>
      </c>
      <c r="E286" s="5">
        <f t="shared" si="1"/>
        <v>12970000</v>
      </c>
      <c r="F286" s="4" t="s">
        <v>2464</v>
      </c>
      <c r="G286" s="4" t="s">
        <v>59</v>
      </c>
      <c r="H286" s="15" t="s">
        <v>1886</v>
      </c>
      <c r="I286" s="14"/>
      <c r="J286" s="14"/>
      <c r="K286" s="14"/>
      <c r="L286" s="14"/>
    </row>
    <row r="287" ht="15.75" customHeight="1">
      <c r="A287" s="8"/>
      <c r="B287" s="14" t="s">
        <v>2928</v>
      </c>
      <c r="C287" s="5">
        <v>600000.0</v>
      </c>
      <c r="D287" s="5">
        <v>0.0</v>
      </c>
      <c r="E287" s="5">
        <f t="shared" si="1"/>
        <v>12370000</v>
      </c>
      <c r="F287" s="4" t="s">
        <v>2464</v>
      </c>
      <c r="G287" s="4" t="s">
        <v>59</v>
      </c>
      <c r="H287" s="15" t="s">
        <v>1886</v>
      </c>
      <c r="I287" s="14"/>
      <c r="J287" s="14"/>
      <c r="K287" s="14"/>
      <c r="L287" s="14"/>
    </row>
    <row r="288" ht="15.75" customHeight="1">
      <c r="A288" s="8"/>
      <c r="B288" s="14" t="s">
        <v>2929</v>
      </c>
      <c r="C288" s="5">
        <v>5000000.0</v>
      </c>
      <c r="D288" s="5">
        <v>0.0</v>
      </c>
      <c r="E288" s="5">
        <f t="shared" si="1"/>
        <v>7370000</v>
      </c>
      <c r="F288" s="4" t="s">
        <v>2464</v>
      </c>
      <c r="G288" s="4" t="s">
        <v>59</v>
      </c>
      <c r="H288" s="15" t="s">
        <v>1886</v>
      </c>
      <c r="I288" s="14"/>
      <c r="J288" s="14"/>
      <c r="K288" s="14"/>
      <c r="L288" s="14"/>
    </row>
    <row r="289" ht="15.75" customHeight="1">
      <c r="A289" s="8"/>
      <c r="B289" s="14" t="s">
        <v>2930</v>
      </c>
      <c r="C289" s="5">
        <v>5000000.0</v>
      </c>
      <c r="D289" s="5">
        <v>0.0</v>
      </c>
      <c r="E289" s="5">
        <f t="shared" si="1"/>
        <v>2370000</v>
      </c>
      <c r="F289" s="4" t="s">
        <v>2464</v>
      </c>
      <c r="G289" s="4" t="s">
        <v>59</v>
      </c>
      <c r="H289" s="15" t="s">
        <v>1886</v>
      </c>
      <c r="I289" s="14"/>
      <c r="J289" s="14"/>
      <c r="K289" s="14"/>
      <c r="L289" s="14"/>
    </row>
    <row r="290" ht="15.75" customHeight="1">
      <c r="A290" s="8"/>
      <c r="B290" s="14" t="s">
        <v>2931</v>
      </c>
      <c r="C290" s="5">
        <v>600000.0</v>
      </c>
      <c r="D290" s="5">
        <v>0.0</v>
      </c>
      <c r="E290" s="5">
        <f t="shared" si="1"/>
        <v>1770000</v>
      </c>
      <c r="F290" s="4" t="s">
        <v>2464</v>
      </c>
      <c r="G290" s="4" t="s">
        <v>59</v>
      </c>
      <c r="H290" s="15" t="s">
        <v>1886</v>
      </c>
      <c r="I290" s="14"/>
      <c r="J290" s="14"/>
      <c r="K290" s="14"/>
      <c r="L290" s="14"/>
    </row>
    <row r="291" ht="15.75" customHeight="1">
      <c r="A291" s="8"/>
      <c r="B291" s="14" t="s">
        <v>2932</v>
      </c>
      <c r="C291" s="5">
        <v>1770000.0</v>
      </c>
      <c r="D291" s="5">
        <v>0.0</v>
      </c>
      <c r="E291" s="5">
        <f t="shared" si="1"/>
        <v>0</v>
      </c>
      <c r="F291" s="4" t="s">
        <v>2464</v>
      </c>
      <c r="G291" s="4" t="s">
        <v>59</v>
      </c>
      <c r="H291" s="15" t="s">
        <v>1886</v>
      </c>
      <c r="I291" s="14"/>
      <c r="J291" s="14"/>
      <c r="K291" s="14"/>
      <c r="L291" s="14"/>
    </row>
    <row r="292" ht="15.75" customHeight="1">
      <c r="A292" s="8">
        <v>46023.0</v>
      </c>
      <c r="B292" s="14" t="s">
        <v>2451</v>
      </c>
      <c r="C292" s="5">
        <v>0.0</v>
      </c>
      <c r="D292" s="5">
        <v>7.6410118E7</v>
      </c>
      <c r="E292" s="5">
        <f t="shared" si="1"/>
        <v>76410118</v>
      </c>
      <c r="F292" s="14" t="s">
        <v>24</v>
      </c>
      <c r="G292" s="14" t="s">
        <v>125</v>
      </c>
      <c r="H292" s="15" t="s">
        <v>860</v>
      </c>
      <c r="I292" s="14"/>
      <c r="J292" s="14"/>
      <c r="K292" s="14"/>
      <c r="L292" s="14"/>
    </row>
    <row r="293" ht="15.75" customHeight="1">
      <c r="A293" s="8"/>
      <c r="B293" s="14" t="s">
        <v>2933</v>
      </c>
      <c r="C293" s="5">
        <v>8800000.0</v>
      </c>
      <c r="D293" s="5">
        <v>0.0</v>
      </c>
      <c r="E293" s="5">
        <f t="shared" si="1"/>
        <v>67610118</v>
      </c>
      <c r="F293" s="4" t="s">
        <v>2464</v>
      </c>
      <c r="G293" s="4" t="s">
        <v>59</v>
      </c>
      <c r="H293" s="15" t="s">
        <v>860</v>
      </c>
      <c r="I293" s="14"/>
      <c r="J293" s="14"/>
      <c r="K293" s="14"/>
      <c r="L293" s="14"/>
    </row>
    <row r="294" ht="15.75" customHeight="1">
      <c r="A294" s="8"/>
      <c r="B294" s="14" t="s">
        <v>2934</v>
      </c>
      <c r="C294" s="5">
        <v>4.4176926E7</v>
      </c>
      <c r="D294" s="5">
        <v>0.0</v>
      </c>
      <c r="E294" s="5">
        <f t="shared" si="1"/>
        <v>23433192</v>
      </c>
      <c r="F294" s="4" t="s">
        <v>2464</v>
      </c>
      <c r="G294" s="4" t="s">
        <v>59</v>
      </c>
      <c r="H294" s="15" t="s">
        <v>860</v>
      </c>
      <c r="I294" s="14"/>
      <c r="J294" s="14"/>
      <c r="K294" s="14"/>
      <c r="L294" s="14"/>
    </row>
    <row r="295" ht="15.75" customHeight="1">
      <c r="A295" s="8"/>
      <c r="B295" s="14" t="s">
        <v>2935</v>
      </c>
      <c r="C295" s="5">
        <v>5070200.0</v>
      </c>
      <c r="D295" s="5">
        <v>0.0</v>
      </c>
      <c r="E295" s="5">
        <f t="shared" si="1"/>
        <v>18362992</v>
      </c>
      <c r="F295" s="4" t="s">
        <v>2464</v>
      </c>
      <c r="G295" s="4" t="s">
        <v>59</v>
      </c>
      <c r="H295" s="15" t="s">
        <v>860</v>
      </c>
      <c r="I295" s="14"/>
      <c r="J295" s="14"/>
      <c r="K295" s="14"/>
      <c r="L295" s="14"/>
    </row>
    <row r="296" ht="15.75" customHeight="1">
      <c r="A296" s="8"/>
      <c r="B296" s="14" t="s">
        <v>2936</v>
      </c>
      <c r="C296" s="5">
        <v>1087180.0</v>
      </c>
      <c r="D296" s="5">
        <v>0.0</v>
      </c>
      <c r="E296" s="5">
        <f t="shared" si="1"/>
        <v>17275812</v>
      </c>
      <c r="F296" s="4" t="s">
        <v>2464</v>
      </c>
      <c r="G296" s="4" t="s">
        <v>59</v>
      </c>
      <c r="H296" s="15" t="s">
        <v>860</v>
      </c>
      <c r="I296" s="14"/>
      <c r="J296" s="14"/>
      <c r="K296" s="14"/>
      <c r="L296" s="14"/>
    </row>
    <row r="297" ht="15.75" customHeight="1">
      <c r="A297" s="8"/>
      <c r="B297" s="14" t="s">
        <v>2937</v>
      </c>
      <c r="C297" s="5">
        <v>7600000.0</v>
      </c>
      <c r="D297" s="5">
        <v>0.0</v>
      </c>
      <c r="E297" s="5">
        <f t="shared" si="1"/>
        <v>9675812</v>
      </c>
      <c r="F297" s="4" t="s">
        <v>2464</v>
      </c>
      <c r="G297" s="4" t="s">
        <v>59</v>
      </c>
      <c r="H297" s="15" t="s">
        <v>860</v>
      </c>
      <c r="I297" s="14"/>
      <c r="J297" s="14"/>
      <c r="K297" s="14"/>
      <c r="L297" s="14"/>
    </row>
    <row r="298" ht="15.75" customHeight="1">
      <c r="A298" s="8"/>
      <c r="B298" s="14" t="s">
        <v>2938</v>
      </c>
      <c r="C298" s="5">
        <v>1421082.0</v>
      </c>
      <c r="D298" s="5">
        <v>0.0</v>
      </c>
      <c r="E298" s="5">
        <f t="shared" si="1"/>
        <v>8254730</v>
      </c>
      <c r="F298" s="4" t="s">
        <v>2464</v>
      </c>
      <c r="G298" s="4" t="s">
        <v>59</v>
      </c>
      <c r="H298" s="15" t="s">
        <v>860</v>
      </c>
      <c r="I298" s="14"/>
      <c r="J298" s="14"/>
      <c r="K298" s="14"/>
      <c r="L298" s="14"/>
    </row>
    <row r="299" ht="15.75" customHeight="1">
      <c r="A299" s="8"/>
      <c r="B299" s="14" t="s">
        <v>2939</v>
      </c>
      <c r="C299" s="5">
        <v>993470.0</v>
      </c>
      <c r="D299" s="5">
        <v>0.0</v>
      </c>
      <c r="E299" s="5">
        <f t="shared" si="1"/>
        <v>7261260</v>
      </c>
      <c r="F299" s="4" t="s">
        <v>2464</v>
      </c>
      <c r="G299" s="4" t="s">
        <v>59</v>
      </c>
      <c r="H299" s="15" t="s">
        <v>860</v>
      </c>
      <c r="I299" s="14"/>
      <c r="J299" s="14"/>
      <c r="K299" s="14"/>
      <c r="L299" s="14"/>
    </row>
    <row r="300" ht="15.75" customHeight="1">
      <c r="A300" s="8"/>
      <c r="B300" s="14" t="s">
        <v>2940</v>
      </c>
      <c r="C300" s="5">
        <v>199737.0</v>
      </c>
      <c r="D300" s="5">
        <v>0.0</v>
      </c>
      <c r="E300" s="5">
        <f t="shared" si="1"/>
        <v>7061523</v>
      </c>
      <c r="F300" s="4" t="s">
        <v>2464</v>
      </c>
      <c r="G300" s="4" t="s">
        <v>59</v>
      </c>
      <c r="H300" s="15" t="s">
        <v>860</v>
      </c>
      <c r="I300" s="14"/>
      <c r="J300" s="14"/>
      <c r="K300" s="14"/>
      <c r="L300" s="14"/>
    </row>
    <row r="301" ht="15.75" customHeight="1">
      <c r="A301" s="8"/>
      <c r="B301" s="14" t="s">
        <v>2941</v>
      </c>
      <c r="C301" s="5">
        <v>1066764.0</v>
      </c>
      <c r="D301" s="5">
        <v>0.0</v>
      </c>
      <c r="E301" s="5">
        <f t="shared" si="1"/>
        <v>5994759</v>
      </c>
      <c r="F301" s="4" t="s">
        <v>2464</v>
      </c>
      <c r="G301" s="4" t="s">
        <v>59</v>
      </c>
      <c r="H301" s="15" t="s">
        <v>860</v>
      </c>
      <c r="I301" s="14"/>
      <c r="J301" s="14"/>
      <c r="K301" s="14"/>
      <c r="L301" s="14"/>
    </row>
    <row r="302" ht="15.75" customHeight="1">
      <c r="A302" s="8"/>
      <c r="B302" s="14" t="s">
        <v>2942</v>
      </c>
      <c r="C302" s="5">
        <v>1073566.0</v>
      </c>
      <c r="D302" s="5">
        <v>0.0</v>
      </c>
      <c r="E302" s="5">
        <f t="shared" si="1"/>
        <v>4921193</v>
      </c>
      <c r="F302" s="4" t="s">
        <v>2464</v>
      </c>
      <c r="G302" s="4" t="s">
        <v>59</v>
      </c>
      <c r="H302" s="15" t="s">
        <v>860</v>
      </c>
      <c r="I302" s="14"/>
      <c r="J302" s="14"/>
      <c r="K302" s="14"/>
      <c r="L302" s="14"/>
    </row>
    <row r="303" ht="15.75" customHeight="1">
      <c r="A303" s="8"/>
      <c r="B303" s="14" t="s">
        <v>2943</v>
      </c>
      <c r="C303" s="5">
        <v>1073566.0</v>
      </c>
      <c r="D303" s="5">
        <v>0.0</v>
      </c>
      <c r="E303" s="5">
        <f t="shared" si="1"/>
        <v>3847627</v>
      </c>
      <c r="F303" s="4" t="s">
        <v>2464</v>
      </c>
      <c r="G303" s="4" t="s">
        <v>59</v>
      </c>
      <c r="H303" s="15" t="s">
        <v>860</v>
      </c>
      <c r="I303" s="14"/>
      <c r="J303" s="14"/>
      <c r="K303" s="14"/>
      <c r="L303" s="14"/>
    </row>
    <row r="304" ht="15.75" customHeight="1">
      <c r="A304" s="8"/>
      <c r="B304" s="14" t="s">
        <v>2944</v>
      </c>
      <c r="C304" s="5">
        <v>1073566.0</v>
      </c>
      <c r="D304" s="5">
        <v>0.0</v>
      </c>
      <c r="E304" s="5">
        <f t="shared" si="1"/>
        <v>2774061</v>
      </c>
      <c r="F304" s="4" t="s">
        <v>2464</v>
      </c>
      <c r="G304" s="4" t="s">
        <v>59</v>
      </c>
      <c r="H304" s="15" t="s">
        <v>860</v>
      </c>
      <c r="I304" s="14"/>
      <c r="J304" s="14"/>
      <c r="K304" s="14"/>
      <c r="L304" s="14"/>
    </row>
    <row r="305" ht="15.75" customHeight="1">
      <c r="A305" s="8"/>
      <c r="B305" s="14" t="s">
        <v>2945</v>
      </c>
      <c r="C305" s="5">
        <v>1117624.0</v>
      </c>
      <c r="D305" s="5">
        <v>0.0</v>
      </c>
      <c r="E305" s="5">
        <f t="shared" si="1"/>
        <v>1656437</v>
      </c>
      <c r="F305" s="4" t="s">
        <v>2464</v>
      </c>
      <c r="G305" s="4" t="s">
        <v>59</v>
      </c>
      <c r="H305" s="15" t="s">
        <v>860</v>
      </c>
      <c r="I305" s="14"/>
      <c r="J305" s="14"/>
      <c r="K305" s="14"/>
      <c r="L305" s="14"/>
    </row>
    <row r="306" ht="15.75" customHeight="1">
      <c r="A306" s="8"/>
      <c r="B306" s="14" t="s">
        <v>2946</v>
      </c>
      <c r="C306" s="5">
        <v>707131.0</v>
      </c>
      <c r="D306" s="5">
        <v>0.0</v>
      </c>
      <c r="E306" s="5">
        <f t="shared" si="1"/>
        <v>949306</v>
      </c>
      <c r="F306" s="4" t="s">
        <v>2464</v>
      </c>
      <c r="G306" s="4" t="s">
        <v>59</v>
      </c>
      <c r="H306" s="15" t="s">
        <v>860</v>
      </c>
      <c r="I306" s="14"/>
      <c r="J306" s="14"/>
      <c r="K306" s="14"/>
      <c r="L306" s="14"/>
    </row>
    <row r="307" ht="15.75" customHeight="1">
      <c r="A307" s="8"/>
      <c r="B307" s="14" t="s">
        <v>2947</v>
      </c>
      <c r="C307" s="5">
        <v>707131.0</v>
      </c>
      <c r="D307" s="5">
        <v>0.0</v>
      </c>
      <c r="E307" s="5">
        <f t="shared" si="1"/>
        <v>242175</v>
      </c>
      <c r="F307" s="4" t="s">
        <v>2464</v>
      </c>
      <c r="G307" s="4" t="s">
        <v>59</v>
      </c>
      <c r="H307" s="15" t="s">
        <v>860</v>
      </c>
      <c r="I307" s="14"/>
      <c r="J307" s="14"/>
      <c r="K307" s="14"/>
      <c r="L307" s="14"/>
    </row>
    <row r="308" ht="15.75" customHeight="1">
      <c r="A308" s="8"/>
      <c r="B308" s="14" t="s">
        <v>2948</v>
      </c>
      <c r="C308" s="5">
        <v>707131.0</v>
      </c>
      <c r="D308" s="5">
        <v>0.0</v>
      </c>
      <c r="E308" s="5">
        <f t="shared" si="1"/>
        <v>-464956</v>
      </c>
      <c r="F308" s="4" t="s">
        <v>2464</v>
      </c>
      <c r="G308" s="4" t="s">
        <v>59</v>
      </c>
      <c r="H308" s="15" t="s">
        <v>860</v>
      </c>
      <c r="I308" s="14"/>
      <c r="J308" s="14"/>
      <c r="K308" s="14"/>
      <c r="L308" s="14"/>
    </row>
    <row r="309" ht="15.75" customHeight="1">
      <c r="A309" s="8"/>
      <c r="B309" s="14" t="s">
        <v>2949</v>
      </c>
      <c r="C309" s="5">
        <v>707131.0</v>
      </c>
      <c r="D309" s="5">
        <v>0.0</v>
      </c>
      <c r="E309" s="5">
        <f t="shared" si="1"/>
        <v>-1172087</v>
      </c>
      <c r="F309" s="4" t="s">
        <v>2464</v>
      </c>
      <c r="G309" s="4" t="s">
        <v>59</v>
      </c>
      <c r="H309" s="15" t="s">
        <v>860</v>
      </c>
      <c r="I309" s="14"/>
      <c r="J309" s="14"/>
      <c r="K309" s="14"/>
      <c r="L309" s="14"/>
    </row>
    <row r="310" ht="15.75" customHeight="1">
      <c r="A310" s="8"/>
      <c r="B310" s="14" t="s">
        <v>2950</v>
      </c>
      <c r="C310" s="5">
        <v>707131.0</v>
      </c>
      <c r="D310" s="5">
        <v>0.0</v>
      </c>
      <c r="E310" s="5">
        <f t="shared" si="1"/>
        <v>-1879218</v>
      </c>
      <c r="F310" s="4" t="s">
        <v>2464</v>
      </c>
      <c r="G310" s="4" t="s">
        <v>59</v>
      </c>
      <c r="H310" s="15" t="s">
        <v>860</v>
      </c>
      <c r="I310" s="14"/>
      <c r="J310" s="14"/>
      <c r="K310" s="14"/>
      <c r="L310" s="14"/>
    </row>
    <row r="311" ht="15.75" customHeight="1">
      <c r="A311" s="8"/>
      <c r="B311" s="14" t="s">
        <v>2951</v>
      </c>
      <c r="C311" s="5">
        <v>707131.0</v>
      </c>
      <c r="D311" s="5">
        <v>0.0</v>
      </c>
      <c r="E311" s="5">
        <f t="shared" si="1"/>
        <v>-2586349</v>
      </c>
      <c r="F311" s="4" t="s">
        <v>2464</v>
      </c>
      <c r="G311" s="4" t="s">
        <v>59</v>
      </c>
      <c r="H311" s="15" t="s">
        <v>860</v>
      </c>
      <c r="I311" s="14"/>
      <c r="J311" s="14"/>
      <c r="K311" s="14"/>
      <c r="L311" s="14"/>
    </row>
    <row r="312" ht="15.75" customHeight="1">
      <c r="A312" s="8"/>
      <c r="B312" s="14" t="s">
        <v>2952</v>
      </c>
      <c r="C312" s="5">
        <v>723571.0</v>
      </c>
      <c r="D312" s="5">
        <v>0.0</v>
      </c>
      <c r="E312" s="5">
        <f t="shared" si="1"/>
        <v>-3309920</v>
      </c>
      <c r="F312" s="4" t="s">
        <v>2464</v>
      </c>
      <c r="G312" s="4" t="s">
        <v>59</v>
      </c>
      <c r="H312" s="15" t="s">
        <v>860</v>
      </c>
      <c r="I312" s="14"/>
      <c r="J312" s="14"/>
      <c r="K312" s="14"/>
      <c r="L312" s="14"/>
    </row>
    <row r="313" ht="15.75" customHeight="1">
      <c r="A313" s="8"/>
      <c r="B313" s="14" t="s">
        <v>2953</v>
      </c>
      <c r="C313" s="5">
        <v>-560205.0</v>
      </c>
      <c r="D313" s="5">
        <v>0.0</v>
      </c>
      <c r="E313" s="5">
        <f t="shared" si="1"/>
        <v>-2749715</v>
      </c>
      <c r="F313" s="4" t="s">
        <v>2464</v>
      </c>
      <c r="G313" s="4" t="s">
        <v>59</v>
      </c>
      <c r="H313" s="15" t="s">
        <v>860</v>
      </c>
      <c r="I313" s="14"/>
      <c r="J313" s="14"/>
      <c r="K313" s="14"/>
      <c r="L313" s="14"/>
    </row>
    <row r="314" ht="15.75" customHeight="1">
      <c r="A314" s="8"/>
      <c r="B314" s="14" t="s">
        <v>2954</v>
      </c>
      <c r="C314" s="5">
        <v>-560205.0</v>
      </c>
      <c r="D314" s="5">
        <v>0.0</v>
      </c>
      <c r="E314" s="5">
        <f t="shared" si="1"/>
        <v>-2189510</v>
      </c>
      <c r="F314" s="4" t="s">
        <v>2464</v>
      </c>
      <c r="G314" s="4" t="s">
        <v>59</v>
      </c>
      <c r="H314" s="15" t="s">
        <v>860</v>
      </c>
      <c r="I314" s="14"/>
      <c r="J314" s="14"/>
      <c r="K314" s="14"/>
      <c r="L314" s="14"/>
    </row>
    <row r="315" ht="15.75" customHeight="1">
      <c r="A315" s="8"/>
      <c r="B315" s="14" t="s">
        <v>2955</v>
      </c>
      <c r="C315" s="5">
        <v>-560205.0</v>
      </c>
      <c r="D315" s="5">
        <v>0.0</v>
      </c>
      <c r="E315" s="5">
        <f t="shared" si="1"/>
        <v>-1629305</v>
      </c>
      <c r="F315" s="4" t="s">
        <v>2464</v>
      </c>
      <c r="G315" s="4" t="s">
        <v>59</v>
      </c>
      <c r="H315" s="15" t="s">
        <v>860</v>
      </c>
      <c r="I315" s="14"/>
      <c r="J315" s="14"/>
      <c r="K315" s="14"/>
      <c r="L315" s="14"/>
    </row>
    <row r="316" ht="15.75" customHeight="1">
      <c r="A316" s="8"/>
      <c r="B316" s="14" t="s">
        <v>2956</v>
      </c>
      <c r="C316" s="5">
        <v>-560205.0</v>
      </c>
      <c r="D316" s="5">
        <v>0.0</v>
      </c>
      <c r="E316" s="5">
        <f t="shared" si="1"/>
        <v>-1069100</v>
      </c>
      <c r="F316" s="4" t="s">
        <v>2464</v>
      </c>
      <c r="G316" s="4" t="s">
        <v>59</v>
      </c>
      <c r="H316" s="15" t="s">
        <v>860</v>
      </c>
      <c r="I316" s="14"/>
      <c r="J316" s="14"/>
      <c r="K316" s="14"/>
      <c r="L316" s="14"/>
    </row>
    <row r="317" ht="15.75" customHeight="1">
      <c r="A317" s="8"/>
      <c r="B317" s="14" t="s">
        <v>2957</v>
      </c>
      <c r="C317" s="5">
        <v>-1069100.0</v>
      </c>
      <c r="D317" s="5">
        <v>0.0</v>
      </c>
      <c r="E317" s="5">
        <f t="shared" si="1"/>
        <v>0</v>
      </c>
      <c r="F317" s="4" t="s">
        <v>2464</v>
      </c>
      <c r="G317" s="4" t="s">
        <v>59</v>
      </c>
      <c r="H317" s="15" t="s">
        <v>860</v>
      </c>
      <c r="I317" s="14"/>
      <c r="J317" s="14"/>
      <c r="K317" s="14"/>
      <c r="L317" s="14"/>
    </row>
    <row r="318" ht="15.75" customHeight="1">
      <c r="A318" s="8">
        <v>46023.0</v>
      </c>
      <c r="B318" s="14" t="s">
        <v>2451</v>
      </c>
      <c r="C318" s="5">
        <v>0.0</v>
      </c>
      <c r="D318" s="5">
        <v>1.33178391E8</v>
      </c>
      <c r="E318" s="5">
        <f t="shared" si="1"/>
        <v>133178391</v>
      </c>
      <c r="F318" s="14" t="s">
        <v>24</v>
      </c>
      <c r="G318" s="14" t="s">
        <v>125</v>
      </c>
      <c r="H318" s="15" t="s">
        <v>2958</v>
      </c>
      <c r="I318" s="14"/>
      <c r="J318" s="14"/>
      <c r="K318" s="14"/>
      <c r="L318" s="14"/>
    </row>
    <row r="319" ht="15.75" customHeight="1">
      <c r="A319" s="8"/>
      <c r="B319" s="14" t="s">
        <v>2959</v>
      </c>
      <c r="C319" s="5">
        <v>400000.0</v>
      </c>
      <c r="D319" s="5">
        <v>0.0</v>
      </c>
      <c r="E319" s="5">
        <f t="shared" si="1"/>
        <v>132778391</v>
      </c>
      <c r="F319" s="4" t="s">
        <v>2464</v>
      </c>
      <c r="G319" s="4" t="s">
        <v>59</v>
      </c>
      <c r="H319" s="15" t="s">
        <v>2958</v>
      </c>
      <c r="I319" s="14"/>
      <c r="J319" s="14"/>
      <c r="K319" s="14"/>
      <c r="L319" s="14"/>
    </row>
    <row r="320" ht="15.75" customHeight="1">
      <c r="A320" s="8"/>
      <c r="B320" s="14" t="s">
        <v>2960</v>
      </c>
      <c r="C320" s="5">
        <v>1.638E7</v>
      </c>
      <c r="D320" s="5">
        <v>0.0</v>
      </c>
      <c r="E320" s="5">
        <f t="shared" si="1"/>
        <v>116398391</v>
      </c>
      <c r="F320" s="4" t="s">
        <v>2464</v>
      </c>
      <c r="G320" s="4" t="s">
        <v>59</v>
      </c>
      <c r="H320" s="15" t="s">
        <v>2958</v>
      </c>
      <c r="I320" s="14"/>
      <c r="J320" s="14"/>
      <c r="K320" s="14"/>
      <c r="L320" s="14"/>
    </row>
    <row r="321" ht="15.75" customHeight="1">
      <c r="A321" s="8"/>
      <c r="B321" s="14" t="s">
        <v>2961</v>
      </c>
      <c r="C321" s="5">
        <v>-780000.0</v>
      </c>
      <c r="D321" s="5">
        <v>0.0</v>
      </c>
      <c r="E321" s="5">
        <f t="shared" si="1"/>
        <v>117178391</v>
      </c>
      <c r="F321" s="4" t="s">
        <v>2464</v>
      </c>
      <c r="G321" s="4" t="s">
        <v>59</v>
      </c>
      <c r="H321" s="15" t="s">
        <v>2958</v>
      </c>
      <c r="I321" s="14"/>
      <c r="J321" s="14"/>
      <c r="K321" s="14"/>
      <c r="L321" s="14"/>
    </row>
    <row r="322" ht="15.75" customHeight="1">
      <c r="A322" s="8"/>
      <c r="B322" s="14" t="s">
        <v>2962</v>
      </c>
      <c r="C322" s="5">
        <v>4237005.0</v>
      </c>
      <c r="D322" s="5">
        <v>0.0</v>
      </c>
      <c r="E322" s="5">
        <f t="shared" si="1"/>
        <v>112941386</v>
      </c>
      <c r="F322" s="4" t="s">
        <v>2464</v>
      </c>
      <c r="G322" s="4" t="s">
        <v>59</v>
      </c>
      <c r="H322" s="15" t="s">
        <v>2958</v>
      </c>
      <c r="I322" s="14"/>
      <c r="J322" s="14"/>
      <c r="K322" s="14"/>
      <c r="L322" s="14"/>
    </row>
    <row r="323" ht="15.75" customHeight="1">
      <c r="A323" s="8"/>
      <c r="B323" s="14" t="s">
        <v>2963</v>
      </c>
      <c r="C323" s="5">
        <v>2387900.0</v>
      </c>
      <c r="D323" s="5">
        <v>0.0</v>
      </c>
      <c r="E323" s="5">
        <f t="shared" si="1"/>
        <v>110553486</v>
      </c>
      <c r="F323" s="4" t="s">
        <v>2464</v>
      </c>
      <c r="G323" s="4" t="s">
        <v>59</v>
      </c>
      <c r="H323" s="15" t="s">
        <v>2958</v>
      </c>
      <c r="I323" s="14"/>
      <c r="J323" s="14"/>
      <c r="K323" s="14"/>
      <c r="L323" s="14"/>
    </row>
    <row r="324" ht="15.75" customHeight="1">
      <c r="A324" s="8"/>
      <c r="B324" s="14" t="s">
        <v>2964</v>
      </c>
      <c r="C324" s="5">
        <v>3766800.0</v>
      </c>
      <c r="D324" s="5">
        <v>0.0</v>
      </c>
      <c r="E324" s="5">
        <f t="shared" si="1"/>
        <v>106786686</v>
      </c>
      <c r="F324" s="4" t="s">
        <v>2464</v>
      </c>
      <c r="G324" s="4" t="s">
        <v>59</v>
      </c>
      <c r="H324" s="15" t="s">
        <v>2958</v>
      </c>
      <c r="I324" s="14"/>
      <c r="J324" s="14"/>
      <c r="K324" s="14"/>
      <c r="L324" s="14"/>
    </row>
    <row r="325" ht="15.75" customHeight="1">
      <c r="A325" s="8"/>
      <c r="B325" s="14" t="s">
        <v>2965</v>
      </c>
      <c r="C325" s="5">
        <v>5702500.0</v>
      </c>
      <c r="D325" s="5">
        <v>0.0</v>
      </c>
      <c r="E325" s="5">
        <f t="shared" si="1"/>
        <v>101084186</v>
      </c>
      <c r="F325" s="4" t="s">
        <v>2464</v>
      </c>
      <c r="G325" s="4" t="s">
        <v>59</v>
      </c>
      <c r="H325" s="15" t="s">
        <v>2958</v>
      </c>
      <c r="I325" s="14"/>
      <c r="J325" s="14"/>
      <c r="K325" s="14"/>
      <c r="L325" s="14"/>
    </row>
    <row r="326" ht="15.75" customHeight="1">
      <c r="A326" s="8"/>
      <c r="B326" s="14" t="s">
        <v>2966</v>
      </c>
      <c r="C326" s="5">
        <v>2839232.0</v>
      </c>
      <c r="D326" s="5">
        <v>0.0</v>
      </c>
      <c r="E326" s="5">
        <f t="shared" si="1"/>
        <v>98244954</v>
      </c>
      <c r="F326" s="4" t="s">
        <v>2464</v>
      </c>
      <c r="G326" s="4" t="s">
        <v>59</v>
      </c>
      <c r="H326" s="15" t="s">
        <v>2958</v>
      </c>
      <c r="I326" s="14"/>
      <c r="J326" s="14"/>
      <c r="K326" s="14"/>
      <c r="L326" s="14"/>
    </row>
    <row r="327" ht="15.75" customHeight="1">
      <c r="A327" s="8"/>
      <c r="B327" s="14" t="s">
        <v>2967</v>
      </c>
      <c r="C327" s="5">
        <v>1760770.0</v>
      </c>
      <c r="D327" s="5">
        <v>0.0</v>
      </c>
      <c r="E327" s="5">
        <f t="shared" si="1"/>
        <v>96484184</v>
      </c>
      <c r="F327" s="4" t="s">
        <v>2464</v>
      </c>
      <c r="G327" s="4" t="s">
        <v>59</v>
      </c>
      <c r="H327" s="15" t="s">
        <v>2958</v>
      </c>
      <c r="I327" s="14"/>
      <c r="J327" s="14"/>
      <c r="K327" s="14"/>
      <c r="L327" s="14"/>
    </row>
    <row r="328" ht="15.75" customHeight="1">
      <c r="A328" s="8"/>
      <c r="B328" s="14" t="s">
        <v>2968</v>
      </c>
      <c r="C328" s="5">
        <v>2289780.0</v>
      </c>
      <c r="D328" s="5">
        <v>0.0</v>
      </c>
      <c r="E328" s="5">
        <f t="shared" si="1"/>
        <v>94194404</v>
      </c>
      <c r="F328" s="4" t="s">
        <v>2464</v>
      </c>
      <c r="G328" s="4" t="s">
        <v>59</v>
      </c>
      <c r="H328" s="15" t="s">
        <v>2958</v>
      </c>
      <c r="I328" s="14"/>
      <c r="J328" s="14"/>
      <c r="K328" s="14"/>
      <c r="L328" s="14"/>
    </row>
    <row r="329" ht="15.75" customHeight="1">
      <c r="A329" s="8"/>
      <c r="B329" s="14" t="s">
        <v>2969</v>
      </c>
      <c r="C329" s="5">
        <v>1.8023037E7</v>
      </c>
      <c r="D329" s="5">
        <v>0.0</v>
      </c>
      <c r="E329" s="5">
        <f t="shared" si="1"/>
        <v>76171367</v>
      </c>
      <c r="F329" s="4" t="s">
        <v>2464</v>
      </c>
      <c r="G329" s="4" t="s">
        <v>59</v>
      </c>
      <c r="H329" s="15" t="s">
        <v>2958</v>
      </c>
      <c r="I329" s="14"/>
      <c r="J329" s="14"/>
      <c r="K329" s="14"/>
      <c r="L329" s="14"/>
    </row>
    <row r="330" ht="15.75" customHeight="1">
      <c r="A330" s="8"/>
      <c r="B330" s="14" t="s">
        <v>2970</v>
      </c>
      <c r="C330" s="5">
        <v>900500.0</v>
      </c>
      <c r="D330" s="5">
        <v>0.0</v>
      </c>
      <c r="E330" s="5">
        <f t="shared" si="1"/>
        <v>75270867</v>
      </c>
      <c r="F330" s="4" t="s">
        <v>2464</v>
      </c>
      <c r="G330" s="4" t="s">
        <v>59</v>
      </c>
      <c r="H330" s="15" t="s">
        <v>2958</v>
      </c>
      <c r="I330" s="14"/>
      <c r="J330" s="14"/>
      <c r="K330" s="14"/>
      <c r="L330" s="14"/>
    </row>
    <row r="331" ht="15.75" customHeight="1">
      <c r="A331" s="8"/>
      <c r="B331" s="14" t="s">
        <v>2971</v>
      </c>
      <c r="C331" s="5">
        <v>2911700.0</v>
      </c>
      <c r="D331" s="5">
        <v>0.0</v>
      </c>
      <c r="E331" s="5">
        <f t="shared" si="1"/>
        <v>72359167</v>
      </c>
      <c r="F331" s="4" t="s">
        <v>2464</v>
      </c>
      <c r="G331" s="4" t="s">
        <v>59</v>
      </c>
      <c r="H331" s="15" t="s">
        <v>2958</v>
      </c>
      <c r="I331" s="14"/>
      <c r="J331" s="14"/>
      <c r="K331" s="14"/>
      <c r="L331" s="14"/>
    </row>
    <row r="332" ht="15.75" customHeight="1">
      <c r="A332" s="8"/>
      <c r="B332" s="14" t="s">
        <v>2972</v>
      </c>
      <c r="C332" s="5">
        <v>8381286.0</v>
      </c>
      <c r="D332" s="5">
        <v>0.0</v>
      </c>
      <c r="E332" s="5">
        <f t="shared" si="1"/>
        <v>63977881</v>
      </c>
      <c r="F332" s="4" t="s">
        <v>2464</v>
      </c>
      <c r="G332" s="4" t="s">
        <v>59</v>
      </c>
      <c r="H332" s="15" t="s">
        <v>2958</v>
      </c>
      <c r="I332" s="14"/>
      <c r="J332" s="14"/>
      <c r="K332" s="14"/>
      <c r="L332" s="14"/>
    </row>
    <row r="333" ht="15.75" customHeight="1">
      <c r="A333" s="8"/>
      <c r="B333" s="14" t="s">
        <v>2973</v>
      </c>
      <c r="C333" s="5">
        <v>4952188.0</v>
      </c>
      <c r="D333" s="5">
        <v>0.0</v>
      </c>
      <c r="E333" s="5">
        <f t="shared" si="1"/>
        <v>59025693</v>
      </c>
      <c r="F333" s="4" t="s">
        <v>2464</v>
      </c>
      <c r="G333" s="4" t="s">
        <v>59</v>
      </c>
      <c r="H333" s="15" t="s">
        <v>2958</v>
      </c>
      <c r="I333" s="14"/>
      <c r="J333" s="14"/>
      <c r="K333" s="14"/>
      <c r="L333" s="14"/>
    </row>
    <row r="334" ht="15.75" customHeight="1">
      <c r="A334" s="8"/>
      <c r="B334" s="14" t="s">
        <v>2974</v>
      </c>
      <c r="C334" s="5">
        <v>7308700.0</v>
      </c>
      <c r="D334" s="5">
        <v>0.0</v>
      </c>
      <c r="E334" s="5">
        <f t="shared" si="1"/>
        <v>51716993</v>
      </c>
      <c r="F334" s="4" t="s">
        <v>2464</v>
      </c>
      <c r="G334" s="4" t="s">
        <v>59</v>
      </c>
      <c r="H334" s="15" t="s">
        <v>2958</v>
      </c>
      <c r="I334" s="14"/>
      <c r="J334" s="14"/>
      <c r="K334" s="14"/>
      <c r="L334" s="14"/>
    </row>
    <row r="335" ht="15.75" customHeight="1">
      <c r="A335" s="8"/>
      <c r="B335" s="14" t="s">
        <v>2975</v>
      </c>
      <c r="C335" s="5">
        <v>364000.0</v>
      </c>
      <c r="D335" s="5">
        <v>0.0</v>
      </c>
      <c r="E335" s="5">
        <f t="shared" si="1"/>
        <v>51352993</v>
      </c>
      <c r="F335" s="4" t="s">
        <v>2464</v>
      </c>
      <c r="G335" s="4" t="s">
        <v>59</v>
      </c>
      <c r="H335" s="15" t="s">
        <v>2958</v>
      </c>
      <c r="I335" s="14"/>
      <c r="J335" s="14"/>
      <c r="K335" s="14"/>
      <c r="L335" s="14"/>
    </row>
    <row r="336" ht="15.75" customHeight="1">
      <c r="A336" s="8"/>
      <c r="B336" s="14" t="s">
        <v>2976</v>
      </c>
      <c r="C336" s="5">
        <v>1900500.0</v>
      </c>
      <c r="D336" s="5">
        <v>0.0</v>
      </c>
      <c r="E336" s="5">
        <f t="shared" si="1"/>
        <v>49452493</v>
      </c>
      <c r="F336" s="4" t="s">
        <v>2464</v>
      </c>
      <c r="G336" s="4" t="s">
        <v>59</v>
      </c>
      <c r="H336" s="15" t="s">
        <v>2958</v>
      </c>
      <c r="I336" s="14"/>
      <c r="J336" s="14"/>
      <c r="K336" s="14"/>
      <c r="L336" s="14"/>
    </row>
    <row r="337" ht="15.75" customHeight="1">
      <c r="A337" s="8"/>
      <c r="B337" s="14" t="s">
        <v>2977</v>
      </c>
      <c r="C337" s="5">
        <v>502500.0</v>
      </c>
      <c r="D337" s="5">
        <v>0.0</v>
      </c>
      <c r="E337" s="5">
        <f t="shared" si="1"/>
        <v>48949993</v>
      </c>
      <c r="F337" s="4" t="s">
        <v>2464</v>
      </c>
      <c r="G337" s="4" t="s">
        <v>59</v>
      </c>
      <c r="H337" s="15" t="s">
        <v>2958</v>
      </c>
      <c r="I337" s="14"/>
      <c r="J337" s="14"/>
      <c r="K337" s="14"/>
      <c r="L337" s="14"/>
    </row>
    <row r="338" ht="15.75" customHeight="1">
      <c r="A338" s="8"/>
      <c r="B338" s="14" t="s">
        <v>2978</v>
      </c>
      <c r="C338" s="5">
        <v>28325.0</v>
      </c>
      <c r="D338" s="5">
        <v>0.0</v>
      </c>
      <c r="E338" s="5">
        <f t="shared" si="1"/>
        <v>48921668</v>
      </c>
      <c r="F338" s="4" t="s">
        <v>2464</v>
      </c>
      <c r="G338" s="4" t="s">
        <v>59</v>
      </c>
      <c r="H338" s="15" t="s">
        <v>2958</v>
      </c>
      <c r="I338" s="14"/>
      <c r="J338" s="14"/>
      <c r="K338" s="14"/>
      <c r="L338" s="14"/>
    </row>
    <row r="339" ht="15.75" customHeight="1">
      <c r="A339" s="8"/>
      <c r="B339" s="14" t="s">
        <v>2979</v>
      </c>
      <c r="C339" s="5">
        <v>25000.0</v>
      </c>
      <c r="D339" s="5">
        <v>0.0</v>
      </c>
      <c r="E339" s="5">
        <f t="shared" si="1"/>
        <v>48896668</v>
      </c>
      <c r="F339" s="4" t="s">
        <v>2464</v>
      </c>
      <c r="G339" s="4" t="s">
        <v>59</v>
      </c>
      <c r="H339" s="15" t="s">
        <v>2958</v>
      </c>
      <c r="I339" s="14"/>
      <c r="J339" s="14"/>
      <c r="K339" s="14"/>
      <c r="L339" s="14"/>
    </row>
    <row r="340" ht="15.75" customHeight="1">
      <c r="A340" s="8"/>
      <c r="B340" s="14" t="s">
        <v>2980</v>
      </c>
      <c r="C340" s="5">
        <v>2360900.0</v>
      </c>
      <c r="D340" s="5">
        <v>0.0</v>
      </c>
      <c r="E340" s="5">
        <f t="shared" si="1"/>
        <v>46535768</v>
      </c>
      <c r="F340" s="4" t="s">
        <v>2464</v>
      </c>
      <c r="G340" s="4" t="s">
        <v>59</v>
      </c>
      <c r="H340" s="15" t="s">
        <v>2958</v>
      </c>
      <c r="I340" s="14"/>
      <c r="J340" s="14"/>
      <c r="K340" s="14"/>
      <c r="L340" s="14"/>
    </row>
    <row r="341" ht="15.75" customHeight="1">
      <c r="A341" s="8"/>
      <c r="B341" s="14" t="s">
        <v>2981</v>
      </c>
      <c r="C341" s="5">
        <v>163152.0</v>
      </c>
      <c r="D341" s="5">
        <v>0.0</v>
      </c>
      <c r="E341" s="5">
        <f t="shared" si="1"/>
        <v>46372616</v>
      </c>
      <c r="F341" s="4" t="s">
        <v>2464</v>
      </c>
      <c r="G341" s="4" t="s">
        <v>59</v>
      </c>
      <c r="H341" s="15" t="s">
        <v>2958</v>
      </c>
      <c r="I341" s="14"/>
      <c r="J341" s="14"/>
      <c r="K341" s="14"/>
      <c r="L341" s="14"/>
    </row>
    <row r="342" ht="15.75" customHeight="1">
      <c r="A342" s="8"/>
      <c r="B342" s="14" t="s">
        <v>2982</v>
      </c>
      <c r="C342" s="5">
        <v>169950.0</v>
      </c>
      <c r="D342" s="5">
        <v>0.0</v>
      </c>
      <c r="E342" s="5">
        <f t="shared" si="1"/>
        <v>46202666</v>
      </c>
      <c r="F342" s="4" t="s">
        <v>2464</v>
      </c>
      <c r="G342" s="4" t="s">
        <v>59</v>
      </c>
      <c r="H342" s="15" t="s">
        <v>2958</v>
      </c>
      <c r="I342" s="14"/>
      <c r="J342" s="14"/>
      <c r="K342" s="14"/>
      <c r="L342" s="14"/>
    </row>
    <row r="343" ht="15.75" customHeight="1">
      <c r="A343" s="8"/>
      <c r="B343" s="14" t="s">
        <v>2983</v>
      </c>
      <c r="C343" s="5">
        <v>330270.0</v>
      </c>
      <c r="D343" s="5">
        <v>0.0</v>
      </c>
      <c r="E343" s="5">
        <f t="shared" si="1"/>
        <v>45872396</v>
      </c>
      <c r="F343" s="4" t="s">
        <v>2464</v>
      </c>
      <c r="G343" s="4" t="s">
        <v>59</v>
      </c>
      <c r="H343" s="15" t="s">
        <v>2958</v>
      </c>
      <c r="I343" s="14"/>
      <c r="J343" s="14"/>
      <c r="K343" s="14"/>
      <c r="L343" s="14"/>
    </row>
    <row r="344" ht="15.75" customHeight="1">
      <c r="A344" s="8"/>
      <c r="B344" s="14" t="s">
        <v>2984</v>
      </c>
      <c r="C344" s="5">
        <v>339900.0</v>
      </c>
      <c r="D344" s="5">
        <v>0.0</v>
      </c>
      <c r="E344" s="5">
        <f t="shared" si="1"/>
        <v>45532496</v>
      </c>
      <c r="F344" s="4" t="s">
        <v>2464</v>
      </c>
      <c r="G344" s="4" t="s">
        <v>59</v>
      </c>
      <c r="H344" s="15" t="s">
        <v>2958</v>
      </c>
      <c r="I344" s="14"/>
      <c r="J344" s="14"/>
      <c r="K344" s="14"/>
      <c r="L344" s="14"/>
    </row>
    <row r="345" ht="15.75" customHeight="1">
      <c r="A345" s="8"/>
      <c r="B345" s="14" t="s">
        <v>2985</v>
      </c>
      <c r="C345" s="5">
        <v>3147800.0</v>
      </c>
      <c r="D345" s="5">
        <v>0.0</v>
      </c>
      <c r="E345" s="5">
        <f t="shared" si="1"/>
        <v>42384696</v>
      </c>
      <c r="F345" s="4" t="s">
        <v>2464</v>
      </c>
      <c r="G345" s="4" t="s">
        <v>59</v>
      </c>
      <c r="H345" s="15" t="s">
        <v>2958</v>
      </c>
      <c r="I345" s="14"/>
      <c r="J345" s="14"/>
      <c r="K345" s="14"/>
      <c r="L345" s="14"/>
    </row>
    <row r="346" ht="15.75" customHeight="1">
      <c r="A346" s="8"/>
      <c r="B346" s="14" t="s">
        <v>2986</v>
      </c>
      <c r="C346" s="5">
        <v>4569819.0</v>
      </c>
      <c r="D346" s="5">
        <v>0.0</v>
      </c>
      <c r="E346" s="5">
        <f t="shared" si="1"/>
        <v>37814877</v>
      </c>
      <c r="F346" s="4" t="s">
        <v>2464</v>
      </c>
      <c r="G346" s="4" t="s">
        <v>59</v>
      </c>
      <c r="H346" s="15" t="s">
        <v>2958</v>
      </c>
      <c r="I346" s="14"/>
      <c r="J346" s="14"/>
      <c r="K346" s="14"/>
      <c r="L346" s="14"/>
    </row>
    <row r="347" ht="15.75" customHeight="1">
      <c r="A347" s="8"/>
      <c r="B347" s="14" t="s">
        <v>2987</v>
      </c>
      <c r="C347" s="5">
        <v>1528000.0</v>
      </c>
      <c r="D347" s="5">
        <v>0.0</v>
      </c>
      <c r="E347" s="5">
        <f t="shared" si="1"/>
        <v>36286877</v>
      </c>
      <c r="F347" s="4" t="s">
        <v>2464</v>
      </c>
      <c r="G347" s="4" t="s">
        <v>59</v>
      </c>
      <c r="H347" s="15" t="s">
        <v>2958</v>
      </c>
      <c r="I347" s="14"/>
      <c r="J347" s="14"/>
      <c r="K347" s="14"/>
      <c r="L347" s="14"/>
    </row>
    <row r="348" ht="15.75" customHeight="1">
      <c r="A348" s="8"/>
      <c r="B348" s="14" t="s">
        <v>2988</v>
      </c>
      <c r="C348" s="5">
        <v>1658000.0</v>
      </c>
      <c r="D348" s="5">
        <v>0.0</v>
      </c>
      <c r="E348" s="5">
        <f t="shared" si="1"/>
        <v>34628877</v>
      </c>
      <c r="F348" s="4" t="s">
        <v>2464</v>
      </c>
      <c r="G348" s="4" t="s">
        <v>59</v>
      </c>
      <c r="H348" s="15" t="s">
        <v>2958</v>
      </c>
      <c r="I348" s="14"/>
      <c r="J348" s="14"/>
      <c r="K348" s="14"/>
      <c r="L348" s="14"/>
    </row>
    <row r="349" ht="15.75" customHeight="1">
      <c r="A349" s="8"/>
      <c r="B349" s="14" t="s">
        <v>2989</v>
      </c>
      <c r="C349" s="5">
        <v>3056000.0</v>
      </c>
      <c r="D349" s="5">
        <v>0.0</v>
      </c>
      <c r="E349" s="5">
        <f t="shared" si="1"/>
        <v>31572877</v>
      </c>
      <c r="F349" s="4" t="s">
        <v>2464</v>
      </c>
      <c r="G349" s="4" t="s">
        <v>59</v>
      </c>
      <c r="H349" s="15" t="s">
        <v>2958</v>
      </c>
      <c r="I349" s="14"/>
      <c r="J349" s="14"/>
      <c r="K349" s="14"/>
      <c r="L349" s="14"/>
    </row>
    <row r="350" ht="15.75" customHeight="1">
      <c r="A350" s="8"/>
      <c r="B350" s="14" t="s">
        <v>2990</v>
      </c>
      <c r="C350" s="5">
        <v>7490000.0</v>
      </c>
      <c r="D350" s="5">
        <v>0.0</v>
      </c>
      <c r="E350" s="5">
        <f t="shared" si="1"/>
        <v>24082877</v>
      </c>
      <c r="F350" s="4" t="s">
        <v>2464</v>
      </c>
      <c r="G350" s="4" t="s">
        <v>59</v>
      </c>
      <c r="H350" s="15" t="s">
        <v>2958</v>
      </c>
      <c r="I350" s="14"/>
      <c r="J350" s="14"/>
      <c r="K350" s="14"/>
      <c r="L350" s="14"/>
    </row>
    <row r="351" ht="15.75" customHeight="1">
      <c r="A351" s="8"/>
      <c r="B351" s="14" t="s">
        <v>2991</v>
      </c>
      <c r="C351" s="5">
        <v>1599994.0</v>
      </c>
      <c r="D351" s="5">
        <v>0.0</v>
      </c>
      <c r="E351" s="5">
        <f t="shared" si="1"/>
        <v>22482883</v>
      </c>
      <c r="F351" s="4" t="s">
        <v>2464</v>
      </c>
      <c r="G351" s="4" t="s">
        <v>59</v>
      </c>
      <c r="H351" s="15" t="s">
        <v>2958</v>
      </c>
      <c r="I351" s="14"/>
      <c r="J351" s="14"/>
      <c r="K351" s="14"/>
      <c r="L351" s="14"/>
    </row>
    <row r="352" ht="15.75" customHeight="1">
      <c r="A352" s="8"/>
      <c r="B352" s="14" t="s">
        <v>2992</v>
      </c>
      <c r="C352" s="5">
        <v>1600000.0</v>
      </c>
      <c r="D352" s="5">
        <v>0.0</v>
      </c>
      <c r="E352" s="5">
        <f t="shared" si="1"/>
        <v>20882883</v>
      </c>
      <c r="F352" s="4" t="s">
        <v>2464</v>
      </c>
      <c r="G352" s="4" t="s">
        <v>59</v>
      </c>
      <c r="H352" s="15" t="s">
        <v>2958</v>
      </c>
      <c r="I352" s="14"/>
      <c r="J352" s="14"/>
      <c r="K352" s="14"/>
      <c r="L352" s="14"/>
    </row>
    <row r="353" ht="15.75" customHeight="1">
      <c r="A353" s="8"/>
      <c r="B353" s="14" t="s">
        <v>2993</v>
      </c>
      <c r="C353" s="5">
        <v>733082.0</v>
      </c>
      <c r="D353" s="5">
        <v>0.0</v>
      </c>
      <c r="E353" s="5">
        <f t="shared" si="1"/>
        <v>20149801</v>
      </c>
      <c r="F353" s="4" t="s">
        <v>2464</v>
      </c>
      <c r="G353" s="4" t="s">
        <v>59</v>
      </c>
      <c r="H353" s="15" t="s">
        <v>2958</v>
      </c>
      <c r="I353" s="14"/>
      <c r="J353" s="14"/>
      <c r="K353" s="14"/>
      <c r="L353" s="14"/>
    </row>
    <row r="354" ht="15.75" customHeight="1">
      <c r="A354" s="8"/>
      <c r="B354" s="14" t="s">
        <v>2994</v>
      </c>
      <c r="C354" s="5">
        <v>810000.0</v>
      </c>
      <c r="D354" s="5">
        <v>0.0</v>
      </c>
      <c r="E354" s="5">
        <f t="shared" si="1"/>
        <v>19339801</v>
      </c>
      <c r="F354" s="4" t="s">
        <v>2464</v>
      </c>
      <c r="G354" s="4" t="s">
        <v>59</v>
      </c>
      <c r="H354" s="15" t="s">
        <v>2958</v>
      </c>
      <c r="I354" s="14"/>
      <c r="J354" s="14"/>
      <c r="K354" s="14"/>
      <c r="L354" s="14"/>
    </row>
    <row r="355" ht="15.75" customHeight="1">
      <c r="A355" s="8"/>
      <c r="B355" s="14" t="s">
        <v>2995</v>
      </c>
      <c r="C355" s="5">
        <v>865251.0</v>
      </c>
      <c r="D355" s="5">
        <v>0.0</v>
      </c>
      <c r="E355" s="5">
        <f t="shared" si="1"/>
        <v>18474550</v>
      </c>
      <c r="F355" s="4" t="s">
        <v>2464</v>
      </c>
      <c r="G355" s="4" t="s">
        <v>59</v>
      </c>
      <c r="H355" s="15" t="s">
        <v>2958</v>
      </c>
      <c r="I355" s="14"/>
      <c r="J355" s="14"/>
      <c r="K355" s="14"/>
      <c r="L355" s="14"/>
    </row>
    <row r="356" ht="15.75" customHeight="1">
      <c r="A356" s="8"/>
      <c r="B356" s="14" t="s">
        <v>2996</v>
      </c>
      <c r="C356" s="5">
        <v>3483081.0</v>
      </c>
      <c r="D356" s="5">
        <v>0.0</v>
      </c>
      <c r="E356" s="5">
        <f t="shared" si="1"/>
        <v>14991469</v>
      </c>
      <c r="F356" s="4" t="s">
        <v>2464</v>
      </c>
      <c r="G356" s="4" t="s">
        <v>59</v>
      </c>
      <c r="H356" s="15" t="s">
        <v>2958</v>
      </c>
      <c r="I356" s="14"/>
      <c r="J356" s="14"/>
      <c r="K356" s="14"/>
      <c r="L356" s="14"/>
    </row>
    <row r="357" ht="15.75" customHeight="1">
      <c r="A357" s="8"/>
      <c r="B357" s="14" t="s">
        <v>2997</v>
      </c>
      <c r="C357" s="5">
        <v>818084.0</v>
      </c>
      <c r="D357" s="5">
        <v>0.0</v>
      </c>
      <c r="E357" s="5">
        <f t="shared" si="1"/>
        <v>14173385</v>
      </c>
      <c r="F357" s="4" t="s">
        <v>2464</v>
      </c>
      <c r="G357" s="4" t="s">
        <v>59</v>
      </c>
      <c r="H357" s="15" t="s">
        <v>2958</v>
      </c>
      <c r="I357" s="14"/>
      <c r="J357" s="14"/>
      <c r="K357" s="14"/>
      <c r="L357" s="14"/>
    </row>
    <row r="358" ht="15.75" customHeight="1">
      <c r="A358" s="8"/>
      <c r="B358" s="14" t="s">
        <v>2998</v>
      </c>
      <c r="C358" s="5">
        <v>818085.0</v>
      </c>
      <c r="D358" s="5">
        <v>0.0</v>
      </c>
      <c r="E358" s="5">
        <f t="shared" si="1"/>
        <v>13355300</v>
      </c>
      <c r="F358" s="4" t="s">
        <v>2464</v>
      </c>
      <c r="G358" s="4" t="s">
        <v>59</v>
      </c>
      <c r="H358" s="15" t="s">
        <v>2958</v>
      </c>
      <c r="I358" s="14"/>
      <c r="J358" s="14"/>
      <c r="K358" s="14"/>
      <c r="L358" s="14"/>
    </row>
    <row r="359" ht="15.75" customHeight="1">
      <c r="A359" s="8"/>
      <c r="B359" s="14" t="s">
        <v>2999</v>
      </c>
      <c r="C359" s="5">
        <v>1539080.0</v>
      </c>
      <c r="D359" s="5">
        <v>0.0</v>
      </c>
      <c r="E359" s="5">
        <f t="shared" si="1"/>
        <v>11816220</v>
      </c>
      <c r="F359" s="4" t="s">
        <v>2464</v>
      </c>
      <c r="G359" s="4" t="s">
        <v>59</v>
      </c>
      <c r="H359" s="15" t="s">
        <v>2958</v>
      </c>
      <c r="I359" s="14"/>
      <c r="J359" s="14"/>
      <c r="K359" s="14"/>
      <c r="L359" s="14"/>
    </row>
    <row r="360" ht="15.75" customHeight="1">
      <c r="A360" s="8"/>
      <c r="B360" s="14" t="s">
        <v>3000</v>
      </c>
      <c r="C360" s="5">
        <v>1660080.0</v>
      </c>
      <c r="D360" s="5">
        <v>0.0</v>
      </c>
      <c r="E360" s="5">
        <f t="shared" si="1"/>
        <v>10156140</v>
      </c>
      <c r="F360" s="4" t="s">
        <v>2464</v>
      </c>
      <c r="G360" s="4" t="s">
        <v>59</v>
      </c>
      <c r="H360" s="15" t="s">
        <v>2958</v>
      </c>
      <c r="I360" s="14"/>
      <c r="J360" s="14"/>
      <c r="K360" s="14"/>
      <c r="L360" s="14"/>
    </row>
    <row r="361" ht="15.75" customHeight="1">
      <c r="A361" s="8"/>
      <c r="B361" s="14" t="s">
        <v>3001</v>
      </c>
      <c r="C361" s="5">
        <v>4478889.0</v>
      </c>
      <c r="D361" s="5">
        <v>0.0</v>
      </c>
      <c r="E361" s="5">
        <f t="shared" si="1"/>
        <v>5677251</v>
      </c>
      <c r="F361" s="4" t="s">
        <v>2464</v>
      </c>
      <c r="G361" s="4" t="s">
        <v>59</v>
      </c>
      <c r="H361" s="15" t="s">
        <v>2958</v>
      </c>
      <c r="I361" s="14"/>
      <c r="J361" s="14"/>
      <c r="K361" s="14"/>
      <c r="L361" s="14"/>
    </row>
    <row r="362" ht="15.75" customHeight="1">
      <c r="A362" s="8"/>
      <c r="B362" s="14" t="s">
        <v>3002</v>
      </c>
      <c r="C362" s="5">
        <v>1144695.0</v>
      </c>
      <c r="D362" s="5">
        <v>0.0</v>
      </c>
      <c r="E362" s="5">
        <f t="shared" si="1"/>
        <v>4532556</v>
      </c>
      <c r="F362" s="4" t="s">
        <v>2464</v>
      </c>
      <c r="G362" s="4" t="s">
        <v>59</v>
      </c>
      <c r="H362" s="15" t="s">
        <v>2958</v>
      </c>
      <c r="I362" s="14"/>
      <c r="J362" s="14"/>
      <c r="K362" s="14"/>
      <c r="L362" s="14"/>
    </row>
    <row r="363" ht="15.75" customHeight="1">
      <c r="A363" s="8"/>
      <c r="B363" s="14" t="s">
        <v>3003</v>
      </c>
      <c r="C363" s="5">
        <v>1704795.0</v>
      </c>
      <c r="D363" s="5">
        <v>0.0</v>
      </c>
      <c r="E363" s="5">
        <f t="shared" si="1"/>
        <v>2827761</v>
      </c>
      <c r="F363" s="4" t="s">
        <v>2464</v>
      </c>
      <c r="G363" s="4" t="s">
        <v>59</v>
      </c>
      <c r="H363" s="15" t="s">
        <v>2958</v>
      </c>
      <c r="I363" s="14"/>
      <c r="J363" s="14"/>
      <c r="K363" s="14"/>
      <c r="L363" s="14"/>
    </row>
    <row r="364" ht="15.75" customHeight="1">
      <c r="A364" s="8"/>
      <c r="B364" s="14" t="s">
        <v>3004</v>
      </c>
      <c r="C364" s="5">
        <v>1724725.0</v>
      </c>
      <c r="D364" s="5">
        <v>0.0</v>
      </c>
      <c r="E364" s="5">
        <f t="shared" si="1"/>
        <v>1103036</v>
      </c>
      <c r="F364" s="4" t="s">
        <v>2464</v>
      </c>
      <c r="G364" s="4" t="s">
        <v>59</v>
      </c>
      <c r="H364" s="15" t="s">
        <v>2958</v>
      </c>
      <c r="I364" s="14"/>
      <c r="J364" s="14"/>
      <c r="K364" s="14"/>
      <c r="L364" s="14"/>
    </row>
    <row r="365" ht="15.75" customHeight="1">
      <c r="A365" s="8"/>
      <c r="B365" s="14" t="s">
        <v>3005</v>
      </c>
      <c r="C365" s="5">
        <v>1948521.0</v>
      </c>
      <c r="D365" s="5">
        <v>0.0</v>
      </c>
      <c r="E365" s="5">
        <f t="shared" si="1"/>
        <v>-845485</v>
      </c>
      <c r="F365" s="4" t="s">
        <v>2464</v>
      </c>
      <c r="G365" s="4" t="s">
        <v>59</v>
      </c>
      <c r="H365" s="15" t="s">
        <v>2958</v>
      </c>
      <c r="I365" s="14"/>
      <c r="J365" s="14"/>
      <c r="K365" s="14"/>
      <c r="L365" s="14"/>
    </row>
    <row r="366" ht="15.75" customHeight="1">
      <c r="A366" s="8"/>
      <c r="B366" s="14" t="s">
        <v>3006</v>
      </c>
      <c r="C366" s="5">
        <v>-845485.0</v>
      </c>
      <c r="D366" s="5">
        <v>0.0</v>
      </c>
      <c r="E366" s="5">
        <f t="shared" si="1"/>
        <v>0</v>
      </c>
      <c r="F366" s="4" t="s">
        <v>2464</v>
      </c>
      <c r="G366" s="4" t="s">
        <v>59</v>
      </c>
      <c r="H366" s="15" t="s">
        <v>2958</v>
      </c>
      <c r="I366" s="14"/>
      <c r="J366" s="14"/>
      <c r="K366" s="14"/>
      <c r="L366" s="14"/>
    </row>
    <row r="367" ht="15.75" customHeight="1">
      <c r="A367" s="8">
        <v>46023.0</v>
      </c>
      <c r="B367" s="14" t="s">
        <v>2451</v>
      </c>
      <c r="C367" s="5">
        <v>0.0</v>
      </c>
      <c r="D367" s="5">
        <v>3.1956085E7</v>
      </c>
      <c r="E367" s="5">
        <f t="shared" si="1"/>
        <v>31956085</v>
      </c>
      <c r="F367" s="14" t="s">
        <v>24</v>
      </c>
      <c r="G367" s="14" t="s">
        <v>125</v>
      </c>
      <c r="H367" s="14" t="s">
        <v>3007</v>
      </c>
      <c r="I367" s="14"/>
      <c r="J367" s="14"/>
      <c r="K367" s="14"/>
      <c r="L367" s="14"/>
    </row>
    <row r="368" ht="15.75" customHeight="1">
      <c r="A368" s="8"/>
      <c r="B368" s="14" t="s">
        <v>3008</v>
      </c>
      <c r="C368" s="5">
        <v>3.1956085E7</v>
      </c>
      <c r="D368" s="5">
        <v>0.0</v>
      </c>
      <c r="E368" s="5">
        <f t="shared" si="1"/>
        <v>0</v>
      </c>
      <c r="F368" s="4" t="s">
        <v>2464</v>
      </c>
      <c r="G368" s="4" t="s">
        <v>59</v>
      </c>
      <c r="H368" s="14" t="s">
        <v>3007</v>
      </c>
      <c r="I368" s="14"/>
      <c r="J368" s="14"/>
      <c r="K368" s="14"/>
      <c r="L368" s="14"/>
    </row>
    <row r="369" ht="15.75" customHeight="1">
      <c r="A369" s="8">
        <v>46023.0</v>
      </c>
      <c r="B369" s="14" t="s">
        <v>2451</v>
      </c>
      <c r="C369" s="5">
        <v>0.0</v>
      </c>
      <c r="D369" s="5">
        <v>1.6028089E7</v>
      </c>
      <c r="E369" s="5">
        <f t="shared" si="1"/>
        <v>16028089</v>
      </c>
      <c r="F369" s="14" t="s">
        <v>24</v>
      </c>
      <c r="G369" s="14" t="s">
        <v>125</v>
      </c>
      <c r="H369" s="15" t="s">
        <v>230</v>
      </c>
      <c r="I369" s="14"/>
      <c r="J369" s="14"/>
      <c r="K369" s="14"/>
      <c r="L369" s="14"/>
    </row>
    <row r="370" ht="15.75" customHeight="1">
      <c r="A370" s="8"/>
      <c r="B370" s="14" t="s">
        <v>3009</v>
      </c>
      <c r="C370" s="5">
        <v>1356600.0</v>
      </c>
      <c r="D370" s="5">
        <v>0.0</v>
      </c>
      <c r="E370" s="5">
        <f t="shared" si="1"/>
        <v>14671489</v>
      </c>
      <c r="F370" s="4" t="s">
        <v>2464</v>
      </c>
      <c r="G370" s="4" t="s">
        <v>59</v>
      </c>
      <c r="H370" s="15" t="s">
        <v>230</v>
      </c>
      <c r="I370" s="14"/>
      <c r="J370" s="14"/>
      <c r="K370" s="14"/>
      <c r="L370" s="14"/>
    </row>
    <row r="371" ht="15.75" customHeight="1">
      <c r="A371" s="8"/>
      <c r="B371" s="14" t="s">
        <v>3010</v>
      </c>
      <c r="C371" s="5">
        <v>1635849.0</v>
      </c>
      <c r="D371" s="5">
        <v>0.0</v>
      </c>
      <c r="E371" s="5">
        <f t="shared" si="1"/>
        <v>13035640</v>
      </c>
      <c r="F371" s="4" t="s">
        <v>2464</v>
      </c>
      <c r="G371" s="4" t="s">
        <v>59</v>
      </c>
      <c r="H371" s="15" t="s">
        <v>230</v>
      </c>
      <c r="I371" s="14"/>
      <c r="J371" s="14"/>
      <c r="K371" s="14"/>
      <c r="L371" s="14"/>
    </row>
    <row r="372" ht="15.75" customHeight="1">
      <c r="A372" s="8"/>
      <c r="B372" s="14" t="s">
        <v>3011</v>
      </c>
      <c r="C372" s="5">
        <v>407000.0</v>
      </c>
      <c r="D372" s="5">
        <v>0.0</v>
      </c>
      <c r="E372" s="5">
        <f t="shared" si="1"/>
        <v>12628640</v>
      </c>
      <c r="F372" s="4" t="s">
        <v>2464</v>
      </c>
      <c r="G372" s="4" t="s">
        <v>59</v>
      </c>
      <c r="H372" s="15" t="s">
        <v>230</v>
      </c>
      <c r="I372" s="14"/>
      <c r="J372" s="14"/>
      <c r="K372" s="14"/>
      <c r="L372" s="14"/>
    </row>
    <row r="373" ht="15.75" customHeight="1">
      <c r="A373" s="8"/>
      <c r="B373" s="14" t="s">
        <v>3012</v>
      </c>
      <c r="C373" s="5">
        <v>287700.0</v>
      </c>
      <c r="D373" s="5">
        <v>0.0</v>
      </c>
      <c r="E373" s="5">
        <f t="shared" si="1"/>
        <v>12340940</v>
      </c>
      <c r="F373" s="4" t="s">
        <v>2464</v>
      </c>
      <c r="G373" s="4" t="s">
        <v>59</v>
      </c>
      <c r="H373" s="15" t="s">
        <v>230</v>
      </c>
      <c r="I373" s="14"/>
      <c r="J373" s="14"/>
      <c r="K373" s="14"/>
      <c r="L373" s="14"/>
    </row>
    <row r="374" ht="15.75" customHeight="1">
      <c r="A374" s="8"/>
      <c r="B374" s="14" t="s">
        <v>3013</v>
      </c>
      <c r="C374" s="5">
        <v>141000.0</v>
      </c>
      <c r="D374" s="5">
        <v>0.0</v>
      </c>
      <c r="E374" s="5">
        <f t="shared" si="1"/>
        <v>12199940</v>
      </c>
      <c r="F374" s="4" t="s">
        <v>2464</v>
      </c>
      <c r="G374" s="4" t="s">
        <v>59</v>
      </c>
      <c r="H374" s="15" t="s">
        <v>230</v>
      </c>
      <c r="I374" s="14"/>
      <c r="J374" s="14"/>
      <c r="K374" s="14"/>
      <c r="L374" s="14"/>
    </row>
    <row r="375" ht="15.75" customHeight="1">
      <c r="A375" s="8"/>
      <c r="B375" s="14" t="s">
        <v>3014</v>
      </c>
      <c r="C375" s="5">
        <v>115500.0</v>
      </c>
      <c r="D375" s="5">
        <v>0.0</v>
      </c>
      <c r="E375" s="5">
        <f t="shared" si="1"/>
        <v>12084440</v>
      </c>
      <c r="F375" s="4" t="s">
        <v>2464</v>
      </c>
      <c r="G375" s="4" t="s">
        <v>59</v>
      </c>
      <c r="H375" s="15" t="s">
        <v>230</v>
      </c>
      <c r="I375" s="14"/>
      <c r="J375" s="14"/>
      <c r="K375" s="14"/>
      <c r="L375" s="14"/>
    </row>
    <row r="376" ht="15.75" customHeight="1">
      <c r="A376" s="8"/>
      <c r="B376" s="14" t="s">
        <v>3015</v>
      </c>
      <c r="C376" s="5">
        <v>194500.0</v>
      </c>
      <c r="D376" s="5">
        <v>0.0</v>
      </c>
      <c r="E376" s="5">
        <f t="shared" si="1"/>
        <v>11889940</v>
      </c>
      <c r="F376" s="4" t="s">
        <v>2464</v>
      </c>
      <c r="G376" s="4" t="s">
        <v>59</v>
      </c>
      <c r="H376" s="15" t="s">
        <v>230</v>
      </c>
      <c r="I376" s="14"/>
      <c r="J376" s="14"/>
      <c r="K376" s="14"/>
      <c r="L376" s="14"/>
    </row>
    <row r="377" ht="15.75" customHeight="1">
      <c r="A377" s="8"/>
      <c r="B377" s="14" t="s">
        <v>3016</v>
      </c>
      <c r="C377" s="5">
        <v>220000.0</v>
      </c>
      <c r="D377" s="5">
        <v>0.0</v>
      </c>
      <c r="E377" s="5">
        <f t="shared" si="1"/>
        <v>11669940</v>
      </c>
      <c r="F377" s="4" t="s">
        <v>2464</v>
      </c>
      <c r="G377" s="4" t="s">
        <v>59</v>
      </c>
      <c r="H377" s="15" t="s">
        <v>230</v>
      </c>
      <c r="I377" s="14"/>
      <c r="J377" s="14"/>
      <c r="K377" s="14"/>
      <c r="L377" s="14"/>
    </row>
    <row r="378" ht="15.75" customHeight="1">
      <c r="A378" s="8"/>
      <c r="B378" s="14" t="s">
        <v>3017</v>
      </c>
      <c r="C378" s="5">
        <v>177000.0</v>
      </c>
      <c r="D378" s="5">
        <v>0.0</v>
      </c>
      <c r="E378" s="5">
        <f t="shared" si="1"/>
        <v>11492940</v>
      </c>
      <c r="F378" s="4" t="s">
        <v>2464</v>
      </c>
      <c r="G378" s="4" t="s">
        <v>59</v>
      </c>
      <c r="H378" s="15" t="s">
        <v>230</v>
      </c>
      <c r="I378" s="14"/>
      <c r="J378" s="14"/>
      <c r="K378" s="14"/>
      <c r="L378" s="14"/>
    </row>
    <row r="379" ht="15.75" customHeight="1">
      <c r="A379" s="8"/>
      <c r="B379" s="14" t="s">
        <v>3018</v>
      </c>
      <c r="C379" s="5">
        <v>230000.0</v>
      </c>
      <c r="D379" s="5">
        <v>0.0</v>
      </c>
      <c r="E379" s="5">
        <f t="shared" si="1"/>
        <v>11262940</v>
      </c>
      <c r="F379" s="4" t="s">
        <v>2464</v>
      </c>
      <c r="G379" s="4" t="s">
        <v>59</v>
      </c>
      <c r="H379" s="15" t="s">
        <v>230</v>
      </c>
      <c r="I379" s="14"/>
      <c r="J379" s="14"/>
      <c r="K379" s="14"/>
      <c r="L379" s="14"/>
    </row>
    <row r="380" ht="15.75" customHeight="1">
      <c r="A380" s="8"/>
      <c r="B380" s="14" t="s">
        <v>3012</v>
      </c>
      <c r="C380" s="5">
        <v>198000.0</v>
      </c>
      <c r="D380" s="5">
        <v>0.0</v>
      </c>
      <c r="E380" s="5">
        <f t="shared" si="1"/>
        <v>11064940</v>
      </c>
      <c r="F380" s="4" t="s">
        <v>2464</v>
      </c>
      <c r="G380" s="4" t="s">
        <v>59</v>
      </c>
      <c r="H380" s="15" t="s">
        <v>230</v>
      </c>
      <c r="I380" s="14"/>
      <c r="J380" s="14"/>
      <c r="K380" s="14"/>
      <c r="L380" s="14"/>
    </row>
    <row r="381" ht="15.75" customHeight="1">
      <c r="A381" s="8"/>
      <c r="B381" s="14" t="s">
        <v>3019</v>
      </c>
      <c r="C381" s="5">
        <v>580000.0</v>
      </c>
      <c r="D381" s="5">
        <v>0.0</v>
      </c>
      <c r="E381" s="5">
        <f t="shared" si="1"/>
        <v>10484940</v>
      </c>
      <c r="F381" s="4" t="s">
        <v>2464</v>
      </c>
      <c r="G381" s="4" t="s">
        <v>59</v>
      </c>
      <c r="H381" s="15" t="s">
        <v>230</v>
      </c>
      <c r="I381" s="14"/>
      <c r="J381" s="14"/>
      <c r="K381" s="14"/>
      <c r="L381" s="14"/>
    </row>
    <row r="382" ht="15.75" customHeight="1">
      <c r="A382" s="8"/>
      <c r="B382" s="14" t="s">
        <v>3020</v>
      </c>
      <c r="C382" s="5">
        <v>522665.0</v>
      </c>
      <c r="D382" s="5">
        <v>0.0</v>
      </c>
      <c r="E382" s="5">
        <f t="shared" si="1"/>
        <v>9962275</v>
      </c>
      <c r="F382" s="4" t="s">
        <v>2464</v>
      </c>
      <c r="G382" s="4" t="s">
        <v>59</v>
      </c>
      <c r="H382" s="15" t="s">
        <v>230</v>
      </c>
      <c r="I382" s="14"/>
      <c r="J382" s="14"/>
      <c r="K382" s="14"/>
      <c r="L382" s="14"/>
    </row>
    <row r="383" ht="15.75" customHeight="1">
      <c r="A383" s="8"/>
      <c r="B383" s="14" t="s">
        <v>3021</v>
      </c>
      <c r="C383" s="5">
        <v>113000.0</v>
      </c>
      <c r="D383" s="5">
        <v>0.0</v>
      </c>
      <c r="E383" s="5">
        <f t="shared" si="1"/>
        <v>9849275</v>
      </c>
      <c r="F383" s="4" t="s">
        <v>2464</v>
      </c>
      <c r="G383" s="4" t="s">
        <v>59</v>
      </c>
      <c r="H383" s="15" t="s">
        <v>230</v>
      </c>
      <c r="I383" s="14"/>
      <c r="J383" s="14"/>
      <c r="K383" s="14"/>
      <c r="L383" s="14"/>
    </row>
    <row r="384" ht="15.75" customHeight="1">
      <c r="A384" s="8"/>
      <c r="B384" s="14" t="s">
        <v>3018</v>
      </c>
      <c r="C384" s="5">
        <v>510000.0</v>
      </c>
      <c r="D384" s="5">
        <v>0.0</v>
      </c>
      <c r="E384" s="5">
        <f t="shared" si="1"/>
        <v>9339275</v>
      </c>
      <c r="F384" s="4" t="s">
        <v>2464</v>
      </c>
      <c r="G384" s="4" t="s">
        <v>59</v>
      </c>
      <c r="H384" s="15" t="s">
        <v>230</v>
      </c>
      <c r="I384" s="14"/>
      <c r="J384" s="14"/>
      <c r="K384" s="14"/>
      <c r="L384" s="14"/>
    </row>
    <row r="385" ht="15.75" customHeight="1">
      <c r="A385" s="8"/>
      <c r="B385" s="14" t="s">
        <v>3022</v>
      </c>
      <c r="C385" s="5">
        <v>184800.0</v>
      </c>
      <c r="D385" s="5">
        <v>0.0</v>
      </c>
      <c r="E385" s="5">
        <f t="shared" si="1"/>
        <v>9154475</v>
      </c>
      <c r="F385" s="4" t="s">
        <v>2464</v>
      </c>
      <c r="G385" s="4" t="s">
        <v>59</v>
      </c>
      <c r="H385" s="15" t="s">
        <v>230</v>
      </c>
      <c r="I385" s="14"/>
      <c r="J385" s="14"/>
      <c r="K385" s="14"/>
      <c r="L385" s="14"/>
    </row>
    <row r="386" ht="15.75" customHeight="1">
      <c r="A386" s="8"/>
      <c r="B386" s="14" t="s">
        <v>3016</v>
      </c>
      <c r="C386" s="5">
        <v>172000.0</v>
      </c>
      <c r="D386" s="5">
        <v>0.0</v>
      </c>
      <c r="E386" s="5">
        <f t="shared" si="1"/>
        <v>8982475</v>
      </c>
      <c r="F386" s="4" t="s">
        <v>2464</v>
      </c>
      <c r="G386" s="4" t="s">
        <v>59</v>
      </c>
      <c r="H386" s="15" t="s">
        <v>230</v>
      </c>
      <c r="I386" s="14"/>
      <c r="J386" s="14"/>
      <c r="K386" s="14"/>
      <c r="L386" s="14"/>
    </row>
    <row r="387" ht="15.75" customHeight="1">
      <c r="A387" s="8"/>
      <c r="B387" s="14" t="s">
        <v>3023</v>
      </c>
      <c r="C387" s="5">
        <v>1073150.0</v>
      </c>
      <c r="D387" s="5">
        <v>0.0</v>
      </c>
      <c r="E387" s="5">
        <f t="shared" si="1"/>
        <v>7909325</v>
      </c>
      <c r="F387" s="4" t="s">
        <v>2464</v>
      </c>
      <c r="G387" s="4" t="s">
        <v>59</v>
      </c>
      <c r="H387" s="15" t="s">
        <v>230</v>
      </c>
      <c r="I387" s="14"/>
      <c r="J387" s="14"/>
      <c r="K387" s="14"/>
      <c r="L387" s="14"/>
    </row>
    <row r="388" ht="15.75" customHeight="1">
      <c r="A388" s="8"/>
      <c r="B388" s="14" t="s">
        <v>3024</v>
      </c>
      <c r="C388" s="5">
        <v>161700.0</v>
      </c>
      <c r="D388" s="5">
        <v>0.0</v>
      </c>
      <c r="E388" s="5">
        <f t="shared" si="1"/>
        <v>7747625</v>
      </c>
      <c r="F388" s="4" t="s">
        <v>2464</v>
      </c>
      <c r="G388" s="4" t="s">
        <v>59</v>
      </c>
      <c r="H388" s="15" t="s">
        <v>230</v>
      </c>
      <c r="I388" s="14"/>
      <c r="J388" s="14"/>
      <c r="K388" s="14"/>
      <c r="L388" s="14"/>
    </row>
    <row r="389" ht="15.75" customHeight="1">
      <c r="A389" s="8"/>
      <c r="B389" s="14" t="s">
        <v>3025</v>
      </c>
      <c r="C389" s="5">
        <v>346190.0</v>
      </c>
      <c r="D389" s="5">
        <v>0.0</v>
      </c>
      <c r="E389" s="5">
        <f t="shared" si="1"/>
        <v>7401435</v>
      </c>
      <c r="F389" s="4" t="s">
        <v>2464</v>
      </c>
      <c r="G389" s="4" t="s">
        <v>59</v>
      </c>
      <c r="H389" s="15" t="s">
        <v>230</v>
      </c>
      <c r="I389" s="14"/>
      <c r="J389" s="14"/>
      <c r="K389" s="14"/>
      <c r="L389" s="14"/>
    </row>
    <row r="390" ht="15.75" customHeight="1">
      <c r="A390" s="8"/>
      <c r="B390" s="14" t="s">
        <v>3026</v>
      </c>
      <c r="C390" s="5">
        <v>149000.0</v>
      </c>
      <c r="D390" s="5">
        <v>0.0</v>
      </c>
      <c r="E390" s="5">
        <f t="shared" si="1"/>
        <v>7252435</v>
      </c>
      <c r="F390" s="4" t="s">
        <v>2464</v>
      </c>
      <c r="G390" s="4" t="s">
        <v>59</v>
      </c>
      <c r="H390" s="15" t="s">
        <v>230</v>
      </c>
      <c r="I390" s="14"/>
      <c r="J390" s="14"/>
      <c r="K390" s="14"/>
      <c r="L390" s="14"/>
    </row>
    <row r="391" ht="15.75" customHeight="1">
      <c r="A391" s="8"/>
      <c r="B391" s="14" t="s">
        <v>3027</v>
      </c>
      <c r="C391" s="5">
        <v>307000.0</v>
      </c>
      <c r="D391" s="5">
        <v>0.0</v>
      </c>
      <c r="E391" s="5">
        <f t="shared" si="1"/>
        <v>6945435</v>
      </c>
      <c r="F391" s="4" t="s">
        <v>2464</v>
      </c>
      <c r="G391" s="4" t="s">
        <v>59</v>
      </c>
      <c r="H391" s="15" t="s">
        <v>230</v>
      </c>
      <c r="I391" s="14"/>
      <c r="J391" s="14"/>
      <c r="K391" s="14"/>
      <c r="L391" s="14"/>
    </row>
    <row r="392" ht="15.75" customHeight="1">
      <c r="A392" s="8"/>
      <c r="B392" s="14" t="s">
        <v>3028</v>
      </c>
      <c r="C392" s="5">
        <v>235000.0</v>
      </c>
      <c r="D392" s="5">
        <v>0.0</v>
      </c>
      <c r="E392" s="5">
        <f t="shared" si="1"/>
        <v>6710435</v>
      </c>
      <c r="F392" s="4" t="s">
        <v>2464</v>
      </c>
      <c r="G392" s="4" t="s">
        <v>59</v>
      </c>
      <c r="H392" s="15" t="s">
        <v>230</v>
      </c>
      <c r="I392" s="14"/>
      <c r="J392" s="14"/>
      <c r="K392" s="14"/>
      <c r="L392" s="14"/>
    </row>
    <row r="393" ht="15.75" customHeight="1">
      <c r="A393" s="8"/>
      <c r="B393" s="14" t="s">
        <v>3011</v>
      </c>
      <c r="C393" s="5">
        <v>132000.0</v>
      </c>
      <c r="D393" s="5">
        <v>0.0</v>
      </c>
      <c r="E393" s="5">
        <f t="shared" si="1"/>
        <v>6578435</v>
      </c>
      <c r="F393" s="4" t="s">
        <v>2464</v>
      </c>
      <c r="G393" s="4" t="s">
        <v>59</v>
      </c>
      <c r="H393" s="15" t="s">
        <v>230</v>
      </c>
      <c r="I393" s="14"/>
      <c r="J393" s="14"/>
      <c r="K393" s="14"/>
      <c r="L393" s="14"/>
    </row>
    <row r="394" ht="15.75" customHeight="1">
      <c r="A394" s="8"/>
      <c r="B394" s="14" t="s">
        <v>3011</v>
      </c>
      <c r="C394" s="5">
        <v>44000.0</v>
      </c>
      <c r="D394" s="5">
        <v>0.0</v>
      </c>
      <c r="E394" s="5">
        <f t="shared" si="1"/>
        <v>6534435</v>
      </c>
      <c r="F394" s="4" t="s">
        <v>2464</v>
      </c>
      <c r="G394" s="4" t="s">
        <v>59</v>
      </c>
      <c r="H394" s="15" t="s">
        <v>230</v>
      </c>
      <c r="I394" s="14"/>
      <c r="J394" s="14"/>
      <c r="K394" s="14"/>
      <c r="L394" s="14"/>
    </row>
    <row r="395" ht="15.75" customHeight="1">
      <c r="A395" s="8"/>
      <c r="B395" s="14" t="s">
        <v>3029</v>
      </c>
      <c r="C395" s="5">
        <v>255000.0</v>
      </c>
      <c r="D395" s="5">
        <v>0.0</v>
      </c>
      <c r="E395" s="5">
        <f t="shared" si="1"/>
        <v>6279435</v>
      </c>
      <c r="F395" s="4" t="s">
        <v>2464</v>
      </c>
      <c r="G395" s="4" t="s">
        <v>59</v>
      </c>
      <c r="H395" s="15" t="s">
        <v>230</v>
      </c>
      <c r="I395" s="14"/>
      <c r="J395" s="14"/>
      <c r="K395" s="14"/>
      <c r="L395" s="14"/>
    </row>
    <row r="396" ht="15.75" customHeight="1">
      <c r="A396" s="8"/>
      <c r="B396" s="14" t="s">
        <v>3030</v>
      </c>
      <c r="C396" s="5">
        <v>761200.0</v>
      </c>
      <c r="D396" s="5">
        <v>0.0</v>
      </c>
      <c r="E396" s="5">
        <f t="shared" si="1"/>
        <v>5518235</v>
      </c>
      <c r="F396" s="4" t="s">
        <v>2464</v>
      </c>
      <c r="G396" s="4" t="s">
        <v>59</v>
      </c>
      <c r="H396" s="15" t="s">
        <v>230</v>
      </c>
      <c r="I396" s="14"/>
      <c r="J396" s="14"/>
      <c r="K396" s="14"/>
      <c r="L396" s="14"/>
    </row>
    <row r="397" ht="15.75" customHeight="1">
      <c r="A397" s="8"/>
      <c r="B397" s="14" t="s">
        <v>3031</v>
      </c>
      <c r="C397" s="5">
        <v>203400.0</v>
      </c>
      <c r="D397" s="5">
        <v>0.0</v>
      </c>
      <c r="E397" s="5">
        <f t="shared" si="1"/>
        <v>5314835</v>
      </c>
      <c r="F397" s="4" t="s">
        <v>2464</v>
      </c>
      <c r="G397" s="4" t="s">
        <v>59</v>
      </c>
      <c r="H397" s="15" t="s">
        <v>230</v>
      </c>
      <c r="I397" s="14"/>
      <c r="J397" s="14"/>
      <c r="K397" s="14"/>
      <c r="L397" s="14"/>
    </row>
    <row r="398" ht="15.75" customHeight="1">
      <c r="A398" s="8"/>
      <c r="B398" s="14" t="s">
        <v>3032</v>
      </c>
      <c r="C398" s="5">
        <v>524400.0</v>
      </c>
      <c r="D398" s="5">
        <v>0.0</v>
      </c>
      <c r="E398" s="5">
        <f t="shared" si="1"/>
        <v>4790435</v>
      </c>
      <c r="F398" s="4" t="s">
        <v>2464</v>
      </c>
      <c r="G398" s="4" t="s">
        <v>59</v>
      </c>
      <c r="H398" s="15" t="s">
        <v>230</v>
      </c>
      <c r="I398" s="14"/>
      <c r="J398" s="14"/>
      <c r="K398" s="14"/>
      <c r="L398" s="14"/>
    </row>
    <row r="399" ht="15.75" customHeight="1">
      <c r="A399" s="8"/>
      <c r="B399" s="14" t="s">
        <v>3033</v>
      </c>
      <c r="C399" s="5">
        <v>44000.0</v>
      </c>
      <c r="D399" s="5">
        <v>0.0</v>
      </c>
      <c r="E399" s="5">
        <f t="shared" si="1"/>
        <v>4746435</v>
      </c>
      <c r="F399" s="4" t="s">
        <v>2464</v>
      </c>
      <c r="G399" s="4" t="s">
        <v>59</v>
      </c>
      <c r="H399" s="15" t="s">
        <v>230</v>
      </c>
      <c r="I399" s="14"/>
      <c r="J399" s="14"/>
      <c r="K399" s="14"/>
      <c r="L399" s="14"/>
    </row>
    <row r="400" ht="15.75" customHeight="1">
      <c r="A400" s="8"/>
      <c r="B400" s="14" t="s">
        <v>3034</v>
      </c>
      <c r="C400" s="5">
        <v>408000.0</v>
      </c>
      <c r="D400" s="5">
        <v>0.0</v>
      </c>
      <c r="E400" s="5">
        <f t="shared" si="1"/>
        <v>4338435</v>
      </c>
      <c r="F400" s="4" t="s">
        <v>2464</v>
      </c>
      <c r="G400" s="4" t="s">
        <v>59</v>
      </c>
      <c r="H400" s="15" t="s">
        <v>230</v>
      </c>
      <c r="I400" s="14"/>
      <c r="J400" s="14"/>
      <c r="K400" s="14"/>
      <c r="L400" s="14"/>
    </row>
    <row r="401" ht="15.75" customHeight="1">
      <c r="A401" s="8"/>
      <c r="B401" s="14" t="s">
        <v>3035</v>
      </c>
      <c r="C401" s="5">
        <v>655600.0</v>
      </c>
      <c r="D401" s="5">
        <v>0.0</v>
      </c>
      <c r="E401" s="5">
        <f t="shared" si="1"/>
        <v>3682835</v>
      </c>
      <c r="F401" s="4" t="s">
        <v>2464</v>
      </c>
      <c r="G401" s="4" t="s">
        <v>59</v>
      </c>
      <c r="H401" s="15" t="s">
        <v>230</v>
      </c>
      <c r="I401" s="14"/>
      <c r="J401" s="14"/>
      <c r="K401" s="14"/>
      <c r="L401" s="14"/>
    </row>
    <row r="402" ht="15.75" customHeight="1">
      <c r="A402" s="8"/>
      <c r="B402" s="14" t="s">
        <v>3036</v>
      </c>
      <c r="C402" s="5">
        <v>193700.0</v>
      </c>
      <c r="D402" s="5">
        <v>0.0</v>
      </c>
      <c r="E402" s="5">
        <f t="shared" si="1"/>
        <v>3489135</v>
      </c>
      <c r="F402" s="4" t="s">
        <v>2464</v>
      </c>
      <c r="G402" s="4" t="s">
        <v>59</v>
      </c>
      <c r="H402" s="15" t="s">
        <v>230</v>
      </c>
      <c r="I402" s="14"/>
      <c r="J402" s="14"/>
      <c r="K402" s="14"/>
      <c r="L402" s="14"/>
    </row>
    <row r="403" ht="15.75" customHeight="1">
      <c r="A403" s="8"/>
      <c r="B403" s="14" t="s">
        <v>3022</v>
      </c>
      <c r="C403" s="5">
        <v>366135.0</v>
      </c>
      <c r="D403" s="5">
        <v>0.0</v>
      </c>
      <c r="E403" s="5">
        <f t="shared" si="1"/>
        <v>3123000</v>
      </c>
      <c r="F403" s="4" t="s">
        <v>2464</v>
      </c>
      <c r="G403" s="4" t="s">
        <v>59</v>
      </c>
      <c r="H403" s="15" t="s">
        <v>230</v>
      </c>
      <c r="I403" s="14"/>
      <c r="J403" s="14"/>
      <c r="K403" s="14"/>
      <c r="L403" s="14"/>
    </row>
    <row r="404" ht="15.75" customHeight="1">
      <c r="A404" s="8"/>
      <c r="B404" s="14" t="s">
        <v>3037</v>
      </c>
      <c r="C404" s="5">
        <v>330000.0</v>
      </c>
      <c r="D404" s="5">
        <v>0.0</v>
      </c>
      <c r="E404" s="5">
        <f t="shared" si="1"/>
        <v>2793000</v>
      </c>
      <c r="F404" s="4" t="s">
        <v>2464</v>
      </c>
      <c r="G404" s="4" t="s">
        <v>59</v>
      </c>
      <c r="H404" s="15" t="s">
        <v>230</v>
      </c>
      <c r="I404" s="14"/>
      <c r="J404" s="14"/>
      <c r="K404" s="14"/>
      <c r="L404" s="14"/>
    </row>
    <row r="405" ht="15.75" customHeight="1">
      <c r="A405" s="8"/>
      <c r="B405" s="14" t="s">
        <v>3038</v>
      </c>
      <c r="C405" s="5">
        <v>112700.0</v>
      </c>
      <c r="D405" s="5">
        <v>0.0</v>
      </c>
      <c r="E405" s="5">
        <f t="shared" si="1"/>
        <v>2680300</v>
      </c>
      <c r="F405" s="4" t="s">
        <v>2464</v>
      </c>
      <c r="G405" s="4" t="s">
        <v>59</v>
      </c>
      <c r="H405" s="15" t="s">
        <v>230</v>
      </c>
      <c r="I405" s="14"/>
      <c r="J405" s="14"/>
      <c r="K405" s="14"/>
      <c r="L405" s="14"/>
    </row>
    <row r="406" ht="15.75" customHeight="1">
      <c r="A406" s="8"/>
      <c r="B406" s="14" t="s">
        <v>3039</v>
      </c>
      <c r="C406" s="5">
        <v>112500.0</v>
      </c>
      <c r="D406" s="5">
        <v>0.0</v>
      </c>
      <c r="E406" s="5">
        <f t="shared" si="1"/>
        <v>2567800</v>
      </c>
      <c r="F406" s="4" t="s">
        <v>2464</v>
      </c>
      <c r="G406" s="4" t="s">
        <v>59</v>
      </c>
      <c r="H406" s="15" t="s">
        <v>230</v>
      </c>
      <c r="I406" s="14"/>
      <c r="J406" s="14"/>
      <c r="K406" s="14"/>
      <c r="L406" s="14"/>
    </row>
    <row r="407" ht="15.75" customHeight="1">
      <c r="A407" s="8"/>
      <c r="B407" s="14" t="s">
        <v>3040</v>
      </c>
      <c r="C407" s="5">
        <v>271500.0</v>
      </c>
      <c r="D407" s="5">
        <v>0.0</v>
      </c>
      <c r="E407" s="5">
        <f t="shared" si="1"/>
        <v>2296300</v>
      </c>
      <c r="F407" s="4" t="s">
        <v>2464</v>
      </c>
      <c r="G407" s="4" t="s">
        <v>59</v>
      </c>
      <c r="H407" s="15" t="s">
        <v>230</v>
      </c>
      <c r="I407" s="14"/>
      <c r="J407" s="14"/>
      <c r="K407" s="14"/>
      <c r="L407" s="14"/>
    </row>
    <row r="408" ht="15.75" customHeight="1">
      <c r="A408" s="8"/>
      <c r="B408" s="14" t="s">
        <v>3041</v>
      </c>
      <c r="C408" s="5">
        <v>139000.0</v>
      </c>
      <c r="D408" s="5">
        <v>0.0</v>
      </c>
      <c r="E408" s="5">
        <f t="shared" si="1"/>
        <v>2157300</v>
      </c>
      <c r="F408" s="4" t="s">
        <v>2464</v>
      </c>
      <c r="G408" s="4" t="s">
        <v>59</v>
      </c>
      <c r="H408" s="15" t="s">
        <v>230</v>
      </c>
      <c r="I408" s="14"/>
      <c r="J408" s="14"/>
      <c r="K408" s="14"/>
      <c r="L408" s="14"/>
    </row>
    <row r="409" ht="15.75" customHeight="1">
      <c r="A409" s="8"/>
      <c r="B409" s="14" t="s">
        <v>3042</v>
      </c>
      <c r="C409" s="5">
        <v>379000.0</v>
      </c>
      <c r="D409" s="5">
        <v>0.0</v>
      </c>
      <c r="E409" s="5">
        <f t="shared" si="1"/>
        <v>1778300</v>
      </c>
      <c r="F409" s="4" t="s">
        <v>2464</v>
      </c>
      <c r="G409" s="4" t="s">
        <v>59</v>
      </c>
      <c r="H409" s="15" t="s">
        <v>230</v>
      </c>
      <c r="I409" s="14"/>
      <c r="J409" s="14"/>
      <c r="K409" s="14"/>
      <c r="L409" s="14"/>
    </row>
    <row r="410" ht="15.75" customHeight="1">
      <c r="A410" s="8"/>
      <c r="B410" s="14" t="s">
        <v>3043</v>
      </c>
      <c r="C410" s="5">
        <v>488800.0</v>
      </c>
      <c r="D410" s="5">
        <v>0.0</v>
      </c>
      <c r="E410" s="5">
        <f t="shared" si="1"/>
        <v>1289500</v>
      </c>
      <c r="F410" s="4" t="s">
        <v>2464</v>
      </c>
      <c r="G410" s="4" t="s">
        <v>59</v>
      </c>
      <c r="H410" s="15" t="s">
        <v>230</v>
      </c>
      <c r="I410" s="14"/>
      <c r="J410" s="14"/>
      <c r="K410" s="14"/>
      <c r="L410" s="14"/>
    </row>
    <row r="411" ht="15.75" customHeight="1">
      <c r="A411" s="8"/>
      <c r="B411" s="14" t="s">
        <v>3044</v>
      </c>
      <c r="C411" s="5">
        <v>368500.0</v>
      </c>
      <c r="D411" s="5">
        <v>0.0</v>
      </c>
      <c r="E411" s="5">
        <f t="shared" si="1"/>
        <v>921000</v>
      </c>
      <c r="F411" s="4" t="s">
        <v>2464</v>
      </c>
      <c r="G411" s="4" t="s">
        <v>59</v>
      </c>
      <c r="H411" s="15" t="s">
        <v>230</v>
      </c>
      <c r="I411" s="14"/>
      <c r="J411" s="14"/>
      <c r="K411" s="14"/>
      <c r="L411" s="14"/>
    </row>
    <row r="412" ht="15.75" customHeight="1">
      <c r="A412" s="8"/>
      <c r="B412" s="14" t="s">
        <v>3045</v>
      </c>
      <c r="C412" s="5">
        <v>162000.0</v>
      </c>
      <c r="D412" s="5">
        <v>0.0</v>
      </c>
      <c r="E412" s="5">
        <f t="shared" si="1"/>
        <v>759000</v>
      </c>
      <c r="F412" s="4" t="s">
        <v>2464</v>
      </c>
      <c r="G412" s="4" t="s">
        <v>59</v>
      </c>
      <c r="H412" s="15" t="s">
        <v>230</v>
      </c>
      <c r="I412" s="14"/>
      <c r="J412" s="14"/>
      <c r="K412" s="14"/>
      <c r="L412" s="14"/>
    </row>
    <row r="413" ht="15.75" customHeight="1">
      <c r="A413" s="8"/>
      <c r="B413" s="14" t="s">
        <v>3046</v>
      </c>
      <c r="C413" s="5">
        <v>759000.0</v>
      </c>
      <c r="D413" s="5">
        <v>0.0</v>
      </c>
      <c r="E413" s="5">
        <f t="shared" si="1"/>
        <v>0</v>
      </c>
      <c r="F413" s="4" t="s">
        <v>2464</v>
      </c>
      <c r="G413" s="4" t="s">
        <v>59</v>
      </c>
      <c r="H413" s="15" t="s">
        <v>230</v>
      </c>
      <c r="I413" s="14"/>
      <c r="J413" s="14"/>
      <c r="K413" s="14"/>
      <c r="L413" s="14"/>
    </row>
    <row r="414" ht="15.75" customHeight="1">
      <c r="A414" s="8">
        <v>46023.0</v>
      </c>
      <c r="B414" s="14" t="s">
        <v>2451</v>
      </c>
      <c r="C414" s="5">
        <v>0.0</v>
      </c>
      <c r="D414" s="5">
        <v>3.18351497E8</v>
      </c>
      <c r="E414" s="5">
        <f t="shared" si="1"/>
        <v>318351497</v>
      </c>
      <c r="F414" s="14" t="s">
        <v>24</v>
      </c>
      <c r="G414" s="14" t="s">
        <v>125</v>
      </c>
      <c r="H414" s="15" t="s">
        <v>2234</v>
      </c>
      <c r="I414" s="14"/>
      <c r="J414" s="14"/>
      <c r="K414" s="14"/>
      <c r="L414" s="14"/>
    </row>
    <row r="415" ht="15.75" customHeight="1">
      <c r="A415" s="8"/>
      <c r="B415" s="14" t="s">
        <v>3047</v>
      </c>
      <c r="C415" s="5">
        <v>1500000.0</v>
      </c>
      <c r="D415" s="5">
        <v>0.0</v>
      </c>
      <c r="E415" s="5">
        <f t="shared" si="1"/>
        <v>316851497</v>
      </c>
      <c r="F415" s="4" t="s">
        <v>2464</v>
      </c>
      <c r="G415" s="4" t="s">
        <v>59</v>
      </c>
      <c r="H415" s="15" t="s">
        <v>2234</v>
      </c>
      <c r="I415" s="14"/>
      <c r="J415" s="14"/>
      <c r="K415" s="14"/>
      <c r="L415" s="14"/>
    </row>
    <row r="416" ht="15.75" customHeight="1">
      <c r="A416" s="8"/>
      <c r="B416" s="14" t="s">
        <v>3048</v>
      </c>
      <c r="C416" s="5">
        <v>1500000.0</v>
      </c>
      <c r="D416" s="5">
        <v>0.0</v>
      </c>
      <c r="E416" s="5">
        <f t="shared" si="1"/>
        <v>315351497</v>
      </c>
      <c r="F416" s="4" t="s">
        <v>2464</v>
      </c>
      <c r="G416" s="4" t="s">
        <v>59</v>
      </c>
      <c r="H416" s="15" t="s">
        <v>2234</v>
      </c>
      <c r="I416" s="14"/>
      <c r="J416" s="14"/>
      <c r="K416" s="14"/>
      <c r="L416" s="14"/>
    </row>
    <row r="417" ht="15.75" customHeight="1">
      <c r="A417" s="8"/>
      <c r="B417" s="14" t="s">
        <v>3049</v>
      </c>
      <c r="C417" s="5">
        <v>5.005E7</v>
      </c>
      <c r="D417" s="5">
        <v>0.0</v>
      </c>
      <c r="E417" s="5">
        <f t="shared" si="1"/>
        <v>265301497</v>
      </c>
      <c r="F417" s="4" t="s">
        <v>2464</v>
      </c>
      <c r="G417" s="4" t="s">
        <v>59</v>
      </c>
      <c r="H417" s="15" t="s">
        <v>2234</v>
      </c>
      <c r="I417" s="14"/>
      <c r="J417" s="14"/>
      <c r="K417" s="14"/>
      <c r="L417" s="14"/>
    </row>
    <row r="418" ht="15.75" customHeight="1">
      <c r="A418" s="8"/>
      <c r="B418" s="14" t="s">
        <v>3050</v>
      </c>
      <c r="C418" s="5">
        <v>2.35125E7</v>
      </c>
      <c r="D418" s="5">
        <v>0.0</v>
      </c>
      <c r="E418" s="5">
        <f t="shared" si="1"/>
        <v>241788997</v>
      </c>
      <c r="F418" s="4" t="s">
        <v>2464</v>
      </c>
      <c r="G418" s="4" t="s">
        <v>59</v>
      </c>
      <c r="H418" s="15" t="s">
        <v>2234</v>
      </c>
      <c r="I418" s="14"/>
      <c r="J418" s="14"/>
      <c r="K418" s="14"/>
      <c r="L418" s="14"/>
    </row>
    <row r="419" ht="15.75" customHeight="1">
      <c r="A419" s="8"/>
      <c r="B419" s="14" t="s">
        <v>3051</v>
      </c>
      <c r="C419" s="5">
        <v>6500000.0</v>
      </c>
      <c r="D419" s="5">
        <v>0.0</v>
      </c>
      <c r="E419" s="5">
        <f t="shared" si="1"/>
        <v>235288997</v>
      </c>
      <c r="F419" s="4" t="s">
        <v>2464</v>
      </c>
      <c r="G419" s="4" t="s">
        <v>59</v>
      </c>
      <c r="H419" s="15" t="s">
        <v>2234</v>
      </c>
      <c r="I419" s="14"/>
      <c r="J419" s="14"/>
      <c r="K419" s="14"/>
      <c r="L419" s="14"/>
    </row>
    <row r="420" ht="15.75" customHeight="1">
      <c r="A420" s="8"/>
      <c r="B420" s="14" t="s">
        <v>3052</v>
      </c>
      <c r="C420" s="5">
        <v>6997284.0</v>
      </c>
      <c r="D420" s="5">
        <v>0.0</v>
      </c>
      <c r="E420" s="5">
        <f t="shared" si="1"/>
        <v>228291713</v>
      </c>
      <c r="F420" s="4" t="s">
        <v>2464</v>
      </c>
      <c r="G420" s="4" t="s">
        <v>59</v>
      </c>
      <c r="H420" s="15" t="s">
        <v>2234</v>
      </c>
      <c r="I420" s="14"/>
      <c r="J420" s="14"/>
      <c r="K420" s="14"/>
      <c r="L420" s="14"/>
    </row>
    <row r="421" ht="15.75" customHeight="1">
      <c r="A421" s="8"/>
      <c r="B421" s="14" t="s">
        <v>3053</v>
      </c>
      <c r="C421" s="5">
        <v>9.891912E7</v>
      </c>
      <c r="D421" s="5">
        <v>0.0</v>
      </c>
      <c r="E421" s="5">
        <f t="shared" si="1"/>
        <v>129372593</v>
      </c>
      <c r="F421" s="4" t="s">
        <v>2464</v>
      </c>
      <c r="G421" s="4" t="s">
        <v>59</v>
      </c>
      <c r="H421" s="15" t="s">
        <v>2234</v>
      </c>
      <c r="I421" s="14"/>
      <c r="J421" s="14"/>
      <c r="K421" s="14"/>
      <c r="L421" s="14"/>
    </row>
    <row r="422" ht="15.75" customHeight="1">
      <c r="A422" s="8"/>
      <c r="B422" s="14" t="s">
        <v>3054</v>
      </c>
      <c r="C422" s="5">
        <v>2326350.0</v>
      </c>
      <c r="D422" s="5">
        <v>0.0</v>
      </c>
      <c r="E422" s="5">
        <f t="shared" si="1"/>
        <v>127046243</v>
      </c>
      <c r="F422" s="4" t="s">
        <v>2464</v>
      </c>
      <c r="G422" s="4" t="s">
        <v>59</v>
      </c>
      <c r="H422" s="15" t="s">
        <v>2234</v>
      </c>
      <c r="I422" s="14"/>
      <c r="J422" s="14"/>
      <c r="K422" s="14"/>
      <c r="L422" s="14"/>
    </row>
    <row r="423" ht="15.75" customHeight="1">
      <c r="A423" s="8"/>
      <c r="B423" s="14" t="s">
        <v>3055</v>
      </c>
      <c r="C423" s="5">
        <v>908800.0</v>
      </c>
      <c r="D423" s="5">
        <v>0.0</v>
      </c>
      <c r="E423" s="5">
        <f t="shared" si="1"/>
        <v>126137443</v>
      </c>
      <c r="F423" s="4" t="s">
        <v>2464</v>
      </c>
      <c r="G423" s="4" t="s">
        <v>59</v>
      </c>
      <c r="H423" s="15" t="s">
        <v>2234</v>
      </c>
      <c r="I423" s="14"/>
      <c r="J423" s="14"/>
      <c r="K423" s="14"/>
      <c r="L423" s="14"/>
    </row>
    <row r="424" ht="15.75" customHeight="1">
      <c r="A424" s="8"/>
      <c r="B424" s="14" t="s">
        <v>3056</v>
      </c>
      <c r="C424" s="5">
        <v>2.2102E7</v>
      </c>
      <c r="D424" s="5">
        <v>0.0</v>
      </c>
      <c r="E424" s="5">
        <f t="shared" si="1"/>
        <v>104035443</v>
      </c>
      <c r="F424" s="4" t="s">
        <v>2464</v>
      </c>
      <c r="G424" s="4" t="s">
        <v>59</v>
      </c>
      <c r="H424" s="15" t="s">
        <v>2234</v>
      </c>
      <c r="I424" s="14"/>
      <c r="J424" s="14"/>
      <c r="K424" s="14"/>
      <c r="L424" s="14"/>
    </row>
    <row r="425" ht="15.75" customHeight="1">
      <c r="A425" s="8"/>
      <c r="B425" s="14" t="s">
        <v>3057</v>
      </c>
      <c r="C425" s="5">
        <v>65500.0</v>
      </c>
      <c r="D425" s="5">
        <v>0.0</v>
      </c>
      <c r="E425" s="5">
        <f t="shared" si="1"/>
        <v>103969943</v>
      </c>
      <c r="F425" s="4" t="s">
        <v>2464</v>
      </c>
      <c r="G425" s="4" t="s">
        <v>59</v>
      </c>
      <c r="H425" s="15" t="s">
        <v>2234</v>
      </c>
      <c r="I425" s="14"/>
      <c r="J425" s="14"/>
      <c r="K425" s="14"/>
      <c r="L425" s="14"/>
    </row>
    <row r="426" ht="15.75" customHeight="1">
      <c r="A426" s="8"/>
      <c r="B426" s="14" t="s">
        <v>3058</v>
      </c>
      <c r="C426" s="5">
        <v>484014.0</v>
      </c>
      <c r="D426" s="5">
        <v>0.0</v>
      </c>
      <c r="E426" s="5">
        <f t="shared" si="1"/>
        <v>103485929</v>
      </c>
      <c r="F426" s="4" t="s">
        <v>2464</v>
      </c>
      <c r="G426" s="4" t="s">
        <v>59</v>
      </c>
      <c r="H426" s="15" t="s">
        <v>2234</v>
      </c>
      <c r="I426" s="14"/>
      <c r="J426" s="14"/>
      <c r="K426" s="14"/>
      <c r="L426" s="14"/>
    </row>
    <row r="427" ht="15.75" customHeight="1">
      <c r="A427" s="8"/>
      <c r="B427" s="14" t="s">
        <v>3059</v>
      </c>
      <c r="C427" s="5">
        <v>241700.0</v>
      </c>
      <c r="D427" s="5">
        <v>0.0</v>
      </c>
      <c r="E427" s="5">
        <f t="shared" si="1"/>
        <v>103244229</v>
      </c>
      <c r="F427" s="4" t="s">
        <v>2464</v>
      </c>
      <c r="G427" s="4" t="s">
        <v>59</v>
      </c>
      <c r="H427" s="15" t="s">
        <v>2234</v>
      </c>
      <c r="I427" s="14"/>
      <c r="J427" s="14"/>
      <c r="K427" s="14"/>
      <c r="L427" s="14"/>
    </row>
    <row r="428" ht="15.75" customHeight="1">
      <c r="A428" s="8"/>
      <c r="B428" s="14" t="s">
        <v>3060</v>
      </c>
      <c r="C428" s="5">
        <v>489000.0</v>
      </c>
      <c r="D428" s="5">
        <v>0.0</v>
      </c>
      <c r="E428" s="5">
        <f t="shared" si="1"/>
        <v>102755229</v>
      </c>
      <c r="F428" s="4" t="s">
        <v>2464</v>
      </c>
      <c r="G428" s="4" t="s">
        <v>59</v>
      </c>
      <c r="H428" s="15" t="s">
        <v>2234</v>
      </c>
      <c r="I428" s="14"/>
      <c r="J428" s="14"/>
      <c r="K428" s="14"/>
      <c r="L428" s="14"/>
    </row>
    <row r="429" ht="15.75" customHeight="1">
      <c r="A429" s="8"/>
      <c r="B429" s="14" t="s">
        <v>3061</v>
      </c>
      <c r="C429" s="5">
        <v>35000.0</v>
      </c>
      <c r="D429" s="5">
        <v>0.0</v>
      </c>
      <c r="E429" s="5">
        <f t="shared" si="1"/>
        <v>102720229</v>
      </c>
      <c r="F429" s="4" t="s">
        <v>2464</v>
      </c>
      <c r="G429" s="4" t="s">
        <v>59</v>
      </c>
      <c r="H429" s="15" t="s">
        <v>2234</v>
      </c>
      <c r="I429" s="14"/>
      <c r="J429" s="14"/>
      <c r="K429" s="14"/>
      <c r="L429" s="14"/>
    </row>
    <row r="430" ht="15.75" customHeight="1">
      <c r="A430" s="8"/>
      <c r="B430" s="14" t="s">
        <v>3062</v>
      </c>
      <c r="C430" s="5">
        <v>7.6162E7</v>
      </c>
      <c r="D430" s="5">
        <v>0.0</v>
      </c>
      <c r="E430" s="5">
        <f t="shared" si="1"/>
        <v>26558229</v>
      </c>
      <c r="F430" s="4" t="s">
        <v>2464</v>
      </c>
      <c r="G430" s="4" t="s">
        <v>59</v>
      </c>
      <c r="H430" s="15" t="s">
        <v>2234</v>
      </c>
      <c r="I430" s="14"/>
      <c r="J430" s="14"/>
      <c r="K430" s="14"/>
      <c r="L430" s="14"/>
    </row>
    <row r="431" ht="15.75" customHeight="1">
      <c r="A431" s="8"/>
      <c r="B431" s="14" t="s">
        <v>3063</v>
      </c>
      <c r="C431" s="5">
        <v>2219140.0</v>
      </c>
      <c r="D431" s="5">
        <v>0.0</v>
      </c>
      <c r="E431" s="5">
        <f t="shared" si="1"/>
        <v>24339089</v>
      </c>
      <c r="F431" s="4" t="s">
        <v>2464</v>
      </c>
      <c r="G431" s="4" t="s">
        <v>59</v>
      </c>
      <c r="H431" s="15" t="s">
        <v>2234</v>
      </c>
      <c r="I431" s="14"/>
      <c r="J431" s="14"/>
      <c r="K431" s="14"/>
      <c r="L431" s="14"/>
    </row>
    <row r="432" ht="15.75" customHeight="1">
      <c r="A432" s="8"/>
      <c r="B432" s="14" t="s">
        <v>3064</v>
      </c>
      <c r="C432" s="5">
        <v>8296800.0</v>
      </c>
      <c r="D432" s="5">
        <v>0.0</v>
      </c>
      <c r="E432" s="5">
        <f t="shared" si="1"/>
        <v>16042289</v>
      </c>
      <c r="F432" s="4" t="s">
        <v>2464</v>
      </c>
      <c r="G432" s="4" t="s">
        <v>59</v>
      </c>
      <c r="H432" s="15" t="s">
        <v>2234</v>
      </c>
      <c r="I432" s="14"/>
      <c r="J432" s="14"/>
      <c r="K432" s="14"/>
      <c r="L432" s="14"/>
    </row>
    <row r="433" ht="15.75" customHeight="1">
      <c r="A433" s="8"/>
      <c r="B433" s="14" t="s">
        <v>3065</v>
      </c>
      <c r="C433" s="5">
        <v>92000.0</v>
      </c>
      <c r="D433" s="5">
        <v>0.0</v>
      </c>
      <c r="E433" s="5">
        <f t="shared" si="1"/>
        <v>15950289</v>
      </c>
      <c r="F433" s="4" t="s">
        <v>2464</v>
      </c>
      <c r="G433" s="4" t="s">
        <v>59</v>
      </c>
      <c r="H433" s="15" t="s">
        <v>2234</v>
      </c>
      <c r="I433" s="14"/>
      <c r="J433" s="14"/>
      <c r="K433" s="14"/>
      <c r="L433" s="14"/>
    </row>
    <row r="434" ht="15.75" customHeight="1">
      <c r="A434" s="8"/>
      <c r="B434" s="14" t="s">
        <v>3066</v>
      </c>
      <c r="C434" s="5">
        <v>2705000.0</v>
      </c>
      <c r="D434" s="5">
        <v>0.0</v>
      </c>
      <c r="E434" s="5">
        <f t="shared" si="1"/>
        <v>13245289</v>
      </c>
      <c r="F434" s="4" t="s">
        <v>2464</v>
      </c>
      <c r="G434" s="4" t="s">
        <v>59</v>
      </c>
      <c r="H434" s="15" t="s">
        <v>2234</v>
      </c>
      <c r="I434" s="14"/>
      <c r="J434" s="14"/>
      <c r="K434" s="14"/>
      <c r="L434" s="14"/>
    </row>
    <row r="435" ht="15.75" customHeight="1">
      <c r="A435" s="8"/>
      <c r="B435" s="14" t="s">
        <v>3067</v>
      </c>
      <c r="C435" s="5">
        <v>250000.0</v>
      </c>
      <c r="D435" s="5">
        <v>0.0</v>
      </c>
      <c r="E435" s="5">
        <f t="shared" si="1"/>
        <v>12995289</v>
      </c>
      <c r="F435" s="4" t="s">
        <v>2464</v>
      </c>
      <c r="G435" s="4" t="s">
        <v>59</v>
      </c>
      <c r="H435" s="15" t="s">
        <v>2234</v>
      </c>
      <c r="I435" s="14"/>
      <c r="J435" s="14"/>
      <c r="K435" s="14"/>
      <c r="L435" s="14"/>
    </row>
    <row r="436" ht="15.75" customHeight="1">
      <c r="A436" s="8"/>
      <c r="B436" s="14" t="s">
        <v>3068</v>
      </c>
      <c r="C436" s="5">
        <v>685000.0</v>
      </c>
      <c r="D436" s="5">
        <v>0.0</v>
      </c>
      <c r="E436" s="5">
        <f t="shared" si="1"/>
        <v>12310289</v>
      </c>
      <c r="F436" s="4" t="s">
        <v>2464</v>
      </c>
      <c r="G436" s="4" t="s">
        <v>59</v>
      </c>
      <c r="H436" s="15" t="s">
        <v>2234</v>
      </c>
      <c r="I436" s="14"/>
      <c r="J436" s="14"/>
      <c r="K436" s="14"/>
      <c r="L436" s="14"/>
    </row>
    <row r="437" ht="15.75" customHeight="1">
      <c r="A437" s="8"/>
      <c r="B437" s="14" t="s">
        <v>3069</v>
      </c>
      <c r="C437" s="5">
        <v>300000.0</v>
      </c>
      <c r="D437" s="5">
        <v>0.0</v>
      </c>
      <c r="E437" s="5">
        <f t="shared" si="1"/>
        <v>12010289</v>
      </c>
      <c r="F437" s="4" t="s">
        <v>2464</v>
      </c>
      <c r="G437" s="4" t="s">
        <v>59</v>
      </c>
      <c r="H437" s="15" t="s">
        <v>2234</v>
      </c>
      <c r="I437" s="14"/>
      <c r="J437" s="14"/>
      <c r="K437" s="14"/>
      <c r="L437" s="14"/>
    </row>
    <row r="438" ht="15.75" customHeight="1">
      <c r="A438" s="8"/>
      <c r="B438" s="14" t="s">
        <v>3070</v>
      </c>
      <c r="C438" s="5">
        <v>238970.0</v>
      </c>
      <c r="D438" s="5">
        <v>0.0</v>
      </c>
      <c r="E438" s="5">
        <f t="shared" si="1"/>
        <v>11771319</v>
      </c>
      <c r="F438" s="4" t="s">
        <v>2464</v>
      </c>
      <c r="G438" s="4" t="s">
        <v>59</v>
      </c>
      <c r="H438" s="15" t="s">
        <v>2234</v>
      </c>
      <c r="I438" s="14"/>
      <c r="J438" s="14"/>
      <c r="K438" s="14"/>
      <c r="L438" s="14"/>
    </row>
    <row r="439" ht="15.75" customHeight="1">
      <c r="A439" s="8"/>
      <c r="B439" s="14" t="s">
        <v>3071</v>
      </c>
      <c r="C439" s="5">
        <v>1.6645037E7</v>
      </c>
      <c r="D439" s="5">
        <v>0.0</v>
      </c>
      <c r="E439" s="5">
        <f t="shared" si="1"/>
        <v>-4873718</v>
      </c>
      <c r="F439" s="4" t="s">
        <v>2464</v>
      </c>
      <c r="G439" s="4" t="s">
        <v>59</v>
      </c>
      <c r="H439" s="15" t="s">
        <v>2234</v>
      </c>
      <c r="I439" s="14"/>
      <c r="J439" s="14"/>
      <c r="K439" s="14"/>
      <c r="L439" s="14"/>
    </row>
    <row r="440" ht="15.75" customHeight="1">
      <c r="A440" s="8"/>
      <c r="B440" s="14" t="s">
        <v>3072</v>
      </c>
      <c r="C440" s="5">
        <v>50000.0</v>
      </c>
      <c r="D440" s="5">
        <v>0.0</v>
      </c>
      <c r="E440" s="5">
        <f t="shared" si="1"/>
        <v>-4923718</v>
      </c>
      <c r="F440" s="4" t="s">
        <v>2464</v>
      </c>
      <c r="G440" s="4" t="s">
        <v>59</v>
      </c>
      <c r="H440" s="15" t="s">
        <v>2234</v>
      </c>
      <c r="I440" s="14"/>
      <c r="J440" s="14"/>
      <c r="K440" s="14"/>
      <c r="L440" s="14"/>
    </row>
    <row r="441" ht="15.75" customHeight="1">
      <c r="A441" s="8"/>
      <c r="B441" s="14" t="s">
        <v>3073</v>
      </c>
      <c r="C441" s="5">
        <v>80000.0</v>
      </c>
      <c r="D441" s="5">
        <v>0.0</v>
      </c>
      <c r="E441" s="5">
        <f t="shared" si="1"/>
        <v>-5003718</v>
      </c>
      <c r="F441" s="4" t="s">
        <v>2464</v>
      </c>
      <c r="G441" s="4" t="s">
        <v>59</v>
      </c>
      <c r="H441" s="15" t="s">
        <v>2234</v>
      </c>
      <c r="I441" s="14"/>
      <c r="J441" s="14"/>
      <c r="K441" s="14"/>
      <c r="L441" s="14"/>
    </row>
    <row r="442" ht="15.75" customHeight="1">
      <c r="A442" s="8"/>
      <c r="B442" s="14" t="s">
        <v>3074</v>
      </c>
      <c r="C442" s="5">
        <v>145000.0</v>
      </c>
      <c r="D442" s="5">
        <v>0.0</v>
      </c>
      <c r="E442" s="5">
        <f t="shared" si="1"/>
        <v>-5148718</v>
      </c>
      <c r="F442" s="4" t="s">
        <v>2464</v>
      </c>
      <c r="G442" s="4" t="s">
        <v>59</v>
      </c>
      <c r="H442" s="15" t="s">
        <v>2234</v>
      </c>
      <c r="I442" s="14"/>
      <c r="J442" s="14"/>
      <c r="K442" s="14"/>
      <c r="L442" s="14"/>
    </row>
    <row r="443" ht="15.75" customHeight="1">
      <c r="A443" s="8"/>
      <c r="B443" s="14" t="s">
        <v>3075</v>
      </c>
      <c r="C443" s="5">
        <v>172000.0</v>
      </c>
      <c r="D443" s="5">
        <v>0.0</v>
      </c>
      <c r="E443" s="5">
        <f t="shared" si="1"/>
        <v>-5320718</v>
      </c>
      <c r="F443" s="4" t="s">
        <v>2464</v>
      </c>
      <c r="G443" s="4" t="s">
        <v>59</v>
      </c>
      <c r="H443" s="15" t="s">
        <v>2234</v>
      </c>
      <c r="I443" s="14"/>
      <c r="J443" s="14"/>
      <c r="K443" s="14"/>
      <c r="L443" s="14"/>
    </row>
    <row r="444" ht="15.75" customHeight="1">
      <c r="A444" s="8"/>
      <c r="B444" s="14" t="s">
        <v>3076</v>
      </c>
      <c r="C444" s="5">
        <v>85000.0</v>
      </c>
      <c r="D444" s="5">
        <v>0.0</v>
      </c>
      <c r="E444" s="5">
        <f t="shared" si="1"/>
        <v>-5405718</v>
      </c>
      <c r="F444" s="4" t="s">
        <v>2464</v>
      </c>
      <c r="G444" s="4" t="s">
        <v>59</v>
      </c>
      <c r="H444" s="15" t="s">
        <v>2234</v>
      </c>
      <c r="I444" s="14"/>
      <c r="J444" s="14"/>
      <c r="K444" s="14"/>
      <c r="L444" s="14"/>
    </row>
    <row r="445" ht="15.75" customHeight="1">
      <c r="A445" s="8"/>
      <c r="B445" s="14" t="s">
        <v>3077</v>
      </c>
      <c r="C445" s="5">
        <v>20000.0</v>
      </c>
      <c r="D445" s="5">
        <v>0.0</v>
      </c>
      <c r="E445" s="5">
        <f t="shared" si="1"/>
        <v>-5425718</v>
      </c>
      <c r="F445" s="4" t="s">
        <v>2464</v>
      </c>
      <c r="G445" s="4" t="s">
        <v>59</v>
      </c>
      <c r="H445" s="15" t="s">
        <v>2234</v>
      </c>
      <c r="I445" s="14"/>
      <c r="J445" s="14"/>
      <c r="K445" s="14"/>
      <c r="L445" s="14"/>
    </row>
    <row r="446" ht="15.75" customHeight="1">
      <c r="A446" s="8"/>
      <c r="B446" s="14" t="s">
        <v>3078</v>
      </c>
      <c r="C446" s="5">
        <v>44000.0</v>
      </c>
      <c r="D446" s="5">
        <v>0.0</v>
      </c>
      <c r="E446" s="5">
        <f t="shared" si="1"/>
        <v>-5469718</v>
      </c>
      <c r="F446" s="4" t="s">
        <v>2464</v>
      </c>
      <c r="G446" s="4" t="s">
        <v>59</v>
      </c>
      <c r="H446" s="15" t="s">
        <v>2234</v>
      </c>
      <c r="I446" s="14"/>
      <c r="J446" s="14"/>
      <c r="K446" s="14"/>
      <c r="L446" s="14"/>
    </row>
    <row r="447" ht="15.75" customHeight="1">
      <c r="A447" s="8"/>
      <c r="B447" s="14" t="s">
        <v>3079</v>
      </c>
      <c r="C447" s="5">
        <v>8000.0</v>
      </c>
      <c r="D447" s="5">
        <v>0.0</v>
      </c>
      <c r="E447" s="5">
        <f t="shared" si="1"/>
        <v>-5477718</v>
      </c>
      <c r="F447" s="4" t="s">
        <v>2464</v>
      </c>
      <c r="G447" s="4" t="s">
        <v>59</v>
      </c>
      <c r="H447" s="15" t="s">
        <v>2234</v>
      </c>
      <c r="I447" s="14"/>
      <c r="J447" s="14"/>
      <c r="K447" s="14"/>
      <c r="L447" s="14"/>
    </row>
    <row r="448" ht="15.75" customHeight="1">
      <c r="A448" s="8"/>
      <c r="B448" s="14" t="s">
        <v>3080</v>
      </c>
      <c r="C448" s="5">
        <v>15500.0</v>
      </c>
      <c r="D448" s="5">
        <v>0.0</v>
      </c>
      <c r="E448" s="5">
        <f t="shared" si="1"/>
        <v>-5493218</v>
      </c>
      <c r="F448" s="4" t="s">
        <v>2464</v>
      </c>
      <c r="G448" s="4" t="s">
        <v>59</v>
      </c>
      <c r="H448" s="15" t="s">
        <v>2234</v>
      </c>
      <c r="I448" s="14"/>
      <c r="J448" s="14"/>
      <c r="K448" s="14"/>
      <c r="L448" s="14"/>
    </row>
    <row r="449" ht="15.75" customHeight="1">
      <c r="A449" s="8"/>
      <c r="B449" s="14" t="s">
        <v>3081</v>
      </c>
      <c r="C449" s="5">
        <v>204000.0</v>
      </c>
      <c r="D449" s="5">
        <v>0.0</v>
      </c>
      <c r="E449" s="5">
        <f t="shared" si="1"/>
        <v>-5697218</v>
      </c>
      <c r="F449" s="4" t="s">
        <v>2464</v>
      </c>
      <c r="G449" s="4" t="s">
        <v>59</v>
      </c>
      <c r="H449" s="15" t="s">
        <v>2234</v>
      </c>
      <c r="I449" s="14"/>
      <c r="J449" s="14"/>
      <c r="K449" s="14"/>
      <c r="L449" s="14"/>
    </row>
    <row r="450" ht="15.75" customHeight="1">
      <c r="A450" s="8"/>
      <c r="B450" s="14" t="s">
        <v>3082</v>
      </c>
      <c r="C450" s="5">
        <v>11500.0</v>
      </c>
      <c r="D450" s="5">
        <v>0.0</v>
      </c>
      <c r="E450" s="5">
        <f t="shared" si="1"/>
        <v>-5708718</v>
      </c>
      <c r="F450" s="4" t="s">
        <v>2464</v>
      </c>
      <c r="G450" s="4" t="s">
        <v>59</v>
      </c>
      <c r="H450" s="15" t="s">
        <v>2234</v>
      </c>
      <c r="I450" s="14"/>
      <c r="J450" s="14"/>
      <c r="K450" s="14"/>
      <c r="L450" s="14"/>
    </row>
    <row r="451" ht="15.75" customHeight="1">
      <c r="A451" s="8"/>
      <c r="B451" s="14" t="s">
        <v>3083</v>
      </c>
      <c r="C451" s="5">
        <v>621206.0</v>
      </c>
      <c r="D451" s="5">
        <v>0.0</v>
      </c>
      <c r="E451" s="5">
        <f t="shared" si="1"/>
        <v>-6329924</v>
      </c>
      <c r="F451" s="4" t="s">
        <v>2464</v>
      </c>
      <c r="G451" s="4" t="s">
        <v>59</v>
      </c>
      <c r="H451" s="15" t="s">
        <v>2234</v>
      </c>
      <c r="I451" s="14"/>
      <c r="J451" s="14"/>
      <c r="K451" s="14"/>
      <c r="L451" s="14"/>
    </row>
    <row r="452" ht="15.75" customHeight="1">
      <c r="A452" s="8"/>
      <c r="B452" s="14" t="s">
        <v>3084</v>
      </c>
      <c r="C452" s="5">
        <v>13500.0</v>
      </c>
      <c r="D452" s="5">
        <v>0.0</v>
      </c>
      <c r="E452" s="5">
        <f t="shared" si="1"/>
        <v>-6343424</v>
      </c>
      <c r="F452" s="4" t="s">
        <v>2464</v>
      </c>
      <c r="G452" s="4" t="s">
        <v>59</v>
      </c>
      <c r="H452" s="15" t="s">
        <v>2234</v>
      </c>
      <c r="I452" s="14"/>
      <c r="J452" s="14"/>
      <c r="K452" s="14"/>
      <c r="L452" s="14"/>
    </row>
    <row r="453" ht="15.75" customHeight="1">
      <c r="A453" s="8"/>
      <c r="B453" s="14" t="s">
        <v>3085</v>
      </c>
      <c r="C453" s="5">
        <v>200000.0</v>
      </c>
      <c r="D453" s="5">
        <v>0.0</v>
      </c>
      <c r="E453" s="5">
        <f t="shared" si="1"/>
        <v>-6543424</v>
      </c>
      <c r="F453" s="4" t="s">
        <v>2464</v>
      </c>
      <c r="G453" s="4" t="s">
        <v>59</v>
      </c>
      <c r="H453" s="15" t="s">
        <v>2234</v>
      </c>
      <c r="I453" s="14"/>
      <c r="J453" s="14"/>
      <c r="K453" s="14"/>
      <c r="L453" s="14"/>
    </row>
    <row r="454" ht="15.75" customHeight="1">
      <c r="A454" s="8"/>
      <c r="B454" s="14" t="s">
        <v>3086</v>
      </c>
      <c r="C454" s="5">
        <v>50000.0</v>
      </c>
      <c r="D454" s="5">
        <v>0.0</v>
      </c>
      <c r="E454" s="5">
        <f t="shared" si="1"/>
        <v>-6593424</v>
      </c>
      <c r="F454" s="4" t="s">
        <v>2464</v>
      </c>
      <c r="G454" s="4" t="s">
        <v>59</v>
      </c>
      <c r="H454" s="15" t="s">
        <v>2234</v>
      </c>
      <c r="I454" s="14"/>
      <c r="J454" s="14"/>
      <c r="K454" s="14"/>
      <c r="L454" s="14"/>
    </row>
    <row r="455" ht="15.75" customHeight="1">
      <c r="A455" s="8"/>
      <c r="B455" s="14" t="s">
        <v>3087</v>
      </c>
      <c r="C455" s="5">
        <v>200000.0</v>
      </c>
      <c r="D455" s="5">
        <v>0.0</v>
      </c>
      <c r="E455" s="5">
        <f t="shared" si="1"/>
        <v>-6793424</v>
      </c>
      <c r="F455" s="4" t="s">
        <v>2464</v>
      </c>
      <c r="G455" s="4" t="s">
        <v>59</v>
      </c>
      <c r="H455" s="15" t="s">
        <v>2234</v>
      </c>
      <c r="I455" s="14"/>
      <c r="J455" s="14"/>
      <c r="K455" s="14"/>
      <c r="L455" s="14"/>
    </row>
    <row r="456" ht="15.75" customHeight="1">
      <c r="A456" s="8"/>
      <c r="B456" s="14" t="s">
        <v>3088</v>
      </c>
      <c r="C456" s="5">
        <v>140000.0</v>
      </c>
      <c r="D456" s="5">
        <v>0.0</v>
      </c>
      <c r="E456" s="5">
        <f t="shared" si="1"/>
        <v>-6933424</v>
      </c>
      <c r="F456" s="4" t="s">
        <v>2464</v>
      </c>
      <c r="G456" s="4" t="s">
        <v>59</v>
      </c>
      <c r="H456" s="15" t="s">
        <v>2234</v>
      </c>
      <c r="I456" s="14"/>
      <c r="J456" s="14"/>
      <c r="K456" s="14"/>
      <c r="L456" s="14"/>
    </row>
    <row r="457" ht="15.75" customHeight="1">
      <c r="A457" s="8"/>
      <c r="B457" s="14" t="s">
        <v>3089</v>
      </c>
      <c r="C457" s="5">
        <v>-2492798.0</v>
      </c>
      <c r="D457" s="5">
        <v>0.0</v>
      </c>
      <c r="E457" s="5">
        <f t="shared" si="1"/>
        <v>-4440626</v>
      </c>
      <c r="F457" s="4" t="s">
        <v>2464</v>
      </c>
      <c r="G457" s="4" t="s">
        <v>59</v>
      </c>
      <c r="H457" s="15" t="s">
        <v>2234</v>
      </c>
      <c r="I457" s="14"/>
      <c r="J457" s="14"/>
      <c r="K457" s="14"/>
      <c r="L457" s="14"/>
    </row>
    <row r="458" ht="15.75" customHeight="1">
      <c r="A458" s="8"/>
      <c r="B458" s="14" t="s">
        <v>3090</v>
      </c>
      <c r="C458" s="5">
        <v>-2492798.0</v>
      </c>
      <c r="D458" s="5">
        <v>0.0</v>
      </c>
      <c r="E458" s="5">
        <f t="shared" si="1"/>
        <v>-1947828</v>
      </c>
      <c r="F458" s="4" t="s">
        <v>2464</v>
      </c>
      <c r="G458" s="4" t="s">
        <v>59</v>
      </c>
      <c r="H458" s="15" t="s">
        <v>2234</v>
      </c>
      <c r="I458" s="14"/>
      <c r="J458" s="14"/>
      <c r="K458" s="14"/>
      <c r="L458" s="14"/>
    </row>
    <row r="459" ht="15.75" customHeight="1">
      <c r="A459" s="8"/>
      <c r="B459" s="14" t="s">
        <v>3091</v>
      </c>
      <c r="C459" s="5">
        <v>-762769.0</v>
      </c>
      <c r="D459" s="5">
        <v>0.0</v>
      </c>
      <c r="E459" s="5">
        <f t="shared" si="1"/>
        <v>-1185059</v>
      </c>
      <c r="F459" s="4" t="s">
        <v>2464</v>
      </c>
      <c r="G459" s="4" t="s">
        <v>59</v>
      </c>
      <c r="H459" s="15" t="s">
        <v>2234</v>
      </c>
      <c r="I459" s="14"/>
      <c r="J459" s="14"/>
      <c r="K459" s="14"/>
      <c r="L459" s="14"/>
    </row>
    <row r="460" ht="15.75" customHeight="1">
      <c r="A460" s="8"/>
      <c r="B460" s="14" t="s">
        <v>2919</v>
      </c>
      <c r="C460" s="5">
        <v>-1185059.0</v>
      </c>
      <c r="D460" s="5">
        <v>0.0</v>
      </c>
      <c r="E460" s="5">
        <f t="shared" si="1"/>
        <v>0</v>
      </c>
      <c r="F460" s="4" t="s">
        <v>2464</v>
      </c>
      <c r="G460" s="4" t="s">
        <v>59</v>
      </c>
      <c r="H460" s="15" t="s">
        <v>2234</v>
      </c>
      <c r="I460" s="14"/>
      <c r="J460" s="14"/>
      <c r="K460" s="14"/>
      <c r="L460" s="14"/>
    </row>
    <row r="461" ht="15.75" customHeight="1">
      <c r="A461" s="8">
        <v>46023.0</v>
      </c>
      <c r="B461" s="14" t="s">
        <v>2451</v>
      </c>
      <c r="C461" s="5">
        <v>0.0</v>
      </c>
      <c r="D461" s="5">
        <v>2.108918E7</v>
      </c>
      <c r="E461" s="5">
        <f t="shared" si="1"/>
        <v>21089180</v>
      </c>
      <c r="F461" s="14" t="s">
        <v>24</v>
      </c>
      <c r="G461" s="14" t="s">
        <v>125</v>
      </c>
      <c r="H461" s="15" t="s">
        <v>2385</v>
      </c>
      <c r="I461" s="14"/>
      <c r="J461" s="14"/>
      <c r="K461" s="14"/>
      <c r="L461" s="14"/>
    </row>
    <row r="462" ht="15.75" customHeight="1">
      <c r="A462" s="8"/>
      <c r="B462" s="14" t="s">
        <v>3092</v>
      </c>
      <c r="C462" s="5">
        <v>9896540.0</v>
      </c>
      <c r="D462" s="5">
        <v>0.0</v>
      </c>
      <c r="E462" s="5">
        <f t="shared" si="1"/>
        <v>11192640</v>
      </c>
      <c r="F462" s="4" t="s">
        <v>2464</v>
      </c>
      <c r="G462" s="4" t="s">
        <v>59</v>
      </c>
      <c r="H462" s="15" t="s">
        <v>2385</v>
      </c>
      <c r="I462" s="14"/>
      <c r="J462" s="14"/>
      <c r="K462" s="14"/>
      <c r="L462" s="14"/>
    </row>
    <row r="463" ht="15.75" customHeight="1">
      <c r="A463" s="8"/>
      <c r="B463" s="14" t="s">
        <v>3093</v>
      </c>
      <c r="C463" s="5">
        <v>1.119264E7</v>
      </c>
      <c r="D463" s="5">
        <v>0.0</v>
      </c>
      <c r="E463" s="5">
        <f t="shared" si="1"/>
        <v>0</v>
      </c>
      <c r="F463" s="4" t="s">
        <v>2464</v>
      </c>
      <c r="G463" s="4" t="s">
        <v>59</v>
      </c>
      <c r="H463" s="15" t="s">
        <v>2385</v>
      </c>
      <c r="I463" s="14"/>
      <c r="J463" s="14"/>
      <c r="K463" s="14"/>
      <c r="L463" s="14"/>
    </row>
    <row r="464" ht="15.75" customHeight="1">
      <c r="A464" s="8">
        <v>46023.0</v>
      </c>
      <c r="B464" s="14" t="s">
        <v>2451</v>
      </c>
      <c r="C464" s="5">
        <v>0.0</v>
      </c>
      <c r="D464" s="5">
        <v>6.1108588E7</v>
      </c>
      <c r="E464" s="5">
        <f t="shared" si="1"/>
        <v>61108588</v>
      </c>
      <c r="F464" s="14" t="s">
        <v>24</v>
      </c>
      <c r="G464" s="14" t="s">
        <v>125</v>
      </c>
      <c r="H464" s="15" t="s">
        <v>2184</v>
      </c>
      <c r="I464" s="14"/>
      <c r="J464" s="14"/>
      <c r="K464" s="14"/>
      <c r="L464" s="14"/>
    </row>
    <row r="465" ht="15.75" customHeight="1">
      <c r="A465" s="8"/>
      <c r="B465" s="14" t="s">
        <v>3094</v>
      </c>
      <c r="C465" s="5">
        <v>1.40215E7</v>
      </c>
      <c r="D465" s="5">
        <v>0.0</v>
      </c>
      <c r="E465" s="5">
        <f t="shared" si="1"/>
        <v>47087088</v>
      </c>
      <c r="F465" s="4" t="s">
        <v>2464</v>
      </c>
      <c r="G465" s="4" t="s">
        <v>59</v>
      </c>
      <c r="H465" s="15" t="s">
        <v>2184</v>
      </c>
      <c r="I465" s="14"/>
      <c r="J465" s="14"/>
      <c r="K465" s="14"/>
      <c r="L465" s="14"/>
    </row>
    <row r="466" ht="15.75" customHeight="1">
      <c r="A466" s="8"/>
      <c r="B466" s="14" t="s">
        <v>3095</v>
      </c>
      <c r="C466" s="5">
        <v>550000.0</v>
      </c>
      <c r="D466" s="5">
        <v>0.0</v>
      </c>
      <c r="E466" s="5">
        <f t="shared" si="1"/>
        <v>46537088</v>
      </c>
      <c r="F466" s="4" t="s">
        <v>2464</v>
      </c>
      <c r="G466" s="4" t="s">
        <v>59</v>
      </c>
      <c r="H466" s="15" t="s">
        <v>2184</v>
      </c>
      <c r="I466" s="14"/>
      <c r="J466" s="14"/>
      <c r="K466" s="14"/>
      <c r="L466" s="14"/>
    </row>
    <row r="467" ht="15.75" customHeight="1">
      <c r="A467" s="8"/>
      <c r="B467" s="14" t="s">
        <v>3096</v>
      </c>
      <c r="C467" s="5">
        <v>4182300.0</v>
      </c>
      <c r="D467" s="5">
        <v>0.0</v>
      </c>
      <c r="E467" s="5">
        <f t="shared" si="1"/>
        <v>42354788</v>
      </c>
      <c r="F467" s="4" t="s">
        <v>2464</v>
      </c>
      <c r="G467" s="4" t="s">
        <v>59</v>
      </c>
      <c r="H467" s="15" t="s">
        <v>2184</v>
      </c>
      <c r="I467" s="14"/>
      <c r="J467" s="14"/>
      <c r="K467" s="14"/>
      <c r="L467" s="14"/>
    </row>
    <row r="468" ht="15.75" customHeight="1">
      <c r="A468" s="8"/>
      <c r="B468" s="14" t="s">
        <v>3097</v>
      </c>
      <c r="C468" s="5">
        <v>701000.0</v>
      </c>
      <c r="D468" s="5">
        <v>0.0</v>
      </c>
      <c r="E468" s="5">
        <f t="shared" si="1"/>
        <v>41653788</v>
      </c>
      <c r="F468" s="4" t="s">
        <v>2464</v>
      </c>
      <c r="G468" s="4" t="s">
        <v>59</v>
      </c>
      <c r="H468" s="15" t="s">
        <v>2184</v>
      </c>
      <c r="I468" s="14"/>
      <c r="J468" s="14"/>
      <c r="K468" s="14"/>
      <c r="L468" s="14"/>
    </row>
    <row r="469" ht="15.75" customHeight="1">
      <c r="A469" s="8"/>
      <c r="B469" s="14" t="s">
        <v>3098</v>
      </c>
      <c r="C469" s="5">
        <v>3.629986E7</v>
      </c>
      <c r="D469" s="5">
        <v>0.0</v>
      </c>
      <c r="E469" s="5">
        <f t="shared" si="1"/>
        <v>5353928</v>
      </c>
      <c r="F469" s="4" t="s">
        <v>2464</v>
      </c>
      <c r="G469" s="4" t="s">
        <v>59</v>
      </c>
      <c r="H469" s="15" t="s">
        <v>2184</v>
      </c>
      <c r="I469" s="14"/>
      <c r="J469" s="14"/>
      <c r="K469" s="14"/>
      <c r="L469" s="14"/>
    </row>
    <row r="470" ht="15.75" customHeight="1">
      <c r="A470" s="8"/>
      <c r="B470" s="14" t="s">
        <v>3099</v>
      </c>
      <c r="C470" s="5">
        <v>5685993.0</v>
      </c>
      <c r="D470" s="5">
        <v>0.0</v>
      </c>
      <c r="E470" s="5">
        <f t="shared" si="1"/>
        <v>-332065</v>
      </c>
      <c r="F470" s="4" t="s">
        <v>2464</v>
      </c>
      <c r="G470" s="4" t="s">
        <v>59</v>
      </c>
      <c r="H470" s="15" t="s">
        <v>2184</v>
      </c>
      <c r="I470" s="14"/>
      <c r="J470" s="14"/>
      <c r="K470" s="14"/>
      <c r="L470" s="14"/>
    </row>
    <row r="471" ht="15.75" customHeight="1">
      <c r="A471" s="8"/>
      <c r="B471" s="14" t="s">
        <v>3100</v>
      </c>
      <c r="C471" s="5">
        <v>504960.0</v>
      </c>
      <c r="D471" s="5">
        <v>0.0</v>
      </c>
      <c r="E471" s="5">
        <f t="shared" si="1"/>
        <v>-837025</v>
      </c>
      <c r="F471" s="4" t="s">
        <v>2464</v>
      </c>
      <c r="G471" s="4" t="s">
        <v>59</v>
      </c>
      <c r="H471" s="15" t="s">
        <v>2184</v>
      </c>
      <c r="I471" s="14"/>
      <c r="J471" s="14"/>
      <c r="K471" s="14"/>
      <c r="L471" s="14"/>
    </row>
    <row r="472" ht="15.75" customHeight="1">
      <c r="A472" s="8"/>
      <c r="B472" s="14" t="s">
        <v>3101</v>
      </c>
      <c r="C472" s="5">
        <v>-837025.0</v>
      </c>
      <c r="D472" s="5">
        <v>0.0</v>
      </c>
      <c r="E472" s="5">
        <f t="shared" si="1"/>
        <v>0</v>
      </c>
      <c r="F472" s="4" t="s">
        <v>2464</v>
      </c>
      <c r="G472" s="4" t="s">
        <v>59</v>
      </c>
      <c r="H472" s="15" t="s">
        <v>2184</v>
      </c>
      <c r="I472" s="14"/>
      <c r="J472" s="14"/>
      <c r="K472" s="14"/>
      <c r="L472" s="14"/>
    </row>
    <row r="473" ht="15.75" customHeight="1">
      <c r="A473" s="8">
        <v>46023.0</v>
      </c>
      <c r="B473" s="14" t="s">
        <v>2451</v>
      </c>
      <c r="C473" s="5">
        <v>0.0</v>
      </c>
      <c r="D473" s="5">
        <v>1.23719418E8</v>
      </c>
      <c r="E473" s="5">
        <f t="shared" si="1"/>
        <v>123719418</v>
      </c>
      <c r="F473" s="14" t="s">
        <v>24</v>
      </c>
      <c r="G473" s="14" t="s">
        <v>125</v>
      </c>
      <c r="H473" s="15" t="s">
        <v>3102</v>
      </c>
      <c r="I473" s="14"/>
      <c r="J473" s="14"/>
      <c r="K473" s="14"/>
      <c r="L473" s="14"/>
    </row>
    <row r="474" ht="15.75" customHeight="1">
      <c r="A474" s="8"/>
      <c r="B474" s="14" t="s">
        <v>3103</v>
      </c>
      <c r="C474" s="5">
        <v>400000.0</v>
      </c>
      <c r="D474" s="5">
        <v>0.0</v>
      </c>
      <c r="E474" s="5">
        <f t="shared" si="1"/>
        <v>123319418</v>
      </c>
      <c r="F474" s="4" t="s">
        <v>2464</v>
      </c>
      <c r="G474" s="4" t="s">
        <v>59</v>
      </c>
      <c r="H474" s="15" t="s">
        <v>3102</v>
      </c>
      <c r="I474" s="14"/>
      <c r="J474" s="14"/>
      <c r="K474" s="14"/>
      <c r="L474" s="14"/>
    </row>
    <row r="475" ht="15.75" customHeight="1">
      <c r="A475" s="8"/>
      <c r="B475" s="14" t="s">
        <v>3104</v>
      </c>
      <c r="C475" s="5">
        <v>800000.0</v>
      </c>
      <c r="D475" s="5">
        <v>0.0</v>
      </c>
      <c r="E475" s="5">
        <f t="shared" si="1"/>
        <v>122519418</v>
      </c>
      <c r="F475" s="4" t="s">
        <v>2464</v>
      </c>
      <c r="G475" s="4" t="s">
        <v>59</v>
      </c>
      <c r="H475" s="15" t="s">
        <v>3102</v>
      </c>
      <c r="I475" s="14"/>
      <c r="J475" s="14"/>
      <c r="K475" s="14"/>
      <c r="L475" s="14"/>
    </row>
    <row r="476" ht="15.75" customHeight="1">
      <c r="A476" s="8"/>
      <c r="B476" s="14" t="s">
        <v>3105</v>
      </c>
      <c r="C476" s="5">
        <v>800000.0</v>
      </c>
      <c r="D476" s="5">
        <v>0.0</v>
      </c>
      <c r="E476" s="5">
        <f t="shared" si="1"/>
        <v>121719418</v>
      </c>
      <c r="F476" s="4" t="s">
        <v>2464</v>
      </c>
      <c r="G476" s="4" t="s">
        <v>59</v>
      </c>
      <c r="H476" s="15" t="s">
        <v>3102</v>
      </c>
      <c r="I476" s="14"/>
      <c r="J476" s="14"/>
      <c r="K476" s="14"/>
      <c r="L476" s="14"/>
    </row>
    <row r="477" ht="15.75" customHeight="1">
      <c r="A477" s="8"/>
      <c r="B477" s="14" t="s">
        <v>3106</v>
      </c>
      <c r="C477" s="5">
        <v>300000.0</v>
      </c>
      <c r="D477" s="5">
        <v>0.0</v>
      </c>
      <c r="E477" s="5">
        <f t="shared" si="1"/>
        <v>121419418</v>
      </c>
      <c r="F477" s="4" t="s">
        <v>2464</v>
      </c>
      <c r="G477" s="4" t="s">
        <v>59</v>
      </c>
      <c r="H477" s="15" t="s">
        <v>3102</v>
      </c>
      <c r="I477" s="14"/>
      <c r="J477" s="14"/>
      <c r="K477" s="14"/>
      <c r="L477" s="14"/>
    </row>
    <row r="478" ht="15.75" customHeight="1">
      <c r="A478" s="8"/>
      <c r="B478" s="14" t="s">
        <v>3107</v>
      </c>
      <c r="C478" s="5">
        <v>800000.0</v>
      </c>
      <c r="D478" s="5">
        <v>0.0</v>
      </c>
      <c r="E478" s="5">
        <f t="shared" si="1"/>
        <v>120619418</v>
      </c>
      <c r="F478" s="4" t="s">
        <v>2464</v>
      </c>
      <c r="G478" s="4" t="s">
        <v>59</v>
      </c>
      <c r="H478" s="15" t="s">
        <v>3102</v>
      </c>
      <c r="I478" s="14"/>
      <c r="J478" s="14"/>
      <c r="K478" s="14"/>
      <c r="L478" s="14"/>
    </row>
    <row r="479" ht="15.75" customHeight="1">
      <c r="A479" s="8"/>
      <c r="B479" s="14" t="s">
        <v>3108</v>
      </c>
      <c r="C479" s="5">
        <v>1500000.0</v>
      </c>
      <c r="D479" s="5">
        <v>0.0</v>
      </c>
      <c r="E479" s="5">
        <f t="shared" si="1"/>
        <v>119119418</v>
      </c>
      <c r="F479" s="4" t="s">
        <v>2464</v>
      </c>
      <c r="G479" s="4" t="s">
        <v>59</v>
      </c>
      <c r="H479" s="15" t="s">
        <v>3102</v>
      </c>
      <c r="I479" s="14"/>
      <c r="J479" s="14"/>
      <c r="K479" s="14"/>
      <c r="L479" s="14"/>
    </row>
    <row r="480" ht="15.75" customHeight="1">
      <c r="A480" s="8"/>
      <c r="B480" s="14" t="s">
        <v>3109</v>
      </c>
      <c r="C480" s="5">
        <v>1000000.0</v>
      </c>
      <c r="D480" s="5">
        <v>0.0</v>
      </c>
      <c r="E480" s="5">
        <f t="shared" si="1"/>
        <v>118119418</v>
      </c>
      <c r="F480" s="4" t="s">
        <v>2464</v>
      </c>
      <c r="G480" s="4" t="s">
        <v>59</v>
      </c>
      <c r="H480" s="15" t="s">
        <v>3102</v>
      </c>
      <c r="I480" s="14"/>
      <c r="J480" s="14"/>
      <c r="K480" s="14"/>
      <c r="L480" s="14"/>
    </row>
    <row r="481" ht="15.75" customHeight="1">
      <c r="A481" s="8"/>
      <c r="B481" s="14" t="s">
        <v>3110</v>
      </c>
      <c r="C481" s="5">
        <v>1000000.0</v>
      </c>
      <c r="D481" s="5">
        <v>0.0</v>
      </c>
      <c r="E481" s="5">
        <f t="shared" si="1"/>
        <v>117119418</v>
      </c>
      <c r="F481" s="4" t="s">
        <v>2464</v>
      </c>
      <c r="G481" s="4" t="s">
        <v>59</v>
      </c>
      <c r="H481" s="15" t="s">
        <v>3102</v>
      </c>
      <c r="I481" s="14"/>
      <c r="J481" s="14"/>
      <c r="K481" s="14"/>
      <c r="L481" s="14"/>
    </row>
    <row r="482" ht="15.75" customHeight="1">
      <c r="A482" s="8"/>
      <c r="B482" s="14" t="s">
        <v>3111</v>
      </c>
      <c r="C482" s="5">
        <v>2000000.0</v>
      </c>
      <c r="D482" s="5">
        <v>0.0</v>
      </c>
      <c r="E482" s="5">
        <f t="shared" si="1"/>
        <v>115119418</v>
      </c>
      <c r="F482" s="4" t="s">
        <v>2464</v>
      </c>
      <c r="G482" s="4" t="s">
        <v>59</v>
      </c>
      <c r="H482" s="15" t="s">
        <v>3102</v>
      </c>
      <c r="I482" s="14"/>
      <c r="J482" s="14"/>
      <c r="K482" s="14"/>
      <c r="L482" s="14"/>
    </row>
    <row r="483" ht="15.75" customHeight="1">
      <c r="A483" s="8"/>
      <c r="B483" s="14" t="s">
        <v>3112</v>
      </c>
      <c r="C483" s="5">
        <v>1.28E7</v>
      </c>
      <c r="D483" s="5">
        <v>0.0</v>
      </c>
      <c r="E483" s="5">
        <f t="shared" si="1"/>
        <v>102319418</v>
      </c>
      <c r="F483" s="4" t="s">
        <v>2464</v>
      </c>
      <c r="G483" s="4" t="s">
        <v>59</v>
      </c>
      <c r="H483" s="15" t="s">
        <v>3102</v>
      </c>
      <c r="I483" s="14"/>
      <c r="J483" s="14"/>
      <c r="K483" s="14"/>
      <c r="L483" s="14"/>
    </row>
    <row r="484" ht="15.75" customHeight="1">
      <c r="A484" s="8"/>
      <c r="B484" s="14" t="s">
        <v>3113</v>
      </c>
      <c r="C484" s="5">
        <v>560000.0</v>
      </c>
      <c r="D484" s="5">
        <v>0.0</v>
      </c>
      <c r="E484" s="5">
        <f t="shared" si="1"/>
        <v>101759418</v>
      </c>
      <c r="F484" s="4" t="s">
        <v>2464</v>
      </c>
      <c r="G484" s="4" t="s">
        <v>59</v>
      </c>
      <c r="H484" s="15" t="s">
        <v>3102</v>
      </c>
      <c r="I484" s="14"/>
      <c r="J484" s="14"/>
      <c r="K484" s="14"/>
      <c r="L484" s="14"/>
    </row>
    <row r="485" ht="15.75" customHeight="1">
      <c r="A485" s="8"/>
      <c r="B485" s="14" t="s">
        <v>3114</v>
      </c>
      <c r="C485" s="5">
        <v>5200000.0</v>
      </c>
      <c r="D485" s="5">
        <v>0.0</v>
      </c>
      <c r="E485" s="5">
        <f t="shared" si="1"/>
        <v>96559418</v>
      </c>
      <c r="F485" s="4" t="s">
        <v>2464</v>
      </c>
      <c r="G485" s="4" t="s">
        <v>59</v>
      </c>
      <c r="H485" s="15" t="s">
        <v>3102</v>
      </c>
      <c r="I485" s="14"/>
      <c r="J485" s="14"/>
      <c r="K485" s="14"/>
      <c r="L485" s="14"/>
    </row>
    <row r="486" ht="15.75" customHeight="1">
      <c r="A486" s="8"/>
      <c r="B486" s="14" t="s">
        <v>3115</v>
      </c>
      <c r="C486" s="5">
        <v>246080.0</v>
      </c>
      <c r="D486" s="5">
        <v>0.0</v>
      </c>
      <c r="E486" s="5">
        <f t="shared" si="1"/>
        <v>96313338</v>
      </c>
      <c r="F486" s="4" t="s">
        <v>2464</v>
      </c>
      <c r="G486" s="4" t="s">
        <v>59</v>
      </c>
      <c r="H486" s="15" t="s">
        <v>3102</v>
      </c>
      <c r="I486" s="14"/>
      <c r="J486" s="14"/>
      <c r="K486" s="14"/>
      <c r="L486" s="14"/>
    </row>
    <row r="487" ht="15.75" customHeight="1">
      <c r="A487" s="8"/>
      <c r="B487" s="14" t="s">
        <v>3116</v>
      </c>
      <c r="C487" s="5">
        <v>1.3590245E7</v>
      </c>
      <c r="D487" s="5">
        <v>0.0</v>
      </c>
      <c r="E487" s="5">
        <f t="shared" si="1"/>
        <v>82723093</v>
      </c>
      <c r="F487" s="4" t="s">
        <v>2464</v>
      </c>
      <c r="G487" s="4" t="s">
        <v>59</v>
      </c>
      <c r="H487" s="15" t="s">
        <v>3102</v>
      </c>
      <c r="I487" s="14"/>
      <c r="J487" s="14"/>
      <c r="K487" s="14"/>
      <c r="L487" s="14"/>
    </row>
    <row r="488" ht="15.75" customHeight="1">
      <c r="A488" s="8"/>
      <c r="B488" s="14" t="s">
        <v>3117</v>
      </c>
      <c r="C488" s="5">
        <v>8321360.0</v>
      </c>
      <c r="D488" s="5">
        <v>0.0</v>
      </c>
      <c r="E488" s="5">
        <f t="shared" si="1"/>
        <v>74401733</v>
      </c>
      <c r="F488" s="4" t="s">
        <v>2464</v>
      </c>
      <c r="G488" s="4" t="s">
        <v>59</v>
      </c>
      <c r="H488" s="15" t="s">
        <v>3102</v>
      </c>
      <c r="I488" s="14"/>
      <c r="J488" s="14"/>
      <c r="K488" s="14"/>
      <c r="L488" s="14"/>
    </row>
    <row r="489" ht="15.75" customHeight="1">
      <c r="A489" s="8"/>
      <c r="B489" s="14" t="s">
        <v>3118</v>
      </c>
      <c r="C489" s="5">
        <v>2900350.0</v>
      </c>
      <c r="D489" s="5">
        <v>0.0</v>
      </c>
      <c r="E489" s="5">
        <f t="shared" si="1"/>
        <v>71501383</v>
      </c>
      <c r="F489" s="4" t="s">
        <v>2464</v>
      </c>
      <c r="G489" s="4" t="s">
        <v>59</v>
      </c>
      <c r="H489" s="15" t="s">
        <v>3102</v>
      </c>
      <c r="I489" s="14"/>
      <c r="J489" s="14"/>
      <c r="K489" s="14"/>
      <c r="L489" s="14"/>
    </row>
    <row r="490" ht="15.75" customHeight="1">
      <c r="A490" s="8"/>
      <c r="B490" s="14" t="s">
        <v>3119</v>
      </c>
      <c r="C490" s="5">
        <v>4500000.0</v>
      </c>
      <c r="D490" s="5">
        <v>0.0</v>
      </c>
      <c r="E490" s="5">
        <f t="shared" si="1"/>
        <v>67001383</v>
      </c>
      <c r="F490" s="4" t="s">
        <v>2464</v>
      </c>
      <c r="G490" s="4" t="s">
        <v>59</v>
      </c>
      <c r="H490" s="15" t="s">
        <v>3102</v>
      </c>
      <c r="I490" s="14"/>
      <c r="J490" s="14"/>
      <c r="K490" s="14"/>
      <c r="L490" s="14"/>
    </row>
    <row r="491" ht="15.75" customHeight="1">
      <c r="A491" s="8"/>
      <c r="B491" s="14" t="s">
        <v>3120</v>
      </c>
      <c r="C491" s="5">
        <v>20000.0</v>
      </c>
      <c r="D491" s="5">
        <v>0.0</v>
      </c>
      <c r="E491" s="5">
        <f t="shared" si="1"/>
        <v>66981383</v>
      </c>
      <c r="F491" s="4" t="s">
        <v>2464</v>
      </c>
      <c r="G491" s="4" t="s">
        <v>59</v>
      </c>
      <c r="H491" s="15" t="s">
        <v>3102</v>
      </c>
      <c r="I491" s="14"/>
      <c r="J491" s="14"/>
      <c r="K491" s="14"/>
      <c r="L491" s="14"/>
    </row>
    <row r="492" ht="15.75" customHeight="1">
      <c r="A492" s="8"/>
      <c r="B492" s="14" t="s">
        <v>3121</v>
      </c>
      <c r="C492" s="5">
        <v>100000.0</v>
      </c>
      <c r="D492" s="5">
        <v>0.0</v>
      </c>
      <c r="E492" s="5">
        <f t="shared" si="1"/>
        <v>66881383</v>
      </c>
      <c r="F492" s="4" t="s">
        <v>2464</v>
      </c>
      <c r="G492" s="4" t="s">
        <v>59</v>
      </c>
      <c r="H492" s="15" t="s">
        <v>3102</v>
      </c>
      <c r="I492" s="14"/>
      <c r="J492" s="14"/>
      <c r="K492" s="14"/>
      <c r="L492" s="14"/>
    </row>
    <row r="493" ht="15.75" customHeight="1">
      <c r="A493" s="8"/>
      <c r="B493" s="14" t="s">
        <v>3122</v>
      </c>
      <c r="C493" s="5">
        <v>51000.0</v>
      </c>
      <c r="D493" s="5">
        <v>0.0</v>
      </c>
      <c r="E493" s="5">
        <f t="shared" si="1"/>
        <v>66830383</v>
      </c>
      <c r="F493" s="4" t="s">
        <v>2464</v>
      </c>
      <c r="G493" s="4" t="s">
        <v>59</v>
      </c>
      <c r="H493" s="15" t="s">
        <v>3102</v>
      </c>
      <c r="I493" s="14"/>
      <c r="J493" s="14"/>
      <c r="K493" s="14"/>
      <c r="L493" s="14"/>
    </row>
    <row r="494" ht="15.75" customHeight="1">
      <c r="A494" s="8"/>
      <c r="B494" s="14" t="s">
        <v>3123</v>
      </c>
      <c r="C494" s="5">
        <v>50000.0</v>
      </c>
      <c r="D494" s="5">
        <v>0.0</v>
      </c>
      <c r="E494" s="5">
        <f t="shared" si="1"/>
        <v>66780383</v>
      </c>
      <c r="F494" s="4" t="s">
        <v>2464</v>
      </c>
      <c r="G494" s="4" t="s">
        <v>59</v>
      </c>
      <c r="H494" s="15" t="s">
        <v>3102</v>
      </c>
      <c r="I494" s="14"/>
      <c r="J494" s="14"/>
      <c r="K494" s="14"/>
      <c r="L494" s="14"/>
    </row>
    <row r="495" ht="15.75" customHeight="1">
      <c r="A495" s="8"/>
      <c r="B495" s="14" t="s">
        <v>3124</v>
      </c>
      <c r="C495" s="5">
        <v>57600.0</v>
      </c>
      <c r="D495" s="5">
        <v>0.0</v>
      </c>
      <c r="E495" s="5">
        <f t="shared" si="1"/>
        <v>66722783</v>
      </c>
      <c r="F495" s="4" t="s">
        <v>2464</v>
      </c>
      <c r="G495" s="4" t="s">
        <v>59</v>
      </c>
      <c r="H495" s="15" t="s">
        <v>3102</v>
      </c>
      <c r="I495" s="14"/>
      <c r="J495" s="14"/>
      <c r="K495" s="14"/>
      <c r="L495" s="14"/>
    </row>
    <row r="496" ht="15.75" customHeight="1">
      <c r="A496" s="8"/>
      <c r="B496" s="14" t="s">
        <v>3125</v>
      </c>
      <c r="C496" s="5">
        <v>30000.0</v>
      </c>
      <c r="D496" s="5">
        <v>0.0</v>
      </c>
      <c r="E496" s="5">
        <f t="shared" si="1"/>
        <v>66692783</v>
      </c>
      <c r="F496" s="4" t="s">
        <v>2464</v>
      </c>
      <c r="G496" s="4" t="s">
        <v>59</v>
      </c>
      <c r="H496" s="15" t="s">
        <v>3102</v>
      </c>
      <c r="I496" s="14"/>
      <c r="J496" s="14"/>
      <c r="K496" s="14"/>
      <c r="L496" s="14"/>
    </row>
    <row r="497" ht="15.75" customHeight="1">
      <c r="A497" s="8"/>
      <c r="B497" s="14" t="s">
        <v>3126</v>
      </c>
      <c r="C497" s="5">
        <v>63600.0</v>
      </c>
      <c r="D497" s="5">
        <v>0.0</v>
      </c>
      <c r="E497" s="5">
        <f t="shared" si="1"/>
        <v>66629183</v>
      </c>
      <c r="F497" s="4" t="s">
        <v>2464</v>
      </c>
      <c r="G497" s="4" t="s">
        <v>59</v>
      </c>
      <c r="H497" s="15" t="s">
        <v>3102</v>
      </c>
      <c r="I497" s="14"/>
      <c r="J497" s="14"/>
      <c r="K497" s="14"/>
      <c r="L497" s="14"/>
    </row>
    <row r="498" ht="15.75" customHeight="1">
      <c r="A498" s="8"/>
      <c r="B498" s="14" t="s">
        <v>3127</v>
      </c>
      <c r="C498" s="5">
        <v>50000.0</v>
      </c>
      <c r="D498" s="5">
        <v>0.0</v>
      </c>
      <c r="E498" s="5">
        <f t="shared" si="1"/>
        <v>66579183</v>
      </c>
      <c r="F498" s="4" t="s">
        <v>2464</v>
      </c>
      <c r="G498" s="4" t="s">
        <v>59</v>
      </c>
      <c r="H498" s="15" t="s">
        <v>3102</v>
      </c>
      <c r="I498" s="14"/>
      <c r="J498" s="14"/>
      <c r="K498" s="14"/>
      <c r="L498" s="14"/>
    </row>
    <row r="499" ht="15.75" customHeight="1">
      <c r="A499" s="8"/>
      <c r="B499" s="14" t="s">
        <v>3128</v>
      </c>
      <c r="C499" s="5">
        <v>1209000.0</v>
      </c>
      <c r="D499" s="5">
        <v>0.0</v>
      </c>
      <c r="E499" s="5">
        <f t="shared" si="1"/>
        <v>65370183</v>
      </c>
      <c r="F499" s="4" t="s">
        <v>2464</v>
      </c>
      <c r="G499" s="4" t="s">
        <v>59</v>
      </c>
      <c r="H499" s="15" t="s">
        <v>3102</v>
      </c>
      <c r="I499" s="14"/>
      <c r="J499" s="14"/>
      <c r="K499" s="14"/>
      <c r="L499" s="14"/>
    </row>
    <row r="500" ht="15.75" customHeight="1">
      <c r="A500" s="8"/>
      <c r="B500" s="14" t="s">
        <v>3129</v>
      </c>
      <c r="C500" s="5">
        <v>825344.0</v>
      </c>
      <c r="D500" s="5">
        <v>0.0</v>
      </c>
      <c r="E500" s="5">
        <f t="shared" si="1"/>
        <v>64544839</v>
      </c>
      <c r="F500" s="4" t="s">
        <v>2464</v>
      </c>
      <c r="G500" s="4" t="s">
        <v>59</v>
      </c>
      <c r="H500" s="15" t="s">
        <v>3102</v>
      </c>
      <c r="I500" s="14"/>
      <c r="J500" s="14"/>
      <c r="K500" s="14"/>
      <c r="L500" s="14"/>
    </row>
    <row r="501" ht="15.75" customHeight="1">
      <c r="A501" s="8"/>
      <c r="B501" s="14" t="s">
        <v>3130</v>
      </c>
      <c r="C501" s="5">
        <v>2.64E7</v>
      </c>
      <c r="D501" s="5">
        <v>0.0</v>
      </c>
      <c r="E501" s="5">
        <f t="shared" si="1"/>
        <v>38144839</v>
      </c>
      <c r="F501" s="4" t="s">
        <v>2464</v>
      </c>
      <c r="G501" s="4" t="s">
        <v>59</v>
      </c>
      <c r="H501" s="15" t="s">
        <v>3102</v>
      </c>
      <c r="I501" s="14"/>
      <c r="J501" s="14"/>
      <c r="K501" s="14"/>
      <c r="L501" s="14"/>
    </row>
    <row r="502" ht="15.75" customHeight="1">
      <c r="A502" s="8"/>
      <c r="B502" s="14" t="s">
        <v>3131</v>
      </c>
      <c r="C502" s="5">
        <v>56300.0</v>
      </c>
      <c r="D502" s="5">
        <v>0.0</v>
      </c>
      <c r="E502" s="5">
        <f t="shared" si="1"/>
        <v>38088539</v>
      </c>
      <c r="F502" s="4" t="s">
        <v>2464</v>
      </c>
      <c r="G502" s="4" t="s">
        <v>59</v>
      </c>
      <c r="H502" s="15" t="s">
        <v>3102</v>
      </c>
      <c r="I502" s="14"/>
      <c r="J502" s="14"/>
      <c r="K502" s="14"/>
      <c r="L502" s="14"/>
    </row>
    <row r="503" ht="15.75" customHeight="1">
      <c r="A503" s="8"/>
      <c r="B503" s="14" t="s">
        <v>3132</v>
      </c>
      <c r="C503" s="5">
        <v>1658000.0</v>
      </c>
      <c r="D503" s="5">
        <v>0.0</v>
      </c>
      <c r="E503" s="5">
        <f t="shared" si="1"/>
        <v>36430539</v>
      </c>
      <c r="F503" s="4" t="s">
        <v>2464</v>
      </c>
      <c r="G503" s="4" t="s">
        <v>59</v>
      </c>
      <c r="H503" s="15" t="s">
        <v>3102</v>
      </c>
      <c r="I503" s="14"/>
      <c r="J503" s="14"/>
      <c r="K503" s="14"/>
      <c r="L503" s="14"/>
    </row>
    <row r="504" ht="15.75" customHeight="1">
      <c r="A504" s="8"/>
      <c r="B504" s="14" t="s">
        <v>3133</v>
      </c>
      <c r="C504" s="5">
        <v>59500.0</v>
      </c>
      <c r="D504" s="5">
        <v>0.0</v>
      </c>
      <c r="E504" s="5">
        <f t="shared" si="1"/>
        <v>36371039</v>
      </c>
      <c r="F504" s="4" t="s">
        <v>2464</v>
      </c>
      <c r="G504" s="4" t="s">
        <v>59</v>
      </c>
      <c r="H504" s="15" t="s">
        <v>3102</v>
      </c>
      <c r="I504" s="14"/>
      <c r="J504" s="14"/>
      <c r="K504" s="14"/>
      <c r="L504" s="14"/>
    </row>
    <row r="505" ht="15.75" customHeight="1">
      <c r="A505" s="8"/>
      <c r="B505" s="14" t="s">
        <v>3134</v>
      </c>
      <c r="C505" s="5">
        <v>161700.0</v>
      </c>
      <c r="D505" s="5">
        <v>0.0</v>
      </c>
      <c r="E505" s="5">
        <f t="shared" si="1"/>
        <v>36209339</v>
      </c>
      <c r="F505" s="4" t="s">
        <v>2464</v>
      </c>
      <c r="G505" s="4" t="s">
        <v>59</v>
      </c>
      <c r="H505" s="15" t="s">
        <v>3102</v>
      </c>
      <c r="I505" s="14"/>
      <c r="J505" s="14"/>
      <c r="K505" s="14"/>
      <c r="L505" s="14"/>
    </row>
    <row r="506" ht="15.75" customHeight="1">
      <c r="A506" s="8"/>
      <c r="B506" s="14" t="s">
        <v>3135</v>
      </c>
      <c r="C506" s="5">
        <v>48000.0</v>
      </c>
      <c r="D506" s="5">
        <v>0.0</v>
      </c>
      <c r="E506" s="5">
        <f t="shared" si="1"/>
        <v>36161339</v>
      </c>
      <c r="F506" s="4" t="s">
        <v>2464</v>
      </c>
      <c r="G506" s="4" t="s">
        <v>59</v>
      </c>
      <c r="H506" s="15" t="s">
        <v>3102</v>
      </c>
      <c r="I506" s="14"/>
      <c r="J506" s="14"/>
      <c r="K506" s="14"/>
      <c r="L506" s="14"/>
    </row>
    <row r="507" ht="15.75" customHeight="1">
      <c r="A507" s="8"/>
      <c r="B507" s="14" t="s">
        <v>3136</v>
      </c>
      <c r="C507" s="5">
        <v>18000.0</v>
      </c>
      <c r="D507" s="5">
        <v>0.0</v>
      </c>
      <c r="E507" s="5">
        <f t="shared" si="1"/>
        <v>36143339</v>
      </c>
      <c r="F507" s="4" t="s">
        <v>2464</v>
      </c>
      <c r="G507" s="4" t="s">
        <v>59</v>
      </c>
      <c r="H507" s="15" t="s">
        <v>3102</v>
      </c>
      <c r="I507" s="14"/>
      <c r="J507" s="14"/>
      <c r="K507" s="14"/>
      <c r="L507" s="14"/>
    </row>
    <row r="508" ht="15.75" customHeight="1">
      <c r="A508" s="8"/>
      <c r="B508" s="14" t="s">
        <v>3137</v>
      </c>
      <c r="C508" s="5">
        <v>22500.0</v>
      </c>
      <c r="D508" s="5">
        <v>0.0</v>
      </c>
      <c r="E508" s="5">
        <f t="shared" si="1"/>
        <v>36120839</v>
      </c>
      <c r="F508" s="4" t="s">
        <v>2464</v>
      </c>
      <c r="G508" s="4" t="s">
        <v>59</v>
      </c>
      <c r="H508" s="15" t="s">
        <v>3102</v>
      </c>
      <c r="I508" s="14"/>
      <c r="J508" s="14"/>
      <c r="K508" s="14"/>
      <c r="L508" s="14"/>
    </row>
    <row r="509" ht="15.75" customHeight="1">
      <c r="A509" s="8"/>
      <c r="B509" s="14" t="s">
        <v>3138</v>
      </c>
      <c r="C509" s="5">
        <v>25000.0</v>
      </c>
      <c r="D509" s="5">
        <v>0.0</v>
      </c>
      <c r="E509" s="5">
        <f t="shared" si="1"/>
        <v>36095839</v>
      </c>
      <c r="F509" s="4" t="s">
        <v>2464</v>
      </c>
      <c r="G509" s="4" t="s">
        <v>59</v>
      </c>
      <c r="H509" s="15" t="s">
        <v>3102</v>
      </c>
      <c r="I509" s="14"/>
      <c r="J509" s="14"/>
      <c r="K509" s="14"/>
      <c r="L509" s="14"/>
    </row>
    <row r="510" ht="15.75" customHeight="1">
      <c r="A510" s="8"/>
      <c r="B510" s="14" t="s">
        <v>3139</v>
      </c>
      <c r="C510" s="5">
        <v>15500.0</v>
      </c>
      <c r="D510" s="5">
        <v>0.0</v>
      </c>
      <c r="E510" s="5">
        <f t="shared" si="1"/>
        <v>36080339</v>
      </c>
      <c r="F510" s="4" t="s">
        <v>2464</v>
      </c>
      <c r="G510" s="4" t="s">
        <v>59</v>
      </c>
      <c r="H510" s="15" t="s">
        <v>3102</v>
      </c>
      <c r="I510" s="14"/>
      <c r="J510" s="14"/>
      <c r="K510" s="14"/>
      <c r="L510" s="14"/>
    </row>
    <row r="511" ht="15.75" customHeight="1">
      <c r="A511" s="8"/>
      <c r="B511" s="14" t="s">
        <v>3140</v>
      </c>
      <c r="C511" s="5">
        <v>12000.0</v>
      </c>
      <c r="D511" s="5">
        <v>0.0</v>
      </c>
      <c r="E511" s="5">
        <f t="shared" si="1"/>
        <v>36068339</v>
      </c>
      <c r="F511" s="4" t="s">
        <v>2464</v>
      </c>
      <c r="G511" s="4" t="s">
        <v>59</v>
      </c>
      <c r="H511" s="15" t="s">
        <v>3102</v>
      </c>
      <c r="I511" s="14"/>
      <c r="J511" s="14"/>
      <c r="K511" s="14"/>
      <c r="L511" s="14"/>
    </row>
    <row r="512" ht="15.75" customHeight="1">
      <c r="A512" s="8"/>
      <c r="B512" s="14" t="s">
        <v>3141</v>
      </c>
      <c r="C512" s="5">
        <v>50000.0</v>
      </c>
      <c r="D512" s="5">
        <v>0.0</v>
      </c>
      <c r="E512" s="5">
        <f t="shared" si="1"/>
        <v>36018339</v>
      </c>
      <c r="F512" s="4" t="s">
        <v>2464</v>
      </c>
      <c r="G512" s="4" t="s">
        <v>59</v>
      </c>
      <c r="H512" s="15" t="s">
        <v>3102</v>
      </c>
      <c r="I512" s="14"/>
      <c r="J512" s="14"/>
      <c r="K512" s="14"/>
      <c r="L512" s="14"/>
    </row>
    <row r="513" ht="15.75" customHeight="1">
      <c r="A513" s="8"/>
      <c r="B513" s="14" t="s">
        <v>3142</v>
      </c>
      <c r="C513" s="5">
        <v>15000.0</v>
      </c>
      <c r="D513" s="5">
        <v>0.0</v>
      </c>
      <c r="E513" s="5">
        <f t="shared" si="1"/>
        <v>36003339</v>
      </c>
      <c r="F513" s="4" t="s">
        <v>2464</v>
      </c>
      <c r="G513" s="4" t="s">
        <v>59</v>
      </c>
      <c r="H513" s="15" t="s">
        <v>3102</v>
      </c>
      <c r="I513" s="14"/>
      <c r="J513" s="14"/>
      <c r="K513" s="14"/>
      <c r="L513" s="14"/>
    </row>
    <row r="514" ht="15.75" customHeight="1">
      <c r="A514" s="8"/>
      <c r="B514" s="14" t="s">
        <v>3143</v>
      </c>
      <c r="C514" s="5">
        <v>21500.0</v>
      </c>
      <c r="D514" s="5">
        <v>0.0</v>
      </c>
      <c r="E514" s="5">
        <f t="shared" si="1"/>
        <v>35981839</v>
      </c>
      <c r="F514" s="4" t="s">
        <v>2464</v>
      </c>
      <c r="G514" s="4" t="s">
        <v>59</v>
      </c>
      <c r="H514" s="15" t="s">
        <v>3102</v>
      </c>
      <c r="I514" s="14"/>
      <c r="J514" s="14"/>
      <c r="K514" s="14"/>
      <c r="L514" s="14"/>
    </row>
    <row r="515" ht="15.75" customHeight="1">
      <c r="A515" s="8"/>
      <c r="B515" s="14" t="s">
        <v>3144</v>
      </c>
      <c r="C515" s="5">
        <v>20000.0</v>
      </c>
      <c r="D515" s="5">
        <v>0.0</v>
      </c>
      <c r="E515" s="5">
        <f t="shared" si="1"/>
        <v>35961839</v>
      </c>
      <c r="F515" s="4" t="s">
        <v>2464</v>
      </c>
      <c r="G515" s="4" t="s">
        <v>59</v>
      </c>
      <c r="H515" s="15" t="s">
        <v>3102</v>
      </c>
      <c r="I515" s="14"/>
      <c r="J515" s="14"/>
      <c r="K515" s="14"/>
      <c r="L515" s="14"/>
    </row>
    <row r="516" ht="15.75" customHeight="1">
      <c r="A516" s="8"/>
      <c r="B516" s="14" t="s">
        <v>3145</v>
      </c>
      <c r="C516" s="5">
        <v>10000.0</v>
      </c>
      <c r="D516" s="5">
        <v>0.0</v>
      </c>
      <c r="E516" s="5">
        <f t="shared" si="1"/>
        <v>35951839</v>
      </c>
      <c r="F516" s="4" t="s">
        <v>2464</v>
      </c>
      <c r="G516" s="4" t="s">
        <v>59</v>
      </c>
      <c r="H516" s="15" t="s">
        <v>3102</v>
      </c>
      <c r="I516" s="14"/>
      <c r="J516" s="14"/>
      <c r="K516" s="14"/>
      <c r="L516" s="14"/>
    </row>
    <row r="517" ht="15.75" customHeight="1">
      <c r="A517" s="8"/>
      <c r="B517" s="14" t="s">
        <v>3146</v>
      </c>
      <c r="C517" s="5">
        <v>180000.0</v>
      </c>
      <c r="D517" s="5">
        <v>0.0</v>
      </c>
      <c r="E517" s="5">
        <f t="shared" si="1"/>
        <v>35771839</v>
      </c>
      <c r="F517" s="4" t="s">
        <v>2464</v>
      </c>
      <c r="G517" s="4" t="s">
        <v>59</v>
      </c>
      <c r="H517" s="15" t="s">
        <v>3102</v>
      </c>
      <c r="I517" s="14"/>
      <c r="J517" s="14"/>
      <c r="K517" s="14"/>
      <c r="L517" s="14"/>
    </row>
    <row r="518" ht="15.75" customHeight="1">
      <c r="A518" s="8"/>
      <c r="B518" s="14" t="s">
        <v>3147</v>
      </c>
      <c r="C518" s="5">
        <v>21000.0</v>
      </c>
      <c r="D518" s="5">
        <v>0.0</v>
      </c>
      <c r="E518" s="5">
        <f t="shared" si="1"/>
        <v>35750839</v>
      </c>
      <c r="F518" s="4" t="s">
        <v>2464</v>
      </c>
      <c r="G518" s="4" t="s">
        <v>59</v>
      </c>
      <c r="H518" s="15" t="s">
        <v>3102</v>
      </c>
      <c r="I518" s="14"/>
      <c r="J518" s="14"/>
      <c r="K518" s="14"/>
      <c r="L518" s="14"/>
    </row>
    <row r="519" ht="15.75" customHeight="1">
      <c r="A519" s="8"/>
      <c r="B519" s="14" t="s">
        <v>3148</v>
      </c>
      <c r="C519" s="5">
        <v>100000.0</v>
      </c>
      <c r="D519" s="5">
        <v>0.0</v>
      </c>
      <c r="E519" s="5">
        <f t="shared" si="1"/>
        <v>35650839</v>
      </c>
      <c r="F519" s="4" t="s">
        <v>2464</v>
      </c>
      <c r="G519" s="4" t="s">
        <v>59</v>
      </c>
      <c r="H519" s="15" t="s">
        <v>3102</v>
      </c>
      <c r="I519" s="14"/>
      <c r="J519" s="14"/>
      <c r="K519" s="14"/>
      <c r="L519" s="14"/>
    </row>
    <row r="520" ht="15.75" customHeight="1">
      <c r="A520" s="8"/>
      <c r="B520" s="14" t="s">
        <v>3149</v>
      </c>
      <c r="C520" s="5">
        <v>100000.0</v>
      </c>
      <c r="D520" s="5">
        <v>0.0</v>
      </c>
      <c r="E520" s="5">
        <f t="shared" si="1"/>
        <v>35550839</v>
      </c>
      <c r="F520" s="4" t="s">
        <v>2464</v>
      </c>
      <c r="G520" s="4" t="s">
        <v>59</v>
      </c>
      <c r="H520" s="15" t="s">
        <v>3102</v>
      </c>
      <c r="I520" s="14"/>
      <c r="J520" s="14"/>
      <c r="K520" s="14"/>
      <c r="L520" s="14"/>
    </row>
    <row r="521" ht="15.75" customHeight="1">
      <c r="A521" s="8"/>
      <c r="B521" s="14" t="s">
        <v>3150</v>
      </c>
      <c r="C521" s="5">
        <v>17500.0</v>
      </c>
      <c r="D521" s="5">
        <v>0.0</v>
      </c>
      <c r="E521" s="5">
        <f t="shared" si="1"/>
        <v>35533339</v>
      </c>
      <c r="F521" s="4" t="s">
        <v>2464</v>
      </c>
      <c r="G521" s="4" t="s">
        <v>59</v>
      </c>
      <c r="H521" s="15" t="s">
        <v>3102</v>
      </c>
      <c r="I521" s="14"/>
      <c r="J521" s="14"/>
      <c r="K521" s="14"/>
      <c r="L521" s="14"/>
    </row>
    <row r="522" ht="15.75" customHeight="1">
      <c r="A522" s="8"/>
      <c r="B522" s="14" t="s">
        <v>3151</v>
      </c>
      <c r="C522" s="5">
        <v>15000.0</v>
      </c>
      <c r="D522" s="5">
        <v>0.0</v>
      </c>
      <c r="E522" s="5">
        <f t="shared" si="1"/>
        <v>35518339</v>
      </c>
      <c r="F522" s="4" t="s">
        <v>2464</v>
      </c>
      <c r="G522" s="4" t="s">
        <v>59</v>
      </c>
      <c r="H522" s="15" t="s">
        <v>3102</v>
      </c>
      <c r="I522" s="14"/>
      <c r="J522" s="14"/>
      <c r="K522" s="14"/>
      <c r="L522" s="14"/>
    </row>
    <row r="523" ht="15.75" customHeight="1">
      <c r="A523" s="8"/>
      <c r="B523" s="14" t="s">
        <v>3152</v>
      </c>
      <c r="C523" s="5">
        <v>16000.0</v>
      </c>
      <c r="D523" s="5">
        <v>0.0</v>
      </c>
      <c r="E523" s="5">
        <f t="shared" si="1"/>
        <v>35502339</v>
      </c>
      <c r="F523" s="4" t="s">
        <v>2464</v>
      </c>
      <c r="G523" s="4" t="s">
        <v>59</v>
      </c>
      <c r="H523" s="15" t="s">
        <v>3102</v>
      </c>
      <c r="I523" s="14"/>
      <c r="J523" s="14"/>
      <c r="K523" s="14"/>
      <c r="L523" s="14"/>
    </row>
    <row r="524" ht="15.75" customHeight="1">
      <c r="A524" s="8"/>
      <c r="B524" s="14" t="s">
        <v>3153</v>
      </c>
      <c r="C524" s="5">
        <v>240000.0</v>
      </c>
      <c r="D524" s="5">
        <v>0.0</v>
      </c>
      <c r="E524" s="5">
        <f t="shared" si="1"/>
        <v>35262339</v>
      </c>
      <c r="F524" s="4" t="s">
        <v>2464</v>
      </c>
      <c r="G524" s="4" t="s">
        <v>59</v>
      </c>
      <c r="H524" s="15" t="s">
        <v>3102</v>
      </c>
      <c r="I524" s="14"/>
      <c r="J524" s="14"/>
      <c r="K524" s="14"/>
      <c r="L524" s="14"/>
    </row>
    <row r="525" ht="15.75" customHeight="1">
      <c r="A525" s="8"/>
      <c r="B525" s="14" t="s">
        <v>3154</v>
      </c>
      <c r="C525" s="5">
        <v>150000.0</v>
      </c>
      <c r="D525" s="5">
        <v>0.0</v>
      </c>
      <c r="E525" s="5">
        <f t="shared" si="1"/>
        <v>35112339</v>
      </c>
      <c r="F525" s="4" t="s">
        <v>2464</v>
      </c>
      <c r="G525" s="4" t="s">
        <v>59</v>
      </c>
      <c r="H525" s="15" t="s">
        <v>3102</v>
      </c>
      <c r="I525" s="14"/>
      <c r="J525" s="14"/>
      <c r="K525" s="14"/>
      <c r="L525" s="14"/>
    </row>
    <row r="526" ht="15.75" customHeight="1">
      <c r="A526" s="8"/>
      <c r="B526" s="14" t="s">
        <v>3155</v>
      </c>
      <c r="C526" s="5">
        <v>38500.0</v>
      </c>
      <c r="D526" s="5">
        <v>0.0</v>
      </c>
      <c r="E526" s="5">
        <f t="shared" si="1"/>
        <v>35073839</v>
      </c>
      <c r="F526" s="4" t="s">
        <v>2464</v>
      </c>
      <c r="G526" s="4" t="s">
        <v>59</v>
      </c>
      <c r="H526" s="15" t="s">
        <v>3102</v>
      </c>
      <c r="I526" s="14"/>
      <c r="J526" s="14"/>
      <c r="K526" s="14"/>
      <c r="L526" s="14"/>
    </row>
    <row r="527" ht="15.75" customHeight="1">
      <c r="A527" s="8"/>
      <c r="B527" s="14" t="s">
        <v>3156</v>
      </c>
      <c r="C527" s="5">
        <v>1200000.0</v>
      </c>
      <c r="D527" s="5">
        <v>0.0</v>
      </c>
      <c r="E527" s="5">
        <f t="shared" si="1"/>
        <v>33873839</v>
      </c>
      <c r="F527" s="4" t="s">
        <v>2464</v>
      </c>
      <c r="G527" s="4" t="s">
        <v>59</v>
      </c>
      <c r="H527" s="15" t="s">
        <v>3102</v>
      </c>
      <c r="I527" s="14"/>
      <c r="J527" s="14"/>
      <c r="K527" s="14"/>
      <c r="L527" s="14"/>
    </row>
    <row r="528" ht="15.75" customHeight="1">
      <c r="A528" s="8"/>
      <c r="B528" s="14" t="s">
        <v>3157</v>
      </c>
      <c r="C528" s="5">
        <v>693000.0</v>
      </c>
      <c r="D528" s="5">
        <v>0.0</v>
      </c>
      <c r="E528" s="5">
        <f t="shared" si="1"/>
        <v>33180839</v>
      </c>
      <c r="F528" s="4" t="s">
        <v>2464</v>
      </c>
      <c r="G528" s="4" t="s">
        <v>59</v>
      </c>
      <c r="H528" s="15" t="s">
        <v>3102</v>
      </c>
      <c r="I528" s="14"/>
      <c r="J528" s="14"/>
      <c r="K528" s="14"/>
      <c r="L528" s="14"/>
    </row>
    <row r="529" ht="15.75" customHeight="1">
      <c r="A529" s="8"/>
      <c r="B529" s="14" t="s">
        <v>3158</v>
      </c>
      <c r="C529" s="5">
        <v>360000.0</v>
      </c>
      <c r="D529" s="5">
        <v>0.0</v>
      </c>
      <c r="E529" s="5">
        <f t="shared" si="1"/>
        <v>32820839</v>
      </c>
      <c r="F529" s="4" t="s">
        <v>2464</v>
      </c>
      <c r="G529" s="4" t="s">
        <v>59</v>
      </c>
      <c r="H529" s="15" t="s">
        <v>3102</v>
      </c>
      <c r="I529" s="14"/>
      <c r="J529" s="14"/>
      <c r="K529" s="14"/>
      <c r="L529" s="14"/>
    </row>
    <row r="530" ht="15.75" customHeight="1">
      <c r="A530" s="8"/>
      <c r="B530" s="14" t="s">
        <v>3159</v>
      </c>
      <c r="C530" s="5">
        <v>336000.0</v>
      </c>
      <c r="D530" s="5">
        <v>0.0</v>
      </c>
      <c r="E530" s="5">
        <f t="shared" si="1"/>
        <v>32484839</v>
      </c>
      <c r="F530" s="4" t="s">
        <v>2464</v>
      </c>
      <c r="G530" s="4" t="s">
        <v>59</v>
      </c>
      <c r="H530" s="15" t="s">
        <v>3102</v>
      </c>
      <c r="I530" s="14"/>
      <c r="J530" s="14"/>
      <c r="K530" s="14"/>
      <c r="L530" s="14"/>
    </row>
    <row r="531" ht="15.75" customHeight="1">
      <c r="A531" s="8"/>
      <c r="B531" s="14" t="s">
        <v>3160</v>
      </c>
      <c r="C531" s="5">
        <v>1000.0</v>
      </c>
      <c r="D531" s="5">
        <v>0.0</v>
      </c>
      <c r="E531" s="5">
        <f t="shared" si="1"/>
        <v>32483839</v>
      </c>
      <c r="F531" s="4" t="s">
        <v>2464</v>
      </c>
      <c r="G531" s="4" t="s">
        <v>59</v>
      </c>
      <c r="H531" s="15" t="s">
        <v>3102</v>
      </c>
      <c r="I531" s="14"/>
      <c r="J531" s="14"/>
      <c r="K531" s="14"/>
      <c r="L531" s="14"/>
    </row>
    <row r="532" ht="15.75" customHeight="1">
      <c r="A532" s="8"/>
      <c r="B532" s="14" t="s">
        <v>3161</v>
      </c>
      <c r="C532" s="5">
        <v>1450000.0</v>
      </c>
      <c r="D532" s="5">
        <v>0.0</v>
      </c>
      <c r="E532" s="5">
        <f t="shared" si="1"/>
        <v>31033839</v>
      </c>
      <c r="F532" s="4" t="s">
        <v>2464</v>
      </c>
      <c r="G532" s="4" t="s">
        <v>59</v>
      </c>
      <c r="H532" s="15" t="s">
        <v>3102</v>
      </c>
      <c r="I532" s="14"/>
      <c r="J532" s="14"/>
      <c r="K532" s="14"/>
      <c r="L532" s="14"/>
    </row>
    <row r="533" ht="15.75" customHeight="1">
      <c r="A533" s="8"/>
      <c r="B533" s="14" t="s">
        <v>3162</v>
      </c>
      <c r="C533" s="5">
        <v>2500.0</v>
      </c>
      <c r="D533" s="5">
        <v>0.0</v>
      </c>
      <c r="E533" s="5">
        <f t="shared" si="1"/>
        <v>31031339</v>
      </c>
      <c r="F533" s="4" t="s">
        <v>2464</v>
      </c>
      <c r="G533" s="4" t="s">
        <v>59</v>
      </c>
      <c r="H533" s="15" t="s">
        <v>3102</v>
      </c>
      <c r="I533" s="14"/>
      <c r="J533" s="14"/>
      <c r="K533" s="14"/>
      <c r="L533" s="14"/>
    </row>
    <row r="534" ht="15.75" customHeight="1">
      <c r="A534" s="8"/>
      <c r="B534" s="14" t="s">
        <v>3163</v>
      </c>
      <c r="C534" s="5">
        <v>360000.0</v>
      </c>
      <c r="D534" s="5">
        <v>0.0</v>
      </c>
      <c r="E534" s="5">
        <f t="shared" si="1"/>
        <v>30671339</v>
      </c>
      <c r="F534" s="4" t="s">
        <v>2464</v>
      </c>
      <c r="G534" s="4" t="s">
        <v>59</v>
      </c>
      <c r="H534" s="15" t="s">
        <v>3102</v>
      </c>
      <c r="I534" s="14"/>
      <c r="J534" s="14"/>
      <c r="K534" s="14"/>
      <c r="L534" s="14"/>
    </row>
    <row r="535" ht="15.75" customHeight="1">
      <c r="A535" s="8"/>
      <c r="B535" s="14" t="s">
        <v>3164</v>
      </c>
      <c r="C535" s="5">
        <v>100000.0</v>
      </c>
      <c r="D535" s="5">
        <v>0.0</v>
      </c>
      <c r="E535" s="5">
        <f t="shared" si="1"/>
        <v>30571339</v>
      </c>
      <c r="F535" s="4" t="s">
        <v>2464</v>
      </c>
      <c r="G535" s="4" t="s">
        <v>59</v>
      </c>
      <c r="H535" s="15" t="s">
        <v>3102</v>
      </c>
      <c r="I535" s="14"/>
      <c r="J535" s="14"/>
      <c r="K535" s="14"/>
      <c r="L535" s="14"/>
    </row>
    <row r="536" ht="15.75" customHeight="1">
      <c r="A536" s="8"/>
      <c r="B536" s="14" t="s">
        <v>3165</v>
      </c>
      <c r="C536" s="5">
        <v>4900000.0</v>
      </c>
      <c r="D536" s="5">
        <v>0.0</v>
      </c>
      <c r="E536" s="5">
        <f t="shared" si="1"/>
        <v>25671339</v>
      </c>
      <c r="F536" s="4" t="s">
        <v>2464</v>
      </c>
      <c r="G536" s="4" t="s">
        <v>59</v>
      </c>
      <c r="H536" s="15" t="s">
        <v>3102</v>
      </c>
      <c r="I536" s="14"/>
      <c r="J536" s="14"/>
      <c r="K536" s="14"/>
      <c r="L536" s="14"/>
    </row>
    <row r="537" ht="15.75" customHeight="1">
      <c r="A537" s="8"/>
      <c r="B537" s="14" t="s">
        <v>3166</v>
      </c>
      <c r="C537" s="5">
        <v>525000.0</v>
      </c>
      <c r="D537" s="5">
        <v>0.0</v>
      </c>
      <c r="E537" s="5">
        <f t="shared" si="1"/>
        <v>25146339</v>
      </c>
      <c r="F537" s="4" t="s">
        <v>2464</v>
      </c>
      <c r="G537" s="4" t="s">
        <v>59</v>
      </c>
      <c r="H537" s="15" t="s">
        <v>3102</v>
      </c>
      <c r="I537" s="14"/>
      <c r="J537" s="14"/>
      <c r="K537" s="14"/>
      <c r="L537" s="14"/>
    </row>
    <row r="538" ht="15.75" customHeight="1">
      <c r="A538" s="8"/>
      <c r="B538" s="14" t="s">
        <v>3167</v>
      </c>
      <c r="C538" s="5">
        <v>45500.0</v>
      </c>
      <c r="D538" s="5">
        <v>0.0</v>
      </c>
      <c r="E538" s="5">
        <f t="shared" si="1"/>
        <v>25100839</v>
      </c>
      <c r="F538" s="4" t="s">
        <v>2464</v>
      </c>
      <c r="G538" s="4" t="s">
        <v>59</v>
      </c>
      <c r="H538" s="15" t="s">
        <v>3102</v>
      </c>
      <c r="I538" s="14"/>
      <c r="J538" s="14"/>
      <c r="K538" s="14"/>
      <c r="L538" s="14"/>
    </row>
    <row r="539" ht="15.75" customHeight="1">
      <c r="A539" s="8"/>
      <c r="B539" s="14" t="s">
        <v>3168</v>
      </c>
      <c r="C539" s="5">
        <v>19500.0</v>
      </c>
      <c r="D539" s="5">
        <v>0.0</v>
      </c>
      <c r="E539" s="5">
        <f t="shared" si="1"/>
        <v>25081339</v>
      </c>
      <c r="F539" s="4" t="s">
        <v>2464</v>
      </c>
      <c r="G539" s="4" t="s">
        <v>59</v>
      </c>
      <c r="H539" s="15" t="s">
        <v>3102</v>
      </c>
      <c r="I539" s="14"/>
      <c r="J539" s="14"/>
      <c r="K539" s="14"/>
      <c r="L539" s="14"/>
    </row>
    <row r="540" ht="15.75" customHeight="1">
      <c r="A540" s="8"/>
      <c r="B540" s="14" t="s">
        <v>3169</v>
      </c>
      <c r="C540" s="5">
        <v>222709.0</v>
      </c>
      <c r="D540" s="5">
        <v>0.0</v>
      </c>
      <c r="E540" s="5">
        <f t="shared" si="1"/>
        <v>24858630</v>
      </c>
      <c r="F540" s="4" t="s">
        <v>2464</v>
      </c>
      <c r="G540" s="4" t="s">
        <v>59</v>
      </c>
      <c r="H540" s="15" t="s">
        <v>3102</v>
      </c>
      <c r="I540" s="14"/>
      <c r="J540" s="14"/>
      <c r="K540" s="14"/>
      <c r="L540" s="14"/>
    </row>
    <row r="541" ht="15.75" customHeight="1">
      <c r="A541" s="8"/>
      <c r="B541" s="14" t="s">
        <v>3170</v>
      </c>
      <c r="C541" s="5">
        <v>240000.0</v>
      </c>
      <c r="D541" s="5">
        <v>0.0</v>
      </c>
      <c r="E541" s="5">
        <f t="shared" si="1"/>
        <v>24618630</v>
      </c>
      <c r="F541" s="4" t="s">
        <v>2464</v>
      </c>
      <c r="G541" s="4" t="s">
        <v>59</v>
      </c>
      <c r="H541" s="15" t="s">
        <v>3102</v>
      </c>
      <c r="I541" s="14"/>
      <c r="J541" s="14"/>
      <c r="K541" s="14"/>
      <c r="L541" s="14"/>
    </row>
    <row r="542" ht="15.75" customHeight="1">
      <c r="A542" s="8"/>
      <c r="B542" s="14" t="s">
        <v>3171</v>
      </c>
      <c r="C542" s="5">
        <v>473000.0</v>
      </c>
      <c r="D542" s="5">
        <v>0.0</v>
      </c>
      <c r="E542" s="5">
        <f t="shared" si="1"/>
        <v>24145630</v>
      </c>
      <c r="F542" s="4" t="s">
        <v>2464</v>
      </c>
      <c r="G542" s="4" t="s">
        <v>59</v>
      </c>
      <c r="H542" s="15" t="s">
        <v>3102</v>
      </c>
      <c r="I542" s="14"/>
      <c r="J542" s="14"/>
      <c r="K542" s="14"/>
      <c r="L542" s="14"/>
    </row>
    <row r="543" ht="15.75" customHeight="1">
      <c r="A543" s="8"/>
      <c r="B543" s="14" t="s">
        <v>3172</v>
      </c>
      <c r="C543" s="5">
        <v>286000.0</v>
      </c>
      <c r="D543" s="5">
        <v>0.0</v>
      </c>
      <c r="E543" s="5">
        <f t="shared" si="1"/>
        <v>23859630</v>
      </c>
      <c r="F543" s="4" t="s">
        <v>2464</v>
      </c>
      <c r="G543" s="4" t="s">
        <v>59</v>
      </c>
      <c r="H543" s="15" t="s">
        <v>3102</v>
      </c>
      <c r="I543" s="14"/>
      <c r="J543" s="14"/>
      <c r="K543" s="14"/>
      <c r="L543" s="14"/>
    </row>
    <row r="544" ht="15.75" customHeight="1">
      <c r="A544" s="8"/>
      <c r="B544" s="14" t="s">
        <v>3162</v>
      </c>
      <c r="C544" s="5">
        <v>2500.0</v>
      </c>
      <c r="D544" s="5">
        <v>0.0</v>
      </c>
      <c r="E544" s="5">
        <f t="shared" si="1"/>
        <v>23857130</v>
      </c>
      <c r="F544" s="4" t="s">
        <v>2464</v>
      </c>
      <c r="G544" s="4" t="s">
        <v>59</v>
      </c>
      <c r="H544" s="15" t="s">
        <v>3102</v>
      </c>
      <c r="I544" s="14"/>
      <c r="J544" s="14"/>
      <c r="K544" s="14"/>
      <c r="L544" s="14"/>
    </row>
    <row r="545" ht="15.75" customHeight="1">
      <c r="A545" s="8"/>
      <c r="B545" s="14" t="s">
        <v>3173</v>
      </c>
      <c r="C545" s="5">
        <v>300000.0</v>
      </c>
      <c r="D545" s="5">
        <v>0.0</v>
      </c>
      <c r="E545" s="5">
        <f t="shared" si="1"/>
        <v>23557130</v>
      </c>
      <c r="F545" s="4" t="s">
        <v>2464</v>
      </c>
      <c r="G545" s="4" t="s">
        <v>59</v>
      </c>
      <c r="H545" s="15" t="s">
        <v>3102</v>
      </c>
      <c r="I545" s="14"/>
      <c r="J545" s="14"/>
      <c r="K545" s="14"/>
      <c r="L545" s="14"/>
    </row>
    <row r="546" ht="15.75" customHeight="1">
      <c r="A546" s="8"/>
      <c r="B546" s="14" t="s">
        <v>3174</v>
      </c>
      <c r="C546" s="5">
        <v>1.0E7</v>
      </c>
      <c r="D546" s="5">
        <v>0.0</v>
      </c>
      <c r="E546" s="5">
        <f t="shared" si="1"/>
        <v>13557130</v>
      </c>
      <c r="F546" s="4" t="s">
        <v>2464</v>
      </c>
      <c r="G546" s="4" t="s">
        <v>59</v>
      </c>
      <c r="H546" s="15" t="s">
        <v>3102</v>
      </c>
      <c r="I546" s="14"/>
      <c r="J546" s="14"/>
      <c r="K546" s="14"/>
      <c r="L546" s="14"/>
    </row>
    <row r="547" ht="15.75" customHeight="1">
      <c r="A547" s="8"/>
      <c r="B547" s="14" t="s">
        <v>3162</v>
      </c>
      <c r="C547" s="5">
        <v>2500.0</v>
      </c>
      <c r="D547" s="5">
        <v>0.0</v>
      </c>
      <c r="E547" s="5">
        <f t="shared" si="1"/>
        <v>13554630</v>
      </c>
      <c r="F547" s="4" t="s">
        <v>2464</v>
      </c>
      <c r="G547" s="4" t="s">
        <v>59</v>
      </c>
      <c r="H547" s="15" t="s">
        <v>3102</v>
      </c>
      <c r="I547" s="14"/>
      <c r="J547" s="14"/>
      <c r="K547" s="14"/>
      <c r="L547" s="14"/>
    </row>
    <row r="548" ht="15.75" customHeight="1">
      <c r="A548" s="8"/>
      <c r="B548" s="14" t="s">
        <v>3175</v>
      </c>
      <c r="C548" s="5">
        <v>228000.0</v>
      </c>
      <c r="D548" s="5">
        <v>0.0</v>
      </c>
      <c r="E548" s="5">
        <f t="shared" si="1"/>
        <v>13326630</v>
      </c>
      <c r="F548" s="4" t="s">
        <v>2464</v>
      </c>
      <c r="G548" s="4" t="s">
        <v>59</v>
      </c>
      <c r="H548" s="15" t="s">
        <v>3102</v>
      </c>
      <c r="I548" s="14"/>
      <c r="J548" s="14"/>
      <c r="K548" s="14"/>
      <c r="L548" s="14"/>
    </row>
    <row r="549" ht="15.75" customHeight="1">
      <c r="A549" s="8"/>
      <c r="B549" s="14" t="s">
        <v>3162</v>
      </c>
      <c r="C549" s="5">
        <v>2500.0</v>
      </c>
      <c r="D549" s="5">
        <v>0.0</v>
      </c>
      <c r="E549" s="5">
        <f t="shared" si="1"/>
        <v>13324130</v>
      </c>
      <c r="F549" s="4" t="s">
        <v>2464</v>
      </c>
      <c r="G549" s="4" t="s">
        <v>59</v>
      </c>
      <c r="H549" s="15" t="s">
        <v>3102</v>
      </c>
      <c r="I549" s="14"/>
      <c r="J549" s="14"/>
      <c r="K549" s="14"/>
      <c r="L549" s="14"/>
    </row>
    <row r="550" ht="15.75" customHeight="1">
      <c r="A550" s="8"/>
      <c r="B550" s="14" t="s">
        <v>3176</v>
      </c>
      <c r="C550" s="5">
        <v>21000.0</v>
      </c>
      <c r="D550" s="5">
        <v>0.0</v>
      </c>
      <c r="E550" s="5">
        <f t="shared" si="1"/>
        <v>13303130</v>
      </c>
      <c r="F550" s="4" t="s">
        <v>2464</v>
      </c>
      <c r="G550" s="4" t="s">
        <v>59</v>
      </c>
      <c r="H550" s="15" t="s">
        <v>3102</v>
      </c>
      <c r="I550" s="14"/>
      <c r="J550" s="14"/>
      <c r="K550" s="14"/>
      <c r="L550" s="14"/>
    </row>
    <row r="551" ht="15.75" customHeight="1">
      <c r="A551" s="8"/>
      <c r="B551" s="14" t="s">
        <v>3177</v>
      </c>
      <c r="C551" s="5">
        <v>140000.0</v>
      </c>
      <c r="D551" s="5">
        <v>0.0</v>
      </c>
      <c r="E551" s="5">
        <f t="shared" si="1"/>
        <v>13163130</v>
      </c>
      <c r="F551" s="4" t="s">
        <v>2464</v>
      </c>
      <c r="G551" s="4" t="s">
        <v>59</v>
      </c>
      <c r="H551" s="15" t="s">
        <v>3102</v>
      </c>
      <c r="I551" s="14"/>
      <c r="J551" s="14"/>
      <c r="K551" s="14"/>
      <c r="L551" s="14"/>
    </row>
    <row r="552" ht="15.75" customHeight="1">
      <c r="A552" s="8"/>
      <c r="B552" s="14" t="s">
        <v>3178</v>
      </c>
      <c r="C552" s="5">
        <v>4500000.0</v>
      </c>
      <c r="D552" s="5">
        <v>0.0</v>
      </c>
      <c r="E552" s="5">
        <f t="shared" si="1"/>
        <v>8663130</v>
      </c>
      <c r="F552" s="4" t="s">
        <v>2464</v>
      </c>
      <c r="G552" s="4" t="s">
        <v>59</v>
      </c>
      <c r="H552" s="15" t="s">
        <v>3102</v>
      </c>
      <c r="I552" s="14"/>
      <c r="J552" s="14"/>
      <c r="K552" s="14"/>
      <c r="L552" s="14"/>
    </row>
    <row r="553" ht="15.75" customHeight="1">
      <c r="A553" s="8"/>
      <c r="B553" s="14" t="s">
        <v>3179</v>
      </c>
      <c r="C553" s="5">
        <v>1800000.0</v>
      </c>
      <c r="D553" s="5">
        <v>0.0</v>
      </c>
      <c r="E553" s="5">
        <f t="shared" si="1"/>
        <v>6863130</v>
      </c>
      <c r="F553" s="4" t="s">
        <v>2464</v>
      </c>
      <c r="G553" s="4" t="s">
        <v>59</v>
      </c>
      <c r="H553" s="15" t="s">
        <v>3102</v>
      </c>
      <c r="I553" s="14"/>
      <c r="J553" s="14"/>
      <c r="K553" s="14"/>
      <c r="L553" s="14"/>
    </row>
    <row r="554" ht="15.75" customHeight="1">
      <c r="A554" s="8"/>
      <c r="B554" s="14" t="s">
        <v>3180</v>
      </c>
      <c r="C554" s="5">
        <v>900000.0</v>
      </c>
      <c r="D554" s="5">
        <v>0.0</v>
      </c>
      <c r="E554" s="5">
        <f t="shared" si="1"/>
        <v>5963130</v>
      </c>
      <c r="F554" s="4" t="s">
        <v>2464</v>
      </c>
      <c r="G554" s="4" t="s">
        <v>59</v>
      </c>
      <c r="H554" s="15" t="s">
        <v>3102</v>
      </c>
      <c r="I554" s="14"/>
      <c r="J554" s="14"/>
      <c r="K554" s="14"/>
      <c r="L554" s="14"/>
    </row>
    <row r="555" ht="15.75" customHeight="1">
      <c r="A555" s="8"/>
      <c r="B555" s="14" t="s">
        <v>3181</v>
      </c>
      <c r="C555" s="5">
        <v>2000000.0</v>
      </c>
      <c r="D555" s="5">
        <v>0.0</v>
      </c>
      <c r="E555" s="5">
        <f t="shared" si="1"/>
        <v>3963130</v>
      </c>
      <c r="F555" s="4" t="s">
        <v>2464</v>
      </c>
      <c r="G555" s="4" t="s">
        <v>59</v>
      </c>
      <c r="H555" s="15" t="s">
        <v>3102</v>
      </c>
      <c r="I555" s="14"/>
      <c r="J555" s="14"/>
      <c r="K555" s="14"/>
      <c r="L555" s="14"/>
    </row>
    <row r="556" ht="15.75" customHeight="1">
      <c r="A556" s="8"/>
      <c r="B556" s="14" t="s">
        <v>3182</v>
      </c>
      <c r="C556" s="5">
        <v>21000.0</v>
      </c>
      <c r="D556" s="5">
        <v>0.0</v>
      </c>
      <c r="E556" s="5">
        <f t="shared" si="1"/>
        <v>3942130</v>
      </c>
      <c r="F556" s="4" t="s">
        <v>2464</v>
      </c>
      <c r="G556" s="4" t="s">
        <v>59</v>
      </c>
      <c r="H556" s="15" t="s">
        <v>3102</v>
      </c>
      <c r="I556" s="14"/>
      <c r="J556" s="14"/>
      <c r="K556" s="14"/>
      <c r="L556" s="14"/>
    </row>
    <row r="557" ht="15.75" customHeight="1">
      <c r="A557" s="8"/>
      <c r="B557" s="14" t="s">
        <v>3183</v>
      </c>
      <c r="C557" s="5">
        <v>1830000.0</v>
      </c>
      <c r="D557" s="5">
        <v>0.0</v>
      </c>
      <c r="E557" s="5">
        <f t="shared" si="1"/>
        <v>2112130</v>
      </c>
      <c r="F557" s="4" t="s">
        <v>2464</v>
      </c>
      <c r="G557" s="4" t="s">
        <v>59</v>
      </c>
      <c r="H557" s="15" t="s">
        <v>3102</v>
      </c>
      <c r="I557" s="14"/>
      <c r="J557" s="14"/>
      <c r="K557" s="14"/>
      <c r="L557" s="14"/>
    </row>
    <row r="558" ht="15.75" customHeight="1">
      <c r="A558" s="8"/>
      <c r="B558" s="14" t="s">
        <v>3184</v>
      </c>
      <c r="C558" s="5">
        <v>5000.0</v>
      </c>
      <c r="D558" s="5">
        <v>0.0</v>
      </c>
      <c r="E558" s="5">
        <f t="shared" si="1"/>
        <v>2107130</v>
      </c>
      <c r="F558" s="4" t="s">
        <v>2464</v>
      </c>
      <c r="G558" s="4" t="s">
        <v>59</v>
      </c>
      <c r="H558" s="15" t="s">
        <v>3102</v>
      </c>
      <c r="I558" s="14"/>
      <c r="J558" s="14"/>
      <c r="K558" s="14"/>
      <c r="L558" s="14"/>
    </row>
    <row r="559" ht="15.75" customHeight="1">
      <c r="A559" s="8"/>
      <c r="B559" s="14" t="s">
        <v>3185</v>
      </c>
      <c r="C559" s="5">
        <v>980000.0</v>
      </c>
      <c r="D559" s="5">
        <v>0.0</v>
      </c>
      <c r="E559" s="5">
        <f t="shared" si="1"/>
        <v>1127130</v>
      </c>
      <c r="F559" s="4" t="s">
        <v>2464</v>
      </c>
      <c r="G559" s="4" t="s">
        <v>59</v>
      </c>
      <c r="H559" s="15" t="s">
        <v>3102</v>
      </c>
      <c r="I559" s="14"/>
      <c r="J559" s="14"/>
      <c r="K559" s="14"/>
      <c r="L559" s="14"/>
    </row>
    <row r="560" ht="15.75" customHeight="1">
      <c r="A560" s="8"/>
      <c r="B560" s="14" t="s">
        <v>3186</v>
      </c>
      <c r="C560" s="5">
        <v>427130.0</v>
      </c>
      <c r="D560" s="5">
        <v>0.0</v>
      </c>
      <c r="E560" s="5">
        <f t="shared" si="1"/>
        <v>700000</v>
      </c>
      <c r="F560" s="4" t="s">
        <v>2464</v>
      </c>
      <c r="G560" s="4" t="s">
        <v>59</v>
      </c>
      <c r="H560" s="15" t="s">
        <v>3102</v>
      </c>
      <c r="I560" s="14"/>
      <c r="J560" s="14"/>
      <c r="K560" s="14"/>
      <c r="L560" s="14"/>
    </row>
    <row r="561" ht="15.75" customHeight="1">
      <c r="A561" s="8"/>
      <c r="B561" s="14" t="s">
        <v>3187</v>
      </c>
      <c r="C561" s="5">
        <v>600000.0</v>
      </c>
      <c r="D561" s="5">
        <v>0.0</v>
      </c>
      <c r="E561" s="5">
        <f t="shared" si="1"/>
        <v>100000</v>
      </c>
      <c r="F561" s="4" t="s">
        <v>2464</v>
      </c>
      <c r="G561" s="4" t="s">
        <v>59</v>
      </c>
      <c r="H561" s="15" t="s">
        <v>3102</v>
      </c>
      <c r="I561" s="14"/>
      <c r="J561" s="14"/>
      <c r="K561" s="14"/>
      <c r="L561" s="14"/>
    </row>
    <row r="562" ht="15.75" customHeight="1">
      <c r="A562" s="8"/>
      <c r="B562" s="14" t="s">
        <v>3188</v>
      </c>
      <c r="C562" s="5">
        <v>100000.0</v>
      </c>
      <c r="D562" s="5">
        <v>0.0</v>
      </c>
      <c r="E562" s="5">
        <f t="shared" si="1"/>
        <v>0</v>
      </c>
      <c r="F562" s="4" t="s">
        <v>2464</v>
      </c>
      <c r="G562" s="4" t="s">
        <v>59</v>
      </c>
      <c r="H562" s="15" t="s">
        <v>3102</v>
      </c>
      <c r="I562" s="14"/>
      <c r="J562" s="14"/>
      <c r="K562" s="14"/>
      <c r="L562" s="14"/>
    </row>
    <row r="563" ht="15.75" customHeight="1">
      <c r="A563" s="8">
        <v>46023.0</v>
      </c>
      <c r="B563" s="14" t="s">
        <v>2451</v>
      </c>
      <c r="C563" s="5">
        <v>0.0</v>
      </c>
      <c r="D563" s="5">
        <v>3.2204111E7</v>
      </c>
      <c r="E563" s="5">
        <f t="shared" si="1"/>
        <v>32204111</v>
      </c>
      <c r="F563" s="14" t="s">
        <v>24</v>
      </c>
      <c r="G563" s="14" t="s">
        <v>125</v>
      </c>
      <c r="H563" s="15" t="s">
        <v>1888</v>
      </c>
      <c r="I563" s="14"/>
      <c r="J563" s="14"/>
      <c r="K563" s="14"/>
      <c r="L563" s="14"/>
    </row>
    <row r="564" ht="15.75" customHeight="1">
      <c r="A564" s="8"/>
      <c r="B564" s="14" t="s">
        <v>3189</v>
      </c>
      <c r="C564" s="5">
        <v>1795335.0</v>
      </c>
      <c r="D564" s="5">
        <v>0.0</v>
      </c>
      <c r="E564" s="5">
        <f t="shared" si="1"/>
        <v>30408776</v>
      </c>
      <c r="F564" s="4" t="s">
        <v>2464</v>
      </c>
      <c r="G564" s="4" t="s">
        <v>59</v>
      </c>
      <c r="H564" s="15" t="s">
        <v>1888</v>
      </c>
      <c r="I564" s="14"/>
      <c r="J564" s="14"/>
      <c r="K564" s="14"/>
      <c r="L564" s="14"/>
    </row>
    <row r="565" ht="15.75" customHeight="1">
      <c r="A565" s="8"/>
      <c r="B565" s="14" t="s">
        <v>3190</v>
      </c>
      <c r="C565" s="5">
        <v>6095260.0</v>
      </c>
      <c r="D565" s="5">
        <v>0.0</v>
      </c>
      <c r="E565" s="5">
        <f t="shared" si="1"/>
        <v>24313516</v>
      </c>
      <c r="F565" s="4" t="s">
        <v>2464</v>
      </c>
      <c r="G565" s="4" t="s">
        <v>59</v>
      </c>
      <c r="H565" s="15" t="s">
        <v>1888</v>
      </c>
      <c r="I565" s="14"/>
      <c r="J565" s="14"/>
      <c r="K565" s="14"/>
      <c r="L565" s="14"/>
    </row>
    <row r="566" ht="15.75" customHeight="1">
      <c r="A566" s="8"/>
      <c r="B566" s="14" t="s">
        <v>3191</v>
      </c>
      <c r="C566" s="5">
        <v>1875125.0</v>
      </c>
      <c r="D566" s="5">
        <v>0.0</v>
      </c>
      <c r="E566" s="5">
        <f t="shared" si="1"/>
        <v>22438391</v>
      </c>
      <c r="F566" s="4" t="s">
        <v>2464</v>
      </c>
      <c r="G566" s="4" t="s">
        <v>59</v>
      </c>
      <c r="H566" s="15" t="s">
        <v>1888</v>
      </c>
      <c r="I566" s="14"/>
      <c r="J566" s="14"/>
      <c r="K566" s="14"/>
      <c r="L566" s="14"/>
    </row>
    <row r="567" ht="15.75" customHeight="1">
      <c r="A567" s="8"/>
      <c r="B567" s="14" t="s">
        <v>3192</v>
      </c>
      <c r="C567" s="5">
        <v>1131200.0</v>
      </c>
      <c r="D567" s="5">
        <v>0.0</v>
      </c>
      <c r="E567" s="5">
        <f t="shared" si="1"/>
        <v>21307191</v>
      </c>
      <c r="F567" s="4" t="s">
        <v>2464</v>
      </c>
      <c r="G567" s="4" t="s">
        <v>59</v>
      </c>
      <c r="H567" s="15" t="s">
        <v>1888</v>
      </c>
      <c r="I567" s="14"/>
      <c r="J567" s="14"/>
      <c r="K567" s="14"/>
      <c r="L567" s="14"/>
    </row>
    <row r="568" ht="15.75" customHeight="1">
      <c r="A568" s="8"/>
      <c r="B568" s="14" t="s">
        <v>3193</v>
      </c>
      <c r="C568" s="5">
        <v>1875125.0</v>
      </c>
      <c r="D568" s="5">
        <v>0.0</v>
      </c>
      <c r="E568" s="5">
        <f t="shared" si="1"/>
        <v>19432066</v>
      </c>
      <c r="F568" s="4" t="s">
        <v>2464</v>
      </c>
      <c r="G568" s="4" t="s">
        <v>59</v>
      </c>
      <c r="H568" s="15" t="s">
        <v>1888</v>
      </c>
      <c r="I568" s="14"/>
      <c r="J568" s="14"/>
      <c r="K568" s="14"/>
      <c r="L568" s="14"/>
    </row>
    <row r="569" ht="15.75" customHeight="1">
      <c r="A569" s="8"/>
      <c r="B569" s="14" t="s">
        <v>3194</v>
      </c>
      <c r="C569" s="5">
        <v>9768000.0</v>
      </c>
      <c r="D569" s="5">
        <v>0.0</v>
      </c>
      <c r="E569" s="5">
        <f t="shared" si="1"/>
        <v>9664066</v>
      </c>
      <c r="F569" s="4" t="s">
        <v>2464</v>
      </c>
      <c r="G569" s="4" t="s">
        <v>59</v>
      </c>
      <c r="H569" s="15" t="s">
        <v>1888</v>
      </c>
      <c r="I569" s="14"/>
      <c r="J569" s="14"/>
      <c r="K569" s="14"/>
      <c r="L569" s="14"/>
    </row>
    <row r="570" ht="15.75" customHeight="1">
      <c r="A570" s="8"/>
      <c r="B570" s="14" t="s">
        <v>3195</v>
      </c>
      <c r="C570" s="5">
        <v>1257733.0</v>
      </c>
      <c r="D570" s="5">
        <v>0.0</v>
      </c>
      <c r="E570" s="5">
        <f t="shared" si="1"/>
        <v>8406333</v>
      </c>
      <c r="F570" s="4" t="s">
        <v>2464</v>
      </c>
      <c r="G570" s="4" t="s">
        <v>59</v>
      </c>
      <c r="H570" s="15" t="s">
        <v>1888</v>
      </c>
      <c r="I570" s="14"/>
      <c r="J570" s="14"/>
      <c r="K570" s="14"/>
      <c r="L570" s="14"/>
    </row>
    <row r="571" ht="15.75" customHeight="1">
      <c r="A571" s="8"/>
      <c r="B571" s="14" t="s">
        <v>3196</v>
      </c>
      <c r="C571" s="5">
        <v>1086706.0</v>
      </c>
      <c r="D571" s="5">
        <v>0.0</v>
      </c>
      <c r="E571" s="5">
        <f t="shared" si="1"/>
        <v>7319627</v>
      </c>
      <c r="F571" s="4" t="s">
        <v>2464</v>
      </c>
      <c r="G571" s="4" t="s">
        <v>59</v>
      </c>
      <c r="H571" s="15" t="s">
        <v>1888</v>
      </c>
      <c r="I571" s="14"/>
      <c r="J571" s="14"/>
      <c r="K571" s="14"/>
      <c r="L571" s="14"/>
    </row>
    <row r="572" ht="15.75" customHeight="1">
      <c r="A572" s="8"/>
      <c r="B572" s="14" t="s">
        <v>3197</v>
      </c>
      <c r="C572" s="5">
        <v>1086706.0</v>
      </c>
      <c r="D572" s="5">
        <v>0.0</v>
      </c>
      <c r="E572" s="5">
        <f t="shared" si="1"/>
        <v>6232921</v>
      </c>
      <c r="F572" s="4" t="s">
        <v>2464</v>
      </c>
      <c r="G572" s="4" t="s">
        <v>59</v>
      </c>
      <c r="H572" s="15" t="s">
        <v>1888</v>
      </c>
      <c r="I572" s="14"/>
      <c r="J572" s="14"/>
      <c r="K572" s="14"/>
      <c r="L572" s="14"/>
    </row>
    <row r="573" ht="15.75" customHeight="1">
      <c r="A573" s="8"/>
      <c r="B573" s="14" t="s">
        <v>3198</v>
      </c>
      <c r="C573" s="5">
        <v>1086706.0</v>
      </c>
      <c r="D573" s="5">
        <v>0.0</v>
      </c>
      <c r="E573" s="5">
        <f t="shared" si="1"/>
        <v>5146215</v>
      </c>
      <c r="F573" s="4" t="s">
        <v>2464</v>
      </c>
      <c r="G573" s="4" t="s">
        <v>59</v>
      </c>
      <c r="H573" s="15" t="s">
        <v>1888</v>
      </c>
      <c r="I573" s="14"/>
      <c r="J573" s="14"/>
      <c r="K573" s="14"/>
      <c r="L573" s="14"/>
    </row>
    <row r="574" ht="15.75" customHeight="1">
      <c r="A574" s="8"/>
      <c r="B574" s="14" t="s">
        <v>3199</v>
      </c>
      <c r="C574" s="5">
        <v>1328000.0</v>
      </c>
      <c r="D574" s="5">
        <v>0.0</v>
      </c>
      <c r="E574" s="5">
        <f t="shared" si="1"/>
        <v>3818215</v>
      </c>
      <c r="F574" s="4" t="s">
        <v>2464</v>
      </c>
      <c r="G574" s="4" t="s">
        <v>59</v>
      </c>
      <c r="H574" s="15" t="s">
        <v>1888</v>
      </c>
      <c r="I574" s="14"/>
      <c r="J574" s="14"/>
      <c r="K574" s="14"/>
      <c r="L574" s="14"/>
    </row>
    <row r="575" ht="15.75" customHeight="1">
      <c r="A575" s="8"/>
      <c r="B575" s="14" t="s">
        <v>3200</v>
      </c>
      <c r="C575" s="5">
        <v>2626000.0</v>
      </c>
      <c r="D575" s="5">
        <v>0.0</v>
      </c>
      <c r="E575" s="5">
        <f t="shared" si="1"/>
        <v>1192215</v>
      </c>
      <c r="F575" s="4" t="s">
        <v>2464</v>
      </c>
      <c r="G575" s="4" t="s">
        <v>59</v>
      </c>
      <c r="H575" s="15" t="s">
        <v>1888</v>
      </c>
      <c r="I575" s="14"/>
      <c r="J575" s="14"/>
      <c r="K575" s="14"/>
      <c r="L575" s="14"/>
    </row>
    <row r="576" ht="15.75" customHeight="1">
      <c r="A576" s="8"/>
      <c r="B576" s="14" t="s">
        <v>3201</v>
      </c>
      <c r="C576" s="5">
        <v>1116987.0</v>
      </c>
      <c r="D576" s="5">
        <v>0.0</v>
      </c>
      <c r="E576" s="5">
        <f t="shared" si="1"/>
        <v>75228</v>
      </c>
      <c r="F576" s="4" t="s">
        <v>2464</v>
      </c>
      <c r="G576" s="4" t="s">
        <v>59</v>
      </c>
      <c r="H576" s="15" t="s">
        <v>1888</v>
      </c>
      <c r="I576" s="14"/>
      <c r="J576" s="14"/>
      <c r="K576" s="14"/>
      <c r="L576" s="14"/>
    </row>
    <row r="577" ht="15.75" customHeight="1">
      <c r="A577" s="8"/>
      <c r="B577" s="14" t="s">
        <v>3202</v>
      </c>
      <c r="C577" s="5">
        <v>1177733.0</v>
      </c>
      <c r="D577" s="5">
        <v>0.0</v>
      </c>
      <c r="E577" s="5">
        <f t="shared" si="1"/>
        <v>-1102505</v>
      </c>
      <c r="F577" s="4" t="s">
        <v>2464</v>
      </c>
      <c r="G577" s="4" t="s">
        <v>59</v>
      </c>
      <c r="H577" s="15" t="s">
        <v>1888</v>
      </c>
      <c r="I577" s="14"/>
      <c r="J577" s="14"/>
      <c r="K577" s="14"/>
      <c r="L577" s="14"/>
    </row>
    <row r="578" ht="15.75" customHeight="1">
      <c r="A578" s="8"/>
      <c r="B578" s="14" t="s">
        <v>3203</v>
      </c>
      <c r="C578" s="5">
        <v>-1102505.0</v>
      </c>
      <c r="D578" s="5">
        <v>0.0</v>
      </c>
      <c r="E578" s="5">
        <f t="shared" si="1"/>
        <v>0</v>
      </c>
      <c r="F578" s="4" t="s">
        <v>2464</v>
      </c>
      <c r="G578" s="4" t="s">
        <v>59</v>
      </c>
      <c r="H578" s="15" t="s">
        <v>1888</v>
      </c>
      <c r="I578" s="14"/>
      <c r="J578" s="14"/>
      <c r="K578" s="14"/>
      <c r="L578" s="14"/>
    </row>
    <row r="579" ht="15.75" customHeight="1">
      <c r="A579" s="8">
        <v>46023.0</v>
      </c>
      <c r="B579" s="14" t="s">
        <v>2451</v>
      </c>
      <c r="C579" s="5">
        <v>0.0</v>
      </c>
      <c r="D579" s="5">
        <v>4.9981182E7</v>
      </c>
      <c r="E579" s="5">
        <f t="shared" si="1"/>
        <v>49981182</v>
      </c>
      <c r="F579" s="14" t="s">
        <v>24</v>
      </c>
      <c r="G579" s="14" t="s">
        <v>125</v>
      </c>
      <c r="H579" s="15" t="s">
        <v>3204</v>
      </c>
      <c r="I579" s="14"/>
      <c r="J579" s="14"/>
      <c r="K579" s="14"/>
      <c r="L579" s="14"/>
    </row>
    <row r="580" ht="15.75" customHeight="1">
      <c r="A580" s="8"/>
      <c r="B580" s="14" t="s">
        <v>3205</v>
      </c>
      <c r="C580" s="5">
        <v>-3.75E7</v>
      </c>
      <c r="D580" s="5">
        <v>0.0</v>
      </c>
      <c r="E580" s="5">
        <f t="shared" si="1"/>
        <v>87481182</v>
      </c>
      <c r="F580" s="4" t="s">
        <v>2464</v>
      </c>
      <c r="G580" s="4" t="s">
        <v>59</v>
      </c>
      <c r="H580" s="15" t="s">
        <v>3204</v>
      </c>
      <c r="I580" s="14"/>
      <c r="J580" s="14"/>
      <c r="K580" s="14"/>
      <c r="L580" s="14"/>
    </row>
    <row r="581" ht="15.75" customHeight="1">
      <c r="A581" s="8"/>
      <c r="B581" s="14" t="s">
        <v>3206</v>
      </c>
      <c r="C581" s="5">
        <v>5.0E7</v>
      </c>
      <c r="D581" s="5">
        <v>0.0</v>
      </c>
      <c r="E581" s="5">
        <f t="shared" si="1"/>
        <v>37481182</v>
      </c>
      <c r="F581" s="4" t="s">
        <v>2464</v>
      </c>
      <c r="G581" s="4" t="s">
        <v>59</v>
      </c>
      <c r="H581" s="15" t="s">
        <v>3204</v>
      </c>
      <c r="I581" s="14"/>
      <c r="J581" s="14"/>
      <c r="K581" s="14"/>
      <c r="L581" s="14"/>
    </row>
    <row r="582" ht="15.75" customHeight="1">
      <c r="A582" s="8"/>
      <c r="B582" s="14" t="s">
        <v>3207</v>
      </c>
      <c r="C582" s="5">
        <v>2.0288382E7</v>
      </c>
      <c r="D582" s="5">
        <v>0.0</v>
      </c>
      <c r="E582" s="5">
        <f t="shared" si="1"/>
        <v>17192800</v>
      </c>
      <c r="F582" s="4" t="s">
        <v>2464</v>
      </c>
      <c r="G582" s="4" t="s">
        <v>59</v>
      </c>
      <c r="H582" s="15" t="s">
        <v>3204</v>
      </c>
      <c r="I582" s="14"/>
      <c r="J582" s="14"/>
      <c r="K582" s="14"/>
      <c r="L582" s="14"/>
    </row>
    <row r="583" ht="15.75" customHeight="1">
      <c r="A583" s="8"/>
      <c r="B583" s="14" t="s">
        <v>3208</v>
      </c>
      <c r="C583" s="5">
        <v>175100.0</v>
      </c>
      <c r="D583" s="5">
        <v>0.0</v>
      </c>
      <c r="E583" s="5">
        <f t="shared" si="1"/>
        <v>17017700</v>
      </c>
      <c r="F583" s="4" t="s">
        <v>2464</v>
      </c>
      <c r="G583" s="4" t="s">
        <v>59</v>
      </c>
      <c r="H583" s="15" t="s">
        <v>3204</v>
      </c>
      <c r="I583" s="14"/>
      <c r="J583" s="14"/>
      <c r="K583" s="14"/>
      <c r="L583" s="14"/>
    </row>
    <row r="584" ht="15.75" customHeight="1">
      <c r="A584" s="8"/>
      <c r="B584" s="14" t="s">
        <v>3208</v>
      </c>
      <c r="C584" s="5">
        <v>175100.0</v>
      </c>
      <c r="D584" s="5">
        <v>0.0</v>
      </c>
      <c r="E584" s="5">
        <f t="shared" si="1"/>
        <v>16842600</v>
      </c>
      <c r="F584" s="4" t="s">
        <v>2464</v>
      </c>
      <c r="G584" s="4" t="s">
        <v>59</v>
      </c>
      <c r="H584" s="15" t="s">
        <v>3204</v>
      </c>
      <c r="I584" s="14"/>
      <c r="J584" s="14"/>
      <c r="K584" s="14"/>
      <c r="L584" s="14"/>
    </row>
    <row r="585" ht="15.75" customHeight="1">
      <c r="A585" s="8"/>
      <c r="B585" s="14" t="s">
        <v>3209</v>
      </c>
      <c r="C585" s="5">
        <v>1.1452E7</v>
      </c>
      <c r="D585" s="5">
        <v>0.0</v>
      </c>
      <c r="E585" s="5">
        <f t="shared" si="1"/>
        <v>5390600</v>
      </c>
      <c r="F585" s="4" t="s">
        <v>2464</v>
      </c>
      <c r="G585" s="4" t="s">
        <v>59</v>
      </c>
      <c r="H585" s="15" t="s">
        <v>3204</v>
      </c>
      <c r="I585" s="14"/>
      <c r="J585" s="14"/>
      <c r="K585" s="14"/>
      <c r="L585" s="14"/>
    </row>
    <row r="586" ht="15.75" customHeight="1">
      <c r="A586" s="8"/>
      <c r="B586" s="14" t="s">
        <v>3210</v>
      </c>
      <c r="C586" s="5">
        <v>6000000.0</v>
      </c>
      <c r="D586" s="5">
        <v>0.0</v>
      </c>
      <c r="E586" s="5">
        <f t="shared" si="1"/>
        <v>-609400</v>
      </c>
      <c r="F586" s="4" t="s">
        <v>2464</v>
      </c>
      <c r="G586" s="4" t="s">
        <v>59</v>
      </c>
      <c r="H586" s="15" t="s">
        <v>3204</v>
      </c>
      <c r="I586" s="14"/>
      <c r="J586" s="14"/>
      <c r="K586" s="14"/>
      <c r="L586" s="14"/>
    </row>
    <row r="587" ht="15.75" customHeight="1">
      <c r="A587" s="8"/>
      <c r="B587" s="14" t="s">
        <v>3211</v>
      </c>
      <c r="C587" s="5">
        <v>-609400.0</v>
      </c>
      <c r="D587" s="5">
        <v>0.0</v>
      </c>
      <c r="E587" s="5">
        <f t="shared" si="1"/>
        <v>0</v>
      </c>
      <c r="F587" s="4" t="s">
        <v>2464</v>
      </c>
      <c r="G587" s="4" t="s">
        <v>59</v>
      </c>
      <c r="H587" s="15" t="s">
        <v>3204</v>
      </c>
      <c r="I587" s="14"/>
      <c r="J587" s="14"/>
      <c r="K587" s="14"/>
      <c r="L587" s="14"/>
    </row>
    <row r="588" ht="15.75" customHeight="1">
      <c r="A588" s="8">
        <v>46023.0</v>
      </c>
      <c r="B588" s="14" t="s">
        <v>2451</v>
      </c>
      <c r="C588" s="5">
        <v>0.0</v>
      </c>
      <c r="D588" s="5">
        <v>1.9971209E7</v>
      </c>
      <c r="E588" s="5">
        <f t="shared" si="1"/>
        <v>19971209</v>
      </c>
      <c r="F588" s="14" t="s">
        <v>24</v>
      </c>
      <c r="G588" s="14" t="s">
        <v>125</v>
      </c>
      <c r="H588" s="15" t="s">
        <v>165</v>
      </c>
      <c r="I588" s="14"/>
      <c r="J588" s="14"/>
      <c r="K588" s="14"/>
      <c r="L588" s="14"/>
    </row>
    <row r="589" ht="15.75" customHeight="1">
      <c r="A589" s="8"/>
      <c r="B589" s="14" t="s">
        <v>3212</v>
      </c>
      <c r="C589" s="5">
        <v>3240000.0</v>
      </c>
      <c r="D589" s="5">
        <v>0.0</v>
      </c>
      <c r="E589" s="5">
        <f t="shared" si="1"/>
        <v>16731209</v>
      </c>
      <c r="F589" s="4" t="s">
        <v>2464</v>
      </c>
      <c r="G589" s="4" t="s">
        <v>59</v>
      </c>
      <c r="H589" s="15" t="s">
        <v>165</v>
      </c>
      <c r="I589" s="14"/>
      <c r="J589" s="14"/>
      <c r="K589" s="14"/>
      <c r="L589" s="14"/>
    </row>
    <row r="590" ht="15.75" customHeight="1">
      <c r="A590" s="8"/>
      <c r="B590" s="14" t="s">
        <v>3213</v>
      </c>
      <c r="C590" s="5">
        <v>3202500.0</v>
      </c>
      <c r="D590" s="5">
        <v>0.0</v>
      </c>
      <c r="E590" s="5">
        <f t="shared" si="1"/>
        <v>13528709</v>
      </c>
      <c r="F590" s="4" t="s">
        <v>2464</v>
      </c>
      <c r="G590" s="4" t="s">
        <v>59</v>
      </c>
      <c r="H590" s="15" t="s">
        <v>165</v>
      </c>
      <c r="I590" s="14"/>
      <c r="J590" s="14"/>
      <c r="K590" s="14"/>
      <c r="L590" s="14"/>
    </row>
    <row r="591" ht="15.75" customHeight="1">
      <c r="A591" s="8"/>
      <c r="B591" s="14" t="s">
        <v>3214</v>
      </c>
      <c r="C591" s="5">
        <v>2800000.0</v>
      </c>
      <c r="D591" s="5">
        <v>0.0</v>
      </c>
      <c r="E591" s="5">
        <f t="shared" si="1"/>
        <v>10728709</v>
      </c>
      <c r="F591" s="4" t="s">
        <v>2464</v>
      </c>
      <c r="G591" s="4" t="s">
        <v>59</v>
      </c>
      <c r="H591" s="15" t="s">
        <v>165</v>
      </c>
      <c r="I591" s="14"/>
      <c r="J591" s="14"/>
      <c r="K591" s="14"/>
      <c r="L591" s="14"/>
    </row>
    <row r="592" ht="15.75" customHeight="1">
      <c r="A592" s="8"/>
      <c r="B592" s="14" t="s">
        <v>3215</v>
      </c>
      <c r="C592" s="5">
        <v>5808118.0</v>
      </c>
      <c r="D592" s="5">
        <v>0.0</v>
      </c>
      <c r="E592" s="5">
        <f t="shared" si="1"/>
        <v>4920591</v>
      </c>
      <c r="F592" s="4" t="s">
        <v>2464</v>
      </c>
      <c r="G592" s="4" t="s">
        <v>59</v>
      </c>
      <c r="H592" s="15" t="s">
        <v>165</v>
      </c>
      <c r="I592" s="14"/>
      <c r="J592" s="14"/>
      <c r="K592" s="14"/>
      <c r="L592" s="14"/>
    </row>
    <row r="593" ht="15.75" customHeight="1">
      <c r="A593" s="8"/>
      <c r="B593" s="14" t="s">
        <v>3216</v>
      </c>
      <c r="C593" s="5">
        <v>1187813.0</v>
      </c>
      <c r="D593" s="5">
        <v>0.0</v>
      </c>
      <c r="E593" s="5">
        <f t="shared" si="1"/>
        <v>3732778</v>
      </c>
      <c r="F593" s="4" t="s">
        <v>2464</v>
      </c>
      <c r="G593" s="4" t="s">
        <v>59</v>
      </c>
      <c r="H593" s="15" t="s">
        <v>165</v>
      </c>
      <c r="I593" s="14"/>
      <c r="J593" s="14"/>
      <c r="K593" s="14"/>
      <c r="L593" s="14"/>
    </row>
    <row r="594" ht="15.75" customHeight="1">
      <c r="A594" s="8"/>
      <c r="B594" s="14" t="s">
        <v>3217</v>
      </c>
      <c r="C594" s="5">
        <v>760950.0</v>
      </c>
      <c r="D594" s="5">
        <v>0.0</v>
      </c>
      <c r="E594" s="5">
        <f t="shared" si="1"/>
        <v>2971828</v>
      </c>
      <c r="F594" s="4" t="s">
        <v>2464</v>
      </c>
      <c r="G594" s="4" t="s">
        <v>59</v>
      </c>
      <c r="H594" s="15" t="s">
        <v>165</v>
      </c>
      <c r="I594" s="14"/>
      <c r="J594" s="14"/>
      <c r="K594" s="14"/>
      <c r="L594" s="14"/>
    </row>
    <row r="595" ht="15.75" customHeight="1">
      <c r="A595" s="8"/>
      <c r="B595" s="14" t="s">
        <v>3218</v>
      </c>
      <c r="C595" s="5">
        <v>607133.0</v>
      </c>
      <c r="D595" s="5">
        <v>0.0</v>
      </c>
      <c r="E595" s="5">
        <f t="shared" si="1"/>
        <v>2364695</v>
      </c>
      <c r="F595" s="4" t="s">
        <v>2464</v>
      </c>
      <c r="G595" s="4" t="s">
        <v>59</v>
      </c>
      <c r="H595" s="15" t="s">
        <v>165</v>
      </c>
      <c r="I595" s="14"/>
      <c r="J595" s="14"/>
      <c r="K595" s="14"/>
      <c r="L595" s="14"/>
    </row>
    <row r="596" ht="15.75" customHeight="1">
      <c r="A596" s="8"/>
      <c r="B596" s="14" t="s">
        <v>3219</v>
      </c>
      <c r="C596" s="5">
        <v>828830.0</v>
      </c>
      <c r="D596" s="5">
        <v>0.0</v>
      </c>
      <c r="E596" s="5">
        <f t="shared" si="1"/>
        <v>1535865</v>
      </c>
      <c r="F596" s="4" t="s">
        <v>2464</v>
      </c>
      <c r="G596" s="4" t="s">
        <v>59</v>
      </c>
      <c r="H596" s="15" t="s">
        <v>165</v>
      </c>
      <c r="I596" s="14"/>
      <c r="J596" s="14"/>
      <c r="K596" s="14"/>
      <c r="L596" s="14"/>
    </row>
    <row r="597" ht="15.75" customHeight="1">
      <c r="A597" s="8"/>
      <c r="B597" s="14" t="s">
        <v>3220</v>
      </c>
      <c r="C597" s="5">
        <v>828830.0</v>
      </c>
      <c r="D597" s="5">
        <v>0.0</v>
      </c>
      <c r="E597" s="5">
        <f t="shared" si="1"/>
        <v>707035</v>
      </c>
      <c r="F597" s="15" t="s">
        <v>2464</v>
      </c>
      <c r="G597" s="15" t="s">
        <v>59</v>
      </c>
      <c r="H597" s="15" t="s">
        <v>165</v>
      </c>
      <c r="I597" s="14"/>
      <c r="J597" s="14"/>
      <c r="K597" s="14"/>
      <c r="L597" s="14"/>
    </row>
    <row r="598" ht="15.75" customHeight="1">
      <c r="A598" s="8"/>
      <c r="B598" s="14" t="s">
        <v>3221</v>
      </c>
      <c r="C598" s="5">
        <v>922432.0</v>
      </c>
      <c r="D598" s="5">
        <v>0.0</v>
      </c>
      <c r="E598" s="5">
        <f t="shared" si="1"/>
        <v>-215397</v>
      </c>
      <c r="F598" s="15" t="s">
        <v>2464</v>
      </c>
      <c r="G598" s="15" t="s">
        <v>59</v>
      </c>
      <c r="H598" s="15" t="s">
        <v>165</v>
      </c>
      <c r="I598" s="14"/>
      <c r="J598" s="14"/>
      <c r="K598" s="14"/>
      <c r="L598" s="14"/>
    </row>
    <row r="599" ht="15.75" customHeight="1">
      <c r="A599" s="8"/>
      <c r="B599" s="14" t="s">
        <v>3222</v>
      </c>
      <c r="C599" s="5">
        <v>-215397.0</v>
      </c>
      <c r="D599" s="5">
        <v>0.0</v>
      </c>
      <c r="E599" s="5">
        <f t="shared" si="1"/>
        <v>0</v>
      </c>
      <c r="F599" s="15" t="s">
        <v>2464</v>
      </c>
      <c r="G599" s="15" t="s">
        <v>59</v>
      </c>
      <c r="H599" s="15" t="s">
        <v>165</v>
      </c>
      <c r="I599" s="14"/>
      <c r="J599" s="14"/>
      <c r="K599" s="14"/>
      <c r="L599" s="14"/>
    </row>
    <row r="600" ht="15.75" customHeight="1">
      <c r="A600" s="8">
        <v>46023.0</v>
      </c>
      <c r="B600" s="14" t="s">
        <v>2451</v>
      </c>
      <c r="C600" s="5">
        <v>0.0</v>
      </c>
      <c r="D600" s="5">
        <v>5.9894614E7</v>
      </c>
      <c r="E600" s="5">
        <f t="shared" si="1"/>
        <v>59894614</v>
      </c>
      <c r="F600" s="14" t="s">
        <v>24</v>
      </c>
      <c r="G600" s="14" t="s">
        <v>125</v>
      </c>
      <c r="H600" s="15" t="s">
        <v>1890</v>
      </c>
      <c r="I600" s="14"/>
      <c r="J600" s="14"/>
      <c r="K600" s="14"/>
      <c r="L600" s="14"/>
    </row>
    <row r="601" ht="15.75" customHeight="1">
      <c r="A601" s="8"/>
      <c r="B601" s="14" t="s">
        <v>3223</v>
      </c>
      <c r="C601" s="5">
        <v>1.6802989E7</v>
      </c>
      <c r="D601" s="5">
        <v>0.0</v>
      </c>
      <c r="E601" s="5">
        <f t="shared" si="1"/>
        <v>43091625</v>
      </c>
      <c r="F601" s="15" t="s">
        <v>2464</v>
      </c>
      <c r="G601" s="15" t="s">
        <v>59</v>
      </c>
      <c r="H601" s="15" t="s">
        <v>1890</v>
      </c>
      <c r="I601" s="14"/>
      <c r="J601" s="14"/>
      <c r="K601" s="14"/>
      <c r="L601" s="14"/>
    </row>
    <row r="602" ht="15.75" customHeight="1">
      <c r="A602" s="8"/>
      <c r="B602" s="14" t="s">
        <v>3224</v>
      </c>
      <c r="C602" s="5">
        <v>2.2851673E7</v>
      </c>
      <c r="D602" s="5">
        <v>0.0</v>
      </c>
      <c r="E602" s="5">
        <f t="shared" si="1"/>
        <v>20239952</v>
      </c>
      <c r="F602" s="15" t="s">
        <v>2464</v>
      </c>
      <c r="G602" s="15" t="s">
        <v>59</v>
      </c>
      <c r="H602" s="15" t="s">
        <v>1890</v>
      </c>
      <c r="I602" s="14"/>
      <c r="J602" s="14"/>
      <c r="K602" s="14"/>
      <c r="L602" s="14"/>
    </row>
    <row r="603" ht="15.75" customHeight="1">
      <c r="A603" s="8"/>
      <c r="B603" s="14" t="s">
        <v>3225</v>
      </c>
      <c r="C603" s="5">
        <v>3888028.0</v>
      </c>
      <c r="D603" s="5">
        <v>0.0</v>
      </c>
      <c r="E603" s="5">
        <f t="shared" si="1"/>
        <v>16351924</v>
      </c>
      <c r="F603" s="15" t="s">
        <v>2464</v>
      </c>
      <c r="G603" s="15" t="s">
        <v>59</v>
      </c>
      <c r="H603" s="15" t="s">
        <v>1890</v>
      </c>
      <c r="I603" s="14"/>
      <c r="J603" s="14"/>
      <c r="K603" s="14"/>
      <c r="L603" s="14"/>
    </row>
    <row r="604" ht="15.75" customHeight="1">
      <c r="A604" s="8"/>
      <c r="B604" s="14" t="s">
        <v>3226</v>
      </c>
      <c r="C604" s="5">
        <v>8672674.0</v>
      </c>
      <c r="D604" s="5">
        <v>0.0</v>
      </c>
      <c r="E604" s="5">
        <f t="shared" si="1"/>
        <v>7679250</v>
      </c>
      <c r="F604" s="15" t="s">
        <v>2464</v>
      </c>
      <c r="G604" s="15" t="s">
        <v>59</v>
      </c>
      <c r="H604" s="15" t="s">
        <v>1890</v>
      </c>
      <c r="I604" s="14"/>
      <c r="J604" s="14"/>
      <c r="K604" s="14"/>
      <c r="L604" s="14"/>
    </row>
    <row r="605" ht="15.75" customHeight="1">
      <c r="A605" s="8"/>
      <c r="B605" s="14" t="s">
        <v>3227</v>
      </c>
      <c r="C605" s="5">
        <v>1648200.0</v>
      </c>
      <c r="D605" s="5">
        <v>0.0</v>
      </c>
      <c r="E605" s="5">
        <f t="shared" si="1"/>
        <v>6031050</v>
      </c>
      <c r="F605" s="15" t="s">
        <v>2464</v>
      </c>
      <c r="G605" s="15" t="s">
        <v>59</v>
      </c>
      <c r="H605" s="15" t="s">
        <v>1890</v>
      </c>
      <c r="I605" s="14"/>
      <c r="J605" s="14"/>
      <c r="K605" s="14"/>
      <c r="L605" s="14"/>
    </row>
    <row r="606" ht="15.75" customHeight="1">
      <c r="A606" s="8"/>
      <c r="B606" s="14" t="s">
        <v>3228</v>
      </c>
      <c r="C606" s="5">
        <v>977300.0</v>
      </c>
      <c r="D606" s="5">
        <v>0.0</v>
      </c>
      <c r="E606" s="5">
        <f t="shared" si="1"/>
        <v>5053750</v>
      </c>
      <c r="F606" s="15" t="s">
        <v>2464</v>
      </c>
      <c r="G606" s="15" t="s">
        <v>59</v>
      </c>
      <c r="H606" s="15" t="s">
        <v>1890</v>
      </c>
      <c r="I606" s="14"/>
      <c r="J606" s="14"/>
      <c r="K606" s="14"/>
      <c r="L606" s="14"/>
    </row>
    <row r="607" ht="15.75" customHeight="1">
      <c r="A607" s="8"/>
      <c r="B607" s="14" t="s">
        <v>3229</v>
      </c>
      <c r="C607" s="5">
        <v>1441700.0</v>
      </c>
      <c r="D607" s="5">
        <v>0.0</v>
      </c>
      <c r="E607" s="5">
        <f t="shared" si="1"/>
        <v>3612050</v>
      </c>
      <c r="F607" s="15" t="s">
        <v>2464</v>
      </c>
      <c r="G607" s="15" t="s">
        <v>59</v>
      </c>
      <c r="H607" s="15" t="s">
        <v>1890</v>
      </c>
      <c r="I607" s="14"/>
      <c r="J607" s="14"/>
      <c r="K607" s="14"/>
      <c r="L607" s="14"/>
    </row>
    <row r="608" ht="15.75" customHeight="1">
      <c r="A608" s="8"/>
      <c r="B608" s="14" t="s">
        <v>3230</v>
      </c>
      <c r="C608" s="5">
        <v>1441700.0</v>
      </c>
      <c r="D608" s="5">
        <v>0.0</v>
      </c>
      <c r="E608" s="5">
        <f t="shared" si="1"/>
        <v>2170350</v>
      </c>
      <c r="F608" s="15" t="s">
        <v>2464</v>
      </c>
      <c r="G608" s="15" t="s">
        <v>59</v>
      </c>
      <c r="H608" s="15" t="s">
        <v>1890</v>
      </c>
      <c r="I608" s="14"/>
      <c r="J608" s="14"/>
      <c r="K608" s="14"/>
      <c r="L608" s="14"/>
    </row>
    <row r="609" ht="15.75" customHeight="1">
      <c r="A609" s="8"/>
      <c r="B609" s="14" t="s">
        <v>3231</v>
      </c>
      <c r="C609" s="5">
        <v>1175200.0</v>
      </c>
      <c r="D609" s="5">
        <v>0.0</v>
      </c>
      <c r="E609" s="5">
        <f t="shared" si="1"/>
        <v>995150</v>
      </c>
      <c r="F609" s="15" t="s">
        <v>2464</v>
      </c>
      <c r="G609" s="15" t="s">
        <v>59</v>
      </c>
      <c r="H609" s="15" t="s">
        <v>1890</v>
      </c>
      <c r="I609" s="14"/>
      <c r="J609" s="14"/>
      <c r="K609" s="14"/>
      <c r="L609" s="14"/>
    </row>
    <row r="610" ht="15.75" customHeight="1">
      <c r="A610" s="8"/>
      <c r="B610" s="14" t="s">
        <v>3232</v>
      </c>
      <c r="C610" s="5">
        <v>995150.0</v>
      </c>
      <c r="D610" s="5">
        <v>0.0</v>
      </c>
      <c r="E610" s="5">
        <f t="shared" si="1"/>
        <v>0</v>
      </c>
      <c r="F610" s="15" t="s">
        <v>2464</v>
      </c>
      <c r="G610" s="15" t="s">
        <v>59</v>
      </c>
      <c r="H610" s="15" t="s">
        <v>1890</v>
      </c>
      <c r="I610" s="14"/>
      <c r="J610" s="14"/>
      <c r="K610" s="14"/>
      <c r="L610" s="14"/>
    </row>
    <row r="611" ht="15.75" customHeight="1">
      <c r="A611" s="8">
        <v>46023.0</v>
      </c>
      <c r="B611" s="14" t="s">
        <v>2451</v>
      </c>
      <c r="C611" s="5">
        <v>0.0</v>
      </c>
      <c r="D611" s="5">
        <v>5.5E7</v>
      </c>
      <c r="E611" s="5">
        <f t="shared" si="1"/>
        <v>55000000</v>
      </c>
      <c r="F611" s="14" t="s">
        <v>24</v>
      </c>
      <c r="G611" s="14" t="s">
        <v>125</v>
      </c>
      <c r="H611" s="15" t="s">
        <v>1038</v>
      </c>
      <c r="I611" s="14"/>
      <c r="J611" s="14"/>
      <c r="K611" s="14"/>
      <c r="L611" s="14"/>
    </row>
    <row r="612" ht="15.75" customHeight="1">
      <c r="A612" s="8"/>
      <c r="B612" s="14" t="s">
        <v>3233</v>
      </c>
      <c r="C612" s="5">
        <v>5.5E7</v>
      </c>
      <c r="D612" s="5">
        <v>0.0</v>
      </c>
      <c r="E612" s="5">
        <f t="shared" si="1"/>
        <v>0</v>
      </c>
      <c r="F612" s="15" t="s">
        <v>2464</v>
      </c>
      <c r="G612" s="15" t="s">
        <v>59</v>
      </c>
      <c r="H612" s="15" t="s">
        <v>1038</v>
      </c>
      <c r="I612" s="14"/>
      <c r="J612" s="14"/>
      <c r="K612" s="14"/>
      <c r="L612" s="14"/>
    </row>
    <row r="613" ht="15.75" customHeight="1">
      <c r="A613" s="8">
        <v>46023.0</v>
      </c>
      <c r="B613" s="14" t="s">
        <v>2451</v>
      </c>
      <c r="C613" s="5">
        <v>0.0</v>
      </c>
      <c r="D613" s="5">
        <v>1.91878955E8</v>
      </c>
      <c r="E613" s="5">
        <f t="shared" si="1"/>
        <v>191878955</v>
      </c>
      <c r="F613" s="14" t="s">
        <v>24</v>
      </c>
      <c r="G613" s="14" t="s">
        <v>125</v>
      </c>
      <c r="H613" s="15" t="s">
        <v>211</v>
      </c>
      <c r="I613" s="14"/>
      <c r="J613" s="14"/>
      <c r="K613" s="14"/>
      <c r="L613" s="14"/>
    </row>
    <row r="614" ht="15.75" customHeight="1">
      <c r="A614" s="8"/>
      <c r="B614" s="14" t="s">
        <v>3234</v>
      </c>
      <c r="C614" s="5">
        <v>550000.0</v>
      </c>
      <c r="D614" s="5">
        <v>0.0</v>
      </c>
      <c r="E614" s="5">
        <f t="shared" si="1"/>
        <v>191328955</v>
      </c>
      <c r="F614" s="15" t="s">
        <v>2464</v>
      </c>
      <c r="G614" s="15" t="s">
        <v>59</v>
      </c>
      <c r="H614" s="15" t="s">
        <v>211</v>
      </c>
      <c r="I614" s="14"/>
      <c r="J614" s="14"/>
      <c r="K614" s="14"/>
      <c r="L614" s="14"/>
    </row>
    <row r="615" ht="15.75" customHeight="1">
      <c r="A615" s="8"/>
      <c r="B615" s="14" t="s">
        <v>3235</v>
      </c>
      <c r="C615" s="5">
        <v>1985445.0</v>
      </c>
      <c r="D615" s="5">
        <v>0.0</v>
      </c>
      <c r="E615" s="5">
        <f t="shared" si="1"/>
        <v>189343510</v>
      </c>
      <c r="F615" s="15" t="s">
        <v>2464</v>
      </c>
      <c r="G615" s="15" t="s">
        <v>59</v>
      </c>
      <c r="H615" s="15" t="s">
        <v>211</v>
      </c>
      <c r="I615" s="14"/>
      <c r="J615" s="14"/>
      <c r="K615" s="14"/>
      <c r="L615" s="14"/>
    </row>
    <row r="616" ht="15.75" customHeight="1">
      <c r="A616" s="8"/>
      <c r="B616" s="14" t="s">
        <v>3236</v>
      </c>
      <c r="C616" s="5">
        <v>1399999.0</v>
      </c>
      <c r="D616" s="5">
        <v>0.0</v>
      </c>
      <c r="E616" s="5">
        <f t="shared" si="1"/>
        <v>187943511</v>
      </c>
      <c r="F616" s="15" t="s">
        <v>2464</v>
      </c>
      <c r="G616" s="15" t="s">
        <v>59</v>
      </c>
      <c r="H616" s="15" t="s">
        <v>211</v>
      </c>
      <c r="I616" s="14"/>
      <c r="J616" s="14"/>
      <c r="K616" s="14"/>
      <c r="L616" s="14"/>
    </row>
    <row r="617" ht="15.75" customHeight="1">
      <c r="A617" s="8"/>
      <c r="B617" s="14" t="s">
        <v>3237</v>
      </c>
      <c r="C617" s="5">
        <v>1400000.0</v>
      </c>
      <c r="D617" s="5">
        <v>0.0</v>
      </c>
      <c r="E617" s="5">
        <f t="shared" si="1"/>
        <v>186543511</v>
      </c>
      <c r="F617" s="15" t="s">
        <v>2464</v>
      </c>
      <c r="G617" s="15" t="s">
        <v>59</v>
      </c>
      <c r="H617" s="15" t="s">
        <v>211</v>
      </c>
      <c r="I617" s="14"/>
      <c r="J617" s="14"/>
      <c r="K617" s="14"/>
      <c r="L617" s="14"/>
    </row>
    <row r="618" ht="15.75" customHeight="1">
      <c r="A618" s="8"/>
      <c r="B618" s="14" t="s">
        <v>3238</v>
      </c>
      <c r="C618" s="5">
        <v>9625295.0</v>
      </c>
      <c r="D618" s="5">
        <v>0.0</v>
      </c>
      <c r="E618" s="5">
        <f t="shared" si="1"/>
        <v>176918216</v>
      </c>
      <c r="F618" s="15" t="s">
        <v>2464</v>
      </c>
      <c r="G618" s="15" t="s">
        <v>59</v>
      </c>
      <c r="H618" s="15" t="s">
        <v>211</v>
      </c>
      <c r="I618" s="14"/>
      <c r="J618" s="14"/>
      <c r="K618" s="14"/>
      <c r="L618" s="14"/>
    </row>
    <row r="619" ht="15.75" customHeight="1">
      <c r="A619" s="8"/>
      <c r="B619" s="14" t="s">
        <v>3239</v>
      </c>
      <c r="C619" s="5">
        <v>6293600.0</v>
      </c>
      <c r="D619" s="5">
        <v>0.0</v>
      </c>
      <c r="E619" s="5">
        <f t="shared" si="1"/>
        <v>170624616</v>
      </c>
      <c r="F619" s="15" t="s">
        <v>2464</v>
      </c>
      <c r="G619" s="15" t="s">
        <v>59</v>
      </c>
      <c r="H619" s="15" t="s">
        <v>211</v>
      </c>
      <c r="I619" s="14"/>
      <c r="J619" s="14"/>
      <c r="K619" s="14"/>
      <c r="L619" s="14"/>
    </row>
    <row r="620" ht="15.75" customHeight="1">
      <c r="A620" s="8"/>
      <c r="B620" s="14" t="s">
        <v>3240</v>
      </c>
      <c r="C620" s="5">
        <v>5130400.0</v>
      </c>
      <c r="D620" s="5">
        <v>0.0</v>
      </c>
      <c r="E620" s="5">
        <f t="shared" si="1"/>
        <v>165494216</v>
      </c>
      <c r="F620" s="15" t="s">
        <v>2464</v>
      </c>
      <c r="G620" s="15" t="s">
        <v>59</v>
      </c>
      <c r="H620" s="15" t="s">
        <v>211</v>
      </c>
      <c r="I620" s="14"/>
      <c r="J620" s="14"/>
      <c r="K620" s="14"/>
      <c r="L620" s="14"/>
    </row>
    <row r="621" ht="15.75" customHeight="1">
      <c r="A621" s="8"/>
      <c r="B621" s="14" t="s">
        <v>3241</v>
      </c>
      <c r="C621" s="5">
        <v>4124628.0</v>
      </c>
      <c r="D621" s="5">
        <v>0.0</v>
      </c>
      <c r="E621" s="5">
        <f t="shared" si="1"/>
        <v>161369588</v>
      </c>
      <c r="F621" s="15" t="s">
        <v>2464</v>
      </c>
      <c r="G621" s="15" t="s">
        <v>59</v>
      </c>
      <c r="H621" s="15" t="s">
        <v>211</v>
      </c>
      <c r="I621" s="14"/>
      <c r="J621" s="14"/>
      <c r="K621" s="14"/>
      <c r="L621" s="14"/>
    </row>
    <row r="622" ht="15.75" customHeight="1">
      <c r="A622" s="8"/>
      <c r="B622" s="14" t="s">
        <v>3242</v>
      </c>
      <c r="C622" s="5">
        <v>5486500.0</v>
      </c>
      <c r="D622" s="5">
        <v>0.0</v>
      </c>
      <c r="E622" s="5">
        <f t="shared" si="1"/>
        <v>155883088</v>
      </c>
      <c r="F622" s="15" t="s">
        <v>2464</v>
      </c>
      <c r="G622" s="15" t="s">
        <v>59</v>
      </c>
      <c r="H622" s="15" t="s">
        <v>211</v>
      </c>
      <c r="I622" s="14"/>
      <c r="J622" s="14"/>
      <c r="K622" s="14"/>
      <c r="L622" s="14"/>
    </row>
    <row r="623" ht="15.75" customHeight="1">
      <c r="A623" s="8"/>
      <c r="B623" s="14" t="s">
        <v>3243</v>
      </c>
      <c r="C623" s="5">
        <v>2.7361053E7</v>
      </c>
      <c r="D623" s="5">
        <v>0.0</v>
      </c>
      <c r="E623" s="5">
        <f t="shared" si="1"/>
        <v>128522035</v>
      </c>
      <c r="F623" s="15" t="s">
        <v>2464</v>
      </c>
      <c r="G623" s="15" t="s">
        <v>59</v>
      </c>
      <c r="H623" s="15" t="s">
        <v>211</v>
      </c>
      <c r="I623" s="14"/>
      <c r="J623" s="14"/>
      <c r="K623" s="14"/>
      <c r="L623" s="14"/>
    </row>
    <row r="624" ht="15.75" customHeight="1">
      <c r="A624" s="8"/>
      <c r="B624" s="14" t="s">
        <v>3244</v>
      </c>
      <c r="C624" s="5">
        <v>9223260.0</v>
      </c>
      <c r="D624" s="5">
        <v>0.0</v>
      </c>
      <c r="E624" s="5">
        <f t="shared" si="1"/>
        <v>119298775</v>
      </c>
      <c r="F624" s="15" t="s">
        <v>2464</v>
      </c>
      <c r="G624" s="15" t="s">
        <v>59</v>
      </c>
      <c r="H624" s="15" t="s">
        <v>211</v>
      </c>
      <c r="I624" s="14"/>
      <c r="J624" s="14"/>
      <c r="K624" s="14"/>
      <c r="L624" s="14"/>
    </row>
    <row r="625" ht="15.75" customHeight="1">
      <c r="A625" s="8"/>
      <c r="B625" s="14" t="s">
        <v>3245</v>
      </c>
      <c r="C625" s="5">
        <v>2896000.0</v>
      </c>
      <c r="D625" s="5">
        <v>0.0</v>
      </c>
      <c r="E625" s="5">
        <f t="shared" si="1"/>
        <v>116402775</v>
      </c>
      <c r="F625" s="15" t="s">
        <v>2464</v>
      </c>
      <c r="G625" s="15" t="s">
        <v>59</v>
      </c>
      <c r="H625" s="15" t="s">
        <v>211</v>
      </c>
      <c r="I625" s="14"/>
      <c r="J625" s="14"/>
      <c r="K625" s="14"/>
      <c r="L625" s="14"/>
    </row>
    <row r="626" ht="15.75" customHeight="1">
      <c r="A626" s="8"/>
      <c r="B626" s="14" t="s">
        <v>3246</v>
      </c>
      <c r="C626" s="5">
        <v>9413596.0</v>
      </c>
      <c r="D626" s="5">
        <v>0.0</v>
      </c>
      <c r="E626" s="5">
        <f t="shared" si="1"/>
        <v>106989179</v>
      </c>
      <c r="F626" s="15" t="s">
        <v>2464</v>
      </c>
      <c r="G626" s="15" t="s">
        <v>59</v>
      </c>
      <c r="H626" s="15" t="s">
        <v>211</v>
      </c>
      <c r="I626" s="14"/>
      <c r="J626" s="14"/>
      <c r="K626" s="14"/>
      <c r="L626" s="14"/>
    </row>
    <row r="627" ht="15.75" customHeight="1">
      <c r="A627" s="8"/>
      <c r="B627" s="14" t="s">
        <v>3247</v>
      </c>
      <c r="C627" s="5">
        <v>7209815.0</v>
      </c>
      <c r="D627" s="5">
        <v>0.0</v>
      </c>
      <c r="E627" s="5">
        <f t="shared" si="1"/>
        <v>99779364</v>
      </c>
      <c r="F627" s="15" t="s">
        <v>2464</v>
      </c>
      <c r="G627" s="15" t="s">
        <v>59</v>
      </c>
      <c r="H627" s="15" t="s">
        <v>211</v>
      </c>
      <c r="I627" s="14"/>
      <c r="J627" s="14"/>
      <c r="K627" s="14"/>
      <c r="L627" s="14"/>
    </row>
    <row r="628" ht="15.75" customHeight="1">
      <c r="A628" s="8"/>
      <c r="B628" s="14" t="s">
        <v>3248</v>
      </c>
      <c r="C628" s="5">
        <v>396000.0</v>
      </c>
      <c r="D628" s="5">
        <v>0.0</v>
      </c>
      <c r="E628" s="5">
        <f t="shared" si="1"/>
        <v>99383364</v>
      </c>
      <c r="F628" s="15" t="s">
        <v>2464</v>
      </c>
      <c r="G628" s="15" t="s">
        <v>59</v>
      </c>
      <c r="H628" s="15" t="s">
        <v>211</v>
      </c>
      <c r="I628" s="14"/>
      <c r="J628" s="14"/>
      <c r="K628" s="14"/>
      <c r="L628" s="14"/>
    </row>
    <row r="629" ht="15.75" customHeight="1">
      <c r="A629" s="8"/>
      <c r="B629" s="14" t="s">
        <v>3249</v>
      </c>
      <c r="C629" s="5">
        <v>1728500.0</v>
      </c>
      <c r="D629" s="5">
        <v>0.0</v>
      </c>
      <c r="E629" s="5">
        <f t="shared" si="1"/>
        <v>97654864</v>
      </c>
      <c r="F629" s="15" t="s">
        <v>2464</v>
      </c>
      <c r="G629" s="15" t="s">
        <v>59</v>
      </c>
      <c r="H629" s="15" t="s">
        <v>211</v>
      </c>
      <c r="I629" s="14"/>
      <c r="J629" s="14"/>
      <c r="K629" s="14"/>
      <c r="L629" s="14"/>
    </row>
    <row r="630" ht="15.75" customHeight="1">
      <c r="A630" s="8"/>
      <c r="B630" s="14" t="s">
        <v>3250</v>
      </c>
      <c r="C630" s="5">
        <v>5079922.0</v>
      </c>
      <c r="D630" s="5">
        <v>0.0</v>
      </c>
      <c r="E630" s="5">
        <f t="shared" si="1"/>
        <v>92574942</v>
      </c>
      <c r="F630" s="15" t="s">
        <v>2464</v>
      </c>
      <c r="G630" s="15" t="s">
        <v>59</v>
      </c>
      <c r="H630" s="15" t="s">
        <v>211</v>
      </c>
      <c r="I630" s="14"/>
      <c r="J630" s="14"/>
      <c r="K630" s="14"/>
      <c r="L630" s="14"/>
    </row>
    <row r="631" ht="15.75" customHeight="1">
      <c r="A631" s="8"/>
      <c r="B631" s="14" t="s">
        <v>3251</v>
      </c>
      <c r="C631" s="5">
        <v>2586350.0</v>
      </c>
      <c r="D631" s="5">
        <v>0.0</v>
      </c>
      <c r="E631" s="5">
        <f t="shared" si="1"/>
        <v>89988592</v>
      </c>
      <c r="F631" s="15" t="s">
        <v>2464</v>
      </c>
      <c r="G631" s="15" t="s">
        <v>59</v>
      </c>
      <c r="H631" s="15" t="s">
        <v>211</v>
      </c>
      <c r="I631" s="14"/>
      <c r="J631" s="14"/>
      <c r="K631" s="14"/>
      <c r="L631" s="14"/>
    </row>
    <row r="632" ht="15.75" customHeight="1">
      <c r="A632" s="8"/>
      <c r="B632" s="14" t="s">
        <v>3252</v>
      </c>
      <c r="C632" s="5">
        <v>8393955.0</v>
      </c>
      <c r="D632" s="5">
        <v>0.0</v>
      </c>
      <c r="E632" s="5">
        <f t="shared" si="1"/>
        <v>81594637</v>
      </c>
      <c r="F632" s="15" t="s">
        <v>2464</v>
      </c>
      <c r="G632" s="15" t="s">
        <v>59</v>
      </c>
      <c r="H632" s="15" t="s">
        <v>211</v>
      </c>
      <c r="I632" s="14"/>
      <c r="J632" s="14"/>
      <c r="K632" s="14"/>
      <c r="L632" s="14"/>
    </row>
    <row r="633" ht="15.75" customHeight="1">
      <c r="A633" s="8"/>
      <c r="B633" s="14" t="s">
        <v>3253</v>
      </c>
      <c r="C633" s="5">
        <v>7961399.0</v>
      </c>
      <c r="D633" s="5">
        <v>0.0</v>
      </c>
      <c r="E633" s="5">
        <f t="shared" si="1"/>
        <v>73633238</v>
      </c>
      <c r="F633" s="15" t="s">
        <v>2464</v>
      </c>
      <c r="G633" s="15" t="s">
        <v>59</v>
      </c>
      <c r="H633" s="15" t="s">
        <v>211</v>
      </c>
      <c r="I633" s="14"/>
      <c r="J633" s="14"/>
      <c r="K633" s="14"/>
      <c r="L633" s="14"/>
    </row>
    <row r="634" ht="15.75" customHeight="1">
      <c r="A634" s="8"/>
      <c r="B634" s="14" t="s">
        <v>3254</v>
      </c>
      <c r="C634" s="5">
        <v>1872239.0</v>
      </c>
      <c r="D634" s="5">
        <v>0.0</v>
      </c>
      <c r="E634" s="5">
        <f t="shared" si="1"/>
        <v>71760999</v>
      </c>
      <c r="F634" s="15" t="s">
        <v>2464</v>
      </c>
      <c r="G634" s="15" t="s">
        <v>59</v>
      </c>
      <c r="H634" s="15" t="s">
        <v>211</v>
      </c>
      <c r="I634" s="14"/>
      <c r="J634" s="14"/>
      <c r="K634" s="14"/>
      <c r="L634" s="14"/>
    </row>
    <row r="635" ht="15.75" customHeight="1">
      <c r="A635" s="8"/>
      <c r="B635" s="14" t="s">
        <v>3255</v>
      </c>
      <c r="C635" s="5">
        <v>1.3749509E7</v>
      </c>
      <c r="D635" s="5">
        <v>0.0</v>
      </c>
      <c r="E635" s="5">
        <f t="shared" si="1"/>
        <v>58011490</v>
      </c>
      <c r="F635" s="15" t="s">
        <v>2464</v>
      </c>
      <c r="G635" s="15" t="s">
        <v>59</v>
      </c>
      <c r="H635" s="15" t="s">
        <v>211</v>
      </c>
      <c r="I635" s="14"/>
      <c r="J635" s="14"/>
      <c r="K635" s="14"/>
      <c r="L635" s="14"/>
    </row>
    <row r="636" ht="15.75" customHeight="1">
      <c r="A636" s="8"/>
      <c r="B636" s="14" t="s">
        <v>3256</v>
      </c>
      <c r="C636" s="5">
        <v>1.2531E7</v>
      </c>
      <c r="D636" s="5">
        <v>0.0</v>
      </c>
      <c r="E636" s="5">
        <f t="shared" si="1"/>
        <v>45480490</v>
      </c>
      <c r="F636" s="15" t="s">
        <v>2464</v>
      </c>
      <c r="G636" s="15" t="s">
        <v>59</v>
      </c>
      <c r="H636" s="15" t="s">
        <v>211</v>
      </c>
      <c r="I636" s="14"/>
      <c r="J636" s="14"/>
      <c r="K636" s="14"/>
      <c r="L636" s="14"/>
    </row>
    <row r="637" ht="15.75" customHeight="1">
      <c r="A637" s="8"/>
      <c r="B637" s="14" t="s">
        <v>3257</v>
      </c>
      <c r="C637" s="5">
        <v>2281300.0</v>
      </c>
      <c r="D637" s="5">
        <v>0.0</v>
      </c>
      <c r="E637" s="5">
        <f t="shared" si="1"/>
        <v>43199190</v>
      </c>
      <c r="F637" s="15" t="s">
        <v>2464</v>
      </c>
      <c r="G637" s="15" t="s">
        <v>59</v>
      </c>
      <c r="H637" s="15" t="s">
        <v>211</v>
      </c>
      <c r="I637" s="14"/>
      <c r="J637" s="14"/>
      <c r="K637" s="14"/>
      <c r="L637" s="14"/>
    </row>
    <row r="638" ht="15.75" customHeight="1">
      <c r="A638" s="8"/>
      <c r="B638" s="14" t="s">
        <v>3258</v>
      </c>
      <c r="C638" s="5">
        <v>153000.0</v>
      </c>
      <c r="D638" s="5">
        <v>0.0</v>
      </c>
      <c r="E638" s="5">
        <f t="shared" si="1"/>
        <v>43046190</v>
      </c>
      <c r="F638" s="15" t="s">
        <v>2464</v>
      </c>
      <c r="G638" s="15" t="s">
        <v>59</v>
      </c>
      <c r="H638" s="15" t="s">
        <v>211</v>
      </c>
      <c r="I638" s="14"/>
      <c r="J638" s="14"/>
      <c r="K638" s="14"/>
      <c r="L638" s="14"/>
    </row>
    <row r="639" ht="15.75" customHeight="1">
      <c r="A639" s="8"/>
      <c r="B639" s="14" t="s">
        <v>3259</v>
      </c>
      <c r="C639" s="5">
        <v>3749718.0</v>
      </c>
      <c r="D639" s="5">
        <v>0.0</v>
      </c>
      <c r="E639" s="5">
        <f t="shared" si="1"/>
        <v>39296472</v>
      </c>
      <c r="F639" s="15" t="s">
        <v>2464</v>
      </c>
      <c r="G639" s="15" t="s">
        <v>59</v>
      </c>
      <c r="H639" s="15" t="s">
        <v>211</v>
      </c>
      <c r="I639" s="14"/>
      <c r="J639" s="14"/>
      <c r="K639" s="14"/>
      <c r="L639" s="14"/>
    </row>
    <row r="640" ht="15.75" customHeight="1">
      <c r="A640" s="8"/>
      <c r="B640" s="14" t="s">
        <v>3260</v>
      </c>
      <c r="C640" s="5">
        <v>647660.0</v>
      </c>
      <c r="D640" s="5">
        <v>0.0</v>
      </c>
      <c r="E640" s="5">
        <f t="shared" si="1"/>
        <v>38648812</v>
      </c>
      <c r="F640" s="15" t="s">
        <v>2464</v>
      </c>
      <c r="G640" s="15" t="s">
        <v>59</v>
      </c>
      <c r="H640" s="15" t="s">
        <v>211</v>
      </c>
      <c r="I640" s="14"/>
      <c r="J640" s="14"/>
      <c r="K640" s="14"/>
      <c r="L640" s="14"/>
    </row>
    <row r="641" ht="15.75" customHeight="1">
      <c r="A641" s="8"/>
      <c r="B641" s="14" t="s">
        <v>3261</v>
      </c>
      <c r="C641" s="5">
        <v>417000.0</v>
      </c>
      <c r="D641" s="5">
        <v>0.0</v>
      </c>
      <c r="E641" s="5">
        <f t="shared" si="1"/>
        <v>38231812</v>
      </c>
      <c r="F641" s="15" t="s">
        <v>2464</v>
      </c>
      <c r="G641" s="15" t="s">
        <v>59</v>
      </c>
      <c r="H641" s="15" t="s">
        <v>211</v>
      </c>
      <c r="I641" s="14"/>
      <c r="J641" s="14"/>
      <c r="K641" s="14"/>
      <c r="L641" s="14"/>
    </row>
    <row r="642" ht="15.75" customHeight="1">
      <c r="A642" s="8"/>
      <c r="B642" s="14" t="s">
        <v>3262</v>
      </c>
      <c r="C642" s="5">
        <v>297000.0</v>
      </c>
      <c r="D642" s="5">
        <v>0.0</v>
      </c>
      <c r="E642" s="5">
        <f t="shared" si="1"/>
        <v>37934812</v>
      </c>
      <c r="F642" s="15" t="s">
        <v>2464</v>
      </c>
      <c r="G642" s="15" t="s">
        <v>59</v>
      </c>
      <c r="H642" s="15" t="s">
        <v>211</v>
      </c>
      <c r="I642" s="14"/>
      <c r="J642" s="14"/>
      <c r="K642" s="14"/>
      <c r="L642" s="14"/>
    </row>
    <row r="643" ht="15.75" customHeight="1">
      <c r="A643" s="8"/>
      <c r="B643" s="14" t="s">
        <v>3263</v>
      </c>
      <c r="C643" s="5">
        <v>4514000.0</v>
      </c>
      <c r="D643" s="5">
        <v>0.0</v>
      </c>
      <c r="E643" s="5">
        <f t="shared" si="1"/>
        <v>33420812</v>
      </c>
      <c r="F643" s="15" t="s">
        <v>2464</v>
      </c>
      <c r="G643" s="15" t="s">
        <v>59</v>
      </c>
      <c r="H643" s="15" t="s">
        <v>211</v>
      </c>
      <c r="I643" s="14"/>
      <c r="J643" s="14"/>
      <c r="K643" s="14"/>
      <c r="L643" s="14"/>
    </row>
    <row r="644" ht="15.75" customHeight="1">
      <c r="A644" s="8"/>
      <c r="B644" s="14" t="s">
        <v>3264</v>
      </c>
      <c r="C644" s="5">
        <v>3990400.0</v>
      </c>
      <c r="D644" s="5">
        <v>0.0</v>
      </c>
      <c r="E644" s="5">
        <f t="shared" si="1"/>
        <v>29430412</v>
      </c>
      <c r="F644" s="15" t="s">
        <v>2464</v>
      </c>
      <c r="G644" s="15" t="s">
        <v>59</v>
      </c>
      <c r="H644" s="15" t="s">
        <v>211</v>
      </c>
      <c r="I644" s="14"/>
      <c r="J644" s="14"/>
      <c r="K644" s="14"/>
      <c r="L644" s="14"/>
    </row>
    <row r="645" ht="15.75" customHeight="1">
      <c r="A645" s="8"/>
      <c r="B645" s="14" t="s">
        <v>3265</v>
      </c>
      <c r="C645" s="5">
        <v>3400000.0</v>
      </c>
      <c r="D645" s="5">
        <v>0.0</v>
      </c>
      <c r="E645" s="5">
        <f t="shared" si="1"/>
        <v>26030412</v>
      </c>
      <c r="F645" s="15" t="s">
        <v>2464</v>
      </c>
      <c r="G645" s="15" t="s">
        <v>59</v>
      </c>
      <c r="H645" s="15" t="s">
        <v>211</v>
      </c>
      <c r="I645" s="14"/>
      <c r="J645" s="14"/>
      <c r="K645" s="14"/>
      <c r="L645" s="14"/>
    </row>
    <row r="646" ht="15.75" customHeight="1">
      <c r="A646" s="8"/>
      <c r="B646" s="14" t="s">
        <v>3266</v>
      </c>
      <c r="C646" s="5">
        <v>850000.0</v>
      </c>
      <c r="D646" s="5">
        <v>0.0</v>
      </c>
      <c r="E646" s="5">
        <f t="shared" si="1"/>
        <v>25180412</v>
      </c>
      <c r="F646" s="15" t="s">
        <v>2464</v>
      </c>
      <c r="G646" s="15" t="s">
        <v>59</v>
      </c>
      <c r="H646" s="15" t="s">
        <v>211</v>
      </c>
      <c r="I646" s="14"/>
      <c r="J646" s="14"/>
      <c r="K646" s="14"/>
      <c r="L646" s="14"/>
    </row>
    <row r="647" ht="15.75" customHeight="1">
      <c r="A647" s="8"/>
      <c r="B647" s="14" t="s">
        <v>3267</v>
      </c>
      <c r="C647" s="5">
        <v>1556947.0</v>
      </c>
      <c r="D647" s="5">
        <v>0.0</v>
      </c>
      <c r="E647" s="5">
        <f t="shared" si="1"/>
        <v>23623465</v>
      </c>
      <c r="F647" s="15" t="s">
        <v>2464</v>
      </c>
      <c r="G647" s="15" t="s">
        <v>59</v>
      </c>
      <c r="H647" s="15" t="s">
        <v>211</v>
      </c>
      <c r="I647" s="14"/>
      <c r="J647" s="14"/>
      <c r="K647" s="14"/>
      <c r="L647" s="14"/>
    </row>
    <row r="648" ht="15.75" customHeight="1">
      <c r="A648" s="8"/>
      <c r="B648" s="14" t="s">
        <v>3268</v>
      </c>
      <c r="C648" s="5">
        <v>5478720.0</v>
      </c>
      <c r="D648" s="5">
        <v>0.0</v>
      </c>
      <c r="E648" s="5">
        <f t="shared" si="1"/>
        <v>18144745</v>
      </c>
      <c r="F648" s="15" t="s">
        <v>2464</v>
      </c>
      <c r="G648" s="15" t="s">
        <v>59</v>
      </c>
      <c r="H648" s="15" t="s">
        <v>211</v>
      </c>
      <c r="I648" s="14"/>
      <c r="J648" s="14"/>
      <c r="K648" s="14"/>
      <c r="L648" s="14"/>
    </row>
    <row r="649" ht="15.75" customHeight="1">
      <c r="A649" s="8"/>
      <c r="B649" s="14" t="s">
        <v>3269</v>
      </c>
      <c r="C649" s="5">
        <v>2836160.0</v>
      </c>
      <c r="D649" s="5">
        <v>0.0</v>
      </c>
      <c r="E649" s="5">
        <f t="shared" si="1"/>
        <v>15308585</v>
      </c>
      <c r="F649" s="15" t="s">
        <v>2464</v>
      </c>
      <c r="G649" s="15" t="s">
        <v>59</v>
      </c>
      <c r="H649" s="15" t="s">
        <v>211</v>
      </c>
      <c r="I649" s="14"/>
      <c r="J649" s="14"/>
      <c r="K649" s="14"/>
      <c r="L649" s="14"/>
    </row>
    <row r="650" ht="15.75" customHeight="1">
      <c r="A650" s="8"/>
      <c r="B650" s="14" t="s">
        <v>3270</v>
      </c>
      <c r="C650" s="5">
        <v>2600000.0</v>
      </c>
      <c r="D650" s="5">
        <v>0.0</v>
      </c>
      <c r="E650" s="5">
        <f t="shared" si="1"/>
        <v>12708585</v>
      </c>
      <c r="F650" s="15" t="s">
        <v>2464</v>
      </c>
      <c r="G650" s="15" t="s">
        <v>59</v>
      </c>
      <c r="H650" s="15" t="s">
        <v>211</v>
      </c>
      <c r="I650" s="14"/>
      <c r="J650" s="14"/>
      <c r="K650" s="14"/>
      <c r="L650" s="14"/>
    </row>
    <row r="651" ht="15.75" customHeight="1">
      <c r="A651" s="8"/>
      <c r="B651" s="14" t="s">
        <v>3271</v>
      </c>
      <c r="C651" s="5">
        <v>980000.0</v>
      </c>
      <c r="D651" s="5">
        <v>0.0</v>
      </c>
      <c r="E651" s="5">
        <f t="shared" si="1"/>
        <v>11728585</v>
      </c>
      <c r="F651" s="15" t="s">
        <v>2464</v>
      </c>
      <c r="G651" s="15" t="s">
        <v>59</v>
      </c>
      <c r="H651" s="15" t="s">
        <v>211</v>
      </c>
      <c r="I651" s="14"/>
      <c r="J651" s="14"/>
      <c r="K651" s="14"/>
      <c r="L651" s="14"/>
    </row>
    <row r="652" ht="15.75" customHeight="1">
      <c r="A652" s="8"/>
      <c r="B652" s="14" t="s">
        <v>3272</v>
      </c>
      <c r="C652" s="5">
        <v>135000.0</v>
      </c>
      <c r="D652" s="5">
        <v>0.0</v>
      </c>
      <c r="E652" s="5">
        <f t="shared" si="1"/>
        <v>11593585</v>
      </c>
      <c r="F652" s="15" t="s">
        <v>2464</v>
      </c>
      <c r="G652" s="15" t="s">
        <v>59</v>
      </c>
      <c r="H652" s="15" t="s">
        <v>211</v>
      </c>
      <c r="I652" s="14"/>
      <c r="J652" s="14"/>
      <c r="K652" s="14"/>
      <c r="L652" s="14"/>
    </row>
    <row r="653" ht="15.75" customHeight="1">
      <c r="A653" s="8"/>
      <c r="B653" s="14" t="s">
        <v>3273</v>
      </c>
      <c r="C653" s="5">
        <v>331200.0</v>
      </c>
      <c r="D653" s="5">
        <v>0.0</v>
      </c>
      <c r="E653" s="5">
        <f t="shared" si="1"/>
        <v>11262385</v>
      </c>
      <c r="F653" s="15" t="s">
        <v>2464</v>
      </c>
      <c r="G653" s="15" t="s">
        <v>59</v>
      </c>
      <c r="H653" s="15" t="s">
        <v>211</v>
      </c>
      <c r="I653" s="14"/>
      <c r="J653" s="14"/>
      <c r="K653" s="14"/>
      <c r="L653" s="14"/>
    </row>
    <row r="654" ht="15.75" customHeight="1">
      <c r="A654" s="8"/>
      <c r="B654" s="14" t="s">
        <v>3271</v>
      </c>
      <c r="C654" s="5">
        <v>1470000.0</v>
      </c>
      <c r="D654" s="5">
        <v>0.0</v>
      </c>
      <c r="E654" s="5">
        <f t="shared" si="1"/>
        <v>9792385</v>
      </c>
      <c r="F654" s="15" t="s">
        <v>2464</v>
      </c>
      <c r="G654" s="15" t="s">
        <v>59</v>
      </c>
      <c r="H654" s="15" t="s">
        <v>211</v>
      </c>
      <c r="I654" s="14"/>
      <c r="J654" s="14"/>
      <c r="K654" s="14"/>
      <c r="L654" s="14"/>
    </row>
    <row r="655" ht="15.75" customHeight="1">
      <c r="A655" s="8"/>
      <c r="B655" s="14" t="s">
        <v>3274</v>
      </c>
      <c r="C655" s="5">
        <v>245000.0</v>
      </c>
      <c r="D655" s="5">
        <v>0.0</v>
      </c>
      <c r="E655" s="5">
        <f t="shared" si="1"/>
        <v>9547385</v>
      </c>
      <c r="F655" s="15" t="s">
        <v>2464</v>
      </c>
      <c r="G655" s="15" t="s">
        <v>59</v>
      </c>
      <c r="H655" s="15" t="s">
        <v>211</v>
      </c>
      <c r="I655" s="14"/>
      <c r="J655" s="14"/>
      <c r="K655" s="14"/>
      <c r="L655" s="14"/>
    </row>
    <row r="656" ht="15.75" customHeight="1">
      <c r="A656" s="8"/>
      <c r="B656" s="14" t="s">
        <v>3275</v>
      </c>
      <c r="C656" s="5">
        <v>71370.0</v>
      </c>
      <c r="D656" s="5">
        <v>0.0</v>
      </c>
      <c r="E656" s="5">
        <f t="shared" si="1"/>
        <v>9476015</v>
      </c>
      <c r="F656" s="15" t="s">
        <v>2464</v>
      </c>
      <c r="G656" s="15" t="s">
        <v>59</v>
      </c>
      <c r="H656" s="15" t="s">
        <v>211</v>
      </c>
      <c r="I656" s="14"/>
      <c r="J656" s="14"/>
      <c r="K656" s="14"/>
      <c r="L656" s="14"/>
    </row>
    <row r="657" ht="15.75" customHeight="1">
      <c r="A657" s="8"/>
      <c r="B657" s="14" t="s">
        <v>3276</v>
      </c>
      <c r="C657" s="5">
        <v>265000.0</v>
      </c>
      <c r="D657" s="5">
        <v>0.0</v>
      </c>
      <c r="E657" s="5">
        <f t="shared" si="1"/>
        <v>9211015</v>
      </c>
      <c r="F657" s="15" t="s">
        <v>2464</v>
      </c>
      <c r="G657" s="15" t="s">
        <v>59</v>
      </c>
      <c r="H657" s="15" t="s">
        <v>211</v>
      </c>
      <c r="I657" s="14"/>
      <c r="J657" s="14"/>
      <c r="K657" s="14"/>
      <c r="L657" s="14"/>
    </row>
    <row r="658" ht="15.75" customHeight="1">
      <c r="A658" s="8"/>
      <c r="B658" s="14" t="s">
        <v>3277</v>
      </c>
      <c r="C658" s="5">
        <v>175500.0</v>
      </c>
      <c r="D658" s="5">
        <v>0.0</v>
      </c>
      <c r="E658" s="5">
        <f t="shared" si="1"/>
        <v>9035515</v>
      </c>
      <c r="F658" s="15" t="s">
        <v>2464</v>
      </c>
      <c r="G658" s="15" t="s">
        <v>59</v>
      </c>
      <c r="H658" s="15" t="s">
        <v>211</v>
      </c>
      <c r="I658" s="14"/>
      <c r="J658" s="14"/>
      <c r="K658" s="14"/>
      <c r="L658" s="14"/>
    </row>
    <row r="659" ht="15.75" customHeight="1">
      <c r="A659" s="8"/>
      <c r="B659" s="14" t="s">
        <v>3278</v>
      </c>
      <c r="C659" s="5">
        <v>1009000.0</v>
      </c>
      <c r="D659" s="5">
        <v>0.0</v>
      </c>
      <c r="E659" s="5">
        <f t="shared" si="1"/>
        <v>8026515</v>
      </c>
      <c r="F659" s="15" t="s">
        <v>2464</v>
      </c>
      <c r="G659" s="15" t="s">
        <v>59</v>
      </c>
      <c r="H659" s="15" t="s">
        <v>211</v>
      </c>
      <c r="I659" s="14"/>
      <c r="J659" s="14"/>
      <c r="K659" s="14"/>
      <c r="L659" s="14"/>
    </row>
    <row r="660" ht="15.75" customHeight="1">
      <c r="A660" s="8"/>
      <c r="B660" s="14" t="s">
        <v>3279</v>
      </c>
      <c r="C660" s="5">
        <v>213675.0</v>
      </c>
      <c r="D660" s="5">
        <v>0.0</v>
      </c>
      <c r="E660" s="5">
        <f t="shared" si="1"/>
        <v>7812840</v>
      </c>
      <c r="F660" s="15" t="s">
        <v>2464</v>
      </c>
      <c r="G660" s="15" t="s">
        <v>59</v>
      </c>
      <c r="H660" s="15" t="s">
        <v>211</v>
      </c>
      <c r="I660" s="14"/>
      <c r="J660" s="14"/>
      <c r="K660" s="14"/>
      <c r="L660" s="14"/>
    </row>
    <row r="661" ht="15.75" customHeight="1">
      <c r="A661" s="8"/>
      <c r="B661" s="14" t="s">
        <v>3280</v>
      </c>
      <c r="C661" s="5">
        <v>2500.0</v>
      </c>
      <c r="D661" s="5">
        <v>0.0</v>
      </c>
      <c r="E661" s="5">
        <f t="shared" si="1"/>
        <v>7810340</v>
      </c>
      <c r="F661" s="15" t="s">
        <v>2464</v>
      </c>
      <c r="G661" s="15" t="s">
        <v>59</v>
      </c>
      <c r="H661" s="15" t="s">
        <v>211</v>
      </c>
      <c r="I661" s="14"/>
      <c r="J661" s="14"/>
      <c r="K661" s="14"/>
      <c r="L661" s="14"/>
    </row>
    <row r="662" ht="15.75" customHeight="1">
      <c r="A662" s="8"/>
      <c r="B662" s="14" t="s">
        <v>3281</v>
      </c>
      <c r="C662" s="5">
        <v>1300000.0</v>
      </c>
      <c r="D662" s="5">
        <v>0.0</v>
      </c>
      <c r="E662" s="5">
        <f t="shared" si="1"/>
        <v>6510340</v>
      </c>
      <c r="F662" s="15" t="s">
        <v>2464</v>
      </c>
      <c r="G662" s="15" t="s">
        <v>59</v>
      </c>
      <c r="H662" s="15" t="s">
        <v>211</v>
      </c>
      <c r="I662" s="14"/>
      <c r="J662" s="14"/>
      <c r="K662" s="14"/>
      <c r="L662" s="14"/>
    </row>
    <row r="663" ht="15.75" customHeight="1">
      <c r="A663" s="8"/>
      <c r="B663" s="14" t="s">
        <v>3282</v>
      </c>
      <c r="C663" s="5">
        <v>1300000.0</v>
      </c>
      <c r="D663" s="5">
        <v>0.0</v>
      </c>
      <c r="E663" s="5">
        <f t="shared" si="1"/>
        <v>5210340</v>
      </c>
      <c r="F663" s="15" t="s">
        <v>2464</v>
      </c>
      <c r="G663" s="15" t="s">
        <v>59</v>
      </c>
      <c r="H663" s="15" t="s">
        <v>211</v>
      </c>
      <c r="I663" s="14"/>
      <c r="J663" s="14"/>
      <c r="K663" s="14"/>
      <c r="L663" s="14"/>
    </row>
    <row r="664" ht="15.75" customHeight="1">
      <c r="A664" s="8"/>
      <c r="B664" s="14" t="s">
        <v>3283</v>
      </c>
      <c r="C664" s="5">
        <v>1002964.0</v>
      </c>
      <c r="D664" s="5">
        <v>0.0</v>
      </c>
      <c r="E664" s="5">
        <f t="shared" si="1"/>
        <v>4207376</v>
      </c>
      <c r="F664" s="15" t="s">
        <v>2464</v>
      </c>
      <c r="G664" s="15" t="s">
        <v>59</v>
      </c>
      <c r="H664" s="15" t="s">
        <v>211</v>
      </c>
      <c r="I664" s="14"/>
      <c r="J664" s="14"/>
      <c r="K664" s="14"/>
      <c r="L664" s="14"/>
    </row>
    <row r="665" ht="15.75" customHeight="1">
      <c r="A665" s="8"/>
      <c r="B665" s="14" t="s">
        <v>3284</v>
      </c>
      <c r="C665" s="5">
        <v>1300000.0</v>
      </c>
      <c r="D665" s="5">
        <v>0.0</v>
      </c>
      <c r="E665" s="5">
        <f t="shared" si="1"/>
        <v>2907376</v>
      </c>
      <c r="F665" s="15" t="s">
        <v>2464</v>
      </c>
      <c r="G665" s="15" t="s">
        <v>59</v>
      </c>
      <c r="H665" s="15" t="s">
        <v>211</v>
      </c>
      <c r="I665" s="14"/>
      <c r="J665" s="14"/>
      <c r="K665" s="14"/>
      <c r="L665" s="14"/>
    </row>
    <row r="666" ht="15.75" customHeight="1">
      <c r="A666" s="8"/>
      <c r="B666" s="14" t="s">
        <v>3285</v>
      </c>
      <c r="C666" s="5">
        <v>1795236.0</v>
      </c>
      <c r="D666" s="5">
        <v>0.0</v>
      </c>
      <c r="E666" s="5">
        <f t="shared" si="1"/>
        <v>1112140</v>
      </c>
      <c r="F666" s="15" t="s">
        <v>2464</v>
      </c>
      <c r="G666" s="15" t="s">
        <v>59</v>
      </c>
      <c r="H666" s="15" t="s">
        <v>211</v>
      </c>
      <c r="I666" s="14"/>
      <c r="J666" s="14"/>
      <c r="K666" s="14"/>
      <c r="L666" s="14"/>
    </row>
    <row r="667" ht="15.75" customHeight="1">
      <c r="A667" s="8"/>
      <c r="B667" s="14" t="s">
        <v>3286</v>
      </c>
      <c r="C667" s="5">
        <v>143609.0</v>
      </c>
      <c r="D667" s="5">
        <v>0.0</v>
      </c>
      <c r="E667" s="5">
        <f t="shared" si="1"/>
        <v>968531</v>
      </c>
      <c r="F667" s="15" t="s">
        <v>2464</v>
      </c>
      <c r="G667" s="15" t="s">
        <v>59</v>
      </c>
      <c r="H667" s="15" t="s">
        <v>211</v>
      </c>
      <c r="I667" s="14"/>
      <c r="J667" s="14"/>
      <c r="K667" s="14"/>
      <c r="L667" s="14"/>
    </row>
    <row r="668" ht="15.75" customHeight="1">
      <c r="A668" s="8"/>
      <c r="B668" s="14" t="s">
        <v>3287</v>
      </c>
      <c r="C668" s="5">
        <v>1203033.0</v>
      </c>
      <c r="D668" s="5">
        <v>0.0</v>
      </c>
      <c r="E668" s="5">
        <f t="shared" si="1"/>
        <v>-234502</v>
      </c>
      <c r="F668" s="15" t="s">
        <v>2464</v>
      </c>
      <c r="G668" s="15" t="s">
        <v>59</v>
      </c>
      <c r="H668" s="15" t="s">
        <v>211</v>
      </c>
      <c r="I668" s="14"/>
      <c r="J668" s="14"/>
      <c r="K668" s="14"/>
      <c r="L668" s="14"/>
    </row>
    <row r="669" ht="15.75" customHeight="1">
      <c r="A669" s="8"/>
      <c r="B669" s="14" t="s">
        <v>3288</v>
      </c>
      <c r="C669" s="5">
        <v>1203033.0</v>
      </c>
      <c r="D669" s="5">
        <v>0.0</v>
      </c>
      <c r="E669" s="5">
        <f t="shared" si="1"/>
        <v>-1437535</v>
      </c>
      <c r="F669" s="15" t="s">
        <v>2464</v>
      </c>
      <c r="G669" s="15" t="s">
        <v>59</v>
      </c>
      <c r="H669" s="15" t="s">
        <v>211</v>
      </c>
      <c r="I669" s="14"/>
      <c r="J669" s="14"/>
      <c r="K669" s="14"/>
      <c r="L669" s="14"/>
    </row>
    <row r="670" ht="15.75" customHeight="1">
      <c r="A670" s="8"/>
      <c r="B670" s="14" t="s">
        <v>3289</v>
      </c>
      <c r="C670" s="5">
        <v>3600000.0</v>
      </c>
      <c r="D670" s="5">
        <v>0.0</v>
      </c>
      <c r="E670" s="5">
        <f t="shared" si="1"/>
        <v>-5037535</v>
      </c>
      <c r="F670" s="15" t="s">
        <v>2464</v>
      </c>
      <c r="G670" s="15" t="s">
        <v>59</v>
      </c>
      <c r="H670" s="15" t="s">
        <v>211</v>
      </c>
      <c r="I670" s="14"/>
      <c r="J670" s="14"/>
      <c r="K670" s="14"/>
      <c r="L670" s="14"/>
    </row>
    <row r="671" ht="15.75" customHeight="1">
      <c r="A671" s="8"/>
      <c r="B671" s="14" t="s">
        <v>3290</v>
      </c>
      <c r="C671" s="5">
        <v>1350233.0</v>
      </c>
      <c r="D671" s="5">
        <v>0.0</v>
      </c>
      <c r="E671" s="5">
        <f t="shared" si="1"/>
        <v>-6387768</v>
      </c>
      <c r="F671" s="15" t="s">
        <v>2464</v>
      </c>
      <c r="G671" s="15" t="s">
        <v>59</v>
      </c>
      <c r="H671" s="15" t="s">
        <v>211</v>
      </c>
      <c r="I671" s="14"/>
      <c r="J671" s="14"/>
      <c r="K671" s="14"/>
      <c r="L671" s="14"/>
    </row>
    <row r="672" ht="15.75" customHeight="1">
      <c r="A672" s="8"/>
      <c r="B672" s="14" t="s">
        <v>3291</v>
      </c>
      <c r="C672" s="5">
        <v>483702.0</v>
      </c>
      <c r="D672" s="5">
        <v>0.0</v>
      </c>
      <c r="E672" s="5">
        <f t="shared" si="1"/>
        <v>-6871470</v>
      </c>
      <c r="F672" s="15" t="s">
        <v>2464</v>
      </c>
      <c r="G672" s="15" t="s">
        <v>59</v>
      </c>
      <c r="H672" s="15" t="s">
        <v>211</v>
      </c>
      <c r="I672" s="14"/>
      <c r="J672" s="14"/>
      <c r="K672" s="14"/>
      <c r="L672" s="14"/>
    </row>
    <row r="673" ht="15.75" customHeight="1">
      <c r="A673" s="8"/>
      <c r="B673" s="14" t="s">
        <v>3292</v>
      </c>
      <c r="C673" s="5">
        <v>1250000.0</v>
      </c>
      <c r="D673" s="5">
        <v>0.0</v>
      </c>
      <c r="E673" s="5">
        <f t="shared" si="1"/>
        <v>-8121470</v>
      </c>
      <c r="F673" s="15" t="s">
        <v>2464</v>
      </c>
      <c r="G673" s="15" t="s">
        <v>59</v>
      </c>
      <c r="H673" s="15" t="s">
        <v>211</v>
      </c>
      <c r="I673" s="14"/>
      <c r="J673" s="14"/>
      <c r="K673" s="14"/>
      <c r="L673" s="14"/>
    </row>
    <row r="674" ht="15.75" customHeight="1">
      <c r="A674" s="8"/>
      <c r="B674" s="14" t="s">
        <v>3293</v>
      </c>
      <c r="C674" s="5">
        <v>-713999.0</v>
      </c>
      <c r="D674" s="5">
        <v>0.0</v>
      </c>
      <c r="E674" s="5">
        <f t="shared" si="1"/>
        <v>-7407471</v>
      </c>
      <c r="F674" s="15" t="s">
        <v>2464</v>
      </c>
      <c r="G674" s="15" t="s">
        <v>59</v>
      </c>
      <c r="H674" s="15" t="s">
        <v>211</v>
      </c>
      <c r="I674" s="14"/>
      <c r="J674" s="14"/>
      <c r="K674" s="14"/>
      <c r="L674" s="14"/>
    </row>
    <row r="675" ht="15.75" customHeight="1">
      <c r="A675" s="8"/>
      <c r="B675" s="14" t="s">
        <v>3294</v>
      </c>
      <c r="C675" s="5">
        <v>-713999.0</v>
      </c>
      <c r="D675" s="5">
        <v>0.0</v>
      </c>
      <c r="E675" s="5">
        <f t="shared" si="1"/>
        <v>-6693472</v>
      </c>
      <c r="F675" s="15" t="s">
        <v>2464</v>
      </c>
      <c r="G675" s="15" t="s">
        <v>59</v>
      </c>
      <c r="H675" s="15" t="s">
        <v>211</v>
      </c>
      <c r="I675" s="14"/>
      <c r="J675" s="14"/>
      <c r="K675" s="14"/>
      <c r="L675" s="14"/>
    </row>
    <row r="676" ht="15.75" customHeight="1">
      <c r="A676" s="8"/>
      <c r="B676" s="14" t="s">
        <v>3295</v>
      </c>
      <c r="C676" s="5">
        <v>-816529.0</v>
      </c>
      <c r="D676" s="5">
        <v>0.0</v>
      </c>
      <c r="E676" s="5">
        <f t="shared" si="1"/>
        <v>-5876943</v>
      </c>
      <c r="F676" s="15" t="s">
        <v>2464</v>
      </c>
      <c r="G676" s="15" t="s">
        <v>59</v>
      </c>
      <c r="H676" s="15" t="s">
        <v>211</v>
      </c>
      <c r="I676" s="14"/>
      <c r="J676" s="14"/>
      <c r="K676" s="14"/>
      <c r="L676" s="14"/>
    </row>
    <row r="677" ht="15.75" customHeight="1">
      <c r="A677" s="8"/>
      <c r="B677" s="14" t="s">
        <v>3296</v>
      </c>
      <c r="C677" s="5">
        <v>-291433.0</v>
      </c>
      <c r="D677" s="5">
        <v>0.0</v>
      </c>
      <c r="E677" s="5">
        <f t="shared" si="1"/>
        <v>-5585510</v>
      </c>
      <c r="F677" s="15" t="s">
        <v>2464</v>
      </c>
      <c r="G677" s="15" t="s">
        <v>59</v>
      </c>
      <c r="H677" s="15" t="s">
        <v>211</v>
      </c>
      <c r="I677" s="14"/>
      <c r="J677" s="14"/>
      <c r="K677" s="14"/>
      <c r="L677" s="14"/>
    </row>
    <row r="678" ht="15.75" customHeight="1">
      <c r="A678" s="8"/>
      <c r="B678" s="14" t="s">
        <v>3297</v>
      </c>
      <c r="C678" s="5">
        <v>-669675.0</v>
      </c>
      <c r="D678" s="5">
        <v>0.0</v>
      </c>
      <c r="E678" s="5">
        <f t="shared" si="1"/>
        <v>-4915835</v>
      </c>
      <c r="F678" s="15" t="s">
        <v>2464</v>
      </c>
      <c r="G678" s="15" t="s">
        <v>59</v>
      </c>
      <c r="H678" s="15" t="s">
        <v>211</v>
      </c>
      <c r="I678" s="14"/>
      <c r="J678" s="14"/>
      <c r="K678" s="14"/>
      <c r="L678" s="14"/>
    </row>
    <row r="679" ht="15.75" customHeight="1">
      <c r="A679" s="8"/>
      <c r="B679" s="14" t="s">
        <v>3298</v>
      </c>
      <c r="C679" s="5">
        <v>-669675.0</v>
      </c>
      <c r="D679" s="5">
        <v>0.0</v>
      </c>
      <c r="E679" s="5">
        <f t="shared" si="1"/>
        <v>-4246160</v>
      </c>
      <c r="F679" s="15" t="s">
        <v>2464</v>
      </c>
      <c r="G679" s="15" t="s">
        <v>59</v>
      </c>
      <c r="H679" s="15" t="s">
        <v>211</v>
      </c>
      <c r="I679" s="14"/>
      <c r="J679" s="14"/>
      <c r="K679" s="14"/>
      <c r="L679" s="14"/>
    </row>
    <row r="680" ht="15.75" customHeight="1">
      <c r="A680" s="8"/>
      <c r="B680" s="14" t="s">
        <v>3299</v>
      </c>
      <c r="C680" s="5">
        <v>-1539659.0</v>
      </c>
      <c r="D680" s="5">
        <v>0.0</v>
      </c>
      <c r="E680" s="5">
        <f t="shared" si="1"/>
        <v>-2706501</v>
      </c>
      <c r="F680" s="15" t="s">
        <v>2464</v>
      </c>
      <c r="G680" s="15" t="s">
        <v>59</v>
      </c>
      <c r="H680" s="15" t="s">
        <v>211</v>
      </c>
      <c r="I680" s="14"/>
      <c r="J680" s="14"/>
      <c r="K680" s="14"/>
      <c r="L680" s="14"/>
    </row>
    <row r="681" ht="15.75" customHeight="1">
      <c r="A681" s="8"/>
      <c r="B681" s="14" t="s">
        <v>3300</v>
      </c>
      <c r="C681" s="5">
        <v>-1746814.0</v>
      </c>
      <c r="D681" s="5">
        <v>0.0</v>
      </c>
      <c r="E681" s="5">
        <f t="shared" si="1"/>
        <v>-959687</v>
      </c>
      <c r="F681" s="15" t="s">
        <v>2464</v>
      </c>
      <c r="G681" s="15" t="s">
        <v>59</v>
      </c>
      <c r="H681" s="15" t="s">
        <v>211</v>
      </c>
      <c r="I681" s="14"/>
      <c r="J681" s="14"/>
      <c r="K681" s="14"/>
      <c r="L681" s="14"/>
    </row>
    <row r="682" ht="15.75" customHeight="1">
      <c r="A682" s="8"/>
      <c r="B682" s="14" t="s">
        <v>3301</v>
      </c>
      <c r="C682" s="5">
        <v>-959687.0</v>
      </c>
      <c r="D682" s="5">
        <v>0.0</v>
      </c>
      <c r="E682" s="5">
        <f t="shared" si="1"/>
        <v>0</v>
      </c>
      <c r="F682" s="15" t="s">
        <v>2464</v>
      </c>
      <c r="G682" s="15" t="s">
        <v>59</v>
      </c>
      <c r="H682" s="15" t="s">
        <v>211</v>
      </c>
      <c r="I682" s="14"/>
      <c r="J682" s="14"/>
      <c r="K682" s="14"/>
      <c r="L682" s="14"/>
    </row>
    <row r="683" ht="15.75" customHeight="1">
      <c r="A683" s="8">
        <v>46023.0</v>
      </c>
      <c r="B683" s="14" t="s">
        <v>2451</v>
      </c>
      <c r="C683" s="5">
        <v>0.0</v>
      </c>
      <c r="D683" s="5">
        <v>7.90579418E8</v>
      </c>
      <c r="E683" s="5">
        <f t="shared" si="1"/>
        <v>790579418</v>
      </c>
      <c r="F683" s="14" t="s">
        <v>24</v>
      </c>
      <c r="G683" s="14" t="s">
        <v>125</v>
      </c>
      <c r="H683" s="14" t="s">
        <v>2241</v>
      </c>
      <c r="I683" s="14"/>
      <c r="J683" s="14"/>
      <c r="K683" s="14"/>
      <c r="L683" s="14"/>
    </row>
    <row r="684" ht="15.75" customHeight="1">
      <c r="A684" s="8"/>
      <c r="B684" s="14" t="s">
        <v>3302</v>
      </c>
      <c r="C684" s="5">
        <v>2050000.0</v>
      </c>
      <c r="D684" s="5">
        <v>0.0</v>
      </c>
      <c r="E684" s="5">
        <f t="shared" si="1"/>
        <v>788529418</v>
      </c>
      <c r="F684" s="15" t="s">
        <v>2464</v>
      </c>
      <c r="G684" s="15" t="s">
        <v>59</v>
      </c>
      <c r="H684" s="14" t="s">
        <v>2241</v>
      </c>
      <c r="I684" s="14"/>
      <c r="J684" s="14"/>
      <c r="K684" s="14"/>
      <c r="L684" s="14"/>
    </row>
    <row r="685" ht="15.75" customHeight="1">
      <c r="A685" s="8"/>
      <c r="B685" s="14" t="s">
        <v>3303</v>
      </c>
      <c r="C685" s="5">
        <v>2050000.0</v>
      </c>
      <c r="D685" s="5">
        <v>0.0</v>
      </c>
      <c r="E685" s="5">
        <f t="shared" si="1"/>
        <v>786479418</v>
      </c>
      <c r="F685" s="15" t="s">
        <v>2464</v>
      </c>
      <c r="G685" s="15" t="s">
        <v>59</v>
      </c>
      <c r="H685" s="14" t="s">
        <v>2241</v>
      </c>
      <c r="I685" s="14"/>
      <c r="J685" s="14"/>
      <c r="K685" s="14"/>
      <c r="L685" s="14"/>
    </row>
    <row r="686" ht="15.75" customHeight="1">
      <c r="A686" s="8"/>
      <c r="B686" s="14" t="s">
        <v>3304</v>
      </c>
      <c r="C686" s="5">
        <v>2050000.0</v>
      </c>
      <c r="D686" s="5">
        <v>0.0</v>
      </c>
      <c r="E686" s="5">
        <f t="shared" si="1"/>
        <v>784429418</v>
      </c>
      <c r="F686" s="15" t="s">
        <v>2464</v>
      </c>
      <c r="G686" s="15" t="s">
        <v>59</v>
      </c>
      <c r="H686" s="14" t="s">
        <v>2241</v>
      </c>
      <c r="I686" s="14"/>
      <c r="J686" s="14"/>
      <c r="K686" s="14"/>
      <c r="L686" s="14"/>
    </row>
    <row r="687" ht="15.75" customHeight="1">
      <c r="A687" s="8"/>
      <c r="B687" s="14" t="s">
        <v>3305</v>
      </c>
      <c r="C687" s="5">
        <v>6.679E7</v>
      </c>
      <c r="D687" s="5">
        <v>0.0</v>
      </c>
      <c r="E687" s="5">
        <f t="shared" si="1"/>
        <v>717639418</v>
      </c>
      <c r="F687" s="15" t="s">
        <v>2464</v>
      </c>
      <c r="G687" s="15" t="s">
        <v>59</v>
      </c>
      <c r="H687" s="14" t="s">
        <v>2241</v>
      </c>
      <c r="I687" s="14"/>
      <c r="J687" s="14"/>
      <c r="K687" s="14"/>
      <c r="L687" s="14"/>
    </row>
    <row r="688" ht="15.75" customHeight="1">
      <c r="A688" s="8"/>
      <c r="B688" s="14" t="s">
        <v>3306</v>
      </c>
      <c r="C688" s="5">
        <v>6.85E7</v>
      </c>
      <c r="D688" s="5">
        <v>0.0</v>
      </c>
      <c r="E688" s="5">
        <f t="shared" si="1"/>
        <v>649139418</v>
      </c>
      <c r="F688" s="15" t="s">
        <v>2464</v>
      </c>
      <c r="G688" s="15" t="s">
        <v>59</v>
      </c>
      <c r="H688" s="14" t="s">
        <v>2241</v>
      </c>
      <c r="I688" s="14"/>
      <c r="J688" s="14"/>
      <c r="K688" s="14"/>
      <c r="L688" s="14"/>
    </row>
    <row r="689" ht="15.75" customHeight="1">
      <c r="A689" s="8"/>
      <c r="B689" s="14" t="s">
        <v>3307</v>
      </c>
      <c r="C689" s="5">
        <v>8.4375E7</v>
      </c>
      <c r="D689" s="5">
        <v>0.0</v>
      </c>
      <c r="E689" s="5">
        <f t="shared" si="1"/>
        <v>564764418</v>
      </c>
      <c r="F689" s="15" t="s">
        <v>2464</v>
      </c>
      <c r="G689" s="15" t="s">
        <v>59</v>
      </c>
      <c r="H689" s="14" t="s">
        <v>2241</v>
      </c>
      <c r="I689" s="14"/>
      <c r="J689" s="14"/>
      <c r="K689" s="14"/>
      <c r="L689" s="14"/>
    </row>
    <row r="690" ht="15.75" customHeight="1">
      <c r="A690" s="8"/>
      <c r="B690" s="14" t="s">
        <v>3308</v>
      </c>
      <c r="C690" s="5">
        <v>6.5562E7</v>
      </c>
      <c r="D690" s="5">
        <v>0.0</v>
      </c>
      <c r="E690" s="5">
        <f t="shared" si="1"/>
        <v>499202418</v>
      </c>
      <c r="F690" s="15" t="s">
        <v>2464</v>
      </c>
      <c r="G690" s="15" t="s">
        <v>59</v>
      </c>
      <c r="H690" s="14" t="s">
        <v>2241</v>
      </c>
      <c r="I690" s="14"/>
      <c r="J690" s="14"/>
      <c r="K690" s="14"/>
      <c r="L690" s="14"/>
    </row>
    <row r="691" ht="15.75" customHeight="1">
      <c r="A691" s="8"/>
      <c r="B691" s="14" t="s">
        <v>3309</v>
      </c>
      <c r="C691" s="5">
        <v>2.875E7</v>
      </c>
      <c r="D691" s="5">
        <v>0.0</v>
      </c>
      <c r="E691" s="5">
        <f t="shared" si="1"/>
        <v>470452418</v>
      </c>
      <c r="F691" s="15" t="s">
        <v>2464</v>
      </c>
      <c r="G691" s="15" t="s">
        <v>59</v>
      </c>
      <c r="H691" s="14" t="s">
        <v>2241</v>
      </c>
      <c r="I691" s="14"/>
      <c r="J691" s="14"/>
      <c r="K691" s="14"/>
      <c r="L691" s="14"/>
    </row>
    <row r="692" ht="15.75" customHeight="1">
      <c r="A692" s="8"/>
      <c r="B692" s="14" t="s">
        <v>3310</v>
      </c>
      <c r="C692" s="5">
        <v>717501.0</v>
      </c>
      <c r="D692" s="5">
        <v>0.0</v>
      </c>
      <c r="E692" s="5">
        <f t="shared" si="1"/>
        <v>469734917</v>
      </c>
      <c r="F692" s="15" t="s">
        <v>2464</v>
      </c>
      <c r="G692" s="15" t="s">
        <v>59</v>
      </c>
      <c r="H692" s="14" t="s">
        <v>2241</v>
      </c>
      <c r="I692" s="14"/>
      <c r="J692" s="14"/>
      <c r="K692" s="14"/>
      <c r="L692" s="14"/>
    </row>
    <row r="693" ht="15.75" customHeight="1">
      <c r="A693" s="8"/>
      <c r="B693" s="14" t="s">
        <v>3311</v>
      </c>
      <c r="C693" s="5">
        <v>6.679E7</v>
      </c>
      <c r="D693" s="5">
        <v>0.0</v>
      </c>
      <c r="E693" s="5">
        <f t="shared" si="1"/>
        <v>402944917</v>
      </c>
      <c r="F693" s="15" t="s">
        <v>2464</v>
      </c>
      <c r="G693" s="15" t="s">
        <v>59</v>
      </c>
      <c r="H693" s="14" t="s">
        <v>2241</v>
      </c>
      <c r="I693" s="14"/>
      <c r="J693" s="14"/>
      <c r="K693" s="14"/>
      <c r="L693" s="14"/>
    </row>
    <row r="694" ht="15.75" customHeight="1">
      <c r="A694" s="8"/>
      <c r="B694" s="14" t="s">
        <v>3312</v>
      </c>
      <c r="C694" s="5">
        <v>2100000.0</v>
      </c>
      <c r="D694" s="5">
        <v>0.0</v>
      </c>
      <c r="E694" s="5">
        <f t="shared" si="1"/>
        <v>400844917</v>
      </c>
      <c r="F694" s="15" t="s">
        <v>2464</v>
      </c>
      <c r="G694" s="15" t="s">
        <v>59</v>
      </c>
      <c r="H694" s="14" t="s">
        <v>2241</v>
      </c>
      <c r="I694" s="14"/>
      <c r="J694" s="14"/>
      <c r="K694" s="14"/>
      <c r="L694" s="14"/>
    </row>
    <row r="695" ht="15.75" customHeight="1">
      <c r="A695" s="8"/>
      <c r="B695" s="14" t="s">
        <v>3313</v>
      </c>
      <c r="C695" s="5">
        <v>-5000000.0</v>
      </c>
      <c r="D695" s="5">
        <v>0.0</v>
      </c>
      <c r="E695" s="5">
        <f t="shared" si="1"/>
        <v>405844917</v>
      </c>
      <c r="F695" s="15" t="s">
        <v>2464</v>
      </c>
      <c r="G695" s="15" t="s">
        <v>59</v>
      </c>
      <c r="H695" s="14" t="s">
        <v>2241</v>
      </c>
      <c r="I695" s="14"/>
      <c r="J695" s="14"/>
      <c r="K695" s="14"/>
      <c r="L695" s="14"/>
    </row>
    <row r="696" ht="15.75" customHeight="1">
      <c r="A696" s="8"/>
      <c r="B696" s="14" t="s">
        <v>3314</v>
      </c>
      <c r="C696" s="5">
        <v>4350000.0</v>
      </c>
      <c r="D696" s="5">
        <v>0.0</v>
      </c>
      <c r="E696" s="5">
        <f t="shared" si="1"/>
        <v>401494917</v>
      </c>
      <c r="F696" s="15" t="s">
        <v>2464</v>
      </c>
      <c r="G696" s="15" t="s">
        <v>59</v>
      </c>
      <c r="H696" s="14" t="s">
        <v>2241</v>
      </c>
      <c r="I696" s="14"/>
      <c r="J696" s="14"/>
      <c r="K696" s="14"/>
      <c r="L696" s="14"/>
    </row>
    <row r="697" ht="15.75" customHeight="1">
      <c r="A697" s="8"/>
      <c r="B697" s="14" t="s">
        <v>3315</v>
      </c>
      <c r="C697" s="5">
        <v>2.2629669E7</v>
      </c>
      <c r="D697" s="5">
        <v>0.0</v>
      </c>
      <c r="E697" s="5">
        <f t="shared" si="1"/>
        <v>378865248</v>
      </c>
      <c r="F697" s="15" t="s">
        <v>2464</v>
      </c>
      <c r="G697" s="15" t="s">
        <v>59</v>
      </c>
      <c r="H697" s="14" t="s">
        <v>2241</v>
      </c>
      <c r="I697" s="14"/>
      <c r="J697" s="14"/>
      <c r="K697" s="14"/>
      <c r="L697" s="14"/>
    </row>
    <row r="698" ht="15.75" customHeight="1">
      <c r="A698" s="8"/>
      <c r="B698" s="14" t="s">
        <v>3316</v>
      </c>
      <c r="C698" s="5">
        <v>1.88651295E8</v>
      </c>
      <c r="D698" s="5">
        <v>0.0</v>
      </c>
      <c r="E698" s="5">
        <f t="shared" si="1"/>
        <v>190213953</v>
      </c>
      <c r="F698" s="15" t="s">
        <v>2464</v>
      </c>
      <c r="G698" s="15" t="s">
        <v>59</v>
      </c>
      <c r="H698" s="14" t="s">
        <v>2241</v>
      </c>
      <c r="I698" s="14"/>
      <c r="J698" s="14"/>
      <c r="K698" s="14"/>
      <c r="L698" s="14"/>
    </row>
    <row r="699" ht="15.75" customHeight="1">
      <c r="A699" s="8"/>
      <c r="B699" s="14" t="s">
        <v>3317</v>
      </c>
      <c r="C699" s="5">
        <v>6.703988E7</v>
      </c>
      <c r="D699" s="5">
        <v>0.0</v>
      </c>
      <c r="E699" s="5">
        <f t="shared" si="1"/>
        <v>123174073</v>
      </c>
      <c r="F699" s="15" t="s">
        <v>2464</v>
      </c>
      <c r="G699" s="15" t="s">
        <v>59</v>
      </c>
      <c r="H699" s="14" t="s">
        <v>2241</v>
      </c>
      <c r="I699" s="14"/>
      <c r="J699" s="14"/>
      <c r="K699" s="14"/>
      <c r="L699" s="14"/>
    </row>
    <row r="700" ht="15.75" customHeight="1">
      <c r="A700" s="8"/>
      <c r="B700" s="14" t="s">
        <v>3318</v>
      </c>
      <c r="C700" s="5">
        <v>7.019E7</v>
      </c>
      <c r="D700" s="5">
        <v>0.0</v>
      </c>
      <c r="E700" s="5">
        <f t="shared" si="1"/>
        <v>52984073</v>
      </c>
      <c r="F700" s="15" t="s">
        <v>2464</v>
      </c>
      <c r="G700" s="15" t="s">
        <v>59</v>
      </c>
      <c r="H700" s="14" t="s">
        <v>2241</v>
      </c>
      <c r="I700" s="14"/>
      <c r="J700" s="14"/>
      <c r="K700" s="14"/>
      <c r="L700" s="14"/>
    </row>
    <row r="701" ht="15.75" customHeight="1">
      <c r="A701" s="8"/>
      <c r="B701" s="14" t="s">
        <v>3319</v>
      </c>
      <c r="C701" s="5">
        <v>1.06304E7</v>
      </c>
      <c r="D701" s="5">
        <v>0.0</v>
      </c>
      <c r="E701" s="5">
        <f t="shared" si="1"/>
        <v>42353673</v>
      </c>
      <c r="F701" s="15" t="s">
        <v>2464</v>
      </c>
      <c r="G701" s="15" t="s">
        <v>59</v>
      </c>
      <c r="H701" s="14" t="s">
        <v>2241</v>
      </c>
      <c r="I701" s="14"/>
      <c r="J701" s="14"/>
      <c r="K701" s="14"/>
      <c r="L701" s="14"/>
    </row>
    <row r="702" ht="15.75" customHeight="1">
      <c r="A702" s="8"/>
      <c r="B702" s="14" t="s">
        <v>3320</v>
      </c>
      <c r="C702" s="5">
        <v>3185600.0</v>
      </c>
      <c r="D702" s="5">
        <v>0.0</v>
      </c>
      <c r="E702" s="5">
        <f t="shared" si="1"/>
        <v>39168073</v>
      </c>
      <c r="F702" s="15" t="s">
        <v>2464</v>
      </c>
      <c r="G702" s="15" t="s">
        <v>59</v>
      </c>
      <c r="H702" s="14" t="s">
        <v>2241</v>
      </c>
      <c r="I702" s="14"/>
      <c r="J702" s="14"/>
      <c r="K702" s="14"/>
      <c r="L702" s="14"/>
    </row>
    <row r="703" ht="15.75" customHeight="1">
      <c r="A703" s="8"/>
      <c r="B703" s="14" t="s">
        <v>3321</v>
      </c>
      <c r="C703" s="5">
        <v>1730000.0</v>
      </c>
      <c r="D703" s="5">
        <v>0.0</v>
      </c>
      <c r="E703" s="5">
        <f t="shared" si="1"/>
        <v>37438073</v>
      </c>
      <c r="F703" s="15" t="s">
        <v>2464</v>
      </c>
      <c r="G703" s="15" t="s">
        <v>59</v>
      </c>
      <c r="H703" s="14" t="s">
        <v>2241</v>
      </c>
      <c r="I703" s="14"/>
      <c r="J703" s="14"/>
      <c r="K703" s="14"/>
      <c r="L703" s="14"/>
    </row>
    <row r="704" ht="15.75" customHeight="1">
      <c r="A704" s="8"/>
      <c r="B704" s="14" t="s">
        <v>3322</v>
      </c>
      <c r="C704" s="5">
        <v>657679.0</v>
      </c>
      <c r="D704" s="5">
        <v>0.0</v>
      </c>
      <c r="E704" s="5">
        <f t="shared" si="1"/>
        <v>36780394</v>
      </c>
      <c r="F704" s="15" t="s">
        <v>2464</v>
      </c>
      <c r="G704" s="15" t="s">
        <v>59</v>
      </c>
      <c r="H704" s="14" t="s">
        <v>2241</v>
      </c>
      <c r="I704" s="14"/>
      <c r="J704" s="14"/>
      <c r="K704" s="14"/>
      <c r="L704" s="14"/>
    </row>
    <row r="705" ht="15.75" customHeight="1">
      <c r="A705" s="8"/>
      <c r="B705" s="14" t="s">
        <v>3323</v>
      </c>
      <c r="C705" s="5">
        <v>416123.0</v>
      </c>
      <c r="D705" s="5">
        <v>0.0</v>
      </c>
      <c r="E705" s="5">
        <f t="shared" si="1"/>
        <v>36364271</v>
      </c>
      <c r="F705" s="15" t="s">
        <v>2464</v>
      </c>
      <c r="G705" s="15" t="s">
        <v>59</v>
      </c>
      <c r="H705" s="14" t="s">
        <v>2241</v>
      </c>
      <c r="I705" s="14"/>
      <c r="J705" s="14"/>
      <c r="K705" s="14"/>
      <c r="L705" s="14"/>
    </row>
    <row r="706" ht="15.75" customHeight="1">
      <c r="A706" s="8"/>
      <c r="B706" s="14" t="s">
        <v>3324</v>
      </c>
      <c r="C706" s="5">
        <v>4668000.0</v>
      </c>
      <c r="D706" s="5">
        <v>0.0</v>
      </c>
      <c r="E706" s="5">
        <f t="shared" si="1"/>
        <v>31696271</v>
      </c>
      <c r="F706" s="15" t="s">
        <v>2464</v>
      </c>
      <c r="G706" s="15" t="s">
        <v>59</v>
      </c>
      <c r="H706" s="14" t="s">
        <v>2241</v>
      </c>
      <c r="I706" s="14"/>
      <c r="J706" s="14"/>
      <c r="K706" s="14"/>
      <c r="L706" s="14"/>
    </row>
    <row r="707" ht="15.75" customHeight="1">
      <c r="A707" s="8"/>
      <c r="B707" s="14" t="s">
        <v>3325</v>
      </c>
      <c r="C707" s="5">
        <v>432793.0</v>
      </c>
      <c r="D707" s="5">
        <v>0.0</v>
      </c>
      <c r="E707" s="5">
        <f t="shared" si="1"/>
        <v>31263478</v>
      </c>
      <c r="F707" s="15" t="s">
        <v>2464</v>
      </c>
      <c r="G707" s="15" t="s">
        <v>59</v>
      </c>
      <c r="H707" s="14" t="s">
        <v>2241</v>
      </c>
      <c r="I707" s="14"/>
      <c r="J707" s="14"/>
      <c r="K707" s="14"/>
      <c r="L707" s="14"/>
    </row>
    <row r="708" ht="15.75" customHeight="1">
      <c r="A708" s="8"/>
      <c r="B708" s="14" t="s">
        <v>3326</v>
      </c>
      <c r="C708" s="5">
        <v>800000.0</v>
      </c>
      <c r="D708" s="5">
        <v>0.0</v>
      </c>
      <c r="E708" s="5">
        <f t="shared" si="1"/>
        <v>30463478</v>
      </c>
      <c r="F708" s="15" t="s">
        <v>2464</v>
      </c>
      <c r="G708" s="15" t="s">
        <v>59</v>
      </c>
      <c r="H708" s="14" t="s">
        <v>2241</v>
      </c>
      <c r="I708" s="14"/>
      <c r="J708" s="14"/>
      <c r="K708" s="14"/>
      <c r="L708" s="14"/>
    </row>
    <row r="709" ht="15.75" customHeight="1">
      <c r="A709" s="8"/>
      <c r="B709" s="14" t="s">
        <v>3327</v>
      </c>
      <c r="C709" s="5">
        <v>210000.0</v>
      </c>
      <c r="D709" s="5">
        <v>0.0</v>
      </c>
      <c r="E709" s="5">
        <f t="shared" si="1"/>
        <v>30253478</v>
      </c>
      <c r="F709" s="15" t="s">
        <v>2464</v>
      </c>
      <c r="G709" s="15" t="s">
        <v>59</v>
      </c>
      <c r="H709" s="14" t="s">
        <v>2241</v>
      </c>
      <c r="I709" s="14"/>
      <c r="J709" s="14"/>
      <c r="K709" s="14"/>
      <c r="L709" s="14"/>
    </row>
    <row r="710" ht="15.75" customHeight="1">
      <c r="A710" s="8"/>
      <c r="B710" s="14" t="s">
        <v>3328</v>
      </c>
      <c r="C710" s="5">
        <v>460000.0</v>
      </c>
      <c r="D710" s="5">
        <v>0.0</v>
      </c>
      <c r="E710" s="5">
        <f t="shared" si="1"/>
        <v>29793478</v>
      </c>
      <c r="F710" s="15" t="s">
        <v>2464</v>
      </c>
      <c r="G710" s="15" t="s">
        <v>59</v>
      </c>
      <c r="H710" s="14" t="s">
        <v>2241</v>
      </c>
      <c r="I710" s="14"/>
      <c r="J710" s="14"/>
      <c r="K710" s="14"/>
      <c r="L710" s="14"/>
    </row>
    <row r="711" ht="15.75" customHeight="1">
      <c r="A711" s="8"/>
      <c r="B711" s="14" t="s">
        <v>3328</v>
      </c>
      <c r="C711" s="5">
        <v>160000.0</v>
      </c>
      <c r="D711" s="5">
        <v>0.0</v>
      </c>
      <c r="E711" s="5">
        <f t="shared" si="1"/>
        <v>29633478</v>
      </c>
      <c r="F711" s="15" t="s">
        <v>2464</v>
      </c>
      <c r="G711" s="15" t="s">
        <v>59</v>
      </c>
      <c r="H711" s="14" t="s">
        <v>2241</v>
      </c>
      <c r="I711" s="14"/>
      <c r="J711" s="14"/>
      <c r="K711" s="14"/>
      <c r="L711" s="14"/>
    </row>
    <row r="712" ht="15.75" customHeight="1">
      <c r="A712" s="8"/>
      <c r="B712" s="14" t="s">
        <v>3329</v>
      </c>
      <c r="C712" s="5">
        <v>67500.0</v>
      </c>
      <c r="D712" s="5">
        <v>0.0</v>
      </c>
      <c r="E712" s="5">
        <f t="shared" si="1"/>
        <v>29565978</v>
      </c>
      <c r="F712" s="15" t="s">
        <v>2464</v>
      </c>
      <c r="G712" s="15" t="s">
        <v>59</v>
      </c>
      <c r="H712" s="14" t="s">
        <v>2241</v>
      </c>
      <c r="I712" s="14"/>
      <c r="J712" s="14"/>
      <c r="K712" s="14"/>
      <c r="L712" s="14"/>
    </row>
    <row r="713" ht="15.75" customHeight="1">
      <c r="A713" s="8"/>
      <c r="B713" s="14" t="s">
        <v>3330</v>
      </c>
      <c r="C713" s="5">
        <v>1000000.0</v>
      </c>
      <c r="D713" s="5">
        <v>0.0</v>
      </c>
      <c r="E713" s="5">
        <f t="shared" si="1"/>
        <v>28565978</v>
      </c>
      <c r="F713" s="15" t="s">
        <v>2464</v>
      </c>
      <c r="G713" s="15" t="s">
        <v>59</v>
      </c>
      <c r="H713" s="14" t="s">
        <v>2241</v>
      </c>
      <c r="I713" s="14"/>
      <c r="J713" s="14"/>
      <c r="K713" s="14"/>
      <c r="L713" s="14"/>
    </row>
    <row r="714" ht="15.75" customHeight="1">
      <c r="A714" s="8"/>
      <c r="B714" s="14" t="s">
        <v>3331</v>
      </c>
      <c r="C714" s="5">
        <v>300000.0</v>
      </c>
      <c r="D714" s="5">
        <v>0.0</v>
      </c>
      <c r="E714" s="5">
        <f t="shared" si="1"/>
        <v>28265978</v>
      </c>
      <c r="F714" s="15" t="s">
        <v>2464</v>
      </c>
      <c r="G714" s="15" t="s">
        <v>59</v>
      </c>
      <c r="H714" s="14" t="s">
        <v>2241</v>
      </c>
      <c r="I714" s="14"/>
      <c r="J714" s="14"/>
      <c r="K714" s="14"/>
      <c r="L714" s="14"/>
    </row>
    <row r="715" ht="15.75" customHeight="1">
      <c r="A715" s="8"/>
      <c r="B715" s="14" t="s">
        <v>3332</v>
      </c>
      <c r="C715" s="5">
        <v>1900000.0</v>
      </c>
      <c r="D715" s="5">
        <v>0.0</v>
      </c>
      <c r="E715" s="5">
        <f t="shared" si="1"/>
        <v>26365978</v>
      </c>
      <c r="F715" s="15" t="s">
        <v>2464</v>
      </c>
      <c r="G715" s="15" t="s">
        <v>59</v>
      </c>
      <c r="H715" s="14" t="s">
        <v>2241</v>
      </c>
      <c r="I715" s="14"/>
      <c r="J715" s="14"/>
      <c r="K715" s="14"/>
      <c r="L715" s="14"/>
    </row>
    <row r="716" ht="15.75" customHeight="1">
      <c r="A716" s="8"/>
      <c r="B716" s="14" t="s">
        <v>3333</v>
      </c>
      <c r="C716" s="5">
        <v>87000.0</v>
      </c>
      <c r="D716" s="5">
        <v>0.0</v>
      </c>
      <c r="E716" s="5">
        <f t="shared" si="1"/>
        <v>26278978</v>
      </c>
      <c r="F716" s="15" t="s">
        <v>2464</v>
      </c>
      <c r="G716" s="15" t="s">
        <v>59</v>
      </c>
      <c r="H716" s="14" t="s">
        <v>2241</v>
      </c>
      <c r="I716" s="14"/>
      <c r="J716" s="14"/>
      <c r="K716" s="14"/>
      <c r="L716" s="14"/>
    </row>
    <row r="717" ht="15.75" customHeight="1">
      <c r="A717" s="8"/>
      <c r="B717" s="14" t="s">
        <v>3334</v>
      </c>
      <c r="C717" s="5">
        <v>109901.0</v>
      </c>
      <c r="D717" s="5">
        <v>0.0</v>
      </c>
      <c r="E717" s="5">
        <f t="shared" si="1"/>
        <v>26169077</v>
      </c>
      <c r="F717" s="15" t="s">
        <v>2464</v>
      </c>
      <c r="G717" s="15" t="s">
        <v>59</v>
      </c>
      <c r="H717" s="14" t="s">
        <v>2241</v>
      </c>
      <c r="I717" s="14"/>
      <c r="J717" s="14"/>
      <c r="K717" s="14"/>
      <c r="L717" s="14"/>
    </row>
    <row r="718" ht="15.75" customHeight="1">
      <c r="A718" s="8"/>
      <c r="B718" s="14" t="s">
        <v>3335</v>
      </c>
      <c r="C718" s="5">
        <v>5725000.0</v>
      </c>
      <c r="D718" s="5">
        <v>0.0</v>
      </c>
      <c r="E718" s="5">
        <f t="shared" si="1"/>
        <v>20444077</v>
      </c>
      <c r="F718" s="15" t="s">
        <v>2464</v>
      </c>
      <c r="G718" s="15" t="s">
        <v>59</v>
      </c>
      <c r="H718" s="14" t="s">
        <v>2241</v>
      </c>
      <c r="I718" s="14"/>
      <c r="J718" s="14"/>
      <c r="K718" s="14"/>
      <c r="L718" s="14"/>
    </row>
    <row r="719" ht="15.75" customHeight="1">
      <c r="A719" s="8"/>
      <c r="B719" s="14" t="s">
        <v>3336</v>
      </c>
      <c r="C719" s="5">
        <v>1200000.0</v>
      </c>
      <c r="D719" s="5">
        <v>0.0</v>
      </c>
      <c r="E719" s="5">
        <f t="shared" si="1"/>
        <v>19244077</v>
      </c>
      <c r="F719" s="15" t="s">
        <v>2464</v>
      </c>
      <c r="G719" s="15" t="s">
        <v>59</v>
      </c>
      <c r="H719" s="14" t="s">
        <v>2241</v>
      </c>
      <c r="I719" s="14"/>
      <c r="J719" s="14"/>
      <c r="K719" s="14"/>
      <c r="L719" s="14"/>
    </row>
    <row r="720" ht="15.75" customHeight="1">
      <c r="A720" s="8"/>
      <c r="B720" s="14" t="s">
        <v>3337</v>
      </c>
      <c r="C720" s="5">
        <v>67000.0</v>
      </c>
      <c r="D720" s="5">
        <v>0.0</v>
      </c>
      <c r="E720" s="5">
        <f t="shared" si="1"/>
        <v>19177077</v>
      </c>
      <c r="F720" s="15" t="s">
        <v>2464</v>
      </c>
      <c r="G720" s="15" t="s">
        <v>59</v>
      </c>
      <c r="H720" s="14" t="s">
        <v>2241</v>
      </c>
      <c r="I720" s="14"/>
      <c r="J720" s="14"/>
      <c r="K720" s="14"/>
      <c r="L720" s="14"/>
    </row>
    <row r="721" ht="15.75" customHeight="1">
      <c r="A721" s="8"/>
      <c r="B721" s="14" t="s">
        <v>3338</v>
      </c>
      <c r="C721" s="5">
        <v>181000.0</v>
      </c>
      <c r="D721" s="5">
        <v>0.0</v>
      </c>
      <c r="E721" s="5">
        <f t="shared" si="1"/>
        <v>18996077</v>
      </c>
      <c r="F721" s="15" t="s">
        <v>2464</v>
      </c>
      <c r="G721" s="15" t="s">
        <v>59</v>
      </c>
      <c r="H721" s="14" t="s">
        <v>2241</v>
      </c>
      <c r="I721" s="14"/>
      <c r="J721" s="14"/>
      <c r="K721" s="14"/>
      <c r="L721" s="14"/>
    </row>
    <row r="722" ht="15.75" customHeight="1">
      <c r="A722" s="8"/>
      <c r="B722" s="14" t="s">
        <v>3339</v>
      </c>
      <c r="C722" s="5">
        <v>450000.0</v>
      </c>
      <c r="D722" s="5">
        <v>0.0</v>
      </c>
      <c r="E722" s="5">
        <f t="shared" si="1"/>
        <v>18546077</v>
      </c>
      <c r="F722" s="15" t="s">
        <v>2464</v>
      </c>
      <c r="G722" s="15" t="s">
        <v>59</v>
      </c>
      <c r="H722" s="14" t="s">
        <v>2241</v>
      </c>
      <c r="I722" s="14"/>
      <c r="J722" s="14"/>
      <c r="K722" s="14"/>
      <c r="L722" s="14"/>
    </row>
    <row r="723" ht="15.75" customHeight="1">
      <c r="A723" s="8"/>
      <c r="B723" s="14" t="s">
        <v>3340</v>
      </c>
      <c r="C723" s="5">
        <v>70000.0</v>
      </c>
      <c r="D723" s="5">
        <v>0.0</v>
      </c>
      <c r="E723" s="5">
        <f t="shared" si="1"/>
        <v>18476077</v>
      </c>
      <c r="F723" s="15" t="s">
        <v>2464</v>
      </c>
      <c r="G723" s="15" t="s">
        <v>59</v>
      </c>
      <c r="H723" s="14" t="s">
        <v>2241</v>
      </c>
      <c r="I723" s="14"/>
      <c r="J723" s="14"/>
      <c r="K723" s="14"/>
      <c r="L723" s="14"/>
    </row>
    <row r="724" ht="15.75" customHeight="1">
      <c r="A724" s="8"/>
      <c r="B724" s="14" t="s">
        <v>3341</v>
      </c>
      <c r="C724" s="5">
        <v>160000.0</v>
      </c>
      <c r="D724" s="5">
        <v>0.0</v>
      </c>
      <c r="E724" s="5">
        <f t="shared" si="1"/>
        <v>18316077</v>
      </c>
      <c r="F724" s="15" t="s">
        <v>2464</v>
      </c>
      <c r="G724" s="15" t="s">
        <v>59</v>
      </c>
      <c r="H724" s="14" t="s">
        <v>2241</v>
      </c>
      <c r="I724" s="14"/>
      <c r="J724" s="14"/>
      <c r="K724" s="14"/>
      <c r="L724" s="14"/>
    </row>
    <row r="725" ht="15.75" customHeight="1">
      <c r="A725" s="8"/>
      <c r="B725" s="14" t="s">
        <v>3342</v>
      </c>
      <c r="C725" s="5">
        <v>111800.0</v>
      </c>
      <c r="D725" s="5">
        <v>0.0</v>
      </c>
      <c r="E725" s="5">
        <f t="shared" si="1"/>
        <v>18204277</v>
      </c>
      <c r="F725" s="15" t="s">
        <v>2464</v>
      </c>
      <c r="G725" s="15" t="s">
        <v>59</v>
      </c>
      <c r="H725" s="14" t="s">
        <v>2241</v>
      </c>
      <c r="I725" s="14"/>
      <c r="J725" s="14"/>
      <c r="K725" s="14"/>
      <c r="L725" s="14"/>
    </row>
    <row r="726" ht="15.75" customHeight="1">
      <c r="A726" s="8"/>
      <c r="B726" s="14" t="s">
        <v>3343</v>
      </c>
      <c r="C726" s="5">
        <v>1801000.0</v>
      </c>
      <c r="D726" s="5">
        <v>0.0</v>
      </c>
      <c r="E726" s="5">
        <f t="shared" si="1"/>
        <v>16403277</v>
      </c>
      <c r="F726" s="15" t="s">
        <v>2464</v>
      </c>
      <c r="G726" s="15" t="s">
        <v>59</v>
      </c>
      <c r="H726" s="14" t="s">
        <v>2241</v>
      </c>
      <c r="I726" s="14"/>
      <c r="J726" s="14"/>
      <c r="K726" s="14"/>
      <c r="L726" s="14"/>
    </row>
    <row r="727" ht="15.75" customHeight="1">
      <c r="A727" s="8"/>
      <c r="B727" s="14" t="s">
        <v>3344</v>
      </c>
      <c r="C727" s="5">
        <v>3301000.0</v>
      </c>
      <c r="D727" s="5">
        <v>0.0</v>
      </c>
      <c r="E727" s="5">
        <f t="shared" si="1"/>
        <v>13102277</v>
      </c>
      <c r="F727" s="15" t="s">
        <v>2464</v>
      </c>
      <c r="G727" s="15" t="s">
        <v>59</v>
      </c>
      <c r="H727" s="14" t="s">
        <v>2241</v>
      </c>
      <c r="I727" s="14"/>
      <c r="J727" s="14"/>
      <c r="K727" s="14"/>
      <c r="L727" s="14"/>
    </row>
    <row r="728" ht="15.75" customHeight="1">
      <c r="A728" s="8"/>
      <c r="B728" s="14" t="s">
        <v>3345</v>
      </c>
      <c r="C728" s="5">
        <v>3001000.0</v>
      </c>
      <c r="D728" s="5">
        <v>0.0</v>
      </c>
      <c r="E728" s="5">
        <f t="shared" si="1"/>
        <v>10101277</v>
      </c>
      <c r="F728" s="15" t="s">
        <v>2464</v>
      </c>
      <c r="G728" s="15" t="s">
        <v>59</v>
      </c>
      <c r="H728" s="14" t="s">
        <v>2241</v>
      </c>
      <c r="I728" s="14"/>
      <c r="J728" s="14"/>
      <c r="K728" s="14"/>
      <c r="L728" s="14"/>
    </row>
    <row r="729" ht="15.75" customHeight="1">
      <c r="A729" s="8"/>
      <c r="B729" s="14" t="s">
        <v>3346</v>
      </c>
      <c r="C729" s="5">
        <v>2701000.0</v>
      </c>
      <c r="D729" s="5">
        <v>0.0</v>
      </c>
      <c r="E729" s="5">
        <f t="shared" si="1"/>
        <v>7400277</v>
      </c>
      <c r="F729" s="15" t="s">
        <v>2464</v>
      </c>
      <c r="G729" s="15" t="s">
        <v>59</v>
      </c>
      <c r="H729" s="14" t="s">
        <v>2241</v>
      </c>
      <c r="I729" s="14"/>
      <c r="J729" s="14"/>
      <c r="K729" s="14"/>
      <c r="L729" s="14"/>
    </row>
    <row r="730" ht="15.75" customHeight="1">
      <c r="A730" s="8"/>
      <c r="B730" s="14" t="s">
        <v>3347</v>
      </c>
      <c r="C730" s="5">
        <v>3001000.0</v>
      </c>
      <c r="D730" s="5">
        <v>0.0</v>
      </c>
      <c r="E730" s="5">
        <f t="shared" si="1"/>
        <v>4399277</v>
      </c>
      <c r="F730" s="15" t="s">
        <v>2464</v>
      </c>
      <c r="G730" s="15" t="s">
        <v>59</v>
      </c>
      <c r="H730" s="14" t="s">
        <v>2241</v>
      </c>
      <c r="I730" s="14"/>
      <c r="J730" s="14"/>
      <c r="K730" s="14"/>
      <c r="L730" s="14"/>
    </row>
    <row r="731" ht="15.75" customHeight="1">
      <c r="A731" s="8"/>
      <c r="B731" s="14" t="s">
        <v>3348</v>
      </c>
      <c r="C731" s="5">
        <v>2701000.0</v>
      </c>
      <c r="D731" s="5">
        <v>0.0</v>
      </c>
      <c r="E731" s="5">
        <f t="shared" si="1"/>
        <v>1698277</v>
      </c>
      <c r="F731" s="15" t="s">
        <v>2464</v>
      </c>
      <c r="G731" s="15" t="s">
        <v>59</v>
      </c>
      <c r="H731" s="14" t="s">
        <v>2241</v>
      </c>
      <c r="I731" s="14"/>
      <c r="J731" s="14"/>
      <c r="K731" s="14"/>
      <c r="L731" s="14"/>
    </row>
    <row r="732" ht="15.75" customHeight="1">
      <c r="A732" s="8"/>
      <c r="B732" s="14" t="s">
        <v>3349</v>
      </c>
      <c r="C732" s="5">
        <v>2701000.0</v>
      </c>
      <c r="D732" s="5">
        <v>0.0</v>
      </c>
      <c r="E732" s="5">
        <f t="shared" si="1"/>
        <v>-1002723</v>
      </c>
      <c r="F732" s="15" t="s">
        <v>2464</v>
      </c>
      <c r="G732" s="15" t="s">
        <v>59</v>
      </c>
      <c r="H732" s="14" t="s">
        <v>2241</v>
      </c>
      <c r="I732" s="14"/>
      <c r="J732" s="14"/>
      <c r="K732" s="14"/>
      <c r="L732" s="14"/>
    </row>
    <row r="733" ht="15.75" customHeight="1">
      <c r="A733" s="8"/>
      <c r="B733" s="14" t="s">
        <v>3350</v>
      </c>
      <c r="C733" s="5">
        <v>2701500.0</v>
      </c>
      <c r="D733" s="5">
        <v>0.0</v>
      </c>
      <c r="E733" s="5">
        <f t="shared" si="1"/>
        <v>-3704223</v>
      </c>
      <c r="F733" s="15" t="s">
        <v>2464</v>
      </c>
      <c r="G733" s="15" t="s">
        <v>59</v>
      </c>
      <c r="H733" s="14" t="s">
        <v>2241</v>
      </c>
      <c r="I733" s="14"/>
      <c r="J733" s="14"/>
      <c r="K733" s="14"/>
      <c r="L733" s="14"/>
    </row>
    <row r="734" ht="15.75" customHeight="1">
      <c r="A734" s="8"/>
      <c r="B734" s="14" t="s">
        <v>3351</v>
      </c>
      <c r="C734" s="5">
        <v>1150000.0</v>
      </c>
      <c r="D734" s="5">
        <v>0.0</v>
      </c>
      <c r="E734" s="5">
        <f t="shared" si="1"/>
        <v>-4854223</v>
      </c>
      <c r="F734" s="15" t="s">
        <v>2464</v>
      </c>
      <c r="G734" s="15" t="s">
        <v>59</v>
      </c>
      <c r="H734" s="14" t="s">
        <v>2241</v>
      </c>
      <c r="I734" s="14"/>
      <c r="J734" s="14"/>
      <c r="K734" s="14"/>
      <c r="L734" s="14"/>
    </row>
    <row r="735" ht="15.75" customHeight="1">
      <c r="A735" s="8"/>
      <c r="B735" s="14" t="s">
        <v>3352</v>
      </c>
      <c r="C735" s="5">
        <v>1400000.0</v>
      </c>
      <c r="D735" s="5">
        <v>0.0</v>
      </c>
      <c r="E735" s="5">
        <f t="shared" si="1"/>
        <v>-6254223</v>
      </c>
      <c r="F735" s="15" t="s">
        <v>2464</v>
      </c>
      <c r="G735" s="15" t="s">
        <v>59</v>
      </c>
      <c r="H735" s="14" t="s">
        <v>2241</v>
      </c>
      <c r="I735" s="14"/>
      <c r="J735" s="14"/>
      <c r="K735" s="14"/>
      <c r="L735" s="14"/>
    </row>
    <row r="736" ht="15.75" customHeight="1">
      <c r="A736" s="8"/>
      <c r="B736" s="14" t="s">
        <v>3353</v>
      </c>
      <c r="C736" s="5">
        <v>440000.0</v>
      </c>
      <c r="D736" s="5">
        <v>0.0</v>
      </c>
      <c r="E736" s="5">
        <f t="shared" si="1"/>
        <v>-6694223</v>
      </c>
      <c r="F736" s="15" t="s">
        <v>2464</v>
      </c>
      <c r="G736" s="15" t="s">
        <v>59</v>
      </c>
      <c r="H736" s="14" t="s">
        <v>2241</v>
      </c>
      <c r="I736" s="14"/>
      <c r="J736" s="14"/>
      <c r="K736" s="14"/>
      <c r="L736" s="14"/>
    </row>
    <row r="737" ht="15.75" customHeight="1">
      <c r="A737" s="8"/>
      <c r="B737" s="14" t="s">
        <v>3354</v>
      </c>
      <c r="C737" s="5">
        <v>541750.0</v>
      </c>
      <c r="D737" s="5">
        <v>0.0</v>
      </c>
      <c r="E737" s="5">
        <f t="shared" si="1"/>
        <v>-7235973</v>
      </c>
      <c r="F737" s="15" t="s">
        <v>2464</v>
      </c>
      <c r="G737" s="15" t="s">
        <v>59</v>
      </c>
      <c r="H737" s="14" t="s">
        <v>2241</v>
      </c>
      <c r="I737" s="14"/>
      <c r="J737" s="14"/>
      <c r="K737" s="14"/>
      <c r="L737" s="14"/>
    </row>
    <row r="738" ht="15.75" customHeight="1">
      <c r="A738" s="8"/>
      <c r="B738" s="14" t="s">
        <v>3355</v>
      </c>
      <c r="C738" s="5">
        <v>400000.0</v>
      </c>
      <c r="D738" s="5">
        <v>0.0</v>
      </c>
      <c r="E738" s="5">
        <f t="shared" si="1"/>
        <v>-7635973</v>
      </c>
      <c r="F738" s="15" t="s">
        <v>2464</v>
      </c>
      <c r="G738" s="15" t="s">
        <v>59</v>
      </c>
      <c r="H738" s="14" t="s">
        <v>2241</v>
      </c>
      <c r="I738" s="14"/>
      <c r="J738" s="14"/>
      <c r="K738" s="14"/>
      <c r="L738" s="14"/>
    </row>
    <row r="739" ht="15.75" customHeight="1">
      <c r="A739" s="8"/>
      <c r="B739" s="14" t="s">
        <v>3356</v>
      </c>
      <c r="C739" s="5">
        <v>1952500.0</v>
      </c>
      <c r="D739" s="5">
        <v>0.0</v>
      </c>
      <c r="E739" s="5">
        <f t="shared" si="1"/>
        <v>-9588473</v>
      </c>
      <c r="F739" s="15" t="s">
        <v>2464</v>
      </c>
      <c r="G739" s="15" t="s">
        <v>59</v>
      </c>
      <c r="H739" s="14" t="s">
        <v>2241</v>
      </c>
      <c r="I739" s="14"/>
      <c r="J739" s="14"/>
      <c r="K739" s="14"/>
      <c r="L739" s="14"/>
    </row>
    <row r="740" ht="15.75" customHeight="1">
      <c r="A740" s="8"/>
      <c r="B740" s="14" t="s">
        <v>3357</v>
      </c>
      <c r="C740" s="5">
        <v>1096800.0</v>
      </c>
      <c r="D740" s="5">
        <v>0.0</v>
      </c>
      <c r="E740" s="5">
        <f t="shared" si="1"/>
        <v>-10685273</v>
      </c>
      <c r="F740" s="15" t="s">
        <v>2464</v>
      </c>
      <c r="G740" s="15" t="s">
        <v>59</v>
      </c>
      <c r="H740" s="14" t="s">
        <v>2241</v>
      </c>
      <c r="I740" s="14"/>
      <c r="J740" s="14"/>
      <c r="K740" s="14"/>
      <c r="L740" s="14"/>
    </row>
    <row r="741" ht="15.75" customHeight="1">
      <c r="A741" s="8"/>
      <c r="B741" s="14" t="s">
        <v>3358</v>
      </c>
      <c r="C741" s="5">
        <v>2600000.0</v>
      </c>
      <c r="D741" s="5">
        <v>0.0</v>
      </c>
      <c r="E741" s="5">
        <f t="shared" si="1"/>
        <v>-13285273</v>
      </c>
      <c r="F741" s="15" t="s">
        <v>2464</v>
      </c>
      <c r="G741" s="15" t="s">
        <v>59</v>
      </c>
      <c r="H741" s="14" t="s">
        <v>2241</v>
      </c>
      <c r="I741" s="14"/>
      <c r="J741" s="14"/>
      <c r="K741" s="14"/>
      <c r="L741" s="14"/>
    </row>
    <row r="742" ht="15.75" customHeight="1">
      <c r="A742" s="8"/>
      <c r="B742" s="14" t="s">
        <v>3359</v>
      </c>
      <c r="C742" s="5">
        <v>95000.0</v>
      </c>
      <c r="D742" s="5">
        <v>0.0</v>
      </c>
      <c r="E742" s="5">
        <f t="shared" si="1"/>
        <v>-13380273</v>
      </c>
      <c r="F742" s="15" t="s">
        <v>2464</v>
      </c>
      <c r="G742" s="15" t="s">
        <v>59</v>
      </c>
      <c r="H742" s="14" t="s">
        <v>2241</v>
      </c>
      <c r="I742" s="14"/>
      <c r="J742" s="14"/>
      <c r="K742" s="14"/>
      <c r="L742" s="14"/>
    </row>
    <row r="743" ht="15.75" customHeight="1">
      <c r="A743" s="8"/>
      <c r="B743" s="14" t="s">
        <v>3360</v>
      </c>
      <c r="C743" s="5">
        <v>99900.0</v>
      </c>
      <c r="D743" s="5">
        <v>0.0</v>
      </c>
      <c r="E743" s="5">
        <f t="shared" si="1"/>
        <v>-13480173</v>
      </c>
      <c r="F743" s="15" t="s">
        <v>2464</v>
      </c>
      <c r="G743" s="15" t="s">
        <v>59</v>
      </c>
      <c r="H743" s="14" t="s">
        <v>2241</v>
      </c>
      <c r="I743" s="14"/>
      <c r="J743" s="14"/>
      <c r="K743" s="14"/>
      <c r="L743" s="14"/>
    </row>
    <row r="744" ht="15.75" customHeight="1">
      <c r="A744" s="8"/>
      <c r="B744" s="14" t="s">
        <v>3361</v>
      </c>
      <c r="C744" s="5">
        <v>1700000.0</v>
      </c>
      <c r="D744" s="5">
        <v>0.0</v>
      </c>
      <c r="E744" s="5">
        <f t="shared" si="1"/>
        <v>-15180173</v>
      </c>
      <c r="F744" s="15" t="s">
        <v>2464</v>
      </c>
      <c r="G744" s="15" t="s">
        <v>59</v>
      </c>
      <c r="H744" s="14" t="s">
        <v>2241</v>
      </c>
      <c r="I744" s="14"/>
      <c r="J744" s="14"/>
      <c r="K744" s="14"/>
      <c r="L744" s="14"/>
    </row>
    <row r="745" ht="15.75" customHeight="1">
      <c r="A745" s="8"/>
      <c r="B745" s="14" t="s">
        <v>3362</v>
      </c>
      <c r="C745" s="5">
        <v>200000.0</v>
      </c>
      <c r="D745" s="5">
        <v>0.0</v>
      </c>
      <c r="E745" s="5">
        <f t="shared" si="1"/>
        <v>-15380173</v>
      </c>
      <c r="F745" s="15" t="s">
        <v>2464</v>
      </c>
      <c r="G745" s="15" t="s">
        <v>59</v>
      </c>
      <c r="H745" s="14" t="s">
        <v>2241</v>
      </c>
      <c r="I745" s="14"/>
      <c r="J745" s="14"/>
      <c r="K745" s="14"/>
      <c r="L745" s="14"/>
    </row>
    <row r="746" ht="15.75" customHeight="1">
      <c r="A746" s="8"/>
      <c r="B746" s="14" t="s">
        <v>3363</v>
      </c>
      <c r="C746" s="5">
        <v>400000.0</v>
      </c>
      <c r="D746" s="5">
        <v>0.0</v>
      </c>
      <c r="E746" s="5">
        <f t="shared" si="1"/>
        <v>-15780173</v>
      </c>
      <c r="F746" s="15" t="s">
        <v>2464</v>
      </c>
      <c r="G746" s="15" t="s">
        <v>59</v>
      </c>
      <c r="H746" s="14" t="s">
        <v>2241</v>
      </c>
      <c r="I746" s="14"/>
      <c r="J746" s="14"/>
      <c r="K746" s="14"/>
      <c r="L746" s="14"/>
    </row>
    <row r="747" ht="15.75" customHeight="1">
      <c r="A747" s="8"/>
      <c r="B747" s="14" t="s">
        <v>3364</v>
      </c>
      <c r="C747" s="5">
        <v>-1297195.0</v>
      </c>
      <c r="D747" s="5">
        <v>0.0</v>
      </c>
      <c r="E747" s="5">
        <f t="shared" si="1"/>
        <v>-14482978</v>
      </c>
      <c r="F747" s="15" t="s">
        <v>2464</v>
      </c>
      <c r="G747" s="15" t="s">
        <v>59</v>
      </c>
      <c r="H747" s="14" t="s">
        <v>2241</v>
      </c>
      <c r="I747" s="14"/>
      <c r="J747" s="14"/>
      <c r="K747" s="14"/>
      <c r="L747" s="14"/>
    </row>
    <row r="748" ht="15.75" customHeight="1">
      <c r="A748" s="8"/>
      <c r="B748" s="14" t="s">
        <v>3365</v>
      </c>
      <c r="C748" s="5">
        <v>-1236580.0</v>
      </c>
      <c r="D748" s="5">
        <v>0.0</v>
      </c>
      <c r="E748" s="5">
        <f t="shared" si="1"/>
        <v>-13246398</v>
      </c>
      <c r="F748" s="15" t="s">
        <v>2464</v>
      </c>
      <c r="G748" s="15" t="s">
        <v>59</v>
      </c>
      <c r="H748" s="14" t="s">
        <v>2241</v>
      </c>
      <c r="I748" s="14"/>
      <c r="J748" s="14"/>
      <c r="K748" s="14"/>
      <c r="L748" s="14"/>
    </row>
    <row r="749" ht="15.75" customHeight="1">
      <c r="A749" s="8"/>
      <c r="B749" s="14" t="s">
        <v>3366</v>
      </c>
      <c r="C749" s="5">
        <v>-1307172.0</v>
      </c>
      <c r="D749" s="5">
        <v>0.0</v>
      </c>
      <c r="E749" s="5">
        <f t="shared" si="1"/>
        <v>-11939226</v>
      </c>
      <c r="F749" s="15" t="s">
        <v>2464</v>
      </c>
      <c r="G749" s="15" t="s">
        <v>59</v>
      </c>
      <c r="H749" s="14" t="s">
        <v>2241</v>
      </c>
      <c r="I749" s="14"/>
      <c r="J749" s="14"/>
      <c r="K749" s="14"/>
      <c r="L749" s="14"/>
    </row>
    <row r="750" ht="15.75" customHeight="1">
      <c r="A750" s="8"/>
      <c r="B750" s="14" t="s">
        <v>3367</v>
      </c>
      <c r="C750" s="5">
        <v>-1554514.0</v>
      </c>
      <c r="D750" s="5">
        <v>0.0</v>
      </c>
      <c r="E750" s="5">
        <f t="shared" si="1"/>
        <v>-10384712</v>
      </c>
      <c r="F750" s="15" t="s">
        <v>2464</v>
      </c>
      <c r="G750" s="15" t="s">
        <v>59</v>
      </c>
      <c r="H750" s="14" t="s">
        <v>2241</v>
      </c>
      <c r="I750" s="14"/>
      <c r="J750" s="14"/>
      <c r="K750" s="14"/>
      <c r="L750" s="14"/>
    </row>
    <row r="751" ht="15.75" customHeight="1">
      <c r="A751" s="8"/>
      <c r="B751" s="14" t="s">
        <v>3368</v>
      </c>
      <c r="C751" s="5">
        <v>-1567309.0</v>
      </c>
      <c r="D751" s="5">
        <v>0.0</v>
      </c>
      <c r="E751" s="5">
        <f t="shared" si="1"/>
        <v>-8817403</v>
      </c>
      <c r="F751" s="15" t="s">
        <v>2464</v>
      </c>
      <c r="G751" s="15" t="s">
        <v>59</v>
      </c>
      <c r="H751" s="14" t="s">
        <v>2241</v>
      </c>
      <c r="I751" s="14"/>
      <c r="J751" s="14"/>
      <c r="K751" s="14"/>
      <c r="L751" s="14"/>
    </row>
    <row r="752" ht="15.75" customHeight="1">
      <c r="A752" s="8"/>
      <c r="B752" s="14" t="s">
        <v>3369</v>
      </c>
      <c r="C752" s="5">
        <v>-1567309.0</v>
      </c>
      <c r="D752" s="5">
        <v>0.0</v>
      </c>
      <c r="E752" s="5">
        <f t="shared" si="1"/>
        <v>-7250094</v>
      </c>
      <c r="F752" s="15" t="s">
        <v>2464</v>
      </c>
      <c r="G752" s="15" t="s">
        <v>59</v>
      </c>
      <c r="H752" s="14" t="s">
        <v>2241</v>
      </c>
      <c r="I752" s="14"/>
      <c r="J752" s="14"/>
      <c r="K752" s="14"/>
      <c r="L752" s="14"/>
    </row>
    <row r="753" ht="15.75" customHeight="1">
      <c r="A753" s="8"/>
      <c r="B753" s="14" t="s">
        <v>3370</v>
      </c>
      <c r="C753" s="5">
        <v>-756551.0</v>
      </c>
      <c r="D753" s="5">
        <v>0.0</v>
      </c>
      <c r="E753" s="5">
        <f t="shared" si="1"/>
        <v>-6493543</v>
      </c>
      <c r="F753" s="15" t="s">
        <v>2464</v>
      </c>
      <c r="G753" s="15" t="s">
        <v>59</v>
      </c>
      <c r="H753" s="14" t="s">
        <v>2241</v>
      </c>
      <c r="I753" s="14"/>
      <c r="J753" s="14"/>
      <c r="K753" s="14"/>
      <c r="L753" s="14"/>
    </row>
    <row r="754" ht="15.75" customHeight="1">
      <c r="A754" s="8"/>
      <c r="B754" s="14" t="s">
        <v>3371</v>
      </c>
      <c r="C754" s="5">
        <v>-756551.0</v>
      </c>
      <c r="D754" s="5">
        <v>0.0</v>
      </c>
      <c r="E754" s="5">
        <f t="shared" si="1"/>
        <v>-5736992</v>
      </c>
      <c r="F754" s="15" t="s">
        <v>2464</v>
      </c>
      <c r="G754" s="15" t="s">
        <v>59</v>
      </c>
      <c r="H754" s="14" t="s">
        <v>2241</v>
      </c>
      <c r="I754" s="14"/>
      <c r="J754" s="14"/>
      <c r="K754" s="14"/>
      <c r="L754" s="14"/>
    </row>
    <row r="755" ht="15.75" customHeight="1">
      <c r="A755" s="8"/>
      <c r="B755" s="14" t="s">
        <v>3372</v>
      </c>
      <c r="C755" s="5">
        <v>-711611.0</v>
      </c>
      <c r="D755" s="5">
        <v>0.0</v>
      </c>
      <c r="E755" s="5">
        <f t="shared" si="1"/>
        <v>-5025381</v>
      </c>
      <c r="F755" s="15" t="s">
        <v>2464</v>
      </c>
      <c r="G755" s="15" t="s">
        <v>59</v>
      </c>
      <c r="H755" s="14" t="s">
        <v>2241</v>
      </c>
      <c r="I755" s="14"/>
      <c r="J755" s="14"/>
      <c r="K755" s="14"/>
      <c r="L755" s="14"/>
    </row>
    <row r="756" ht="15.75" customHeight="1">
      <c r="A756" s="8"/>
      <c r="B756" s="14" t="s">
        <v>3373</v>
      </c>
      <c r="C756" s="5">
        <v>-1853050.0</v>
      </c>
      <c r="D756" s="5">
        <v>0.0</v>
      </c>
      <c r="E756" s="5">
        <f t="shared" si="1"/>
        <v>-3172331</v>
      </c>
      <c r="F756" s="15" t="s">
        <v>2464</v>
      </c>
      <c r="G756" s="15" t="s">
        <v>59</v>
      </c>
      <c r="H756" s="14" t="s">
        <v>2241</v>
      </c>
      <c r="I756" s="14"/>
      <c r="J756" s="14"/>
      <c r="K756" s="14"/>
      <c r="L756" s="14"/>
    </row>
    <row r="757" ht="15.75" customHeight="1">
      <c r="A757" s="8"/>
      <c r="B757" s="14" t="s">
        <v>3374</v>
      </c>
      <c r="C757" s="5">
        <v>-1916050.0</v>
      </c>
      <c r="D757" s="5">
        <v>0.0</v>
      </c>
      <c r="E757" s="5">
        <f t="shared" si="1"/>
        <v>-1256281</v>
      </c>
      <c r="F757" s="15" t="s">
        <v>2464</v>
      </c>
      <c r="G757" s="15" t="s">
        <v>59</v>
      </c>
      <c r="H757" s="14" t="s">
        <v>2241</v>
      </c>
      <c r="I757" s="14"/>
      <c r="J757" s="14"/>
      <c r="K757" s="14"/>
      <c r="L757" s="14"/>
    </row>
    <row r="758" ht="15.75" customHeight="1">
      <c r="A758" s="8"/>
      <c r="B758" s="14" t="s">
        <v>3375</v>
      </c>
      <c r="C758" s="5">
        <v>-575500.0</v>
      </c>
      <c r="D758" s="5">
        <v>0.0</v>
      </c>
      <c r="E758" s="5">
        <f t="shared" si="1"/>
        <v>-680781</v>
      </c>
      <c r="F758" s="15" t="s">
        <v>2464</v>
      </c>
      <c r="G758" s="15" t="s">
        <v>59</v>
      </c>
      <c r="H758" s="14" t="s">
        <v>2241</v>
      </c>
      <c r="I758" s="14"/>
      <c r="J758" s="14"/>
      <c r="K758" s="14"/>
      <c r="L758" s="14"/>
    </row>
    <row r="759" ht="15.75" customHeight="1">
      <c r="A759" s="8"/>
      <c r="B759" s="14" t="s">
        <v>3376</v>
      </c>
      <c r="C759" s="5">
        <v>-680781.0</v>
      </c>
      <c r="D759" s="5">
        <v>0.0</v>
      </c>
      <c r="E759" s="5">
        <f t="shared" si="1"/>
        <v>0</v>
      </c>
      <c r="F759" s="15" t="s">
        <v>2464</v>
      </c>
      <c r="G759" s="15" t="s">
        <v>59</v>
      </c>
      <c r="H759" s="14" t="s">
        <v>2241</v>
      </c>
      <c r="I759" s="14"/>
      <c r="J759" s="14"/>
      <c r="K759" s="14"/>
      <c r="L759" s="14"/>
    </row>
    <row r="760" ht="15.75" customHeight="1">
      <c r="A760" s="8">
        <v>46023.0</v>
      </c>
      <c r="B760" s="14" t="s">
        <v>2451</v>
      </c>
      <c r="C760" s="5">
        <v>0.0</v>
      </c>
      <c r="D760" s="5">
        <v>2.182095E7</v>
      </c>
      <c r="E760" s="5">
        <f t="shared" si="1"/>
        <v>21820950</v>
      </c>
      <c r="F760" s="14" t="s">
        <v>24</v>
      </c>
      <c r="G760" s="14" t="s">
        <v>125</v>
      </c>
      <c r="H760" s="14" t="s">
        <v>2042</v>
      </c>
      <c r="I760" s="14"/>
      <c r="J760" s="14"/>
      <c r="K760" s="14"/>
      <c r="L760" s="14"/>
    </row>
    <row r="761" ht="15.75" customHeight="1">
      <c r="A761" s="8"/>
      <c r="B761" s="14" t="s">
        <v>3377</v>
      </c>
      <c r="C761" s="5">
        <v>412500.0</v>
      </c>
      <c r="D761" s="5">
        <v>0.0</v>
      </c>
      <c r="E761" s="5">
        <f t="shared" si="1"/>
        <v>21408450</v>
      </c>
      <c r="F761" s="15" t="s">
        <v>2464</v>
      </c>
      <c r="G761" s="15" t="s">
        <v>59</v>
      </c>
      <c r="H761" s="14" t="s">
        <v>2042</v>
      </c>
      <c r="I761" s="14"/>
      <c r="J761" s="14"/>
      <c r="K761" s="14"/>
      <c r="L761" s="14"/>
    </row>
    <row r="762" ht="15.75" customHeight="1">
      <c r="A762" s="8"/>
      <c r="B762" s="14" t="s">
        <v>3378</v>
      </c>
      <c r="C762" s="5">
        <v>1.548576E7</v>
      </c>
      <c r="D762" s="5">
        <v>0.0</v>
      </c>
      <c r="E762" s="5">
        <f t="shared" si="1"/>
        <v>5922690</v>
      </c>
      <c r="F762" s="15" t="s">
        <v>2464</v>
      </c>
      <c r="G762" s="15" t="s">
        <v>59</v>
      </c>
      <c r="H762" s="14" t="s">
        <v>2042</v>
      </c>
      <c r="I762" s="14"/>
      <c r="J762" s="14"/>
      <c r="K762" s="14"/>
      <c r="L762" s="14"/>
    </row>
    <row r="763" ht="15.75" customHeight="1">
      <c r="A763" s="8"/>
      <c r="B763" s="14" t="s">
        <v>3379</v>
      </c>
      <c r="C763" s="5">
        <v>1370000.0</v>
      </c>
      <c r="D763" s="5">
        <v>0.0</v>
      </c>
      <c r="E763" s="5">
        <f t="shared" si="1"/>
        <v>4552690</v>
      </c>
      <c r="F763" s="15" t="s">
        <v>2464</v>
      </c>
      <c r="G763" s="15" t="s">
        <v>59</v>
      </c>
      <c r="H763" s="14" t="s">
        <v>2042</v>
      </c>
      <c r="I763" s="14"/>
      <c r="J763" s="14"/>
      <c r="K763" s="14"/>
      <c r="L763" s="14"/>
    </row>
    <row r="764" ht="15.75" customHeight="1">
      <c r="A764" s="8"/>
      <c r="B764" s="14" t="s">
        <v>3380</v>
      </c>
      <c r="C764" s="5">
        <v>1298545.0</v>
      </c>
      <c r="D764" s="5">
        <v>0.0</v>
      </c>
      <c r="E764" s="5">
        <f t="shared" si="1"/>
        <v>3254145</v>
      </c>
      <c r="F764" s="15" t="s">
        <v>2464</v>
      </c>
      <c r="G764" s="15" t="s">
        <v>59</v>
      </c>
      <c r="H764" s="14" t="s">
        <v>2042</v>
      </c>
      <c r="I764" s="14"/>
      <c r="J764" s="14"/>
      <c r="K764" s="14"/>
      <c r="L764" s="14"/>
    </row>
    <row r="765" ht="15.75" customHeight="1">
      <c r="A765" s="8"/>
      <c r="B765" s="14" t="s">
        <v>3381</v>
      </c>
      <c r="C765" s="5">
        <v>1500745.0</v>
      </c>
      <c r="D765" s="5">
        <v>0.0</v>
      </c>
      <c r="E765" s="5">
        <f t="shared" si="1"/>
        <v>1753400</v>
      </c>
      <c r="F765" s="15" t="s">
        <v>2464</v>
      </c>
      <c r="G765" s="15" t="s">
        <v>59</v>
      </c>
      <c r="H765" s="14" t="s">
        <v>2042</v>
      </c>
      <c r="I765" s="14"/>
      <c r="J765" s="14"/>
      <c r="K765" s="14"/>
      <c r="L765" s="14"/>
    </row>
    <row r="766" ht="15.75" customHeight="1">
      <c r="A766" s="8"/>
      <c r="B766" s="14" t="s">
        <v>3382</v>
      </c>
      <c r="C766" s="5">
        <v>2671000.0</v>
      </c>
      <c r="D766" s="5">
        <v>0.0</v>
      </c>
      <c r="E766" s="5">
        <f t="shared" si="1"/>
        <v>-917600</v>
      </c>
      <c r="F766" s="15" t="s">
        <v>2464</v>
      </c>
      <c r="G766" s="15" t="s">
        <v>59</v>
      </c>
      <c r="H766" s="14" t="s">
        <v>2042</v>
      </c>
      <c r="I766" s="14"/>
      <c r="J766" s="14"/>
      <c r="K766" s="14"/>
      <c r="L766" s="14"/>
    </row>
    <row r="767" ht="15.75" customHeight="1">
      <c r="A767" s="8"/>
      <c r="B767" s="14" t="s">
        <v>3383</v>
      </c>
      <c r="C767" s="5">
        <v>4032000.0</v>
      </c>
      <c r="D767" s="5">
        <v>0.0</v>
      </c>
      <c r="E767" s="5">
        <f t="shared" si="1"/>
        <v>-4949600</v>
      </c>
      <c r="F767" s="15" t="s">
        <v>2464</v>
      </c>
      <c r="G767" s="15" t="s">
        <v>59</v>
      </c>
      <c r="H767" s="14" t="s">
        <v>2042</v>
      </c>
      <c r="I767" s="14"/>
      <c r="J767" s="14"/>
      <c r="K767" s="14"/>
      <c r="L767" s="14"/>
    </row>
    <row r="768" ht="15.75" customHeight="1">
      <c r="A768" s="8"/>
      <c r="B768" s="14" t="s">
        <v>3384</v>
      </c>
      <c r="C768" s="5">
        <v>2531200.0</v>
      </c>
      <c r="D768" s="5">
        <v>0.0</v>
      </c>
      <c r="E768" s="5">
        <f t="shared" si="1"/>
        <v>-7480800</v>
      </c>
      <c r="F768" s="15" t="s">
        <v>2464</v>
      </c>
      <c r="G768" s="15" t="s">
        <v>59</v>
      </c>
      <c r="H768" s="14" t="s">
        <v>2042</v>
      </c>
      <c r="I768" s="14"/>
      <c r="J768" s="14"/>
      <c r="K768" s="14"/>
      <c r="L768" s="14"/>
    </row>
    <row r="769" ht="15.75" customHeight="1">
      <c r="A769" s="8"/>
      <c r="B769" s="14" t="s">
        <v>3385</v>
      </c>
      <c r="C769" s="5">
        <v>-1177500.0</v>
      </c>
      <c r="D769" s="5">
        <v>0.0</v>
      </c>
      <c r="E769" s="5">
        <f t="shared" si="1"/>
        <v>-6303300</v>
      </c>
      <c r="F769" s="15" t="s">
        <v>2464</v>
      </c>
      <c r="G769" s="15" t="s">
        <v>59</v>
      </c>
      <c r="H769" s="14" t="s">
        <v>2042</v>
      </c>
      <c r="I769" s="14"/>
      <c r="J769" s="14"/>
      <c r="K769" s="14"/>
      <c r="L769" s="14"/>
    </row>
    <row r="770" ht="15.75" customHeight="1">
      <c r="A770" s="8"/>
      <c r="B770" s="14" t="s">
        <v>3386</v>
      </c>
      <c r="C770" s="5">
        <v>-554160.0</v>
      </c>
      <c r="D770" s="5">
        <v>0.0</v>
      </c>
      <c r="E770" s="5">
        <f t="shared" si="1"/>
        <v>-5749140</v>
      </c>
      <c r="F770" s="15" t="s">
        <v>2464</v>
      </c>
      <c r="G770" s="15" t="s">
        <v>59</v>
      </c>
      <c r="H770" s="14" t="s">
        <v>2042</v>
      </c>
      <c r="I770" s="14"/>
      <c r="J770" s="14"/>
      <c r="K770" s="14"/>
      <c r="L770" s="14"/>
    </row>
    <row r="771" ht="15.75" customHeight="1">
      <c r="A771" s="8"/>
      <c r="B771" s="14" t="s">
        <v>3387</v>
      </c>
      <c r="C771" s="5">
        <v>-554160.0</v>
      </c>
      <c r="D771" s="5">
        <v>0.0</v>
      </c>
      <c r="E771" s="5">
        <f t="shared" si="1"/>
        <v>-5194980</v>
      </c>
      <c r="F771" s="15" t="s">
        <v>2464</v>
      </c>
      <c r="G771" s="15" t="s">
        <v>59</v>
      </c>
      <c r="H771" s="14" t="s">
        <v>2042</v>
      </c>
      <c r="I771" s="14"/>
      <c r="J771" s="14"/>
      <c r="K771" s="14"/>
      <c r="L771" s="14"/>
    </row>
    <row r="772" ht="15.75" customHeight="1">
      <c r="A772" s="8"/>
      <c r="B772" s="14" t="s">
        <v>3388</v>
      </c>
      <c r="C772" s="5">
        <v>-554160.0</v>
      </c>
      <c r="D772" s="5">
        <v>0.0</v>
      </c>
      <c r="E772" s="5">
        <f t="shared" si="1"/>
        <v>-4640820</v>
      </c>
      <c r="F772" s="15" t="s">
        <v>2464</v>
      </c>
      <c r="G772" s="15" t="s">
        <v>59</v>
      </c>
      <c r="H772" s="14" t="s">
        <v>2042</v>
      </c>
      <c r="I772" s="14"/>
      <c r="J772" s="14"/>
      <c r="K772" s="14"/>
      <c r="L772" s="14"/>
    </row>
    <row r="773" ht="15.75" customHeight="1">
      <c r="A773" s="8"/>
      <c r="B773" s="14" t="s">
        <v>3389</v>
      </c>
      <c r="C773" s="5">
        <v>-554160.0</v>
      </c>
      <c r="D773" s="5">
        <v>0.0</v>
      </c>
      <c r="E773" s="5">
        <f t="shared" si="1"/>
        <v>-4086660</v>
      </c>
      <c r="F773" s="15" t="s">
        <v>2464</v>
      </c>
      <c r="G773" s="15" t="s">
        <v>59</v>
      </c>
      <c r="H773" s="14" t="s">
        <v>2042</v>
      </c>
      <c r="I773" s="14"/>
      <c r="J773" s="14"/>
      <c r="K773" s="14"/>
      <c r="L773" s="14"/>
    </row>
    <row r="774" ht="15.75" customHeight="1">
      <c r="A774" s="8"/>
      <c r="B774" s="14" t="s">
        <v>3390</v>
      </c>
      <c r="C774" s="5">
        <v>-554160.0</v>
      </c>
      <c r="D774" s="5">
        <v>0.0</v>
      </c>
      <c r="E774" s="5">
        <f t="shared" si="1"/>
        <v>-3532500</v>
      </c>
      <c r="F774" s="15" t="s">
        <v>2464</v>
      </c>
      <c r="G774" s="15" t="s">
        <v>59</v>
      </c>
      <c r="H774" s="14" t="s">
        <v>2042</v>
      </c>
      <c r="I774" s="14"/>
      <c r="J774" s="14"/>
      <c r="K774" s="14"/>
      <c r="L774" s="14"/>
    </row>
    <row r="775" ht="15.75" customHeight="1">
      <c r="A775" s="8"/>
      <c r="B775" s="14" t="s">
        <v>3391</v>
      </c>
      <c r="C775" s="5">
        <v>-1177500.0</v>
      </c>
      <c r="D775" s="5">
        <v>0.0</v>
      </c>
      <c r="E775" s="5">
        <f t="shared" si="1"/>
        <v>-2355000</v>
      </c>
      <c r="F775" s="15" t="s">
        <v>2464</v>
      </c>
      <c r="G775" s="15" t="s">
        <v>59</v>
      </c>
      <c r="H775" s="14" t="s">
        <v>2042</v>
      </c>
      <c r="I775" s="14"/>
      <c r="J775" s="14"/>
      <c r="K775" s="14"/>
      <c r="L775" s="14"/>
    </row>
    <row r="776" ht="15.75" customHeight="1">
      <c r="A776" s="8"/>
      <c r="B776" s="14" t="s">
        <v>3392</v>
      </c>
      <c r="C776" s="5">
        <v>-1177500.0</v>
      </c>
      <c r="D776" s="5">
        <v>0.0</v>
      </c>
      <c r="E776" s="5">
        <f t="shared" si="1"/>
        <v>-1177500</v>
      </c>
      <c r="F776" s="15" t="s">
        <v>2464</v>
      </c>
      <c r="G776" s="15" t="s">
        <v>59</v>
      </c>
      <c r="H776" s="14" t="s">
        <v>2042</v>
      </c>
      <c r="I776" s="14"/>
      <c r="J776" s="14"/>
      <c r="K776" s="14"/>
      <c r="L776" s="14"/>
    </row>
    <row r="777" ht="15.75" customHeight="1">
      <c r="A777" s="8"/>
      <c r="B777" s="14" t="s">
        <v>3393</v>
      </c>
      <c r="C777" s="5">
        <v>-1177500.0</v>
      </c>
      <c r="D777" s="5">
        <v>0.0</v>
      </c>
      <c r="E777" s="5">
        <f t="shared" si="1"/>
        <v>0</v>
      </c>
      <c r="F777" s="15" t="s">
        <v>2464</v>
      </c>
      <c r="G777" s="15" t="s">
        <v>59</v>
      </c>
      <c r="H777" s="14" t="s">
        <v>2042</v>
      </c>
      <c r="I777" s="14"/>
      <c r="J777" s="14"/>
      <c r="K777" s="14"/>
      <c r="L777" s="14"/>
    </row>
    <row r="778" ht="15.75" customHeight="1">
      <c r="A778" s="8">
        <v>46023.0</v>
      </c>
      <c r="B778" s="14" t="s">
        <v>2451</v>
      </c>
      <c r="C778" s="5">
        <v>0.0</v>
      </c>
      <c r="D778" s="5">
        <v>1.764119E7</v>
      </c>
      <c r="E778" s="5">
        <f t="shared" si="1"/>
        <v>17641190</v>
      </c>
      <c r="F778" s="14" t="s">
        <v>24</v>
      </c>
      <c r="G778" s="14" t="s">
        <v>125</v>
      </c>
      <c r="H778" s="14" t="s">
        <v>2058</v>
      </c>
      <c r="I778" s="14"/>
      <c r="J778" s="14"/>
      <c r="K778" s="14"/>
      <c r="L778" s="14"/>
    </row>
    <row r="779" ht="15.75" customHeight="1">
      <c r="A779" s="8"/>
      <c r="B779" s="14" t="s">
        <v>3394</v>
      </c>
      <c r="C779" s="5">
        <v>1.594019E7</v>
      </c>
      <c r="D779" s="5"/>
      <c r="E779" s="5">
        <f t="shared" si="1"/>
        <v>1701000</v>
      </c>
      <c r="F779" s="15" t="s">
        <v>2464</v>
      </c>
      <c r="G779" s="15" t="s">
        <v>59</v>
      </c>
      <c r="H779" s="14" t="s">
        <v>2058</v>
      </c>
      <c r="I779" s="14"/>
      <c r="J779" s="14"/>
      <c r="K779" s="14"/>
      <c r="L779" s="14"/>
    </row>
    <row r="780" ht="15.75" customHeight="1">
      <c r="A780" s="8"/>
      <c r="B780" s="14" t="s">
        <v>3395</v>
      </c>
      <c r="C780" s="5">
        <v>1701000.0</v>
      </c>
      <c r="D780" s="5"/>
      <c r="E780" s="5">
        <f t="shared" si="1"/>
        <v>0</v>
      </c>
      <c r="F780" s="15" t="s">
        <v>2464</v>
      </c>
      <c r="G780" s="15" t="s">
        <v>59</v>
      </c>
      <c r="H780" s="14" t="s">
        <v>2058</v>
      </c>
      <c r="I780" s="14"/>
      <c r="J780" s="14"/>
      <c r="K780" s="14"/>
      <c r="L780" s="14"/>
    </row>
    <row r="781" ht="15.75" customHeight="1">
      <c r="A781" s="8">
        <v>46023.0</v>
      </c>
      <c r="B781" s="14" t="s">
        <v>3396</v>
      </c>
      <c r="C781" s="5">
        <v>0.0</v>
      </c>
      <c r="D781" s="5">
        <v>1.21E8</v>
      </c>
      <c r="E781" s="5">
        <f t="shared" si="1"/>
        <v>121000000</v>
      </c>
      <c r="F781" s="14" t="s">
        <v>75</v>
      </c>
      <c r="G781" s="14" t="s">
        <v>76</v>
      </c>
      <c r="H781" s="14" t="s">
        <v>2670</v>
      </c>
      <c r="I781" s="18" t="s">
        <v>3397</v>
      </c>
      <c r="J781" s="14"/>
      <c r="K781" s="14"/>
      <c r="L781" s="14"/>
    </row>
    <row r="782" ht="15.75" customHeight="1">
      <c r="A782" s="8"/>
      <c r="B782" s="14" t="s">
        <v>3398</v>
      </c>
      <c r="C782" s="5">
        <v>1.2E8</v>
      </c>
      <c r="D782" s="5">
        <v>0.0</v>
      </c>
      <c r="E782" s="5">
        <f t="shared" si="1"/>
        <v>1000000</v>
      </c>
      <c r="F782" s="14" t="s">
        <v>18</v>
      </c>
      <c r="G782" s="14" t="s">
        <v>814</v>
      </c>
      <c r="H782" s="14" t="s">
        <v>2670</v>
      </c>
      <c r="I782" s="14"/>
      <c r="J782" s="14"/>
      <c r="K782" s="14"/>
      <c r="L782" s="14"/>
    </row>
    <row r="783" ht="15.75" customHeight="1">
      <c r="A783" s="8"/>
      <c r="B783" s="14" t="s">
        <v>3399</v>
      </c>
      <c r="C783" s="5">
        <v>1000000.0</v>
      </c>
      <c r="D783" s="5">
        <v>0.0</v>
      </c>
      <c r="E783" s="5">
        <f t="shared" si="1"/>
        <v>0</v>
      </c>
      <c r="F783" s="14" t="s">
        <v>18</v>
      </c>
      <c r="G783" s="14" t="s">
        <v>814</v>
      </c>
      <c r="H783" s="14" t="s">
        <v>2670</v>
      </c>
      <c r="I783" s="14"/>
      <c r="J783" s="14"/>
      <c r="K783" s="14"/>
      <c r="L783" s="14"/>
    </row>
    <row r="784" ht="15.75" customHeight="1">
      <c r="A784" s="8">
        <v>46023.0</v>
      </c>
      <c r="B784" s="14" t="s">
        <v>3400</v>
      </c>
      <c r="C784" s="5">
        <v>0.0</v>
      </c>
      <c r="D784" s="5">
        <v>5500000.0</v>
      </c>
      <c r="E784" s="5">
        <f t="shared" si="1"/>
        <v>5500000</v>
      </c>
      <c r="F784" s="4" t="s">
        <v>1201</v>
      </c>
      <c r="G784" s="4" t="s">
        <v>2000</v>
      </c>
      <c r="H784" s="14"/>
      <c r="I784" s="14"/>
      <c r="J784" s="14"/>
      <c r="K784" s="14"/>
      <c r="L784" s="14"/>
    </row>
    <row r="785" ht="15.75" customHeight="1">
      <c r="A785" s="8"/>
      <c r="B785" s="14" t="s">
        <v>3400</v>
      </c>
      <c r="C785" s="5">
        <v>5500000.0</v>
      </c>
      <c r="D785" s="5">
        <v>0.0</v>
      </c>
      <c r="E785" s="5">
        <f t="shared" si="1"/>
        <v>0</v>
      </c>
      <c r="F785" s="14" t="s">
        <v>18</v>
      </c>
      <c r="G785" s="14" t="s">
        <v>194</v>
      </c>
      <c r="H785" s="4" t="s">
        <v>3401</v>
      </c>
      <c r="I785" s="14" t="s">
        <v>3402</v>
      </c>
      <c r="J785" s="14"/>
      <c r="K785" s="14"/>
      <c r="L785" s="14"/>
    </row>
    <row r="786" ht="15.75" customHeight="1">
      <c r="A786" s="8">
        <v>46023.0</v>
      </c>
      <c r="B786" s="14" t="s">
        <v>3403</v>
      </c>
      <c r="C786" s="5">
        <v>0.0</v>
      </c>
      <c r="D786" s="5">
        <v>4954955.0</v>
      </c>
      <c r="E786" s="5">
        <f t="shared" si="1"/>
        <v>4954955</v>
      </c>
      <c r="F786" s="4" t="s">
        <v>1201</v>
      </c>
      <c r="G786" s="4" t="s">
        <v>2000</v>
      </c>
      <c r="H786" s="14"/>
      <c r="I786" s="14"/>
      <c r="J786" s="14"/>
      <c r="K786" s="14"/>
      <c r="L786" s="14"/>
    </row>
    <row r="787" ht="15.75" customHeight="1">
      <c r="A787" s="8"/>
      <c r="B787" s="14" t="s">
        <v>3403</v>
      </c>
      <c r="C787" s="5">
        <v>4954955.0</v>
      </c>
      <c r="D787" s="5">
        <v>0.0</v>
      </c>
      <c r="E787" s="5">
        <f t="shared" si="1"/>
        <v>0</v>
      </c>
      <c r="F787" s="14" t="s">
        <v>18</v>
      </c>
      <c r="G787" s="14" t="s">
        <v>194</v>
      </c>
      <c r="H787" s="4" t="s">
        <v>3401</v>
      </c>
      <c r="I787" s="14" t="s">
        <v>3404</v>
      </c>
      <c r="J787" s="14"/>
      <c r="K787" s="14"/>
      <c r="L787" s="14"/>
    </row>
    <row r="788" ht="15.75" customHeight="1">
      <c r="A788" s="8">
        <v>46023.0</v>
      </c>
      <c r="B788" s="14" t="s">
        <v>3405</v>
      </c>
      <c r="C788" s="5">
        <v>0.0</v>
      </c>
      <c r="D788" s="5">
        <v>5852239.0</v>
      </c>
      <c r="E788" s="5">
        <f t="shared" si="1"/>
        <v>5852239</v>
      </c>
      <c r="F788" s="14" t="s">
        <v>24</v>
      </c>
      <c r="G788" s="14" t="s">
        <v>1787</v>
      </c>
      <c r="H788" s="4" t="s">
        <v>3406</v>
      </c>
      <c r="I788" s="14"/>
      <c r="J788" s="14"/>
      <c r="K788" s="14"/>
      <c r="L788" s="14"/>
    </row>
    <row r="789" ht="15.75" customHeight="1">
      <c r="A789" s="8"/>
      <c r="B789" s="14" t="s">
        <v>3405</v>
      </c>
      <c r="C789" s="5">
        <v>5852239.0</v>
      </c>
      <c r="D789" s="5">
        <v>0.0</v>
      </c>
      <c r="E789" s="5">
        <f t="shared" si="1"/>
        <v>0</v>
      </c>
      <c r="F789" s="14" t="s">
        <v>1201</v>
      </c>
      <c r="G789" s="14" t="s">
        <v>124</v>
      </c>
      <c r="I789" s="14"/>
      <c r="J789" s="14"/>
      <c r="K789" s="14"/>
      <c r="L789" s="14"/>
    </row>
    <row r="790" ht="15.75" customHeight="1">
      <c r="A790" s="8">
        <v>46023.0</v>
      </c>
      <c r="B790" s="14" t="s">
        <v>3407</v>
      </c>
      <c r="C790" s="5">
        <v>0.0</v>
      </c>
      <c r="D790" s="5">
        <v>2701801.0</v>
      </c>
      <c r="E790" s="5">
        <f t="shared" si="1"/>
        <v>2701801</v>
      </c>
      <c r="F790" s="14" t="s">
        <v>24</v>
      </c>
      <c r="G790" s="14" t="s">
        <v>1787</v>
      </c>
      <c r="H790" s="14" t="s">
        <v>3408</v>
      </c>
      <c r="I790" s="14" t="s">
        <v>3409</v>
      </c>
      <c r="J790" s="14"/>
      <c r="K790" s="14"/>
      <c r="L790" s="14"/>
    </row>
    <row r="791" ht="15.75" customHeight="1">
      <c r="A791" s="8"/>
      <c r="B791" s="14" t="s">
        <v>3407</v>
      </c>
      <c r="C791" s="5">
        <v>2701801.0</v>
      </c>
      <c r="D791" s="5">
        <v>0.0</v>
      </c>
      <c r="E791" s="5">
        <f t="shared" si="1"/>
        <v>0</v>
      </c>
      <c r="F791" s="14" t="s">
        <v>1201</v>
      </c>
      <c r="G791" s="14" t="s">
        <v>124</v>
      </c>
      <c r="I791" s="14"/>
      <c r="J791" s="14"/>
      <c r="K791" s="14"/>
      <c r="L791" s="14"/>
    </row>
    <row r="792" ht="15.75" customHeight="1">
      <c r="A792" s="8">
        <v>46036.0</v>
      </c>
      <c r="B792" s="14" t="s">
        <v>182</v>
      </c>
      <c r="C792" s="5">
        <v>0.0</v>
      </c>
      <c r="D792" s="5">
        <v>25850.0</v>
      </c>
      <c r="E792" s="5">
        <f t="shared" si="1"/>
        <v>25850</v>
      </c>
      <c r="F792" s="14" t="s">
        <v>1201</v>
      </c>
      <c r="G792" s="14" t="s">
        <v>2000</v>
      </c>
      <c r="H792" s="14" t="s">
        <v>6</v>
      </c>
      <c r="I792" s="14"/>
      <c r="J792" s="14"/>
      <c r="K792" s="14"/>
      <c r="L792" s="14"/>
    </row>
    <row r="793" ht="15.75" customHeight="1">
      <c r="A793" s="8"/>
      <c r="B793" s="14" t="s">
        <v>182</v>
      </c>
      <c r="C793" s="5">
        <v>25850.0</v>
      </c>
      <c r="D793" s="5"/>
      <c r="E793" s="5"/>
      <c r="F793" s="14" t="s">
        <v>18</v>
      </c>
      <c r="G793" s="14" t="s">
        <v>80</v>
      </c>
      <c r="H793" s="14" t="s">
        <v>90</v>
      </c>
      <c r="I793" s="14"/>
      <c r="J793" s="14"/>
      <c r="K793" s="14"/>
      <c r="L793" s="14"/>
    </row>
    <row r="794" ht="15.75" customHeight="1">
      <c r="A794" s="8">
        <v>46044.0</v>
      </c>
      <c r="B794" s="14" t="s">
        <v>3410</v>
      </c>
      <c r="C794" s="5">
        <v>0.0</v>
      </c>
      <c r="D794" s="5">
        <v>770000.0</v>
      </c>
      <c r="E794" s="5">
        <f>E791-C794+D794</f>
        <v>770000</v>
      </c>
      <c r="F794" s="14" t="s">
        <v>18</v>
      </c>
      <c r="G794" s="14" t="s">
        <v>19</v>
      </c>
      <c r="H794" s="14" t="s">
        <v>20</v>
      </c>
      <c r="I794" s="14"/>
      <c r="J794" s="14"/>
      <c r="K794" s="14"/>
      <c r="L794" s="14"/>
    </row>
    <row r="795" ht="15.75" customHeight="1">
      <c r="A795" s="8"/>
      <c r="B795" s="14" t="s">
        <v>3410</v>
      </c>
      <c r="C795" s="5">
        <v>770000.0</v>
      </c>
      <c r="D795" s="5">
        <v>0.0</v>
      </c>
      <c r="E795" s="5">
        <f t="shared" ref="E795:E2512" si="2">E794-C795+D795</f>
        <v>0</v>
      </c>
      <c r="F795" s="14" t="s">
        <v>93</v>
      </c>
      <c r="G795" s="14" t="s">
        <v>93</v>
      </c>
      <c r="H795" s="14" t="s">
        <v>1788</v>
      </c>
      <c r="I795" s="14" t="s">
        <v>185</v>
      </c>
      <c r="J795" s="14"/>
      <c r="K795" s="14"/>
      <c r="L795" s="14"/>
    </row>
    <row r="796" ht="15.75" customHeight="1">
      <c r="A796" s="8">
        <v>46052.0</v>
      </c>
      <c r="B796" s="4" t="s">
        <v>542</v>
      </c>
      <c r="C796" s="5">
        <v>0.0</v>
      </c>
      <c r="D796" s="5">
        <v>3.0590714E7</v>
      </c>
      <c r="E796" s="5">
        <f t="shared" si="2"/>
        <v>30590714</v>
      </c>
      <c r="F796" s="4" t="s">
        <v>21</v>
      </c>
      <c r="G796" s="4" t="s">
        <v>448</v>
      </c>
      <c r="H796" s="4" t="s">
        <v>38</v>
      </c>
    </row>
    <row r="797" ht="15.75" customHeight="1">
      <c r="A797" s="8">
        <v>46040.0</v>
      </c>
      <c r="B797" s="4" t="s">
        <v>3411</v>
      </c>
      <c r="C797" s="5">
        <v>1937340.0</v>
      </c>
      <c r="D797" s="5">
        <v>0.0</v>
      </c>
      <c r="E797" s="5">
        <f t="shared" si="2"/>
        <v>28653374</v>
      </c>
      <c r="F797" s="4" t="s">
        <v>43</v>
      </c>
      <c r="G797" s="4" t="s">
        <v>1356</v>
      </c>
    </row>
    <row r="798" ht="15.75" customHeight="1">
      <c r="A798" s="8">
        <v>46009.0</v>
      </c>
      <c r="B798" s="4" t="s">
        <v>3412</v>
      </c>
      <c r="C798" s="5">
        <v>357400.0</v>
      </c>
      <c r="D798" s="5">
        <v>0.0</v>
      </c>
      <c r="E798" s="5">
        <f t="shared" si="2"/>
        <v>28295974</v>
      </c>
      <c r="F798" s="4" t="s">
        <v>50</v>
      </c>
      <c r="G798" s="4" t="s">
        <v>245</v>
      </c>
      <c r="H798" s="4" t="s">
        <v>413</v>
      </c>
      <c r="I798" s="4" t="s">
        <v>6</v>
      </c>
    </row>
    <row r="799" ht="15.75" customHeight="1">
      <c r="A799" s="8">
        <v>46009.0</v>
      </c>
      <c r="B799" s="4" t="s">
        <v>3413</v>
      </c>
      <c r="C799" s="5">
        <v>336100.0</v>
      </c>
      <c r="D799" s="5">
        <v>0.0</v>
      </c>
      <c r="E799" s="5">
        <f t="shared" si="2"/>
        <v>27959874</v>
      </c>
      <c r="F799" s="4" t="s">
        <v>105</v>
      </c>
      <c r="G799" s="4" t="s">
        <v>380</v>
      </c>
      <c r="I799" s="4" t="s">
        <v>2395</v>
      </c>
    </row>
    <row r="800" ht="15.75" customHeight="1">
      <c r="A800" s="8">
        <v>46010.0</v>
      </c>
      <c r="B800" s="4" t="s">
        <v>3414</v>
      </c>
      <c r="C800" s="5">
        <v>1782340.0</v>
      </c>
      <c r="D800" s="5">
        <v>0.0</v>
      </c>
      <c r="E800" s="5">
        <f t="shared" si="2"/>
        <v>26177534</v>
      </c>
      <c r="F800" s="4" t="s">
        <v>1471</v>
      </c>
      <c r="G800" s="4" t="s">
        <v>1579</v>
      </c>
      <c r="I800" s="4" t="s">
        <v>6</v>
      </c>
    </row>
    <row r="801" ht="15.75" customHeight="1">
      <c r="A801" s="8">
        <v>46010.0</v>
      </c>
      <c r="B801" s="4" t="s">
        <v>3415</v>
      </c>
      <c r="C801" s="5">
        <v>163415.0</v>
      </c>
      <c r="D801" s="5">
        <v>0.0</v>
      </c>
      <c r="E801" s="5">
        <f t="shared" si="2"/>
        <v>26014119</v>
      </c>
      <c r="F801" s="4" t="s">
        <v>18</v>
      </c>
      <c r="G801" s="4" t="s">
        <v>80</v>
      </c>
      <c r="H801" s="4" t="s">
        <v>263</v>
      </c>
      <c r="I801" s="4" t="s">
        <v>6</v>
      </c>
    </row>
    <row r="802" ht="15.75" customHeight="1">
      <c r="A802" s="8">
        <v>46010.0</v>
      </c>
      <c r="B802" s="4" t="s">
        <v>3416</v>
      </c>
      <c r="C802" s="5">
        <v>6806591.0</v>
      </c>
      <c r="D802" s="5">
        <v>0.0</v>
      </c>
      <c r="E802" s="5">
        <f t="shared" si="2"/>
        <v>19207528</v>
      </c>
      <c r="F802" s="4" t="s">
        <v>18</v>
      </c>
      <c r="G802" s="4" t="s">
        <v>80</v>
      </c>
      <c r="H802" s="4" t="s">
        <v>324</v>
      </c>
      <c r="I802" s="4" t="s">
        <v>6</v>
      </c>
    </row>
    <row r="803" ht="15.75" customHeight="1">
      <c r="A803" s="8">
        <v>46010.0</v>
      </c>
      <c r="B803" s="4" t="s">
        <v>3417</v>
      </c>
      <c r="C803" s="5">
        <v>1946322.0</v>
      </c>
      <c r="D803" s="5">
        <v>0.0</v>
      </c>
      <c r="E803" s="5">
        <f t="shared" si="2"/>
        <v>17261206</v>
      </c>
      <c r="F803" s="4" t="s">
        <v>2464</v>
      </c>
      <c r="G803" s="4" t="s">
        <v>59</v>
      </c>
      <c r="H803" s="4" t="s">
        <v>1610</v>
      </c>
      <c r="I803" s="4" t="s">
        <v>6</v>
      </c>
    </row>
    <row r="804" ht="15.75" customHeight="1">
      <c r="A804" s="8">
        <v>46010.0</v>
      </c>
      <c r="B804" s="4" t="s">
        <v>3418</v>
      </c>
      <c r="C804" s="5">
        <v>734233.0</v>
      </c>
      <c r="D804" s="5">
        <v>0.0</v>
      </c>
      <c r="E804" s="5">
        <f t="shared" si="2"/>
        <v>16526973</v>
      </c>
      <c r="F804" s="4" t="s">
        <v>2464</v>
      </c>
      <c r="G804" s="4" t="s">
        <v>59</v>
      </c>
      <c r="H804" s="4" t="s">
        <v>61</v>
      </c>
      <c r="I804" s="4" t="s">
        <v>6</v>
      </c>
    </row>
    <row r="805" ht="15.75" customHeight="1">
      <c r="A805" s="8">
        <v>46010.0</v>
      </c>
      <c r="B805" s="4" t="s">
        <v>3419</v>
      </c>
      <c r="C805" s="5">
        <v>861453.0</v>
      </c>
      <c r="D805" s="5">
        <v>0.0</v>
      </c>
      <c r="E805" s="5">
        <f t="shared" si="2"/>
        <v>15665520</v>
      </c>
      <c r="F805" s="4" t="s">
        <v>2464</v>
      </c>
      <c r="G805" s="4" t="s">
        <v>59</v>
      </c>
      <c r="H805" s="4" t="s">
        <v>809</v>
      </c>
      <c r="I805" s="4" t="s">
        <v>6</v>
      </c>
    </row>
    <row r="806" ht="15.75" customHeight="1">
      <c r="A806" s="8">
        <v>46013.0</v>
      </c>
      <c r="B806" s="4" t="s">
        <v>3420</v>
      </c>
      <c r="C806" s="5">
        <v>5324000.0</v>
      </c>
      <c r="D806" s="5">
        <v>0.0</v>
      </c>
      <c r="E806" s="5">
        <f t="shared" si="2"/>
        <v>10341520</v>
      </c>
      <c r="F806" s="14" t="s">
        <v>24</v>
      </c>
      <c r="G806" s="14" t="s">
        <v>125</v>
      </c>
      <c r="H806" s="14" t="s">
        <v>204</v>
      </c>
      <c r="I806" s="4" t="s">
        <v>6</v>
      </c>
    </row>
    <row r="807" ht="15.75" customHeight="1">
      <c r="A807" s="8">
        <v>46013.0</v>
      </c>
      <c r="B807" s="4" t="s">
        <v>3421</v>
      </c>
      <c r="C807" s="5">
        <v>3608350.0</v>
      </c>
      <c r="D807" s="5">
        <v>0.0</v>
      </c>
      <c r="E807" s="5">
        <f t="shared" si="2"/>
        <v>6733170</v>
      </c>
      <c r="F807" s="4" t="s">
        <v>50</v>
      </c>
      <c r="G807" s="4" t="s">
        <v>1988</v>
      </c>
      <c r="H807" s="4" t="s">
        <v>6</v>
      </c>
      <c r="I807" s="4" t="s">
        <v>6</v>
      </c>
    </row>
    <row r="808" ht="15.75" customHeight="1">
      <c r="A808" s="8">
        <v>46016.0</v>
      </c>
      <c r="B808" s="4" t="s">
        <v>3422</v>
      </c>
      <c r="C808" s="5">
        <v>1439000.0</v>
      </c>
      <c r="D808" s="5">
        <v>0.0</v>
      </c>
      <c r="E808" s="5">
        <f t="shared" si="2"/>
        <v>5294170</v>
      </c>
      <c r="F808" s="14" t="s">
        <v>24</v>
      </c>
      <c r="G808" s="14" t="s">
        <v>125</v>
      </c>
      <c r="H808" s="14" t="s">
        <v>204</v>
      </c>
      <c r="I808" s="4" t="s">
        <v>6</v>
      </c>
    </row>
    <row r="809" ht="15.75" customHeight="1">
      <c r="A809" s="8">
        <v>46017.0</v>
      </c>
      <c r="B809" s="4" t="s">
        <v>3423</v>
      </c>
      <c r="C809" s="5">
        <v>3800000.0</v>
      </c>
      <c r="D809" s="5">
        <v>0.0</v>
      </c>
      <c r="E809" s="5">
        <f t="shared" si="2"/>
        <v>1494170</v>
      </c>
      <c r="F809" s="14" t="s">
        <v>24</v>
      </c>
      <c r="G809" s="14" t="s">
        <v>125</v>
      </c>
      <c r="H809" s="14" t="s">
        <v>204</v>
      </c>
      <c r="I809" s="4" t="s">
        <v>6</v>
      </c>
    </row>
    <row r="810" ht="15.75" customHeight="1">
      <c r="A810" s="8">
        <v>46017.0</v>
      </c>
      <c r="B810" s="4" t="s">
        <v>3424</v>
      </c>
      <c r="C810" s="5">
        <v>280035.0</v>
      </c>
      <c r="D810" s="5">
        <v>0.0</v>
      </c>
      <c r="E810" s="5">
        <f t="shared" si="2"/>
        <v>1214135</v>
      </c>
      <c r="F810" s="14" t="s">
        <v>24</v>
      </c>
      <c r="G810" s="14" t="s">
        <v>125</v>
      </c>
      <c r="H810" s="14" t="s">
        <v>204</v>
      </c>
      <c r="I810" s="4" t="s">
        <v>6</v>
      </c>
    </row>
    <row r="811" ht="15.75" customHeight="1">
      <c r="A811" s="8">
        <v>46017.0</v>
      </c>
      <c r="B811" s="4" t="s">
        <v>3425</v>
      </c>
      <c r="C811" s="5">
        <v>280035.0</v>
      </c>
      <c r="D811" s="5">
        <v>0.0</v>
      </c>
      <c r="E811" s="5">
        <f t="shared" si="2"/>
        <v>934100</v>
      </c>
      <c r="F811" s="14" t="s">
        <v>24</v>
      </c>
      <c r="G811" s="14" t="s">
        <v>125</v>
      </c>
      <c r="H811" s="14" t="s">
        <v>204</v>
      </c>
      <c r="I811" s="4" t="s">
        <v>6</v>
      </c>
    </row>
    <row r="812" ht="15.75" customHeight="1">
      <c r="A812" s="8">
        <v>46009.0</v>
      </c>
      <c r="B812" s="4" t="s">
        <v>3426</v>
      </c>
      <c r="C812" s="5">
        <v>407900.0</v>
      </c>
      <c r="D812" s="5">
        <v>0.0</v>
      </c>
      <c r="E812" s="5">
        <f t="shared" si="2"/>
        <v>526200</v>
      </c>
      <c r="F812" s="4" t="s">
        <v>105</v>
      </c>
      <c r="G812" s="4" t="s">
        <v>2064</v>
      </c>
      <c r="H812" s="4" t="s">
        <v>3427</v>
      </c>
      <c r="I812" s="4" t="s">
        <v>6</v>
      </c>
    </row>
    <row r="813" ht="15.75" customHeight="1">
      <c r="A813" s="8">
        <v>46031.0</v>
      </c>
      <c r="B813" s="4" t="s">
        <v>3428</v>
      </c>
      <c r="C813" s="5">
        <v>526200.0</v>
      </c>
      <c r="D813" s="5">
        <v>0.0</v>
      </c>
      <c r="E813" s="5">
        <f t="shared" si="2"/>
        <v>0</v>
      </c>
      <c r="F813" s="4" t="s">
        <v>105</v>
      </c>
      <c r="G813" s="4" t="s">
        <v>2064</v>
      </c>
      <c r="H813" s="15" t="s">
        <v>72</v>
      </c>
      <c r="I813" s="4" t="s">
        <v>6</v>
      </c>
    </row>
    <row r="814" ht="15.75" customHeight="1">
      <c r="A814" s="8">
        <v>46054.0</v>
      </c>
      <c r="B814" s="4" t="s">
        <v>632</v>
      </c>
      <c r="C814" s="5">
        <v>0.0</v>
      </c>
      <c r="D814" s="5">
        <v>258691.0</v>
      </c>
      <c r="E814" s="5">
        <f t="shared" si="2"/>
        <v>258691</v>
      </c>
      <c r="F814" s="4" t="s">
        <v>21</v>
      </c>
      <c r="G814" s="4" t="s">
        <v>448</v>
      </c>
      <c r="H814" s="4" t="s">
        <v>55</v>
      </c>
    </row>
    <row r="815" ht="15.75" customHeight="1">
      <c r="A815" s="8">
        <v>46015.0</v>
      </c>
      <c r="B815" s="4" t="s">
        <v>3429</v>
      </c>
      <c r="C815" s="5">
        <v>5000.0</v>
      </c>
      <c r="D815" s="5">
        <v>0.0</v>
      </c>
      <c r="E815" s="5">
        <f t="shared" si="2"/>
        <v>253691</v>
      </c>
      <c r="F815" s="4" t="s">
        <v>43</v>
      </c>
      <c r="G815" s="4" t="s">
        <v>45</v>
      </c>
    </row>
    <row r="816" ht="15.75" customHeight="1">
      <c r="A816" s="8">
        <v>46030.0</v>
      </c>
      <c r="B816" s="4" t="s">
        <v>3430</v>
      </c>
      <c r="C816" s="5">
        <v>7500.0</v>
      </c>
      <c r="D816" s="5">
        <v>0.0</v>
      </c>
      <c r="E816" s="5">
        <f t="shared" si="2"/>
        <v>246191</v>
      </c>
      <c r="F816" s="4" t="s">
        <v>43</v>
      </c>
      <c r="G816" s="4" t="s">
        <v>45</v>
      </c>
      <c r="I816" s="4" t="s">
        <v>6</v>
      </c>
    </row>
    <row r="817" ht="15.75" customHeight="1">
      <c r="A817" s="8">
        <v>46036.0</v>
      </c>
      <c r="B817" s="4" t="s">
        <v>3431</v>
      </c>
      <c r="C817" s="5">
        <v>236191.0</v>
      </c>
      <c r="D817" s="5">
        <v>0.0</v>
      </c>
      <c r="E817" s="5">
        <f t="shared" si="2"/>
        <v>10000</v>
      </c>
      <c r="F817" s="4" t="s">
        <v>1471</v>
      </c>
      <c r="G817" s="4" t="s">
        <v>1579</v>
      </c>
    </row>
    <row r="818" ht="15.75" customHeight="1">
      <c r="A818" s="8">
        <v>46042.0</v>
      </c>
      <c r="B818" s="4" t="s">
        <v>3432</v>
      </c>
      <c r="C818" s="5">
        <v>10000.0</v>
      </c>
      <c r="D818" s="5">
        <v>0.0</v>
      </c>
      <c r="E818" s="5">
        <f t="shared" si="2"/>
        <v>0</v>
      </c>
      <c r="F818" s="4" t="s">
        <v>43</v>
      </c>
      <c r="G818" s="4" t="s">
        <v>45</v>
      </c>
    </row>
    <row r="819" ht="15.75" customHeight="1">
      <c r="A819" s="8">
        <v>46054.0</v>
      </c>
      <c r="B819" s="4" t="s">
        <v>641</v>
      </c>
      <c r="C819" s="5">
        <v>0.0</v>
      </c>
      <c r="D819" s="5">
        <v>829200.0</v>
      </c>
      <c r="E819" s="5">
        <f t="shared" si="2"/>
        <v>829200</v>
      </c>
      <c r="F819" s="4" t="s">
        <v>21</v>
      </c>
      <c r="G819" s="4" t="s">
        <v>448</v>
      </c>
      <c r="H819" s="4" t="s">
        <v>70</v>
      </c>
    </row>
    <row r="820" ht="15.75" customHeight="1">
      <c r="A820" s="8">
        <v>46031.0</v>
      </c>
      <c r="B820" s="4" t="s">
        <v>3433</v>
      </c>
      <c r="C820" s="5">
        <v>361600.0</v>
      </c>
      <c r="D820" s="5">
        <v>0.0</v>
      </c>
      <c r="E820" s="5">
        <f t="shared" si="2"/>
        <v>467600</v>
      </c>
      <c r="F820" s="4" t="s">
        <v>50</v>
      </c>
      <c r="G820" s="4" t="s">
        <v>245</v>
      </c>
      <c r="H820" s="4" t="s">
        <v>246</v>
      </c>
    </row>
    <row r="821" ht="15.75" customHeight="1">
      <c r="A821" s="8">
        <v>46035.0</v>
      </c>
      <c r="B821" s="4" t="s">
        <v>3434</v>
      </c>
      <c r="C821" s="5">
        <v>457600.0</v>
      </c>
      <c r="D821" s="5">
        <v>0.0</v>
      </c>
      <c r="E821" s="5">
        <f t="shared" si="2"/>
        <v>10000</v>
      </c>
      <c r="F821" s="4" t="s">
        <v>1471</v>
      </c>
      <c r="G821" s="4" t="s">
        <v>3435</v>
      </c>
    </row>
    <row r="822" ht="15.75" customHeight="1">
      <c r="A822" s="8">
        <v>46041.0</v>
      </c>
      <c r="B822" s="4" t="s">
        <v>3432</v>
      </c>
      <c r="C822" s="5">
        <v>10000.0</v>
      </c>
      <c r="D822" s="5">
        <v>0.0</v>
      </c>
      <c r="E822" s="5">
        <f t="shared" si="2"/>
        <v>0</v>
      </c>
      <c r="F822" s="4" t="s">
        <v>43</v>
      </c>
      <c r="G822" s="4" t="s">
        <v>45</v>
      </c>
    </row>
    <row r="823" ht="15.75" customHeight="1">
      <c r="A823" s="8">
        <v>46068.0</v>
      </c>
      <c r="B823" s="4" t="s">
        <v>132</v>
      </c>
      <c r="C823" s="5">
        <v>0.0</v>
      </c>
      <c r="D823" s="5">
        <v>2.06028008E8</v>
      </c>
      <c r="E823" s="5">
        <f t="shared" si="2"/>
        <v>206028008</v>
      </c>
      <c r="F823" s="4" t="s">
        <v>21</v>
      </c>
      <c r="G823" s="4" t="s">
        <v>136</v>
      </c>
      <c r="H823" s="4" t="s">
        <v>28</v>
      </c>
    </row>
    <row r="824" ht="15.75" customHeight="1">
      <c r="A824" s="8">
        <v>46031.0</v>
      </c>
      <c r="B824" s="4" t="s">
        <v>3436</v>
      </c>
      <c r="C824" s="5">
        <v>1.23083457E8</v>
      </c>
      <c r="D824" s="5">
        <v>0.0</v>
      </c>
      <c r="E824" s="5">
        <f t="shared" si="2"/>
        <v>82944551</v>
      </c>
      <c r="F824" s="4" t="s">
        <v>2464</v>
      </c>
      <c r="G824" s="4" t="s">
        <v>59</v>
      </c>
      <c r="H824" s="14" t="s">
        <v>458</v>
      </c>
    </row>
    <row r="825" ht="15.75" customHeight="1">
      <c r="A825" s="8">
        <v>46031.0</v>
      </c>
      <c r="B825" s="4" t="s">
        <v>3437</v>
      </c>
      <c r="C825" s="5">
        <v>4.9233556E7</v>
      </c>
      <c r="D825" s="5">
        <v>0.0</v>
      </c>
      <c r="E825" s="5">
        <f t="shared" si="2"/>
        <v>33710995</v>
      </c>
      <c r="F825" s="4" t="s">
        <v>2464</v>
      </c>
      <c r="G825" s="4" t="s">
        <v>59</v>
      </c>
      <c r="H825" s="14" t="s">
        <v>458</v>
      </c>
    </row>
    <row r="826" ht="15.75" customHeight="1">
      <c r="A826" s="8">
        <v>46037.0</v>
      </c>
      <c r="B826" s="4" t="s">
        <v>3438</v>
      </c>
      <c r="C826" s="5">
        <v>1.3929255E7</v>
      </c>
      <c r="D826" s="5">
        <v>0.0</v>
      </c>
      <c r="E826" s="5">
        <f t="shared" si="2"/>
        <v>19781740</v>
      </c>
      <c r="F826" s="4" t="s">
        <v>2464</v>
      </c>
      <c r="G826" s="4" t="s">
        <v>59</v>
      </c>
      <c r="H826" s="14" t="s">
        <v>458</v>
      </c>
    </row>
    <row r="827" ht="15.75" customHeight="1">
      <c r="A827" s="8">
        <v>46044.0</v>
      </c>
      <c r="B827" s="4" t="s">
        <v>3439</v>
      </c>
      <c r="C827" s="5">
        <v>781980.0</v>
      </c>
      <c r="D827" s="5">
        <v>0.0</v>
      </c>
      <c r="E827" s="5">
        <f t="shared" si="2"/>
        <v>18999760</v>
      </c>
      <c r="F827" s="4" t="s">
        <v>1471</v>
      </c>
      <c r="G827" s="4" t="s">
        <v>1579</v>
      </c>
    </row>
    <row r="828" ht="15.75" customHeight="1">
      <c r="A828" s="8">
        <v>46046.0</v>
      </c>
      <c r="B828" s="4" t="s">
        <v>3440</v>
      </c>
      <c r="C828" s="5">
        <v>1235934.0</v>
      </c>
      <c r="D828" s="5">
        <v>0.0</v>
      </c>
      <c r="E828" s="5">
        <f t="shared" si="2"/>
        <v>17763826</v>
      </c>
      <c r="F828" s="4" t="s">
        <v>24</v>
      </c>
      <c r="G828" s="4" t="s">
        <v>125</v>
      </c>
      <c r="H828" s="4" t="s">
        <v>3441</v>
      </c>
    </row>
    <row r="829" ht="15.75" customHeight="1">
      <c r="A829" s="8">
        <v>46052.0</v>
      </c>
      <c r="B829" s="4" t="s">
        <v>3442</v>
      </c>
      <c r="C829" s="5">
        <v>34517.0</v>
      </c>
      <c r="D829" s="5">
        <v>0.0</v>
      </c>
      <c r="E829" s="5">
        <f t="shared" si="2"/>
        <v>17729309</v>
      </c>
      <c r="F829" s="4" t="s">
        <v>1201</v>
      </c>
      <c r="G829" s="4" t="s">
        <v>124</v>
      </c>
    </row>
    <row r="830" ht="15.75" customHeight="1">
      <c r="A830" s="8">
        <v>46048.0</v>
      </c>
      <c r="B830" s="4" t="s">
        <v>3443</v>
      </c>
      <c r="C830" s="5">
        <v>978574.0</v>
      </c>
      <c r="D830" s="5">
        <v>0.0</v>
      </c>
      <c r="E830" s="5">
        <f t="shared" si="2"/>
        <v>16750735</v>
      </c>
      <c r="F830" s="4" t="s">
        <v>2464</v>
      </c>
      <c r="G830" s="4" t="s">
        <v>59</v>
      </c>
      <c r="H830" s="14" t="s">
        <v>238</v>
      </c>
    </row>
    <row r="831" ht="15.75" customHeight="1">
      <c r="A831" s="8">
        <v>46050.0</v>
      </c>
      <c r="B831" s="4" t="s">
        <v>3444</v>
      </c>
      <c r="C831" s="5">
        <v>858636.0</v>
      </c>
      <c r="D831" s="5">
        <v>0.0</v>
      </c>
      <c r="E831" s="5">
        <f t="shared" si="2"/>
        <v>15892099</v>
      </c>
      <c r="F831" s="4" t="s">
        <v>2464</v>
      </c>
      <c r="G831" s="4" t="s">
        <v>59</v>
      </c>
      <c r="H831" s="4" t="s">
        <v>809</v>
      </c>
    </row>
    <row r="832" ht="15.75" customHeight="1">
      <c r="A832" s="8">
        <v>46050.0</v>
      </c>
      <c r="B832" s="4" t="s">
        <v>3445</v>
      </c>
      <c r="C832" s="5">
        <v>972716.0</v>
      </c>
      <c r="D832" s="5">
        <v>0.0</v>
      </c>
      <c r="E832" s="5">
        <f t="shared" si="2"/>
        <v>14919383</v>
      </c>
      <c r="F832" s="4" t="s">
        <v>24</v>
      </c>
      <c r="G832" s="4" t="s">
        <v>125</v>
      </c>
      <c r="H832" s="4" t="s">
        <v>359</v>
      </c>
    </row>
    <row r="833" ht="15.75" customHeight="1">
      <c r="A833" s="8">
        <v>46050.0</v>
      </c>
      <c r="B833" s="4" t="s">
        <v>3446</v>
      </c>
      <c r="C833" s="5">
        <v>919014.0</v>
      </c>
      <c r="D833" s="5">
        <v>0.0</v>
      </c>
      <c r="E833" s="5">
        <f t="shared" si="2"/>
        <v>14000369</v>
      </c>
      <c r="F833" s="4" t="s">
        <v>24</v>
      </c>
      <c r="G833" s="4" t="s">
        <v>125</v>
      </c>
      <c r="H833" s="4" t="s">
        <v>359</v>
      </c>
    </row>
    <row r="834" ht="15.75" customHeight="1">
      <c r="A834" s="8">
        <v>46051.0</v>
      </c>
      <c r="B834" s="4" t="s">
        <v>3447</v>
      </c>
      <c r="C834" s="5">
        <v>3607000.0</v>
      </c>
      <c r="D834" s="5">
        <v>0.0</v>
      </c>
      <c r="E834" s="5">
        <f t="shared" si="2"/>
        <v>10393369</v>
      </c>
      <c r="F834" s="4" t="s">
        <v>2464</v>
      </c>
      <c r="G834" s="4" t="s">
        <v>59</v>
      </c>
      <c r="H834" s="4" t="s">
        <v>226</v>
      </c>
    </row>
    <row r="835" ht="15.75" customHeight="1">
      <c r="A835" s="8">
        <v>46052.0</v>
      </c>
      <c r="B835" s="4" t="s">
        <v>3448</v>
      </c>
      <c r="C835" s="5">
        <v>54364.0</v>
      </c>
      <c r="D835" s="5">
        <v>0.0</v>
      </c>
      <c r="E835" s="5">
        <f t="shared" si="2"/>
        <v>10339005</v>
      </c>
      <c r="F835" s="4" t="s">
        <v>1201</v>
      </c>
      <c r="G835" s="4" t="s">
        <v>124</v>
      </c>
    </row>
    <row r="836" ht="15.75" customHeight="1">
      <c r="A836" s="8">
        <v>46046.0</v>
      </c>
      <c r="B836" s="4" t="s">
        <v>3449</v>
      </c>
      <c r="C836" s="5">
        <v>1700000.0</v>
      </c>
      <c r="D836" s="5">
        <v>0.0</v>
      </c>
      <c r="E836" s="5">
        <f t="shared" si="2"/>
        <v>8639005</v>
      </c>
      <c r="F836" s="4" t="s">
        <v>24</v>
      </c>
      <c r="G836" s="4" t="s">
        <v>125</v>
      </c>
      <c r="H836" s="4" t="s">
        <v>3441</v>
      </c>
    </row>
    <row r="837" ht="15.75" customHeight="1">
      <c r="A837" s="8">
        <v>46035.0</v>
      </c>
      <c r="B837" s="4" t="s">
        <v>3450</v>
      </c>
      <c r="C837" s="5">
        <v>1124700.0</v>
      </c>
      <c r="D837" s="5">
        <v>0.0</v>
      </c>
      <c r="E837" s="5">
        <f t="shared" si="2"/>
        <v>7514305</v>
      </c>
      <c r="F837" s="4" t="s">
        <v>105</v>
      </c>
      <c r="G837" s="4" t="s">
        <v>3451</v>
      </c>
      <c r="H837" s="4" t="s">
        <v>72</v>
      </c>
      <c r="I837" s="4" t="s">
        <v>6</v>
      </c>
      <c r="J837" s="4" t="s">
        <v>6</v>
      </c>
    </row>
    <row r="838" ht="15.75" customHeight="1">
      <c r="A838" s="8">
        <v>46042.0</v>
      </c>
      <c r="B838" s="14" t="s">
        <v>3452</v>
      </c>
      <c r="C838" s="5">
        <v>1377000.0</v>
      </c>
      <c r="D838" s="5">
        <v>0.0</v>
      </c>
      <c r="E838" s="5">
        <f t="shared" si="2"/>
        <v>6137305</v>
      </c>
      <c r="F838" s="14" t="s">
        <v>24</v>
      </c>
      <c r="G838" s="14" t="s">
        <v>198</v>
      </c>
      <c r="H838" s="14" t="s">
        <v>72</v>
      </c>
      <c r="I838" s="14" t="s">
        <v>6</v>
      </c>
      <c r="J838" s="14"/>
      <c r="K838" s="14"/>
      <c r="L838" s="14"/>
    </row>
    <row r="839" ht="15.75" customHeight="1">
      <c r="A839" s="8">
        <v>46030.0</v>
      </c>
      <c r="B839" s="4" t="s">
        <v>3453</v>
      </c>
      <c r="C839" s="5">
        <v>321490.0</v>
      </c>
      <c r="D839" s="5">
        <v>0.0</v>
      </c>
      <c r="E839" s="5">
        <f t="shared" si="2"/>
        <v>5815815</v>
      </c>
      <c r="F839" s="4" t="s">
        <v>50</v>
      </c>
      <c r="G839" s="4" t="s">
        <v>245</v>
      </c>
      <c r="H839" s="4" t="s">
        <v>413</v>
      </c>
    </row>
    <row r="840" ht="15.75" customHeight="1">
      <c r="A840" s="8">
        <v>46034.0</v>
      </c>
      <c r="B840" s="4" t="s">
        <v>3454</v>
      </c>
      <c r="C840" s="5">
        <v>196600.0</v>
      </c>
      <c r="D840" s="5">
        <v>0.0</v>
      </c>
      <c r="E840" s="5">
        <f t="shared" si="2"/>
        <v>5619215</v>
      </c>
      <c r="F840" s="4" t="s">
        <v>105</v>
      </c>
      <c r="G840" s="4" t="s">
        <v>2064</v>
      </c>
      <c r="H840" s="15" t="s">
        <v>72</v>
      </c>
    </row>
    <row r="841" ht="15.75" customHeight="1">
      <c r="A841" s="8">
        <v>46033.0</v>
      </c>
      <c r="B841" s="4" t="s">
        <v>3455</v>
      </c>
      <c r="C841" s="5">
        <v>500000.0</v>
      </c>
      <c r="D841" s="5">
        <v>0.0</v>
      </c>
      <c r="E841" s="5">
        <f t="shared" si="2"/>
        <v>5119215</v>
      </c>
      <c r="F841" s="4" t="s">
        <v>2464</v>
      </c>
      <c r="G841" s="4" t="s">
        <v>59</v>
      </c>
      <c r="H841" s="14" t="s">
        <v>100</v>
      </c>
    </row>
    <row r="842" ht="15.75" customHeight="1">
      <c r="A842" s="8">
        <v>46034.0</v>
      </c>
      <c r="B842" s="4" t="s">
        <v>3456</v>
      </c>
      <c r="C842" s="5">
        <v>365180.0</v>
      </c>
      <c r="D842" s="5">
        <v>0.0</v>
      </c>
      <c r="E842" s="5">
        <f t="shared" si="2"/>
        <v>4754035</v>
      </c>
      <c r="F842" s="4" t="s">
        <v>50</v>
      </c>
      <c r="G842" s="4" t="s">
        <v>245</v>
      </c>
      <c r="H842" s="4" t="s">
        <v>413</v>
      </c>
    </row>
    <row r="843" ht="15.75" customHeight="1">
      <c r="A843" s="8">
        <v>46037.0</v>
      </c>
      <c r="B843" s="4" t="s">
        <v>3457</v>
      </c>
      <c r="C843" s="5">
        <v>317210.0</v>
      </c>
      <c r="D843" s="5">
        <v>0.0</v>
      </c>
      <c r="E843" s="5">
        <f t="shared" si="2"/>
        <v>4436825</v>
      </c>
      <c r="F843" s="4" t="s">
        <v>50</v>
      </c>
      <c r="G843" s="4" t="s">
        <v>245</v>
      </c>
      <c r="H843" s="4" t="s">
        <v>413</v>
      </c>
    </row>
    <row r="844" ht="15.75" customHeight="1">
      <c r="A844" s="8">
        <v>46042.0</v>
      </c>
      <c r="B844" s="4" t="s">
        <v>3458</v>
      </c>
      <c r="C844" s="5">
        <v>417990.0</v>
      </c>
      <c r="D844" s="5">
        <v>0.0</v>
      </c>
      <c r="E844" s="5">
        <f t="shared" si="2"/>
        <v>4018835</v>
      </c>
      <c r="F844" s="4" t="s">
        <v>50</v>
      </c>
      <c r="G844" s="4" t="s">
        <v>245</v>
      </c>
      <c r="H844" s="4" t="s">
        <v>413</v>
      </c>
    </row>
    <row r="845" ht="15.75" customHeight="1">
      <c r="A845" s="8">
        <v>46043.0</v>
      </c>
      <c r="B845" s="4" t="s">
        <v>3459</v>
      </c>
      <c r="C845" s="5">
        <v>210700.0</v>
      </c>
      <c r="D845" s="5">
        <v>0.0</v>
      </c>
      <c r="E845" s="5">
        <f t="shared" si="2"/>
        <v>3808135</v>
      </c>
      <c r="F845" s="4" t="s">
        <v>1471</v>
      </c>
      <c r="G845" s="4" t="s">
        <v>3435</v>
      </c>
    </row>
    <row r="846" ht="15.75" customHeight="1">
      <c r="A846" s="8">
        <v>46044.0</v>
      </c>
      <c r="B846" s="4" t="s">
        <v>3460</v>
      </c>
      <c r="C846" s="5">
        <v>200200.0</v>
      </c>
      <c r="D846" s="5">
        <v>0.0</v>
      </c>
      <c r="E846" s="5">
        <f t="shared" si="2"/>
        <v>3607935</v>
      </c>
      <c r="F846" s="4" t="s">
        <v>2464</v>
      </c>
      <c r="G846" s="4" t="s">
        <v>59</v>
      </c>
      <c r="H846" s="4" t="s">
        <v>332</v>
      </c>
    </row>
    <row r="847" ht="15.75" customHeight="1">
      <c r="A847" s="8">
        <v>46044.0</v>
      </c>
      <c r="B847" s="4" t="s">
        <v>3461</v>
      </c>
      <c r="C847" s="5">
        <v>325975.0</v>
      </c>
      <c r="D847" s="5">
        <v>0.0</v>
      </c>
      <c r="E847" s="5">
        <f t="shared" si="2"/>
        <v>3281960</v>
      </c>
      <c r="F847" s="4" t="s">
        <v>50</v>
      </c>
      <c r="G847" s="4" t="s">
        <v>178</v>
      </c>
      <c r="H847" s="4" t="s">
        <v>6</v>
      </c>
      <c r="I847" s="4" t="s">
        <v>6</v>
      </c>
    </row>
    <row r="848" ht="15.75" customHeight="1">
      <c r="A848" s="8">
        <v>46044.0</v>
      </c>
      <c r="B848" s="4" t="s">
        <v>3462</v>
      </c>
      <c r="C848" s="5">
        <v>381500.0</v>
      </c>
      <c r="D848" s="5">
        <v>0.0</v>
      </c>
      <c r="E848" s="5">
        <f t="shared" si="2"/>
        <v>2900460</v>
      </c>
      <c r="F848" s="4" t="s">
        <v>50</v>
      </c>
      <c r="G848" s="4" t="s">
        <v>245</v>
      </c>
      <c r="H848" s="4" t="s">
        <v>413</v>
      </c>
    </row>
    <row r="849" ht="15.75" customHeight="1">
      <c r="A849" s="8">
        <v>46048.0</v>
      </c>
      <c r="B849" s="4" t="s">
        <v>3463</v>
      </c>
      <c r="C849" s="5">
        <v>394580.0</v>
      </c>
      <c r="D849" s="5">
        <v>0.0</v>
      </c>
      <c r="E849" s="5">
        <f t="shared" si="2"/>
        <v>2505880</v>
      </c>
      <c r="F849" s="4" t="s">
        <v>50</v>
      </c>
      <c r="G849" s="4" t="s">
        <v>245</v>
      </c>
      <c r="H849" s="4" t="s">
        <v>413</v>
      </c>
    </row>
    <row r="850" ht="15.75" customHeight="1">
      <c r="A850" s="8">
        <v>46049.0</v>
      </c>
      <c r="B850" s="4" t="s">
        <v>3464</v>
      </c>
      <c r="C850" s="5">
        <v>66400.0</v>
      </c>
      <c r="D850" s="5">
        <v>0.0</v>
      </c>
      <c r="E850" s="5">
        <f t="shared" si="2"/>
        <v>2439480</v>
      </c>
      <c r="F850" s="4" t="s">
        <v>50</v>
      </c>
      <c r="G850" s="4" t="s">
        <v>1984</v>
      </c>
      <c r="H850" s="4" t="s">
        <v>6</v>
      </c>
    </row>
    <row r="851" ht="15.75" customHeight="1">
      <c r="A851" s="8">
        <v>46052.0</v>
      </c>
      <c r="B851" s="4" t="s">
        <v>3465</v>
      </c>
      <c r="C851" s="5">
        <v>250000.0</v>
      </c>
      <c r="D851" s="5">
        <v>0.0</v>
      </c>
      <c r="E851" s="5">
        <f t="shared" si="2"/>
        <v>2189480</v>
      </c>
      <c r="F851" s="4" t="s">
        <v>50</v>
      </c>
      <c r="G851" s="4" t="s">
        <v>245</v>
      </c>
      <c r="H851" s="4" t="s">
        <v>413</v>
      </c>
    </row>
    <row r="852" ht="15.75" customHeight="1">
      <c r="A852" s="8">
        <v>46051.0</v>
      </c>
      <c r="B852" s="4" t="s">
        <v>3466</v>
      </c>
      <c r="C852" s="5">
        <v>240000.0</v>
      </c>
      <c r="D852" s="5">
        <v>0.0</v>
      </c>
      <c r="E852" s="5">
        <f t="shared" si="2"/>
        <v>1949480</v>
      </c>
      <c r="F852" s="4" t="s">
        <v>105</v>
      </c>
      <c r="G852" s="4" t="s">
        <v>3451</v>
      </c>
      <c r="H852" s="4" t="s">
        <v>203</v>
      </c>
      <c r="I852" s="4" t="s">
        <v>6</v>
      </c>
    </row>
    <row r="853" ht="15.75" customHeight="1">
      <c r="A853" s="8">
        <v>46052.0</v>
      </c>
      <c r="B853" s="4" t="s">
        <v>3467</v>
      </c>
      <c r="C853" s="5">
        <v>629000.0</v>
      </c>
      <c r="D853" s="5">
        <v>0.0</v>
      </c>
      <c r="E853" s="5">
        <f t="shared" si="2"/>
        <v>1320480</v>
      </c>
      <c r="F853" s="4" t="s">
        <v>105</v>
      </c>
      <c r="G853" s="4" t="s">
        <v>3451</v>
      </c>
      <c r="H853" s="4" t="s">
        <v>203</v>
      </c>
      <c r="I853" s="4" t="s">
        <v>6</v>
      </c>
    </row>
    <row r="854" ht="15.75" customHeight="1">
      <c r="A854" s="8">
        <v>46042.0</v>
      </c>
      <c r="B854" s="4" t="s">
        <v>3467</v>
      </c>
      <c r="C854" s="5">
        <v>130000.0</v>
      </c>
      <c r="D854" s="5">
        <v>0.0</v>
      </c>
      <c r="E854" s="5">
        <f t="shared" si="2"/>
        <v>1190480</v>
      </c>
      <c r="F854" s="4" t="s">
        <v>105</v>
      </c>
      <c r="G854" s="4" t="s">
        <v>3451</v>
      </c>
      <c r="H854" s="4" t="s">
        <v>203</v>
      </c>
      <c r="I854" s="4" t="s">
        <v>6</v>
      </c>
    </row>
    <row r="855" ht="15.75" customHeight="1">
      <c r="A855" s="8">
        <v>46052.0</v>
      </c>
      <c r="B855" s="4" t="s">
        <v>3468</v>
      </c>
      <c r="C855" s="5">
        <v>1190480.0</v>
      </c>
      <c r="D855" s="5">
        <v>0.0</v>
      </c>
      <c r="E855" s="5">
        <f t="shared" si="2"/>
        <v>0</v>
      </c>
      <c r="F855" s="4" t="s">
        <v>105</v>
      </c>
      <c r="G855" s="4" t="s">
        <v>3451</v>
      </c>
      <c r="H855" s="4" t="s">
        <v>203</v>
      </c>
      <c r="I855" s="4" t="s">
        <v>6</v>
      </c>
    </row>
    <row r="856" ht="15.75" customHeight="1">
      <c r="A856" s="8">
        <v>46052.0</v>
      </c>
      <c r="B856" s="4" t="s">
        <v>548</v>
      </c>
      <c r="C856" s="5">
        <v>0.0</v>
      </c>
      <c r="D856" s="5">
        <v>4.0E7</v>
      </c>
      <c r="E856" s="5">
        <f t="shared" si="2"/>
        <v>40000000</v>
      </c>
      <c r="F856" s="4" t="s">
        <v>21</v>
      </c>
      <c r="G856" s="4" t="s">
        <v>448</v>
      </c>
      <c r="H856" s="4" t="s">
        <v>38</v>
      </c>
    </row>
    <row r="857" ht="15.75" customHeight="1">
      <c r="A857" s="8">
        <v>46059.0</v>
      </c>
      <c r="B857" s="4" t="s">
        <v>715</v>
      </c>
      <c r="C857" s="5">
        <v>0.0</v>
      </c>
      <c r="D857" s="5">
        <v>1.5E8</v>
      </c>
      <c r="E857" s="5">
        <f t="shared" si="2"/>
        <v>190000000</v>
      </c>
      <c r="F857" s="4" t="s">
        <v>21</v>
      </c>
      <c r="G857" s="4" t="s">
        <v>448</v>
      </c>
      <c r="H857" s="4" t="s">
        <v>38</v>
      </c>
    </row>
    <row r="858" ht="15.75" customHeight="1">
      <c r="A858" s="8">
        <v>46087.0</v>
      </c>
      <c r="B858" s="4" t="s">
        <v>1057</v>
      </c>
      <c r="C858" s="5">
        <v>0.0</v>
      </c>
      <c r="D858" s="5">
        <v>7.2101974E7</v>
      </c>
      <c r="E858" s="5">
        <f t="shared" si="2"/>
        <v>262101974</v>
      </c>
      <c r="F858" s="4" t="s">
        <v>21</v>
      </c>
      <c r="G858" s="4" t="s">
        <v>448</v>
      </c>
      <c r="H858" s="4" t="s">
        <v>38</v>
      </c>
    </row>
    <row r="859" ht="15.75" customHeight="1">
      <c r="A859" s="8">
        <v>46050.0</v>
      </c>
      <c r="B859" s="4" t="s">
        <v>3469</v>
      </c>
      <c r="C859" s="5">
        <v>5000.0</v>
      </c>
      <c r="D859" s="5">
        <v>0.0</v>
      </c>
      <c r="E859" s="5">
        <f t="shared" si="2"/>
        <v>262096974</v>
      </c>
      <c r="F859" s="4" t="s">
        <v>43</v>
      </c>
      <c r="G859" s="4" t="s">
        <v>45</v>
      </c>
    </row>
    <row r="860" ht="15.75" customHeight="1">
      <c r="A860" s="8">
        <v>46071.0</v>
      </c>
      <c r="B860" s="4" t="s">
        <v>3430</v>
      </c>
      <c r="C860" s="5">
        <v>10000.0</v>
      </c>
      <c r="D860" s="5">
        <v>0.0</v>
      </c>
      <c r="E860" s="5">
        <f t="shared" si="2"/>
        <v>262086974</v>
      </c>
      <c r="F860" s="4" t="s">
        <v>43</v>
      </c>
      <c r="G860" s="4" t="s">
        <v>45</v>
      </c>
    </row>
    <row r="861" ht="15.75" customHeight="1">
      <c r="A861" s="8">
        <v>46071.0</v>
      </c>
      <c r="B861" s="4" t="s">
        <v>3470</v>
      </c>
      <c r="C861" s="5">
        <v>10000.0</v>
      </c>
      <c r="D861" s="5">
        <v>0.0</v>
      </c>
      <c r="E861" s="5">
        <f t="shared" si="2"/>
        <v>262076974</v>
      </c>
      <c r="F861" s="4" t="s">
        <v>43</v>
      </c>
      <c r="G861" s="4" t="s">
        <v>45</v>
      </c>
    </row>
    <row r="862" ht="15.75" customHeight="1">
      <c r="A862" s="8">
        <v>46045.0</v>
      </c>
      <c r="B862" s="14" t="s">
        <v>3471</v>
      </c>
      <c r="C862" s="5">
        <v>5000000.0</v>
      </c>
      <c r="D862" s="5">
        <v>0.0</v>
      </c>
      <c r="E862" s="5">
        <f t="shared" si="2"/>
        <v>257076974</v>
      </c>
      <c r="F862" s="14" t="s">
        <v>18</v>
      </c>
      <c r="G862" s="14" t="s">
        <v>80</v>
      </c>
      <c r="H862" s="14" t="s">
        <v>3472</v>
      </c>
      <c r="I862" s="14" t="s">
        <v>3473</v>
      </c>
      <c r="J862" s="14"/>
      <c r="K862" s="14"/>
      <c r="L862" s="14"/>
    </row>
    <row r="863" ht="15.75" customHeight="1">
      <c r="A863" s="8">
        <v>46045.0</v>
      </c>
      <c r="B863" s="14" t="s">
        <v>3471</v>
      </c>
      <c r="C863" s="5">
        <v>5000000.0</v>
      </c>
      <c r="D863" s="5">
        <v>0.0</v>
      </c>
      <c r="E863" s="5">
        <f t="shared" si="2"/>
        <v>252076974</v>
      </c>
      <c r="F863" s="14" t="s">
        <v>18</v>
      </c>
      <c r="G863" s="14" t="s">
        <v>80</v>
      </c>
      <c r="H863" s="14" t="s">
        <v>3472</v>
      </c>
      <c r="I863" s="14" t="s">
        <v>3473</v>
      </c>
      <c r="J863" s="14"/>
      <c r="K863" s="14"/>
      <c r="L863" s="14"/>
    </row>
    <row r="864" ht="15.75" customHeight="1">
      <c r="A864" s="8">
        <v>46045.0</v>
      </c>
      <c r="B864" s="14" t="s">
        <v>3474</v>
      </c>
      <c r="C864" s="5">
        <v>5000000.0</v>
      </c>
      <c r="D864" s="5">
        <v>0.0</v>
      </c>
      <c r="E864" s="5">
        <f t="shared" si="2"/>
        <v>247076974</v>
      </c>
      <c r="F864" s="14" t="s">
        <v>18</v>
      </c>
      <c r="G864" s="14" t="s">
        <v>80</v>
      </c>
      <c r="H864" s="14" t="s">
        <v>3472</v>
      </c>
      <c r="I864" s="14" t="s">
        <v>3473</v>
      </c>
      <c r="J864" s="14"/>
      <c r="K864" s="14"/>
      <c r="L864" s="14"/>
    </row>
    <row r="865" ht="15.75" customHeight="1">
      <c r="A865" s="8">
        <v>46045.0</v>
      </c>
      <c r="B865" s="14" t="s">
        <v>3474</v>
      </c>
      <c r="C865" s="5">
        <v>5000000.0</v>
      </c>
      <c r="D865" s="5">
        <v>0.0</v>
      </c>
      <c r="E865" s="5">
        <f t="shared" si="2"/>
        <v>242076974</v>
      </c>
      <c r="F865" s="14" t="s">
        <v>18</v>
      </c>
      <c r="G865" s="14" t="s">
        <v>80</v>
      </c>
      <c r="H865" s="14" t="s">
        <v>3472</v>
      </c>
      <c r="I865" s="14" t="s">
        <v>3473</v>
      </c>
      <c r="J865" s="14"/>
      <c r="K865" s="14"/>
      <c r="L865" s="14"/>
    </row>
    <row r="866" ht="15.75" customHeight="1">
      <c r="A866" s="8">
        <v>46045.0</v>
      </c>
      <c r="B866" s="14" t="s">
        <v>3474</v>
      </c>
      <c r="C866" s="5">
        <v>5000000.0</v>
      </c>
      <c r="D866" s="5">
        <v>0.0</v>
      </c>
      <c r="E866" s="5">
        <f t="shared" si="2"/>
        <v>237076974</v>
      </c>
      <c r="F866" s="14" t="s">
        <v>18</v>
      </c>
      <c r="G866" s="14" t="s">
        <v>80</v>
      </c>
      <c r="H866" s="14" t="s">
        <v>3472</v>
      </c>
      <c r="I866" s="14" t="s">
        <v>3473</v>
      </c>
      <c r="J866" s="14"/>
      <c r="K866" s="14"/>
      <c r="L866" s="14"/>
    </row>
    <row r="867" ht="15.75" customHeight="1">
      <c r="A867" s="8">
        <v>46045.0</v>
      </c>
      <c r="B867" s="14" t="s">
        <v>3474</v>
      </c>
      <c r="C867" s="5">
        <v>5000000.0</v>
      </c>
      <c r="D867" s="5">
        <v>0.0</v>
      </c>
      <c r="E867" s="5">
        <f t="shared" si="2"/>
        <v>232076974</v>
      </c>
      <c r="F867" s="14" t="s">
        <v>18</v>
      </c>
      <c r="G867" s="14" t="s">
        <v>80</v>
      </c>
      <c r="H867" s="14" t="s">
        <v>3472</v>
      </c>
      <c r="I867" s="14" t="s">
        <v>3473</v>
      </c>
      <c r="J867" s="14"/>
      <c r="K867" s="14"/>
      <c r="L867" s="14"/>
    </row>
    <row r="868" ht="15.75" customHeight="1">
      <c r="A868" s="8">
        <v>46045.0</v>
      </c>
      <c r="B868" s="14" t="s">
        <v>3474</v>
      </c>
      <c r="C868" s="5">
        <v>5000000.0</v>
      </c>
      <c r="D868" s="5">
        <v>0.0</v>
      </c>
      <c r="E868" s="5">
        <f t="shared" si="2"/>
        <v>227076974</v>
      </c>
      <c r="F868" s="14" t="s">
        <v>18</v>
      </c>
      <c r="G868" s="14" t="s">
        <v>80</v>
      </c>
      <c r="H868" s="14" t="s">
        <v>3472</v>
      </c>
      <c r="I868" s="14" t="s">
        <v>3473</v>
      </c>
      <c r="J868" s="14"/>
      <c r="K868" s="14"/>
      <c r="L868" s="14"/>
    </row>
    <row r="869" ht="15.75" customHeight="1">
      <c r="A869" s="8">
        <v>46045.0</v>
      </c>
      <c r="B869" s="14" t="s">
        <v>3474</v>
      </c>
      <c r="C869" s="5">
        <v>5000000.0</v>
      </c>
      <c r="D869" s="5">
        <v>0.0</v>
      </c>
      <c r="E869" s="5">
        <f t="shared" si="2"/>
        <v>222076974</v>
      </c>
      <c r="F869" s="14" t="s">
        <v>18</v>
      </c>
      <c r="G869" s="14" t="s">
        <v>80</v>
      </c>
      <c r="H869" s="14" t="s">
        <v>3472</v>
      </c>
      <c r="I869" s="14" t="s">
        <v>3473</v>
      </c>
      <c r="J869" s="14"/>
      <c r="K869" s="14"/>
      <c r="L869" s="14"/>
    </row>
    <row r="870" ht="15.75" customHeight="1">
      <c r="A870" s="8">
        <v>46045.0</v>
      </c>
      <c r="B870" s="4" t="s">
        <v>3475</v>
      </c>
      <c r="C870" s="5">
        <v>3.234E7</v>
      </c>
      <c r="D870" s="5">
        <v>0.0</v>
      </c>
      <c r="E870" s="5">
        <f t="shared" si="2"/>
        <v>189736974</v>
      </c>
      <c r="F870" s="4" t="s">
        <v>2464</v>
      </c>
      <c r="G870" s="4" t="s">
        <v>59</v>
      </c>
      <c r="H870" s="4" t="s">
        <v>319</v>
      </c>
      <c r="I870" s="4" t="s">
        <v>6</v>
      </c>
    </row>
    <row r="871" ht="15.75" customHeight="1">
      <c r="A871" s="8">
        <v>46048.0</v>
      </c>
      <c r="B871" s="4" t="s">
        <v>3476</v>
      </c>
      <c r="C871" s="5">
        <v>4.095E7</v>
      </c>
      <c r="D871" s="5">
        <v>0.0</v>
      </c>
      <c r="E871" s="5">
        <f t="shared" si="2"/>
        <v>148786974</v>
      </c>
      <c r="F871" s="4" t="s">
        <v>2464</v>
      </c>
      <c r="G871" s="4" t="s">
        <v>59</v>
      </c>
      <c r="H871" s="14" t="s">
        <v>238</v>
      </c>
      <c r="I871" s="4" t="s">
        <v>6</v>
      </c>
    </row>
    <row r="872" ht="15.75" customHeight="1">
      <c r="A872" s="8">
        <v>46051.0</v>
      </c>
      <c r="B872" s="4" t="s">
        <v>3477</v>
      </c>
      <c r="C872" s="5">
        <v>1733000.0</v>
      </c>
      <c r="D872" s="5">
        <v>0.0</v>
      </c>
      <c r="E872" s="5">
        <f t="shared" si="2"/>
        <v>147053974</v>
      </c>
      <c r="F872" s="4" t="s">
        <v>2464</v>
      </c>
      <c r="G872" s="4" t="s">
        <v>59</v>
      </c>
      <c r="H872" s="4" t="s">
        <v>809</v>
      </c>
      <c r="I872" s="4" t="s">
        <v>6</v>
      </c>
    </row>
    <row r="873" ht="15.75" customHeight="1">
      <c r="A873" s="8">
        <v>46051.0</v>
      </c>
      <c r="B873" s="4" t="s">
        <v>3478</v>
      </c>
      <c r="C873" s="5">
        <v>3007000.0</v>
      </c>
      <c r="D873" s="5">
        <v>0.0</v>
      </c>
      <c r="E873" s="5">
        <f t="shared" si="2"/>
        <v>144046974</v>
      </c>
      <c r="F873" s="4" t="s">
        <v>2464</v>
      </c>
      <c r="G873" s="4" t="s">
        <v>59</v>
      </c>
      <c r="H873" s="4" t="s">
        <v>226</v>
      </c>
      <c r="I873" s="4" t="s">
        <v>6</v>
      </c>
    </row>
    <row r="874" ht="15.75" customHeight="1">
      <c r="A874" s="8">
        <v>46051.0</v>
      </c>
      <c r="B874" s="4" t="s">
        <v>3479</v>
      </c>
      <c r="C874" s="5">
        <v>3007000.0</v>
      </c>
      <c r="D874" s="5">
        <v>0.0</v>
      </c>
      <c r="E874" s="5">
        <f t="shared" si="2"/>
        <v>141039974</v>
      </c>
      <c r="F874" s="4" t="s">
        <v>2464</v>
      </c>
      <c r="G874" s="4" t="s">
        <v>59</v>
      </c>
      <c r="H874" s="4" t="s">
        <v>226</v>
      </c>
      <c r="I874" s="4" t="s">
        <v>6</v>
      </c>
    </row>
    <row r="875" ht="15.75" customHeight="1">
      <c r="A875" s="8">
        <v>46052.0</v>
      </c>
      <c r="B875" s="4" t="s">
        <v>3480</v>
      </c>
      <c r="C875" s="5">
        <v>4032000.0</v>
      </c>
      <c r="D875" s="5">
        <v>0.0</v>
      </c>
      <c r="E875" s="5">
        <f t="shared" si="2"/>
        <v>137007974</v>
      </c>
      <c r="F875" s="4" t="s">
        <v>2464</v>
      </c>
      <c r="G875" s="4" t="s">
        <v>59</v>
      </c>
      <c r="H875" s="4" t="s">
        <v>319</v>
      </c>
      <c r="I875" s="4" t="s">
        <v>6</v>
      </c>
    </row>
    <row r="876" ht="15.75" customHeight="1">
      <c r="A876" s="8">
        <v>46055.0</v>
      </c>
      <c r="B876" s="4" t="s">
        <v>3481</v>
      </c>
      <c r="C876" s="5">
        <v>6.6094917E7</v>
      </c>
      <c r="D876" s="5">
        <v>0.0</v>
      </c>
      <c r="E876" s="5">
        <f t="shared" si="2"/>
        <v>70913057</v>
      </c>
      <c r="F876" s="4" t="s">
        <v>2464</v>
      </c>
      <c r="G876" s="4" t="s">
        <v>59</v>
      </c>
      <c r="H876" s="14" t="s">
        <v>458</v>
      </c>
      <c r="I876" s="4" t="s">
        <v>6</v>
      </c>
    </row>
    <row r="877" ht="15.75" customHeight="1">
      <c r="A877" s="8">
        <v>46055.0</v>
      </c>
      <c r="B877" s="4" t="s">
        <v>3482</v>
      </c>
      <c r="C877" s="5">
        <v>368900.0</v>
      </c>
      <c r="D877" s="5">
        <v>0.0</v>
      </c>
      <c r="E877" s="5">
        <f t="shared" si="2"/>
        <v>70544157</v>
      </c>
      <c r="F877" s="4" t="s">
        <v>2464</v>
      </c>
      <c r="G877" s="4" t="s">
        <v>59</v>
      </c>
      <c r="H877" s="4" t="s">
        <v>319</v>
      </c>
      <c r="I877" s="4" t="s">
        <v>6</v>
      </c>
    </row>
    <row r="878" ht="15.75" customHeight="1">
      <c r="A878" s="8">
        <v>46055.0</v>
      </c>
      <c r="B878" s="4" t="s">
        <v>3483</v>
      </c>
      <c r="C878" s="5">
        <v>1292000.0</v>
      </c>
      <c r="D878" s="5">
        <v>0.0</v>
      </c>
      <c r="E878" s="5">
        <f t="shared" si="2"/>
        <v>69252157</v>
      </c>
      <c r="F878" s="4" t="s">
        <v>2464</v>
      </c>
      <c r="G878" s="4" t="s">
        <v>59</v>
      </c>
      <c r="H878" s="4" t="s">
        <v>319</v>
      </c>
      <c r="I878" s="4" t="s">
        <v>6</v>
      </c>
    </row>
    <row r="879" ht="15.75" customHeight="1">
      <c r="A879" s="8">
        <v>46055.0</v>
      </c>
      <c r="B879" s="4" t="s">
        <v>3484</v>
      </c>
      <c r="C879" s="5">
        <v>120522.0</v>
      </c>
      <c r="D879" s="5">
        <v>0.0</v>
      </c>
      <c r="E879" s="5">
        <f t="shared" si="2"/>
        <v>69131635</v>
      </c>
      <c r="F879" s="4" t="s">
        <v>2464</v>
      </c>
      <c r="G879" s="4" t="s">
        <v>59</v>
      </c>
      <c r="H879" s="4" t="s">
        <v>226</v>
      </c>
      <c r="I879" s="4" t="s">
        <v>6</v>
      </c>
    </row>
    <row r="880" ht="15.75" customHeight="1">
      <c r="A880" s="8">
        <v>46055.0</v>
      </c>
      <c r="B880" s="4" t="s">
        <v>3485</v>
      </c>
      <c r="C880" s="5">
        <v>1565600.0</v>
      </c>
      <c r="D880" s="5">
        <v>0.0</v>
      </c>
      <c r="E880" s="5">
        <f t="shared" si="2"/>
        <v>67566035</v>
      </c>
      <c r="F880" s="4" t="s">
        <v>2464</v>
      </c>
      <c r="G880" s="4" t="s">
        <v>59</v>
      </c>
      <c r="H880" s="4" t="s">
        <v>1008</v>
      </c>
      <c r="I880" s="4" t="s">
        <v>6</v>
      </c>
    </row>
    <row r="881" ht="15.75" customHeight="1">
      <c r="A881" s="8">
        <v>46056.0</v>
      </c>
      <c r="B881" s="4" t="s">
        <v>3486</v>
      </c>
      <c r="C881" s="5">
        <v>180980.0</v>
      </c>
      <c r="D881" s="5">
        <v>0.0</v>
      </c>
      <c r="E881" s="5">
        <f t="shared" si="2"/>
        <v>67385055</v>
      </c>
      <c r="F881" s="4" t="s">
        <v>2464</v>
      </c>
      <c r="G881" s="4" t="s">
        <v>59</v>
      </c>
      <c r="H881" s="4" t="s">
        <v>226</v>
      </c>
      <c r="I881" s="4" t="s">
        <v>6</v>
      </c>
    </row>
    <row r="882" ht="15.75" customHeight="1">
      <c r="A882" s="8">
        <v>46056.0</v>
      </c>
      <c r="B882" s="4" t="s">
        <v>3487</v>
      </c>
      <c r="C882" s="5">
        <v>1.386E7</v>
      </c>
      <c r="D882" s="5">
        <v>0.0</v>
      </c>
      <c r="E882" s="5">
        <f t="shared" si="2"/>
        <v>53525055</v>
      </c>
      <c r="F882" s="4" t="s">
        <v>2464</v>
      </c>
      <c r="G882" s="4" t="s">
        <v>59</v>
      </c>
      <c r="H882" s="4" t="s">
        <v>319</v>
      </c>
      <c r="I882" s="4" t="s">
        <v>6</v>
      </c>
    </row>
    <row r="883" ht="15.75" customHeight="1">
      <c r="A883" s="8">
        <v>46058.0</v>
      </c>
      <c r="B883" s="4" t="s">
        <v>3488</v>
      </c>
      <c r="C883" s="5">
        <v>2089535.0</v>
      </c>
      <c r="D883" s="5">
        <v>0.0</v>
      </c>
      <c r="E883" s="5">
        <f t="shared" si="2"/>
        <v>51435520</v>
      </c>
      <c r="F883" s="4" t="s">
        <v>2464</v>
      </c>
      <c r="G883" s="4" t="s">
        <v>59</v>
      </c>
      <c r="H883" s="4" t="s">
        <v>332</v>
      </c>
      <c r="I883" s="4" t="s">
        <v>6</v>
      </c>
    </row>
    <row r="884" ht="15.75" customHeight="1">
      <c r="A884" s="8">
        <v>46059.0</v>
      </c>
      <c r="B884" s="4" t="s">
        <v>3489</v>
      </c>
      <c r="C884" s="5">
        <v>1518000.0</v>
      </c>
      <c r="D884" s="5">
        <v>0.0</v>
      </c>
      <c r="E884" s="5">
        <f t="shared" si="2"/>
        <v>49917520</v>
      </c>
      <c r="F884" s="14" t="s">
        <v>24</v>
      </c>
      <c r="G884" s="14" t="s">
        <v>125</v>
      </c>
      <c r="H884" s="14" t="s">
        <v>359</v>
      </c>
      <c r="I884" s="4" t="s">
        <v>6</v>
      </c>
    </row>
    <row r="885" ht="15.75" customHeight="1">
      <c r="A885" s="8">
        <v>46060.0</v>
      </c>
      <c r="B885" s="4" t="s">
        <v>3490</v>
      </c>
      <c r="C885" s="5">
        <v>799108.0</v>
      </c>
      <c r="D885" s="5">
        <v>0.0</v>
      </c>
      <c r="E885" s="5">
        <f t="shared" si="2"/>
        <v>49118412</v>
      </c>
      <c r="F885" s="4" t="s">
        <v>2464</v>
      </c>
      <c r="G885" s="4" t="s">
        <v>59</v>
      </c>
      <c r="H885" s="4" t="s">
        <v>332</v>
      </c>
      <c r="I885" s="4" t="s">
        <v>6</v>
      </c>
    </row>
    <row r="886" ht="15.75" customHeight="1">
      <c r="A886" s="8">
        <v>46060.0</v>
      </c>
      <c r="B886" s="4" t="s">
        <v>3491</v>
      </c>
      <c r="C886" s="5">
        <v>2690418.0</v>
      </c>
      <c r="D886" s="5">
        <v>0.0</v>
      </c>
      <c r="E886" s="5">
        <f t="shared" si="2"/>
        <v>46427994</v>
      </c>
      <c r="F886" s="14" t="s">
        <v>24</v>
      </c>
      <c r="G886" s="14" t="s">
        <v>125</v>
      </c>
      <c r="H886" s="14" t="s">
        <v>359</v>
      </c>
      <c r="I886" s="4" t="s">
        <v>6</v>
      </c>
    </row>
    <row r="887" ht="15.75" customHeight="1">
      <c r="A887" s="8">
        <v>46061.0</v>
      </c>
      <c r="B887" s="4" t="s">
        <v>3492</v>
      </c>
      <c r="C887" s="5">
        <v>3628656.0</v>
      </c>
      <c r="D887" s="5">
        <v>0.0</v>
      </c>
      <c r="E887" s="5">
        <f t="shared" si="2"/>
        <v>42799338</v>
      </c>
      <c r="F887" s="4" t="s">
        <v>2464</v>
      </c>
      <c r="G887" s="4" t="s">
        <v>59</v>
      </c>
      <c r="H887" s="4" t="s">
        <v>326</v>
      </c>
      <c r="I887" s="4" t="s">
        <v>6</v>
      </c>
    </row>
    <row r="888" ht="15.75" customHeight="1">
      <c r="A888" s="8">
        <v>46061.0</v>
      </c>
      <c r="B888" s="4" t="s">
        <v>3493</v>
      </c>
      <c r="C888" s="5">
        <v>221450.0</v>
      </c>
      <c r="D888" s="5">
        <v>0.0</v>
      </c>
      <c r="E888" s="5">
        <f t="shared" si="2"/>
        <v>42577888</v>
      </c>
      <c r="F888" s="4" t="s">
        <v>2464</v>
      </c>
      <c r="G888" s="4" t="s">
        <v>59</v>
      </c>
      <c r="H888" s="4" t="s">
        <v>326</v>
      </c>
      <c r="I888" s="4" t="s">
        <v>6</v>
      </c>
    </row>
    <row r="889" ht="15.75" customHeight="1">
      <c r="A889" s="8">
        <v>46062.0</v>
      </c>
      <c r="B889" s="4" t="s">
        <v>3494</v>
      </c>
      <c r="C889" s="5">
        <v>1300000.0</v>
      </c>
      <c r="D889" s="5">
        <v>0.0</v>
      </c>
      <c r="E889" s="5">
        <f t="shared" si="2"/>
        <v>41277888</v>
      </c>
      <c r="F889" s="4" t="s">
        <v>24</v>
      </c>
      <c r="G889" s="4" t="s">
        <v>125</v>
      </c>
      <c r="H889" s="4" t="s">
        <v>359</v>
      </c>
      <c r="I889" s="4" t="s">
        <v>6</v>
      </c>
    </row>
    <row r="890" ht="15.75" customHeight="1">
      <c r="A890" s="8">
        <v>46062.0</v>
      </c>
      <c r="B890" s="4" t="s">
        <v>3495</v>
      </c>
      <c r="C890" s="5">
        <v>1609044.0</v>
      </c>
      <c r="D890" s="5">
        <v>0.0</v>
      </c>
      <c r="E890" s="5">
        <f t="shared" si="2"/>
        <v>39668844</v>
      </c>
      <c r="F890" s="14" t="s">
        <v>24</v>
      </c>
      <c r="G890" s="14" t="s">
        <v>125</v>
      </c>
      <c r="H890" s="14" t="s">
        <v>359</v>
      </c>
      <c r="I890" s="4" t="s">
        <v>6</v>
      </c>
    </row>
    <row r="891" ht="15.75" customHeight="1">
      <c r="A891" s="8">
        <v>46062.0</v>
      </c>
      <c r="B891" s="4" t="s">
        <v>3496</v>
      </c>
      <c r="C891" s="5">
        <v>909696.0</v>
      </c>
      <c r="D891" s="5">
        <v>0.0</v>
      </c>
      <c r="E891" s="5">
        <f t="shared" si="2"/>
        <v>38759148</v>
      </c>
      <c r="F891" s="14" t="s">
        <v>24</v>
      </c>
      <c r="G891" s="14" t="s">
        <v>125</v>
      </c>
      <c r="H891" s="14" t="s">
        <v>359</v>
      </c>
      <c r="I891" s="4" t="s">
        <v>6</v>
      </c>
    </row>
    <row r="892" ht="15.75" customHeight="1">
      <c r="A892" s="8">
        <v>46062.0</v>
      </c>
      <c r="B892" s="4" t="s">
        <v>3497</v>
      </c>
      <c r="C892" s="5">
        <v>218355.0</v>
      </c>
      <c r="D892" s="5">
        <v>0.0</v>
      </c>
      <c r="E892" s="5">
        <f t="shared" si="2"/>
        <v>38540793</v>
      </c>
      <c r="F892" s="14" t="s">
        <v>24</v>
      </c>
      <c r="G892" s="14" t="s">
        <v>125</v>
      </c>
      <c r="H892" s="14" t="s">
        <v>359</v>
      </c>
      <c r="I892" s="4" t="s">
        <v>6</v>
      </c>
    </row>
    <row r="893" ht="15.75" customHeight="1">
      <c r="A893" s="8">
        <v>46062.0</v>
      </c>
      <c r="B893" s="4" t="s">
        <v>3498</v>
      </c>
      <c r="C893" s="5">
        <v>92700.0</v>
      </c>
      <c r="D893" s="5">
        <v>0.0</v>
      </c>
      <c r="E893" s="5">
        <f t="shared" si="2"/>
        <v>38448093</v>
      </c>
      <c r="F893" s="4" t="s">
        <v>2464</v>
      </c>
      <c r="G893" s="4" t="s">
        <v>59</v>
      </c>
      <c r="H893" s="4" t="s">
        <v>326</v>
      </c>
      <c r="I893" s="4" t="s">
        <v>6</v>
      </c>
    </row>
    <row r="894" ht="15.75" customHeight="1">
      <c r="A894" s="8">
        <v>46063.0</v>
      </c>
      <c r="B894" s="4" t="s">
        <v>3499</v>
      </c>
      <c r="C894" s="5">
        <v>1195728.0</v>
      </c>
      <c r="D894" s="5">
        <v>0.0</v>
      </c>
      <c r="E894" s="5">
        <f t="shared" si="2"/>
        <v>37252365</v>
      </c>
      <c r="F894" s="14" t="s">
        <v>24</v>
      </c>
      <c r="G894" s="14" t="s">
        <v>125</v>
      </c>
      <c r="H894" s="14" t="s">
        <v>359</v>
      </c>
      <c r="I894" s="4" t="s">
        <v>6</v>
      </c>
    </row>
    <row r="895" ht="15.75" customHeight="1">
      <c r="A895" s="8">
        <v>46063.0</v>
      </c>
      <c r="B895" s="4" t="s">
        <v>3500</v>
      </c>
      <c r="C895" s="5">
        <v>4181000.0</v>
      </c>
      <c r="D895" s="5">
        <v>0.0</v>
      </c>
      <c r="E895" s="5">
        <f t="shared" si="2"/>
        <v>33071365</v>
      </c>
      <c r="F895" s="4" t="s">
        <v>2464</v>
      </c>
      <c r="G895" s="4" t="s">
        <v>59</v>
      </c>
      <c r="H895" s="4" t="s">
        <v>326</v>
      </c>
      <c r="I895" s="4" t="s">
        <v>6</v>
      </c>
    </row>
    <row r="896" ht="15.75" customHeight="1">
      <c r="A896" s="8">
        <v>46064.0</v>
      </c>
      <c r="B896" s="4" t="s">
        <v>3501</v>
      </c>
      <c r="C896" s="5">
        <v>2048000.0</v>
      </c>
      <c r="D896" s="5">
        <v>0.0</v>
      </c>
      <c r="E896" s="5">
        <f t="shared" si="2"/>
        <v>31023365</v>
      </c>
      <c r="F896" s="14" t="s">
        <v>24</v>
      </c>
      <c r="G896" s="14" t="s">
        <v>125</v>
      </c>
      <c r="H896" s="14" t="s">
        <v>359</v>
      </c>
      <c r="I896" s="4" t="s">
        <v>6</v>
      </c>
    </row>
    <row r="897" ht="15.75" customHeight="1">
      <c r="A897" s="8">
        <v>46064.0</v>
      </c>
      <c r="B897" s="4" t="s">
        <v>3502</v>
      </c>
      <c r="C897" s="5">
        <v>596142.0</v>
      </c>
      <c r="D897" s="5">
        <v>0.0</v>
      </c>
      <c r="E897" s="5">
        <f t="shared" si="2"/>
        <v>30427223</v>
      </c>
      <c r="F897" s="14" t="s">
        <v>24</v>
      </c>
      <c r="G897" s="14" t="s">
        <v>125</v>
      </c>
      <c r="H897" s="14" t="s">
        <v>359</v>
      </c>
      <c r="I897" s="4" t="s">
        <v>6</v>
      </c>
    </row>
    <row r="898" ht="15.75" customHeight="1">
      <c r="A898" s="8">
        <v>46064.0</v>
      </c>
      <c r="B898" s="4" t="s">
        <v>3503</v>
      </c>
      <c r="C898" s="5">
        <v>1652800.0</v>
      </c>
      <c r="D898" s="5">
        <v>0.0</v>
      </c>
      <c r="E898" s="5">
        <f t="shared" si="2"/>
        <v>28774423</v>
      </c>
      <c r="F898" s="4" t="s">
        <v>2464</v>
      </c>
      <c r="G898" s="4" t="s">
        <v>59</v>
      </c>
      <c r="H898" s="4" t="s">
        <v>326</v>
      </c>
      <c r="I898" s="4" t="s">
        <v>6</v>
      </c>
    </row>
    <row r="899" ht="15.75" customHeight="1">
      <c r="A899" s="8">
        <v>46064.0</v>
      </c>
      <c r="B899" s="4" t="s">
        <v>3504</v>
      </c>
      <c r="C899" s="5">
        <v>826400.0</v>
      </c>
      <c r="D899" s="5">
        <v>0.0</v>
      </c>
      <c r="E899" s="5">
        <f t="shared" si="2"/>
        <v>27948023</v>
      </c>
      <c r="F899" s="4" t="s">
        <v>2464</v>
      </c>
      <c r="G899" s="4" t="s">
        <v>59</v>
      </c>
      <c r="H899" s="4" t="s">
        <v>326</v>
      </c>
      <c r="I899" s="4" t="s">
        <v>6</v>
      </c>
    </row>
    <row r="900" ht="15.75" customHeight="1">
      <c r="A900" s="8">
        <v>46065.0</v>
      </c>
      <c r="B900" s="4" t="s">
        <v>3505</v>
      </c>
      <c r="C900" s="5">
        <v>2298000.0</v>
      </c>
      <c r="D900" s="5">
        <v>0.0</v>
      </c>
      <c r="E900" s="5">
        <f t="shared" si="2"/>
        <v>25650023</v>
      </c>
      <c r="F900" s="14" t="s">
        <v>24</v>
      </c>
      <c r="G900" s="14" t="s">
        <v>125</v>
      </c>
      <c r="H900" s="14" t="s">
        <v>359</v>
      </c>
      <c r="I900" s="4" t="s">
        <v>6</v>
      </c>
    </row>
    <row r="901" ht="15.75" customHeight="1">
      <c r="A901" s="8">
        <v>46065.0</v>
      </c>
      <c r="B901" s="4" t="s">
        <v>3506</v>
      </c>
      <c r="C901" s="5">
        <v>825000.0</v>
      </c>
      <c r="D901" s="5">
        <v>0.0</v>
      </c>
      <c r="E901" s="5">
        <f t="shared" si="2"/>
        <v>24825023</v>
      </c>
      <c r="F901" s="4" t="s">
        <v>2464</v>
      </c>
      <c r="G901" s="4" t="s">
        <v>59</v>
      </c>
      <c r="H901" s="4" t="s">
        <v>326</v>
      </c>
      <c r="I901" s="4" t="s">
        <v>6</v>
      </c>
    </row>
    <row r="902" ht="15.75" customHeight="1">
      <c r="A902" s="8">
        <v>46051.0</v>
      </c>
      <c r="B902" s="4" t="s">
        <v>3507</v>
      </c>
      <c r="C902" s="5">
        <v>174330.0</v>
      </c>
      <c r="D902" s="5">
        <v>0.0</v>
      </c>
      <c r="E902" s="5">
        <f t="shared" si="2"/>
        <v>24650693</v>
      </c>
      <c r="F902" s="4" t="s">
        <v>105</v>
      </c>
      <c r="G902" s="4" t="s">
        <v>2064</v>
      </c>
      <c r="H902" s="15" t="s">
        <v>72</v>
      </c>
      <c r="I902" s="4" t="s">
        <v>6</v>
      </c>
    </row>
    <row r="903" ht="15.75" customHeight="1">
      <c r="A903" s="8">
        <v>46053.0</v>
      </c>
      <c r="B903" s="4" t="s">
        <v>3508</v>
      </c>
      <c r="C903" s="5">
        <v>2843000.0</v>
      </c>
      <c r="D903" s="5">
        <v>0.0</v>
      </c>
      <c r="E903" s="5">
        <f t="shared" si="2"/>
        <v>21807693</v>
      </c>
      <c r="F903" s="4" t="s">
        <v>105</v>
      </c>
      <c r="G903" s="4" t="s">
        <v>3451</v>
      </c>
      <c r="H903" s="4" t="s">
        <v>72</v>
      </c>
      <c r="I903" s="4" t="s">
        <v>6</v>
      </c>
    </row>
    <row r="904" ht="15.75" customHeight="1">
      <c r="A904" s="8">
        <v>46055.0</v>
      </c>
      <c r="B904" s="4" t="s">
        <v>3509</v>
      </c>
      <c r="C904" s="5">
        <v>1.947762E7</v>
      </c>
      <c r="D904" s="5">
        <v>0.0</v>
      </c>
      <c r="E904" s="5">
        <f t="shared" si="2"/>
        <v>2330073</v>
      </c>
      <c r="F904" s="4" t="s">
        <v>105</v>
      </c>
      <c r="G904" s="4" t="s">
        <v>106</v>
      </c>
      <c r="H904" s="4" t="s">
        <v>72</v>
      </c>
      <c r="I904" s="4" t="s">
        <v>6</v>
      </c>
    </row>
    <row r="905" ht="15.75" customHeight="1">
      <c r="A905" s="8">
        <v>46058.0</v>
      </c>
      <c r="B905" s="4" t="s">
        <v>3510</v>
      </c>
      <c r="C905" s="5">
        <v>401940.0</v>
      </c>
      <c r="D905" s="5">
        <v>0.0</v>
      </c>
      <c r="E905" s="5">
        <f t="shared" si="2"/>
        <v>1928133</v>
      </c>
      <c r="F905" s="4" t="s">
        <v>105</v>
      </c>
      <c r="G905" s="4" t="s">
        <v>2064</v>
      </c>
      <c r="H905" s="4" t="s">
        <v>271</v>
      </c>
      <c r="I905" s="4" t="s">
        <v>6</v>
      </c>
    </row>
    <row r="906" ht="15.75" customHeight="1">
      <c r="A906" s="8">
        <v>46058.0</v>
      </c>
      <c r="B906" s="4" t="s">
        <v>3511</v>
      </c>
      <c r="C906" s="5">
        <v>660300.0</v>
      </c>
      <c r="D906" s="5">
        <v>0.0</v>
      </c>
      <c r="E906" s="5">
        <f t="shared" si="2"/>
        <v>1267833</v>
      </c>
      <c r="F906" s="4" t="s">
        <v>105</v>
      </c>
      <c r="G906" s="4" t="s">
        <v>2064</v>
      </c>
      <c r="H906" s="4" t="s">
        <v>3427</v>
      </c>
      <c r="I906" s="4" t="s">
        <v>6</v>
      </c>
    </row>
    <row r="907" ht="15.75" customHeight="1">
      <c r="A907" s="8">
        <v>46062.0</v>
      </c>
      <c r="B907" s="4" t="s">
        <v>3512</v>
      </c>
      <c r="C907" s="5">
        <v>156200.0</v>
      </c>
      <c r="D907" s="5">
        <v>0.0</v>
      </c>
      <c r="E907" s="5">
        <f t="shared" si="2"/>
        <v>1111633</v>
      </c>
      <c r="F907" s="4" t="s">
        <v>105</v>
      </c>
      <c r="G907" s="4" t="s">
        <v>2064</v>
      </c>
      <c r="H907" s="4" t="s">
        <v>72</v>
      </c>
      <c r="I907" s="4" t="s">
        <v>6</v>
      </c>
    </row>
    <row r="908" ht="15.75" customHeight="1">
      <c r="A908" s="8">
        <v>46063.0</v>
      </c>
      <c r="B908" s="4" t="s">
        <v>3513</v>
      </c>
      <c r="C908" s="5">
        <v>564000.0</v>
      </c>
      <c r="D908" s="5">
        <v>0.0</v>
      </c>
      <c r="E908" s="5">
        <f t="shared" si="2"/>
        <v>547633</v>
      </c>
      <c r="F908" s="4" t="s">
        <v>105</v>
      </c>
      <c r="G908" s="4" t="s">
        <v>106</v>
      </c>
      <c r="H908" s="4" t="s">
        <v>72</v>
      </c>
      <c r="I908" s="4" t="s">
        <v>6</v>
      </c>
    </row>
    <row r="909" ht="15.75" customHeight="1">
      <c r="A909" s="8">
        <v>46063.0</v>
      </c>
      <c r="B909" s="4" t="s">
        <v>3513</v>
      </c>
      <c r="C909" s="5">
        <v>239000.0</v>
      </c>
      <c r="D909" s="5">
        <v>0.0</v>
      </c>
      <c r="E909" s="5">
        <f t="shared" si="2"/>
        <v>308633</v>
      </c>
      <c r="F909" s="4" t="s">
        <v>105</v>
      </c>
      <c r="G909" s="4" t="s">
        <v>106</v>
      </c>
      <c r="H909" s="4" t="s">
        <v>72</v>
      </c>
      <c r="I909" s="4" t="s">
        <v>6</v>
      </c>
    </row>
    <row r="910" ht="15.75" customHeight="1">
      <c r="A910" s="8">
        <v>46064.0</v>
      </c>
      <c r="B910" s="4" t="s">
        <v>3514</v>
      </c>
      <c r="C910" s="5">
        <v>308633.0</v>
      </c>
      <c r="D910" s="5">
        <v>0.0</v>
      </c>
      <c r="E910" s="5">
        <f t="shared" si="2"/>
        <v>0</v>
      </c>
      <c r="F910" s="4" t="s">
        <v>105</v>
      </c>
      <c r="G910" s="4" t="s">
        <v>2064</v>
      </c>
      <c r="H910" s="4" t="s">
        <v>72</v>
      </c>
      <c r="I910" s="4" t="s">
        <v>6</v>
      </c>
    </row>
    <row r="911" ht="15.75" customHeight="1">
      <c r="A911" s="8">
        <v>46087.0</v>
      </c>
      <c r="B911" s="4" t="s">
        <v>1059</v>
      </c>
      <c r="C911" s="5">
        <v>0.0</v>
      </c>
      <c r="D911" s="5">
        <v>2.40458056E8</v>
      </c>
      <c r="E911" s="5">
        <f t="shared" si="2"/>
        <v>240458056</v>
      </c>
      <c r="F911" s="4" t="s">
        <v>21</v>
      </c>
      <c r="G911" s="4" t="s">
        <v>448</v>
      </c>
      <c r="H911" s="4" t="s">
        <v>55</v>
      </c>
      <c r="I911" s="4" t="s">
        <v>6</v>
      </c>
    </row>
    <row r="912" ht="15.75" customHeight="1">
      <c r="A912" s="8">
        <v>46044.0</v>
      </c>
      <c r="B912" s="4" t="s">
        <v>3515</v>
      </c>
      <c r="C912" s="5">
        <v>5000.0</v>
      </c>
      <c r="D912" s="5">
        <v>0.0</v>
      </c>
      <c r="E912" s="5">
        <f t="shared" si="2"/>
        <v>240453056</v>
      </c>
      <c r="F912" s="4" t="s">
        <v>43</v>
      </c>
      <c r="G912" s="4" t="s">
        <v>45</v>
      </c>
      <c r="I912" s="4" t="s">
        <v>6</v>
      </c>
    </row>
    <row r="913" ht="15.75" customHeight="1">
      <c r="A913" s="8">
        <v>46045.0</v>
      </c>
      <c r="B913" s="4" t="s">
        <v>3516</v>
      </c>
      <c r="C913" s="5">
        <v>340600.0</v>
      </c>
      <c r="D913" s="5">
        <v>0.0</v>
      </c>
      <c r="E913" s="5">
        <f t="shared" si="2"/>
        <v>240112456</v>
      </c>
      <c r="F913" s="4" t="s">
        <v>50</v>
      </c>
      <c r="G913" s="4" t="s">
        <v>245</v>
      </c>
      <c r="H913" s="4" t="s">
        <v>246</v>
      </c>
      <c r="I913" s="4" t="s">
        <v>6</v>
      </c>
    </row>
    <row r="914" ht="15.75" customHeight="1">
      <c r="A914" s="8">
        <v>46049.0</v>
      </c>
      <c r="B914" s="4" t="s">
        <v>3517</v>
      </c>
      <c r="C914" s="5">
        <v>1600000.0</v>
      </c>
      <c r="D914" s="5">
        <v>0.0</v>
      </c>
      <c r="E914" s="5">
        <f t="shared" si="2"/>
        <v>238512456</v>
      </c>
      <c r="F914" s="4" t="s">
        <v>2464</v>
      </c>
      <c r="G914" s="4" t="s">
        <v>59</v>
      </c>
      <c r="H914" s="14" t="s">
        <v>238</v>
      </c>
      <c r="I914" s="4" t="s">
        <v>6</v>
      </c>
    </row>
    <row r="915" ht="15.75" customHeight="1">
      <c r="A915" s="8">
        <v>46052.0</v>
      </c>
      <c r="B915" s="4" t="s">
        <v>3518</v>
      </c>
      <c r="C915" s="5">
        <v>7500.0</v>
      </c>
      <c r="D915" s="5">
        <v>0.0</v>
      </c>
      <c r="E915" s="5">
        <f t="shared" si="2"/>
        <v>238504956</v>
      </c>
      <c r="F915" s="4" t="s">
        <v>43</v>
      </c>
      <c r="G915" s="4" t="s">
        <v>45</v>
      </c>
      <c r="I915" s="4" t="s">
        <v>6</v>
      </c>
    </row>
    <row r="916" ht="15.75" customHeight="1">
      <c r="A916" s="8">
        <v>46056.0</v>
      </c>
      <c r="B916" s="4" t="s">
        <v>3519</v>
      </c>
      <c r="C916" s="5">
        <v>2040000.0</v>
      </c>
      <c r="D916" s="5">
        <v>0.0</v>
      </c>
      <c r="E916" s="5">
        <f t="shared" si="2"/>
        <v>236464956</v>
      </c>
      <c r="F916" s="4" t="s">
        <v>2464</v>
      </c>
      <c r="G916" s="4" t="s">
        <v>59</v>
      </c>
      <c r="H916" s="4" t="s">
        <v>319</v>
      </c>
      <c r="I916" s="4" t="s">
        <v>6</v>
      </c>
    </row>
    <row r="917" ht="15.75" customHeight="1">
      <c r="A917" s="8">
        <v>46056.0</v>
      </c>
      <c r="B917" s="4" t="s">
        <v>3520</v>
      </c>
      <c r="C917" s="5">
        <v>1.66125E7</v>
      </c>
      <c r="D917" s="5">
        <v>0.0</v>
      </c>
      <c r="E917" s="5">
        <f t="shared" si="2"/>
        <v>219852456</v>
      </c>
      <c r="F917" s="4" t="s">
        <v>2464</v>
      </c>
      <c r="G917" s="4" t="s">
        <v>59</v>
      </c>
      <c r="H917" s="4" t="s">
        <v>319</v>
      </c>
      <c r="I917" s="4" t="s">
        <v>6</v>
      </c>
    </row>
    <row r="918" ht="15.75" customHeight="1">
      <c r="A918" s="8">
        <v>46056.0</v>
      </c>
      <c r="B918" s="4" t="s">
        <v>3521</v>
      </c>
      <c r="C918" s="5">
        <v>1676000.0</v>
      </c>
      <c r="D918" s="5">
        <v>0.0</v>
      </c>
      <c r="E918" s="5">
        <f t="shared" si="2"/>
        <v>218176456</v>
      </c>
      <c r="F918" s="4" t="s">
        <v>2464</v>
      </c>
      <c r="G918" s="4" t="s">
        <v>59</v>
      </c>
      <c r="H918" s="4" t="s">
        <v>319</v>
      </c>
      <c r="I918" s="4" t="s">
        <v>6</v>
      </c>
    </row>
    <row r="919" ht="15.75" customHeight="1">
      <c r="A919" s="8">
        <v>46057.0</v>
      </c>
      <c r="B919" s="4" t="s">
        <v>3522</v>
      </c>
      <c r="C919" s="5">
        <v>540000.0</v>
      </c>
      <c r="D919" s="5">
        <v>0.0</v>
      </c>
      <c r="E919" s="5">
        <f t="shared" si="2"/>
        <v>217636456</v>
      </c>
      <c r="F919" s="4" t="s">
        <v>2464</v>
      </c>
      <c r="G919" s="4" t="s">
        <v>59</v>
      </c>
      <c r="H919" s="4" t="s">
        <v>319</v>
      </c>
      <c r="I919" s="4" t="s">
        <v>6</v>
      </c>
    </row>
    <row r="920" ht="15.75" customHeight="1">
      <c r="A920" s="8">
        <v>46057.0</v>
      </c>
      <c r="B920" s="14" t="s">
        <v>3523</v>
      </c>
      <c r="C920" s="5">
        <v>6304109.0</v>
      </c>
      <c r="D920" s="5">
        <v>0.0</v>
      </c>
      <c r="E920" s="5">
        <f t="shared" si="2"/>
        <v>211332347</v>
      </c>
      <c r="F920" s="14" t="s">
        <v>2464</v>
      </c>
      <c r="G920" s="14" t="s">
        <v>59</v>
      </c>
      <c r="H920" s="14" t="s">
        <v>319</v>
      </c>
      <c r="I920" s="14" t="s">
        <v>6</v>
      </c>
      <c r="J920" s="14"/>
      <c r="K920" s="14"/>
      <c r="L920" s="14"/>
    </row>
    <row r="921" ht="15.75" customHeight="1">
      <c r="A921" s="8">
        <v>46057.0</v>
      </c>
      <c r="B921" s="14" t="s">
        <v>3524</v>
      </c>
      <c r="C921" s="5">
        <v>1.3620157E7</v>
      </c>
      <c r="D921" s="5">
        <v>0.0</v>
      </c>
      <c r="E921" s="5">
        <f t="shared" si="2"/>
        <v>197712190</v>
      </c>
      <c r="F921" s="14" t="s">
        <v>2464</v>
      </c>
      <c r="G921" s="14" t="s">
        <v>59</v>
      </c>
      <c r="H921" s="14" t="s">
        <v>319</v>
      </c>
      <c r="I921" s="14" t="s">
        <v>6</v>
      </c>
      <c r="J921" s="14"/>
      <c r="K921" s="14"/>
      <c r="L921" s="14"/>
    </row>
    <row r="922" ht="15.75" customHeight="1">
      <c r="A922" s="8">
        <v>46057.0</v>
      </c>
      <c r="B922" s="4" t="s">
        <v>3525</v>
      </c>
      <c r="C922" s="5">
        <v>270000.0</v>
      </c>
      <c r="D922" s="5">
        <v>0.0</v>
      </c>
      <c r="E922" s="5">
        <f t="shared" si="2"/>
        <v>197442190</v>
      </c>
      <c r="F922" s="4" t="s">
        <v>2464</v>
      </c>
      <c r="G922" s="4" t="s">
        <v>59</v>
      </c>
      <c r="H922" s="4" t="s">
        <v>319</v>
      </c>
      <c r="I922" s="4" t="s">
        <v>6</v>
      </c>
    </row>
    <row r="923" ht="15.75" customHeight="1">
      <c r="A923" s="8">
        <v>46058.0</v>
      </c>
      <c r="B923" s="4" t="s">
        <v>3526</v>
      </c>
      <c r="C923" s="5">
        <v>6075000.0</v>
      </c>
      <c r="D923" s="5">
        <v>0.0</v>
      </c>
      <c r="E923" s="5">
        <f t="shared" si="2"/>
        <v>191367190</v>
      </c>
      <c r="F923" s="4" t="s">
        <v>2464</v>
      </c>
      <c r="G923" s="4" t="s">
        <v>59</v>
      </c>
      <c r="H923" s="4" t="s">
        <v>319</v>
      </c>
      <c r="I923" s="4" t="s">
        <v>6</v>
      </c>
    </row>
    <row r="924" ht="15.75" customHeight="1">
      <c r="A924" s="8">
        <v>46058.0</v>
      </c>
      <c r="B924" s="4" t="s">
        <v>3527</v>
      </c>
      <c r="C924" s="5">
        <v>489500.0</v>
      </c>
      <c r="D924" s="5">
        <v>0.0</v>
      </c>
      <c r="E924" s="5">
        <f t="shared" si="2"/>
        <v>190877690</v>
      </c>
      <c r="F924" s="4" t="s">
        <v>2464</v>
      </c>
      <c r="G924" s="4" t="s">
        <v>59</v>
      </c>
      <c r="H924" s="4" t="s">
        <v>319</v>
      </c>
      <c r="I924" s="4" t="s">
        <v>6</v>
      </c>
    </row>
    <row r="925" ht="15.75" customHeight="1">
      <c r="A925" s="8">
        <v>46058.0</v>
      </c>
      <c r="B925" s="4" t="s">
        <v>3528</v>
      </c>
      <c r="C925" s="5">
        <v>1378839.0</v>
      </c>
      <c r="D925" s="5">
        <v>0.0</v>
      </c>
      <c r="E925" s="5">
        <f t="shared" si="2"/>
        <v>189498851</v>
      </c>
      <c r="F925" s="4" t="s">
        <v>2464</v>
      </c>
      <c r="G925" s="4" t="s">
        <v>59</v>
      </c>
      <c r="H925" s="4" t="s">
        <v>319</v>
      </c>
      <c r="I925" s="4" t="s">
        <v>6</v>
      </c>
    </row>
    <row r="926" ht="15.75" customHeight="1">
      <c r="A926" s="8">
        <v>46058.0</v>
      </c>
      <c r="B926" s="4" t="s">
        <v>3528</v>
      </c>
      <c r="C926" s="5">
        <v>1.7736375E7</v>
      </c>
      <c r="D926" s="5">
        <v>0.0</v>
      </c>
      <c r="E926" s="5">
        <f t="shared" si="2"/>
        <v>171762476</v>
      </c>
      <c r="F926" s="4" t="s">
        <v>2464</v>
      </c>
      <c r="G926" s="4" t="s">
        <v>59</v>
      </c>
      <c r="H926" s="4" t="s">
        <v>319</v>
      </c>
      <c r="I926" s="4" t="s">
        <v>6</v>
      </c>
    </row>
    <row r="927" ht="15.75" customHeight="1">
      <c r="A927" s="8">
        <v>46058.0</v>
      </c>
      <c r="B927" s="4" t="s">
        <v>3529</v>
      </c>
      <c r="C927" s="5">
        <v>560890.0</v>
      </c>
      <c r="D927" s="5">
        <v>0.0</v>
      </c>
      <c r="E927" s="5">
        <f t="shared" si="2"/>
        <v>171201586</v>
      </c>
      <c r="F927" s="4" t="s">
        <v>2464</v>
      </c>
      <c r="G927" s="4" t="s">
        <v>59</v>
      </c>
      <c r="H927" s="4" t="s">
        <v>319</v>
      </c>
      <c r="I927" s="4" t="s">
        <v>6</v>
      </c>
    </row>
    <row r="928" ht="15.75" customHeight="1">
      <c r="A928" s="8">
        <v>46059.0</v>
      </c>
      <c r="B928" s="4" t="s">
        <v>3530</v>
      </c>
      <c r="C928" s="5">
        <v>4800000.0</v>
      </c>
      <c r="D928" s="5">
        <v>0.0</v>
      </c>
      <c r="E928" s="5">
        <f t="shared" si="2"/>
        <v>166401586</v>
      </c>
      <c r="F928" s="4" t="s">
        <v>2464</v>
      </c>
      <c r="G928" s="4" t="s">
        <v>59</v>
      </c>
      <c r="H928" s="4" t="s">
        <v>319</v>
      </c>
      <c r="I928" s="4" t="s">
        <v>6</v>
      </c>
    </row>
    <row r="929" ht="15.75" customHeight="1">
      <c r="A929" s="8">
        <v>46059.0</v>
      </c>
      <c r="B929" s="4" t="s">
        <v>3531</v>
      </c>
      <c r="C929" s="5">
        <v>270000.0</v>
      </c>
      <c r="D929" s="5">
        <v>0.0</v>
      </c>
      <c r="E929" s="5">
        <f t="shared" si="2"/>
        <v>166131586</v>
      </c>
      <c r="F929" s="4" t="s">
        <v>2464</v>
      </c>
      <c r="G929" s="4" t="s">
        <v>59</v>
      </c>
      <c r="H929" s="4" t="s">
        <v>319</v>
      </c>
      <c r="I929" s="4" t="s">
        <v>6</v>
      </c>
    </row>
    <row r="930" ht="15.75" customHeight="1">
      <c r="A930" s="8">
        <v>46060.0</v>
      </c>
      <c r="B930" s="4" t="s">
        <v>3532</v>
      </c>
      <c r="C930" s="5">
        <v>574376.0</v>
      </c>
      <c r="D930" s="5">
        <v>0.0</v>
      </c>
      <c r="E930" s="5">
        <f t="shared" si="2"/>
        <v>165557210</v>
      </c>
      <c r="F930" s="4" t="s">
        <v>2464</v>
      </c>
      <c r="G930" s="4" t="s">
        <v>59</v>
      </c>
      <c r="H930" s="4" t="s">
        <v>314</v>
      </c>
      <c r="I930" s="4" t="s">
        <v>6</v>
      </c>
    </row>
    <row r="931" ht="15.75" customHeight="1">
      <c r="A931" s="8">
        <v>46060.0</v>
      </c>
      <c r="B931" s="4" t="s">
        <v>3533</v>
      </c>
      <c r="C931" s="5">
        <v>4.5929455E7</v>
      </c>
      <c r="D931" s="5">
        <v>0.0</v>
      </c>
      <c r="E931" s="5">
        <f t="shared" si="2"/>
        <v>119627755</v>
      </c>
      <c r="F931" s="4" t="s">
        <v>2464</v>
      </c>
      <c r="G931" s="4" t="s">
        <v>59</v>
      </c>
      <c r="H931" s="4" t="s">
        <v>314</v>
      </c>
      <c r="I931" s="4" t="s">
        <v>6</v>
      </c>
    </row>
    <row r="932" ht="15.75" customHeight="1">
      <c r="A932" s="8">
        <v>46060.0</v>
      </c>
      <c r="B932" s="4" t="s">
        <v>3534</v>
      </c>
      <c r="C932" s="5">
        <v>7919500.0</v>
      </c>
      <c r="D932" s="5">
        <v>0.0</v>
      </c>
      <c r="E932" s="5">
        <f t="shared" si="2"/>
        <v>111708255</v>
      </c>
      <c r="F932" s="4" t="s">
        <v>2464</v>
      </c>
      <c r="G932" s="4" t="s">
        <v>59</v>
      </c>
      <c r="H932" s="4" t="s">
        <v>314</v>
      </c>
      <c r="I932" s="4" t="s">
        <v>6</v>
      </c>
    </row>
    <row r="933" ht="15.75" customHeight="1">
      <c r="A933" s="8">
        <v>46061.0</v>
      </c>
      <c r="B933" s="4" t="s">
        <v>3535</v>
      </c>
      <c r="C933" s="5">
        <v>3297954.0</v>
      </c>
      <c r="D933" s="5">
        <v>0.0</v>
      </c>
      <c r="E933" s="5">
        <f t="shared" si="2"/>
        <v>108410301</v>
      </c>
      <c r="F933" s="4" t="s">
        <v>2464</v>
      </c>
      <c r="G933" s="4" t="s">
        <v>59</v>
      </c>
      <c r="H933" s="4" t="s">
        <v>314</v>
      </c>
      <c r="I933" s="4" t="s">
        <v>6</v>
      </c>
    </row>
    <row r="934" ht="15.75" customHeight="1">
      <c r="A934" s="8">
        <v>46063.0</v>
      </c>
      <c r="B934" s="4" t="s">
        <v>3536</v>
      </c>
      <c r="C934" s="5">
        <v>1.166E7</v>
      </c>
      <c r="D934" s="5">
        <v>0.0</v>
      </c>
      <c r="E934" s="5">
        <f t="shared" si="2"/>
        <v>96750301</v>
      </c>
      <c r="F934" s="4" t="s">
        <v>2464</v>
      </c>
      <c r="G934" s="4" t="s">
        <v>59</v>
      </c>
      <c r="H934" s="4" t="s">
        <v>326</v>
      </c>
      <c r="I934" s="4" t="s">
        <v>6</v>
      </c>
    </row>
    <row r="935" ht="15.75" customHeight="1">
      <c r="A935" s="8">
        <v>46063.0</v>
      </c>
      <c r="B935" s="14" t="s">
        <v>3537</v>
      </c>
      <c r="C935" s="5">
        <v>725000.0</v>
      </c>
      <c r="D935" s="5">
        <v>0.0</v>
      </c>
      <c r="E935" s="5">
        <f t="shared" si="2"/>
        <v>96025301</v>
      </c>
      <c r="F935" s="14" t="s">
        <v>2464</v>
      </c>
      <c r="G935" s="4" t="s">
        <v>59</v>
      </c>
      <c r="H935" s="14" t="s">
        <v>326</v>
      </c>
      <c r="I935" s="14" t="s">
        <v>6</v>
      </c>
      <c r="J935" s="14"/>
      <c r="K935" s="14"/>
      <c r="L935" s="14"/>
    </row>
    <row r="936" ht="15.75" customHeight="1">
      <c r="A936" s="8">
        <v>46063.0</v>
      </c>
      <c r="B936" s="4" t="s">
        <v>3538</v>
      </c>
      <c r="C936" s="5">
        <v>1450000.0</v>
      </c>
      <c r="D936" s="5">
        <v>0.0</v>
      </c>
      <c r="E936" s="5">
        <f t="shared" si="2"/>
        <v>94575301</v>
      </c>
      <c r="F936" s="4" t="s">
        <v>2464</v>
      </c>
      <c r="G936" s="4" t="s">
        <v>59</v>
      </c>
      <c r="H936" s="4" t="s">
        <v>326</v>
      </c>
      <c r="I936" s="4" t="s">
        <v>6</v>
      </c>
    </row>
    <row r="937" ht="15.75" customHeight="1">
      <c r="A937" s="8">
        <v>46063.0</v>
      </c>
      <c r="B937" s="4" t="s">
        <v>3539</v>
      </c>
      <c r="C937" s="5">
        <v>1.925E7</v>
      </c>
      <c r="D937" s="5">
        <v>0.0</v>
      </c>
      <c r="E937" s="5">
        <f t="shared" si="2"/>
        <v>75325301</v>
      </c>
      <c r="F937" s="4" t="s">
        <v>2464</v>
      </c>
      <c r="G937" s="4" t="s">
        <v>59</v>
      </c>
      <c r="H937" s="4" t="s">
        <v>326</v>
      </c>
      <c r="I937" s="4" t="s">
        <v>6</v>
      </c>
    </row>
    <row r="938" ht="15.75" customHeight="1">
      <c r="A938" s="8">
        <v>46064.0</v>
      </c>
      <c r="B938" s="4" t="s">
        <v>3540</v>
      </c>
      <c r="C938" s="5">
        <v>1010900.0</v>
      </c>
      <c r="D938" s="5">
        <v>0.0</v>
      </c>
      <c r="E938" s="5">
        <f t="shared" si="2"/>
        <v>74314401</v>
      </c>
      <c r="F938" s="4" t="s">
        <v>2464</v>
      </c>
      <c r="G938" s="4" t="s">
        <v>59</v>
      </c>
      <c r="H938" s="4" t="s">
        <v>326</v>
      </c>
      <c r="I938" s="4" t="s">
        <v>6</v>
      </c>
    </row>
    <row r="939" ht="15.75" customHeight="1">
      <c r="A939" s="8">
        <v>46064.0</v>
      </c>
      <c r="B939" s="4" t="s">
        <v>3541</v>
      </c>
      <c r="C939" s="5">
        <v>1.70527E7</v>
      </c>
      <c r="D939" s="5">
        <v>0.0</v>
      </c>
      <c r="E939" s="5">
        <f t="shared" si="2"/>
        <v>57261701</v>
      </c>
      <c r="F939" s="4" t="s">
        <v>2464</v>
      </c>
      <c r="G939" s="4" t="s">
        <v>59</v>
      </c>
      <c r="H939" s="4" t="s">
        <v>326</v>
      </c>
      <c r="I939" s="4" t="s">
        <v>6</v>
      </c>
    </row>
    <row r="940" ht="15.75" customHeight="1">
      <c r="A940" s="8">
        <v>46065.0</v>
      </c>
      <c r="B940" s="4" t="s">
        <v>3542</v>
      </c>
      <c r="C940" s="5">
        <v>5.589E7</v>
      </c>
      <c r="D940" s="5">
        <v>0.0</v>
      </c>
      <c r="E940" s="5">
        <f t="shared" si="2"/>
        <v>1371701</v>
      </c>
      <c r="F940" s="4" t="s">
        <v>2464</v>
      </c>
      <c r="G940" s="4" t="s">
        <v>59</v>
      </c>
      <c r="H940" s="4" t="s">
        <v>326</v>
      </c>
      <c r="I940" s="4" t="s">
        <v>6</v>
      </c>
    </row>
    <row r="941" ht="15.75" customHeight="1">
      <c r="A941" s="8">
        <v>46066.0</v>
      </c>
      <c r="B941" s="4" t="s">
        <v>3543</v>
      </c>
      <c r="C941" s="5">
        <v>571148.0</v>
      </c>
      <c r="D941" s="5">
        <v>0.0</v>
      </c>
      <c r="E941" s="5">
        <f t="shared" si="2"/>
        <v>800553</v>
      </c>
      <c r="F941" s="4" t="s">
        <v>2464</v>
      </c>
      <c r="G941" s="4" t="s">
        <v>59</v>
      </c>
      <c r="H941" s="4" t="s">
        <v>326</v>
      </c>
      <c r="I941" s="4" t="s">
        <v>6</v>
      </c>
    </row>
    <row r="942" ht="15.75" customHeight="1">
      <c r="A942" s="8">
        <v>46069.0</v>
      </c>
      <c r="B942" s="4" t="s">
        <v>3544</v>
      </c>
      <c r="C942" s="5">
        <v>800553.0</v>
      </c>
      <c r="D942" s="5">
        <v>0.0</v>
      </c>
      <c r="E942" s="5">
        <f t="shared" si="2"/>
        <v>0</v>
      </c>
      <c r="F942" s="4" t="s">
        <v>2464</v>
      </c>
      <c r="G942" s="4" t="s">
        <v>59</v>
      </c>
      <c r="H942" s="4" t="s">
        <v>294</v>
      </c>
      <c r="I942" s="4" t="s">
        <v>2395</v>
      </c>
    </row>
    <row r="943" ht="15.75" customHeight="1">
      <c r="A943" s="8">
        <v>46088.0</v>
      </c>
      <c r="B943" s="4" t="s">
        <v>1065</v>
      </c>
      <c r="C943" s="5">
        <v>0.0</v>
      </c>
      <c r="D943" s="5">
        <v>5.4805209E7</v>
      </c>
      <c r="E943" s="5">
        <f t="shared" si="2"/>
        <v>54805209</v>
      </c>
      <c r="F943" s="4" t="s">
        <v>21</v>
      </c>
      <c r="G943" s="4" t="s">
        <v>448</v>
      </c>
      <c r="H943" s="4" t="s">
        <v>70</v>
      </c>
    </row>
    <row r="944" ht="15.75" customHeight="1">
      <c r="A944" s="8">
        <v>46043.0</v>
      </c>
      <c r="B944" s="4" t="s">
        <v>3545</v>
      </c>
      <c r="C944" s="5">
        <v>1073710.0</v>
      </c>
      <c r="D944" s="5">
        <v>0.0</v>
      </c>
      <c r="E944" s="5">
        <f t="shared" si="2"/>
        <v>53731499</v>
      </c>
      <c r="F944" s="4" t="s">
        <v>2464</v>
      </c>
      <c r="G944" s="4" t="s">
        <v>59</v>
      </c>
      <c r="H944" s="4" t="s">
        <v>188</v>
      </c>
      <c r="I944" s="4" t="s">
        <v>6</v>
      </c>
    </row>
    <row r="945" ht="15.75" customHeight="1">
      <c r="A945" s="8">
        <v>46048.0</v>
      </c>
      <c r="B945" s="4" t="s">
        <v>3546</v>
      </c>
      <c r="C945" s="5">
        <v>115710.0</v>
      </c>
      <c r="D945" s="5">
        <v>0.0</v>
      </c>
      <c r="E945" s="5">
        <f t="shared" si="2"/>
        <v>53615789</v>
      </c>
      <c r="F945" s="4" t="s">
        <v>1471</v>
      </c>
      <c r="G945" s="4" t="s">
        <v>1579</v>
      </c>
      <c r="I945" s="4" t="s">
        <v>6</v>
      </c>
    </row>
    <row r="946" ht="15.75" customHeight="1">
      <c r="A946" s="8">
        <v>46055.0</v>
      </c>
      <c r="B946" s="4" t="s">
        <v>3547</v>
      </c>
      <c r="C946" s="5">
        <v>332050.0</v>
      </c>
      <c r="D946" s="5">
        <v>0.0</v>
      </c>
      <c r="E946" s="5">
        <f t="shared" si="2"/>
        <v>53283739</v>
      </c>
      <c r="F946" s="4" t="s">
        <v>50</v>
      </c>
      <c r="G946" s="4" t="s">
        <v>245</v>
      </c>
      <c r="H946" s="4" t="s">
        <v>246</v>
      </c>
      <c r="I946" s="4" t="s">
        <v>6</v>
      </c>
    </row>
    <row r="947" ht="15.75" customHeight="1">
      <c r="A947" s="8">
        <v>46056.0</v>
      </c>
      <c r="B947" s="4" t="s">
        <v>3548</v>
      </c>
      <c r="C947" s="5">
        <v>3.973129E7</v>
      </c>
      <c r="D947" s="5">
        <v>0.0</v>
      </c>
      <c r="E947" s="5">
        <f t="shared" si="2"/>
        <v>13552449</v>
      </c>
      <c r="F947" s="4" t="s">
        <v>2464</v>
      </c>
      <c r="G947" s="4" t="s">
        <v>59</v>
      </c>
      <c r="H947" s="4" t="s">
        <v>326</v>
      </c>
      <c r="I947" s="4" t="s">
        <v>6</v>
      </c>
    </row>
    <row r="948" ht="15.75" customHeight="1">
      <c r="A948" s="8">
        <v>46057.0</v>
      </c>
      <c r="B948" s="4" t="s">
        <v>3549</v>
      </c>
      <c r="C948" s="5">
        <v>1360325.0</v>
      </c>
      <c r="D948" s="5">
        <v>0.0</v>
      </c>
      <c r="E948" s="5">
        <f t="shared" si="2"/>
        <v>12192124</v>
      </c>
      <c r="F948" s="4" t="s">
        <v>18</v>
      </c>
      <c r="G948" s="4" t="s">
        <v>80</v>
      </c>
      <c r="H948" s="4" t="s">
        <v>324</v>
      </c>
      <c r="I948" s="4" t="s">
        <v>6</v>
      </c>
    </row>
    <row r="949" ht="15.75" customHeight="1">
      <c r="A949" s="8">
        <v>46057.0</v>
      </c>
      <c r="B949" s="4" t="s">
        <v>3550</v>
      </c>
      <c r="C949" s="5">
        <v>307701.0</v>
      </c>
      <c r="D949" s="5">
        <v>0.0</v>
      </c>
      <c r="E949" s="5">
        <f t="shared" si="2"/>
        <v>11884423</v>
      </c>
      <c r="F949" s="4" t="s">
        <v>18</v>
      </c>
      <c r="G949" s="4" t="s">
        <v>80</v>
      </c>
      <c r="H949" s="4" t="s">
        <v>324</v>
      </c>
      <c r="I949" s="4" t="s">
        <v>6</v>
      </c>
    </row>
    <row r="950" ht="15.75" customHeight="1">
      <c r="A950" s="8">
        <v>46057.0</v>
      </c>
      <c r="B950" s="4" t="s">
        <v>3551</v>
      </c>
      <c r="C950" s="5">
        <v>309000.0</v>
      </c>
      <c r="D950" s="5">
        <v>0.0</v>
      </c>
      <c r="E950" s="5">
        <f t="shared" si="2"/>
        <v>11575423</v>
      </c>
      <c r="F950" s="4" t="s">
        <v>18</v>
      </c>
      <c r="G950" s="4" t="s">
        <v>80</v>
      </c>
      <c r="H950" s="4" t="s">
        <v>324</v>
      </c>
      <c r="I950" s="4" t="s">
        <v>6</v>
      </c>
    </row>
    <row r="951" ht="15.75" customHeight="1">
      <c r="A951" s="8">
        <v>46057.0</v>
      </c>
      <c r="B951" s="4" t="s">
        <v>3552</v>
      </c>
      <c r="C951" s="5">
        <v>2036000.0</v>
      </c>
      <c r="D951" s="5">
        <v>0.0</v>
      </c>
      <c r="E951" s="5">
        <f t="shared" si="2"/>
        <v>9539423</v>
      </c>
      <c r="F951" s="4" t="s">
        <v>2464</v>
      </c>
      <c r="G951" s="4" t="s">
        <v>59</v>
      </c>
      <c r="H951" s="4" t="s">
        <v>226</v>
      </c>
      <c r="I951" s="4" t="s">
        <v>6</v>
      </c>
    </row>
    <row r="952" ht="15.75" customHeight="1">
      <c r="A952" s="8">
        <v>46058.0</v>
      </c>
      <c r="B952" s="4" t="s">
        <v>3553</v>
      </c>
      <c r="C952" s="5">
        <v>2371450.0</v>
      </c>
      <c r="D952" s="5">
        <v>0.0</v>
      </c>
      <c r="E952" s="5">
        <f t="shared" si="2"/>
        <v>7167973</v>
      </c>
      <c r="F952" s="4" t="s">
        <v>18</v>
      </c>
      <c r="G952" s="4" t="s">
        <v>80</v>
      </c>
      <c r="H952" s="4" t="s">
        <v>324</v>
      </c>
      <c r="I952" s="4" t="s">
        <v>6</v>
      </c>
    </row>
    <row r="953" ht="15.75" customHeight="1">
      <c r="A953" s="8">
        <v>46058.0</v>
      </c>
      <c r="B953" s="4" t="s">
        <v>3554</v>
      </c>
      <c r="C953" s="5">
        <v>137300.0</v>
      </c>
      <c r="D953" s="5">
        <v>0.0</v>
      </c>
      <c r="E953" s="5">
        <f t="shared" si="2"/>
        <v>7030673</v>
      </c>
      <c r="F953" s="4" t="s">
        <v>18</v>
      </c>
      <c r="G953" s="4" t="s">
        <v>80</v>
      </c>
      <c r="H953" s="4" t="s">
        <v>324</v>
      </c>
      <c r="I953" s="4" t="s">
        <v>6</v>
      </c>
    </row>
    <row r="954" ht="15.75" customHeight="1">
      <c r="A954" s="8">
        <v>46058.0</v>
      </c>
      <c r="B954" s="4" t="s">
        <v>3555</v>
      </c>
      <c r="C954" s="5">
        <v>5566518.0</v>
      </c>
      <c r="D954" s="5">
        <v>0.0</v>
      </c>
      <c r="E954" s="5">
        <f t="shared" si="2"/>
        <v>1464155</v>
      </c>
      <c r="F954" s="4" t="s">
        <v>2464</v>
      </c>
      <c r="G954" s="4" t="s">
        <v>59</v>
      </c>
      <c r="H954" s="4" t="s">
        <v>226</v>
      </c>
      <c r="I954" s="4" t="s">
        <v>6</v>
      </c>
    </row>
    <row r="955" ht="15.75" customHeight="1">
      <c r="A955" s="8">
        <v>46059.0</v>
      </c>
      <c r="B955" s="4" t="s">
        <v>3556</v>
      </c>
      <c r="C955" s="5">
        <v>290000.0</v>
      </c>
      <c r="D955" s="5">
        <v>0.0</v>
      </c>
      <c r="E955" s="5">
        <f t="shared" si="2"/>
        <v>1174155</v>
      </c>
      <c r="F955" s="4" t="s">
        <v>50</v>
      </c>
      <c r="G955" s="4" t="s">
        <v>245</v>
      </c>
      <c r="H955" s="4" t="s">
        <v>246</v>
      </c>
      <c r="I955" s="4" t="s">
        <v>6</v>
      </c>
    </row>
    <row r="956" ht="15.75" customHeight="1">
      <c r="A956" s="8">
        <v>46062.0</v>
      </c>
      <c r="B956" s="4" t="s">
        <v>3557</v>
      </c>
      <c r="C956" s="5">
        <v>390000.0</v>
      </c>
      <c r="D956" s="5">
        <v>0.0</v>
      </c>
      <c r="E956" s="5">
        <f t="shared" si="2"/>
        <v>784155</v>
      </c>
      <c r="F956" s="4" t="s">
        <v>50</v>
      </c>
      <c r="G956" s="4" t="s">
        <v>245</v>
      </c>
      <c r="H956" s="4" t="s">
        <v>413</v>
      </c>
      <c r="I956" s="4" t="s">
        <v>6</v>
      </c>
    </row>
    <row r="957" ht="15.75" customHeight="1">
      <c r="A957" s="8">
        <v>46063.0</v>
      </c>
      <c r="B957" s="4" t="s">
        <v>3558</v>
      </c>
      <c r="C957" s="5">
        <v>345345.0</v>
      </c>
      <c r="D957" s="5">
        <v>0.0</v>
      </c>
      <c r="E957" s="5">
        <f t="shared" si="2"/>
        <v>438810</v>
      </c>
      <c r="F957" s="4" t="s">
        <v>1471</v>
      </c>
      <c r="G957" s="4" t="s">
        <v>3435</v>
      </c>
      <c r="I957" s="4" t="s">
        <v>6</v>
      </c>
    </row>
    <row r="958" ht="15.75" customHeight="1">
      <c r="A958" s="8">
        <v>46071.0</v>
      </c>
      <c r="B958" s="4" t="s">
        <v>3559</v>
      </c>
      <c r="C958" s="5">
        <v>438810.0</v>
      </c>
      <c r="D958" s="5">
        <v>0.0</v>
      </c>
      <c r="E958" s="5">
        <f t="shared" si="2"/>
        <v>0</v>
      </c>
      <c r="F958" s="4" t="s">
        <v>1471</v>
      </c>
      <c r="G958" s="4" t="s">
        <v>1579</v>
      </c>
      <c r="I958" s="4" t="s">
        <v>6</v>
      </c>
    </row>
    <row r="959" ht="15.75" customHeight="1">
      <c r="A959" s="8">
        <v>46094.0</v>
      </c>
      <c r="B959" s="4" t="s">
        <v>3560</v>
      </c>
      <c r="C959" s="5">
        <v>0.0</v>
      </c>
      <c r="D959" s="5">
        <v>1.08569157E8</v>
      </c>
      <c r="E959" s="5">
        <f t="shared" si="2"/>
        <v>108569157</v>
      </c>
      <c r="F959" s="4" t="s">
        <v>21</v>
      </c>
      <c r="G959" s="4" t="s">
        <v>448</v>
      </c>
      <c r="H959" s="4" t="s">
        <v>170</v>
      </c>
      <c r="I959" s="4" t="s">
        <v>6</v>
      </c>
    </row>
    <row r="960" ht="15.75" customHeight="1">
      <c r="A960" s="8">
        <v>46022.0</v>
      </c>
      <c r="B960" s="4" t="s">
        <v>3561</v>
      </c>
      <c r="C960" s="5">
        <v>5000.0</v>
      </c>
      <c r="D960" s="5">
        <v>0.0</v>
      </c>
      <c r="E960" s="5">
        <f t="shared" si="2"/>
        <v>108564157</v>
      </c>
      <c r="F960" s="4" t="s">
        <v>43</v>
      </c>
      <c r="G960" s="4" t="s">
        <v>45</v>
      </c>
    </row>
    <row r="961" ht="15.75" customHeight="1">
      <c r="A961" s="8">
        <v>46033.0</v>
      </c>
      <c r="B961" s="14" t="s">
        <v>3562</v>
      </c>
      <c r="C961" s="5">
        <v>54599.0</v>
      </c>
      <c r="D961" s="5">
        <v>0.0</v>
      </c>
      <c r="E961" s="5">
        <f t="shared" si="2"/>
        <v>108509558</v>
      </c>
      <c r="F961" s="14" t="s">
        <v>105</v>
      </c>
      <c r="G961" s="14" t="s">
        <v>2064</v>
      </c>
      <c r="H961" s="14" t="s">
        <v>72</v>
      </c>
      <c r="I961" s="14"/>
      <c r="J961" s="14"/>
      <c r="K961" s="14"/>
      <c r="L961" s="14"/>
    </row>
    <row r="962" ht="15.75" customHeight="1">
      <c r="A962" s="8">
        <v>46041.0</v>
      </c>
      <c r="B962" s="4" t="s">
        <v>3563</v>
      </c>
      <c r="C962" s="5">
        <v>116600.0</v>
      </c>
      <c r="D962" s="5">
        <v>0.0</v>
      </c>
      <c r="E962" s="5">
        <f t="shared" si="2"/>
        <v>108392958</v>
      </c>
      <c r="F962" s="4" t="s">
        <v>1471</v>
      </c>
      <c r="G962" s="4" t="s">
        <v>3564</v>
      </c>
    </row>
    <row r="963" ht="15.75" customHeight="1">
      <c r="A963" s="8">
        <v>46043.0</v>
      </c>
      <c r="B963" s="4" t="s">
        <v>3565</v>
      </c>
      <c r="C963" s="5">
        <v>10000.0</v>
      </c>
      <c r="D963" s="5">
        <v>0.0</v>
      </c>
      <c r="E963" s="5">
        <f t="shared" si="2"/>
        <v>108382958</v>
      </c>
      <c r="F963" s="4" t="s">
        <v>43</v>
      </c>
      <c r="G963" s="4" t="s">
        <v>45</v>
      </c>
    </row>
    <row r="964" ht="15.75" customHeight="1">
      <c r="A964" s="8">
        <v>46042.0</v>
      </c>
      <c r="B964" s="4" t="s">
        <v>3566</v>
      </c>
      <c r="C964" s="5">
        <v>300100.0</v>
      </c>
      <c r="D964" s="5">
        <v>0.0</v>
      </c>
      <c r="E964" s="5">
        <f t="shared" si="2"/>
        <v>108082858</v>
      </c>
      <c r="F964" s="4" t="s">
        <v>50</v>
      </c>
      <c r="G964" s="4" t="s">
        <v>245</v>
      </c>
      <c r="H964" s="4" t="s">
        <v>246</v>
      </c>
      <c r="I964" s="4" t="s">
        <v>6</v>
      </c>
    </row>
    <row r="965" ht="15.75" customHeight="1">
      <c r="A965" s="8">
        <v>46042.0</v>
      </c>
      <c r="B965" s="4" t="s">
        <v>3567</v>
      </c>
      <c r="C965" s="5">
        <v>597300.0</v>
      </c>
      <c r="D965" s="5">
        <v>0.0</v>
      </c>
      <c r="E965" s="5">
        <f t="shared" si="2"/>
        <v>107485558</v>
      </c>
      <c r="F965" s="4" t="s">
        <v>1471</v>
      </c>
      <c r="G965" s="4" t="s">
        <v>3435</v>
      </c>
      <c r="I965" s="4" t="s">
        <v>6</v>
      </c>
    </row>
    <row r="966" ht="15.75" customHeight="1">
      <c r="A966" s="8">
        <v>46042.0</v>
      </c>
      <c r="B966" s="4" t="s">
        <v>3568</v>
      </c>
      <c r="C966" s="5">
        <v>3.5E7</v>
      </c>
      <c r="D966" s="5">
        <v>0.0</v>
      </c>
      <c r="E966" s="5">
        <f t="shared" si="2"/>
        <v>72485558</v>
      </c>
      <c r="F966" s="14" t="s">
        <v>2464</v>
      </c>
      <c r="G966" s="14" t="s">
        <v>59</v>
      </c>
      <c r="H966" s="14" t="s">
        <v>238</v>
      </c>
      <c r="I966" s="4" t="s">
        <v>6</v>
      </c>
    </row>
    <row r="967" ht="15.75" customHeight="1">
      <c r="A967" s="8">
        <v>46044.0</v>
      </c>
      <c r="B967" s="14" t="s">
        <v>3569</v>
      </c>
      <c r="C967" s="5">
        <v>104000.0</v>
      </c>
      <c r="D967" s="5">
        <v>0.0</v>
      </c>
      <c r="E967" s="5">
        <f t="shared" si="2"/>
        <v>72381558</v>
      </c>
      <c r="F967" s="14" t="s">
        <v>105</v>
      </c>
      <c r="G967" s="14" t="s">
        <v>2064</v>
      </c>
      <c r="H967" s="14" t="s">
        <v>72</v>
      </c>
      <c r="I967" s="14" t="s">
        <v>6</v>
      </c>
      <c r="J967" s="14"/>
      <c r="K967" s="14"/>
      <c r="L967" s="14"/>
    </row>
    <row r="968" ht="15.75" customHeight="1">
      <c r="A968" s="8">
        <v>46049.0</v>
      </c>
      <c r="B968" s="4" t="s">
        <v>3570</v>
      </c>
      <c r="C968" s="5">
        <v>2310000.0</v>
      </c>
      <c r="D968" s="5">
        <v>0.0</v>
      </c>
      <c r="E968" s="5">
        <f t="shared" si="2"/>
        <v>70071558</v>
      </c>
      <c r="F968" s="14" t="s">
        <v>2464</v>
      </c>
      <c r="G968" s="14" t="s">
        <v>59</v>
      </c>
      <c r="H968" s="14" t="s">
        <v>238</v>
      </c>
      <c r="I968" s="4" t="s">
        <v>6</v>
      </c>
    </row>
    <row r="969" ht="15.75" customHeight="1">
      <c r="A969" s="8">
        <v>46049.0</v>
      </c>
      <c r="B969" s="4" t="s">
        <v>3571</v>
      </c>
      <c r="C969" s="5">
        <v>3.0E7</v>
      </c>
      <c r="D969" s="5">
        <v>0.0</v>
      </c>
      <c r="E969" s="5">
        <f t="shared" si="2"/>
        <v>40071558</v>
      </c>
      <c r="F969" s="4" t="s">
        <v>2464</v>
      </c>
      <c r="G969" s="4" t="s">
        <v>59</v>
      </c>
      <c r="H969" s="4" t="s">
        <v>234</v>
      </c>
      <c r="I969" s="4" t="s">
        <v>6</v>
      </c>
    </row>
    <row r="970" ht="15.75" customHeight="1">
      <c r="A970" s="8">
        <v>46050.0</v>
      </c>
      <c r="B970" s="4" t="s">
        <v>3572</v>
      </c>
      <c r="C970" s="5">
        <v>3000000.0</v>
      </c>
      <c r="D970" s="5">
        <v>0.0</v>
      </c>
      <c r="E970" s="5">
        <f t="shared" si="2"/>
        <v>37071558</v>
      </c>
      <c r="F970" s="4" t="s">
        <v>2464</v>
      </c>
      <c r="G970" s="4" t="s">
        <v>59</v>
      </c>
      <c r="H970" s="4" t="s">
        <v>234</v>
      </c>
      <c r="I970" s="4" t="s">
        <v>6</v>
      </c>
    </row>
    <row r="971" ht="15.75" customHeight="1">
      <c r="A971" s="8">
        <v>46050.0</v>
      </c>
      <c r="B971" s="4" t="s">
        <v>3573</v>
      </c>
      <c r="C971" s="5">
        <v>1.0000002E7</v>
      </c>
      <c r="D971" s="5">
        <v>0.0</v>
      </c>
      <c r="E971" s="5">
        <f t="shared" si="2"/>
        <v>27071556</v>
      </c>
      <c r="F971" s="4" t="s">
        <v>2464</v>
      </c>
      <c r="G971" s="4" t="s">
        <v>59</v>
      </c>
      <c r="H971" s="4" t="s">
        <v>234</v>
      </c>
      <c r="I971" s="4" t="s">
        <v>6</v>
      </c>
    </row>
    <row r="972" ht="15.75" customHeight="1">
      <c r="A972" s="8">
        <v>46051.0</v>
      </c>
      <c r="B972" s="4" t="s">
        <v>3574</v>
      </c>
      <c r="C972" s="5">
        <v>6075000.0</v>
      </c>
      <c r="D972" s="5">
        <v>0.0</v>
      </c>
      <c r="E972" s="5">
        <f t="shared" si="2"/>
        <v>20996556</v>
      </c>
      <c r="F972" s="4" t="s">
        <v>2464</v>
      </c>
      <c r="G972" s="4" t="s">
        <v>59</v>
      </c>
      <c r="H972" s="4" t="s">
        <v>234</v>
      </c>
      <c r="I972" s="4" t="s">
        <v>6</v>
      </c>
    </row>
    <row r="973" ht="15.75" customHeight="1">
      <c r="A973" s="8">
        <v>46051.0</v>
      </c>
      <c r="B973" s="4" t="s">
        <v>3575</v>
      </c>
      <c r="C973" s="5">
        <v>301800.0</v>
      </c>
      <c r="D973" s="5">
        <v>0.0</v>
      </c>
      <c r="E973" s="5">
        <f t="shared" si="2"/>
        <v>20694756</v>
      </c>
      <c r="F973" s="4" t="s">
        <v>50</v>
      </c>
      <c r="G973" s="4" t="s">
        <v>245</v>
      </c>
      <c r="H973" s="4" t="s">
        <v>246</v>
      </c>
      <c r="I973" s="4" t="s">
        <v>6</v>
      </c>
    </row>
    <row r="974" ht="15.75" customHeight="1">
      <c r="A974" s="8">
        <v>46051.0</v>
      </c>
      <c r="B974" s="4" t="s">
        <v>3576</v>
      </c>
      <c r="C974" s="5">
        <v>8000000.0</v>
      </c>
      <c r="D974" s="5">
        <v>0.0</v>
      </c>
      <c r="E974" s="5">
        <f t="shared" si="2"/>
        <v>12694756</v>
      </c>
      <c r="F974" s="4" t="s">
        <v>2464</v>
      </c>
      <c r="G974" s="4" t="s">
        <v>59</v>
      </c>
      <c r="H974" s="4" t="s">
        <v>234</v>
      </c>
      <c r="I974" s="4" t="s">
        <v>6</v>
      </c>
    </row>
    <row r="975" ht="15.75" customHeight="1">
      <c r="A975" s="8">
        <v>46057.0</v>
      </c>
      <c r="B975" s="4" t="s">
        <v>3577</v>
      </c>
      <c r="C975" s="5">
        <v>1.245E7</v>
      </c>
      <c r="D975" s="5">
        <v>0.0</v>
      </c>
      <c r="E975" s="5">
        <f t="shared" si="2"/>
        <v>244756</v>
      </c>
      <c r="F975" s="4" t="s">
        <v>2464</v>
      </c>
      <c r="G975" s="4" t="s">
        <v>59</v>
      </c>
      <c r="H975" s="4" t="s">
        <v>332</v>
      </c>
      <c r="I975" s="4" t="s">
        <v>6</v>
      </c>
    </row>
    <row r="976" ht="15.75" customHeight="1">
      <c r="A976" s="8">
        <v>46061.0</v>
      </c>
      <c r="B976" s="4" t="s">
        <v>3578</v>
      </c>
      <c r="C976" s="5">
        <v>289500.0</v>
      </c>
      <c r="D976" s="5">
        <v>0.0</v>
      </c>
      <c r="E976" s="5">
        <f t="shared" si="2"/>
        <v>-44744</v>
      </c>
      <c r="F976" s="4" t="s">
        <v>2464</v>
      </c>
      <c r="G976" s="4" t="s">
        <v>59</v>
      </c>
      <c r="H976" s="4" t="s">
        <v>332</v>
      </c>
      <c r="I976" s="4" t="s">
        <v>6</v>
      </c>
    </row>
    <row r="977" ht="15.75" customHeight="1">
      <c r="A977" s="8">
        <v>46064.0</v>
      </c>
      <c r="B977" s="4" t="s">
        <v>3579</v>
      </c>
      <c r="C977" s="5">
        <v>1862.0</v>
      </c>
      <c r="D977" s="5">
        <v>0.0</v>
      </c>
      <c r="E977" s="5">
        <f t="shared" si="2"/>
        <v>-46606</v>
      </c>
      <c r="F977" s="4" t="s">
        <v>43</v>
      </c>
      <c r="G977" s="4" t="s">
        <v>1356</v>
      </c>
      <c r="I977" s="4" t="s">
        <v>6</v>
      </c>
    </row>
    <row r="978" ht="15.75" customHeight="1">
      <c r="A978" s="8">
        <v>46072.0</v>
      </c>
      <c r="B978" s="4" t="s">
        <v>3580</v>
      </c>
      <c r="C978" s="5">
        <v>0.0</v>
      </c>
      <c r="D978" s="5">
        <v>50000.0</v>
      </c>
      <c r="E978" s="5">
        <f t="shared" si="2"/>
        <v>3394</v>
      </c>
      <c r="F978" s="4" t="s">
        <v>18</v>
      </c>
      <c r="G978" s="4" t="s">
        <v>19</v>
      </c>
      <c r="H978" s="4" t="s">
        <v>20</v>
      </c>
      <c r="I978" s="4" t="s">
        <v>6</v>
      </c>
    </row>
    <row r="979" ht="15.75" customHeight="1">
      <c r="A979" s="8">
        <v>46074.0</v>
      </c>
      <c r="B979" s="4" t="s">
        <v>3581</v>
      </c>
      <c r="C979" s="5">
        <v>3394.0</v>
      </c>
      <c r="D979" s="5">
        <v>0.0</v>
      </c>
      <c r="E979" s="5">
        <f t="shared" si="2"/>
        <v>0</v>
      </c>
      <c r="F979" s="4" t="s">
        <v>43</v>
      </c>
      <c r="G979" s="4" t="s">
        <v>1356</v>
      </c>
      <c r="I979" s="4" t="s">
        <v>6</v>
      </c>
    </row>
    <row r="980" ht="15.75" customHeight="1">
      <c r="A980" s="8">
        <v>46096.0</v>
      </c>
      <c r="B980" s="4" t="s">
        <v>1095</v>
      </c>
      <c r="C980" s="5">
        <v>0.0</v>
      </c>
      <c r="D980" s="5">
        <v>1.0E8</v>
      </c>
      <c r="E980" s="5">
        <f t="shared" si="2"/>
        <v>100000000</v>
      </c>
      <c r="F980" s="4" t="s">
        <v>21</v>
      </c>
      <c r="G980" s="4" t="s">
        <v>448</v>
      </c>
      <c r="H980" s="4" t="s">
        <v>55</v>
      </c>
    </row>
    <row r="981" ht="15.75" customHeight="1">
      <c r="A981" s="8">
        <v>46119.0</v>
      </c>
      <c r="B981" s="4" t="s">
        <v>1287</v>
      </c>
      <c r="C981" s="5">
        <v>0.0</v>
      </c>
      <c r="D981" s="5">
        <v>4.34869E7</v>
      </c>
      <c r="E981" s="5">
        <f t="shared" si="2"/>
        <v>143486900</v>
      </c>
      <c r="F981" s="4" t="s">
        <v>21</v>
      </c>
      <c r="G981" s="4" t="s">
        <v>448</v>
      </c>
      <c r="H981" s="4" t="s">
        <v>55</v>
      </c>
    </row>
    <row r="982" ht="15.75" customHeight="1">
      <c r="A982" s="8">
        <v>46119.0</v>
      </c>
      <c r="B982" s="4" t="s">
        <v>1287</v>
      </c>
      <c r="C982" s="5">
        <v>0.0</v>
      </c>
      <c r="D982" s="5">
        <v>2.5E8</v>
      </c>
      <c r="E982" s="5">
        <f t="shared" si="2"/>
        <v>393486900</v>
      </c>
      <c r="F982" s="4" t="s">
        <v>21</v>
      </c>
      <c r="G982" s="4" t="s">
        <v>448</v>
      </c>
      <c r="H982" s="4" t="s">
        <v>55</v>
      </c>
    </row>
    <row r="983" ht="15.75" customHeight="1">
      <c r="A983" s="8">
        <v>46078.0</v>
      </c>
      <c r="B983" s="4" t="s">
        <v>3582</v>
      </c>
      <c r="C983" s="5">
        <v>5000.0</v>
      </c>
      <c r="D983" s="5">
        <v>0.0</v>
      </c>
      <c r="E983" s="5">
        <f t="shared" si="2"/>
        <v>393481900</v>
      </c>
      <c r="F983" s="4" t="s">
        <v>43</v>
      </c>
      <c r="G983" s="4" t="s">
        <v>45</v>
      </c>
    </row>
    <row r="984" ht="15.75" customHeight="1">
      <c r="A984" s="8">
        <v>46079.0</v>
      </c>
      <c r="B984" s="4" t="s">
        <v>3430</v>
      </c>
      <c r="C984" s="5">
        <v>7500.0</v>
      </c>
      <c r="D984" s="5">
        <v>0.0</v>
      </c>
      <c r="E984" s="5">
        <f t="shared" si="2"/>
        <v>393474400</v>
      </c>
      <c r="F984" s="4" t="s">
        <v>43</v>
      </c>
      <c r="G984" s="4" t="s">
        <v>45</v>
      </c>
    </row>
    <row r="985" ht="15.75" customHeight="1">
      <c r="A985" s="8">
        <v>46080.0</v>
      </c>
      <c r="B985" s="4" t="s">
        <v>3583</v>
      </c>
      <c r="C985" s="5">
        <v>407979.0</v>
      </c>
      <c r="D985" s="5">
        <v>0.0</v>
      </c>
      <c r="E985" s="5">
        <f t="shared" si="2"/>
        <v>393066421</v>
      </c>
      <c r="F985" s="4" t="s">
        <v>1471</v>
      </c>
      <c r="G985" s="4" t="s">
        <v>1579</v>
      </c>
    </row>
    <row r="986" ht="15.75" customHeight="1">
      <c r="A986" s="8">
        <v>46083.0</v>
      </c>
      <c r="B986" s="4" t="s">
        <v>3584</v>
      </c>
      <c r="C986" s="5">
        <v>362710.0</v>
      </c>
      <c r="D986" s="5">
        <v>0.0</v>
      </c>
      <c r="E986" s="5">
        <f t="shared" si="2"/>
        <v>392703711</v>
      </c>
      <c r="F986" s="4" t="s">
        <v>1471</v>
      </c>
      <c r="G986" s="4" t="s">
        <v>1579</v>
      </c>
    </row>
    <row r="987" ht="15.75" customHeight="1">
      <c r="A987" s="8">
        <v>46084.0</v>
      </c>
      <c r="B987" s="4" t="s">
        <v>3585</v>
      </c>
      <c r="C987" s="5">
        <v>452200.0</v>
      </c>
      <c r="D987" s="5">
        <v>0.0</v>
      </c>
      <c r="E987" s="5">
        <f t="shared" si="2"/>
        <v>392251511</v>
      </c>
      <c r="F987" s="4" t="s">
        <v>2464</v>
      </c>
      <c r="G987" s="4" t="s">
        <v>59</v>
      </c>
      <c r="H987" s="4" t="s">
        <v>404</v>
      </c>
    </row>
    <row r="988" ht="15.75" customHeight="1">
      <c r="A988" s="8">
        <v>46086.0</v>
      </c>
      <c r="B988" s="4" t="s">
        <v>3586</v>
      </c>
      <c r="C988" s="5">
        <v>562000.0</v>
      </c>
      <c r="D988" s="5">
        <v>0.0</v>
      </c>
      <c r="E988" s="5">
        <f t="shared" si="2"/>
        <v>391689511</v>
      </c>
      <c r="F988" s="4" t="s">
        <v>2464</v>
      </c>
      <c r="G988" s="4" t="s">
        <v>59</v>
      </c>
      <c r="H988" s="4" t="s">
        <v>404</v>
      </c>
    </row>
    <row r="989" ht="15.75" customHeight="1">
      <c r="A989" s="8">
        <v>46086.0</v>
      </c>
      <c r="B989" s="4" t="s">
        <v>3587</v>
      </c>
      <c r="C989" s="5">
        <v>138294.0</v>
      </c>
      <c r="D989" s="5">
        <v>0.0</v>
      </c>
      <c r="E989" s="5">
        <f t="shared" si="2"/>
        <v>391551217</v>
      </c>
      <c r="F989" s="4" t="s">
        <v>2464</v>
      </c>
      <c r="G989" s="4" t="s">
        <v>59</v>
      </c>
      <c r="H989" s="15" t="s">
        <v>317</v>
      </c>
    </row>
    <row r="990" ht="15.75" customHeight="1">
      <c r="A990" s="8">
        <v>46090.0</v>
      </c>
      <c r="B990" s="4" t="s">
        <v>3588</v>
      </c>
      <c r="C990" s="5">
        <v>124845.0</v>
      </c>
      <c r="D990" s="5">
        <v>0.0</v>
      </c>
      <c r="E990" s="5">
        <f t="shared" si="2"/>
        <v>391426372</v>
      </c>
      <c r="F990" s="4" t="s">
        <v>2464</v>
      </c>
      <c r="G990" s="4" t="s">
        <v>59</v>
      </c>
      <c r="H990" s="4" t="s">
        <v>2670</v>
      </c>
    </row>
    <row r="991" ht="15.75" customHeight="1">
      <c r="A991" s="8">
        <v>46092.0</v>
      </c>
      <c r="B991" s="4" t="s">
        <v>3589</v>
      </c>
      <c r="C991" s="5">
        <v>1.21E8</v>
      </c>
      <c r="D991" s="5">
        <v>0.0</v>
      </c>
      <c r="E991" s="5">
        <f t="shared" si="2"/>
        <v>270426372</v>
      </c>
      <c r="F991" s="4" t="s">
        <v>2464</v>
      </c>
      <c r="G991" s="4" t="s">
        <v>59</v>
      </c>
      <c r="H991" s="14" t="s">
        <v>931</v>
      </c>
    </row>
    <row r="992" ht="15.75" customHeight="1">
      <c r="A992" s="8">
        <v>46093.0</v>
      </c>
      <c r="B992" s="4" t="s">
        <v>3590</v>
      </c>
      <c r="C992" s="5">
        <v>55000.0</v>
      </c>
      <c r="D992" s="5">
        <v>0.0</v>
      </c>
      <c r="E992" s="5">
        <f t="shared" si="2"/>
        <v>270371372</v>
      </c>
      <c r="F992" s="4" t="s">
        <v>2464</v>
      </c>
      <c r="G992" s="4" t="s">
        <v>59</v>
      </c>
      <c r="H992" s="14" t="s">
        <v>931</v>
      </c>
    </row>
    <row r="993" ht="15.75" customHeight="1">
      <c r="A993" s="8">
        <v>46093.0</v>
      </c>
      <c r="B993" s="4" t="s">
        <v>3591</v>
      </c>
      <c r="C993" s="5">
        <v>554000.0</v>
      </c>
      <c r="D993" s="5">
        <v>0.0</v>
      </c>
      <c r="E993" s="5">
        <f t="shared" si="2"/>
        <v>269817372</v>
      </c>
      <c r="F993" s="4" t="s">
        <v>2464</v>
      </c>
      <c r="G993" s="4" t="s">
        <v>59</v>
      </c>
      <c r="H993" s="14" t="s">
        <v>931</v>
      </c>
    </row>
    <row r="994" ht="15.75" customHeight="1">
      <c r="A994" s="8">
        <v>46093.0</v>
      </c>
      <c r="B994" s="4" t="s">
        <v>3589</v>
      </c>
      <c r="C994" s="5">
        <v>6.3525E7</v>
      </c>
      <c r="D994" s="5">
        <v>0.0</v>
      </c>
      <c r="E994" s="5">
        <f t="shared" si="2"/>
        <v>206292372</v>
      </c>
      <c r="F994" s="4" t="s">
        <v>2464</v>
      </c>
      <c r="G994" s="4" t="s">
        <v>59</v>
      </c>
      <c r="H994" s="14" t="s">
        <v>931</v>
      </c>
    </row>
    <row r="995" ht="15.75" customHeight="1">
      <c r="A995" s="8">
        <v>46094.0</v>
      </c>
      <c r="B995" s="4" t="s">
        <v>3592</v>
      </c>
      <c r="C995" s="5">
        <v>3.1354672E7</v>
      </c>
      <c r="D995" s="5">
        <v>0.0</v>
      </c>
      <c r="E995" s="5">
        <f t="shared" si="2"/>
        <v>174937700</v>
      </c>
      <c r="F995" s="4" t="s">
        <v>2464</v>
      </c>
      <c r="G995" s="4" t="s">
        <v>59</v>
      </c>
      <c r="H995" s="4" t="s">
        <v>408</v>
      </c>
    </row>
    <row r="996" ht="15.75" customHeight="1">
      <c r="A996" s="8">
        <v>46094.0</v>
      </c>
      <c r="B996" s="4" t="s">
        <v>3593</v>
      </c>
      <c r="C996" s="5">
        <v>367800.0</v>
      </c>
      <c r="D996" s="5">
        <v>0.0</v>
      </c>
      <c r="E996" s="5">
        <f t="shared" si="2"/>
        <v>174569900</v>
      </c>
      <c r="F996" s="4" t="s">
        <v>50</v>
      </c>
      <c r="G996" s="4" t="s">
        <v>245</v>
      </c>
      <c r="H996" s="4" t="s">
        <v>246</v>
      </c>
    </row>
    <row r="997" ht="15.75" customHeight="1">
      <c r="A997" s="8">
        <v>46096.0</v>
      </c>
      <c r="B997" s="4" t="s">
        <v>3594</v>
      </c>
      <c r="C997" s="5">
        <v>3.0392E7</v>
      </c>
      <c r="D997" s="5">
        <v>0.0</v>
      </c>
      <c r="E997" s="5">
        <f t="shared" si="2"/>
        <v>144177900</v>
      </c>
      <c r="F997" s="4" t="s">
        <v>2464</v>
      </c>
      <c r="G997" s="4" t="s">
        <v>59</v>
      </c>
      <c r="H997" s="4" t="s">
        <v>408</v>
      </c>
    </row>
    <row r="998" ht="15.75" customHeight="1">
      <c r="A998" s="8">
        <v>46096.0</v>
      </c>
      <c r="B998" s="4" t="s">
        <v>3595</v>
      </c>
      <c r="C998" s="5">
        <v>160000.0</v>
      </c>
      <c r="D998" s="5">
        <v>0.0</v>
      </c>
      <c r="E998" s="5">
        <f t="shared" si="2"/>
        <v>144017900</v>
      </c>
      <c r="F998" s="4" t="s">
        <v>2464</v>
      </c>
      <c r="G998" s="4" t="s">
        <v>59</v>
      </c>
      <c r="H998" s="4" t="s">
        <v>408</v>
      </c>
    </row>
    <row r="999" ht="15.75" customHeight="1">
      <c r="A999" s="8">
        <v>46096.0</v>
      </c>
      <c r="B999" s="4" t="s">
        <v>3596</v>
      </c>
      <c r="C999" s="5">
        <v>1.4616E7</v>
      </c>
      <c r="D999" s="5">
        <v>0.0</v>
      </c>
      <c r="E999" s="5">
        <f t="shared" si="2"/>
        <v>129401900</v>
      </c>
      <c r="F999" s="4" t="s">
        <v>2464</v>
      </c>
      <c r="G999" s="4" t="s">
        <v>59</v>
      </c>
      <c r="H999" s="4" t="s">
        <v>408</v>
      </c>
    </row>
    <row r="1000" ht="15.75" customHeight="1">
      <c r="A1000" s="8">
        <v>46096.0</v>
      </c>
      <c r="B1000" s="4" t="s">
        <v>3597</v>
      </c>
      <c r="C1000" s="5">
        <v>2.3896E7</v>
      </c>
      <c r="D1000" s="5">
        <v>0.0</v>
      </c>
      <c r="E1000" s="5">
        <f t="shared" si="2"/>
        <v>105505900</v>
      </c>
      <c r="F1000" s="4" t="s">
        <v>2464</v>
      </c>
      <c r="G1000" s="4" t="s">
        <v>59</v>
      </c>
      <c r="H1000" s="4" t="s">
        <v>408</v>
      </c>
    </row>
    <row r="1001" ht="15.75" customHeight="1">
      <c r="A1001" s="8">
        <v>46096.0</v>
      </c>
      <c r="B1001" s="4" t="s">
        <v>3598</v>
      </c>
      <c r="C1001" s="5">
        <v>5278000.0</v>
      </c>
      <c r="D1001" s="5">
        <v>0.0</v>
      </c>
      <c r="E1001" s="5">
        <f t="shared" si="2"/>
        <v>100227900</v>
      </c>
      <c r="F1001" s="4" t="s">
        <v>2464</v>
      </c>
      <c r="G1001" s="4" t="s">
        <v>59</v>
      </c>
      <c r="H1001" s="4" t="s">
        <v>408</v>
      </c>
    </row>
    <row r="1002" ht="15.75" customHeight="1">
      <c r="A1002" s="8">
        <v>46097.0</v>
      </c>
      <c r="B1002" s="4" t="s">
        <v>3599</v>
      </c>
      <c r="C1002" s="5">
        <v>2668000.0</v>
      </c>
      <c r="D1002" s="5">
        <v>0.0</v>
      </c>
      <c r="E1002" s="5">
        <f t="shared" si="2"/>
        <v>97559900</v>
      </c>
      <c r="F1002" s="4" t="s">
        <v>2464</v>
      </c>
      <c r="G1002" s="4" t="s">
        <v>59</v>
      </c>
      <c r="H1002" s="4" t="s">
        <v>408</v>
      </c>
    </row>
    <row r="1003" ht="15.75" customHeight="1">
      <c r="A1003" s="8">
        <v>46097.0</v>
      </c>
      <c r="B1003" s="4" t="s">
        <v>3600</v>
      </c>
      <c r="C1003" s="5">
        <v>9.657E7</v>
      </c>
      <c r="D1003" s="5">
        <v>0.0</v>
      </c>
      <c r="E1003" s="5">
        <f t="shared" si="2"/>
        <v>989900</v>
      </c>
      <c r="F1003" s="4" t="s">
        <v>2464</v>
      </c>
      <c r="G1003" s="4" t="s">
        <v>59</v>
      </c>
      <c r="H1003" s="4" t="s">
        <v>408</v>
      </c>
    </row>
    <row r="1004" ht="15.75" customHeight="1">
      <c r="A1004" s="8">
        <v>46098.0</v>
      </c>
      <c r="B1004" s="4" t="s">
        <v>3601</v>
      </c>
      <c r="C1004" s="5">
        <v>265900.0</v>
      </c>
      <c r="D1004" s="5">
        <v>0.0</v>
      </c>
      <c r="E1004" s="5">
        <f t="shared" si="2"/>
        <v>724000</v>
      </c>
      <c r="F1004" s="4" t="s">
        <v>2464</v>
      </c>
      <c r="G1004" s="4" t="s">
        <v>59</v>
      </c>
      <c r="H1004" s="4" t="s">
        <v>408</v>
      </c>
    </row>
    <row r="1005" ht="15.75" customHeight="1">
      <c r="A1005" s="8">
        <v>46098.0</v>
      </c>
      <c r="B1005" s="4" t="s">
        <v>3602</v>
      </c>
      <c r="C1005" s="5">
        <v>714000.0</v>
      </c>
      <c r="D1005" s="5">
        <v>0.0</v>
      </c>
      <c r="E1005" s="5">
        <f t="shared" si="2"/>
        <v>10000</v>
      </c>
      <c r="F1005" s="4" t="s">
        <v>2464</v>
      </c>
      <c r="G1005" s="4" t="s">
        <v>59</v>
      </c>
      <c r="H1005" s="4" t="s">
        <v>408</v>
      </c>
    </row>
    <row r="1006" ht="15.75" customHeight="1">
      <c r="A1006" s="8">
        <v>46101.0</v>
      </c>
      <c r="B1006" s="4" t="s">
        <v>3432</v>
      </c>
      <c r="C1006" s="5">
        <v>10000.0</v>
      </c>
      <c r="D1006" s="5">
        <v>0.0</v>
      </c>
      <c r="E1006" s="5">
        <f t="shared" si="2"/>
        <v>0</v>
      </c>
      <c r="F1006" s="4" t="s">
        <v>43</v>
      </c>
      <c r="G1006" s="4" t="s">
        <v>45</v>
      </c>
    </row>
    <row r="1007" ht="15.75" customHeight="1">
      <c r="A1007" s="8">
        <v>46097.0</v>
      </c>
      <c r="B1007" s="4" t="s">
        <v>715</v>
      </c>
      <c r="C1007" s="5">
        <v>0.0</v>
      </c>
      <c r="D1007" s="5">
        <v>1.1E8</v>
      </c>
      <c r="E1007" s="5">
        <f t="shared" si="2"/>
        <v>110000000</v>
      </c>
      <c r="F1007" s="4" t="s">
        <v>21</v>
      </c>
      <c r="G1007" s="4" t="s">
        <v>448</v>
      </c>
      <c r="H1007" s="4" t="s">
        <v>38</v>
      </c>
    </row>
    <row r="1008" ht="15.75" customHeight="1">
      <c r="A1008" s="8">
        <v>46115.0</v>
      </c>
      <c r="B1008" s="4" t="s">
        <v>1251</v>
      </c>
      <c r="C1008" s="5">
        <v>0.0</v>
      </c>
      <c r="D1008" s="5">
        <v>1.97464448E8</v>
      </c>
      <c r="E1008" s="5">
        <f t="shared" si="2"/>
        <v>307464448</v>
      </c>
      <c r="F1008" s="4" t="s">
        <v>21</v>
      </c>
      <c r="G1008" s="4" t="s">
        <v>448</v>
      </c>
      <c r="H1008" s="4" t="s">
        <v>38</v>
      </c>
    </row>
    <row r="1009" ht="15.75" customHeight="1">
      <c r="A1009" s="8">
        <v>46076.0</v>
      </c>
      <c r="B1009" s="4" t="s">
        <v>3603</v>
      </c>
      <c r="C1009" s="5">
        <v>100.0</v>
      </c>
      <c r="D1009" s="5">
        <v>0.0</v>
      </c>
      <c r="E1009" s="5">
        <f t="shared" si="2"/>
        <v>307464348</v>
      </c>
      <c r="F1009" s="4" t="s">
        <v>93</v>
      </c>
      <c r="G1009" s="4" t="s">
        <v>93</v>
      </c>
      <c r="H1009" s="14" t="s">
        <v>346</v>
      </c>
    </row>
    <row r="1010" ht="15.75" customHeight="1">
      <c r="A1010" s="8">
        <v>46077.0</v>
      </c>
      <c r="B1010" s="4" t="s">
        <v>3469</v>
      </c>
      <c r="C1010" s="5">
        <v>5000.0</v>
      </c>
      <c r="D1010" s="5">
        <v>0.0</v>
      </c>
      <c r="E1010" s="5">
        <f t="shared" si="2"/>
        <v>307459348</v>
      </c>
      <c r="F1010" s="4" t="s">
        <v>43</v>
      </c>
      <c r="G1010" s="4" t="s">
        <v>45</v>
      </c>
    </row>
    <row r="1011" ht="15.75" customHeight="1">
      <c r="A1011" s="8">
        <v>46099.0</v>
      </c>
      <c r="B1011" s="4" t="s">
        <v>3430</v>
      </c>
      <c r="C1011" s="5">
        <v>10000.0</v>
      </c>
      <c r="D1011" s="5">
        <v>0.0</v>
      </c>
      <c r="E1011" s="5">
        <f t="shared" si="2"/>
        <v>307449348</v>
      </c>
      <c r="F1011" s="4" t="s">
        <v>43</v>
      </c>
      <c r="G1011" s="4" t="s">
        <v>45</v>
      </c>
    </row>
    <row r="1012" ht="15.75" customHeight="1">
      <c r="A1012" s="8">
        <v>46099.0</v>
      </c>
      <c r="B1012" s="4" t="s">
        <v>3470</v>
      </c>
      <c r="C1012" s="5">
        <v>10000.0</v>
      </c>
      <c r="D1012" s="5">
        <v>0.0</v>
      </c>
      <c r="E1012" s="5">
        <f t="shared" si="2"/>
        <v>307439348</v>
      </c>
      <c r="F1012" s="4" t="s">
        <v>43</v>
      </c>
      <c r="G1012" s="4" t="s">
        <v>45</v>
      </c>
    </row>
    <row r="1013" ht="15.75" customHeight="1">
      <c r="A1013" s="8">
        <v>46097.0</v>
      </c>
      <c r="B1013" s="4" t="s">
        <v>3604</v>
      </c>
      <c r="C1013" s="5">
        <v>387520.0</v>
      </c>
      <c r="D1013" s="5">
        <v>0.0</v>
      </c>
      <c r="E1013" s="5">
        <f t="shared" si="2"/>
        <v>307051828</v>
      </c>
      <c r="F1013" s="4" t="s">
        <v>50</v>
      </c>
      <c r="G1013" s="4" t="s">
        <v>245</v>
      </c>
      <c r="H1013" s="4" t="s">
        <v>413</v>
      </c>
    </row>
    <row r="1014" ht="15.75" customHeight="1">
      <c r="A1014" s="8">
        <v>46075.0</v>
      </c>
      <c r="B1014" s="14" t="s">
        <v>3605</v>
      </c>
      <c r="C1014" s="5">
        <v>4514000.0</v>
      </c>
      <c r="D1014" s="5">
        <v>0.0</v>
      </c>
      <c r="E1014" s="5">
        <f t="shared" si="2"/>
        <v>302537828</v>
      </c>
      <c r="F1014" s="14" t="s">
        <v>2464</v>
      </c>
      <c r="G1014" s="14" t="s">
        <v>59</v>
      </c>
      <c r="H1014" s="14" t="s">
        <v>476</v>
      </c>
      <c r="I1014" s="14"/>
      <c r="J1014" s="14"/>
      <c r="K1014" s="14"/>
      <c r="L1014" s="14"/>
    </row>
    <row r="1015" ht="15.75" customHeight="1">
      <c r="A1015" s="8">
        <v>46078.0</v>
      </c>
      <c r="B1015" s="4" t="s">
        <v>3606</v>
      </c>
      <c r="C1015" s="5">
        <v>1.0302884E7</v>
      </c>
      <c r="D1015" s="5">
        <v>0.0</v>
      </c>
      <c r="E1015" s="5">
        <f t="shared" si="2"/>
        <v>292234944</v>
      </c>
      <c r="F1015" s="4" t="s">
        <v>2464</v>
      </c>
      <c r="G1015" s="4" t="s">
        <v>59</v>
      </c>
      <c r="H1015" s="14" t="s">
        <v>458</v>
      </c>
    </row>
    <row r="1016" ht="15.75" customHeight="1">
      <c r="A1016" s="8">
        <v>46082.0</v>
      </c>
      <c r="B1016" s="4" t="s">
        <v>3607</v>
      </c>
      <c r="C1016" s="5">
        <v>1.08E7</v>
      </c>
      <c r="D1016" s="5">
        <v>0.0</v>
      </c>
      <c r="E1016" s="5">
        <f t="shared" si="2"/>
        <v>281434944</v>
      </c>
      <c r="F1016" s="4" t="s">
        <v>2464</v>
      </c>
      <c r="G1016" s="4" t="s">
        <v>59</v>
      </c>
      <c r="H1016" s="14" t="s">
        <v>1785</v>
      </c>
    </row>
    <row r="1017" ht="15.75" customHeight="1">
      <c r="A1017" s="8">
        <v>46083.0</v>
      </c>
      <c r="B1017" s="4" t="s">
        <v>3608</v>
      </c>
      <c r="C1017" s="5">
        <v>2342464.0</v>
      </c>
      <c r="D1017" s="5">
        <v>0.0</v>
      </c>
      <c r="E1017" s="5">
        <f t="shared" si="2"/>
        <v>279092480</v>
      </c>
      <c r="F1017" s="4" t="s">
        <v>2464</v>
      </c>
      <c r="G1017" s="4" t="s">
        <v>59</v>
      </c>
      <c r="H1017" s="15" t="s">
        <v>638</v>
      </c>
    </row>
    <row r="1018" ht="15.75" customHeight="1">
      <c r="A1018" s="8">
        <v>46083.0</v>
      </c>
      <c r="B1018" s="4" t="s">
        <v>3609</v>
      </c>
      <c r="C1018" s="5">
        <v>2876574.0</v>
      </c>
      <c r="D1018" s="5">
        <v>0.0</v>
      </c>
      <c r="E1018" s="5">
        <f t="shared" si="2"/>
        <v>276215906</v>
      </c>
      <c r="F1018" s="4" t="s">
        <v>2464</v>
      </c>
      <c r="G1018" s="4" t="s">
        <v>59</v>
      </c>
      <c r="H1018" s="4" t="s">
        <v>404</v>
      </c>
    </row>
    <row r="1019" ht="15.75" customHeight="1">
      <c r="A1019" s="8">
        <v>46083.0</v>
      </c>
      <c r="B1019" s="4" t="s">
        <v>3610</v>
      </c>
      <c r="C1019" s="5">
        <v>2155272.0</v>
      </c>
      <c r="D1019" s="5">
        <v>0.0</v>
      </c>
      <c r="E1019" s="5">
        <f t="shared" si="2"/>
        <v>274060634</v>
      </c>
      <c r="F1019" s="4" t="s">
        <v>24</v>
      </c>
      <c r="G1019" s="4" t="s">
        <v>125</v>
      </c>
      <c r="H1019" s="4" t="s">
        <v>3611</v>
      </c>
    </row>
    <row r="1020" ht="15.75" customHeight="1">
      <c r="A1020" s="8">
        <v>46083.0</v>
      </c>
      <c r="B1020" s="4" t="s">
        <v>3612</v>
      </c>
      <c r="C1020" s="5">
        <v>1.3492086E7</v>
      </c>
      <c r="D1020" s="5">
        <v>0.0</v>
      </c>
      <c r="E1020" s="5">
        <f t="shared" si="2"/>
        <v>260568548</v>
      </c>
      <c r="F1020" s="4" t="s">
        <v>2464</v>
      </c>
      <c r="G1020" s="4" t="s">
        <v>59</v>
      </c>
      <c r="H1020" s="4" t="s">
        <v>404</v>
      </c>
    </row>
    <row r="1021" ht="15.75" customHeight="1">
      <c r="A1021" s="8">
        <v>46083.0</v>
      </c>
      <c r="B1021" s="4" t="s">
        <v>3613</v>
      </c>
      <c r="C1021" s="5">
        <v>1234500.0</v>
      </c>
      <c r="D1021" s="5">
        <v>0.0</v>
      </c>
      <c r="E1021" s="5">
        <f t="shared" si="2"/>
        <v>259334048</v>
      </c>
      <c r="F1021" s="4" t="s">
        <v>24</v>
      </c>
      <c r="G1021" s="4" t="s">
        <v>125</v>
      </c>
      <c r="H1021" s="4" t="s">
        <v>3611</v>
      </c>
    </row>
    <row r="1022" ht="15.75" customHeight="1">
      <c r="A1022" s="8">
        <v>46084.0</v>
      </c>
      <c r="B1022" s="4" t="s">
        <v>3614</v>
      </c>
      <c r="C1022" s="5">
        <v>190000.0</v>
      </c>
      <c r="D1022" s="5">
        <v>0.0</v>
      </c>
      <c r="E1022" s="5">
        <f t="shared" si="2"/>
        <v>259144048</v>
      </c>
      <c r="F1022" s="4" t="s">
        <v>2464</v>
      </c>
      <c r="G1022" s="4" t="s">
        <v>59</v>
      </c>
      <c r="H1022" s="4" t="s">
        <v>404</v>
      </c>
    </row>
    <row r="1023" ht="15.75" customHeight="1">
      <c r="A1023" s="8">
        <v>46084.0</v>
      </c>
      <c r="B1023" s="4" t="s">
        <v>3615</v>
      </c>
      <c r="C1023" s="5">
        <v>1442595.0</v>
      </c>
      <c r="D1023" s="5">
        <v>0.0</v>
      </c>
      <c r="E1023" s="5">
        <f t="shared" si="2"/>
        <v>257701453</v>
      </c>
      <c r="F1023" s="4" t="s">
        <v>2464</v>
      </c>
      <c r="G1023" s="4" t="s">
        <v>59</v>
      </c>
      <c r="H1023" s="4" t="s">
        <v>404</v>
      </c>
    </row>
    <row r="1024" ht="15.75" customHeight="1">
      <c r="A1024" s="8">
        <v>46084.0</v>
      </c>
      <c r="B1024" s="4" t="s">
        <v>3616</v>
      </c>
      <c r="C1024" s="5">
        <v>3020280.0</v>
      </c>
      <c r="D1024" s="5">
        <v>0.0</v>
      </c>
      <c r="E1024" s="5">
        <f t="shared" si="2"/>
        <v>254681173</v>
      </c>
      <c r="F1024" s="4" t="s">
        <v>2464</v>
      </c>
      <c r="G1024" s="4" t="s">
        <v>59</v>
      </c>
      <c r="H1024" s="14" t="s">
        <v>1785</v>
      </c>
    </row>
    <row r="1025" ht="15.75" customHeight="1">
      <c r="A1025" s="8">
        <v>46084.0</v>
      </c>
      <c r="B1025" s="4" t="s">
        <v>3617</v>
      </c>
      <c r="C1025" s="5">
        <v>2400000.0</v>
      </c>
      <c r="D1025" s="5">
        <v>0.0</v>
      </c>
      <c r="E1025" s="5">
        <f t="shared" si="2"/>
        <v>252281173</v>
      </c>
      <c r="F1025" s="4" t="s">
        <v>2464</v>
      </c>
      <c r="G1025" s="4" t="s">
        <v>59</v>
      </c>
      <c r="H1025" s="4" t="s">
        <v>404</v>
      </c>
    </row>
    <row r="1026" ht="15.75" customHeight="1">
      <c r="A1026" s="8">
        <v>46084.0</v>
      </c>
      <c r="B1026" s="4" t="s">
        <v>3618</v>
      </c>
      <c r="C1026" s="5">
        <v>458865.0</v>
      </c>
      <c r="D1026" s="5">
        <v>0.0</v>
      </c>
      <c r="E1026" s="5">
        <f t="shared" si="2"/>
        <v>251822308</v>
      </c>
      <c r="F1026" s="4" t="s">
        <v>2464</v>
      </c>
      <c r="G1026" s="4" t="s">
        <v>59</v>
      </c>
      <c r="H1026" s="4" t="s">
        <v>404</v>
      </c>
    </row>
    <row r="1027" ht="15.75" customHeight="1">
      <c r="A1027" s="8">
        <v>46084.0</v>
      </c>
      <c r="B1027" s="4" t="s">
        <v>3619</v>
      </c>
      <c r="C1027" s="5">
        <v>1674526.0</v>
      </c>
      <c r="D1027" s="5">
        <v>0.0</v>
      </c>
      <c r="E1027" s="5">
        <f t="shared" si="2"/>
        <v>250147782</v>
      </c>
      <c r="F1027" s="4" t="s">
        <v>24</v>
      </c>
      <c r="G1027" s="4" t="s">
        <v>125</v>
      </c>
      <c r="H1027" s="4" t="s">
        <v>3611</v>
      </c>
    </row>
    <row r="1028" ht="15.75" customHeight="1">
      <c r="A1028" s="8">
        <v>46084.0</v>
      </c>
      <c r="B1028" s="4" t="s">
        <v>3620</v>
      </c>
      <c r="C1028" s="5">
        <v>1.5063129E7</v>
      </c>
      <c r="D1028" s="5">
        <v>0.0</v>
      </c>
      <c r="E1028" s="5">
        <f t="shared" si="2"/>
        <v>235084653</v>
      </c>
      <c r="F1028" s="4" t="s">
        <v>2464</v>
      </c>
      <c r="G1028" s="4" t="s">
        <v>59</v>
      </c>
      <c r="H1028" s="4" t="s">
        <v>404</v>
      </c>
    </row>
    <row r="1029" ht="15.75" customHeight="1">
      <c r="A1029" s="8">
        <v>46084.0</v>
      </c>
      <c r="B1029" s="4" t="s">
        <v>3621</v>
      </c>
      <c r="C1029" s="5">
        <v>1881188.0</v>
      </c>
      <c r="D1029" s="5">
        <v>0.0</v>
      </c>
      <c r="E1029" s="5">
        <f t="shared" si="2"/>
        <v>233203465</v>
      </c>
      <c r="F1029" s="4" t="s">
        <v>24</v>
      </c>
      <c r="G1029" s="4" t="s">
        <v>125</v>
      </c>
      <c r="H1029" s="4" t="s">
        <v>3611</v>
      </c>
    </row>
    <row r="1030" ht="15.75" customHeight="1">
      <c r="A1030" s="8">
        <v>46084.0</v>
      </c>
      <c r="B1030" s="4" t="s">
        <v>3622</v>
      </c>
      <c r="C1030" s="5">
        <v>1828528.0</v>
      </c>
      <c r="D1030" s="5">
        <v>0.0</v>
      </c>
      <c r="E1030" s="5">
        <f t="shared" si="2"/>
        <v>231374937</v>
      </c>
      <c r="F1030" s="4" t="s">
        <v>24</v>
      </c>
      <c r="G1030" s="4" t="s">
        <v>125</v>
      </c>
      <c r="H1030" s="4" t="s">
        <v>3611</v>
      </c>
    </row>
    <row r="1031" ht="15.75" customHeight="1">
      <c r="A1031" s="8">
        <v>46084.0</v>
      </c>
      <c r="B1031" s="4" t="s">
        <v>3623</v>
      </c>
      <c r="C1031" s="5">
        <v>4020178.0</v>
      </c>
      <c r="D1031" s="5">
        <v>0.0</v>
      </c>
      <c r="E1031" s="5">
        <f t="shared" si="2"/>
        <v>227354759</v>
      </c>
      <c r="F1031" s="4" t="s">
        <v>24</v>
      </c>
      <c r="G1031" s="4" t="s">
        <v>125</v>
      </c>
      <c r="H1031" s="4" t="s">
        <v>3611</v>
      </c>
    </row>
    <row r="1032" ht="15.75" customHeight="1">
      <c r="A1032" s="8">
        <v>46084.0</v>
      </c>
      <c r="B1032" s="4" t="s">
        <v>3624</v>
      </c>
      <c r="C1032" s="5">
        <v>814169.0</v>
      </c>
      <c r="D1032" s="5">
        <v>0.0</v>
      </c>
      <c r="E1032" s="5">
        <f t="shared" si="2"/>
        <v>226540590</v>
      </c>
      <c r="F1032" s="4" t="s">
        <v>24</v>
      </c>
      <c r="G1032" s="4" t="s">
        <v>125</v>
      </c>
      <c r="H1032" s="4" t="s">
        <v>3611</v>
      </c>
    </row>
    <row r="1033" ht="15.75" customHeight="1">
      <c r="A1033" s="8">
        <v>46084.0</v>
      </c>
      <c r="B1033" s="4" t="s">
        <v>3625</v>
      </c>
      <c r="C1033" s="5">
        <v>2564170.0</v>
      </c>
      <c r="D1033" s="5">
        <v>0.0</v>
      </c>
      <c r="E1033" s="5">
        <f t="shared" si="2"/>
        <v>223976420</v>
      </c>
      <c r="F1033" s="4" t="s">
        <v>24</v>
      </c>
      <c r="G1033" s="4" t="s">
        <v>125</v>
      </c>
      <c r="H1033" s="4" t="s">
        <v>3611</v>
      </c>
    </row>
    <row r="1034" ht="15.75" customHeight="1">
      <c r="A1034" s="8">
        <v>46084.0</v>
      </c>
      <c r="B1034" s="4" t="s">
        <v>3626</v>
      </c>
      <c r="C1034" s="5">
        <v>166000.0</v>
      </c>
      <c r="D1034" s="5">
        <v>0.0</v>
      </c>
      <c r="E1034" s="5">
        <f t="shared" si="2"/>
        <v>223810420</v>
      </c>
      <c r="F1034" s="4" t="s">
        <v>2464</v>
      </c>
      <c r="G1034" s="4" t="s">
        <v>59</v>
      </c>
      <c r="H1034" s="4" t="s">
        <v>404</v>
      </c>
    </row>
    <row r="1035" ht="15.75" customHeight="1">
      <c r="A1035" s="8">
        <v>46085.0</v>
      </c>
      <c r="B1035" s="4" t="s">
        <v>3627</v>
      </c>
      <c r="C1035" s="5">
        <v>220000.0</v>
      </c>
      <c r="D1035" s="5">
        <v>0.0</v>
      </c>
      <c r="E1035" s="5">
        <f t="shared" si="2"/>
        <v>223590420</v>
      </c>
      <c r="F1035" s="4" t="s">
        <v>2464</v>
      </c>
      <c r="G1035" s="4" t="s">
        <v>59</v>
      </c>
      <c r="H1035" s="4" t="s">
        <v>404</v>
      </c>
    </row>
    <row r="1036" ht="15.75" customHeight="1">
      <c r="A1036" s="8">
        <v>46085.0</v>
      </c>
      <c r="B1036" s="14" t="s">
        <v>3628</v>
      </c>
      <c r="C1036" s="5">
        <v>0.0</v>
      </c>
      <c r="D1036" s="5">
        <v>1426846.0</v>
      </c>
      <c r="E1036" s="5">
        <f t="shared" si="2"/>
        <v>225017266</v>
      </c>
      <c r="F1036" s="14" t="s">
        <v>24</v>
      </c>
      <c r="G1036" s="14" t="s">
        <v>125</v>
      </c>
      <c r="H1036" s="14" t="s">
        <v>3611</v>
      </c>
      <c r="I1036" s="14"/>
      <c r="J1036" s="14"/>
      <c r="K1036" s="14"/>
      <c r="L1036" s="14"/>
    </row>
    <row r="1037" ht="15.75" customHeight="1">
      <c r="A1037" s="8">
        <v>46086.0</v>
      </c>
      <c r="B1037" s="14" t="s">
        <v>3629</v>
      </c>
      <c r="C1037" s="5">
        <v>0.0</v>
      </c>
      <c r="D1037" s="5">
        <v>1718707.0</v>
      </c>
      <c r="E1037" s="5">
        <f t="shared" si="2"/>
        <v>226735973</v>
      </c>
      <c r="F1037" s="14" t="s">
        <v>24</v>
      </c>
      <c r="G1037" s="14" t="s">
        <v>125</v>
      </c>
      <c r="H1037" s="14" t="s">
        <v>3611</v>
      </c>
      <c r="I1037" s="14"/>
      <c r="J1037" s="14"/>
      <c r="K1037" s="14"/>
      <c r="L1037" s="14"/>
    </row>
    <row r="1038" ht="15.75" customHeight="1">
      <c r="A1038" s="8">
        <v>46086.0</v>
      </c>
      <c r="B1038" s="4" t="s">
        <v>3630</v>
      </c>
      <c r="C1038" s="5">
        <v>2010089.0</v>
      </c>
      <c r="D1038" s="5">
        <v>0.0</v>
      </c>
      <c r="E1038" s="5">
        <f t="shared" si="2"/>
        <v>224725884</v>
      </c>
      <c r="F1038" s="4" t="s">
        <v>24</v>
      </c>
      <c r="G1038" s="4" t="s">
        <v>125</v>
      </c>
      <c r="H1038" s="4" t="s">
        <v>3611</v>
      </c>
    </row>
    <row r="1039" ht="15.75" customHeight="1">
      <c r="A1039" s="8">
        <v>46087.0</v>
      </c>
      <c r="B1039" s="4" t="s">
        <v>3631</v>
      </c>
      <c r="C1039" s="5">
        <v>180000.0</v>
      </c>
      <c r="D1039" s="5">
        <v>0.0</v>
      </c>
      <c r="E1039" s="5">
        <f t="shared" si="2"/>
        <v>224545884</v>
      </c>
      <c r="F1039" s="4" t="s">
        <v>24</v>
      </c>
      <c r="G1039" s="4" t="s">
        <v>125</v>
      </c>
      <c r="H1039" s="4" t="s">
        <v>3611</v>
      </c>
    </row>
    <row r="1040" ht="15.75" customHeight="1">
      <c r="A1040" s="8">
        <v>46088.0</v>
      </c>
      <c r="B1040" s="4" t="s">
        <v>3632</v>
      </c>
      <c r="C1040" s="5">
        <v>499000.0</v>
      </c>
      <c r="D1040" s="5">
        <v>0.0</v>
      </c>
      <c r="E1040" s="5">
        <f t="shared" si="2"/>
        <v>224046884</v>
      </c>
      <c r="F1040" s="4" t="s">
        <v>2464</v>
      </c>
      <c r="G1040" s="4" t="s">
        <v>59</v>
      </c>
      <c r="H1040" s="4" t="s">
        <v>404</v>
      </c>
    </row>
    <row r="1041" ht="15.75" customHeight="1">
      <c r="A1041" s="8">
        <v>46088.0</v>
      </c>
      <c r="B1041" s="4" t="s">
        <v>3633</v>
      </c>
      <c r="C1041" s="5">
        <v>1735218.0</v>
      </c>
      <c r="D1041" s="5">
        <v>0.0</v>
      </c>
      <c r="E1041" s="5">
        <f t="shared" si="2"/>
        <v>222311666</v>
      </c>
      <c r="F1041" s="4" t="s">
        <v>2464</v>
      </c>
      <c r="G1041" s="4" t="s">
        <v>59</v>
      </c>
      <c r="H1041" s="4" t="s">
        <v>1610</v>
      </c>
    </row>
    <row r="1042" ht="15.75" customHeight="1">
      <c r="A1042" s="8">
        <v>46088.0</v>
      </c>
      <c r="B1042" s="4" t="s">
        <v>3634</v>
      </c>
      <c r="C1042" s="5">
        <v>1.086075E7</v>
      </c>
      <c r="D1042" s="5">
        <v>0.0</v>
      </c>
      <c r="E1042" s="5">
        <f t="shared" si="2"/>
        <v>211450916</v>
      </c>
      <c r="F1042" s="4" t="s">
        <v>24</v>
      </c>
      <c r="G1042" s="4" t="s">
        <v>125</v>
      </c>
      <c r="H1042" s="4" t="s">
        <v>3611</v>
      </c>
    </row>
    <row r="1043" ht="15.75" customHeight="1">
      <c r="A1043" s="8">
        <v>46088.0</v>
      </c>
      <c r="B1043" s="4" t="s">
        <v>3635</v>
      </c>
      <c r="C1043" s="5">
        <v>2010020.0</v>
      </c>
      <c r="D1043" s="5">
        <v>0.0</v>
      </c>
      <c r="E1043" s="5">
        <f t="shared" si="2"/>
        <v>209440896</v>
      </c>
      <c r="F1043" s="4" t="s">
        <v>24</v>
      </c>
      <c r="G1043" s="4" t="s">
        <v>125</v>
      </c>
      <c r="H1043" s="4" t="s">
        <v>3611</v>
      </c>
    </row>
    <row r="1044" ht="15.75" customHeight="1">
      <c r="A1044" s="8">
        <v>46089.0</v>
      </c>
      <c r="B1044" s="4" t="s">
        <v>3636</v>
      </c>
      <c r="C1044" s="5">
        <v>217322.0</v>
      </c>
      <c r="D1044" s="5">
        <v>0.0</v>
      </c>
      <c r="E1044" s="5">
        <f t="shared" si="2"/>
        <v>209223574</v>
      </c>
      <c r="F1044" s="4" t="s">
        <v>2464</v>
      </c>
      <c r="G1044" s="4" t="s">
        <v>59</v>
      </c>
      <c r="H1044" s="4" t="s">
        <v>404</v>
      </c>
    </row>
    <row r="1045" ht="15.75" customHeight="1">
      <c r="A1045" s="8">
        <v>46089.0</v>
      </c>
      <c r="B1045" s="4" t="s">
        <v>3637</v>
      </c>
      <c r="C1045" s="5">
        <v>270000.0</v>
      </c>
      <c r="D1045" s="5">
        <v>0.0</v>
      </c>
      <c r="E1045" s="5">
        <f t="shared" si="2"/>
        <v>208953574</v>
      </c>
      <c r="F1045" s="4" t="s">
        <v>2464</v>
      </c>
      <c r="G1045" s="4" t="s">
        <v>59</v>
      </c>
      <c r="H1045" s="4" t="s">
        <v>404</v>
      </c>
    </row>
    <row r="1046" ht="15.75" customHeight="1">
      <c r="A1046" s="8">
        <v>46089.0</v>
      </c>
      <c r="B1046" s="4" t="s">
        <v>3638</v>
      </c>
      <c r="C1046" s="5">
        <v>270000.0</v>
      </c>
      <c r="D1046" s="5">
        <v>0.0</v>
      </c>
      <c r="E1046" s="5">
        <f t="shared" si="2"/>
        <v>208683574</v>
      </c>
      <c r="F1046" s="4" t="s">
        <v>2464</v>
      </c>
      <c r="G1046" s="4" t="s">
        <v>59</v>
      </c>
      <c r="H1046" s="4" t="s">
        <v>404</v>
      </c>
    </row>
    <row r="1047" ht="15.75" customHeight="1">
      <c r="A1047" s="8">
        <v>46089.0</v>
      </c>
      <c r="B1047" s="4" t="s">
        <v>3638</v>
      </c>
      <c r="C1047" s="5">
        <v>45000.0</v>
      </c>
      <c r="D1047" s="5">
        <v>0.0</v>
      </c>
      <c r="E1047" s="5">
        <f t="shared" si="2"/>
        <v>208638574</v>
      </c>
      <c r="F1047" s="4" t="s">
        <v>2464</v>
      </c>
      <c r="G1047" s="4" t="s">
        <v>59</v>
      </c>
      <c r="H1047" s="4" t="s">
        <v>404</v>
      </c>
    </row>
    <row r="1048" ht="15.75" customHeight="1">
      <c r="A1048" s="8">
        <v>46089.0</v>
      </c>
      <c r="B1048" s="4" t="s">
        <v>3639</v>
      </c>
      <c r="C1048" s="5">
        <v>618200.0</v>
      </c>
      <c r="D1048" s="5">
        <v>0.0</v>
      </c>
      <c r="E1048" s="5">
        <f t="shared" si="2"/>
        <v>208020374</v>
      </c>
      <c r="F1048" s="4" t="s">
        <v>2464</v>
      </c>
      <c r="G1048" s="4" t="s">
        <v>59</v>
      </c>
      <c r="H1048" s="4" t="s">
        <v>404</v>
      </c>
    </row>
    <row r="1049" ht="15.75" customHeight="1">
      <c r="A1049" s="8">
        <v>46089.0</v>
      </c>
      <c r="B1049" s="4" t="s">
        <v>3640</v>
      </c>
      <c r="C1049" s="5">
        <v>85600.0</v>
      </c>
      <c r="D1049" s="5">
        <v>0.0</v>
      </c>
      <c r="E1049" s="5">
        <f t="shared" si="2"/>
        <v>207934774</v>
      </c>
      <c r="F1049" s="4" t="s">
        <v>2464</v>
      </c>
      <c r="G1049" s="4" t="s">
        <v>59</v>
      </c>
      <c r="H1049" s="4" t="s">
        <v>404</v>
      </c>
    </row>
    <row r="1050" ht="15.75" customHeight="1">
      <c r="A1050" s="8">
        <v>46089.0</v>
      </c>
      <c r="B1050" s="4" t="s">
        <v>3641</v>
      </c>
      <c r="C1050" s="5">
        <v>10000.0</v>
      </c>
      <c r="D1050" s="5">
        <v>0.0</v>
      </c>
      <c r="E1050" s="5">
        <f t="shared" si="2"/>
        <v>207924774</v>
      </c>
      <c r="F1050" s="4" t="s">
        <v>2464</v>
      </c>
      <c r="G1050" s="4" t="s">
        <v>59</v>
      </c>
      <c r="H1050" s="4" t="s">
        <v>404</v>
      </c>
    </row>
    <row r="1051" ht="15.75" customHeight="1">
      <c r="A1051" s="8">
        <v>46090.0</v>
      </c>
      <c r="B1051" s="4" t="s">
        <v>3642</v>
      </c>
      <c r="C1051" s="5">
        <v>2400000.0</v>
      </c>
      <c r="D1051" s="5">
        <v>0.0</v>
      </c>
      <c r="E1051" s="5">
        <f t="shared" si="2"/>
        <v>205524774</v>
      </c>
      <c r="F1051" s="4" t="s">
        <v>24</v>
      </c>
      <c r="G1051" s="4" t="s">
        <v>125</v>
      </c>
      <c r="H1051" s="4" t="s">
        <v>3611</v>
      </c>
    </row>
    <row r="1052" ht="15.75" customHeight="1">
      <c r="A1052" s="8">
        <v>46090.0</v>
      </c>
      <c r="B1052" s="4" t="s">
        <v>3643</v>
      </c>
      <c r="C1052" s="5">
        <v>1993209.0</v>
      </c>
      <c r="D1052" s="5">
        <v>0.0</v>
      </c>
      <c r="E1052" s="5">
        <f t="shared" si="2"/>
        <v>203531565</v>
      </c>
      <c r="F1052" s="4" t="s">
        <v>24</v>
      </c>
      <c r="G1052" s="4" t="s">
        <v>125</v>
      </c>
      <c r="H1052" s="4" t="s">
        <v>3611</v>
      </c>
    </row>
    <row r="1053" ht="15.75" customHeight="1">
      <c r="A1053" s="8">
        <v>46091.0</v>
      </c>
      <c r="B1053" s="4" t="s">
        <v>3644</v>
      </c>
      <c r="C1053" s="5">
        <v>1200000.0</v>
      </c>
      <c r="D1053" s="5">
        <v>0.0</v>
      </c>
      <c r="E1053" s="5">
        <f t="shared" si="2"/>
        <v>202331565</v>
      </c>
      <c r="F1053" s="4" t="s">
        <v>24</v>
      </c>
      <c r="G1053" s="4" t="s">
        <v>125</v>
      </c>
      <c r="H1053" s="4" t="s">
        <v>3611</v>
      </c>
    </row>
    <row r="1054" ht="15.75" customHeight="1">
      <c r="A1054" s="8">
        <v>46091.0</v>
      </c>
      <c r="B1054" s="4" t="s">
        <v>3645</v>
      </c>
      <c r="C1054" s="5">
        <v>3993000.0</v>
      </c>
      <c r="D1054" s="5">
        <v>0.0</v>
      </c>
      <c r="E1054" s="5">
        <f t="shared" si="2"/>
        <v>198338565</v>
      </c>
      <c r="F1054" s="4" t="s">
        <v>24</v>
      </c>
      <c r="G1054" s="4" t="s">
        <v>125</v>
      </c>
      <c r="H1054" s="4" t="s">
        <v>3611</v>
      </c>
    </row>
    <row r="1055" ht="15.75" customHeight="1">
      <c r="A1055" s="8">
        <v>46092.0</v>
      </c>
      <c r="B1055" s="4" t="s">
        <v>3646</v>
      </c>
      <c r="C1055" s="5">
        <v>1986200.0</v>
      </c>
      <c r="D1055" s="5">
        <v>0.0</v>
      </c>
      <c r="E1055" s="5">
        <f t="shared" si="2"/>
        <v>196352365</v>
      </c>
      <c r="F1055" s="4" t="s">
        <v>2464</v>
      </c>
      <c r="G1055" s="4" t="s">
        <v>59</v>
      </c>
      <c r="H1055" s="4" t="s">
        <v>61</v>
      </c>
    </row>
    <row r="1056" ht="15.75" customHeight="1">
      <c r="A1056" s="8">
        <v>46092.0</v>
      </c>
      <c r="B1056" s="4" t="s">
        <v>3647</v>
      </c>
      <c r="C1056" s="5">
        <v>1152500.0</v>
      </c>
      <c r="D1056" s="5">
        <v>0.0</v>
      </c>
      <c r="E1056" s="5">
        <f t="shared" si="2"/>
        <v>195199865</v>
      </c>
      <c r="F1056" s="4" t="s">
        <v>2464</v>
      </c>
      <c r="G1056" s="4" t="s">
        <v>59</v>
      </c>
      <c r="H1056" s="4" t="s">
        <v>61</v>
      </c>
    </row>
    <row r="1057" ht="15.75" customHeight="1">
      <c r="A1057" s="8">
        <v>46092.0</v>
      </c>
      <c r="B1057" s="4" t="s">
        <v>3648</v>
      </c>
      <c r="C1057" s="5">
        <v>2096400.0</v>
      </c>
      <c r="D1057" s="5">
        <v>0.0</v>
      </c>
      <c r="E1057" s="5">
        <f t="shared" si="2"/>
        <v>193103465</v>
      </c>
      <c r="F1057" s="4" t="s">
        <v>2464</v>
      </c>
      <c r="G1057" s="4" t="s">
        <v>59</v>
      </c>
      <c r="H1057" s="4" t="s">
        <v>61</v>
      </c>
    </row>
    <row r="1058" ht="15.75" customHeight="1">
      <c r="A1058" s="8">
        <v>46093.0</v>
      </c>
      <c r="B1058" s="4" t="s">
        <v>3649</v>
      </c>
      <c r="C1058" s="5">
        <v>71500.0</v>
      </c>
      <c r="D1058" s="5">
        <v>0.0</v>
      </c>
      <c r="E1058" s="5">
        <f t="shared" si="2"/>
        <v>193031965</v>
      </c>
      <c r="F1058" s="4" t="s">
        <v>2464</v>
      </c>
      <c r="G1058" s="4" t="s">
        <v>59</v>
      </c>
      <c r="H1058" s="4" t="s">
        <v>408</v>
      </c>
    </row>
    <row r="1059" ht="15.75" customHeight="1">
      <c r="A1059" s="8">
        <v>46093.0</v>
      </c>
      <c r="B1059" s="4" t="s">
        <v>3650</v>
      </c>
      <c r="C1059" s="5">
        <v>1784000.0</v>
      </c>
      <c r="D1059" s="5">
        <v>0.0</v>
      </c>
      <c r="E1059" s="5">
        <f t="shared" si="2"/>
        <v>191247965</v>
      </c>
      <c r="F1059" s="4" t="s">
        <v>2464</v>
      </c>
      <c r="G1059" s="4" t="s">
        <v>59</v>
      </c>
      <c r="H1059" s="4" t="s">
        <v>408</v>
      </c>
    </row>
    <row r="1060" ht="15.75" customHeight="1">
      <c r="A1060" s="8">
        <v>46093.0</v>
      </c>
      <c r="B1060" s="4" t="s">
        <v>3651</v>
      </c>
      <c r="C1060" s="5">
        <v>408890.0</v>
      </c>
      <c r="D1060" s="5">
        <v>0.0</v>
      </c>
      <c r="E1060" s="5">
        <f t="shared" si="2"/>
        <v>190839075</v>
      </c>
      <c r="F1060" s="4" t="s">
        <v>2464</v>
      </c>
      <c r="G1060" s="4" t="s">
        <v>59</v>
      </c>
      <c r="H1060" s="4" t="s">
        <v>408</v>
      </c>
    </row>
    <row r="1061" ht="15.75" customHeight="1">
      <c r="A1061" s="8">
        <v>46093.0</v>
      </c>
      <c r="B1061" s="4" t="s">
        <v>3652</v>
      </c>
      <c r="C1061" s="5">
        <v>1.485495E7</v>
      </c>
      <c r="D1061" s="5">
        <v>0.0</v>
      </c>
      <c r="E1061" s="5">
        <f t="shared" si="2"/>
        <v>175984125</v>
      </c>
      <c r="F1061" s="4" t="s">
        <v>2464</v>
      </c>
      <c r="G1061" s="4" t="s">
        <v>59</v>
      </c>
      <c r="H1061" s="4" t="s">
        <v>408</v>
      </c>
    </row>
    <row r="1062" ht="15.75" customHeight="1">
      <c r="A1062" s="8">
        <v>46093.0</v>
      </c>
      <c r="B1062" s="4" t="s">
        <v>3653</v>
      </c>
      <c r="C1062" s="5">
        <v>2.2280225E7</v>
      </c>
      <c r="D1062" s="5">
        <v>0.0</v>
      </c>
      <c r="E1062" s="5">
        <f t="shared" si="2"/>
        <v>153703900</v>
      </c>
      <c r="F1062" s="4" t="s">
        <v>2464</v>
      </c>
      <c r="G1062" s="4" t="s">
        <v>59</v>
      </c>
      <c r="H1062" s="4" t="s">
        <v>408</v>
      </c>
    </row>
    <row r="1063" ht="15.75" customHeight="1">
      <c r="A1063" s="8">
        <v>46094.0</v>
      </c>
      <c r="B1063" s="4" t="s">
        <v>3654</v>
      </c>
      <c r="C1063" s="5">
        <v>1900301.0</v>
      </c>
      <c r="D1063" s="5">
        <v>0.0</v>
      </c>
      <c r="E1063" s="5">
        <f t="shared" si="2"/>
        <v>151803599</v>
      </c>
      <c r="F1063" s="4" t="s">
        <v>2464</v>
      </c>
      <c r="G1063" s="4" t="s">
        <v>59</v>
      </c>
      <c r="H1063" s="4" t="s">
        <v>61</v>
      </c>
    </row>
    <row r="1064" ht="15.75" customHeight="1">
      <c r="A1064" s="8">
        <v>46094.0</v>
      </c>
      <c r="B1064" s="4" t="s">
        <v>3655</v>
      </c>
      <c r="C1064" s="5">
        <v>3455801.0</v>
      </c>
      <c r="D1064" s="5">
        <v>0.0</v>
      </c>
      <c r="E1064" s="5">
        <f t="shared" si="2"/>
        <v>148347798</v>
      </c>
      <c r="F1064" s="4" t="s">
        <v>2464</v>
      </c>
      <c r="G1064" s="4" t="s">
        <v>59</v>
      </c>
      <c r="H1064" s="4" t="s">
        <v>61</v>
      </c>
    </row>
    <row r="1065" ht="15.75" customHeight="1">
      <c r="A1065" s="8">
        <v>46094.0</v>
      </c>
      <c r="B1065" s="4" t="s">
        <v>3656</v>
      </c>
      <c r="C1065" s="5">
        <v>1588901.0</v>
      </c>
      <c r="D1065" s="5">
        <v>0.0</v>
      </c>
      <c r="E1065" s="5">
        <f t="shared" si="2"/>
        <v>146758897</v>
      </c>
      <c r="F1065" s="4" t="s">
        <v>2464</v>
      </c>
      <c r="G1065" s="4" t="s">
        <v>59</v>
      </c>
      <c r="H1065" s="4" t="s">
        <v>61</v>
      </c>
    </row>
    <row r="1066" ht="15.75" customHeight="1">
      <c r="A1066" s="8">
        <v>46094.0</v>
      </c>
      <c r="B1066" s="4" t="s">
        <v>3657</v>
      </c>
      <c r="C1066" s="5">
        <v>3455801.0</v>
      </c>
      <c r="D1066" s="5">
        <v>0.0</v>
      </c>
      <c r="E1066" s="5">
        <f t="shared" si="2"/>
        <v>143303096</v>
      </c>
      <c r="F1066" s="4" t="s">
        <v>2464</v>
      </c>
      <c r="G1066" s="4" t="s">
        <v>59</v>
      </c>
      <c r="H1066" s="4" t="s">
        <v>61</v>
      </c>
    </row>
    <row r="1067" ht="15.75" customHeight="1">
      <c r="A1067" s="8">
        <v>46094.0</v>
      </c>
      <c r="B1067" s="4" t="s">
        <v>3658</v>
      </c>
      <c r="C1067" s="5">
        <v>2330801.0</v>
      </c>
      <c r="D1067" s="5">
        <v>0.0</v>
      </c>
      <c r="E1067" s="5">
        <f t="shared" si="2"/>
        <v>140972295</v>
      </c>
      <c r="F1067" s="4" t="s">
        <v>2464</v>
      </c>
      <c r="G1067" s="4" t="s">
        <v>59</v>
      </c>
      <c r="H1067" s="4" t="s">
        <v>61</v>
      </c>
    </row>
    <row r="1068" ht="15.75" customHeight="1">
      <c r="A1068" s="8">
        <v>46094.0</v>
      </c>
      <c r="B1068" s="4" t="s">
        <v>3659</v>
      </c>
      <c r="C1068" s="5">
        <v>1429301.0</v>
      </c>
      <c r="D1068" s="5">
        <v>0.0</v>
      </c>
      <c r="E1068" s="5">
        <f t="shared" si="2"/>
        <v>139542994</v>
      </c>
      <c r="F1068" s="4" t="s">
        <v>2464</v>
      </c>
      <c r="G1068" s="4" t="s">
        <v>59</v>
      </c>
      <c r="H1068" s="4" t="s">
        <v>61</v>
      </c>
    </row>
    <row r="1069" ht="15.75" customHeight="1">
      <c r="A1069" s="8">
        <v>46094.0</v>
      </c>
      <c r="B1069" s="4" t="s">
        <v>3660</v>
      </c>
      <c r="C1069" s="5">
        <v>1483090.0</v>
      </c>
      <c r="D1069" s="5">
        <v>0.0</v>
      </c>
      <c r="E1069" s="5">
        <f t="shared" si="2"/>
        <v>138059904</v>
      </c>
      <c r="F1069" s="4" t="s">
        <v>2464</v>
      </c>
      <c r="G1069" s="4" t="s">
        <v>59</v>
      </c>
      <c r="H1069" s="4" t="s">
        <v>61</v>
      </c>
    </row>
    <row r="1070" ht="15.75" customHeight="1">
      <c r="A1070" s="8">
        <v>46094.0</v>
      </c>
      <c r="B1070" s="4" t="s">
        <v>3661</v>
      </c>
      <c r="C1070" s="5">
        <v>3051701.0</v>
      </c>
      <c r="D1070" s="5">
        <v>0.0</v>
      </c>
      <c r="E1070" s="5">
        <f t="shared" si="2"/>
        <v>135008203</v>
      </c>
      <c r="F1070" s="4" t="s">
        <v>2464</v>
      </c>
      <c r="G1070" s="4" t="s">
        <v>59</v>
      </c>
      <c r="H1070" s="4" t="s">
        <v>61</v>
      </c>
    </row>
    <row r="1071" ht="15.75" customHeight="1">
      <c r="A1071" s="8">
        <v>46094.0</v>
      </c>
      <c r="B1071" s="4" t="s">
        <v>3662</v>
      </c>
      <c r="C1071" s="5">
        <v>3455801.0</v>
      </c>
      <c r="D1071" s="5">
        <v>0.0</v>
      </c>
      <c r="E1071" s="5">
        <f t="shared" si="2"/>
        <v>131552402</v>
      </c>
      <c r="F1071" s="4" t="s">
        <v>2464</v>
      </c>
      <c r="G1071" s="4" t="s">
        <v>59</v>
      </c>
      <c r="H1071" s="4" t="s">
        <v>61</v>
      </c>
    </row>
    <row r="1072" ht="15.75" customHeight="1">
      <c r="A1072" s="8">
        <v>46094.0</v>
      </c>
      <c r="B1072" s="4" t="s">
        <v>3663</v>
      </c>
      <c r="C1072" s="5">
        <v>2874100.0</v>
      </c>
      <c r="D1072" s="5">
        <v>0.0</v>
      </c>
      <c r="E1072" s="5">
        <f t="shared" si="2"/>
        <v>128678302</v>
      </c>
      <c r="F1072" s="4" t="s">
        <v>2464</v>
      </c>
      <c r="G1072" s="4" t="s">
        <v>59</v>
      </c>
      <c r="H1072" s="4" t="s">
        <v>61</v>
      </c>
    </row>
    <row r="1073" ht="15.75" customHeight="1">
      <c r="A1073" s="8">
        <v>46094.0</v>
      </c>
      <c r="B1073" s="4" t="s">
        <v>3664</v>
      </c>
      <c r="C1073" s="5">
        <v>2613001.0</v>
      </c>
      <c r="D1073" s="5">
        <v>0.0</v>
      </c>
      <c r="E1073" s="5">
        <f t="shared" si="2"/>
        <v>126065301</v>
      </c>
      <c r="F1073" s="4" t="s">
        <v>2464</v>
      </c>
      <c r="G1073" s="4" t="s">
        <v>59</v>
      </c>
      <c r="H1073" s="4" t="s">
        <v>61</v>
      </c>
    </row>
    <row r="1074" ht="15.75" customHeight="1">
      <c r="A1074" s="8">
        <v>46097.0</v>
      </c>
      <c r="B1074" s="4" t="s">
        <v>3665</v>
      </c>
      <c r="C1074" s="5">
        <v>1.108E8</v>
      </c>
      <c r="D1074" s="5">
        <v>0.0</v>
      </c>
      <c r="E1074" s="5">
        <f t="shared" si="2"/>
        <v>15265301</v>
      </c>
      <c r="F1074" s="4" t="s">
        <v>2464</v>
      </c>
      <c r="G1074" s="4" t="s">
        <v>59</v>
      </c>
      <c r="H1074" s="4" t="s">
        <v>61</v>
      </c>
    </row>
    <row r="1075" ht="15.75" customHeight="1">
      <c r="A1075" s="8">
        <v>46097.0</v>
      </c>
      <c r="B1075" s="4" t="s">
        <v>3666</v>
      </c>
      <c r="C1075" s="5">
        <v>696000.0</v>
      </c>
      <c r="D1075" s="5">
        <v>0.0</v>
      </c>
      <c r="E1075" s="5">
        <f t="shared" si="2"/>
        <v>14569301</v>
      </c>
      <c r="F1075" s="4" t="s">
        <v>2464</v>
      </c>
      <c r="G1075" s="4" t="s">
        <v>59</v>
      </c>
      <c r="H1075" s="4" t="s">
        <v>408</v>
      </c>
    </row>
    <row r="1076" ht="15.75" customHeight="1">
      <c r="A1076" s="8">
        <v>46097.0</v>
      </c>
      <c r="B1076" s="4" t="s">
        <v>3667</v>
      </c>
      <c r="C1076" s="5">
        <v>0.0</v>
      </c>
      <c r="D1076" s="5">
        <v>1201057.0</v>
      </c>
      <c r="E1076" s="5">
        <f t="shared" si="2"/>
        <v>15770358</v>
      </c>
      <c r="F1076" s="4" t="s">
        <v>2464</v>
      </c>
      <c r="G1076" s="4" t="s">
        <v>59</v>
      </c>
      <c r="H1076" s="4" t="s">
        <v>61</v>
      </c>
    </row>
    <row r="1077" ht="15.75" customHeight="1">
      <c r="A1077" s="8">
        <v>46097.0</v>
      </c>
      <c r="B1077" s="4" t="s">
        <v>3668</v>
      </c>
      <c r="C1077" s="5">
        <v>6935354.0</v>
      </c>
      <c r="D1077" s="5">
        <v>0.0</v>
      </c>
      <c r="E1077" s="5">
        <f t="shared" si="2"/>
        <v>8835004</v>
      </c>
      <c r="F1077" s="4" t="s">
        <v>2464</v>
      </c>
      <c r="G1077" s="4" t="s">
        <v>59</v>
      </c>
      <c r="H1077" s="4" t="s">
        <v>61</v>
      </c>
    </row>
    <row r="1078" ht="15.75" customHeight="1">
      <c r="A1078" s="8">
        <v>46097.0</v>
      </c>
      <c r="B1078" s="4" t="s">
        <v>3669</v>
      </c>
      <c r="C1078" s="5">
        <v>2861449.0</v>
      </c>
      <c r="D1078" s="5">
        <v>0.0</v>
      </c>
      <c r="E1078" s="5">
        <f t="shared" si="2"/>
        <v>5973555</v>
      </c>
      <c r="F1078" s="4" t="s">
        <v>2464</v>
      </c>
      <c r="G1078" s="4" t="s">
        <v>59</v>
      </c>
      <c r="H1078" s="4" t="s">
        <v>408</v>
      </c>
    </row>
    <row r="1079" ht="15.75" customHeight="1">
      <c r="A1079" s="8">
        <v>46097.0</v>
      </c>
      <c r="B1079" s="4" t="s">
        <v>3670</v>
      </c>
      <c r="C1079" s="5">
        <v>1882600.0</v>
      </c>
      <c r="D1079" s="5">
        <v>0.0</v>
      </c>
      <c r="E1079" s="5">
        <f t="shared" si="2"/>
        <v>4090955</v>
      </c>
      <c r="F1079" s="4" t="s">
        <v>2464</v>
      </c>
      <c r="G1079" s="4" t="s">
        <v>59</v>
      </c>
      <c r="H1079" s="4" t="s">
        <v>408</v>
      </c>
    </row>
    <row r="1080" ht="15.75" customHeight="1">
      <c r="A1080" s="8">
        <v>46098.0</v>
      </c>
      <c r="B1080" s="4" t="s">
        <v>3671</v>
      </c>
      <c r="C1080" s="5">
        <v>1733000.0</v>
      </c>
      <c r="D1080" s="5">
        <v>0.0</v>
      </c>
      <c r="E1080" s="5">
        <f t="shared" si="2"/>
        <v>2357955</v>
      </c>
      <c r="F1080" s="4" t="s">
        <v>2464</v>
      </c>
      <c r="G1080" s="4" t="s">
        <v>59</v>
      </c>
      <c r="H1080" s="4" t="s">
        <v>61</v>
      </c>
    </row>
    <row r="1081" ht="15.75" customHeight="1">
      <c r="A1081" s="8">
        <v>46098.0</v>
      </c>
      <c r="B1081" s="4" t="s">
        <v>3671</v>
      </c>
      <c r="C1081" s="5">
        <v>1209000.0</v>
      </c>
      <c r="D1081" s="5">
        <v>0.0</v>
      </c>
      <c r="E1081" s="5">
        <f t="shared" si="2"/>
        <v>1148955</v>
      </c>
      <c r="F1081" s="4" t="s">
        <v>2464</v>
      </c>
      <c r="G1081" s="4" t="s">
        <v>59</v>
      </c>
      <c r="H1081" s="4" t="s">
        <v>61</v>
      </c>
    </row>
    <row r="1082" ht="15.75" customHeight="1">
      <c r="A1082" s="8">
        <v>46098.0</v>
      </c>
      <c r="B1082" s="4" t="s">
        <v>3672</v>
      </c>
      <c r="C1082" s="5">
        <v>526900.0</v>
      </c>
      <c r="D1082" s="5">
        <v>0.0</v>
      </c>
      <c r="E1082" s="5">
        <f t="shared" si="2"/>
        <v>622055</v>
      </c>
      <c r="F1082" s="4" t="s">
        <v>2464</v>
      </c>
      <c r="G1082" s="4" t="s">
        <v>59</v>
      </c>
      <c r="H1082" s="4" t="s">
        <v>408</v>
      </c>
    </row>
    <row r="1083" ht="15.75" customHeight="1">
      <c r="A1083" s="8">
        <v>46098.0</v>
      </c>
      <c r="B1083" s="4" t="s">
        <v>3673</v>
      </c>
      <c r="C1083" s="5">
        <v>112000.0</v>
      </c>
      <c r="D1083" s="5">
        <v>0.0</v>
      </c>
      <c r="E1083" s="5">
        <f t="shared" si="2"/>
        <v>510055</v>
      </c>
      <c r="F1083" s="4" t="s">
        <v>2464</v>
      </c>
      <c r="G1083" s="4" t="s">
        <v>59</v>
      </c>
      <c r="H1083" s="4" t="s">
        <v>61</v>
      </c>
    </row>
    <row r="1084" ht="15.75" customHeight="1">
      <c r="A1084" s="8">
        <v>46098.0</v>
      </c>
      <c r="B1084" s="4" t="s">
        <v>3672</v>
      </c>
      <c r="C1084" s="5">
        <v>231700.0</v>
      </c>
      <c r="D1084" s="5">
        <v>0.0</v>
      </c>
      <c r="E1084" s="5">
        <f t="shared" si="2"/>
        <v>278355</v>
      </c>
      <c r="F1084" s="4" t="s">
        <v>2464</v>
      </c>
      <c r="G1084" s="4" t="s">
        <v>59</v>
      </c>
      <c r="H1084" s="4" t="s">
        <v>408</v>
      </c>
    </row>
    <row r="1085" ht="15.75" customHeight="1">
      <c r="A1085" s="8">
        <v>46097.0</v>
      </c>
      <c r="B1085" s="4" t="s">
        <v>3674</v>
      </c>
      <c r="C1085" s="5">
        <v>278355.0</v>
      </c>
      <c r="D1085" s="5">
        <v>0.0</v>
      </c>
      <c r="E1085" s="5">
        <f t="shared" si="2"/>
        <v>0</v>
      </c>
      <c r="F1085" s="4" t="s">
        <v>105</v>
      </c>
      <c r="G1085" s="4" t="s">
        <v>2064</v>
      </c>
      <c r="H1085" s="4" t="s">
        <v>72</v>
      </c>
      <c r="I1085" s="4" t="s">
        <v>6</v>
      </c>
    </row>
    <row r="1086" ht="15.75" customHeight="1">
      <c r="A1086" s="8">
        <v>46119.0</v>
      </c>
      <c r="B1086" s="4" t="s">
        <v>1284</v>
      </c>
      <c r="C1086" s="5">
        <v>0.0</v>
      </c>
      <c r="D1086" s="5">
        <v>3307943.0</v>
      </c>
      <c r="E1086" s="5">
        <f t="shared" si="2"/>
        <v>3307943</v>
      </c>
      <c r="F1086" s="4" t="s">
        <v>21</v>
      </c>
      <c r="G1086" s="4" t="s">
        <v>448</v>
      </c>
      <c r="H1086" s="4" t="s">
        <v>70</v>
      </c>
    </row>
    <row r="1087" ht="15.75" customHeight="1">
      <c r="A1087" s="8">
        <v>46077.0</v>
      </c>
      <c r="B1087" s="4" t="s">
        <v>3675</v>
      </c>
      <c r="C1087" s="5">
        <v>231420.0</v>
      </c>
      <c r="D1087" s="5">
        <v>0.0</v>
      </c>
      <c r="E1087" s="5">
        <f t="shared" si="2"/>
        <v>3076523</v>
      </c>
      <c r="F1087" s="4" t="s">
        <v>1471</v>
      </c>
      <c r="G1087" s="4" t="s">
        <v>1579</v>
      </c>
    </row>
    <row r="1088" ht="15.75" customHeight="1">
      <c r="A1088" s="8">
        <v>46079.0</v>
      </c>
      <c r="B1088" s="4" t="s">
        <v>3676</v>
      </c>
      <c r="C1088" s="5">
        <v>238221.0</v>
      </c>
      <c r="D1088" s="5">
        <v>0.0</v>
      </c>
      <c r="E1088" s="5">
        <f t="shared" si="2"/>
        <v>2838302</v>
      </c>
      <c r="F1088" s="4" t="s">
        <v>2464</v>
      </c>
      <c r="G1088" s="4" t="s">
        <v>59</v>
      </c>
      <c r="H1088" s="4" t="s">
        <v>404</v>
      </c>
    </row>
    <row r="1089" ht="15.75" customHeight="1">
      <c r="A1089" s="8">
        <v>46083.0</v>
      </c>
      <c r="B1089" s="4" t="s">
        <v>3677</v>
      </c>
      <c r="C1089" s="5">
        <v>7500.0</v>
      </c>
      <c r="D1089" s="5">
        <v>0.0</v>
      </c>
      <c r="E1089" s="5">
        <f t="shared" si="2"/>
        <v>2830802</v>
      </c>
      <c r="F1089" s="4" t="s">
        <v>43</v>
      </c>
      <c r="G1089" s="4" t="s">
        <v>45</v>
      </c>
    </row>
    <row r="1090" ht="15.75" customHeight="1">
      <c r="A1090" s="8">
        <v>46086.0</v>
      </c>
      <c r="B1090" s="4" t="s">
        <v>3678</v>
      </c>
      <c r="C1090" s="5">
        <v>346200.0</v>
      </c>
      <c r="D1090" s="5">
        <v>0.0</v>
      </c>
      <c r="E1090" s="5">
        <f t="shared" si="2"/>
        <v>2484602</v>
      </c>
      <c r="F1090" s="4" t="s">
        <v>50</v>
      </c>
      <c r="G1090" s="4" t="s">
        <v>245</v>
      </c>
      <c r="H1090" s="4" t="s">
        <v>413</v>
      </c>
    </row>
    <row r="1091" ht="15.75" customHeight="1">
      <c r="A1091" s="8">
        <v>46090.0</v>
      </c>
      <c r="B1091" s="4" t="s">
        <v>3679</v>
      </c>
      <c r="C1091" s="5">
        <v>168800.0</v>
      </c>
      <c r="D1091" s="5">
        <v>0.0</v>
      </c>
      <c r="E1091" s="5">
        <f t="shared" si="2"/>
        <v>2315802</v>
      </c>
      <c r="F1091" s="4" t="s">
        <v>2464</v>
      </c>
      <c r="G1091" s="4" t="s">
        <v>59</v>
      </c>
      <c r="H1091" s="4" t="s">
        <v>408</v>
      </c>
    </row>
    <row r="1092" ht="15.75" customHeight="1">
      <c r="A1092" s="8">
        <v>46090.0</v>
      </c>
      <c r="B1092" s="4" t="s">
        <v>3680</v>
      </c>
      <c r="C1092" s="5">
        <v>300300.0</v>
      </c>
      <c r="D1092" s="5">
        <v>0.0</v>
      </c>
      <c r="E1092" s="5">
        <f t="shared" si="2"/>
        <v>2015502</v>
      </c>
      <c r="F1092" s="4" t="s">
        <v>2464</v>
      </c>
      <c r="G1092" s="4" t="s">
        <v>59</v>
      </c>
      <c r="H1092" s="4" t="s">
        <v>408</v>
      </c>
    </row>
    <row r="1093" ht="15.75" customHeight="1">
      <c r="A1093" s="8">
        <v>46090.0</v>
      </c>
      <c r="B1093" s="4" t="s">
        <v>3681</v>
      </c>
      <c r="C1093" s="5">
        <v>751202.0</v>
      </c>
      <c r="D1093" s="5">
        <v>0.0</v>
      </c>
      <c r="E1093" s="5">
        <f t="shared" si="2"/>
        <v>1264300</v>
      </c>
      <c r="F1093" s="4" t="s">
        <v>2464</v>
      </c>
      <c r="G1093" s="4" t="s">
        <v>59</v>
      </c>
      <c r="H1093" s="4" t="s">
        <v>408</v>
      </c>
    </row>
    <row r="1094" ht="15.75" customHeight="1">
      <c r="A1094" s="8">
        <v>46090.0</v>
      </c>
      <c r="B1094" s="4" t="s">
        <v>3682</v>
      </c>
      <c r="C1094" s="5">
        <v>399300.0</v>
      </c>
      <c r="D1094" s="5">
        <v>0.0</v>
      </c>
      <c r="E1094" s="5">
        <f t="shared" si="2"/>
        <v>865000</v>
      </c>
      <c r="F1094" s="4" t="s">
        <v>50</v>
      </c>
      <c r="G1094" s="4" t="s">
        <v>245</v>
      </c>
      <c r="H1094" s="4" t="s">
        <v>413</v>
      </c>
    </row>
    <row r="1095" ht="15.75" customHeight="1">
      <c r="A1095" s="8">
        <v>46090.0</v>
      </c>
      <c r="B1095" s="4" t="s">
        <v>3683</v>
      </c>
      <c r="C1095" s="5">
        <v>105000.0</v>
      </c>
      <c r="D1095" s="5">
        <v>0.0</v>
      </c>
      <c r="E1095" s="5">
        <f t="shared" si="2"/>
        <v>760000</v>
      </c>
      <c r="F1095" s="4" t="s">
        <v>2464</v>
      </c>
      <c r="G1095" s="4" t="s">
        <v>59</v>
      </c>
      <c r="H1095" s="4" t="s">
        <v>408</v>
      </c>
    </row>
    <row r="1096" ht="15.75" customHeight="1">
      <c r="A1096" s="8">
        <v>46105.0</v>
      </c>
      <c r="B1096" s="4" t="s">
        <v>3684</v>
      </c>
      <c r="C1096" s="5">
        <v>750000.0</v>
      </c>
      <c r="D1096" s="5">
        <v>0.0</v>
      </c>
      <c r="E1096" s="5">
        <f t="shared" si="2"/>
        <v>10000</v>
      </c>
      <c r="F1096" s="4" t="s">
        <v>50</v>
      </c>
      <c r="G1096" s="4" t="s">
        <v>2128</v>
      </c>
    </row>
    <row r="1097" ht="15.75" customHeight="1">
      <c r="A1097" s="8">
        <v>46105.0</v>
      </c>
      <c r="B1097" s="4" t="s">
        <v>3432</v>
      </c>
      <c r="C1097" s="5">
        <v>10000.0</v>
      </c>
      <c r="D1097" s="5">
        <v>0.0</v>
      </c>
      <c r="E1097" s="5">
        <f t="shared" si="2"/>
        <v>0</v>
      </c>
      <c r="F1097" s="4" t="s">
        <v>43</v>
      </c>
      <c r="G1097" s="4" t="s">
        <v>45</v>
      </c>
    </row>
    <row r="1098" ht="15.75" customHeight="1">
      <c r="A1098" s="8">
        <v>46119.0</v>
      </c>
      <c r="B1098" s="4" t="s">
        <v>1286</v>
      </c>
      <c r="C1098" s="5">
        <v>0.0</v>
      </c>
      <c r="D1098" s="5">
        <v>6.073603E7</v>
      </c>
      <c r="E1098" s="5">
        <f t="shared" si="2"/>
        <v>60736030</v>
      </c>
      <c r="F1098" s="4" t="s">
        <v>21</v>
      </c>
      <c r="G1098" s="4" t="s">
        <v>448</v>
      </c>
      <c r="H1098" s="4" t="s">
        <v>170</v>
      </c>
    </row>
    <row r="1099" ht="15.75" customHeight="1">
      <c r="A1099" s="8">
        <v>46075.0</v>
      </c>
      <c r="B1099" s="14" t="s">
        <v>3685</v>
      </c>
      <c r="C1099" s="5">
        <v>1.7E7</v>
      </c>
      <c r="D1099" s="5">
        <v>0.0</v>
      </c>
      <c r="E1099" s="5">
        <f t="shared" si="2"/>
        <v>43736030</v>
      </c>
      <c r="F1099" s="14" t="s">
        <v>2464</v>
      </c>
      <c r="G1099" s="14" t="s">
        <v>59</v>
      </c>
      <c r="H1099" s="14" t="s">
        <v>476</v>
      </c>
      <c r="I1099" s="14"/>
      <c r="J1099" s="14"/>
      <c r="K1099" s="14"/>
      <c r="L1099" s="14"/>
    </row>
    <row r="1100" ht="15.75" customHeight="1">
      <c r="A1100" s="8">
        <v>46075.0</v>
      </c>
      <c r="B1100" s="14" t="s">
        <v>3686</v>
      </c>
      <c r="C1100" s="5">
        <v>2390066.0</v>
      </c>
      <c r="D1100" s="5">
        <v>0.0</v>
      </c>
      <c r="E1100" s="5">
        <f t="shared" si="2"/>
        <v>41345964</v>
      </c>
      <c r="F1100" s="14" t="s">
        <v>2464</v>
      </c>
      <c r="G1100" s="14" t="s">
        <v>59</v>
      </c>
      <c r="H1100" s="14" t="s">
        <v>476</v>
      </c>
      <c r="I1100" s="14"/>
      <c r="J1100" s="14"/>
      <c r="K1100" s="14"/>
      <c r="L1100" s="14"/>
    </row>
    <row r="1101" ht="15.75" customHeight="1">
      <c r="A1101" s="8">
        <v>46076.0</v>
      </c>
      <c r="B1101" s="14" t="s">
        <v>3687</v>
      </c>
      <c r="C1101" s="5">
        <v>1800000.0</v>
      </c>
      <c r="D1101" s="5">
        <v>0.0</v>
      </c>
      <c r="E1101" s="5">
        <f t="shared" si="2"/>
        <v>39545964</v>
      </c>
      <c r="F1101" s="14" t="s">
        <v>2464</v>
      </c>
      <c r="G1101" s="14" t="s">
        <v>59</v>
      </c>
      <c r="H1101" s="14" t="s">
        <v>476</v>
      </c>
      <c r="I1101" s="14"/>
      <c r="J1101" s="14"/>
      <c r="K1101" s="14"/>
      <c r="L1101" s="14"/>
    </row>
    <row r="1102" ht="15.75" customHeight="1">
      <c r="A1102" s="8">
        <v>46076.0</v>
      </c>
      <c r="B1102" s="14" t="s">
        <v>3688</v>
      </c>
      <c r="C1102" s="5">
        <v>3230000.0</v>
      </c>
      <c r="D1102" s="5">
        <v>0.0</v>
      </c>
      <c r="E1102" s="5">
        <f t="shared" si="2"/>
        <v>36315964</v>
      </c>
      <c r="F1102" s="14" t="s">
        <v>2464</v>
      </c>
      <c r="G1102" s="14" t="s">
        <v>59</v>
      </c>
      <c r="H1102" s="14" t="s">
        <v>476</v>
      </c>
      <c r="I1102" s="14"/>
      <c r="J1102" s="14"/>
      <c r="K1102" s="14"/>
      <c r="L1102" s="14"/>
    </row>
    <row r="1103" ht="15.75" customHeight="1">
      <c r="A1103" s="8">
        <v>46076.0</v>
      </c>
      <c r="B1103" s="14" t="s">
        <v>3689</v>
      </c>
      <c r="C1103" s="5">
        <v>3040000.0</v>
      </c>
      <c r="D1103" s="5">
        <v>0.0</v>
      </c>
      <c r="E1103" s="5">
        <f t="shared" si="2"/>
        <v>33275964</v>
      </c>
      <c r="F1103" s="14" t="s">
        <v>2464</v>
      </c>
      <c r="G1103" s="14" t="s">
        <v>59</v>
      </c>
      <c r="H1103" s="14" t="s">
        <v>476</v>
      </c>
      <c r="I1103" s="14"/>
      <c r="J1103" s="14"/>
      <c r="K1103" s="14"/>
      <c r="L1103" s="14"/>
    </row>
    <row r="1104" ht="15.75" customHeight="1">
      <c r="A1104" s="8">
        <v>46076.0</v>
      </c>
      <c r="B1104" s="14" t="s">
        <v>3690</v>
      </c>
      <c r="C1104" s="5">
        <v>6649500.0</v>
      </c>
      <c r="D1104" s="5">
        <v>0.0</v>
      </c>
      <c r="E1104" s="5">
        <f t="shared" si="2"/>
        <v>26626464</v>
      </c>
      <c r="F1104" s="14" t="s">
        <v>2464</v>
      </c>
      <c r="G1104" s="14" t="s">
        <v>59</v>
      </c>
      <c r="H1104" s="14" t="s">
        <v>476</v>
      </c>
      <c r="I1104" s="14"/>
      <c r="J1104" s="14"/>
      <c r="K1104" s="14"/>
      <c r="L1104" s="14"/>
    </row>
    <row r="1105" ht="15.75" customHeight="1">
      <c r="A1105" s="8">
        <v>46076.0</v>
      </c>
      <c r="B1105" s="14" t="s">
        <v>3691</v>
      </c>
      <c r="C1105" s="5">
        <v>3980600.0</v>
      </c>
      <c r="D1105" s="5">
        <v>0.0</v>
      </c>
      <c r="E1105" s="5">
        <f t="shared" si="2"/>
        <v>22645864</v>
      </c>
      <c r="F1105" s="14" t="s">
        <v>2464</v>
      </c>
      <c r="G1105" s="14" t="s">
        <v>59</v>
      </c>
      <c r="H1105" s="14" t="s">
        <v>476</v>
      </c>
      <c r="I1105" s="14"/>
      <c r="J1105" s="14"/>
      <c r="K1105" s="14"/>
      <c r="L1105" s="14"/>
    </row>
    <row r="1106" ht="15.75" customHeight="1">
      <c r="A1106" s="8">
        <v>46076.0</v>
      </c>
      <c r="B1106" s="14" t="s">
        <v>3692</v>
      </c>
      <c r="C1106" s="5">
        <v>3030000.0</v>
      </c>
      <c r="D1106" s="5">
        <v>0.0</v>
      </c>
      <c r="E1106" s="5">
        <f t="shared" si="2"/>
        <v>19615864</v>
      </c>
      <c r="F1106" s="14" t="s">
        <v>2464</v>
      </c>
      <c r="G1106" s="14" t="s">
        <v>59</v>
      </c>
      <c r="H1106" s="14" t="s">
        <v>476</v>
      </c>
      <c r="I1106" s="14"/>
      <c r="J1106" s="14"/>
      <c r="K1106" s="14"/>
      <c r="L1106" s="14"/>
    </row>
    <row r="1107" ht="15.75" customHeight="1">
      <c r="A1107" s="8">
        <v>46077.0</v>
      </c>
      <c r="B1107" s="14" t="s">
        <v>3693</v>
      </c>
      <c r="C1107" s="5">
        <v>2982500.0</v>
      </c>
      <c r="D1107" s="5">
        <v>0.0</v>
      </c>
      <c r="E1107" s="5">
        <f t="shared" si="2"/>
        <v>16633364</v>
      </c>
      <c r="F1107" s="14" t="s">
        <v>2464</v>
      </c>
      <c r="G1107" s="14" t="s">
        <v>59</v>
      </c>
      <c r="H1107" s="14" t="s">
        <v>476</v>
      </c>
      <c r="I1107" s="14"/>
      <c r="J1107" s="14"/>
      <c r="K1107" s="14"/>
      <c r="L1107" s="14"/>
    </row>
    <row r="1108" ht="15.75" customHeight="1">
      <c r="A1108" s="8">
        <v>46080.0</v>
      </c>
      <c r="B1108" s="4" t="s">
        <v>3561</v>
      </c>
      <c r="C1108" s="5">
        <v>5000.0</v>
      </c>
      <c r="D1108" s="5">
        <v>0.0</v>
      </c>
      <c r="E1108" s="5">
        <f t="shared" si="2"/>
        <v>16628364</v>
      </c>
      <c r="F1108" s="4" t="s">
        <v>43</v>
      </c>
      <c r="G1108" s="4" t="s">
        <v>45</v>
      </c>
    </row>
    <row r="1109" ht="15.75" customHeight="1">
      <c r="A1109" s="8">
        <v>46082.0</v>
      </c>
      <c r="B1109" s="4" t="s">
        <v>3694</v>
      </c>
      <c r="C1109" s="5">
        <v>900000.0</v>
      </c>
      <c r="D1109" s="5">
        <v>0.0</v>
      </c>
      <c r="E1109" s="5">
        <f t="shared" si="2"/>
        <v>15728364</v>
      </c>
      <c r="F1109" s="4" t="s">
        <v>50</v>
      </c>
      <c r="G1109" s="4" t="s">
        <v>2128</v>
      </c>
    </row>
    <row r="1110" ht="15.75" customHeight="1">
      <c r="A1110" s="8">
        <v>46089.0</v>
      </c>
      <c r="B1110" s="4" t="s">
        <v>3695</v>
      </c>
      <c r="C1110" s="5">
        <v>6680000.0</v>
      </c>
      <c r="D1110" s="5">
        <v>0.0</v>
      </c>
      <c r="E1110" s="5">
        <f t="shared" si="2"/>
        <v>9048364</v>
      </c>
      <c r="F1110" s="4" t="s">
        <v>2464</v>
      </c>
      <c r="G1110" s="4" t="s">
        <v>59</v>
      </c>
      <c r="H1110" s="4" t="s">
        <v>408</v>
      </c>
    </row>
    <row r="1111" ht="15.75" customHeight="1">
      <c r="A1111" s="8">
        <v>46089.0</v>
      </c>
      <c r="B1111" s="4" t="s">
        <v>3696</v>
      </c>
      <c r="C1111" s="5">
        <v>320950.0</v>
      </c>
      <c r="D1111" s="5">
        <v>0.0</v>
      </c>
      <c r="E1111" s="5">
        <f t="shared" si="2"/>
        <v>8727414</v>
      </c>
      <c r="F1111" s="4" t="s">
        <v>50</v>
      </c>
      <c r="G1111" s="4" t="s">
        <v>245</v>
      </c>
      <c r="H1111" s="4" t="s">
        <v>246</v>
      </c>
    </row>
    <row r="1112" ht="15.75" customHeight="1">
      <c r="A1112" s="8">
        <v>46090.0</v>
      </c>
      <c r="B1112" s="4" t="s">
        <v>3697</v>
      </c>
      <c r="C1112" s="5">
        <v>955650.0</v>
      </c>
      <c r="D1112" s="5">
        <v>0.0</v>
      </c>
      <c r="E1112" s="5">
        <f t="shared" si="2"/>
        <v>7771764</v>
      </c>
      <c r="F1112" s="4" t="s">
        <v>2464</v>
      </c>
      <c r="G1112" s="4" t="s">
        <v>59</v>
      </c>
      <c r="H1112" s="4" t="s">
        <v>404</v>
      </c>
    </row>
    <row r="1113" ht="15.75" customHeight="1">
      <c r="A1113" s="8">
        <v>46090.0</v>
      </c>
      <c r="B1113" s="4" t="s">
        <v>3698</v>
      </c>
      <c r="C1113" s="5">
        <v>217084.0</v>
      </c>
      <c r="D1113" s="5">
        <v>0.0</v>
      </c>
      <c r="E1113" s="5">
        <f t="shared" si="2"/>
        <v>7554680</v>
      </c>
      <c r="F1113" s="4" t="s">
        <v>2464</v>
      </c>
      <c r="G1113" s="4" t="s">
        <v>59</v>
      </c>
      <c r="H1113" s="4" t="s">
        <v>404</v>
      </c>
    </row>
    <row r="1114" ht="15.75" customHeight="1">
      <c r="A1114" s="8">
        <v>46090.0</v>
      </c>
      <c r="B1114" s="4" t="s">
        <v>3699</v>
      </c>
      <c r="C1114" s="5">
        <v>210000.0</v>
      </c>
      <c r="D1114" s="5">
        <v>0.0</v>
      </c>
      <c r="E1114" s="5">
        <f t="shared" si="2"/>
        <v>7344680</v>
      </c>
      <c r="F1114" s="4" t="s">
        <v>2464</v>
      </c>
      <c r="G1114" s="4" t="s">
        <v>59</v>
      </c>
      <c r="H1114" s="4" t="s">
        <v>404</v>
      </c>
    </row>
    <row r="1115" ht="15.75" customHeight="1">
      <c r="A1115" s="8">
        <v>46090.0</v>
      </c>
      <c r="B1115" s="4" t="s">
        <v>3700</v>
      </c>
      <c r="C1115" s="5">
        <v>451680.0</v>
      </c>
      <c r="D1115" s="5">
        <v>0.0</v>
      </c>
      <c r="E1115" s="5">
        <f t="shared" si="2"/>
        <v>6893000</v>
      </c>
      <c r="F1115" s="4" t="s">
        <v>2464</v>
      </c>
      <c r="G1115" s="4" t="s">
        <v>59</v>
      </c>
      <c r="H1115" s="4" t="s">
        <v>404</v>
      </c>
    </row>
    <row r="1116" ht="15.75" customHeight="1">
      <c r="A1116" s="8">
        <v>46090.0</v>
      </c>
      <c r="B1116" s="4" t="s">
        <v>3701</v>
      </c>
      <c r="C1116" s="5">
        <v>106000.0</v>
      </c>
      <c r="D1116" s="5">
        <v>0.0</v>
      </c>
      <c r="E1116" s="5">
        <f t="shared" si="2"/>
        <v>6787000</v>
      </c>
      <c r="F1116" s="4" t="s">
        <v>2464</v>
      </c>
      <c r="G1116" s="4" t="s">
        <v>59</v>
      </c>
      <c r="H1116" s="4" t="s">
        <v>404</v>
      </c>
    </row>
    <row r="1117" ht="15.75" customHeight="1">
      <c r="A1117" s="8">
        <v>46090.0</v>
      </c>
      <c r="B1117" s="4" t="s">
        <v>3702</v>
      </c>
      <c r="C1117" s="5">
        <v>1480000.0</v>
      </c>
      <c r="D1117" s="5">
        <v>0.0</v>
      </c>
      <c r="E1117" s="5">
        <f t="shared" si="2"/>
        <v>5307000</v>
      </c>
      <c r="F1117" s="4" t="s">
        <v>2464</v>
      </c>
      <c r="G1117" s="4" t="s">
        <v>59</v>
      </c>
      <c r="H1117" s="4" t="s">
        <v>404</v>
      </c>
    </row>
    <row r="1118" ht="15.75" customHeight="1">
      <c r="A1118" s="8">
        <v>46092.0</v>
      </c>
      <c r="B1118" s="4" t="s">
        <v>3703</v>
      </c>
      <c r="C1118" s="5">
        <v>5297000.0</v>
      </c>
      <c r="D1118" s="5">
        <v>0.0</v>
      </c>
      <c r="E1118" s="5">
        <f t="shared" si="2"/>
        <v>10000</v>
      </c>
      <c r="F1118" s="4" t="s">
        <v>2464</v>
      </c>
      <c r="G1118" s="4" t="s">
        <v>59</v>
      </c>
      <c r="H1118" s="4" t="s">
        <v>408</v>
      </c>
    </row>
    <row r="1119" ht="15.75" customHeight="1">
      <c r="A1119" s="8">
        <v>46102.0</v>
      </c>
      <c r="B1119" s="4" t="s">
        <v>3565</v>
      </c>
      <c r="C1119" s="5">
        <v>10000.0</v>
      </c>
      <c r="D1119" s="5">
        <v>0.0</v>
      </c>
      <c r="E1119" s="5">
        <f t="shared" si="2"/>
        <v>0</v>
      </c>
      <c r="F1119" s="4" t="s">
        <v>43</v>
      </c>
      <c r="G1119" s="4" t="s">
        <v>45</v>
      </c>
    </row>
    <row r="1120" ht="15.75" customHeight="1">
      <c r="A1120" s="8">
        <v>46148.0</v>
      </c>
      <c r="B1120" s="4" t="s">
        <v>1499</v>
      </c>
      <c r="C1120" s="5">
        <v>0.0</v>
      </c>
      <c r="D1120" s="5">
        <v>1.62029821E8</v>
      </c>
      <c r="E1120" s="5">
        <f t="shared" si="2"/>
        <v>162029821</v>
      </c>
      <c r="F1120" s="4" t="s">
        <v>21</v>
      </c>
      <c r="G1120" s="4" t="s">
        <v>448</v>
      </c>
      <c r="H1120" s="4" t="s">
        <v>70</v>
      </c>
    </row>
    <row r="1121" ht="15.75" customHeight="1">
      <c r="A1121" s="8">
        <v>46097.0</v>
      </c>
      <c r="B1121" s="4" t="s">
        <v>3704</v>
      </c>
      <c r="C1121" s="5">
        <v>1334000.0</v>
      </c>
      <c r="D1121" s="5">
        <v>0.0</v>
      </c>
      <c r="E1121" s="5">
        <f t="shared" si="2"/>
        <v>160695821</v>
      </c>
      <c r="F1121" s="4" t="s">
        <v>2464</v>
      </c>
      <c r="G1121" s="4" t="s">
        <v>59</v>
      </c>
      <c r="H1121" s="4" t="s">
        <v>408</v>
      </c>
    </row>
    <row r="1122" ht="15.75" customHeight="1">
      <c r="A1122" s="8">
        <v>46108.0</v>
      </c>
      <c r="B1122" s="4" t="s">
        <v>3705</v>
      </c>
      <c r="C1122" s="5">
        <v>4.0E7</v>
      </c>
      <c r="D1122" s="5">
        <v>0.0</v>
      </c>
      <c r="E1122" s="5">
        <f t="shared" si="2"/>
        <v>120695821</v>
      </c>
      <c r="F1122" s="4" t="s">
        <v>2464</v>
      </c>
      <c r="G1122" s="4" t="s">
        <v>59</v>
      </c>
      <c r="H1122" s="4" t="s">
        <v>61</v>
      </c>
    </row>
    <row r="1123" ht="15.75" customHeight="1">
      <c r="A1123" s="8">
        <v>46108.0</v>
      </c>
      <c r="B1123" s="4" t="s">
        <v>3706</v>
      </c>
      <c r="C1123" s="5">
        <v>1.174E8</v>
      </c>
      <c r="D1123" s="5">
        <v>0.0</v>
      </c>
      <c r="E1123" s="5">
        <f t="shared" si="2"/>
        <v>3295821</v>
      </c>
      <c r="F1123" s="4" t="s">
        <v>2464</v>
      </c>
      <c r="G1123" s="4" t="s">
        <v>59</v>
      </c>
      <c r="H1123" s="4" t="s">
        <v>61</v>
      </c>
    </row>
    <row r="1124" ht="15.75" customHeight="1">
      <c r="A1124" s="8">
        <v>46108.0</v>
      </c>
      <c r="B1124" s="4" t="s">
        <v>3707</v>
      </c>
      <c r="C1124" s="5">
        <v>332020.0</v>
      </c>
      <c r="D1124" s="5">
        <v>0.0</v>
      </c>
      <c r="E1124" s="5">
        <f t="shared" si="2"/>
        <v>2963801</v>
      </c>
      <c r="F1124" s="4" t="s">
        <v>50</v>
      </c>
      <c r="G1124" s="4" t="s">
        <v>245</v>
      </c>
      <c r="H1124" s="4" t="s">
        <v>246</v>
      </c>
    </row>
    <row r="1125" ht="15.75" customHeight="1">
      <c r="A1125" s="8">
        <v>46109.0</v>
      </c>
      <c r="B1125" s="4" t="s">
        <v>3708</v>
      </c>
      <c r="C1125" s="5">
        <v>2051638.0</v>
      </c>
      <c r="D1125" s="5">
        <v>0.0</v>
      </c>
      <c r="E1125" s="5">
        <f t="shared" si="2"/>
        <v>912163</v>
      </c>
      <c r="F1125" s="4" t="s">
        <v>2464</v>
      </c>
      <c r="G1125" s="4" t="s">
        <v>59</v>
      </c>
      <c r="H1125" s="14" t="s">
        <v>458</v>
      </c>
    </row>
    <row r="1126" ht="15.75" customHeight="1">
      <c r="A1126" s="8">
        <v>46111.0</v>
      </c>
      <c r="B1126" s="4" t="s">
        <v>3709</v>
      </c>
      <c r="C1126" s="5">
        <v>589063.0</v>
      </c>
      <c r="D1126" s="5">
        <v>0.0</v>
      </c>
      <c r="E1126" s="5">
        <f t="shared" si="2"/>
        <v>323100</v>
      </c>
      <c r="F1126" s="4" t="s">
        <v>43</v>
      </c>
      <c r="G1126" s="4" t="s">
        <v>1356</v>
      </c>
    </row>
    <row r="1127" ht="15.75" customHeight="1">
      <c r="A1127" s="8">
        <v>46113.0</v>
      </c>
      <c r="B1127" s="4" t="s">
        <v>3710</v>
      </c>
      <c r="C1127" s="5">
        <v>323100.0</v>
      </c>
      <c r="D1127" s="5">
        <v>0.0</v>
      </c>
      <c r="E1127" s="5">
        <f t="shared" si="2"/>
        <v>0</v>
      </c>
      <c r="F1127" s="4" t="s">
        <v>50</v>
      </c>
      <c r="G1127" s="4" t="s">
        <v>245</v>
      </c>
      <c r="H1127" s="4" t="s">
        <v>246</v>
      </c>
    </row>
    <row r="1128" ht="15.75" customHeight="1">
      <c r="A1128" s="8">
        <v>46149.0</v>
      </c>
      <c r="B1128" s="4" t="s">
        <v>1523</v>
      </c>
      <c r="C1128" s="5">
        <v>0.0</v>
      </c>
      <c r="D1128" s="5">
        <v>1.5681071E7</v>
      </c>
      <c r="E1128" s="5">
        <f t="shared" si="2"/>
        <v>15681071</v>
      </c>
      <c r="F1128" s="4" t="s">
        <v>21</v>
      </c>
      <c r="G1128" s="4" t="s">
        <v>448</v>
      </c>
      <c r="H1128" s="4" t="s">
        <v>38</v>
      </c>
    </row>
    <row r="1129" ht="15.75" customHeight="1">
      <c r="A1129" s="8">
        <v>46111.0</v>
      </c>
      <c r="B1129" s="4" t="s">
        <v>3469</v>
      </c>
      <c r="C1129" s="5">
        <v>5000.0</v>
      </c>
      <c r="D1129" s="5">
        <v>0.0</v>
      </c>
      <c r="E1129" s="5">
        <f t="shared" si="2"/>
        <v>15676071</v>
      </c>
      <c r="F1129" s="4" t="s">
        <v>43</v>
      </c>
      <c r="G1129" s="4" t="s">
        <v>45</v>
      </c>
    </row>
    <row r="1130" ht="15.75" customHeight="1">
      <c r="A1130" s="8">
        <v>46114.0</v>
      </c>
      <c r="B1130" s="4" t="s">
        <v>3711</v>
      </c>
      <c r="C1130" s="5">
        <v>0.0</v>
      </c>
      <c r="D1130" s="5">
        <v>100.0</v>
      </c>
      <c r="E1130" s="5">
        <f t="shared" si="2"/>
        <v>15676171</v>
      </c>
      <c r="F1130" s="4" t="s">
        <v>93</v>
      </c>
      <c r="G1130" s="4" t="s">
        <v>93</v>
      </c>
      <c r="H1130" s="14" t="s">
        <v>346</v>
      </c>
    </row>
    <row r="1131" ht="15.75" customHeight="1">
      <c r="A1131" s="8">
        <v>46130.0</v>
      </c>
      <c r="B1131" s="4" t="s">
        <v>3430</v>
      </c>
      <c r="C1131" s="5">
        <v>10000.0</v>
      </c>
      <c r="D1131" s="5">
        <v>0.0</v>
      </c>
      <c r="E1131" s="5">
        <f t="shared" si="2"/>
        <v>15666171</v>
      </c>
      <c r="F1131" s="4" t="s">
        <v>43</v>
      </c>
      <c r="G1131" s="4" t="s">
        <v>45</v>
      </c>
    </row>
    <row r="1132" ht="15.75" customHeight="1">
      <c r="A1132" s="8">
        <v>46130.0</v>
      </c>
      <c r="B1132" s="4" t="s">
        <v>3470</v>
      </c>
      <c r="C1132" s="5">
        <v>10000.0</v>
      </c>
      <c r="D1132" s="5">
        <v>0.0</v>
      </c>
      <c r="E1132" s="5">
        <f t="shared" si="2"/>
        <v>15656171</v>
      </c>
      <c r="F1132" s="4" t="s">
        <v>43</v>
      </c>
      <c r="G1132" s="4" t="s">
        <v>45</v>
      </c>
    </row>
    <row r="1133" ht="15.75" customHeight="1">
      <c r="A1133" s="8">
        <v>46098.0</v>
      </c>
      <c r="B1133" s="4" t="s">
        <v>3712</v>
      </c>
      <c r="C1133" s="5">
        <v>806000.0</v>
      </c>
      <c r="D1133" s="5">
        <v>0.0</v>
      </c>
      <c r="E1133" s="5">
        <f t="shared" si="2"/>
        <v>14850171</v>
      </c>
      <c r="F1133" s="4" t="s">
        <v>2464</v>
      </c>
      <c r="G1133" s="4" t="s">
        <v>59</v>
      </c>
      <c r="H1133" s="4" t="s">
        <v>408</v>
      </c>
    </row>
    <row r="1134" ht="15.75" customHeight="1">
      <c r="A1134" s="8">
        <v>46098.0</v>
      </c>
      <c r="B1134" s="4" t="s">
        <v>3713</v>
      </c>
      <c r="C1134" s="5">
        <v>197997.0</v>
      </c>
      <c r="D1134" s="5">
        <v>0.0</v>
      </c>
      <c r="E1134" s="5">
        <f t="shared" si="2"/>
        <v>14652174</v>
      </c>
      <c r="F1134" s="4" t="s">
        <v>2464</v>
      </c>
      <c r="G1134" s="4" t="s">
        <v>59</v>
      </c>
      <c r="H1134" s="4" t="s">
        <v>408</v>
      </c>
    </row>
    <row r="1135" ht="15.75" customHeight="1">
      <c r="A1135" s="8">
        <v>46099.0</v>
      </c>
      <c r="B1135" s="4" t="s">
        <v>3714</v>
      </c>
      <c r="C1135" s="5">
        <v>170400.0</v>
      </c>
      <c r="D1135" s="5">
        <v>0.0</v>
      </c>
      <c r="E1135" s="5">
        <f t="shared" si="2"/>
        <v>14481774</v>
      </c>
      <c r="F1135" s="4" t="s">
        <v>2464</v>
      </c>
      <c r="G1135" s="4" t="s">
        <v>59</v>
      </c>
      <c r="H1135" s="4" t="s">
        <v>408</v>
      </c>
    </row>
    <row r="1136" ht="15.75" customHeight="1">
      <c r="A1136" s="8">
        <v>46111.0</v>
      </c>
      <c r="B1136" s="4" t="s">
        <v>3715</v>
      </c>
      <c r="C1136" s="5">
        <v>382120.0</v>
      </c>
      <c r="D1136" s="5">
        <v>0.0</v>
      </c>
      <c r="E1136" s="5">
        <f t="shared" si="2"/>
        <v>14099654</v>
      </c>
      <c r="F1136" s="4" t="s">
        <v>50</v>
      </c>
      <c r="G1136" s="4" t="s">
        <v>245</v>
      </c>
      <c r="H1136" s="4" t="s">
        <v>413</v>
      </c>
    </row>
    <row r="1137" ht="15.75" customHeight="1">
      <c r="A1137" s="8">
        <v>46118.0</v>
      </c>
      <c r="B1137" s="4" t="s">
        <v>3716</v>
      </c>
      <c r="C1137" s="5">
        <v>388100.0</v>
      </c>
      <c r="D1137" s="5">
        <v>0.0</v>
      </c>
      <c r="E1137" s="5">
        <f t="shared" si="2"/>
        <v>13711554</v>
      </c>
      <c r="F1137" s="4" t="s">
        <v>50</v>
      </c>
      <c r="G1137" s="4" t="s">
        <v>245</v>
      </c>
      <c r="H1137" s="4" t="s">
        <v>413</v>
      </c>
    </row>
    <row r="1138" ht="15.75" customHeight="1">
      <c r="A1138" s="8">
        <v>46121.0</v>
      </c>
      <c r="B1138" s="4" t="s">
        <v>3717</v>
      </c>
      <c r="C1138" s="5">
        <v>269900.0</v>
      </c>
      <c r="D1138" s="5">
        <v>0.0</v>
      </c>
      <c r="E1138" s="5">
        <f t="shared" si="2"/>
        <v>13441654</v>
      </c>
      <c r="F1138" s="4" t="s">
        <v>50</v>
      </c>
      <c r="G1138" s="4" t="s">
        <v>245</v>
      </c>
      <c r="H1138" s="4" t="s">
        <v>413</v>
      </c>
    </row>
    <row r="1139" ht="15.75" customHeight="1">
      <c r="A1139" s="8">
        <v>46121.0</v>
      </c>
      <c r="B1139" s="4" t="s">
        <v>3718</v>
      </c>
      <c r="C1139" s="5">
        <v>335800.0</v>
      </c>
      <c r="D1139" s="5">
        <v>0.0</v>
      </c>
      <c r="E1139" s="5">
        <f t="shared" si="2"/>
        <v>13105854</v>
      </c>
      <c r="F1139" s="4" t="s">
        <v>105</v>
      </c>
      <c r="G1139" s="4" t="s">
        <v>2064</v>
      </c>
      <c r="H1139" s="4" t="s">
        <v>3719</v>
      </c>
    </row>
    <row r="1140" ht="15.75" customHeight="1">
      <c r="A1140" s="8">
        <v>46125.0</v>
      </c>
      <c r="B1140" s="4" t="s">
        <v>3720</v>
      </c>
      <c r="C1140" s="5">
        <v>399000.0</v>
      </c>
      <c r="D1140" s="5">
        <v>0.0</v>
      </c>
      <c r="E1140" s="5">
        <f t="shared" si="2"/>
        <v>12706854</v>
      </c>
      <c r="F1140" s="4" t="s">
        <v>50</v>
      </c>
      <c r="G1140" s="4" t="s">
        <v>245</v>
      </c>
      <c r="H1140" s="4" t="s">
        <v>413</v>
      </c>
    </row>
    <row r="1141" ht="15.75" customHeight="1">
      <c r="A1141" s="8">
        <v>46126.0</v>
      </c>
      <c r="B1141" s="4" t="s">
        <v>3721</v>
      </c>
      <c r="C1141" s="5">
        <v>885740.0</v>
      </c>
      <c r="D1141" s="5">
        <v>0.0</v>
      </c>
      <c r="E1141" s="5">
        <f t="shared" si="2"/>
        <v>11821114</v>
      </c>
      <c r="F1141" s="4" t="s">
        <v>2464</v>
      </c>
      <c r="G1141" s="4" t="s">
        <v>59</v>
      </c>
      <c r="H1141" s="4" t="s">
        <v>408</v>
      </c>
    </row>
    <row r="1142" ht="15.75" customHeight="1">
      <c r="A1142" s="8">
        <v>46128.0</v>
      </c>
      <c r="B1142" s="4" t="s">
        <v>3722</v>
      </c>
      <c r="C1142" s="5">
        <v>389100.0</v>
      </c>
      <c r="D1142" s="5">
        <v>0.0</v>
      </c>
      <c r="E1142" s="5">
        <f t="shared" si="2"/>
        <v>11432014</v>
      </c>
      <c r="F1142" s="4" t="s">
        <v>50</v>
      </c>
      <c r="G1142" s="4" t="s">
        <v>245</v>
      </c>
      <c r="H1142" s="4" t="s">
        <v>413</v>
      </c>
    </row>
    <row r="1143" ht="15.75" customHeight="1">
      <c r="A1143" s="8">
        <v>46098.0</v>
      </c>
      <c r="B1143" s="4" t="s">
        <v>3723</v>
      </c>
      <c r="C1143" s="5">
        <v>0.0</v>
      </c>
      <c r="D1143" s="5">
        <v>231700.0</v>
      </c>
      <c r="E1143" s="5">
        <f t="shared" si="2"/>
        <v>11663714</v>
      </c>
      <c r="F1143" s="4" t="s">
        <v>2464</v>
      </c>
      <c r="G1143" s="4" t="s">
        <v>59</v>
      </c>
      <c r="H1143" s="4" t="s">
        <v>408</v>
      </c>
    </row>
    <row r="1144" ht="15.75" customHeight="1">
      <c r="A1144" s="8">
        <v>46099.0</v>
      </c>
      <c r="B1144" s="4" t="s">
        <v>3724</v>
      </c>
      <c r="C1144" s="5">
        <v>413000.0</v>
      </c>
      <c r="D1144" s="5">
        <v>0.0</v>
      </c>
      <c r="E1144" s="5">
        <f t="shared" si="2"/>
        <v>11250714</v>
      </c>
      <c r="F1144" s="4" t="s">
        <v>2464</v>
      </c>
      <c r="G1144" s="4" t="s">
        <v>59</v>
      </c>
      <c r="H1144" s="4" t="s">
        <v>408</v>
      </c>
    </row>
    <row r="1145" ht="15.75" customHeight="1">
      <c r="A1145" s="8">
        <v>46108.0</v>
      </c>
      <c r="B1145" s="4" t="s">
        <v>3725</v>
      </c>
      <c r="C1145" s="5">
        <v>0.0</v>
      </c>
      <c r="D1145" s="5">
        <v>2631207.0</v>
      </c>
      <c r="E1145" s="5">
        <f t="shared" si="2"/>
        <v>13881921</v>
      </c>
      <c r="F1145" s="4" t="s">
        <v>2464</v>
      </c>
      <c r="G1145" s="4" t="s">
        <v>59</v>
      </c>
      <c r="H1145" s="4" t="s">
        <v>61</v>
      </c>
    </row>
    <row r="1146" ht="15.75" customHeight="1">
      <c r="A1146" s="8">
        <v>46118.0</v>
      </c>
      <c r="B1146" s="4" t="s">
        <v>3726</v>
      </c>
      <c r="C1146" s="5">
        <v>2288000.0</v>
      </c>
      <c r="D1146" s="5">
        <v>0.0</v>
      </c>
      <c r="E1146" s="5">
        <f t="shared" si="2"/>
        <v>11593921</v>
      </c>
      <c r="F1146" s="4" t="s">
        <v>2464</v>
      </c>
      <c r="G1146" s="4" t="s">
        <v>59</v>
      </c>
      <c r="H1146" s="4" t="s">
        <v>226</v>
      </c>
    </row>
    <row r="1147" ht="15.75" customHeight="1">
      <c r="A1147" s="8">
        <v>46118.0</v>
      </c>
      <c r="B1147" s="4" t="s">
        <v>3727</v>
      </c>
      <c r="C1147" s="5">
        <v>1980000.0</v>
      </c>
      <c r="D1147" s="5">
        <v>0.0</v>
      </c>
      <c r="E1147" s="5">
        <f t="shared" si="2"/>
        <v>9613921</v>
      </c>
      <c r="F1147" s="4" t="s">
        <v>2464</v>
      </c>
      <c r="G1147" s="4" t="s">
        <v>59</v>
      </c>
      <c r="H1147" s="4" t="s">
        <v>226</v>
      </c>
    </row>
    <row r="1148" ht="15.75" customHeight="1">
      <c r="A1148" s="8">
        <v>46122.0</v>
      </c>
      <c r="B1148" s="4" t="s">
        <v>3728</v>
      </c>
      <c r="C1148" s="5">
        <v>2516650.0</v>
      </c>
      <c r="D1148" s="5">
        <v>0.0</v>
      </c>
      <c r="E1148" s="5">
        <f t="shared" si="2"/>
        <v>7097271</v>
      </c>
      <c r="F1148" s="4" t="s">
        <v>24</v>
      </c>
      <c r="G1148" s="4" t="s">
        <v>125</v>
      </c>
      <c r="H1148" s="4" t="s">
        <v>1580</v>
      </c>
    </row>
    <row r="1149" ht="15.75" customHeight="1">
      <c r="A1149" s="8">
        <v>46126.0</v>
      </c>
      <c r="B1149" s="4" t="s">
        <v>3729</v>
      </c>
      <c r="C1149" s="5">
        <v>2408720.0</v>
      </c>
      <c r="D1149" s="5">
        <v>0.0</v>
      </c>
      <c r="E1149" s="5">
        <f t="shared" si="2"/>
        <v>4688551</v>
      </c>
      <c r="F1149" s="4" t="s">
        <v>24</v>
      </c>
      <c r="G1149" s="4" t="s">
        <v>125</v>
      </c>
      <c r="H1149" s="4" t="s">
        <v>1580</v>
      </c>
    </row>
    <row r="1150" ht="15.75" customHeight="1">
      <c r="A1150" s="8">
        <v>46103.0</v>
      </c>
      <c r="B1150" s="4" t="s">
        <v>3730</v>
      </c>
      <c r="C1150" s="5">
        <v>1000500.0</v>
      </c>
      <c r="D1150" s="5">
        <v>0.0</v>
      </c>
      <c r="E1150" s="5">
        <f t="shared" si="2"/>
        <v>3688051</v>
      </c>
      <c r="F1150" s="4" t="s">
        <v>105</v>
      </c>
      <c r="G1150" s="4" t="s">
        <v>3451</v>
      </c>
      <c r="H1150" s="4" t="s">
        <v>72</v>
      </c>
      <c r="I1150" s="4" t="s">
        <v>6</v>
      </c>
    </row>
    <row r="1151" ht="15.75" customHeight="1">
      <c r="A1151" s="8">
        <v>46108.0</v>
      </c>
      <c r="B1151" s="4" t="s">
        <v>3731</v>
      </c>
      <c r="C1151" s="5">
        <v>122000.0</v>
      </c>
      <c r="D1151" s="5">
        <v>0.0</v>
      </c>
      <c r="E1151" s="5">
        <f t="shared" si="2"/>
        <v>3566051</v>
      </c>
      <c r="F1151" s="4" t="s">
        <v>105</v>
      </c>
      <c r="G1151" s="4" t="s">
        <v>2064</v>
      </c>
      <c r="H1151" s="4" t="s">
        <v>72</v>
      </c>
      <c r="I1151" s="4" t="s">
        <v>6</v>
      </c>
    </row>
    <row r="1152" ht="15.75" customHeight="1">
      <c r="A1152" s="8">
        <v>46118.0</v>
      </c>
      <c r="B1152" s="4" t="s">
        <v>3732</v>
      </c>
      <c r="C1152" s="5">
        <v>398503.0</v>
      </c>
      <c r="D1152" s="5">
        <v>0.0</v>
      </c>
      <c r="E1152" s="5">
        <f t="shared" si="2"/>
        <v>3167548</v>
      </c>
      <c r="F1152" s="4" t="s">
        <v>105</v>
      </c>
      <c r="G1152" s="4" t="s">
        <v>2064</v>
      </c>
      <c r="H1152" s="4" t="s">
        <v>3719</v>
      </c>
      <c r="I1152" s="4" t="s">
        <v>6</v>
      </c>
    </row>
    <row r="1153" ht="15.75" customHeight="1">
      <c r="A1153" s="8">
        <v>46125.0</v>
      </c>
      <c r="B1153" s="4" t="s">
        <v>3733</v>
      </c>
      <c r="C1153" s="5">
        <v>180000.0</v>
      </c>
      <c r="D1153" s="5">
        <v>0.0</v>
      </c>
      <c r="E1153" s="5">
        <f t="shared" si="2"/>
        <v>2987548</v>
      </c>
      <c r="F1153" s="4" t="s">
        <v>105</v>
      </c>
      <c r="G1153" s="4" t="s">
        <v>380</v>
      </c>
      <c r="H1153" s="4" t="s">
        <v>6</v>
      </c>
      <c r="I1153" s="4" t="s">
        <v>6</v>
      </c>
    </row>
    <row r="1154" ht="15.75" customHeight="1">
      <c r="A1154" s="8">
        <v>46126.0</v>
      </c>
      <c r="B1154" s="4" t="s">
        <v>3734</v>
      </c>
      <c r="C1154" s="5">
        <v>94000.0</v>
      </c>
      <c r="D1154" s="5">
        <v>0.0</v>
      </c>
      <c r="E1154" s="5">
        <f t="shared" si="2"/>
        <v>2893548</v>
      </c>
      <c r="F1154" s="4" t="s">
        <v>105</v>
      </c>
      <c r="G1154" s="4" t="s">
        <v>2064</v>
      </c>
      <c r="H1154" s="4" t="s">
        <v>72</v>
      </c>
      <c r="I1154" s="4" t="s">
        <v>6</v>
      </c>
    </row>
    <row r="1155" ht="15.75" customHeight="1">
      <c r="A1155" s="8">
        <v>46127.0</v>
      </c>
      <c r="B1155" s="4" t="s">
        <v>3735</v>
      </c>
      <c r="C1155" s="5">
        <v>892160.0</v>
      </c>
      <c r="D1155" s="5">
        <v>0.0</v>
      </c>
      <c r="E1155" s="5">
        <f t="shared" si="2"/>
        <v>2001388</v>
      </c>
      <c r="F1155" s="4" t="s">
        <v>105</v>
      </c>
      <c r="G1155" s="4" t="s">
        <v>3451</v>
      </c>
      <c r="H1155" s="4" t="s">
        <v>868</v>
      </c>
      <c r="I1155" s="4" t="s">
        <v>6</v>
      </c>
    </row>
    <row r="1156" ht="15.75" customHeight="1">
      <c r="A1156" s="8">
        <v>46127.0</v>
      </c>
      <c r="B1156" s="4" t="s">
        <v>3735</v>
      </c>
      <c r="C1156" s="5">
        <v>1318000.0</v>
      </c>
      <c r="D1156" s="5">
        <v>0.0</v>
      </c>
      <c r="E1156" s="5">
        <f t="shared" si="2"/>
        <v>683388</v>
      </c>
      <c r="F1156" s="4" t="s">
        <v>105</v>
      </c>
      <c r="G1156" s="4" t="s">
        <v>3451</v>
      </c>
      <c r="H1156" s="4" t="s">
        <v>868</v>
      </c>
      <c r="I1156" s="4" t="s">
        <v>6</v>
      </c>
    </row>
    <row r="1157" ht="15.75" customHeight="1">
      <c r="A1157" s="8">
        <v>46128.0</v>
      </c>
      <c r="B1157" s="4" t="s">
        <v>3736</v>
      </c>
      <c r="C1157" s="5">
        <v>353568.0</v>
      </c>
      <c r="D1157" s="5">
        <v>0.0</v>
      </c>
      <c r="E1157" s="5">
        <f t="shared" si="2"/>
        <v>329820</v>
      </c>
      <c r="F1157" s="4" t="s">
        <v>105</v>
      </c>
      <c r="G1157" s="4" t="s">
        <v>2064</v>
      </c>
      <c r="H1157" s="4" t="s">
        <v>72</v>
      </c>
      <c r="I1157" s="4" t="s">
        <v>6</v>
      </c>
    </row>
    <row r="1158" ht="15.75" customHeight="1">
      <c r="A1158" s="8">
        <v>46129.0</v>
      </c>
      <c r="B1158" s="4" t="s">
        <v>3735</v>
      </c>
      <c r="C1158" s="5">
        <v>329820.0</v>
      </c>
      <c r="D1158" s="5">
        <v>0.0</v>
      </c>
      <c r="E1158" s="5">
        <f t="shared" si="2"/>
        <v>0</v>
      </c>
      <c r="F1158" s="4" t="s">
        <v>105</v>
      </c>
      <c r="G1158" s="4" t="s">
        <v>3451</v>
      </c>
      <c r="H1158" s="4" t="s">
        <v>868</v>
      </c>
      <c r="I1158" s="4" t="s">
        <v>6</v>
      </c>
    </row>
    <row r="1159" ht="15.75" customHeight="1">
      <c r="A1159" s="8">
        <v>46110.0</v>
      </c>
      <c r="B1159" s="4" t="s">
        <v>1206</v>
      </c>
      <c r="C1159" s="5">
        <v>0.0</v>
      </c>
      <c r="D1159" s="5">
        <v>4.0E7</v>
      </c>
      <c r="E1159" s="5">
        <f t="shared" si="2"/>
        <v>40000000</v>
      </c>
      <c r="F1159" s="4" t="s">
        <v>21</v>
      </c>
      <c r="G1159" s="4" t="s">
        <v>448</v>
      </c>
      <c r="H1159" s="4" t="s">
        <v>55</v>
      </c>
    </row>
    <row r="1160" ht="15.75" customHeight="1">
      <c r="A1160" s="8">
        <v>46149.0</v>
      </c>
      <c r="B1160" s="4" t="s">
        <v>1530</v>
      </c>
      <c r="C1160" s="5">
        <v>0.0</v>
      </c>
      <c r="D1160" s="5">
        <v>5407382.0</v>
      </c>
      <c r="E1160" s="5">
        <f t="shared" si="2"/>
        <v>45407382</v>
      </c>
      <c r="F1160" s="4" t="s">
        <v>21</v>
      </c>
      <c r="G1160" s="4" t="s">
        <v>448</v>
      </c>
      <c r="H1160" s="4" t="s">
        <v>55</v>
      </c>
    </row>
    <row r="1161" ht="15.75" customHeight="1">
      <c r="A1161" s="8">
        <v>46106.0</v>
      </c>
      <c r="B1161" s="4" t="s">
        <v>3737</v>
      </c>
      <c r="C1161" s="5">
        <v>471300.0</v>
      </c>
      <c r="D1161" s="5">
        <v>0.0</v>
      </c>
      <c r="E1161" s="5">
        <f t="shared" si="2"/>
        <v>44936082</v>
      </c>
      <c r="F1161" s="4" t="s">
        <v>105</v>
      </c>
      <c r="G1161" s="4" t="s">
        <v>2064</v>
      </c>
      <c r="H1161" s="4" t="s">
        <v>271</v>
      </c>
    </row>
    <row r="1162" ht="15.75" customHeight="1">
      <c r="A1162" s="8">
        <v>46107.0</v>
      </c>
      <c r="B1162" s="4" t="s">
        <v>3582</v>
      </c>
      <c r="C1162" s="5">
        <v>5000.0</v>
      </c>
      <c r="D1162" s="5">
        <v>0.0</v>
      </c>
      <c r="E1162" s="5">
        <f t="shared" si="2"/>
        <v>44931082</v>
      </c>
      <c r="F1162" s="4" t="s">
        <v>43</v>
      </c>
      <c r="G1162" s="4" t="s">
        <v>45</v>
      </c>
    </row>
    <row r="1163" ht="15.75" customHeight="1">
      <c r="A1163" s="8">
        <v>46107.0</v>
      </c>
      <c r="B1163" s="4" t="s">
        <v>3738</v>
      </c>
      <c r="C1163" s="5">
        <v>2160000.0</v>
      </c>
      <c r="D1163" s="5">
        <v>0.0</v>
      </c>
      <c r="E1163" s="5">
        <f t="shared" si="2"/>
        <v>42771082</v>
      </c>
      <c r="F1163" s="4" t="s">
        <v>2464</v>
      </c>
      <c r="G1163" s="4" t="s">
        <v>59</v>
      </c>
      <c r="H1163" s="4" t="s">
        <v>111</v>
      </c>
      <c r="I1163" s="4" t="s">
        <v>6</v>
      </c>
    </row>
    <row r="1164" ht="15.75" customHeight="1">
      <c r="A1164" s="8">
        <v>46108.0</v>
      </c>
      <c r="B1164" s="17" t="s">
        <v>3739</v>
      </c>
      <c r="C1164" s="5">
        <v>2261375.0</v>
      </c>
      <c r="D1164" s="5">
        <v>0.0</v>
      </c>
      <c r="E1164" s="5">
        <f t="shared" si="2"/>
        <v>40509707</v>
      </c>
      <c r="F1164" s="4" t="s">
        <v>2464</v>
      </c>
      <c r="G1164" s="4" t="s">
        <v>59</v>
      </c>
      <c r="H1164" s="4" t="s">
        <v>111</v>
      </c>
    </row>
    <row r="1165" ht="15.75" customHeight="1">
      <c r="A1165" s="8">
        <v>46111.0</v>
      </c>
      <c r="B1165" s="4" t="s">
        <v>3740</v>
      </c>
      <c r="C1165" s="5">
        <v>864901.0</v>
      </c>
      <c r="D1165" s="5">
        <v>0.0</v>
      </c>
      <c r="E1165" s="5">
        <f t="shared" si="2"/>
        <v>39644806</v>
      </c>
      <c r="F1165" s="4" t="s">
        <v>2464</v>
      </c>
      <c r="G1165" s="4" t="s">
        <v>59</v>
      </c>
      <c r="H1165" s="4" t="s">
        <v>61</v>
      </c>
    </row>
    <row r="1166" ht="15.75" customHeight="1">
      <c r="A1166" s="8">
        <v>46111.0</v>
      </c>
      <c r="B1166" s="4" t="s">
        <v>3740</v>
      </c>
      <c r="C1166" s="5">
        <v>1.4155575E7</v>
      </c>
      <c r="D1166" s="5">
        <v>0.0</v>
      </c>
      <c r="E1166" s="5">
        <f t="shared" si="2"/>
        <v>25489231</v>
      </c>
      <c r="F1166" s="4" t="s">
        <v>2464</v>
      </c>
      <c r="G1166" s="4" t="s">
        <v>59</v>
      </c>
      <c r="H1166" s="4" t="s">
        <v>61</v>
      </c>
    </row>
    <row r="1167" ht="15.75" customHeight="1">
      <c r="A1167" s="8">
        <v>46111.0</v>
      </c>
      <c r="B1167" s="4" t="s">
        <v>3741</v>
      </c>
      <c r="C1167" s="5">
        <v>496500.0</v>
      </c>
      <c r="D1167" s="5">
        <v>0.0</v>
      </c>
      <c r="E1167" s="5">
        <f t="shared" si="2"/>
        <v>24992731</v>
      </c>
      <c r="F1167" s="4" t="s">
        <v>2464</v>
      </c>
      <c r="G1167" s="4" t="s">
        <v>59</v>
      </c>
      <c r="H1167" s="4" t="s">
        <v>61</v>
      </c>
    </row>
    <row r="1168" ht="15.75" customHeight="1">
      <c r="A1168" s="8">
        <v>46111.0</v>
      </c>
      <c r="B1168" s="4" t="s">
        <v>3742</v>
      </c>
      <c r="C1168" s="5">
        <v>5500000.0</v>
      </c>
      <c r="D1168" s="5">
        <v>0.0</v>
      </c>
      <c r="E1168" s="5">
        <f t="shared" si="2"/>
        <v>19492731</v>
      </c>
      <c r="F1168" s="4" t="s">
        <v>2464</v>
      </c>
      <c r="G1168" s="4" t="s">
        <v>59</v>
      </c>
      <c r="H1168" s="4" t="s">
        <v>61</v>
      </c>
    </row>
    <row r="1169" ht="15.75" customHeight="1">
      <c r="A1169" s="8">
        <v>46111.0</v>
      </c>
      <c r="B1169" s="4" t="s">
        <v>3743</v>
      </c>
      <c r="C1169" s="5">
        <v>93000.0</v>
      </c>
      <c r="D1169" s="5">
        <v>0.0</v>
      </c>
      <c r="E1169" s="5">
        <f t="shared" si="2"/>
        <v>19399731</v>
      </c>
      <c r="F1169" s="4" t="s">
        <v>2464</v>
      </c>
      <c r="G1169" s="4" t="s">
        <v>59</v>
      </c>
      <c r="H1169" s="4" t="s">
        <v>61</v>
      </c>
    </row>
    <row r="1170" ht="15.75" customHeight="1">
      <c r="A1170" s="8">
        <v>46113.0</v>
      </c>
      <c r="B1170" s="4" t="s">
        <v>3744</v>
      </c>
      <c r="C1170" s="5">
        <v>3294148.0</v>
      </c>
      <c r="D1170" s="5">
        <v>0.0</v>
      </c>
      <c r="E1170" s="5">
        <f t="shared" si="2"/>
        <v>16105583</v>
      </c>
      <c r="F1170" s="4" t="s">
        <v>2464</v>
      </c>
      <c r="G1170" s="4" t="s">
        <v>59</v>
      </c>
      <c r="H1170" s="4" t="s">
        <v>61</v>
      </c>
    </row>
    <row r="1171" ht="15.75" customHeight="1">
      <c r="A1171" s="8">
        <v>46121.0</v>
      </c>
      <c r="B1171" s="4" t="s">
        <v>3518</v>
      </c>
      <c r="C1171" s="5">
        <v>7500.0</v>
      </c>
      <c r="D1171" s="5">
        <v>0.0</v>
      </c>
      <c r="E1171" s="5">
        <f t="shared" si="2"/>
        <v>16098083</v>
      </c>
      <c r="F1171" s="4" t="s">
        <v>43</v>
      </c>
      <c r="G1171" s="4" t="s">
        <v>45</v>
      </c>
    </row>
    <row r="1172" ht="15.75" customHeight="1">
      <c r="A1172" s="8">
        <v>46125.0</v>
      </c>
      <c r="B1172" s="4" t="s">
        <v>3745</v>
      </c>
      <c r="C1172" s="5">
        <v>333700.0</v>
      </c>
      <c r="D1172" s="5">
        <v>0.0</v>
      </c>
      <c r="E1172" s="5">
        <f t="shared" si="2"/>
        <v>15764383</v>
      </c>
      <c r="F1172" s="4" t="s">
        <v>50</v>
      </c>
      <c r="G1172" s="4" t="s">
        <v>245</v>
      </c>
      <c r="H1172" s="4" t="s">
        <v>246</v>
      </c>
    </row>
    <row r="1173" ht="15.75" customHeight="1">
      <c r="A1173" s="8">
        <v>46125.0</v>
      </c>
      <c r="B1173" s="4" t="s">
        <v>3746</v>
      </c>
      <c r="C1173" s="5">
        <v>4050585.0</v>
      </c>
      <c r="D1173" s="5">
        <v>0.0</v>
      </c>
      <c r="E1173" s="5">
        <f t="shared" si="2"/>
        <v>11713798</v>
      </c>
      <c r="F1173" s="4" t="s">
        <v>2464</v>
      </c>
      <c r="G1173" s="4" t="s">
        <v>59</v>
      </c>
      <c r="H1173" s="4" t="s">
        <v>226</v>
      </c>
    </row>
    <row r="1174" ht="15.75" customHeight="1">
      <c r="A1174" s="8">
        <v>46126.0</v>
      </c>
      <c r="B1174" s="4" t="s">
        <v>3747</v>
      </c>
      <c r="C1174" s="5">
        <v>1.134025E7</v>
      </c>
      <c r="D1174" s="5">
        <v>0.0</v>
      </c>
      <c r="E1174" s="5">
        <f t="shared" si="2"/>
        <v>373548</v>
      </c>
      <c r="F1174" s="4" t="s">
        <v>2464</v>
      </c>
      <c r="G1174" s="4" t="s">
        <v>59</v>
      </c>
      <c r="H1174" s="4" t="s">
        <v>1348</v>
      </c>
    </row>
    <row r="1175" ht="15.75" customHeight="1">
      <c r="A1175" s="8">
        <v>46126.0</v>
      </c>
      <c r="B1175" s="4" t="s">
        <v>3748</v>
      </c>
      <c r="C1175" s="5">
        <v>363548.0</v>
      </c>
      <c r="D1175" s="5">
        <v>0.0</v>
      </c>
      <c r="E1175" s="5">
        <f t="shared" si="2"/>
        <v>10000</v>
      </c>
      <c r="F1175" s="4" t="s">
        <v>2464</v>
      </c>
      <c r="G1175" s="4" t="s">
        <v>59</v>
      </c>
      <c r="H1175" s="4" t="s">
        <v>408</v>
      </c>
    </row>
    <row r="1176" ht="15.75" customHeight="1">
      <c r="A1176" s="8">
        <v>46132.0</v>
      </c>
      <c r="B1176" s="4" t="s">
        <v>3432</v>
      </c>
      <c r="C1176" s="5">
        <v>10000.0</v>
      </c>
      <c r="D1176" s="5">
        <v>0.0</v>
      </c>
      <c r="E1176" s="5">
        <f t="shared" si="2"/>
        <v>0</v>
      </c>
      <c r="F1176" s="4" t="s">
        <v>43</v>
      </c>
      <c r="G1176" s="4" t="s">
        <v>45</v>
      </c>
    </row>
    <row r="1177" ht="15.75" customHeight="1">
      <c r="A1177" s="8">
        <v>46153.0</v>
      </c>
      <c r="B1177" s="4" t="s">
        <v>3749</v>
      </c>
      <c r="C1177" s="5">
        <v>0.0</v>
      </c>
      <c r="D1177" s="5">
        <v>2.0985E7</v>
      </c>
      <c r="E1177" s="5">
        <f t="shared" si="2"/>
        <v>20985000</v>
      </c>
      <c r="F1177" s="4" t="s">
        <v>21</v>
      </c>
      <c r="G1177" s="4" t="s">
        <v>448</v>
      </c>
      <c r="H1177" s="4" t="s">
        <v>170</v>
      </c>
    </row>
    <row r="1178" ht="15.75" customHeight="1">
      <c r="A1178" s="8">
        <v>46104.0</v>
      </c>
      <c r="B1178" s="4" t="s">
        <v>3750</v>
      </c>
      <c r="C1178" s="5">
        <v>0.0</v>
      </c>
      <c r="D1178" s="5">
        <v>2.1E7</v>
      </c>
      <c r="E1178" s="5">
        <f t="shared" si="2"/>
        <v>41985000</v>
      </c>
      <c r="F1178" s="4" t="s">
        <v>2464</v>
      </c>
      <c r="G1178" s="4" t="s">
        <v>59</v>
      </c>
      <c r="H1178" s="4" t="s">
        <v>234</v>
      </c>
    </row>
    <row r="1179" ht="15.75" customHeight="1">
      <c r="A1179" s="8">
        <v>46112.0</v>
      </c>
      <c r="B1179" s="4" t="s">
        <v>3751</v>
      </c>
      <c r="C1179" s="5">
        <v>5000.0</v>
      </c>
      <c r="D1179" s="5">
        <v>0.0</v>
      </c>
      <c r="E1179" s="5">
        <f t="shared" si="2"/>
        <v>41980000</v>
      </c>
      <c r="F1179" s="4" t="s">
        <v>43</v>
      </c>
      <c r="G1179" s="4" t="s">
        <v>45</v>
      </c>
    </row>
    <row r="1180" ht="15.75" customHeight="1">
      <c r="A1180" s="8">
        <v>46133.0</v>
      </c>
      <c r="B1180" s="4" t="s">
        <v>3752</v>
      </c>
      <c r="C1180" s="5">
        <v>10000.0</v>
      </c>
      <c r="D1180" s="5">
        <v>0.0</v>
      </c>
      <c r="E1180" s="5">
        <f t="shared" si="2"/>
        <v>41970000</v>
      </c>
      <c r="F1180" s="4" t="s">
        <v>43</v>
      </c>
      <c r="G1180" s="4" t="s">
        <v>45</v>
      </c>
    </row>
    <row r="1181" ht="15.75" customHeight="1">
      <c r="A1181" s="8">
        <v>46153.0</v>
      </c>
      <c r="B1181" s="4" t="s">
        <v>3753</v>
      </c>
      <c r="C1181" s="5">
        <v>189200.0</v>
      </c>
      <c r="D1181" s="5">
        <v>0.0</v>
      </c>
      <c r="E1181" s="5">
        <f t="shared" si="2"/>
        <v>41780800</v>
      </c>
      <c r="F1181" s="4" t="s">
        <v>105</v>
      </c>
      <c r="G1181" s="4" t="s">
        <v>2064</v>
      </c>
      <c r="H1181" s="15" t="s">
        <v>72</v>
      </c>
      <c r="I1181" s="4" t="s">
        <v>6</v>
      </c>
    </row>
    <row r="1182" ht="15.75" customHeight="1">
      <c r="A1182" s="8">
        <v>46163.0</v>
      </c>
      <c r="B1182" s="4" t="s">
        <v>3470</v>
      </c>
      <c r="C1182" s="5">
        <v>10000.0</v>
      </c>
      <c r="D1182" s="5">
        <v>0.0</v>
      </c>
      <c r="E1182" s="5">
        <f t="shared" si="2"/>
        <v>41770800</v>
      </c>
      <c r="F1182" s="4" t="s">
        <v>43</v>
      </c>
      <c r="G1182" s="4" t="s">
        <v>45</v>
      </c>
    </row>
    <row r="1183" ht="15.75" customHeight="1">
      <c r="A1183" s="8"/>
      <c r="B1183" s="4" t="s">
        <v>3754</v>
      </c>
      <c r="C1183" s="5">
        <v>0.0</v>
      </c>
      <c r="D1183" s="5">
        <v>1.0</v>
      </c>
      <c r="E1183" s="5">
        <f t="shared" si="2"/>
        <v>41770801</v>
      </c>
      <c r="F1183" s="4" t="s">
        <v>1201</v>
      </c>
      <c r="G1183" s="4" t="s">
        <v>2000</v>
      </c>
    </row>
    <row r="1184" ht="15.75" customHeight="1">
      <c r="A1184" s="8">
        <v>46183.0</v>
      </c>
      <c r="B1184" s="4" t="s">
        <v>3755</v>
      </c>
      <c r="C1184" s="5">
        <v>4.1770801E7</v>
      </c>
      <c r="D1184" s="5">
        <v>0.0</v>
      </c>
      <c r="E1184" s="5">
        <f t="shared" si="2"/>
        <v>0</v>
      </c>
      <c r="F1184" s="4" t="s">
        <v>93</v>
      </c>
      <c r="G1184" s="4" t="s">
        <v>93</v>
      </c>
      <c r="H1184" s="4" t="s">
        <v>170</v>
      </c>
    </row>
    <row r="1185" ht="15.75" customHeight="1">
      <c r="A1185" s="8">
        <v>46149.0</v>
      </c>
      <c r="B1185" s="4" t="s">
        <v>420</v>
      </c>
      <c r="C1185" s="5">
        <v>0.0</v>
      </c>
      <c r="D1185" s="5">
        <v>2.8973373E7</v>
      </c>
      <c r="E1185" s="5">
        <f t="shared" si="2"/>
        <v>28973373</v>
      </c>
      <c r="F1185" s="4" t="s">
        <v>21</v>
      </c>
      <c r="G1185" s="4" t="s">
        <v>136</v>
      </c>
      <c r="H1185" s="4" t="s">
        <v>28</v>
      </c>
    </row>
    <row r="1186" ht="15.75" customHeight="1">
      <c r="A1186" s="8">
        <v>46149.0</v>
      </c>
      <c r="B1186" s="4" t="s">
        <v>422</v>
      </c>
      <c r="C1186" s="5">
        <v>0.0</v>
      </c>
      <c r="D1186" s="5">
        <v>5692266.0</v>
      </c>
      <c r="E1186" s="5">
        <f t="shared" si="2"/>
        <v>34665639</v>
      </c>
      <c r="F1186" s="4" t="s">
        <v>21</v>
      </c>
      <c r="G1186" s="4" t="s">
        <v>136</v>
      </c>
      <c r="H1186" s="4" t="s">
        <v>28</v>
      </c>
    </row>
    <row r="1187" ht="15.75" customHeight="1">
      <c r="A1187" s="8">
        <v>46157.0</v>
      </c>
      <c r="B1187" s="4" t="s">
        <v>461</v>
      </c>
      <c r="C1187" s="5">
        <v>0.0</v>
      </c>
      <c r="D1187" s="5">
        <v>4.184533E7</v>
      </c>
      <c r="E1187" s="5">
        <f t="shared" si="2"/>
        <v>76510969</v>
      </c>
      <c r="F1187" s="4" t="s">
        <v>21</v>
      </c>
      <c r="G1187" s="4" t="s">
        <v>136</v>
      </c>
      <c r="H1187" s="4" t="s">
        <v>28</v>
      </c>
    </row>
    <row r="1188" ht="15.75" customHeight="1">
      <c r="A1188" s="8">
        <v>46071.0</v>
      </c>
      <c r="B1188" s="4" t="s">
        <v>3450</v>
      </c>
      <c r="C1188" s="5">
        <v>1618700.0</v>
      </c>
      <c r="D1188" s="5">
        <v>0.0</v>
      </c>
      <c r="E1188" s="5">
        <f t="shared" si="2"/>
        <v>74892269</v>
      </c>
      <c r="F1188" s="4" t="s">
        <v>105</v>
      </c>
      <c r="G1188" s="4" t="s">
        <v>3451</v>
      </c>
      <c r="H1188" s="4" t="s">
        <v>72</v>
      </c>
      <c r="I1188" s="4" t="s">
        <v>6</v>
      </c>
    </row>
    <row r="1189" ht="15.75" customHeight="1">
      <c r="A1189" s="8">
        <v>46076.0</v>
      </c>
      <c r="B1189" s="14" t="s">
        <v>3756</v>
      </c>
      <c r="C1189" s="5">
        <v>3725000.0</v>
      </c>
      <c r="D1189" s="5">
        <v>0.0</v>
      </c>
      <c r="E1189" s="5">
        <f t="shared" si="2"/>
        <v>71167269</v>
      </c>
      <c r="F1189" s="14" t="s">
        <v>24</v>
      </c>
      <c r="G1189" s="14" t="s">
        <v>198</v>
      </c>
      <c r="H1189" s="14" t="s">
        <v>72</v>
      </c>
      <c r="I1189" s="14" t="s">
        <v>6</v>
      </c>
      <c r="J1189" s="14"/>
      <c r="K1189" s="14"/>
      <c r="L1189" s="14"/>
    </row>
    <row r="1190" ht="15.75" customHeight="1">
      <c r="A1190" s="8">
        <v>46083.0</v>
      </c>
      <c r="B1190" s="4" t="s">
        <v>3432</v>
      </c>
      <c r="C1190" s="5">
        <v>10000.0</v>
      </c>
      <c r="D1190" s="5">
        <v>0.0</v>
      </c>
      <c r="E1190" s="5">
        <f t="shared" si="2"/>
        <v>71157269</v>
      </c>
      <c r="F1190" s="4" t="s">
        <v>43</v>
      </c>
      <c r="G1190" s="4" t="s">
        <v>45</v>
      </c>
    </row>
    <row r="1191" ht="15.75" customHeight="1">
      <c r="A1191" s="8">
        <v>46055.0</v>
      </c>
      <c r="B1191" s="4" t="s">
        <v>3757</v>
      </c>
      <c r="C1191" s="5">
        <v>300786.0</v>
      </c>
      <c r="D1191" s="5">
        <v>0.0</v>
      </c>
      <c r="E1191" s="5">
        <f t="shared" si="2"/>
        <v>70856483</v>
      </c>
      <c r="F1191" s="4" t="s">
        <v>1201</v>
      </c>
      <c r="G1191" s="4" t="s">
        <v>124</v>
      </c>
    </row>
    <row r="1192" ht="15.75" customHeight="1">
      <c r="A1192" s="8">
        <v>46072.0</v>
      </c>
      <c r="B1192" s="4" t="s">
        <v>3758</v>
      </c>
      <c r="C1192" s="5">
        <v>1200000.0</v>
      </c>
      <c r="D1192" s="5">
        <v>0.0</v>
      </c>
      <c r="E1192" s="5">
        <f t="shared" si="2"/>
        <v>69656483</v>
      </c>
      <c r="F1192" s="4" t="s">
        <v>24</v>
      </c>
      <c r="G1192" s="4" t="s">
        <v>125</v>
      </c>
      <c r="H1192" s="4" t="s">
        <v>359</v>
      </c>
    </row>
    <row r="1193" ht="15.75" customHeight="1">
      <c r="A1193" s="8">
        <v>46056.0</v>
      </c>
      <c r="B1193" s="4" t="s">
        <v>3759</v>
      </c>
      <c r="C1193" s="5">
        <v>398000.0</v>
      </c>
      <c r="D1193" s="5">
        <v>0.0</v>
      </c>
      <c r="E1193" s="5">
        <f t="shared" si="2"/>
        <v>69258483</v>
      </c>
      <c r="F1193" s="4" t="s">
        <v>50</v>
      </c>
      <c r="G1193" s="4" t="s">
        <v>245</v>
      </c>
      <c r="H1193" s="4" t="s">
        <v>413</v>
      </c>
    </row>
    <row r="1194" ht="15.75" customHeight="1">
      <c r="A1194" s="8">
        <v>46058.0</v>
      </c>
      <c r="B1194" s="4" t="s">
        <v>3760</v>
      </c>
      <c r="C1194" s="5">
        <v>311160.0</v>
      </c>
      <c r="D1194" s="5">
        <v>0.0</v>
      </c>
      <c r="E1194" s="5">
        <f t="shared" si="2"/>
        <v>68947323</v>
      </c>
      <c r="F1194" s="4" t="s">
        <v>50</v>
      </c>
      <c r="G1194" s="4" t="s">
        <v>245</v>
      </c>
      <c r="H1194" s="4" t="s">
        <v>413</v>
      </c>
    </row>
    <row r="1195" ht="15.75" customHeight="1">
      <c r="A1195" s="8">
        <v>46058.0</v>
      </c>
      <c r="B1195" s="4" t="s">
        <v>3761</v>
      </c>
      <c r="C1195" s="5">
        <v>184000.0</v>
      </c>
      <c r="D1195" s="5">
        <v>0.0</v>
      </c>
      <c r="E1195" s="5">
        <f t="shared" si="2"/>
        <v>68763323</v>
      </c>
      <c r="F1195" s="4" t="s">
        <v>1471</v>
      </c>
      <c r="G1195" s="4" t="s">
        <v>1579</v>
      </c>
    </row>
    <row r="1196" ht="15.75" customHeight="1">
      <c r="A1196" s="8">
        <v>46059.0</v>
      </c>
      <c r="B1196" s="4" t="s">
        <v>3762</v>
      </c>
      <c r="C1196" s="5">
        <v>138294.0</v>
      </c>
      <c r="D1196" s="5">
        <v>0.0</v>
      </c>
      <c r="E1196" s="5">
        <f t="shared" si="2"/>
        <v>68625029</v>
      </c>
      <c r="F1196" s="4" t="s">
        <v>2464</v>
      </c>
      <c r="G1196" s="4" t="s">
        <v>59</v>
      </c>
      <c r="H1196" s="4" t="s">
        <v>68</v>
      </c>
    </row>
    <row r="1197" ht="15.75" customHeight="1">
      <c r="A1197" s="8">
        <v>46061.0</v>
      </c>
      <c r="B1197" s="4" t="s">
        <v>3763</v>
      </c>
      <c r="C1197" s="5">
        <v>97900.0</v>
      </c>
      <c r="D1197" s="5">
        <v>0.0</v>
      </c>
      <c r="E1197" s="5">
        <f t="shared" si="2"/>
        <v>68527129</v>
      </c>
      <c r="F1197" s="4" t="s">
        <v>2464</v>
      </c>
      <c r="G1197" s="4" t="s">
        <v>59</v>
      </c>
      <c r="H1197" s="4" t="s">
        <v>332</v>
      </c>
    </row>
    <row r="1198" ht="15.75" customHeight="1">
      <c r="A1198" s="8">
        <v>46061.0</v>
      </c>
      <c r="B1198" s="4" t="s">
        <v>3764</v>
      </c>
      <c r="C1198" s="5">
        <v>6534000.0</v>
      </c>
      <c r="D1198" s="5">
        <v>0.0</v>
      </c>
      <c r="E1198" s="5">
        <f t="shared" si="2"/>
        <v>61993129</v>
      </c>
      <c r="F1198" s="4" t="s">
        <v>2464</v>
      </c>
      <c r="G1198" s="4" t="s">
        <v>59</v>
      </c>
      <c r="H1198" s="4" t="s">
        <v>332</v>
      </c>
    </row>
    <row r="1199" ht="15.75" customHeight="1">
      <c r="A1199" s="8">
        <v>46062.0</v>
      </c>
      <c r="B1199" s="4" t="s">
        <v>3765</v>
      </c>
      <c r="C1199" s="5">
        <v>1.10833E7</v>
      </c>
      <c r="D1199" s="5">
        <v>0.0</v>
      </c>
      <c r="E1199" s="5">
        <f t="shared" si="2"/>
        <v>50909829</v>
      </c>
      <c r="F1199" s="4" t="s">
        <v>2464</v>
      </c>
      <c r="G1199" s="4" t="s">
        <v>59</v>
      </c>
      <c r="H1199" s="4" t="s">
        <v>332</v>
      </c>
    </row>
    <row r="1200" ht="15.75" customHeight="1">
      <c r="A1200" s="8">
        <v>46063.0</v>
      </c>
      <c r="B1200" s="4" t="s">
        <v>3766</v>
      </c>
      <c r="C1200" s="5">
        <v>323130.0</v>
      </c>
      <c r="D1200" s="5">
        <v>0.0</v>
      </c>
      <c r="E1200" s="5">
        <f t="shared" si="2"/>
        <v>50586699</v>
      </c>
      <c r="F1200" s="4" t="s">
        <v>2464</v>
      </c>
      <c r="G1200" s="4" t="s">
        <v>59</v>
      </c>
      <c r="H1200" s="4" t="s">
        <v>332</v>
      </c>
    </row>
    <row r="1201" ht="15.75" customHeight="1">
      <c r="A1201" s="8">
        <v>46064.0</v>
      </c>
      <c r="B1201" s="4" t="s">
        <v>3767</v>
      </c>
      <c r="C1201" s="5">
        <v>70000.0</v>
      </c>
      <c r="D1201" s="5">
        <v>0.0</v>
      </c>
      <c r="E1201" s="5">
        <f t="shared" si="2"/>
        <v>50516699</v>
      </c>
      <c r="F1201" s="4" t="s">
        <v>105</v>
      </c>
      <c r="G1201" s="4" t="s">
        <v>3451</v>
      </c>
      <c r="H1201" s="4" t="s">
        <v>203</v>
      </c>
      <c r="I1201" s="4" t="s">
        <v>6</v>
      </c>
    </row>
    <row r="1202" ht="15.75" customHeight="1">
      <c r="A1202" s="8">
        <v>46064.0</v>
      </c>
      <c r="B1202" s="4" t="s">
        <v>3767</v>
      </c>
      <c r="C1202" s="5">
        <v>130000.0</v>
      </c>
      <c r="D1202" s="5">
        <v>0.0</v>
      </c>
      <c r="E1202" s="5">
        <f t="shared" si="2"/>
        <v>50386699</v>
      </c>
      <c r="F1202" s="4" t="s">
        <v>105</v>
      </c>
      <c r="G1202" s="4" t="s">
        <v>3451</v>
      </c>
      <c r="H1202" s="4" t="s">
        <v>203</v>
      </c>
      <c r="I1202" s="4" t="s">
        <v>6</v>
      </c>
    </row>
    <row r="1203" ht="15.75" customHeight="1">
      <c r="A1203" s="8">
        <v>46065.0</v>
      </c>
      <c r="B1203" s="4" t="s">
        <v>3768</v>
      </c>
      <c r="C1203" s="5">
        <v>356420.0</v>
      </c>
      <c r="D1203" s="5">
        <v>0.0</v>
      </c>
      <c r="E1203" s="5">
        <f t="shared" si="2"/>
        <v>50030279</v>
      </c>
      <c r="F1203" s="4" t="s">
        <v>50</v>
      </c>
      <c r="G1203" s="4" t="s">
        <v>245</v>
      </c>
      <c r="H1203" s="4" t="s">
        <v>413</v>
      </c>
    </row>
    <row r="1204" ht="15.75" customHeight="1">
      <c r="A1204" s="8">
        <v>46069.0</v>
      </c>
      <c r="B1204" s="4" t="s">
        <v>3769</v>
      </c>
      <c r="C1204" s="5">
        <v>147800.0</v>
      </c>
      <c r="D1204" s="5">
        <v>0.0</v>
      </c>
      <c r="E1204" s="5">
        <f t="shared" si="2"/>
        <v>49882479</v>
      </c>
      <c r="F1204" s="4" t="s">
        <v>1471</v>
      </c>
      <c r="G1204" s="4" t="s">
        <v>1579</v>
      </c>
    </row>
    <row r="1205" ht="15.75" customHeight="1">
      <c r="A1205" s="8">
        <v>46070.0</v>
      </c>
      <c r="B1205" s="4" t="s">
        <v>3770</v>
      </c>
      <c r="C1205" s="5">
        <v>2055500.0</v>
      </c>
      <c r="D1205" s="5">
        <v>0.0</v>
      </c>
      <c r="E1205" s="5">
        <f t="shared" si="2"/>
        <v>47826979</v>
      </c>
      <c r="F1205" s="4" t="s">
        <v>105</v>
      </c>
      <c r="G1205" s="4" t="s">
        <v>3451</v>
      </c>
      <c r="H1205" s="4" t="s">
        <v>203</v>
      </c>
      <c r="I1205" s="4" t="s">
        <v>6</v>
      </c>
    </row>
    <row r="1206" ht="15.75" customHeight="1">
      <c r="A1206" s="8">
        <v>46073.0</v>
      </c>
      <c r="B1206" s="4" t="s">
        <v>3771</v>
      </c>
      <c r="C1206" s="5">
        <v>331600.0</v>
      </c>
      <c r="D1206" s="5">
        <v>0.0</v>
      </c>
      <c r="E1206" s="5">
        <f t="shared" si="2"/>
        <v>47495379</v>
      </c>
      <c r="F1206" s="4" t="s">
        <v>50</v>
      </c>
      <c r="G1206" s="4" t="s">
        <v>245</v>
      </c>
      <c r="H1206" s="4" t="s">
        <v>246</v>
      </c>
    </row>
    <row r="1207" ht="15.75" customHeight="1">
      <c r="A1207" s="8">
        <v>46077.0</v>
      </c>
      <c r="B1207" s="4" t="s">
        <v>3772</v>
      </c>
      <c r="C1207" s="5">
        <v>76000.0</v>
      </c>
      <c r="D1207" s="5">
        <v>0.0</v>
      </c>
      <c r="E1207" s="5">
        <f t="shared" si="2"/>
        <v>47419379</v>
      </c>
      <c r="F1207" s="4" t="s">
        <v>1471</v>
      </c>
      <c r="G1207" s="4" t="s">
        <v>1579</v>
      </c>
    </row>
    <row r="1208" ht="15.75" customHeight="1">
      <c r="A1208" s="8">
        <v>46075.0</v>
      </c>
      <c r="B1208" s="4" t="s">
        <v>3773</v>
      </c>
      <c r="C1208" s="5">
        <v>325686.0</v>
      </c>
      <c r="D1208" s="5">
        <v>0.0</v>
      </c>
      <c r="E1208" s="5">
        <f t="shared" si="2"/>
        <v>47093693</v>
      </c>
      <c r="F1208" s="4" t="s">
        <v>50</v>
      </c>
      <c r="G1208" s="4" t="s">
        <v>178</v>
      </c>
      <c r="H1208" s="4" t="s">
        <v>6</v>
      </c>
      <c r="I1208" s="4" t="s">
        <v>6</v>
      </c>
    </row>
    <row r="1209" ht="15.75" customHeight="1">
      <c r="A1209" s="8">
        <v>46078.0</v>
      </c>
      <c r="B1209" s="4" t="s">
        <v>3774</v>
      </c>
      <c r="C1209" s="5">
        <v>307450.0</v>
      </c>
      <c r="D1209" s="5">
        <v>0.0</v>
      </c>
      <c r="E1209" s="5">
        <f t="shared" si="2"/>
        <v>46786243</v>
      </c>
      <c r="F1209" s="4" t="s">
        <v>1471</v>
      </c>
      <c r="G1209" s="4" t="s">
        <v>1579</v>
      </c>
    </row>
    <row r="1210" ht="15.75" customHeight="1">
      <c r="A1210" s="8">
        <v>46079.0</v>
      </c>
      <c r="B1210" s="4" t="s">
        <v>3775</v>
      </c>
      <c r="C1210" s="5">
        <v>332900.0</v>
      </c>
      <c r="D1210" s="5">
        <v>0.0</v>
      </c>
      <c r="E1210" s="5">
        <f t="shared" si="2"/>
        <v>46453343</v>
      </c>
      <c r="F1210" s="4" t="s">
        <v>50</v>
      </c>
      <c r="G1210" s="4" t="s">
        <v>245</v>
      </c>
      <c r="H1210" s="4" t="s">
        <v>246</v>
      </c>
    </row>
    <row r="1211" ht="15.75" customHeight="1">
      <c r="A1211" s="8">
        <v>46084.0</v>
      </c>
      <c r="B1211" s="4" t="s">
        <v>3776</v>
      </c>
      <c r="C1211" s="5">
        <v>551960.0</v>
      </c>
      <c r="D1211" s="5">
        <v>0.0</v>
      </c>
      <c r="E1211" s="5">
        <f t="shared" si="2"/>
        <v>45901383</v>
      </c>
      <c r="F1211" s="4" t="s">
        <v>2464</v>
      </c>
      <c r="G1211" s="4" t="s">
        <v>59</v>
      </c>
      <c r="H1211" s="4" t="s">
        <v>404</v>
      </c>
    </row>
    <row r="1212" ht="15.75" customHeight="1">
      <c r="A1212" s="8">
        <v>46103.0</v>
      </c>
      <c r="B1212" s="4" t="s">
        <v>3777</v>
      </c>
      <c r="C1212" s="5">
        <v>53537.0</v>
      </c>
      <c r="D1212" s="5">
        <v>0.0</v>
      </c>
      <c r="E1212" s="5">
        <f t="shared" si="2"/>
        <v>45847846</v>
      </c>
      <c r="F1212" s="4" t="s">
        <v>43</v>
      </c>
      <c r="G1212" s="4" t="s">
        <v>1356</v>
      </c>
    </row>
    <row r="1213" ht="15.75" customHeight="1">
      <c r="A1213" s="8">
        <v>46114.0</v>
      </c>
      <c r="B1213" s="4" t="s">
        <v>3432</v>
      </c>
      <c r="C1213" s="5">
        <v>10000.0</v>
      </c>
      <c r="D1213" s="5">
        <v>0.0</v>
      </c>
      <c r="E1213" s="5">
        <f t="shared" si="2"/>
        <v>45837846</v>
      </c>
      <c r="F1213" s="4" t="s">
        <v>43</v>
      </c>
      <c r="G1213" s="4" t="s">
        <v>45</v>
      </c>
    </row>
    <row r="1214" ht="15.75" customHeight="1">
      <c r="A1214" s="8"/>
      <c r="B1214" s="4" t="s">
        <v>3778</v>
      </c>
      <c r="C1214" s="5">
        <v>117462.0</v>
      </c>
      <c r="D1214" s="5">
        <v>0.0</v>
      </c>
      <c r="E1214" s="5">
        <f t="shared" si="2"/>
        <v>45720384</v>
      </c>
      <c r="F1214" s="4" t="s">
        <v>43</v>
      </c>
      <c r="G1214" s="4" t="s">
        <v>1356</v>
      </c>
    </row>
    <row r="1215" ht="15.75" customHeight="1">
      <c r="A1215" s="8">
        <v>46094.0</v>
      </c>
      <c r="B1215" s="4" t="s">
        <v>3779</v>
      </c>
      <c r="C1215" s="5">
        <v>3196582.0</v>
      </c>
      <c r="D1215" s="5">
        <v>0.0</v>
      </c>
      <c r="E1215" s="5">
        <f t="shared" si="2"/>
        <v>42523802</v>
      </c>
      <c r="F1215" s="4" t="s">
        <v>2464</v>
      </c>
      <c r="G1215" s="4" t="s">
        <v>59</v>
      </c>
      <c r="H1215" s="4" t="s">
        <v>408</v>
      </c>
    </row>
    <row r="1216" ht="15.75" customHeight="1">
      <c r="A1216" s="8">
        <v>46092.0</v>
      </c>
      <c r="B1216" s="4" t="s">
        <v>3780</v>
      </c>
      <c r="C1216" s="5">
        <v>497350.0</v>
      </c>
      <c r="D1216" s="5">
        <v>0.0</v>
      </c>
      <c r="E1216" s="5">
        <f t="shared" si="2"/>
        <v>42026452</v>
      </c>
      <c r="F1216" s="4" t="s">
        <v>2464</v>
      </c>
      <c r="G1216" s="4" t="s">
        <v>59</v>
      </c>
      <c r="H1216" s="4" t="s">
        <v>408</v>
      </c>
    </row>
    <row r="1217" ht="15.75" customHeight="1">
      <c r="A1217" s="8">
        <v>46094.0</v>
      </c>
      <c r="B1217" s="4" t="s">
        <v>3781</v>
      </c>
      <c r="C1217" s="5">
        <v>0.0</v>
      </c>
      <c r="D1217" s="5">
        <v>34020.0</v>
      </c>
      <c r="E1217" s="5">
        <f t="shared" si="2"/>
        <v>42060472</v>
      </c>
      <c r="F1217" s="4" t="s">
        <v>1201</v>
      </c>
      <c r="G1217" s="4" t="s">
        <v>2000</v>
      </c>
    </row>
    <row r="1218" ht="15.75" customHeight="1">
      <c r="A1218" s="8">
        <v>46095.0</v>
      </c>
      <c r="B1218" s="4" t="s">
        <v>3779</v>
      </c>
      <c r="C1218" s="5">
        <v>198000.0</v>
      </c>
      <c r="D1218" s="5">
        <v>0.0</v>
      </c>
      <c r="E1218" s="5">
        <f t="shared" si="2"/>
        <v>41862472</v>
      </c>
      <c r="F1218" s="4" t="s">
        <v>2464</v>
      </c>
      <c r="G1218" s="4" t="s">
        <v>59</v>
      </c>
      <c r="H1218" s="4" t="s">
        <v>408</v>
      </c>
    </row>
    <row r="1219" ht="15.75" customHeight="1">
      <c r="A1219" s="8">
        <v>46095.0</v>
      </c>
      <c r="B1219" s="4" t="s">
        <v>3782</v>
      </c>
      <c r="C1219" s="5">
        <v>4902630.0</v>
      </c>
      <c r="D1219" s="5">
        <v>0.0</v>
      </c>
      <c r="E1219" s="5">
        <f t="shared" si="2"/>
        <v>36959842</v>
      </c>
      <c r="F1219" s="4" t="s">
        <v>2464</v>
      </c>
      <c r="G1219" s="4" t="s">
        <v>59</v>
      </c>
      <c r="H1219" s="4" t="s">
        <v>408</v>
      </c>
    </row>
    <row r="1220" ht="15.75" customHeight="1">
      <c r="A1220" s="8">
        <v>46094.0</v>
      </c>
      <c r="B1220" s="4" t="s">
        <v>3783</v>
      </c>
      <c r="C1220" s="5">
        <v>0.0</v>
      </c>
      <c r="D1220" s="5">
        <v>53582.0</v>
      </c>
      <c r="E1220" s="5">
        <f t="shared" si="2"/>
        <v>37013424</v>
      </c>
      <c r="F1220" s="4" t="s">
        <v>1201</v>
      </c>
      <c r="G1220" s="4" t="s">
        <v>2000</v>
      </c>
    </row>
    <row r="1221" ht="15.75" customHeight="1">
      <c r="A1221" s="8">
        <v>46094.0</v>
      </c>
      <c r="B1221" s="4" t="s">
        <v>3784</v>
      </c>
      <c r="C1221" s="5">
        <v>0.0</v>
      </c>
      <c r="D1221" s="5">
        <v>297335.0</v>
      </c>
      <c r="E1221" s="5">
        <f t="shared" si="2"/>
        <v>37310759</v>
      </c>
      <c r="F1221" s="4" t="s">
        <v>1201</v>
      </c>
      <c r="G1221" s="4" t="s">
        <v>2000</v>
      </c>
    </row>
    <row r="1222" ht="15.75" customHeight="1">
      <c r="A1222" s="8">
        <v>46093.0</v>
      </c>
      <c r="B1222" s="4" t="s">
        <v>3785</v>
      </c>
      <c r="C1222" s="5">
        <v>6631000.0</v>
      </c>
      <c r="D1222" s="5">
        <v>0.0</v>
      </c>
      <c r="E1222" s="5">
        <f t="shared" si="2"/>
        <v>30679759</v>
      </c>
      <c r="F1222" s="4" t="s">
        <v>2464</v>
      </c>
      <c r="G1222" s="4" t="s">
        <v>59</v>
      </c>
      <c r="H1222" s="4" t="s">
        <v>408</v>
      </c>
    </row>
    <row r="1223" ht="15.75" customHeight="1">
      <c r="A1223" s="8">
        <v>46096.0</v>
      </c>
      <c r="B1223" s="4" t="s">
        <v>3786</v>
      </c>
      <c r="C1223" s="5">
        <v>208000.0</v>
      </c>
      <c r="D1223" s="5">
        <v>0.0</v>
      </c>
      <c r="E1223" s="5">
        <f t="shared" si="2"/>
        <v>30471759</v>
      </c>
      <c r="F1223" s="4" t="s">
        <v>2464</v>
      </c>
      <c r="G1223" s="4" t="s">
        <v>59</v>
      </c>
      <c r="H1223" s="4" t="s">
        <v>408</v>
      </c>
    </row>
    <row r="1224" ht="15.75" customHeight="1">
      <c r="A1224" s="8">
        <v>46096.0</v>
      </c>
      <c r="B1224" s="4" t="s">
        <v>3786</v>
      </c>
      <c r="C1224" s="5">
        <v>2752100.0</v>
      </c>
      <c r="D1224" s="5">
        <v>0.0</v>
      </c>
      <c r="E1224" s="5">
        <f t="shared" si="2"/>
        <v>27719659</v>
      </c>
      <c r="F1224" s="4" t="s">
        <v>2464</v>
      </c>
      <c r="G1224" s="4" t="s">
        <v>59</v>
      </c>
      <c r="H1224" s="4" t="s">
        <v>408</v>
      </c>
    </row>
    <row r="1225" ht="15.75" customHeight="1">
      <c r="A1225" s="8">
        <v>46096.0</v>
      </c>
      <c r="B1225" s="4" t="s">
        <v>3787</v>
      </c>
      <c r="C1225" s="5">
        <v>78900.0</v>
      </c>
      <c r="D1225" s="5">
        <v>0.0</v>
      </c>
      <c r="E1225" s="5">
        <f t="shared" si="2"/>
        <v>27640759</v>
      </c>
      <c r="F1225" s="4" t="s">
        <v>2464</v>
      </c>
      <c r="G1225" s="4" t="s">
        <v>59</v>
      </c>
      <c r="H1225" s="4" t="s">
        <v>408</v>
      </c>
    </row>
    <row r="1226" ht="15.75" customHeight="1">
      <c r="A1226" s="8">
        <v>46095.0</v>
      </c>
      <c r="B1226" s="4" t="s">
        <v>3788</v>
      </c>
      <c r="C1226" s="5">
        <v>1542211.0</v>
      </c>
      <c r="D1226" s="5">
        <v>0.0</v>
      </c>
      <c r="E1226" s="5">
        <f t="shared" si="2"/>
        <v>26098548</v>
      </c>
      <c r="F1226" s="4" t="s">
        <v>2464</v>
      </c>
      <c r="G1226" s="4" t="s">
        <v>59</v>
      </c>
      <c r="H1226" s="4" t="s">
        <v>408</v>
      </c>
    </row>
    <row r="1227" ht="15.75" customHeight="1">
      <c r="A1227" s="8">
        <v>46103.0</v>
      </c>
      <c r="B1227" s="4" t="s">
        <v>3777</v>
      </c>
      <c r="C1227" s="5">
        <v>15008.0</v>
      </c>
      <c r="D1227" s="5">
        <v>0.0</v>
      </c>
      <c r="E1227" s="5">
        <f t="shared" si="2"/>
        <v>26083540</v>
      </c>
      <c r="F1227" s="4" t="s">
        <v>43</v>
      </c>
      <c r="G1227" s="4" t="s">
        <v>1356</v>
      </c>
    </row>
    <row r="1228" ht="15.75" customHeight="1">
      <c r="A1228" s="8">
        <v>46105.0</v>
      </c>
      <c r="B1228" s="4" t="s">
        <v>3789</v>
      </c>
      <c r="C1228" s="5">
        <v>3415900.0</v>
      </c>
      <c r="D1228" s="5">
        <v>0.0</v>
      </c>
      <c r="E1228" s="5">
        <f t="shared" si="2"/>
        <v>22667640</v>
      </c>
      <c r="F1228" s="4" t="s">
        <v>2464</v>
      </c>
      <c r="G1228" s="4" t="s">
        <v>59</v>
      </c>
      <c r="H1228" s="4" t="s">
        <v>61</v>
      </c>
    </row>
    <row r="1229" ht="15.75" customHeight="1">
      <c r="A1229" s="8">
        <v>46107.0</v>
      </c>
      <c r="B1229" s="4" t="s">
        <v>3790</v>
      </c>
      <c r="C1229" s="5">
        <v>3833200.0</v>
      </c>
      <c r="D1229" s="5">
        <v>0.0</v>
      </c>
      <c r="E1229" s="5">
        <f t="shared" si="2"/>
        <v>18834440</v>
      </c>
      <c r="F1229" s="4" t="s">
        <v>2464</v>
      </c>
      <c r="G1229" s="4" t="s">
        <v>59</v>
      </c>
      <c r="H1229" s="4" t="s">
        <v>61</v>
      </c>
    </row>
    <row r="1230" ht="15.75" customHeight="1">
      <c r="A1230" s="8">
        <v>46109.0</v>
      </c>
      <c r="B1230" s="4" t="s">
        <v>3791</v>
      </c>
      <c r="C1230" s="5">
        <v>4400000.0</v>
      </c>
      <c r="D1230" s="5">
        <v>0.0</v>
      </c>
      <c r="E1230" s="5">
        <f t="shared" si="2"/>
        <v>14434440</v>
      </c>
      <c r="F1230" s="4" t="s">
        <v>2464</v>
      </c>
      <c r="G1230" s="4" t="s">
        <v>59</v>
      </c>
      <c r="H1230" s="4" t="s">
        <v>1610</v>
      </c>
    </row>
    <row r="1231" ht="15.75" customHeight="1">
      <c r="A1231" s="8">
        <v>46112.0</v>
      </c>
      <c r="B1231" s="4" t="s">
        <v>3792</v>
      </c>
      <c r="C1231" s="5">
        <v>221087.0</v>
      </c>
      <c r="D1231" s="5">
        <v>0.0</v>
      </c>
      <c r="E1231" s="5">
        <f t="shared" si="2"/>
        <v>14213353</v>
      </c>
      <c r="F1231" s="4" t="s">
        <v>2464</v>
      </c>
      <c r="G1231" s="4" t="s">
        <v>59</v>
      </c>
      <c r="H1231" s="4" t="s">
        <v>61</v>
      </c>
    </row>
    <row r="1232" ht="15.75" customHeight="1">
      <c r="A1232" s="8">
        <v>46112.0</v>
      </c>
      <c r="B1232" s="4" t="s">
        <v>3793</v>
      </c>
      <c r="C1232" s="5">
        <v>319130.0</v>
      </c>
      <c r="D1232" s="5">
        <v>0.0</v>
      </c>
      <c r="E1232" s="5">
        <f t="shared" si="2"/>
        <v>13894223</v>
      </c>
      <c r="F1232" s="4" t="s">
        <v>2464</v>
      </c>
      <c r="G1232" s="4" t="s">
        <v>59</v>
      </c>
      <c r="H1232" s="4" t="s">
        <v>61</v>
      </c>
    </row>
    <row r="1233" ht="15.75" customHeight="1">
      <c r="A1233" s="8">
        <v>46113.0</v>
      </c>
      <c r="B1233" s="4" t="s">
        <v>3794</v>
      </c>
      <c r="C1233" s="5">
        <v>288623.0</v>
      </c>
      <c r="D1233" s="5">
        <v>0.0</v>
      </c>
      <c r="E1233" s="5">
        <f t="shared" si="2"/>
        <v>13605600</v>
      </c>
      <c r="F1233" s="4" t="s">
        <v>2464</v>
      </c>
      <c r="G1233" s="4" t="s">
        <v>59</v>
      </c>
      <c r="H1233" s="4" t="s">
        <v>61</v>
      </c>
    </row>
    <row r="1234" ht="15.75" customHeight="1">
      <c r="A1234" s="8">
        <v>46113.0</v>
      </c>
      <c r="B1234" s="4" t="s">
        <v>3795</v>
      </c>
      <c r="C1234" s="5">
        <v>2884001.0</v>
      </c>
      <c r="D1234" s="5">
        <v>0.0</v>
      </c>
      <c r="E1234" s="5">
        <f t="shared" si="2"/>
        <v>10721599</v>
      </c>
      <c r="F1234" s="4" t="s">
        <v>2464</v>
      </c>
      <c r="G1234" s="4" t="s">
        <v>59</v>
      </c>
      <c r="H1234" s="4" t="s">
        <v>61</v>
      </c>
    </row>
    <row r="1235" ht="15.75" customHeight="1">
      <c r="A1235" s="8">
        <v>46108.0</v>
      </c>
      <c r="B1235" s="4" t="s">
        <v>3796</v>
      </c>
      <c r="C1235" s="5">
        <v>2239000.0</v>
      </c>
      <c r="D1235" s="5">
        <v>0.0</v>
      </c>
      <c r="E1235" s="5">
        <f t="shared" si="2"/>
        <v>8482599</v>
      </c>
      <c r="F1235" s="4" t="s">
        <v>2464</v>
      </c>
      <c r="G1235" s="4" t="s">
        <v>59</v>
      </c>
      <c r="H1235" s="4" t="s">
        <v>61</v>
      </c>
    </row>
    <row r="1236" ht="15.75" customHeight="1">
      <c r="A1236" s="8">
        <v>46108.0</v>
      </c>
      <c r="B1236" s="4" t="s">
        <v>3797</v>
      </c>
      <c r="C1236" s="5">
        <v>270000.0</v>
      </c>
      <c r="D1236" s="5">
        <v>0.0</v>
      </c>
      <c r="E1236" s="5">
        <f t="shared" si="2"/>
        <v>8212599</v>
      </c>
      <c r="F1236" s="4" t="s">
        <v>2464</v>
      </c>
      <c r="G1236" s="4" t="s">
        <v>59</v>
      </c>
      <c r="H1236" s="4" t="s">
        <v>61</v>
      </c>
    </row>
    <row r="1237" ht="15.75" customHeight="1">
      <c r="A1237" s="8">
        <v>46108.0</v>
      </c>
      <c r="B1237" s="4" t="s">
        <v>3798</v>
      </c>
      <c r="C1237" s="5">
        <v>100000.0</v>
      </c>
      <c r="D1237" s="5">
        <v>0.0</v>
      </c>
      <c r="E1237" s="5">
        <f t="shared" si="2"/>
        <v>8112599</v>
      </c>
      <c r="F1237" s="4" t="s">
        <v>50</v>
      </c>
      <c r="G1237" s="4" t="s">
        <v>178</v>
      </c>
    </row>
    <row r="1238" ht="15.75" customHeight="1">
      <c r="A1238" s="8">
        <v>46114.0</v>
      </c>
      <c r="B1238" s="4" t="s">
        <v>3799</v>
      </c>
      <c r="C1238" s="5">
        <v>1626280.0</v>
      </c>
      <c r="D1238" s="5">
        <v>0.0</v>
      </c>
      <c r="E1238" s="5">
        <f t="shared" si="2"/>
        <v>6486319</v>
      </c>
      <c r="F1238" s="4" t="s">
        <v>2464</v>
      </c>
      <c r="G1238" s="4" t="s">
        <v>59</v>
      </c>
      <c r="H1238" s="4" t="s">
        <v>3800</v>
      </c>
    </row>
    <row r="1239" ht="15.75" customHeight="1">
      <c r="A1239" s="8"/>
      <c r="B1239" s="4" t="s">
        <v>3778</v>
      </c>
      <c r="C1239" s="5">
        <v>307669.0</v>
      </c>
      <c r="D1239" s="5">
        <v>0.0</v>
      </c>
      <c r="E1239" s="5">
        <f t="shared" si="2"/>
        <v>6178650</v>
      </c>
      <c r="F1239" s="4" t="s">
        <v>43</v>
      </c>
      <c r="G1239" s="4" t="s">
        <v>1356</v>
      </c>
    </row>
    <row r="1240" ht="15.75" customHeight="1">
      <c r="A1240" s="8">
        <v>46083.0</v>
      </c>
      <c r="B1240" s="4" t="s">
        <v>3801</v>
      </c>
      <c r="C1240" s="5">
        <v>373800.0</v>
      </c>
      <c r="D1240" s="5">
        <v>0.0</v>
      </c>
      <c r="E1240" s="5">
        <f t="shared" si="2"/>
        <v>5804850</v>
      </c>
      <c r="F1240" s="4" t="s">
        <v>50</v>
      </c>
      <c r="G1240" s="4" t="s">
        <v>245</v>
      </c>
      <c r="H1240" s="4" t="s">
        <v>413</v>
      </c>
    </row>
    <row r="1241" ht="15.75" customHeight="1">
      <c r="A1241" s="8">
        <v>46084.0</v>
      </c>
      <c r="B1241" s="4" t="s">
        <v>3802</v>
      </c>
      <c r="C1241" s="5">
        <v>75000.0</v>
      </c>
      <c r="D1241" s="5">
        <v>0.0</v>
      </c>
      <c r="E1241" s="5">
        <f t="shared" si="2"/>
        <v>5729850</v>
      </c>
      <c r="F1241" s="4" t="s">
        <v>2464</v>
      </c>
      <c r="G1241" s="4" t="s">
        <v>59</v>
      </c>
      <c r="H1241" s="15" t="s">
        <v>638</v>
      </c>
    </row>
    <row r="1242" ht="15.75" customHeight="1">
      <c r="A1242" s="8">
        <v>46086.0</v>
      </c>
      <c r="B1242" s="4" t="s">
        <v>3803</v>
      </c>
      <c r="C1242" s="5">
        <v>58000.0</v>
      </c>
      <c r="D1242" s="5">
        <v>0.0</v>
      </c>
      <c r="E1242" s="5">
        <f t="shared" si="2"/>
        <v>5671850</v>
      </c>
      <c r="F1242" s="4" t="s">
        <v>2464</v>
      </c>
      <c r="G1242" s="4" t="s">
        <v>59</v>
      </c>
      <c r="H1242" s="4" t="s">
        <v>404</v>
      </c>
    </row>
    <row r="1243" ht="15.75" customHeight="1">
      <c r="A1243" s="8">
        <v>46092.0</v>
      </c>
      <c r="B1243" s="4" t="s">
        <v>3804</v>
      </c>
      <c r="C1243" s="5">
        <v>127200.0</v>
      </c>
      <c r="D1243" s="5">
        <v>0.0</v>
      </c>
      <c r="E1243" s="5">
        <f t="shared" si="2"/>
        <v>5544650</v>
      </c>
      <c r="F1243" s="4" t="s">
        <v>1471</v>
      </c>
      <c r="G1243" s="4" t="s">
        <v>1579</v>
      </c>
    </row>
    <row r="1244" ht="15.75" customHeight="1">
      <c r="A1244" s="8">
        <v>46092.0</v>
      </c>
      <c r="B1244" s="4" t="s">
        <v>3805</v>
      </c>
      <c r="C1244" s="5">
        <v>716500.0</v>
      </c>
      <c r="D1244" s="5">
        <v>0.0</v>
      </c>
      <c r="E1244" s="5">
        <f t="shared" si="2"/>
        <v>4828150</v>
      </c>
      <c r="F1244" s="4" t="s">
        <v>2464</v>
      </c>
      <c r="G1244" s="4" t="s">
        <v>59</v>
      </c>
      <c r="H1244" s="4" t="s">
        <v>408</v>
      </c>
    </row>
    <row r="1245" ht="15.75" customHeight="1">
      <c r="A1245" s="8">
        <v>46092.0</v>
      </c>
      <c r="B1245" s="4" t="s">
        <v>3805</v>
      </c>
      <c r="C1245" s="5">
        <v>671000.0</v>
      </c>
      <c r="D1245" s="5">
        <v>0.0</v>
      </c>
      <c r="E1245" s="5">
        <f t="shared" si="2"/>
        <v>4157150</v>
      </c>
      <c r="F1245" s="4" t="s">
        <v>2464</v>
      </c>
      <c r="G1245" s="4" t="s">
        <v>59</v>
      </c>
      <c r="H1245" s="4" t="s">
        <v>408</v>
      </c>
    </row>
    <row r="1246" ht="15.75" customHeight="1">
      <c r="A1246" s="8">
        <v>46092.0</v>
      </c>
      <c r="B1246" s="4" t="s">
        <v>3806</v>
      </c>
      <c r="C1246" s="5">
        <v>1005300.0</v>
      </c>
      <c r="D1246" s="5">
        <v>0.0</v>
      </c>
      <c r="E1246" s="5">
        <f t="shared" si="2"/>
        <v>3151850</v>
      </c>
      <c r="F1246" s="4" t="s">
        <v>93</v>
      </c>
      <c r="G1246" s="4" t="s">
        <v>93</v>
      </c>
      <c r="H1246" s="14" t="s">
        <v>346</v>
      </c>
    </row>
    <row r="1247" ht="15.75" customHeight="1">
      <c r="A1247" s="8">
        <v>46092.0</v>
      </c>
      <c r="B1247" s="4" t="s">
        <v>3807</v>
      </c>
      <c r="C1247" s="5">
        <v>396190.0</v>
      </c>
      <c r="D1247" s="5">
        <v>0.0</v>
      </c>
      <c r="E1247" s="5">
        <f t="shared" si="2"/>
        <v>2755660</v>
      </c>
      <c r="F1247" s="4" t="s">
        <v>50</v>
      </c>
      <c r="G1247" s="4" t="s">
        <v>245</v>
      </c>
      <c r="H1247" s="4" t="s">
        <v>413</v>
      </c>
    </row>
    <row r="1248" ht="15.75" customHeight="1">
      <c r="A1248" s="8">
        <v>46092.0</v>
      </c>
      <c r="B1248" s="4" t="s">
        <v>3808</v>
      </c>
      <c r="C1248" s="5">
        <v>864800.0</v>
      </c>
      <c r="D1248" s="5">
        <v>0.0</v>
      </c>
      <c r="E1248" s="5">
        <f t="shared" si="2"/>
        <v>1890860</v>
      </c>
      <c r="F1248" s="4" t="s">
        <v>2464</v>
      </c>
      <c r="G1248" s="4" t="s">
        <v>59</v>
      </c>
      <c r="H1248" s="4" t="s">
        <v>408</v>
      </c>
    </row>
    <row r="1249" ht="15.75" customHeight="1">
      <c r="A1249" s="8">
        <v>46092.0</v>
      </c>
      <c r="B1249" s="4" t="s">
        <v>3806</v>
      </c>
      <c r="C1249" s="5">
        <v>267000.0</v>
      </c>
      <c r="D1249" s="5">
        <v>0.0</v>
      </c>
      <c r="E1249" s="5">
        <f t="shared" si="2"/>
        <v>1623860</v>
      </c>
      <c r="F1249" s="4" t="s">
        <v>93</v>
      </c>
      <c r="G1249" s="4" t="s">
        <v>93</v>
      </c>
      <c r="H1249" s="14" t="s">
        <v>346</v>
      </c>
    </row>
    <row r="1250" ht="15.75" customHeight="1">
      <c r="A1250" s="8">
        <v>46092.0</v>
      </c>
      <c r="B1250" s="4" t="s">
        <v>3806</v>
      </c>
      <c r="C1250" s="5">
        <v>0.0</v>
      </c>
      <c r="D1250" s="5">
        <v>267000.0</v>
      </c>
      <c r="E1250" s="5">
        <f t="shared" si="2"/>
        <v>1890860</v>
      </c>
      <c r="F1250" s="4" t="s">
        <v>93</v>
      </c>
      <c r="G1250" s="4" t="s">
        <v>93</v>
      </c>
      <c r="H1250" s="14" t="s">
        <v>346</v>
      </c>
    </row>
    <row r="1251" ht="15.75" customHeight="1">
      <c r="A1251" s="8">
        <v>46092.0</v>
      </c>
      <c r="B1251" s="4" t="s">
        <v>3806</v>
      </c>
      <c r="C1251" s="5">
        <v>0.0</v>
      </c>
      <c r="D1251" s="5">
        <v>1005300.0</v>
      </c>
      <c r="E1251" s="5">
        <f t="shared" si="2"/>
        <v>2896160</v>
      </c>
      <c r="F1251" s="4" t="s">
        <v>93</v>
      </c>
      <c r="G1251" s="4" t="s">
        <v>93</v>
      </c>
      <c r="H1251" s="14" t="s">
        <v>346</v>
      </c>
    </row>
    <row r="1252" ht="15.75" customHeight="1">
      <c r="A1252" s="8">
        <v>46103.0</v>
      </c>
      <c r="B1252" s="4" t="s">
        <v>3777</v>
      </c>
      <c r="C1252" s="5">
        <v>100000.0</v>
      </c>
      <c r="D1252" s="5">
        <v>0.0</v>
      </c>
      <c r="E1252" s="5">
        <f t="shared" si="2"/>
        <v>2796160</v>
      </c>
      <c r="F1252" s="4" t="s">
        <v>43</v>
      </c>
      <c r="G1252" s="4" t="s">
        <v>1356</v>
      </c>
    </row>
    <row r="1253" ht="15.75" customHeight="1">
      <c r="A1253" s="8">
        <v>46103.0</v>
      </c>
      <c r="B1253" s="4" t="s">
        <v>3809</v>
      </c>
      <c r="C1253" s="5">
        <v>328476.0</v>
      </c>
      <c r="D1253" s="5">
        <v>0.0</v>
      </c>
      <c r="E1253" s="5">
        <f t="shared" si="2"/>
        <v>2467684</v>
      </c>
      <c r="F1253" s="4" t="s">
        <v>50</v>
      </c>
      <c r="G1253" s="4" t="s">
        <v>178</v>
      </c>
      <c r="H1253" s="4" t="s">
        <v>6</v>
      </c>
      <c r="I1253" s="4" t="s">
        <v>6</v>
      </c>
    </row>
    <row r="1254" ht="15.75" customHeight="1">
      <c r="A1254" s="8"/>
      <c r="B1254" s="4" t="s">
        <v>3778</v>
      </c>
      <c r="C1254" s="5">
        <v>598916.0</v>
      </c>
      <c r="D1254" s="5">
        <v>0.0</v>
      </c>
      <c r="E1254" s="5">
        <f t="shared" si="2"/>
        <v>1868768</v>
      </c>
      <c r="F1254" s="4" t="s">
        <v>43</v>
      </c>
      <c r="G1254" s="4" t="s">
        <v>1356</v>
      </c>
    </row>
    <row r="1255" ht="15.75" customHeight="1">
      <c r="A1255" s="8">
        <v>46134.0</v>
      </c>
      <c r="B1255" s="4" t="s">
        <v>3777</v>
      </c>
      <c r="C1255" s="5">
        <v>55347.0</v>
      </c>
      <c r="D1255" s="5">
        <v>0.0</v>
      </c>
      <c r="E1255" s="5">
        <f t="shared" si="2"/>
        <v>1813421</v>
      </c>
      <c r="F1255" s="4" t="s">
        <v>43</v>
      </c>
      <c r="G1255" s="4" t="s">
        <v>1356</v>
      </c>
    </row>
    <row r="1256" ht="15.75" customHeight="1">
      <c r="A1256" s="8">
        <v>46144.0</v>
      </c>
      <c r="B1256" s="4" t="s">
        <v>3432</v>
      </c>
      <c r="C1256" s="5">
        <v>10000.0</v>
      </c>
      <c r="D1256" s="5">
        <v>0.0</v>
      </c>
      <c r="E1256" s="5">
        <f t="shared" si="2"/>
        <v>1803421</v>
      </c>
      <c r="F1256" s="4" t="s">
        <v>43</v>
      </c>
      <c r="G1256" s="4" t="s">
        <v>45</v>
      </c>
    </row>
    <row r="1257" ht="15.75" customHeight="1">
      <c r="A1257" s="8"/>
      <c r="B1257" s="4" t="s">
        <v>3778</v>
      </c>
      <c r="C1257" s="5">
        <v>92220.0</v>
      </c>
      <c r="D1257" s="5">
        <v>0.0</v>
      </c>
      <c r="E1257" s="5">
        <f t="shared" si="2"/>
        <v>1711201</v>
      </c>
      <c r="F1257" s="4" t="s">
        <v>43</v>
      </c>
      <c r="G1257" s="4" t="s">
        <v>1356</v>
      </c>
    </row>
    <row r="1258" ht="15.75" customHeight="1">
      <c r="A1258" s="8">
        <v>46134.0</v>
      </c>
      <c r="B1258" s="4" t="s">
        <v>3777</v>
      </c>
      <c r="C1258" s="5">
        <v>100000.0</v>
      </c>
      <c r="D1258" s="5">
        <v>0.0</v>
      </c>
      <c r="E1258" s="5">
        <f t="shared" si="2"/>
        <v>1611201</v>
      </c>
      <c r="F1258" s="4" t="s">
        <v>43</v>
      </c>
      <c r="G1258" s="4" t="s">
        <v>1356</v>
      </c>
    </row>
    <row r="1259" ht="15.75" customHeight="1">
      <c r="A1259" s="8"/>
      <c r="B1259" s="4" t="s">
        <v>3778</v>
      </c>
      <c r="C1259" s="5">
        <v>702810.0</v>
      </c>
      <c r="D1259" s="5">
        <v>0.0</v>
      </c>
      <c r="E1259" s="5">
        <f t="shared" si="2"/>
        <v>908391</v>
      </c>
      <c r="F1259" s="4" t="s">
        <v>43</v>
      </c>
      <c r="G1259" s="4" t="s">
        <v>1356</v>
      </c>
    </row>
    <row r="1260" ht="15.75" customHeight="1">
      <c r="A1260" s="8">
        <v>46134.0</v>
      </c>
      <c r="B1260" s="4" t="s">
        <v>3777</v>
      </c>
      <c r="C1260" s="5">
        <v>100000.0</v>
      </c>
      <c r="D1260" s="5">
        <v>0.0</v>
      </c>
      <c r="E1260" s="5">
        <f t="shared" si="2"/>
        <v>808391</v>
      </c>
      <c r="F1260" s="4" t="s">
        <v>43</v>
      </c>
      <c r="G1260" s="4" t="s">
        <v>1356</v>
      </c>
    </row>
    <row r="1261" ht="15.75" customHeight="1">
      <c r="A1261" s="8"/>
      <c r="B1261" s="4" t="s">
        <v>3810</v>
      </c>
      <c r="C1261" s="5">
        <v>334343.0</v>
      </c>
      <c r="D1261" s="5">
        <v>0.0</v>
      </c>
      <c r="E1261" s="5">
        <f t="shared" si="2"/>
        <v>474048</v>
      </c>
      <c r="F1261" s="4" t="s">
        <v>50</v>
      </c>
      <c r="G1261" s="4" t="s">
        <v>178</v>
      </c>
    </row>
    <row r="1262" ht="15.75" customHeight="1">
      <c r="A1262" s="8"/>
      <c r="B1262" s="4" t="s">
        <v>3778</v>
      </c>
      <c r="C1262" s="5">
        <v>474048.0</v>
      </c>
      <c r="D1262" s="5">
        <v>0.0</v>
      </c>
      <c r="E1262" s="5">
        <f t="shared" si="2"/>
        <v>0</v>
      </c>
      <c r="F1262" s="4" t="s">
        <v>43</v>
      </c>
      <c r="G1262" s="4" t="s">
        <v>1356</v>
      </c>
    </row>
    <row r="1263" ht="15.75" customHeight="1">
      <c r="A1263" s="8">
        <v>46177.0</v>
      </c>
      <c r="B1263" s="4" t="s">
        <v>3811</v>
      </c>
      <c r="C1263" s="5">
        <v>0.0</v>
      </c>
      <c r="D1263" s="5">
        <v>4.643289E7</v>
      </c>
      <c r="E1263" s="5">
        <f t="shared" si="2"/>
        <v>46432890</v>
      </c>
      <c r="F1263" s="4" t="s">
        <v>21</v>
      </c>
      <c r="G1263" s="4" t="s">
        <v>448</v>
      </c>
      <c r="H1263" s="4" t="s">
        <v>70</v>
      </c>
    </row>
    <row r="1264" ht="15.75" customHeight="1">
      <c r="A1264" s="8">
        <v>46128.0</v>
      </c>
      <c r="B1264" s="4" t="s">
        <v>3812</v>
      </c>
      <c r="C1264" s="5">
        <v>285620.0</v>
      </c>
      <c r="D1264" s="5">
        <v>0.0</v>
      </c>
      <c r="E1264" s="5">
        <f t="shared" si="2"/>
        <v>46147270</v>
      </c>
      <c r="F1264" s="4" t="s">
        <v>50</v>
      </c>
      <c r="G1264" s="4" t="s">
        <v>245</v>
      </c>
      <c r="H1264" s="4" t="s">
        <v>246</v>
      </c>
    </row>
    <row r="1265" ht="15.75" customHeight="1">
      <c r="A1265" s="8">
        <v>46132.0</v>
      </c>
      <c r="B1265" s="4" t="s">
        <v>3813</v>
      </c>
      <c r="C1265" s="5">
        <v>930755.0</v>
      </c>
      <c r="D1265" s="5">
        <v>0.0</v>
      </c>
      <c r="E1265" s="5">
        <f t="shared" si="2"/>
        <v>45216515</v>
      </c>
      <c r="F1265" s="4" t="s">
        <v>1471</v>
      </c>
      <c r="G1265" s="4" t="s">
        <v>1579</v>
      </c>
    </row>
    <row r="1266" ht="15.75" customHeight="1">
      <c r="A1266" s="8">
        <v>46135.0</v>
      </c>
      <c r="B1266" s="4" t="s">
        <v>3814</v>
      </c>
      <c r="C1266" s="5">
        <v>7500.0</v>
      </c>
      <c r="D1266" s="5">
        <v>0.0</v>
      </c>
      <c r="E1266" s="5">
        <f t="shared" si="2"/>
        <v>45209015</v>
      </c>
      <c r="F1266" s="4" t="s">
        <v>43</v>
      </c>
      <c r="G1266" s="4" t="s">
        <v>45</v>
      </c>
    </row>
    <row r="1267" ht="15.75" customHeight="1">
      <c r="A1267" s="8">
        <v>46137.0</v>
      </c>
      <c r="B1267" s="4" t="s">
        <v>3815</v>
      </c>
      <c r="C1267" s="5">
        <v>9033450.0</v>
      </c>
      <c r="D1267" s="5">
        <v>0.0</v>
      </c>
      <c r="E1267" s="5">
        <f t="shared" si="2"/>
        <v>36175565</v>
      </c>
      <c r="F1267" s="4" t="s">
        <v>50</v>
      </c>
      <c r="G1267" s="4" t="s">
        <v>3816</v>
      </c>
    </row>
    <row r="1268" ht="15.75" customHeight="1">
      <c r="A1268" s="8">
        <v>46142.0</v>
      </c>
      <c r="B1268" s="4" t="s">
        <v>3817</v>
      </c>
      <c r="C1268" s="5">
        <v>357550.0</v>
      </c>
      <c r="D1268" s="5">
        <v>0.0</v>
      </c>
      <c r="E1268" s="5">
        <f t="shared" si="2"/>
        <v>35818015</v>
      </c>
      <c r="F1268" s="4" t="s">
        <v>50</v>
      </c>
      <c r="G1268" s="4" t="s">
        <v>245</v>
      </c>
      <c r="H1268" s="4" t="s">
        <v>246</v>
      </c>
    </row>
    <row r="1269" ht="15.75" customHeight="1">
      <c r="A1269" s="8">
        <v>46144.0</v>
      </c>
      <c r="B1269" s="4" t="s">
        <v>3818</v>
      </c>
      <c r="C1269" s="5">
        <v>375950.0</v>
      </c>
      <c r="D1269" s="5">
        <v>0.0</v>
      </c>
      <c r="E1269" s="5">
        <f t="shared" si="2"/>
        <v>35442065</v>
      </c>
      <c r="F1269" s="4" t="s">
        <v>50</v>
      </c>
      <c r="G1269" s="4" t="s">
        <v>3816</v>
      </c>
    </row>
    <row r="1270" ht="15.75" customHeight="1">
      <c r="A1270" s="8">
        <v>46144.0</v>
      </c>
      <c r="B1270" s="14" t="s">
        <v>3819</v>
      </c>
      <c r="C1270" s="5">
        <v>3969100.0</v>
      </c>
      <c r="D1270" s="5">
        <v>0.0</v>
      </c>
      <c r="E1270" s="5">
        <f t="shared" si="2"/>
        <v>31472965</v>
      </c>
      <c r="F1270" s="14" t="s">
        <v>50</v>
      </c>
      <c r="G1270" s="14" t="s">
        <v>1988</v>
      </c>
      <c r="H1270" s="14"/>
      <c r="I1270" s="14"/>
      <c r="J1270" s="14"/>
      <c r="K1270" s="14"/>
      <c r="L1270" s="14"/>
    </row>
    <row r="1271" ht="15.75" customHeight="1">
      <c r="A1271" s="8">
        <v>46147.0</v>
      </c>
      <c r="B1271" s="4" t="s">
        <v>3777</v>
      </c>
      <c r="C1271" s="5">
        <v>100000.0</v>
      </c>
      <c r="D1271" s="5">
        <v>0.0</v>
      </c>
      <c r="E1271" s="5">
        <f t="shared" si="2"/>
        <v>31372965</v>
      </c>
      <c r="F1271" s="4" t="s">
        <v>43</v>
      </c>
      <c r="G1271" s="4" t="s">
        <v>1356</v>
      </c>
    </row>
    <row r="1272" ht="15.75" customHeight="1">
      <c r="A1272" s="8">
        <v>46147.0</v>
      </c>
      <c r="B1272" s="4" t="s">
        <v>3820</v>
      </c>
      <c r="C1272" s="5">
        <v>377500.0</v>
      </c>
      <c r="D1272" s="5">
        <v>0.0</v>
      </c>
      <c r="E1272" s="5">
        <f t="shared" si="2"/>
        <v>30995465</v>
      </c>
      <c r="F1272" s="4" t="s">
        <v>2464</v>
      </c>
      <c r="G1272" s="4" t="s">
        <v>59</v>
      </c>
      <c r="H1272" s="14" t="s">
        <v>683</v>
      </c>
    </row>
    <row r="1273" ht="15.75" customHeight="1">
      <c r="A1273" s="8">
        <v>46147.0</v>
      </c>
      <c r="B1273" s="4" t="s">
        <v>3821</v>
      </c>
      <c r="C1273" s="5">
        <v>109874.0</v>
      </c>
      <c r="D1273" s="5">
        <v>0.0</v>
      </c>
      <c r="E1273" s="5">
        <f t="shared" si="2"/>
        <v>30885591</v>
      </c>
      <c r="F1273" s="4" t="s">
        <v>1471</v>
      </c>
      <c r="G1273" s="4" t="s">
        <v>1579</v>
      </c>
    </row>
    <row r="1274" ht="15.75" customHeight="1">
      <c r="A1274" s="8">
        <v>46147.0</v>
      </c>
      <c r="B1274" s="4" t="s">
        <v>3822</v>
      </c>
      <c r="C1274" s="5">
        <v>231420.0</v>
      </c>
      <c r="D1274" s="5">
        <v>0.0</v>
      </c>
      <c r="E1274" s="5">
        <f t="shared" si="2"/>
        <v>30654171</v>
      </c>
      <c r="F1274" s="4" t="s">
        <v>1471</v>
      </c>
      <c r="G1274" s="4" t="s">
        <v>1579</v>
      </c>
    </row>
    <row r="1275" ht="15.75" customHeight="1">
      <c r="A1275" s="8">
        <v>46147.0</v>
      </c>
      <c r="B1275" s="4" t="s">
        <v>3823</v>
      </c>
      <c r="C1275" s="5">
        <v>290000.0</v>
      </c>
      <c r="D1275" s="5">
        <v>0.0</v>
      </c>
      <c r="E1275" s="5">
        <f t="shared" si="2"/>
        <v>30364171</v>
      </c>
      <c r="F1275" s="4" t="s">
        <v>2464</v>
      </c>
      <c r="G1275" s="4" t="s">
        <v>59</v>
      </c>
      <c r="H1275" s="14" t="s">
        <v>683</v>
      </c>
    </row>
    <row r="1276" ht="15.75" customHeight="1">
      <c r="A1276" s="8">
        <v>46148.0</v>
      </c>
      <c r="B1276" s="4" t="s">
        <v>3824</v>
      </c>
      <c r="C1276" s="5">
        <v>329731.0</v>
      </c>
      <c r="D1276" s="5">
        <v>0.0</v>
      </c>
      <c r="E1276" s="5">
        <f t="shared" si="2"/>
        <v>30034440</v>
      </c>
      <c r="F1276" s="4" t="s">
        <v>2464</v>
      </c>
      <c r="G1276" s="4" t="s">
        <v>59</v>
      </c>
      <c r="H1276" s="14" t="s">
        <v>683</v>
      </c>
    </row>
    <row r="1277" ht="15.75" customHeight="1">
      <c r="A1277" s="8">
        <v>46149.0</v>
      </c>
      <c r="B1277" s="4" t="s">
        <v>3825</v>
      </c>
      <c r="C1277" s="5">
        <v>2.22E7</v>
      </c>
      <c r="D1277" s="5">
        <v>0.0</v>
      </c>
      <c r="E1277" s="5">
        <f t="shared" si="2"/>
        <v>7834440</v>
      </c>
      <c r="F1277" s="4" t="s">
        <v>2464</v>
      </c>
      <c r="G1277" s="4" t="s">
        <v>59</v>
      </c>
      <c r="H1277" s="14" t="s">
        <v>683</v>
      </c>
    </row>
    <row r="1278" ht="15.75" customHeight="1">
      <c r="A1278" s="8">
        <v>46150.0</v>
      </c>
      <c r="B1278" s="4" t="s">
        <v>3826</v>
      </c>
      <c r="C1278" s="5">
        <v>4012000.0</v>
      </c>
      <c r="D1278" s="5">
        <v>0.0</v>
      </c>
      <c r="E1278" s="5">
        <f t="shared" si="2"/>
        <v>3822440</v>
      </c>
      <c r="F1278" s="4" t="s">
        <v>2464</v>
      </c>
      <c r="G1278" s="4" t="s">
        <v>59</v>
      </c>
      <c r="H1278" s="14" t="s">
        <v>683</v>
      </c>
    </row>
    <row r="1279" ht="15.75" customHeight="1">
      <c r="A1279" s="8">
        <v>46156.0</v>
      </c>
      <c r="B1279" s="4" t="s">
        <v>3827</v>
      </c>
      <c r="C1279" s="5">
        <v>366000.0</v>
      </c>
      <c r="D1279" s="5">
        <v>0.0</v>
      </c>
      <c r="E1279" s="5">
        <f t="shared" si="2"/>
        <v>3456440</v>
      </c>
      <c r="F1279" s="4" t="s">
        <v>50</v>
      </c>
      <c r="G1279" s="4" t="s">
        <v>245</v>
      </c>
      <c r="H1279" s="4" t="s">
        <v>246</v>
      </c>
    </row>
    <row r="1280" ht="15.75" customHeight="1">
      <c r="A1280" s="8">
        <v>46161.0</v>
      </c>
      <c r="B1280" s="4" t="s">
        <v>3432</v>
      </c>
      <c r="C1280" s="5">
        <v>10000.0</v>
      </c>
      <c r="D1280" s="5">
        <v>0.0</v>
      </c>
      <c r="E1280" s="5">
        <f t="shared" si="2"/>
        <v>3446440</v>
      </c>
      <c r="F1280" s="4" t="s">
        <v>43</v>
      </c>
      <c r="G1280" s="4" t="s">
        <v>45</v>
      </c>
    </row>
    <row r="1281" ht="15.75" customHeight="1">
      <c r="A1281" s="8">
        <v>46161.0</v>
      </c>
      <c r="B1281" s="4" t="s">
        <v>3828</v>
      </c>
      <c r="C1281" s="5">
        <v>3446440.0</v>
      </c>
      <c r="D1281" s="5">
        <v>0.0</v>
      </c>
      <c r="E1281" s="5">
        <f t="shared" si="2"/>
        <v>0</v>
      </c>
      <c r="F1281" s="4" t="s">
        <v>43</v>
      </c>
      <c r="G1281" s="4" t="s">
        <v>1356</v>
      </c>
    </row>
    <row r="1282" ht="15.75" customHeight="1">
      <c r="A1282" s="8">
        <v>46177.0</v>
      </c>
      <c r="B1282" s="4" t="s">
        <v>3829</v>
      </c>
      <c r="C1282" s="5">
        <v>0.0</v>
      </c>
      <c r="D1282" s="5">
        <v>1.41302019E8</v>
      </c>
      <c r="E1282" s="5">
        <f t="shared" si="2"/>
        <v>141302019</v>
      </c>
      <c r="F1282" s="4" t="s">
        <v>21</v>
      </c>
      <c r="G1282" s="4" t="s">
        <v>448</v>
      </c>
      <c r="H1282" s="4" t="s">
        <v>38</v>
      </c>
    </row>
    <row r="1283" ht="15.75" customHeight="1">
      <c r="A1283" s="8">
        <v>46135.0</v>
      </c>
      <c r="B1283" s="4" t="s">
        <v>3469</v>
      </c>
      <c r="C1283" s="5">
        <v>5000.0</v>
      </c>
      <c r="D1283" s="5">
        <v>0.0</v>
      </c>
      <c r="E1283" s="5">
        <f t="shared" si="2"/>
        <v>141297019</v>
      </c>
      <c r="F1283" s="4" t="s">
        <v>43</v>
      </c>
      <c r="G1283" s="4" t="s">
        <v>45</v>
      </c>
    </row>
    <row r="1284" ht="15.75" customHeight="1">
      <c r="A1284" s="8">
        <v>46160.0</v>
      </c>
      <c r="B1284" s="4" t="s">
        <v>3830</v>
      </c>
      <c r="C1284" s="5">
        <v>10000.0</v>
      </c>
      <c r="D1284" s="5">
        <v>0.0</v>
      </c>
      <c r="E1284" s="5">
        <f t="shared" si="2"/>
        <v>141287019</v>
      </c>
      <c r="F1284" s="4" t="s">
        <v>43</v>
      </c>
      <c r="G1284" s="4" t="s">
        <v>45</v>
      </c>
    </row>
    <row r="1285" ht="15.75" customHeight="1">
      <c r="A1285" s="8">
        <v>46160.0</v>
      </c>
      <c r="B1285" s="4" t="s">
        <v>3831</v>
      </c>
      <c r="C1285" s="5">
        <v>10000.0</v>
      </c>
      <c r="D1285" s="5">
        <v>0.0</v>
      </c>
      <c r="E1285" s="5">
        <f t="shared" si="2"/>
        <v>141277019</v>
      </c>
      <c r="F1285" s="4" t="s">
        <v>43</v>
      </c>
      <c r="G1285" s="4" t="s">
        <v>45</v>
      </c>
    </row>
    <row r="1286" ht="15.75" customHeight="1">
      <c r="A1286" s="8">
        <v>46132.0</v>
      </c>
      <c r="B1286" s="4" t="s">
        <v>3832</v>
      </c>
      <c r="C1286" s="5">
        <v>376700.0</v>
      </c>
      <c r="D1286" s="5">
        <v>0.0</v>
      </c>
      <c r="E1286" s="5">
        <f t="shared" si="2"/>
        <v>140900319</v>
      </c>
      <c r="F1286" s="4" t="s">
        <v>50</v>
      </c>
      <c r="G1286" s="4" t="s">
        <v>245</v>
      </c>
      <c r="H1286" s="4" t="s">
        <v>413</v>
      </c>
    </row>
    <row r="1287" ht="15.75" customHeight="1">
      <c r="A1287" s="8">
        <v>46135.0</v>
      </c>
      <c r="B1287" s="4" t="s">
        <v>3833</v>
      </c>
      <c r="C1287" s="5">
        <v>150000.0</v>
      </c>
      <c r="D1287" s="5">
        <v>0.0</v>
      </c>
      <c r="E1287" s="5">
        <f t="shared" si="2"/>
        <v>140750319</v>
      </c>
      <c r="F1287" s="4" t="s">
        <v>50</v>
      </c>
      <c r="G1287" s="4" t="s">
        <v>245</v>
      </c>
      <c r="H1287" s="4" t="s">
        <v>3834</v>
      </c>
    </row>
    <row r="1288" ht="15.75" customHeight="1">
      <c r="A1288" s="8">
        <v>46136.0</v>
      </c>
      <c r="B1288" s="4" t="s">
        <v>3835</v>
      </c>
      <c r="C1288" s="5">
        <v>1297500.0</v>
      </c>
      <c r="D1288" s="5">
        <v>0.0</v>
      </c>
      <c r="E1288" s="5">
        <f t="shared" si="2"/>
        <v>139452819</v>
      </c>
      <c r="F1288" s="4" t="s">
        <v>105</v>
      </c>
      <c r="G1288" s="4" t="s">
        <v>3451</v>
      </c>
      <c r="H1288" s="4" t="s">
        <v>203</v>
      </c>
    </row>
    <row r="1289" ht="15.75" customHeight="1">
      <c r="A1289" s="8">
        <v>46139.0</v>
      </c>
      <c r="B1289" s="4" t="s">
        <v>3836</v>
      </c>
      <c r="C1289" s="5">
        <v>372170.0</v>
      </c>
      <c r="D1289" s="5">
        <v>0.0</v>
      </c>
      <c r="E1289" s="5">
        <f t="shared" si="2"/>
        <v>139080649</v>
      </c>
      <c r="F1289" s="4" t="s">
        <v>50</v>
      </c>
      <c r="G1289" s="4" t="s">
        <v>245</v>
      </c>
      <c r="H1289" s="4" t="s">
        <v>413</v>
      </c>
    </row>
    <row r="1290" ht="15.75" customHeight="1">
      <c r="A1290" s="8">
        <v>46140.0</v>
      </c>
      <c r="B1290" s="4" t="s">
        <v>3837</v>
      </c>
      <c r="C1290" s="5">
        <v>48300.0</v>
      </c>
      <c r="D1290" s="5">
        <v>0.0</v>
      </c>
      <c r="E1290" s="5">
        <f t="shared" si="2"/>
        <v>139032349</v>
      </c>
      <c r="F1290" s="4" t="s">
        <v>2464</v>
      </c>
      <c r="G1290" s="4" t="s">
        <v>59</v>
      </c>
      <c r="H1290" s="4" t="s">
        <v>677</v>
      </c>
    </row>
    <row r="1291" ht="15.75" customHeight="1">
      <c r="A1291" s="8">
        <v>46140.0</v>
      </c>
      <c r="B1291" s="4" t="s">
        <v>3838</v>
      </c>
      <c r="C1291" s="5">
        <v>230300.0</v>
      </c>
      <c r="D1291" s="5">
        <v>0.0</v>
      </c>
      <c r="E1291" s="5">
        <f t="shared" si="2"/>
        <v>138802049</v>
      </c>
      <c r="F1291" s="4" t="s">
        <v>50</v>
      </c>
      <c r="G1291" s="4" t="s">
        <v>1984</v>
      </c>
    </row>
    <row r="1292" ht="15.75" customHeight="1">
      <c r="A1292" s="8">
        <v>46140.0</v>
      </c>
      <c r="B1292" s="4" t="s">
        <v>3839</v>
      </c>
      <c r="C1292" s="5">
        <v>449457.0</v>
      </c>
      <c r="D1292" s="5">
        <v>0.0</v>
      </c>
      <c r="E1292" s="5">
        <f t="shared" si="2"/>
        <v>138352592</v>
      </c>
      <c r="F1292" s="4" t="s">
        <v>2464</v>
      </c>
      <c r="G1292" s="4" t="s">
        <v>59</v>
      </c>
      <c r="H1292" s="4" t="s">
        <v>677</v>
      </c>
    </row>
    <row r="1293" ht="15.75" customHeight="1">
      <c r="A1293" s="8">
        <v>46146.0</v>
      </c>
      <c r="B1293" s="4" t="s">
        <v>3840</v>
      </c>
      <c r="C1293" s="5">
        <v>367400.0</v>
      </c>
      <c r="D1293" s="5">
        <v>0.0</v>
      </c>
      <c r="E1293" s="5">
        <f t="shared" si="2"/>
        <v>137985192</v>
      </c>
      <c r="F1293" s="4" t="s">
        <v>50</v>
      </c>
      <c r="G1293" s="4" t="s">
        <v>245</v>
      </c>
      <c r="H1293" s="4" t="s">
        <v>413</v>
      </c>
    </row>
    <row r="1294" ht="15.75" customHeight="1">
      <c r="A1294" s="8">
        <v>46148.0</v>
      </c>
      <c r="B1294" s="4" t="s">
        <v>3841</v>
      </c>
      <c r="C1294" s="5">
        <v>258900.0</v>
      </c>
      <c r="D1294" s="5">
        <v>0.0</v>
      </c>
      <c r="E1294" s="5">
        <f t="shared" si="2"/>
        <v>137726292</v>
      </c>
      <c r="F1294" s="4" t="s">
        <v>50</v>
      </c>
      <c r="G1294" s="4" t="s">
        <v>245</v>
      </c>
      <c r="H1294" s="4" t="s">
        <v>413</v>
      </c>
    </row>
    <row r="1295" ht="15.75" customHeight="1">
      <c r="A1295" s="8">
        <v>46149.0</v>
      </c>
      <c r="B1295" s="4" t="s">
        <v>3842</v>
      </c>
      <c r="C1295" s="5">
        <v>709000.0</v>
      </c>
      <c r="D1295" s="5">
        <v>0.0</v>
      </c>
      <c r="E1295" s="5">
        <f t="shared" si="2"/>
        <v>137017292</v>
      </c>
      <c r="F1295" s="4" t="s">
        <v>2464</v>
      </c>
      <c r="G1295" s="4" t="s">
        <v>59</v>
      </c>
      <c r="H1295" s="14" t="s">
        <v>683</v>
      </c>
    </row>
    <row r="1296" ht="15.75" customHeight="1">
      <c r="A1296" s="8">
        <v>46149.0</v>
      </c>
      <c r="B1296" s="4" t="s">
        <v>3843</v>
      </c>
      <c r="C1296" s="5">
        <v>426400.0</v>
      </c>
      <c r="D1296" s="5">
        <v>0.0</v>
      </c>
      <c r="E1296" s="5">
        <f t="shared" si="2"/>
        <v>136590892</v>
      </c>
      <c r="F1296" s="4" t="s">
        <v>2464</v>
      </c>
      <c r="G1296" s="4" t="s">
        <v>59</v>
      </c>
      <c r="H1296" s="14" t="s">
        <v>683</v>
      </c>
    </row>
    <row r="1297" ht="15.75" customHeight="1">
      <c r="A1297" s="8">
        <v>46153.0</v>
      </c>
      <c r="B1297" s="4" t="s">
        <v>3844</v>
      </c>
      <c r="C1297" s="5">
        <v>371690.0</v>
      </c>
      <c r="D1297" s="5">
        <v>0.0</v>
      </c>
      <c r="E1297" s="5">
        <f t="shared" si="2"/>
        <v>136219202</v>
      </c>
      <c r="F1297" s="4" t="s">
        <v>50</v>
      </c>
      <c r="G1297" s="4" t="s">
        <v>245</v>
      </c>
      <c r="H1297" s="4" t="s">
        <v>413</v>
      </c>
    </row>
    <row r="1298" ht="15.75" customHeight="1">
      <c r="A1298" s="8">
        <v>46132.0</v>
      </c>
      <c r="B1298" s="4" t="s">
        <v>3845</v>
      </c>
      <c r="C1298" s="5">
        <v>3825000.0</v>
      </c>
      <c r="D1298" s="5">
        <v>0.0</v>
      </c>
      <c r="E1298" s="5">
        <f t="shared" si="2"/>
        <v>132394202</v>
      </c>
      <c r="F1298" s="4" t="s">
        <v>24</v>
      </c>
      <c r="G1298" s="4" t="s">
        <v>125</v>
      </c>
      <c r="H1298" s="4" t="s">
        <v>3846</v>
      </c>
    </row>
    <row r="1299" ht="15.75" customHeight="1">
      <c r="A1299" s="8">
        <v>46134.0</v>
      </c>
      <c r="B1299" s="4" t="s">
        <v>3847</v>
      </c>
      <c r="C1299" s="5">
        <v>2601000.0</v>
      </c>
      <c r="D1299" s="5">
        <v>0.0</v>
      </c>
      <c r="E1299" s="5">
        <f t="shared" si="2"/>
        <v>129793202</v>
      </c>
      <c r="F1299" s="4" t="s">
        <v>24</v>
      </c>
      <c r="G1299" s="4" t="s">
        <v>125</v>
      </c>
      <c r="H1299" s="4" t="s">
        <v>3846</v>
      </c>
    </row>
    <row r="1300" ht="15.75" customHeight="1">
      <c r="A1300" s="8">
        <v>46136.0</v>
      </c>
      <c r="B1300" s="4" t="s">
        <v>3848</v>
      </c>
      <c r="C1300" s="5">
        <v>1.2699E7</v>
      </c>
      <c r="D1300" s="5">
        <v>0.0</v>
      </c>
      <c r="E1300" s="5">
        <f t="shared" si="2"/>
        <v>117094202</v>
      </c>
      <c r="F1300" s="4" t="s">
        <v>2464</v>
      </c>
      <c r="G1300" s="4" t="s">
        <v>59</v>
      </c>
      <c r="H1300" s="4" t="s">
        <v>3800</v>
      </c>
    </row>
    <row r="1301" ht="15.75" customHeight="1">
      <c r="A1301" s="8">
        <v>46139.0</v>
      </c>
      <c r="B1301" s="4" t="s">
        <v>3849</v>
      </c>
      <c r="C1301" s="5">
        <v>3.45E7</v>
      </c>
      <c r="D1301" s="5">
        <v>0.0</v>
      </c>
      <c r="E1301" s="5">
        <f t="shared" si="2"/>
        <v>82594202</v>
      </c>
      <c r="F1301" s="4" t="s">
        <v>2464</v>
      </c>
      <c r="G1301" s="4" t="s">
        <v>59</v>
      </c>
      <c r="H1301" s="4" t="s">
        <v>2670</v>
      </c>
    </row>
    <row r="1302" ht="15.75" customHeight="1">
      <c r="A1302" s="8">
        <v>46139.0</v>
      </c>
      <c r="B1302" s="14" t="s">
        <v>3850</v>
      </c>
      <c r="C1302" s="5">
        <v>363500.0</v>
      </c>
      <c r="D1302" s="5">
        <v>0.0</v>
      </c>
      <c r="E1302" s="5">
        <f t="shared" si="2"/>
        <v>82230702</v>
      </c>
      <c r="F1302" s="14" t="s">
        <v>50</v>
      </c>
      <c r="G1302" s="14" t="s">
        <v>1984</v>
      </c>
      <c r="H1302" s="14"/>
      <c r="I1302" s="14"/>
      <c r="J1302" s="14"/>
      <c r="K1302" s="14"/>
      <c r="L1302" s="14"/>
    </row>
    <row r="1303" ht="15.75" customHeight="1">
      <c r="A1303" s="8">
        <v>46140.0</v>
      </c>
      <c r="B1303" s="14" t="s">
        <v>3851</v>
      </c>
      <c r="C1303" s="5">
        <v>379400.0</v>
      </c>
      <c r="D1303" s="5">
        <v>0.0</v>
      </c>
      <c r="E1303" s="5">
        <f t="shared" si="2"/>
        <v>81851302</v>
      </c>
      <c r="F1303" s="14" t="s">
        <v>50</v>
      </c>
      <c r="G1303" s="14" t="s">
        <v>1984</v>
      </c>
      <c r="H1303" s="14"/>
      <c r="I1303" s="14"/>
      <c r="J1303" s="14"/>
      <c r="K1303" s="14"/>
      <c r="L1303" s="14"/>
    </row>
    <row r="1304" ht="15.75" customHeight="1">
      <c r="A1304" s="8">
        <v>46143.0</v>
      </c>
      <c r="B1304" s="4" t="s">
        <v>3852</v>
      </c>
      <c r="C1304" s="5">
        <v>4.4E7</v>
      </c>
      <c r="D1304" s="5">
        <v>0.0</v>
      </c>
      <c r="E1304" s="5">
        <f t="shared" si="2"/>
        <v>37851302</v>
      </c>
      <c r="F1304" s="4" t="s">
        <v>2464</v>
      </c>
      <c r="G1304" s="4" t="s">
        <v>59</v>
      </c>
      <c r="H1304" s="4" t="s">
        <v>677</v>
      </c>
    </row>
    <row r="1305" ht="15.75" customHeight="1">
      <c r="A1305" s="8">
        <v>46143.0</v>
      </c>
      <c r="B1305" s="4" t="s">
        <v>3853</v>
      </c>
      <c r="C1305" s="5">
        <v>122430.0</v>
      </c>
      <c r="D1305" s="5">
        <v>0.0</v>
      </c>
      <c r="E1305" s="5">
        <f t="shared" si="2"/>
        <v>37728872</v>
      </c>
      <c r="F1305" s="4" t="s">
        <v>2464</v>
      </c>
      <c r="G1305" s="4" t="s">
        <v>59</v>
      </c>
      <c r="H1305" s="4" t="s">
        <v>677</v>
      </c>
    </row>
    <row r="1306" ht="15.75" customHeight="1">
      <c r="A1306" s="8">
        <v>46143.0</v>
      </c>
      <c r="B1306" s="4" t="s">
        <v>3854</v>
      </c>
      <c r="C1306" s="5">
        <v>103373.0</v>
      </c>
      <c r="D1306" s="5">
        <v>0.0</v>
      </c>
      <c r="E1306" s="5">
        <f t="shared" si="2"/>
        <v>37625499</v>
      </c>
      <c r="F1306" s="4" t="s">
        <v>2464</v>
      </c>
      <c r="G1306" s="4" t="s">
        <v>59</v>
      </c>
      <c r="H1306" s="4" t="s">
        <v>677</v>
      </c>
    </row>
    <row r="1307" ht="15.75" customHeight="1">
      <c r="A1307" s="8">
        <v>46146.0</v>
      </c>
      <c r="B1307" s="4" t="s">
        <v>3855</v>
      </c>
      <c r="C1307" s="5">
        <v>4399895.0</v>
      </c>
      <c r="D1307" s="5">
        <v>0.0</v>
      </c>
      <c r="E1307" s="5">
        <f t="shared" si="2"/>
        <v>33225604</v>
      </c>
      <c r="F1307" s="4" t="s">
        <v>2464</v>
      </c>
      <c r="G1307" s="4" t="s">
        <v>59</v>
      </c>
      <c r="H1307" s="14" t="s">
        <v>1250</v>
      </c>
    </row>
    <row r="1308" ht="15.75" customHeight="1">
      <c r="A1308" s="8">
        <v>46147.0</v>
      </c>
      <c r="B1308" s="4" t="s">
        <v>3856</v>
      </c>
      <c r="C1308" s="5">
        <v>215586.0</v>
      </c>
      <c r="D1308" s="5">
        <v>0.0</v>
      </c>
      <c r="E1308" s="5">
        <f t="shared" si="2"/>
        <v>33010018</v>
      </c>
      <c r="F1308" s="4" t="s">
        <v>1471</v>
      </c>
      <c r="G1308" s="4" t="s">
        <v>1579</v>
      </c>
    </row>
    <row r="1309" ht="15.75" customHeight="1">
      <c r="A1309" s="8">
        <v>46147.0</v>
      </c>
      <c r="B1309" s="14" t="s">
        <v>3857</v>
      </c>
      <c r="C1309" s="5">
        <v>1349054.0</v>
      </c>
      <c r="D1309" s="5">
        <v>0.0</v>
      </c>
      <c r="E1309" s="5">
        <f t="shared" si="2"/>
        <v>31660964</v>
      </c>
      <c r="F1309" s="14" t="s">
        <v>306</v>
      </c>
      <c r="G1309" s="14" t="s">
        <v>307</v>
      </c>
      <c r="H1309" s="14" t="s">
        <v>3858</v>
      </c>
      <c r="I1309" s="14"/>
      <c r="J1309" s="14"/>
      <c r="K1309" s="14"/>
      <c r="L1309" s="14"/>
    </row>
    <row r="1310" ht="15.75" customHeight="1">
      <c r="A1310" s="8">
        <v>46147.0</v>
      </c>
      <c r="B1310" s="4" t="s">
        <v>3859</v>
      </c>
      <c r="C1310" s="5">
        <v>331300.0</v>
      </c>
      <c r="D1310" s="5">
        <v>0.0</v>
      </c>
      <c r="E1310" s="5">
        <f t="shared" si="2"/>
        <v>31329664</v>
      </c>
      <c r="F1310" s="4" t="s">
        <v>50</v>
      </c>
      <c r="G1310" s="4" t="s">
        <v>245</v>
      </c>
      <c r="H1310" s="4" t="s">
        <v>246</v>
      </c>
    </row>
    <row r="1311" ht="15.75" customHeight="1">
      <c r="A1311" s="8">
        <v>46152.0</v>
      </c>
      <c r="B1311" s="4" t="s">
        <v>3860</v>
      </c>
      <c r="C1311" s="5">
        <v>1441850.0</v>
      </c>
      <c r="D1311" s="5">
        <v>0.0</v>
      </c>
      <c r="E1311" s="5">
        <f t="shared" si="2"/>
        <v>29887814</v>
      </c>
      <c r="F1311" s="4" t="s">
        <v>24</v>
      </c>
      <c r="G1311" s="4" t="s">
        <v>125</v>
      </c>
      <c r="H1311" s="4" t="s">
        <v>1859</v>
      </c>
    </row>
    <row r="1312" ht="15.75" customHeight="1">
      <c r="A1312" s="8">
        <v>46152.0</v>
      </c>
      <c r="B1312" s="4" t="s">
        <v>3861</v>
      </c>
      <c r="C1312" s="5">
        <v>1496833.0</v>
      </c>
      <c r="D1312" s="5">
        <v>0.0</v>
      </c>
      <c r="E1312" s="5">
        <f t="shared" si="2"/>
        <v>28390981</v>
      </c>
      <c r="F1312" s="4" t="s">
        <v>24</v>
      </c>
      <c r="G1312" s="4" t="s">
        <v>125</v>
      </c>
      <c r="H1312" s="4" t="s">
        <v>1859</v>
      </c>
    </row>
    <row r="1313" ht="15.75" customHeight="1">
      <c r="A1313" s="8">
        <v>46152.0</v>
      </c>
      <c r="B1313" s="4" t="s">
        <v>3862</v>
      </c>
      <c r="C1313" s="5">
        <v>1500111.0</v>
      </c>
      <c r="D1313" s="5">
        <v>0.0</v>
      </c>
      <c r="E1313" s="5">
        <f t="shared" si="2"/>
        <v>26890870</v>
      </c>
      <c r="F1313" s="4" t="s">
        <v>24</v>
      </c>
      <c r="G1313" s="4" t="s">
        <v>125</v>
      </c>
      <c r="H1313" s="4" t="s">
        <v>1859</v>
      </c>
    </row>
    <row r="1314" ht="15.75" customHeight="1">
      <c r="A1314" s="8">
        <v>46153.0</v>
      </c>
      <c r="B1314" s="4" t="s">
        <v>3863</v>
      </c>
      <c r="C1314" s="5">
        <v>1460626.0</v>
      </c>
      <c r="D1314" s="5">
        <v>0.0</v>
      </c>
      <c r="E1314" s="5">
        <f t="shared" si="2"/>
        <v>25430244</v>
      </c>
      <c r="F1314" s="4" t="s">
        <v>24</v>
      </c>
      <c r="G1314" s="4" t="s">
        <v>125</v>
      </c>
      <c r="H1314" s="4" t="s">
        <v>1859</v>
      </c>
    </row>
    <row r="1315" ht="15.75" customHeight="1">
      <c r="A1315" s="8">
        <v>46153.0</v>
      </c>
      <c r="B1315" s="4" t="s">
        <v>3864</v>
      </c>
      <c r="C1315" s="5">
        <v>1460626.0</v>
      </c>
      <c r="D1315" s="5">
        <v>0.0</v>
      </c>
      <c r="E1315" s="5">
        <f t="shared" si="2"/>
        <v>23969618</v>
      </c>
      <c r="F1315" s="4" t="s">
        <v>24</v>
      </c>
      <c r="G1315" s="4" t="s">
        <v>125</v>
      </c>
      <c r="H1315" s="4" t="s">
        <v>1859</v>
      </c>
    </row>
    <row r="1316" ht="15.75" customHeight="1">
      <c r="A1316" s="8">
        <v>46154.0</v>
      </c>
      <c r="B1316" s="4" t="s">
        <v>3865</v>
      </c>
      <c r="C1316" s="5">
        <v>688563.0</v>
      </c>
      <c r="D1316" s="5">
        <v>0.0</v>
      </c>
      <c r="E1316" s="5">
        <f t="shared" si="2"/>
        <v>23281055</v>
      </c>
      <c r="F1316" s="4" t="s">
        <v>24</v>
      </c>
      <c r="G1316" s="4" t="s">
        <v>125</v>
      </c>
      <c r="H1316" s="4" t="s">
        <v>1859</v>
      </c>
    </row>
    <row r="1317" ht="15.75" customHeight="1">
      <c r="A1317" s="8">
        <v>46155.0</v>
      </c>
      <c r="B1317" s="4" t="s">
        <v>3866</v>
      </c>
      <c r="C1317" s="5">
        <v>1100000.0</v>
      </c>
      <c r="D1317" s="5">
        <v>0.0</v>
      </c>
      <c r="E1317" s="5">
        <f t="shared" si="2"/>
        <v>22181055</v>
      </c>
      <c r="F1317" s="4" t="s">
        <v>2464</v>
      </c>
      <c r="G1317" s="4" t="s">
        <v>59</v>
      </c>
      <c r="H1317" s="14" t="s">
        <v>694</v>
      </c>
    </row>
    <row r="1318" ht="15.75" customHeight="1">
      <c r="A1318" s="8">
        <v>46155.0</v>
      </c>
      <c r="B1318" s="14" t="s">
        <v>3867</v>
      </c>
      <c r="C1318" s="5">
        <v>8296400.0</v>
      </c>
      <c r="D1318" s="5">
        <v>0.0</v>
      </c>
      <c r="E1318" s="5">
        <f t="shared" si="2"/>
        <v>13884655</v>
      </c>
      <c r="F1318" s="14" t="s">
        <v>306</v>
      </c>
      <c r="G1318" s="14" t="s">
        <v>307</v>
      </c>
      <c r="H1318" s="14" t="s">
        <v>3868</v>
      </c>
      <c r="I1318" s="14"/>
      <c r="J1318" s="14"/>
      <c r="K1318" s="14"/>
      <c r="L1318" s="14"/>
    </row>
    <row r="1319" ht="15.75" customHeight="1">
      <c r="A1319" s="8">
        <v>46132.0</v>
      </c>
      <c r="B1319" s="4" t="s">
        <v>3869</v>
      </c>
      <c r="C1319" s="5">
        <v>234135.0</v>
      </c>
      <c r="D1319" s="5">
        <v>0.0</v>
      </c>
      <c r="E1319" s="5">
        <f t="shared" si="2"/>
        <v>13650520</v>
      </c>
      <c r="F1319" s="4" t="s">
        <v>105</v>
      </c>
      <c r="G1319" s="4" t="s">
        <v>2064</v>
      </c>
      <c r="H1319" s="15" t="s">
        <v>72</v>
      </c>
      <c r="I1319" s="4" t="s">
        <v>6</v>
      </c>
    </row>
    <row r="1320" ht="15.75" customHeight="1">
      <c r="A1320" s="8">
        <v>46139.0</v>
      </c>
      <c r="B1320" s="4" t="s">
        <v>3870</v>
      </c>
      <c r="C1320" s="5">
        <v>143000.0</v>
      </c>
      <c r="D1320" s="5">
        <v>0.0</v>
      </c>
      <c r="E1320" s="5">
        <f t="shared" si="2"/>
        <v>13507520</v>
      </c>
      <c r="F1320" s="4" t="s">
        <v>105</v>
      </c>
      <c r="G1320" s="4" t="s">
        <v>2064</v>
      </c>
      <c r="H1320" s="15" t="s">
        <v>72</v>
      </c>
      <c r="I1320" s="4" t="s">
        <v>6</v>
      </c>
    </row>
    <row r="1321" ht="15.75" customHeight="1">
      <c r="A1321" s="8">
        <v>46142.0</v>
      </c>
      <c r="B1321" s="4" t="s">
        <v>3871</v>
      </c>
      <c r="C1321" s="5">
        <v>125900.0</v>
      </c>
      <c r="D1321" s="5">
        <v>0.0</v>
      </c>
      <c r="E1321" s="5">
        <f t="shared" si="2"/>
        <v>13381620</v>
      </c>
      <c r="F1321" s="4" t="s">
        <v>105</v>
      </c>
      <c r="G1321" s="4" t="s">
        <v>2064</v>
      </c>
      <c r="H1321" s="15" t="s">
        <v>72</v>
      </c>
      <c r="I1321" s="4" t="s">
        <v>6</v>
      </c>
    </row>
    <row r="1322" ht="15.75" customHeight="1">
      <c r="A1322" s="8">
        <v>46145.0</v>
      </c>
      <c r="B1322" s="4" t="s">
        <v>3872</v>
      </c>
      <c r="C1322" s="5">
        <f>12546035-C1323+D1324</f>
        <v>11710811</v>
      </c>
      <c r="D1322" s="5">
        <v>0.0</v>
      </c>
      <c r="E1322" s="5">
        <f t="shared" si="2"/>
        <v>1670809</v>
      </c>
      <c r="F1322" s="4" t="s">
        <v>306</v>
      </c>
      <c r="G1322" s="4" t="s">
        <v>307</v>
      </c>
      <c r="H1322" s="4" t="s">
        <v>3873</v>
      </c>
      <c r="I1322" s="4" t="s">
        <v>6</v>
      </c>
    </row>
    <row r="1323" ht="15.75" customHeight="1">
      <c r="A1323" s="8">
        <v>46145.0</v>
      </c>
      <c r="B1323" s="4" t="s">
        <v>3874</v>
      </c>
      <c r="C1323" s="5">
        <v>1288189.0</v>
      </c>
      <c r="D1323" s="5">
        <v>0.0</v>
      </c>
      <c r="E1323" s="5">
        <f t="shared" si="2"/>
        <v>382620</v>
      </c>
      <c r="F1323" s="4" t="s">
        <v>93</v>
      </c>
      <c r="G1323" s="4" t="s">
        <v>93</v>
      </c>
      <c r="H1323" s="4" t="s">
        <v>1430</v>
      </c>
      <c r="I1323" s="4" t="s">
        <v>6</v>
      </c>
    </row>
    <row r="1324" ht="15.75" customHeight="1">
      <c r="A1324" s="8">
        <v>46145.0</v>
      </c>
      <c r="B1324" s="4" t="s">
        <v>3872</v>
      </c>
      <c r="C1324" s="5">
        <v>0.0</v>
      </c>
      <c r="D1324" s="5">
        <v>452965.0</v>
      </c>
      <c r="E1324" s="5">
        <f t="shared" si="2"/>
        <v>835585</v>
      </c>
      <c r="F1324" s="4" t="s">
        <v>306</v>
      </c>
      <c r="G1324" s="4" t="s">
        <v>307</v>
      </c>
      <c r="H1324" s="4" t="s">
        <v>3873</v>
      </c>
    </row>
    <row r="1325" ht="15.75" customHeight="1">
      <c r="A1325" s="8">
        <v>46145.0</v>
      </c>
      <c r="B1325" s="4" t="s">
        <v>3875</v>
      </c>
      <c r="C1325" s="5">
        <v>163185.0</v>
      </c>
      <c r="D1325" s="5">
        <v>0.0</v>
      </c>
      <c r="E1325" s="5">
        <f t="shared" si="2"/>
        <v>672400</v>
      </c>
      <c r="F1325" s="4" t="s">
        <v>105</v>
      </c>
      <c r="G1325" s="4" t="s">
        <v>2064</v>
      </c>
      <c r="H1325" s="15" t="s">
        <v>72</v>
      </c>
      <c r="I1325" s="4" t="s">
        <v>6</v>
      </c>
    </row>
    <row r="1326" ht="15.75" customHeight="1">
      <c r="A1326" s="8">
        <v>46153.0</v>
      </c>
      <c r="B1326" s="4" t="s">
        <v>3876</v>
      </c>
      <c r="C1326" s="5">
        <v>594400.0</v>
      </c>
      <c r="D1326" s="5">
        <v>0.0</v>
      </c>
      <c r="E1326" s="5">
        <f t="shared" si="2"/>
        <v>78000</v>
      </c>
      <c r="F1326" s="4" t="s">
        <v>105</v>
      </c>
      <c r="G1326" s="4" t="s">
        <v>3451</v>
      </c>
      <c r="H1326" s="4" t="s">
        <v>72</v>
      </c>
      <c r="I1326" s="4" t="s">
        <v>6</v>
      </c>
    </row>
    <row r="1327" ht="15.75" customHeight="1">
      <c r="A1327" s="8">
        <v>46154.0</v>
      </c>
      <c r="B1327" s="4" t="s">
        <v>3877</v>
      </c>
      <c r="C1327" s="5">
        <v>78000.0</v>
      </c>
      <c r="D1327" s="5">
        <v>0.0</v>
      </c>
      <c r="E1327" s="5">
        <f t="shared" si="2"/>
        <v>0</v>
      </c>
      <c r="F1327" s="4" t="s">
        <v>105</v>
      </c>
      <c r="G1327" s="4" t="s">
        <v>2064</v>
      </c>
      <c r="H1327" s="15" t="s">
        <v>72</v>
      </c>
      <c r="I1327" s="4" t="s">
        <v>6</v>
      </c>
    </row>
    <row r="1328" ht="15.75" customHeight="1">
      <c r="A1328" s="8">
        <v>46177.0</v>
      </c>
      <c r="B1328" s="4" t="s">
        <v>3878</v>
      </c>
      <c r="C1328" s="5">
        <v>0.0</v>
      </c>
      <c r="D1328" s="5">
        <v>1.64115479E8</v>
      </c>
      <c r="E1328" s="5">
        <f t="shared" si="2"/>
        <v>164115479</v>
      </c>
      <c r="F1328" s="4" t="s">
        <v>21</v>
      </c>
      <c r="G1328" s="4" t="s">
        <v>448</v>
      </c>
      <c r="H1328" s="4" t="s">
        <v>55</v>
      </c>
    </row>
    <row r="1329" ht="15.75" customHeight="1">
      <c r="A1329" s="8">
        <v>46134.0</v>
      </c>
      <c r="B1329" s="4" t="s">
        <v>3582</v>
      </c>
      <c r="C1329" s="5">
        <v>5000.0</v>
      </c>
      <c r="D1329" s="5">
        <v>0.0</v>
      </c>
      <c r="E1329" s="5">
        <f t="shared" si="2"/>
        <v>164110479</v>
      </c>
      <c r="F1329" s="4" t="s">
        <v>43</v>
      </c>
      <c r="G1329" s="4" t="s">
        <v>45</v>
      </c>
    </row>
    <row r="1330" ht="15.75" customHeight="1">
      <c r="A1330" s="8">
        <v>46142.0</v>
      </c>
      <c r="B1330" s="4" t="s">
        <v>3518</v>
      </c>
      <c r="C1330" s="5">
        <v>7500.0</v>
      </c>
      <c r="D1330" s="5">
        <v>0.0</v>
      </c>
      <c r="E1330" s="5">
        <f t="shared" si="2"/>
        <v>164102979</v>
      </c>
      <c r="F1330" s="4" t="s">
        <v>43</v>
      </c>
      <c r="G1330" s="4" t="s">
        <v>45</v>
      </c>
    </row>
    <row r="1331" ht="15.75" customHeight="1">
      <c r="A1331" s="8">
        <v>46142.0</v>
      </c>
      <c r="B1331" s="4" t="s">
        <v>3879</v>
      </c>
      <c r="C1331" s="5">
        <v>2625000.0</v>
      </c>
      <c r="D1331" s="5">
        <v>0.0</v>
      </c>
      <c r="E1331" s="5">
        <f t="shared" si="2"/>
        <v>161477979</v>
      </c>
      <c r="F1331" s="4" t="s">
        <v>2464</v>
      </c>
      <c r="G1331" s="4" t="s">
        <v>59</v>
      </c>
      <c r="H1331" s="4" t="s">
        <v>677</v>
      </c>
    </row>
    <row r="1332" ht="15.75" customHeight="1">
      <c r="A1332" s="8">
        <v>46143.0</v>
      </c>
      <c r="B1332" s="4" t="s">
        <v>3880</v>
      </c>
      <c r="C1332" s="5">
        <v>190500.0</v>
      </c>
      <c r="D1332" s="5">
        <v>0.0</v>
      </c>
      <c r="E1332" s="5">
        <f t="shared" si="2"/>
        <v>161287479</v>
      </c>
      <c r="F1332" s="4" t="s">
        <v>2464</v>
      </c>
      <c r="G1332" s="4" t="s">
        <v>59</v>
      </c>
      <c r="H1332" s="4" t="s">
        <v>677</v>
      </c>
    </row>
    <row r="1333" ht="15.75" customHeight="1">
      <c r="A1333" s="8">
        <v>46143.0</v>
      </c>
      <c r="B1333" s="4" t="s">
        <v>3881</v>
      </c>
      <c r="C1333" s="5">
        <v>349690.0</v>
      </c>
      <c r="D1333" s="5">
        <v>0.0</v>
      </c>
      <c r="E1333" s="5">
        <f t="shared" si="2"/>
        <v>160937789</v>
      </c>
      <c r="F1333" s="4" t="s">
        <v>2464</v>
      </c>
      <c r="G1333" s="4" t="s">
        <v>59</v>
      </c>
      <c r="H1333" s="4" t="s">
        <v>677</v>
      </c>
    </row>
    <row r="1334" ht="15.75" customHeight="1">
      <c r="A1334" s="8">
        <v>46143.0</v>
      </c>
      <c r="B1334" s="4" t="s">
        <v>3882</v>
      </c>
      <c r="C1334" s="5">
        <v>2525600.0</v>
      </c>
      <c r="D1334" s="5">
        <v>0.0</v>
      </c>
      <c r="E1334" s="5">
        <f t="shared" si="2"/>
        <v>158412189</v>
      </c>
      <c r="F1334" s="4" t="s">
        <v>2464</v>
      </c>
      <c r="G1334" s="4" t="s">
        <v>59</v>
      </c>
      <c r="H1334" s="4" t="s">
        <v>677</v>
      </c>
    </row>
    <row r="1335" ht="15.75" customHeight="1">
      <c r="A1335" s="8">
        <v>46143.0</v>
      </c>
      <c r="B1335" s="4" t="s">
        <v>3883</v>
      </c>
      <c r="C1335" s="5">
        <v>6000000.0</v>
      </c>
      <c r="D1335" s="5">
        <v>0.0</v>
      </c>
      <c r="E1335" s="5">
        <f t="shared" si="2"/>
        <v>152412189</v>
      </c>
      <c r="F1335" s="4" t="s">
        <v>2464</v>
      </c>
      <c r="G1335" s="4" t="s">
        <v>59</v>
      </c>
      <c r="H1335" s="4" t="s">
        <v>677</v>
      </c>
    </row>
    <row r="1336" ht="15.75" customHeight="1">
      <c r="A1336" s="8">
        <v>46144.0</v>
      </c>
      <c r="B1336" s="4" t="s">
        <v>3879</v>
      </c>
      <c r="C1336" s="5">
        <v>9687850.0</v>
      </c>
      <c r="D1336" s="5">
        <v>0.0</v>
      </c>
      <c r="E1336" s="5">
        <f t="shared" si="2"/>
        <v>142724339</v>
      </c>
      <c r="F1336" s="4" t="s">
        <v>2464</v>
      </c>
      <c r="G1336" s="4" t="s">
        <v>59</v>
      </c>
      <c r="H1336" s="4" t="s">
        <v>677</v>
      </c>
    </row>
    <row r="1337" ht="15.75" customHeight="1">
      <c r="A1337" s="8">
        <v>46144.0</v>
      </c>
      <c r="B1337" s="4" t="s">
        <v>3883</v>
      </c>
      <c r="C1337" s="5">
        <v>6380000.0</v>
      </c>
      <c r="D1337" s="5">
        <v>0.0</v>
      </c>
      <c r="E1337" s="5">
        <f t="shared" si="2"/>
        <v>136344339</v>
      </c>
      <c r="F1337" s="4" t="s">
        <v>2464</v>
      </c>
      <c r="G1337" s="4" t="s">
        <v>59</v>
      </c>
      <c r="H1337" s="4" t="s">
        <v>677</v>
      </c>
    </row>
    <row r="1338" ht="15.75" customHeight="1">
      <c r="A1338" s="8">
        <v>46144.0</v>
      </c>
      <c r="B1338" s="4" t="s">
        <v>3884</v>
      </c>
      <c r="C1338" s="5">
        <v>242000.0</v>
      </c>
      <c r="D1338" s="5">
        <v>0.0</v>
      </c>
      <c r="E1338" s="5">
        <f t="shared" si="2"/>
        <v>136102339</v>
      </c>
      <c r="F1338" s="4" t="s">
        <v>2464</v>
      </c>
      <c r="G1338" s="4" t="s">
        <v>59</v>
      </c>
      <c r="H1338" s="4" t="s">
        <v>677</v>
      </c>
    </row>
    <row r="1339" ht="15.75" customHeight="1">
      <c r="A1339" s="8">
        <v>46145.0</v>
      </c>
      <c r="B1339" s="4" t="s">
        <v>3885</v>
      </c>
      <c r="C1339" s="5">
        <v>287999.0</v>
      </c>
      <c r="D1339" s="5">
        <v>0.0</v>
      </c>
      <c r="E1339" s="5">
        <f t="shared" si="2"/>
        <v>135814340</v>
      </c>
      <c r="F1339" s="4" t="s">
        <v>2464</v>
      </c>
      <c r="G1339" s="4" t="s">
        <v>59</v>
      </c>
      <c r="H1339" s="4" t="s">
        <v>677</v>
      </c>
    </row>
    <row r="1340" ht="15.75" customHeight="1">
      <c r="A1340" s="8">
        <v>46145.0</v>
      </c>
      <c r="B1340" s="4" t="s">
        <v>3886</v>
      </c>
      <c r="C1340" s="5">
        <v>3176600.0</v>
      </c>
      <c r="D1340" s="5">
        <v>0.0</v>
      </c>
      <c r="E1340" s="5">
        <f t="shared" si="2"/>
        <v>132637740</v>
      </c>
      <c r="F1340" s="4" t="s">
        <v>2464</v>
      </c>
      <c r="G1340" s="4" t="s">
        <v>59</v>
      </c>
      <c r="H1340" s="4" t="s">
        <v>677</v>
      </c>
    </row>
    <row r="1341" ht="15.75" customHeight="1">
      <c r="A1341" s="8">
        <v>46145.0</v>
      </c>
      <c r="B1341" s="4" t="s">
        <v>3887</v>
      </c>
      <c r="C1341" s="5">
        <v>1350000.0</v>
      </c>
      <c r="D1341" s="5">
        <v>0.0</v>
      </c>
      <c r="E1341" s="5">
        <f t="shared" si="2"/>
        <v>131287740</v>
      </c>
      <c r="F1341" s="4" t="s">
        <v>2464</v>
      </c>
      <c r="G1341" s="4" t="s">
        <v>59</v>
      </c>
      <c r="H1341" s="4" t="s">
        <v>677</v>
      </c>
    </row>
    <row r="1342" ht="15.75" customHeight="1">
      <c r="A1342" s="8">
        <v>46145.0</v>
      </c>
      <c r="B1342" s="4" t="s">
        <v>3888</v>
      </c>
      <c r="C1342" s="5">
        <v>3.2E7</v>
      </c>
      <c r="D1342" s="5">
        <v>0.0</v>
      </c>
      <c r="E1342" s="5">
        <f t="shared" si="2"/>
        <v>99287740</v>
      </c>
      <c r="F1342" s="4" t="s">
        <v>2464</v>
      </c>
      <c r="G1342" s="4" t="s">
        <v>59</v>
      </c>
      <c r="H1342" s="4" t="s">
        <v>677</v>
      </c>
    </row>
    <row r="1343" ht="15.75" customHeight="1">
      <c r="A1343" s="8">
        <v>46147.0</v>
      </c>
      <c r="B1343" s="4" t="s">
        <v>3889</v>
      </c>
      <c r="C1343" s="5">
        <v>1.215E7</v>
      </c>
      <c r="D1343" s="5">
        <v>0.0</v>
      </c>
      <c r="E1343" s="5">
        <f t="shared" si="2"/>
        <v>87137740</v>
      </c>
      <c r="F1343" s="4" t="s">
        <v>2464</v>
      </c>
      <c r="G1343" s="4" t="s">
        <v>59</v>
      </c>
      <c r="H1343" s="14" t="s">
        <v>694</v>
      </c>
    </row>
    <row r="1344" ht="15.75" customHeight="1">
      <c r="A1344" s="8">
        <v>46147.0</v>
      </c>
      <c r="B1344" s="4" t="s">
        <v>3890</v>
      </c>
      <c r="C1344" s="5">
        <v>7650000.0</v>
      </c>
      <c r="D1344" s="5">
        <v>0.0</v>
      </c>
      <c r="E1344" s="5">
        <f t="shared" si="2"/>
        <v>79487740</v>
      </c>
      <c r="F1344" s="4" t="s">
        <v>2464</v>
      </c>
      <c r="G1344" s="4" t="s">
        <v>59</v>
      </c>
      <c r="H1344" s="14" t="s">
        <v>694</v>
      </c>
    </row>
    <row r="1345" ht="15.75" customHeight="1">
      <c r="A1345" s="8">
        <v>46148.0</v>
      </c>
      <c r="B1345" s="14" t="s">
        <v>3891</v>
      </c>
      <c r="C1345" s="5">
        <v>7.0E7</v>
      </c>
      <c r="D1345" s="5">
        <v>0.0</v>
      </c>
      <c r="E1345" s="5">
        <f t="shared" si="2"/>
        <v>9487740</v>
      </c>
      <c r="F1345" s="14" t="s">
        <v>2464</v>
      </c>
      <c r="G1345" s="14" t="s">
        <v>59</v>
      </c>
      <c r="H1345" s="14" t="s">
        <v>694</v>
      </c>
      <c r="I1345" s="14"/>
      <c r="J1345" s="14"/>
      <c r="K1345" s="14"/>
      <c r="L1345" s="14"/>
    </row>
    <row r="1346" ht="15.75" customHeight="1">
      <c r="A1346" s="8">
        <v>46150.0</v>
      </c>
      <c r="B1346" s="4" t="s">
        <v>3892</v>
      </c>
      <c r="C1346" s="5">
        <v>178000.0</v>
      </c>
      <c r="D1346" s="5">
        <v>0.0</v>
      </c>
      <c r="E1346" s="5">
        <f t="shared" si="2"/>
        <v>9309740</v>
      </c>
      <c r="F1346" s="4" t="s">
        <v>2464</v>
      </c>
      <c r="G1346" s="4" t="s">
        <v>59</v>
      </c>
      <c r="H1346" s="14" t="s">
        <v>694</v>
      </c>
    </row>
    <row r="1347" ht="15.75" customHeight="1">
      <c r="A1347" s="8">
        <v>46150.0</v>
      </c>
      <c r="B1347" s="4" t="s">
        <v>3893</v>
      </c>
      <c r="C1347" s="5">
        <v>8150000.0</v>
      </c>
      <c r="D1347" s="5">
        <v>0.0</v>
      </c>
      <c r="E1347" s="5">
        <f t="shared" si="2"/>
        <v>1159740</v>
      </c>
      <c r="F1347" s="4" t="s">
        <v>2464</v>
      </c>
      <c r="G1347" s="4" t="s">
        <v>59</v>
      </c>
      <c r="H1347" s="14" t="s">
        <v>694</v>
      </c>
    </row>
    <row r="1348" ht="15.75" customHeight="1">
      <c r="A1348" s="8">
        <v>46155.0</v>
      </c>
      <c r="B1348" s="4" t="s">
        <v>3894</v>
      </c>
      <c r="C1348" s="5">
        <v>150500.0</v>
      </c>
      <c r="D1348" s="5">
        <v>0.0</v>
      </c>
      <c r="E1348" s="5">
        <f t="shared" si="2"/>
        <v>1009240</v>
      </c>
      <c r="F1348" s="4" t="s">
        <v>1471</v>
      </c>
      <c r="G1348" s="4" t="s">
        <v>3435</v>
      </c>
    </row>
    <row r="1349" ht="15.75" customHeight="1">
      <c r="A1349" s="8">
        <v>46160.0</v>
      </c>
      <c r="B1349" s="4" t="s">
        <v>3895</v>
      </c>
      <c r="C1349" s="5">
        <v>471240.0</v>
      </c>
      <c r="D1349" s="5">
        <v>0.0</v>
      </c>
      <c r="E1349" s="5">
        <f t="shared" si="2"/>
        <v>538000</v>
      </c>
      <c r="F1349" s="4" t="s">
        <v>1471</v>
      </c>
      <c r="G1349" s="4" t="s">
        <v>3435</v>
      </c>
    </row>
    <row r="1350" ht="15.75" customHeight="1">
      <c r="A1350" s="8">
        <v>46161.0</v>
      </c>
      <c r="B1350" s="4" t="s">
        <v>3896</v>
      </c>
      <c r="C1350" s="5">
        <v>528000.0</v>
      </c>
      <c r="D1350" s="5">
        <v>0.0</v>
      </c>
      <c r="E1350" s="5">
        <f t="shared" si="2"/>
        <v>10000</v>
      </c>
      <c r="F1350" s="4" t="s">
        <v>1471</v>
      </c>
      <c r="G1350" s="4" t="s">
        <v>3435</v>
      </c>
    </row>
    <row r="1351" ht="15.75" customHeight="1">
      <c r="A1351" s="8">
        <v>46162.0</v>
      </c>
      <c r="B1351" s="4" t="s">
        <v>3432</v>
      </c>
      <c r="C1351" s="5">
        <v>10000.0</v>
      </c>
      <c r="D1351" s="5">
        <v>0.0</v>
      </c>
      <c r="E1351" s="5">
        <f t="shared" si="2"/>
        <v>0</v>
      </c>
      <c r="F1351" s="4" t="s">
        <v>43</v>
      </c>
      <c r="G1351" s="4" t="s">
        <v>45</v>
      </c>
    </row>
    <row r="1352" ht="15.75" customHeight="1">
      <c r="A1352" s="8">
        <v>46205.0</v>
      </c>
      <c r="B1352" s="4" t="s">
        <v>1936</v>
      </c>
      <c r="C1352" s="5">
        <v>0.0</v>
      </c>
      <c r="D1352" s="5">
        <v>1.24141133E8</v>
      </c>
      <c r="E1352" s="5">
        <f t="shared" si="2"/>
        <v>124141133</v>
      </c>
      <c r="F1352" s="14" t="s">
        <v>21</v>
      </c>
      <c r="G1352" s="14" t="s">
        <v>448</v>
      </c>
      <c r="H1352" s="14" t="s">
        <v>38</v>
      </c>
    </row>
    <row r="1353" ht="15.75" customHeight="1">
      <c r="A1353" s="8">
        <v>46167.0</v>
      </c>
      <c r="B1353" s="4" t="s">
        <v>3469</v>
      </c>
      <c r="C1353" s="5">
        <v>5000.0</v>
      </c>
      <c r="D1353" s="5">
        <v>0.0</v>
      </c>
      <c r="E1353" s="5">
        <f t="shared" si="2"/>
        <v>124136133</v>
      </c>
      <c r="F1353" s="14" t="s">
        <v>43</v>
      </c>
      <c r="G1353" s="14" t="s">
        <v>45</v>
      </c>
      <c r="H1353" s="14"/>
    </row>
    <row r="1354" ht="15.75" customHeight="1">
      <c r="A1354" s="8">
        <v>46168.0</v>
      </c>
      <c r="B1354" s="4" t="s">
        <v>3897</v>
      </c>
      <c r="C1354" s="5">
        <v>10000.0</v>
      </c>
      <c r="D1354" s="5">
        <v>0.0</v>
      </c>
      <c r="E1354" s="5">
        <f t="shared" si="2"/>
        <v>124126133</v>
      </c>
      <c r="F1354" s="14" t="s">
        <v>43</v>
      </c>
      <c r="G1354" s="14" t="s">
        <v>45</v>
      </c>
      <c r="H1354" s="14"/>
    </row>
    <row r="1355" ht="15.75" customHeight="1">
      <c r="A1355" s="8">
        <v>46191.0</v>
      </c>
      <c r="B1355" s="4" t="s">
        <v>3830</v>
      </c>
      <c r="C1355" s="5">
        <v>10000.0</v>
      </c>
      <c r="D1355" s="5">
        <v>0.0</v>
      </c>
      <c r="E1355" s="5">
        <f t="shared" si="2"/>
        <v>124116133</v>
      </c>
      <c r="F1355" s="14" t="s">
        <v>43</v>
      </c>
      <c r="G1355" s="14" t="s">
        <v>45</v>
      </c>
      <c r="H1355" s="14"/>
    </row>
    <row r="1356" ht="15.75" customHeight="1">
      <c r="A1356" s="8">
        <v>46191.0</v>
      </c>
      <c r="B1356" s="4" t="s">
        <v>3831</v>
      </c>
      <c r="C1356" s="5">
        <v>10000.0</v>
      </c>
      <c r="D1356" s="5">
        <v>0.0</v>
      </c>
      <c r="E1356" s="5">
        <f t="shared" si="2"/>
        <v>124106133</v>
      </c>
      <c r="F1356" s="14" t="s">
        <v>43</v>
      </c>
      <c r="G1356" s="14" t="s">
        <v>45</v>
      </c>
      <c r="H1356" s="14"/>
    </row>
    <row r="1357" ht="15.75" customHeight="1">
      <c r="A1357" s="8">
        <v>46160.0</v>
      </c>
      <c r="B1357" s="4" t="s">
        <v>3898</v>
      </c>
      <c r="C1357" s="5">
        <v>368670.0</v>
      </c>
      <c r="D1357" s="5">
        <v>0.0</v>
      </c>
      <c r="E1357" s="5">
        <f t="shared" si="2"/>
        <v>123737463</v>
      </c>
      <c r="F1357" s="14" t="s">
        <v>50</v>
      </c>
      <c r="G1357" s="14" t="s">
        <v>245</v>
      </c>
      <c r="H1357" s="4" t="s">
        <v>413</v>
      </c>
    </row>
    <row r="1358" ht="15.75" customHeight="1">
      <c r="A1358" s="8">
        <v>46161.0</v>
      </c>
      <c r="B1358" s="4" t="s">
        <v>3899</v>
      </c>
      <c r="C1358" s="5">
        <v>201000.0</v>
      </c>
      <c r="D1358" s="5">
        <v>0.0</v>
      </c>
      <c r="E1358" s="5">
        <f t="shared" si="2"/>
        <v>123536463</v>
      </c>
      <c r="F1358" s="14" t="s">
        <v>105</v>
      </c>
      <c r="G1358" s="14" t="s">
        <v>2064</v>
      </c>
      <c r="H1358" s="14" t="s">
        <v>271</v>
      </c>
      <c r="I1358" s="14" t="s">
        <v>2395</v>
      </c>
    </row>
    <row r="1359" ht="15.75" customHeight="1">
      <c r="A1359" s="8">
        <v>46163.0</v>
      </c>
      <c r="B1359" s="4" t="s">
        <v>3900</v>
      </c>
      <c r="C1359" s="5">
        <v>288100.0</v>
      </c>
      <c r="D1359" s="5">
        <v>0.0</v>
      </c>
      <c r="E1359" s="5">
        <f t="shared" si="2"/>
        <v>123248363</v>
      </c>
      <c r="F1359" s="14" t="s">
        <v>50</v>
      </c>
      <c r="G1359" s="14" t="s">
        <v>245</v>
      </c>
      <c r="H1359" s="4" t="s">
        <v>413</v>
      </c>
    </row>
    <row r="1360" ht="15.75" customHeight="1">
      <c r="A1360" s="8">
        <v>46164.0</v>
      </c>
      <c r="B1360" s="4" t="s">
        <v>3901</v>
      </c>
      <c r="C1360" s="5">
        <v>5456798.0</v>
      </c>
      <c r="D1360" s="5">
        <v>0.0</v>
      </c>
      <c r="E1360" s="5">
        <f t="shared" si="2"/>
        <v>117791565</v>
      </c>
      <c r="F1360" s="14" t="s">
        <v>2464</v>
      </c>
      <c r="G1360" s="4" t="s">
        <v>59</v>
      </c>
      <c r="H1360" s="14" t="s">
        <v>111</v>
      </c>
    </row>
    <row r="1361" ht="15.75" customHeight="1">
      <c r="A1361" s="8">
        <v>46164.0</v>
      </c>
      <c r="B1361" s="4" t="s">
        <v>3902</v>
      </c>
      <c r="C1361" s="5">
        <v>80000.0</v>
      </c>
      <c r="D1361" s="5">
        <v>0.0</v>
      </c>
      <c r="E1361" s="5">
        <f t="shared" si="2"/>
        <v>117711565</v>
      </c>
      <c r="F1361" s="14" t="s">
        <v>2464</v>
      </c>
      <c r="G1361" s="4" t="s">
        <v>59</v>
      </c>
      <c r="H1361" s="14" t="s">
        <v>111</v>
      </c>
    </row>
    <row r="1362" ht="15.75" customHeight="1">
      <c r="A1362" s="8">
        <v>46164.0</v>
      </c>
      <c r="B1362" s="4" t="s">
        <v>3903</v>
      </c>
      <c r="C1362" s="5">
        <v>80000.0</v>
      </c>
      <c r="D1362" s="5">
        <v>0.0</v>
      </c>
      <c r="E1362" s="5">
        <f t="shared" si="2"/>
        <v>117631565</v>
      </c>
      <c r="F1362" s="14" t="s">
        <v>2464</v>
      </c>
      <c r="G1362" s="4" t="s">
        <v>59</v>
      </c>
      <c r="H1362" s="14" t="s">
        <v>111</v>
      </c>
    </row>
    <row r="1363" ht="15.75" customHeight="1">
      <c r="A1363" s="8">
        <v>46165.0</v>
      </c>
      <c r="B1363" s="4" t="s">
        <v>3904</v>
      </c>
      <c r="C1363" s="5">
        <v>1237600.0</v>
      </c>
      <c r="D1363" s="5">
        <v>0.0</v>
      </c>
      <c r="E1363" s="5">
        <f t="shared" si="2"/>
        <v>116393965</v>
      </c>
      <c r="F1363" s="14" t="s">
        <v>2464</v>
      </c>
      <c r="G1363" s="4" t="s">
        <v>59</v>
      </c>
      <c r="H1363" s="14" t="s">
        <v>111</v>
      </c>
    </row>
    <row r="1364" ht="15.75" customHeight="1">
      <c r="A1364" s="8">
        <v>46167.0</v>
      </c>
      <c r="B1364" s="4" t="s">
        <v>3905</v>
      </c>
      <c r="C1364" s="5">
        <v>362520.0</v>
      </c>
      <c r="D1364" s="5">
        <v>0.0</v>
      </c>
      <c r="E1364" s="5">
        <f t="shared" si="2"/>
        <v>116031445</v>
      </c>
      <c r="F1364" s="14" t="s">
        <v>50</v>
      </c>
      <c r="G1364" s="14" t="s">
        <v>245</v>
      </c>
      <c r="H1364" s="4" t="s">
        <v>413</v>
      </c>
    </row>
    <row r="1365" ht="15.75" customHeight="1">
      <c r="A1365" s="8">
        <v>46176.0</v>
      </c>
      <c r="B1365" s="4" t="s">
        <v>3906</v>
      </c>
      <c r="C1365" s="5">
        <v>392100.0</v>
      </c>
      <c r="D1365" s="5">
        <v>0.0</v>
      </c>
      <c r="E1365" s="5">
        <f t="shared" si="2"/>
        <v>115639345</v>
      </c>
      <c r="F1365" s="14" t="s">
        <v>50</v>
      </c>
      <c r="G1365" s="14" t="s">
        <v>245</v>
      </c>
      <c r="H1365" s="4" t="s">
        <v>413</v>
      </c>
    </row>
    <row r="1366" ht="15.75" customHeight="1">
      <c r="A1366" s="8">
        <v>46178.0</v>
      </c>
      <c r="B1366" s="4" t="s">
        <v>3907</v>
      </c>
      <c r="C1366" s="5">
        <v>1118142.0</v>
      </c>
      <c r="D1366" s="5">
        <v>0.0</v>
      </c>
      <c r="E1366" s="5">
        <f t="shared" si="2"/>
        <v>114521203</v>
      </c>
      <c r="F1366" s="14" t="s">
        <v>1471</v>
      </c>
      <c r="G1366" s="14" t="s">
        <v>3435</v>
      </c>
      <c r="H1366" s="14" t="s">
        <v>6</v>
      </c>
      <c r="I1366" s="14" t="s">
        <v>6</v>
      </c>
    </row>
    <row r="1367" ht="15.75" customHeight="1">
      <c r="A1367" s="8">
        <v>46181.0</v>
      </c>
      <c r="B1367" s="4" t="s">
        <v>3908</v>
      </c>
      <c r="C1367" s="5">
        <v>391200.0</v>
      </c>
      <c r="D1367" s="5">
        <v>0.0</v>
      </c>
      <c r="E1367" s="5">
        <f t="shared" si="2"/>
        <v>114130003</v>
      </c>
      <c r="F1367" s="14" t="s">
        <v>50</v>
      </c>
      <c r="G1367" s="14" t="s">
        <v>245</v>
      </c>
      <c r="H1367" s="4" t="s">
        <v>413</v>
      </c>
    </row>
    <row r="1368" ht="15.75" customHeight="1">
      <c r="A1368" s="8">
        <v>46184.0</v>
      </c>
      <c r="B1368" s="4" t="s">
        <v>3909</v>
      </c>
      <c r="C1368" s="5">
        <v>305900.0</v>
      </c>
      <c r="D1368" s="5">
        <v>0.0</v>
      </c>
      <c r="E1368" s="5">
        <f t="shared" si="2"/>
        <v>113824103</v>
      </c>
      <c r="F1368" s="14" t="s">
        <v>50</v>
      </c>
      <c r="G1368" s="14" t="s">
        <v>245</v>
      </c>
      <c r="H1368" s="4" t="s">
        <v>413</v>
      </c>
    </row>
    <row r="1369" ht="15.75" customHeight="1">
      <c r="A1369" s="8">
        <v>46190.0</v>
      </c>
      <c r="B1369" s="4" t="s">
        <v>3910</v>
      </c>
      <c r="C1369" s="5">
        <v>390000.0</v>
      </c>
      <c r="D1369" s="5">
        <v>0.0</v>
      </c>
      <c r="E1369" s="5">
        <f t="shared" si="2"/>
        <v>113434103</v>
      </c>
      <c r="F1369" s="14" t="s">
        <v>50</v>
      </c>
      <c r="G1369" s="14" t="s">
        <v>245</v>
      </c>
      <c r="H1369" s="4" t="s">
        <v>413</v>
      </c>
    </row>
    <row r="1370" ht="15.75" customHeight="1">
      <c r="A1370" s="8">
        <v>46160.0</v>
      </c>
      <c r="B1370" s="4" t="s">
        <v>3911</v>
      </c>
      <c r="C1370" s="5">
        <v>2300000.0</v>
      </c>
      <c r="D1370" s="5">
        <v>0.0</v>
      </c>
      <c r="E1370" s="5">
        <f t="shared" si="2"/>
        <v>111134103</v>
      </c>
      <c r="F1370" s="4" t="s">
        <v>24</v>
      </c>
      <c r="G1370" s="4" t="s">
        <v>125</v>
      </c>
      <c r="H1370" s="14" t="s">
        <v>1859</v>
      </c>
    </row>
    <row r="1371" ht="15.75" customHeight="1">
      <c r="A1371" s="8">
        <v>46168.0</v>
      </c>
      <c r="B1371" s="4" t="s">
        <v>3912</v>
      </c>
      <c r="C1371" s="5">
        <v>3630146.0</v>
      </c>
      <c r="D1371" s="5">
        <v>0.0</v>
      </c>
      <c r="E1371" s="5">
        <f t="shared" si="2"/>
        <v>107503957</v>
      </c>
      <c r="F1371" s="14" t="s">
        <v>2464</v>
      </c>
      <c r="G1371" s="4" t="s">
        <v>59</v>
      </c>
      <c r="H1371" s="4" t="s">
        <v>3800</v>
      </c>
    </row>
    <row r="1372" ht="15.75" customHeight="1">
      <c r="A1372" s="8">
        <v>46170.0</v>
      </c>
      <c r="B1372" s="4" t="s">
        <v>3913</v>
      </c>
      <c r="C1372" s="5">
        <v>352100.0</v>
      </c>
      <c r="D1372" s="5">
        <v>0.0</v>
      </c>
      <c r="E1372" s="5">
        <f t="shared" si="2"/>
        <v>107151857</v>
      </c>
      <c r="F1372" s="14" t="s">
        <v>50</v>
      </c>
      <c r="G1372" s="14" t="s">
        <v>245</v>
      </c>
      <c r="H1372" s="14" t="s">
        <v>246</v>
      </c>
    </row>
    <row r="1373" ht="15.75" customHeight="1">
      <c r="A1373" s="8">
        <v>46171.0</v>
      </c>
      <c r="B1373" s="4" t="s">
        <v>3914</v>
      </c>
      <c r="C1373" s="5">
        <v>3926450.0</v>
      </c>
      <c r="D1373" s="5">
        <v>0.0</v>
      </c>
      <c r="E1373" s="5">
        <f t="shared" si="2"/>
        <v>103225407</v>
      </c>
      <c r="F1373" s="14" t="s">
        <v>2464</v>
      </c>
      <c r="G1373" s="4" t="s">
        <v>59</v>
      </c>
      <c r="H1373" s="4" t="s">
        <v>3800</v>
      </c>
    </row>
    <row r="1374" ht="15.75" customHeight="1">
      <c r="A1374" s="8">
        <v>46175.0</v>
      </c>
      <c r="B1374" s="4" t="s">
        <v>3915</v>
      </c>
      <c r="C1374" s="5">
        <v>605180.0</v>
      </c>
      <c r="D1374" s="5">
        <v>0.0</v>
      </c>
      <c r="E1374" s="5">
        <f t="shared" si="2"/>
        <v>102620227</v>
      </c>
      <c r="F1374" s="14" t="s">
        <v>2464</v>
      </c>
      <c r="G1374" s="4" t="s">
        <v>59</v>
      </c>
      <c r="H1374" s="14" t="s">
        <v>931</v>
      </c>
    </row>
    <row r="1375" ht="15.75" customHeight="1">
      <c r="A1375" s="8">
        <v>46175.0</v>
      </c>
      <c r="B1375" s="4" t="s">
        <v>3916</v>
      </c>
      <c r="C1375" s="5">
        <v>1800000.0</v>
      </c>
      <c r="D1375" s="5">
        <v>0.0</v>
      </c>
      <c r="E1375" s="5">
        <f t="shared" si="2"/>
        <v>100820227</v>
      </c>
      <c r="F1375" s="4" t="s">
        <v>24</v>
      </c>
      <c r="G1375" s="4" t="s">
        <v>125</v>
      </c>
      <c r="H1375" s="14" t="s">
        <v>1859</v>
      </c>
    </row>
    <row r="1376" ht="15.75" customHeight="1">
      <c r="A1376" s="8">
        <v>46176.0</v>
      </c>
      <c r="B1376" s="4" t="s">
        <v>3917</v>
      </c>
      <c r="C1376" s="5">
        <v>122523.0</v>
      </c>
      <c r="D1376" s="5">
        <v>0.0</v>
      </c>
      <c r="E1376" s="5">
        <f t="shared" si="2"/>
        <v>100697704</v>
      </c>
      <c r="F1376" s="14" t="s">
        <v>2464</v>
      </c>
      <c r="G1376" s="4" t="s">
        <v>59</v>
      </c>
      <c r="H1376" s="14" t="s">
        <v>2670</v>
      </c>
    </row>
    <row r="1377" ht="15.75" customHeight="1">
      <c r="A1377" s="8">
        <v>46177.0</v>
      </c>
      <c r="B1377" s="4" t="s">
        <v>3918</v>
      </c>
      <c r="C1377" s="5">
        <v>368133.0</v>
      </c>
      <c r="D1377" s="5">
        <v>0.0</v>
      </c>
      <c r="E1377" s="5">
        <f t="shared" si="2"/>
        <v>100329571</v>
      </c>
      <c r="F1377" s="14" t="s">
        <v>2464</v>
      </c>
      <c r="G1377" s="4" t="s">
        <v>59</v>
      </c>
      <c r="H1377" s="14" t="s">
        <v>931</v>
      </c>
    </row>
    <row r="1378" ht="15.75" customHeight="1">
      <c r="A1378" s="8">
        <v>46178.0</v>
      </c>
      <c r="B1378" s="14" t="s">
        <v>3919</v>
      </c>
      <c r="C1378" s="5">
        <v>122000.0</v>
      </c>
      <c r="D1378" s="5">
        <v>0.0</v>
      </c>
      <c r="E1378" s="5">
        <f t="shared" si="2"/>
        <v>100207571</v>
      </c>
      <c r="F1378" s="14" t="s">
        <v>50</v>
      </c>
      <c r="G1378" s="14" t="s">
        <v>1996</v>
      </c>
      <c r="H1378" s="14"/>
      <c r="I1378" s="14"/>
      <c r="J1378" s="14"/>
      <c r="K1378" s="14"/>
      <c r="L1378" s="14"/>
    </row>
    <row r="1379" ht="15.75" customHeight="1">
      <c r="A1379" s="8">
        <v>46181.0</v>
      </c>
      <c r="B1379" s="4" t="s">
        <v>3920</v>
      </c>
      <c r="C1379" s="5">
        <v>4.1199975E7</v>
      </c>
      <c r="D1379" s="5">
        <v>0.0</v>
      </c>
      <c r="E1379" s="5">
        <f t="shared" si="2"/>
        <v>59007596</v>
      </c>
      <c r="F1379" s="14" t="s">
        <v>2464</v>
      </c>
      <c r="G1379" s="4" t="s">
        <v>59</v>
      </c>
      <c r="H1379" s="14" t="s">
        <v>1250</v>
      </c>
    </row>
    <row r="1380" ht="15.75" customHeight="1">
      <c r="A1380" s="8">
        <v>46181.0</v>
      </c>
      <c r="B1380" s="4" t="s">
        <v>3921</v>
      </c>
      <c r="C1380" s="5">
        <v>819654.0</v>
      </c>
      <c r="D1380" s="5">
        <v>0.0</v>
      </c>
      <c r="E1380" s="5">
        <f t="shared" si="2"/>
        <v>58187942</v>
      </c>
      <c r="F1380" s="4" t="s">
        <v>24</v>
      </c>
      <c r="G1380" s="4" t="s">
        <v>125</v>
      </c>
      <c r="H1380" s="14" t="s">
        <v>1859</v>
      </c>
    </row>
    <row r="1381" ht="15.75" customHeight="1">
      <c r="A1381" s="8">
        <v>46181.0</v>
      </c>
      <c r="B1381" s="4" t="s">
        <v>3922</v>
      </c>
      <c r="C1381" s="5">
        <v>275692.0</v>
      </c>
      <c r="D1381" s="5">
        <v>0.0</v>
      </c>
      <c r="E1381" s="5">
        <f t="shared" si="2"/>
        <v>57912250</v>
      </c>
      <c r="F1381" s="14" t="s">
        <v>2464</v>
      </c>
      <c r="G1381" s="4" t="s">
        <v>59</v>
      </c>
      <c r="H1381" s="14" t="s">
        <v>677</v>
      </c>
    </row>
    <row r="1382" ht="15.75" customHeight="1">
      <c r="A1382" s="8">
        <v>46181.0</v>
      </c>
      <c r="B1382" s="4" t="s">
        <v>3923</v>
      </c>
      <c r="C1382" s="5">
        <v>332800.0</v>
      </c>
      <c r="D1382" s="5">
        <v>0.0</v>
      </c>
      <c r="E1382" s="5">
        <f t="shared" si="2"/>
        <v>57579450</v>
      </c>
      <c r="F1382" s="14" t="s">
        <v>50</v>
      </c>
      <c r="G1382" s="14" t="s">
        <v>245</v>
      </c>
      <c r="H1382" s="14" t="s">
        <v>246</v>
      </c>
    </row>
    <row r="1383" ht="15.75" customHeight="1">
      <c r="A1383" s="8">
        <v>46182.0</v>
      </c>
      <c r="B1383" s="4" t="s">
        <v>3924</v>
      </c>
      <c r="C1383" s="5">
        <v>1800000.0</v>
      </c>
      <c r="D1383" s="5">
        <v>0.0</v>
      </c>
      <c r="E1383" s="5">
        <f t="shared" si="2"/>
        <v>55779450</v>
      </c>
      <c r="F1383" s="4" t="s">
        <v>24</v>
      </c>
      <c r="G1383" s="4" t="s">
        <v>125</v>
      </c>
      <c r="H1383" s="14" t="s">
        <v>1859</v>
      </c>
    </row>
    <row r="1384" ht="15.75" customHeight="1">
      <c r="A1384" s="8">
        <v>46183.0</v>
      </c>
      <c r="B1384" s="4" t="s">
        <v>3925</v>
      </c>
      <c r="C1384" s="5">
        <v>786684.0</v>
      </c>
      <c r="D1384" s="5">
        <v>0.0</v>
      </c>
      <c r="E1384" s="5">
        <f t="shared" si="2"/>
        <v>54992766</v>
      </c>
      <c r="F1384" s="14" t="s">
        <v>1471</v>
      </c>
      <c r="G1384" s="14" t="s">
        <v>1579</v>
      </c>
      <c r="H1384" s="14"/>
    </row>
    <row r="1385" ht="15.75" customHeight="1">
      <c r="A1385" s="8">
        <v>46183.0</v>
      </c>
      <c r="B1385" s="4" t="s">
        <v>3926</v>
      </c>
      <c r="C1385" s="5">
        <v>954964.0</v>
      </c>
      <c r="D1385" s="5">
        <v>0.0</v>
      </c>
      <c r="E1385" s="5">
        <f t="shared" si="2"/>
        <v>54037802</v>
      </c>
      <c r="F1385" s="4" t="s">
        <v>24</v>
      </c>
      <c r="G1385" s="4" t="s">
        <v>125</v>
      </c>
      <c r="H1385" s="14" t="s">
        <v>1859</v>
      </c>
    </row>
    <row r="1386" ht="15.75" customHeight="1">
      <c r="A1386" s="8">
        <v>46188.0</v>
      </c>
      <c r="B1386" s="4" t="s">
        <v>3927</v>
      </c>
      <c r="C1386" s="5">
        <v>1600000.0</v>
      </c>
      <c r="D1386" s="5">
        <v>0.0</v>
      </c>
      <c r="E1386" s="5">
        <f t="shared" si="2"/>
        <v>52437802</v>
      </c>
      <c r="F1386" s="4" t="s">
        <v>24</v>
      </c>
      <c r="G1386" s="14" t="s">
        <v>125</v>
      </c>
      <c r="H1386" s="14" t="s">
        <v>2207</v>
      </c>
    </row>
    <row r="1387" ht="15.75" customHeight="1">
      <c r="A1387" s="8">
        <v>46188.0</v>
      </c>
      <c r="B1387" s="4" t="s">
        <v>3928</v>
      </c>
      <c r="C1387" s="5">
        <v>430000.0</v>
      </c>
      <c r="D1387" s="5">
        <v>0.0</v>
      </c>
      <c r="E1387" s="5">
        <f t="shared" si="2"/>
        <v>52007802</v>
      </c>
      <c r="F1387" s="14" t="s">
        <v>2464</v>
      </c>
      <c r="G1387" s="4" t="s">
        <v>59</v>
      </c>
      <c r="H1387" s="4" t="s">
        <v>592</v>
      </c>
    </row>
    <row r="1388" ht="15.75" customHeight="1">
      <c r="A1388" s="8">
        <v>46189.0</v>
      </c>
      <c r="B1388" s="4" t="s">
        <v>3929</v>
      </c>
      <c r="C1388" s="5">
        <v>2526310.0</v>
      </c>
      <c r="D1388" s="5">
        <v>0.0</v>
      </c>
      <c r="E1388" s="5">
        <f t="shared" si="2"/>
        <v>49481492</v>
      </c>
      <c r="F1388" s="4" t="s">
        <v>24</v>
      </c>
      <c r="G1388" s="14" t="s">
        <v>125</v>
      </c>
      <c r="H1388" s="14" t="s">
        <v>2207</v>
      </c>
    </row>
    <row r="1389" ht="15.75" customHeight="1">
      <c r="A1389" s="8">
        <v>46190.0</v>
      </c>
      <c r="B1389" s="4" t="s">
        <v>3930</v>
      </c>
      <c r="C1389" s="5">
        <v>8643349.0</v>
      </c>
      <c r="D1389" s="5">
        <v>0.0</v>
      </c>
      <c r="E1389" s="5">
        <f t="shared" si="2"/>
        <v>40838143</v>
      </c>
      <c r="F1389" s="14" t="s">
        <v>93</v>
      </c>
      <c r="G1389" s="14" t="s">
        <v>93</v>
      </c>
      <c r="H1389" s="14" t="s">
        <v>346</v>
      </c>
    </row>
    <row r="1390" ht="15.75" customHeight="1">
      <c r="A1390" s="8">
        <v>46190.0</v>
      </c>
      <c r="B1390" s="4" t="s">
        <v>3930</v>
      </c>
      <c r="C1390" s="5">
        <v>0.0</v>
      </c>
      <c r="D1390" s="5">
        <v>8643349.0</v>
      </c>
      <c r="E1390" s="5">
        <f t="shared" si="2"/>
        <v>49481492</v>
      </c>
      <c r="F1390" s="14" t="s">
        <v>93</v>
      </c>
      <c r="G1390" s="14" t="s">
        <v>93</v>
      </c>
      <c r="H1390" s="14" t="s">
        <v>346</v>
      </c>
    </row>
    <row r="1391" ht="15.75" customHeight="1">
      <c r="A1391" s="8">
        <v>46190.0</v>
      </c>
      <c r="B1391" s="4" t="s">
        <v>3931</v>
      </c>
      <c r="C1391" s="5">
        <v>2.97E7</v>
      </c>
      <c r="D1391" s="5">
        <v>0.0</v>
      </c>
      <c r="E1391" s="5">
        <f t="shared" si="2"/>
        <v>19781492</v>
      </c>
      <c r="F1391" s="14" t="s">
        <v>2464</v>
      </c>
      <c r="G1391" s="4" t="s">
        <v>59</v>
      </c>
      <c r="H1391" s="4" t="s">
        <v>3800</v>
      </c>
    </row>
    <row r="1392" ht="15.75" customHeight="1">
      <c r="A1392" s="8">
        <v>46190.0</v>
      </c>
      <c r="B1392" s="4" t="s">
        <v>3932</v>
      </c>
      <c r="C1392" s="5">
        <v>875552.0</v>
      </c>
      <c r="D1392" s="5">
        <v>0.0</v>
      </c>
      <c r="E1392" s="5">
        <f t="shared" si="2"/>
        <v>18905940</v>
      </c>
      <c r="F1392" s="14" t="s">
        <v>2464</v>
      </c>
      <c r="G1392" s="4" t="s">
        <v>59</v>
      </c>
      <c r="H1392" s="14" t="s">
        <v>1610</v>
      </c>
    </row>
    <row r="1393" ht="15.75" customHeight="1">
      <c r="A1393" s="8">
        <v>46160.0</v>
      </c>
      <c r="B1393" s="4" t="s">
        <v>3933</v>
      </c>
      <c r="C1393" s="5">
        <v>395010.0</v>
      </c>
      <c r="D1393" s="5">
        <v>0.0</v>
      </c>
      <c r="E1393" s="5">
        <f t="shared" si="2"/>
        <v>18510930</v>
      </c>
      <c r="F1393" s="14" t="s">
        <v>105</v>
      </c>
      <c r="G1393" s="14" t="s">
        <v>2064</v>
      </c>
      <c r="H1393" s="14" t="s">
        <v>271</v>
      </c>
      <c r="I1393" s="14" t="s">
        <v>6</v>
      </c>
    </row>
    <row r="1394" ht="15.75" customHeight="1">
      <c r="A1394" s="8">
        <v>46161.0</v>
      </c>
      <c r="B1394" s="4" t="s">
        <v>3934</v>
      </c>
      <c r="C1394" s="5">
        <v>228300.0</v>
      </c>
      <c r="D1394" s="5">
        <v>0.0</v>
      </c>
      <c r="E1394" s="5">
        <f t="shared" si="2"/>
        <v>18282630</v>
      </c>
      <c r="F1394" s="14" t="s">
        <v>105</v>
      </c>
      <c r="G1394" s="14" t="s">
        <v>2064</v>
      </c>
      <c r="H1394" s="14" t="s">
        <v>72</v>
      </c>
      <c r="I1394" s="14" t="s">
        <v>6</v>
      </c>
    </row>
    <row r="1395" ht="15.75" customHeight="1">
      <c r="A1395" s="8">
        <v>46161.0</v>
      </c>
      <c r="B1395" s="4" t="s">
        <v>3935</v>
      </c>
      <c r="C1395" s="5">
        <v>5432260.0</v>
      </c>
      <c r="D1395" s="5">
        <v>0.0</v>
      </c>
      <c r="E1395" s="5">
        <f t="shared" si="2"/>
        <v>12850370</v>
      </c>
      <c r="F1395" s="14" t="s">
        <v>105</v>
      </c>
      <c r="G1395" s="14" t="s">
        <v>3451</v>
      </c>
      <c r="H1395" s="14" t="s">
        <v>72</v>
      </c>
      <c r="I1395" s="14" t="s">
        <v>6</v>
      </c>
    </row>
    <row r="1396" ht="15.75" customHeight="1">
      <c r="A1396" s="8">
        <v>46162.0</v>
      </c>
      <c r="B1396" s="4" t="s">
        <v>3936</v>
      </c>
      <c r="C1396" s="5">
        <v>795000.0</v>
      </c>
      <c r="D1396" s="5">
        <v>0.0</v>
      </c>
      <c r="E1396" s="5">
        <f t="shared" si="2"/>
        <v>12055370</v>
      </c>
      <c r="F1396" s="14" t="s">
        <v>105</v>
      </c>
      <c r="G1396" s="14" t="s">
        <v>3451</v>
      </c>
      <c r="H1396" s="14" t="s">
        <v>72</v>
      </c>
      <c r="I1396" s="14" t="s">
        <v>6</v>
      </c>
    </row>
    <row r="1397" ht="15.75" customHeight="1">
      <c r="A1397" s="8">
        <v>46162.0</v>
      </c>
      <c r="B1397" s="4" t="s">
        <v>3937</v>
      </c>
      <c r="C1397" s="5">
        <v>376530.0</v>
      </c>
      <c r="D1397" s="5">
        <v>0.0</v>
      </c>
      <c r="E1397" s="5">
        <f t="shared" si="2"/>
        <v>11678840</v>
      </c>
      <c r="F1397" s="14" t="s">
        <v>105</v>
      </c>
      <c r="G1397" s="14" t="s">
        <v>2064</v>
      </c>
      <c r="H1397" s="14" t="s">
        <v>72</v>
      </c>
      <c r="I1397" s="14" t="s">
        <v>6</v>
      </c>
    </row>
    <row r="1398" ht="15.75" customHeight="1">
      <c r="A1398" s="8">
        <v>46162.0</v>
      </c>
      <c r="B1398" s="4" t="s">
        <v>3938</v>
      </c>
      <c r="C1398" s="5">
        <v>1776500.0</v>
      </c>
      <c r="D1398" s="5">
        <v>0.0</v>
      </c>
      <c r="E1398" s="5">
        <f t="shared" si="2"/>
        <v>9902340</v>
      </c>
      <c r="F1398" s="14" t="s">
        <v>50</v>
      </c>
      <c r="G1398" s="14" t="s">
        <v>3816</v>
      </c>
      <c r="H1398" s="14" t="s">
        <v>6</v>
      </c>
      <c r="I1398" s="14"/>
    </row>
    <row r="1399" ht="15.75" customHeight="1">
      <c r="A1399" s="8">
        <v>46167.0</v>
      </c>
      <c r="B1399" s="4" t="s">
        <v>3939</v>
      </c>
      <c r="C1399" s="5">
        <v>6450000.0</v>
      </c>
      <c r="D1399" s="5">
        <v>0.0</v>
      </c>
      <c r="E1399" s="5">
        <f t="shared" si="2"/>
        <v>3452340</v>
      </c>
      <c r="F1399" s="14" t="s">
        <v>105</v>
      </c>
      <c r="G1399" s="14" t="s">
        <v>3451</v>
      </c>
      <c r="H1399" s="14" t="s">
        <v>72</v>
      </c>
      <c r="I1399" s="14" t="s">
        <v>6</v>
      </c>
    </row>
    <row r="1400" ht="15.75" customHeight="1">
      <c r="A1400" s="8">
        <v>46167.0</v>
      </c>
      <c r="B1400" s="4" t="s">
        <v>3940</v>
      </c>
      <c r="C1400" s="5">
        <v>240000.0</v>
      </c>
      <c r="D1400" s="5">
        <v>0.0</v>
      </c>
      <c r="E1400" s="5">
        <f t="shared" si="2"/>
        <v>3212340</v>
      </c>
      <c r="F1400" s="14" t="s">
        <v>105</v>
      </c>
      <c r="G1400" s="14" t="s">
        <v>3451</v>
      </c>
      <c r="H1400" s="14" t="s">
        <v>72</v>
      </c>
      <c r="I1400" s="14" t="s">
        <v>6</v>
      </c>
    </row>
    <row r="1401" ht="15.75" customHeight="1">
      <c r="A1401" s="8">
        <v>46167.0</v>
      </c>
      <c r="B1401" s="4" t="s">
        <v>3941</v>
      </c>
      <c r="C1401" s="5">
        <v>195800.0</v>
      </c>
      <c r="D1401" s="5">
        <v>0.0</v>
      </c>
      <c r="E1401" s="5">
        <f t="shared" si="2"/>
        <v>3016540</v>
      </c>
      <c r="F1401" s="14" t="s">
        <v>105</v>
      </c>
      <c r="G1401" s="14" t="s">
        <v>2064</v>
      </c>
      <c r="H1401" s="14" t="s">
        <v>72</v>
      </c>
      <c r="I1401" s="14" t="s">
        <v>6</v>
      </c>
    </row>
    <row r="1402" ht="15.75" customHeight="1">
      <c r="A1402" s="8">
        <v>46175.0</v>
      </c>
      <c r="B1402" s="4" t="s">
        <v>3942</v>
      </c>
      <c r="C1402" s="5">
        <v>1300000.0</v>
      </c>
      <c r="D1402" s="5">
        <v>0.0</v>
      </c>
      <c r="E1402" s="5">
        <f t="shared" si="2"/>
        <v>1716540</v>
      </c>
      <c r="F1402" s="14" t="s">
        <v>105</v>
      </c>
      <c r="G1402" s="14" t="s">
        <v>3451</v>
      </c>
      <c r="H1402" s="14" t="s">
        <v>72</v>
      </c>
      <c r="I1402" s="14" t="s">
        <v>6</v>
      </c>
    </row>
    <row r="1403" ht="15.75" customHeight="1">
      <c r="A1403" s="8">
        <v>46177.0</v>
      </c>
      <c r="B1403" s="4" t="s">
        <v>3943</v>
      </c>
      <c r="C1403" s="5">
        <v>611100.0</v>
      </c>
      <c r="D1403" s="5">
        <v>0.0</v>
      </c>
      <c r="E1403" s="5">
        <f t="shared" si="2"/>
        <v>1105440</v>
      </c>
      <c r="F1403" s="4" t="s">
        <v>105</v>
      </c>
      <c r="G1403" s="4" t="s">
        <v>3451</v>
      </c>
      <c r="H1403" s="4" t="s">
        <v>72</v>
      </c>
      <c r="I1403" s="4" t="s">
        <v>6</v>
      </c>
    </row>
    <row r="1404" ht="15.75" customHeight="1">
      <c r="A1404" s="8">
        <v>46178.0</v>
      </c>
      <c r="B1404" s="4" t="s">
        <v>3944</v>
      </c>
      <c r="C1404" s="5">
        <v>105000.0</v>
      </c>
      <c r="D1404" s="5">
        <v>0.0</v>
      </c>
      <c r="E1404" s="5">
        <f t="shared" si="2"/>
        <v>1000440</v>
      </c>
      <c r="F1404" s="14" t="s">
        <v>105</v>
      </c>
      <c r="G1404" s="4" t="s">
        <v>2064</v>
      </c>
      <c r="H1404" s="4" t="s">
        <v>72</v>
      </c>
      <c r="I1404" s="4" t="s">
        <v>6</v>
      </c>
    </row>
    <row r="1405" ht="15.75" customHeight="1">
      <c r="A1405" s="8">
        <v>46183.0</v>
      </c>
      <c r="B1405" s="4" t="s">
        <v>3945</v>
      </c>
      <c r="C1405" s="5">
        <v>740290.0</v>
      </c>
      <c r="D1405" s="5">
        <v>0.0</v>
      </c>
      <c r="E1405" s="5">
        <f t="shared" si="2"/>
        <v>260150</v>
      </c>
      <c r="F1405" s="4" t="s">
        <v>105</v>
      </c>
      <c r="G1405" s="4" t="s">
        <v>3451</v>
      </c>
      <c r="H1405" s="4" t="s">
        <v>72</v>
      </c>
      <c r="I1405" s="4" t="s">
        <v>6</v>
      </c>
    </row>
    <row r="1406" ht="15.75" customHeight="1">
      <c r="A1406" s="8">
        <v>46190.0</v>
      </c>
      <c r="B1406" s="4" t="s">
        <v>3946</v>
      </c>
      <c r="C1406" s="5">
        <v>260150.0</v>
      </c>
      <c r="D1406" s="5">
        <v>0.0</v>
      </c>
      <c r="E1406" s="5">
        <f t="shared" si="2"/>
        <v>0</v>
      </c>
      <c r="F1406" s="14" t="s">
        <v>105</v>
      </c>
      <c r="G1406" s="14" t="s">
        <v>2064</v>
      </c>
      <c r="H1406" s="4" t="s">
        <v>72</v>
      </c>
      <c r="I1406" s="4" t="s">
        <v>6</v>
      </c>
    </row>
    <row r="1407" ht="15.75" customHeight="1">
      <c r="A1407" s="8">
        <v>46211.0</v>
      </c>
      <c r="B1407" s="14" t="s">
        <v>3947</v>
      </c>
      <c r="C1407" s="5">
        <v>0.0</v>
      </c>
      <c r="D1407" s="5">
        <v>2053138.0</v>
      </c>
      <c r="E1407" s="5">
        <f t="shared" si="2"/>
        <v>2053138</v>
      </c>
      <c r="F1407" s="14" t="s">
        <v>21</v>
      </c>
      <c r="G1407" s="14" t="s">
        <v>448</v>
      </c>
      <c r="H1407" s="14" t="s">
        <v>70</v>
      </c>
      <c r="I1407" s="14"/>
      <c r="J1407" s="14"/>
      <c r="K1407" s="14"/>
      <c r="L1407" s="14"/>
    </row>
    <row r="1408" ht="15.75" customHeight="1">
      <c r="A1408" s="8">
        <v>46161.0</v>
      </c>
      <c r="B1408" s="4" t="s">
        <v>3948</v>
      </c>
      <c r="C1408" s="5">
        <v>758517.0</v>
      </c>
      <c r="D1408" s="5">
        <v>0.0</v>
      </c>
      <c r="E1408" s="5">
        <f t="shared" si="2"/>
        <v>1294621</v>
      </c>
      <c r="F1408" s="14" t="s">
        <v>1471</v>
      </c>
      <c r="G1408" s="14" t="s">
        <v>1579</v>
      </c>
    </row>
    <row r="1409" ht="15.75" customHeight="1">
      <c r="A1409" s="8">
        <v>46163.0</v>
      </c>
      <c r="B1409" s="4" t="s">
        <v>3949</v>
      </c>
      <c r="C1409" s="5">
        <v>480235.0</v>
      </c>
      <c r="D1409" s="5">
        <v>0.0</v>
      </c>
      <c r="E1409" s="5">
        <f t="shared" si="2"/>
        <v>814386</v>
      </c>
      <c r="F1409" s="14" t="s">
        <v>1471</v>
      </c>
      <c r="G1409" s="14" t="s">
        <v>1579</v>
      </c>
    </row>
    <row r="1410" ht="15.75" customHeight="1">
      <c r="A1410" s="8">
        <v>46163.0</v>
      </c>
      <c r="B1410" s="4" t="s">
        <v>3950</v>
      </c>
      <c r="C1410" s="5">
        <v>333100.0</v>
      </c>
      <c r="D1410" s="5">
        <v>0.0</v>
      </c>
      <c r="E1410" s="5">
        <f t="shared" si="2"/>
        <v>481286</v>
      </c>
      <c r="F1410" s="14" t="s">
        <v>50</v>
      </c>
      <c r="G1410" s="14" t="s">
        <v>245</v>
      </c>
      <c r="H1410" s="14" t="s">
        <v>246</v>
      </c>
    </row>
    <row r="1411" ht="15.75" customHeight="1">
      <c r="A1411" s="8">
        <v>46171.0</v>
      </c>
      <c r="B1411" s="4" t="s">
        <v>3951</v>
      </c>
      <c r="C1411" s="5">
        <v>7500.0</v>
      </c>
      <c r="D1411" s="5">
        <v>0.0</v>
      </c>
      <c r="E1411" s="5">
        <f t="shared" si="2"/>
        <v>473786</v>
      </c>
      <c r="F1411" s="14" t="s">
        <v>43</v>
      </c>
      <c r="G1411" s="14" t="s">
        <v>45</v>
      </c>
    </row>
    <row r="1412" ht="15.75" customHeight="1">
      <c r="A1412" s="8">
        <v>46185.0</v>
      </c>
      <c r="B1412" s="4" t="s">
        <v>3952</v>
      </c>
      <c r="C1412" s="5">
        <v>300816.0</v>
      </c>
      <c r="D1412" s="5">
        <v>0.0</v>
      </c>
      <c r="E1412" s="5">
        <f t="shared" si="2"/>
        <v>172970</v>
      </c>
      <c r="F1412" s="14" t="s">
        <v>2464</v>
      </c>
      <c r="G1412" s="4" t="s">
        <v>59</v>
      </c>
      <c r="H1412" s="14" t="s">
        <v>683</v>
      </c>
    </row>
    <row r="1413" ht="15.75" customHeight="1">
      <c r="A1413" s="8">
        <v>46188.0</v>
      </c>
      <c r="B1413" s="4" t="s">
        <v>3953</v>
      </c>
      <c r="C1413" s="5">
        <v>162970.0</v>
      </c>
      <c r="D1413" s="5">
        <v>0.0</v>
      </c>
      <c r="E1413" s="5">
        <f t="shared" si="2"/>
        <v>10000</v>
      </c>
      <c r="F1413" s="14" t="s">
        <v>2464</v>
      </c>
      <c r="G1413" s="4" t="s">
        <v>59</v>
      </c>
      <c r="H1413" s="14" t="s">
        <v>694</v>
      </c>
    </row>
    <row r="1414" ht="15.75" customHeight="1">
      <c r="A1414" s="8">
        <v>46194.0</v>
      </c>
      <c r="B1414" s="4" t="s">
        <v>3432</v>
      </c>
      <c r="C1414" s="5">
        <v>10000.0</v>
      </c>
      <c r="D1414" s="5">
        <v>0.0</v>
      </c>
      <c r="E1414" s="5">
        <f t="shared" si="2"/>
        <v>0</v>
      </c>
      <c r="F1414" s="14" t="s">
        <v>43</v>
      </c>
      <c r="G1414" s="14" t="s">
        <v>45</v>
      </c>
    </row>
    <row r="1415" ht="15.75" customHeight="1">
      <c r="A1415" s="8">
        <v>46211.0</v>
      </c>
      <c r="B1415" s="14" t="s">
        <v>3954</v>
      </c>
      <c r="C1415" s="5">
        <v>0.0</v>
      </c>
      <c r="D1415" s="5">
        <v>1.24483586E8</v>
      </c>
      <c r="E1415" s="5">
        <f t="shared" si="2"/>
        <v>124483586</v>
      </c>
      <c r="F1415" s="14" t="s">
        <v>21</v>
      </c>
      <c r="G1415" s="14" t="s">
        <v>448</v>
      </c>
      <c r="H1415" s="14" t="s">
        <v>55</v>
      </c>
      <c r="I1415" s="14"/>
      <c r="J1415" s="14"/>
      <c r="K1415" s="14"/>
      <c r="L1415" s="14"/>
    </row>
    <row r="1416" ht="15.75" customHeight="1">
      <c r="A1416" s="8">
        <v>46162.0</v>
      </c>
      <c r="B1416" s="4" t="s">
        <v>3955</v>
      </c>
      <c r="C1416" s="5">
        <v>252058.0</v>
      </c>
      <c r="D1416" s="5">
        <v>0.0</v>
      </c>
      <c r="E1416" s="5">
        <f t="shared" si="2"/>
        <v>124231528</v>
      </c>
      <c r="F1416" s="14" t="s">
        <v>2464</v>
      </c>
      <c r="G1416" s="4" t="s">
        <v>59</v>
      </c>
      <c r="H1416" s="4" t="s">
        <v>111</v>
      </c>
    </row>
    <row r="1417" ht="15.75" customHeight="1">
      <c r="A1417" s="8">
        <v>46162.0</v>
      </c>
      <c r="B1417" s="4" t="s">
        <v>3956</v>
      </c>
      <c r="C1417" s="5">
        <v>4883454.0</v>
      </c>
      <c r="D1417" s="5">
        <v>0.0</v>
      </c>
      <c r="E1417" s="5">
        <f t="shared" si="2"/>
        <v>119348074</v>
      </c>
      <c r="F1417" s="14" t="s">
        <v>2464</v>
      </c>
      <c r="G1417" s="4" t="s">
        <v>59</v>
      </c>
      <c r="H1417" s="4" t="s">
        <v>111</v>
      </c>
    </row>
    <row r="1418" ht="15.75" customHeight="1">
      <c r="A1418" s="8">
        <v>46162.0</v>
      </c>
      <c r="B1418" s="4" t="s">
        <v>3957</v>
      </c>
      <c r="C1418" s="5">
        <v>5000000.0</v>
      </c>
      <c r="D1418" s="5">
        <v>0.0</v>
      </c>
      <c r="E1418" s="5">
        <f t="shared" si="2"/>
        <v>114348074</v>
      </c>
      <c r="F1418" s="14" t="s">
        <v>2464</v>
      </c>
      <c r="G1418" s="4" t="s">
        <v>59</v>
      </c>
      <c r="H1418" s="4" t="s">
        <v>111</v>
      </c>
    </row>
    <row r="1419" ht="15.75" customHeight="1">
      <c r="A1419" s="8">
        <v>46164.0</v>
      </c>
      <c r="B1419" s="4" t="s">
        <v>3582</v>
      </c>
      <c r="C1419" s="5">
        <v>5000.0</v>
      </c>
      <c r="D1419" s="5">
        <v>0.0</v>
      </c>
      <c r="E1419" s="5">
        <f t="shared" si="2"/>
        <v>114343074</v>
      </c>
      <c r="F1419" s="14" t="s">
        <v>43</v>
      </c>
      <c r="G1419" s="14" t="s">
        <v>45</v>
      </c>
    </row>
    <row r="1420" ht="15.75" customHeight="1">
      <c r="A1420" s="8">
        <v>46166.0</v>
      </c>
      <c r="B1420" s="4" t="s">
        <v>3957</v>
      </c>
      <c r="C1420" s="5">
        <v>300000.0</v>
      </c>
      <c r="D1420" s="5">
        <v>0.0</v>
      </c>
      <c r="E1420" s="5">
        <f t="shared" si="2"/>
        <v>114043074</v>
      </c>
      <c r="F1420" s="14" t="s">
        <v>2464</v>
      </c>
      <c r="G1420" s="4" t="s">
        <v>59</v>
      </c>
      <c r="H1420" s="4" t="s">
        <v>111</v>
      </c>
    </row>
    <row r="1421" ht="15.75" customHeight="1">
      <c r="A1421" s="8">
        <v>46172.0</v>
      </c>
      <c r="B1421" s="4" t="s">
        <v>3958</v>
      </c>
      <c r="C1421" s="5">
        <v>3051500.0</v>
      </c>
      <c r="D1421" s="5">
        <v>0.0</v>
      </c>
      <c r="E1421" s="5">
        <f t="shared" si="2"/>
        <v>110991574</v>
      </c>
      <c r="F1421" s="14" t="s">
        <v>306</v>
      </c>
      <c r="G1421" s="14" t="s">
        <v>307</v>
      </c>
      <c r="H1421" s="4" t="s">
        <v>3959</v>
      </c>
    </row>
    <row r="1422" ht="15.75" customHeight="1">
      <c r="A1422" s="8">
        <v>46177.0</v>
      </c>
      <c r="B1422" s="4" t="s">
        <v>3430</v>
      </c>
      <c r="C1422" s="5">
        <v>7500.0</v>
      </c>
      <c r="D1422" s="5">
        <v>0.0</v>
      </c>
      <c r="E1422" s="5">
        <f t="shared" si="2"/>
        <v>110984074</v>
      </c>
      <c r="F1422" s="14" t="s">
        <v>43</v>
      </c>
      <c r="G1422" s="14" t="s">
        <v>45</v>
      </c>
    </row>
    <row r="1423" ht="15.75" customHeight="1">
      <c r="A1423" s="8">
        <v>46177.0</v>
      </c>
      <c r="B1423" s="4" t="s">
        <v>3960</v>
      </c>
      <c r="C1423" s="5">
        <v>148000.0</v>
      </c>
      <c r="D1423" s="5">
        <v>0.0</v>
      </c>
      <c r="E1423" s="5">
        <f t="shared" si="2"/>
        <v>110836074</v>
      </c>
      <c r="F1423" s="14" t="s">
        <v>105</v>
      </c>
      <c r="G1423" s="14" t="s">
        <v>2064</v>
      </c>
      <c r="H1423" s="14" t="s">
        <v>271</v>
      </c>
    </row>
    <row r="1424" ht="15.75" customHeight="1">
      <c r="A1424" s="8">
        <v>46181.0</v>
      </c>
      <c r="B1424" s="4" t="s">
        <v>3961</v>
      </c>
      <c r="C1424" s="5">
        <v>8124300.0</v>
      </c>
      <c r="D1424" s="5">
        <v>0.0</v>
      </c>
      <c r="E1424" s="5">
        <f t="shared" si="2"/>
        <v>102711774</v>
      </c>
      <c r="F1424" s="4" t="s">
        <v>2464</v>
      </c>
      <c r="G1424" s="14" t="s">
        <v>59</v>
      </c>
      <c r="H1424" s="4" t="s">
        <v>739</v>
      </c>
    </row>
    <row r="1425" ht="15.75" customHeight="1">
      <c r="A1425" s="8">
        <v>46181.0</v>
      </c>
      <c r="B1425" s="4" t="s">
        <v>3962</v>
      </c>
      <c r="C1425" s="5">
        <v>716000.0</v>
      </c>
      <c r="D1425" s="5">
        <v>0.0</v>
      </c>
      <c r="E1425" s="5">
        <f t="shared" si="2"/>
        <v>101995774</v>
      </c>
      <c r="F1425" s="4" t="s">
        <v>2464</v>
      </c>
      <c r="G1425" s="14" t="s">
        <v>59</v>
      </c>
      <c r="H1425" s="4" t="s">
        <v>739</v>
      </c>
    </row>
    <row r="1426" ht="15.75" customHeight="1">
      <c r="A1426" s="8">
        <v>46181.0</v>
      </c>
      <c r="B1426" s="4" t="s">
        <v>3962</v>
      </c>
      <c r="C1426" s="5">
        <v>1230000.0</v>
      </c>
      <c r="D1426" s="5">
        <v>0.0</v>
      </c>
      <c r="E1426" s="5">
        <f t="shared" si="2"/>
        <v>100765774</v>
      </c>
      <c r="F1426" s="4" t="s">
        <v>2464</v>
      </c>
      <c r="G1426" s="14" t="s">
        <v>59</v>
      </c>
      <c r="H1426" s="4" t="s">
        <v>739</v>
      </c>
    </row>
    <row r="1427" ht="15.75" customHeight="1">
      <c r="A1427" s="8">
        <v>46181.0</v>
      </c>
      <c r="B1427" s="4" t="s">
        <v>3963</v>
      </c>
      <c r="C1427" s="5">
        <v>2400000.0</v>
      </c>
      <c r="D1427" s="5">
        <v>0.0</v>
      </c>
      <c r="E1427" s="5">
        <f t="shared" si="2"/>
        <v>98365774</v>
      </c>
      <c r="F1427" s="4" t="s">
        <v>2464</v>
      </c>
      <c r="G1427" s="14" t="s">
        <v>59</v>
      </c>
      <c r="H1427" s="4" t="s">
        <v>739</v>
      </c>
    </row>
    <row r="1428" ht="15.75" customHeight="1">
      <c r="A1428" s="8">
        <v>46181.0</v>
      </c>
      <c r="B1428" s="4" t="s">
        <v>3964</v>
      </c>
      <c r="C1428" s="5">
        <v>2100000.0</v>
      </c>
      <c r="D1428" s="5">
        <v>0.0</v>
      </c>
      <c r="E1428" s="5">
        <f t="shared" si="2"/>
        <v>96265774</v>
      </c>
      <c r="F1428" s="4" t="s">
        <v>2464</v>
      </c>
      <c r="G1428" s="14" t="s">
        <v>59</v>
      </c>
      <c r="H1428" s="4" t="s">
        <v>739</v>
      </c>
    </row>
    <row r="1429" ht="15.75" customHeight="1">
      <c r="A1429" s="8">
        <v>46182.0</v>
      </c>
      <c r="B1429" s="4" t="s">
        <v>3965</v>
      </c>
      <c r="C1429" s="5">
        <v>608300.0</v>
      </c>
      <c r="D1429" s="5">
        <v>0.0</v>
      </c>
      <c r="E1429" s="5">
        <f t="shared" si="2"/>
        <v>95657474</v>
      </c>
      <c r="F1429" s="4" t="s">
        <v>2464</v>
      </c>
      <c r="G1429" s="14" t="s">
        <v>59</v>
      </c>
      <c r="H1429" s="4" t="s">
        <v>739</v>
      </c>
    </row>
    <row r="1430" ht="15.75" customHeight="1">
      <c r="A1430" s="8">
        <v>46183.0</v>
      </c>
      <c r="B1430" s="4" t="s">
        <v>3966</v>
      </c>
      <c r="C1430" s="5">
        <v>282700.0</v>
      </c>
      <c r="D1430" s="5">
        <v>0.0</v>
      </c>
      <c r="E1430" s="5">
        <f t="shared" si="2"/>
        <v>95374774</v>
      </c>
      <c r="F1430" s="4" t="s">
        <v>2464</v>
      </c>
      <c r="G1430" s="14" t="s">
        <v>59</v>
      </c>
      <c r="H1430" s="4" t="s">
        <v>739</v>
      </c>
    </row>
    <row r="1431" ht="15.75" customHeight="1">
      <c r="A1431" s="8">
        <v>46183.0</v>
      </c>
      <c r="B1431" s="4" t="s">
        <v>3967</v>
      </c>
      <c r="C1431" s="5">
        <v>337000.0</v>
      </c>
      <c r="D1431" s="5">
        <v>0.0</v>
      </c>
      <c r="E1431" s="5">
        <f t="shared" si="2"/>
        <v>95037774</v>
      </c>
      <c r="F1431" s="4" t="s">
        <v>2464</v>
      </c>
      <c r="G1431" s="14" t="s">
        <v>59</v>
      </c>
      <c r="H1431" s="4" t="s">
        <v>739</v>
      </c>
    </row>
    <row r="1432" ht="15.75" customHeight="1">
      <c r="A1432" s="8">
        <v>46184.0</v>
      </c>
      <c r="B1432" s="4" t="s">
        <v>3968</v>
      </c>
      <c r="C1432" s="5">
        <v>1.494637E7</v>
      </c>
      <c r="D1432" s="5">
        <v>0.0</v>
      </c>
      <c r="E1432" s="5">
        <f t="shared" si="2"/>
        <v>80091404</v>
      </c>
      <c r="F1432" s="4" t="s">
        <v>2464</v>
      </c>
      <c r="G1432" s="14" t="s">
        <v>59</v>
      </c>
      <c r="H1432" s="4" t="s">
        <v>739</v>
      </c>
    </row>
    <row r="1433" ht="15.75" customHeight="1">
      <c r="A1433" s="8">
        <v>46185.0</v>
      </c>
      <c r="B1433" s="4" t="s">
        <v>3969</v>
      </c>
      <c r="C1433" s="5">
        <v>2351525.0</v>
      </c>
      <c r="D1433" s="5">
        <v>0.0</v>
      </c>
      <c r="E1433" s="5">
        <f t="shared" si="2"/>
        <v>77739879</v>
      </c>
      <c r="F1433" s="4" t="s">
        <v>24</v>
      </c>
      <c r="G1433" s="14" t="s">
        <v>125</v>
      </c>
      <c r="H1433" s="14" t="s">
        <v>2207</v>
      </c>
    </row>
    <row r="1434" ht="15.75" customHeight="1">
      <c r="A1434" s="8">
        <v>46185.0</v>
      </c>
      <c r="B1434" s="4" t="s">
        <v>3970</v>
      </c>
      <c r="C1434" s="5">
        <v>5280875.0</v>
      </c>
      <c r="D1434" s="5">
        <v>0.0</v>
      </c>
      <c r="E1434" s="5">
        <f t="shared" si="2"/>
        <v>72459004</v>
      </c>
      <c r="F1434" s="14" t="s">
        <v>2464</v>
      </c>
      <c r="G1434" s="14" t="s">
        <v>59</v>
      </c>
      <c r="H1434" s="4" t="s">
        <v>3971</v>
      </c>
      <c r="I1434" s="4" t="s">
        <v>3972</v>
      </c>
    </row>
    <row r="1435" ht="15.75" customHeight="1">
      <c r="A1435" s="8">
        <v>46188.0</v>
      </c>
      <c r="B1435" s="4" t="s">
        <v>3973</v>
      </c>
      <c r="C1435" s="5">
        <v>1.502003E7</v>
      </c>
      <c r="D1435" s="5">
        <v>0.0</v>
      </c>
      <c r="E1435" s="5">
        <f t="shared" si="2"/>
        <v>57438974</v>
      </c>
      <c r="F1435" s="4" t="s">
        <v>2464</v>
      </c>
      <c r="G1435" s="14" t="s">
        <v>59</v>
      </c>
      <c r="H1435" s="4" t="s">
        <v>592</v>
      </c>
    </row>
    <row r="1436" ht="15.75" customHeight="1">
      <c r="A1436" s="8">
        <v>46188.0</v>
      </c>
      <c r="B1436" s="4" t="s">
        <v>3974</v>
      </c>
      <c r="C1436" s="5">
        <v>1752637.0</v>
      </c>
      <c r="D1436" s="5">
        <v>0.0</v>
      </c>
      <c r="E1436" s="5">
        <f t="shared" si="2"/>
        <v>55686337</v>
      </c>
      <c r="F1436" s="4" t="s">
        <v>24</v>
      </c>
      <c r="G1436" s="14" t="s">
        <v>125</v>
      </c>
      <c r="H1436" s="14" t="s">
        <v>2207</v>
      </c>
    </row>
    <row r="1437" ht="15.75" customHeight="1">
      <c r="A1437" s="8">
        <v>46190.0</v>
      </c>
      <c r="B1437" s="4" t="s">
        <v>3975</v>
      </c>
      <c r="C1437" s="5">
        <v>1.671138E7</v>
      </c>
      <c r="D1437" s="5">
        <v>0.0</v>
      </c>
      <c r="E1437" s="5">
        <f t="shared" si="2"/>
        <v>38974957</v>
      </c>
      <c r="F1437" s="4" t="s">
        <v>2464</v>
      </c>
      <c r="G1437" s="14" t="s">
        <v>59</v>
      </c>
      <c r="H1437" s="4" t="s">
        <v>592</v>
      </c>
    </row>
    <row r="1438" ht="15.75" customHeight="1">
      <c r="A1438" s="8">
        <v>46190.0</v>
      </c>
      <c r="B1438" s="4" t="s">
        <v>3975</v>
      </c>
      <c r="C1438" s="5">
        <v>2.6439E7</v>
      </c>
      <c r="D1438" s="5">
        <v>0.0</v>
      </c>
      <c r="E1438" s="5">
        <f t="shared" si="2"/>
        <v>12535957</v>
      </c>
      <c r="F1438" s="4" t="s">
        <v>2464</v>
      </c>
      <c r="G1438" s="14" t="s">
        <v>59</v>
      </c>
      <c r="H1438" s="4" t="s">
        <v>592</v>
      </c>
    </row>
    <row r="1439" ht="15.75" customHeight="1">
      <c r="A1439" s="8">
        <v>46190.0</v>
      </c>
      <c r="B1439" s="4" t="s">
        <v>3976</v>
      </c>
      <c r="C1439" s="5">
        <v>3933000.0</v>
      </c>
      <c r="D1439" s="5">
        <v>0.0</v>
      </c>
      <c r="E1439" s="5">
        <f t="shared" si="2"/>
        <v>8602957</v>
      </c>
      <c r="F1439" s="4" t="s">
        <v>2464</v>
      </c>
      <c r="G1439" s="14" t="s">
        <v>59</v>
      </c>
      <c r="H1439" s="4" t="s">
        <v>592</v>
      </c>
    </row>
    <row r="1440" ht="15.75" customHeight="1">
      <c r="A1440" s="8">
        <v>46190.0</v>
      </c>
      <c r="B1440" s="4" t="s">
        <v>3977</v>
      </c>
      <c r="C1440" s="5">
        <v>7000000.0</v>
      </c>
      <c r="D1440" s="5">
        <v>0.0</v>
      </c>
      <c r="E1440" s="5">
        <f t="shared" si="2"/>
        <v>1602957</v>
      </c>
      <c r="F1440" s="4" t="s">
        <v>2464</v>
      </c>
      <c r="G1440" s="14" t="s">
        <v>59</v>
      </c>
      <c r="H1440" s="4" t="s">
        <v>592</v>
      </c>
    </row>
    <row r="1441" ht="15.75" customHeight="1">
      <c r="A1441" s="8">
        <v>46191.0</v>
      </c>
      <c r="B1441" s="4" t="s">
        <v>3978</v>
      </c>
      <c r="C1441" s="5">
        <v>228000.0</v>
      </c>
      <c r="D1441" s="5">
        <v>0.0</v>
      </c>
      <c r="E1441" s="5">
        <f t="shared" si="2"/>
        <v>1374957</v>
      </c>
      <c r="F1441" s="4" t="s">
        <v>2464</v>
      </c>
      <c r="G1441" s="14" t="s">
        <v>59</v>
      </c>
      <c r="H1441" s="4" t="s">
        <v>592</v>
      </c>
    </row>
    <row r="1442" ht="15.75" customHeight="1">
      <c r="A1442" s="8">
        <v>46191.0</v>
      </c>
      <c r="B1442" s="4" t="s">
        <v>3979</v>
      </c>
      <c r="C1442" s="5">
        <v>579657.0</v>
      </c>
      <c r="D1442" s="5">
        <v>0.0</v>
      </c>
      <c r="E1442" s="5">
        <f t="shared" si="2"/>
        <v>795300</v>
      </c>
      <c r="F1442" s="4" t="s">
        <v>2464</v>
      </c>
      <c r="G1442" s="14" t="s">
        <v>59</v>
      </c>
      <c r="H1442" s="4" t="s">
        <v>592</v>
      </c>
    </row>
    <row r="1443" ht="15.75" customHeight="1">
      <c r="A1443" s="8">
        <v>46191.0</v>
      </c>
      <c r="B1443" s="4" t="s">
        <v>3980</v>
      </c>
      <c r="C1443" s="5">
        <v>785300.0</v>
      </c>
      <c r="D1443" s="5">
        <v>0.0</v>
      </c>
      <c r="E1443" s="5">
        <f t="shared" si="2"/>
        <v>10000</v>
      </c>
      <c r="F1443" s="4" t="s">
        <v>2464</v>
      </c>
      <c r="G1443" s="14" t="s">
        <v>59</v>
      </c>
      <c r="H1443" s="4" t="s">
        <v>592</v>
      </c>
    </row>
    <row r="1444" ht="15.75" customHeight="1">
      <c r="A1444" s="8">
        <v>46192.0</v>
      </c>
      <c r="B1444" s="4" t="s">
        <v>3432</v>
      </c>
      <c r="C1444" s="5">
        <v>10000.0</v>
      </c>
      <c r="D1444" s="5">
        <v>0.0</v>
      </c>
      <c r="E1444" s="5">
        <f t="shared" si="2"/>
        <v>0</v>
      </c>
      <c r="F1444" s="14" t="s">
        <v>43</v>
      </c>
      <c r="G1444" s="14" t="s">
        <v>45</v>
      </c>
    </row>
    <row r="1445" ht="15.75" customHeight="1">
      <c r="A1445" s="8">
        <v>46195.0</v>
      </c>
      <c r="B1445" s="4" t="s">
        <v>510</v>
      </c>
      <c r="C1445" s="5">
        <v>0.0</v>
      </c>
      <c r="D1445" s="5">
        <v>915400.0</v>
      </c>
      <c r="E1445" s="5">
        <f t="shared" si="2"/>
        <v>915400</v>
      </c>
      <c r="F1445" s="4" t="s">
        <v>21</v>
      </c>
      <c r="G1445" s="4" t="s">
        <v>136</v>
      </c>
      <c r="H1445" s="4" t="s">
        <v>28</v>
      </c>
    </row>
    <row r="1446" ht="15.75" customHeight="1">
      <c r="A1446" s="8">
        <v>46195.0</v>
      </c>
      <c r="B1446" s="4" t="s">
        <v>514</v>
      </c>
      <c r="C1446" s="5">
        <v>0.0</v>
      </c>
      <c r="D1446" s="5">
        <v>343009.0</v>
      </c>
      <c r="E1446" s="5">
        <f t="shared" si="2"/>
        <v>1258409</v>
      </c>
      <c r="F1446" s="4" t="s">
        <v>21</v>
      </c>
      <c r="G1446" s="4" t="s">
        <v>136</v>
      </c>
      <c r="H1446" s="4" t="s">
        <v>28</v>
      </c>
    </row>
    <row r="1447" ht="15.75" customHeight="1">
      <c r="A1447" s="8">
        <v>46170.0</v>
      </c>
      <c r="B1447" s="4" t="s">
        <v>3981</v>
      </c>
      <c r="C1447" s="5">
        <v>915400.0</v>
      </c>
      <c r="D1447" s="5">
        <v>0.0</v>
      </c>
      <c r="E1447" s="5">
        <f t="shared" si="2"/>
        <v>343009</v>
      </c>
      <c r="F1447" s="14" t="s">
        <v>105</v>
      </c>
      <c r="G1447" s="14" t="s">
        <v>3451</v>
      </c>
      <c r="H1447" s="4" t="s">
        <v>72</v>
      </c>
    </row>
    <row r="1448" ht="15.75" customHeight="1">
      <c r="A1448" s="8">
        <v>46164.0</v>
      </c>
      <c r="B1448" s="4" t="s">
        <v>3982</v>
      </c>
      <c r="C1448" s="5">
        <v>342615.0</v>
      </c>
      <c r="D1448" s="5">
        <v>0.0</v>
      </c>
      <c r="E1448" s="5">
        <f t="shared" si="2"/>
        <v>394</v>
      </c>
      <c r="F1448" s="14" t="s">
        <v>50</v>
      </c>
      <c r="G1448" s="4" t="s">
        <v>178</v>
      </c>
    </row>
    <row r="1449" ht="15.75" customHeight="1">
      <c r="A1449" s="8"/>
      <c r="B1449" s="4" t="s">
        <v>3983</v>
      </c>
      <c r="C1449" s="5">
        <v>394.0</v>
      </c>
      <c r="D1449" s="5">
        <v>0.0</v>
      </c>
      <c r="E1449" s="5">
        <f t="shared" si="2"/>
        <v>0</v>
      </c>
      <c r="F1449" s="14" t="s">
        <v>43</v>
      </c>
      <c r="G1449" s="14" t="s">
        <v>1356</v>
      </c>
    </row>
    <row r="1450" ht="15.75" customHeight="1">
      <c r="A1450" s="8">
        <v>46214.0</v>
      </c>
      <c r="B1450" s="4" t="s">
        <v>3749</v>
      </c>
      <c r="C1450" s="5">
        <v>0.0</v>
      </c>
      <c r="D1450" s="5">
        <f>C1184</f>
        <v>41770801</v>
      </c>
      <c r="E1450" s="5">
        <f t="shared" si="2"/>
        <v>41770801</v>
      </c>
      <c r="F1450" s="4" t="s">
        <v>93</v>
      </c>
      <c r="G1450" s="4" t="s">
        <v>93</v>
      </c>
      <c r="H1450" s="4" t="s">
        <v>170</v>
      </c>
    </row>
    <row r="1451" ht="15.75" customHeight="1">
      <c r="A1451" s="8">
        <v>46168.0</v>
      </c>
      <c r="B1451" s="4" t="s">
        <v>3984</v>
      </c>
      <c r="C1451" s="5">
        <v>7500.0</v>
      </c>
      <c r="D1451" s="5">
        <v>0.0</v>
      </c>
      <c r="E1451" s="5">
        <f t="shared" si="2"/>
        <v>41763301</v>
      </c>
      <c r="F1451" s="14" t="s">
        <v>43</v>
      </c>
      <c r="G1451" s="14" t="s">
        <v>45</v>
      </c>
    </row>
    <row r="1452" ht="15.75" customHeight="1">
      <c r="A1452" s="8">
        <v>46174.0</v>
      </c>
      <c r="B1452" s="4" t="s">
        <v>3694</v>
      </c>
      <c r="C1452" s="5">
        <v>450000.0</v>
      </c>
      <c r="D1452" s="5">
        <v>0.0</v>
      </c>
      <c r="E1452" s="5">
        <f t="shared" si="2"/>
        <v>41313301</v>
      </c>
      <c r="F1452" s="14" t="s">
        <v>50</v>
      </c>
      <c r="G1452" s="14" t="s">
        <v>2128</v>
      </c>
    </row>
    <row r="1453" ht="15.75" customHeight="1">
      <c r="A1453" s="8"/>
      <c r="B1453" s="4" t="s">
        <v>3985</v>
      </c>
      <c r="C1453" s="5">
        <v>4.1313301E7</v>
      </c>
      <c r="D1453" s="5">
        <v>0.0</v>
      </c>
      <c r="E1453" s="5">
        <f t="shared" si="2"/>
        <v>0</v>
      </c>
      <c r="F1453" s="14" t="s">
        <v>24</v>
      </c>
      <c r="G1453" s="14" t="s">
        <v>125</v>
      </c>
      <c r="H1453" s="4" t="s">
        <v>170</v>
      </c>
    </row>
    <row r="1454" ht="15.75" customHeight="1">
      <c r="A1454" s="8">
        <v>46218.0</v>
      </c>
      <c r="B1454" s="4" t="s">
        <v>575</v>
      </c>
      <c r="C1454" s="5">
        <v>0.0</v>
      </c>
      <c r="D1454" s="5">
        <v>957104.0</v>
      </c>
      <c r="E1454" s="5">
        <f t="shared" si="2"/>
        <v>957104</v>
      </c>
      <c r="F1454" s="14" t="s">
        <v>21</v>
      </c>
      <c r="G1454" s="14" t="s">
        <v>136</v>
      </c>
      <c r="H1454" s="14" t="s">
        <v>28</v>
      </c>
    </row>
    <row r="1455" ht="15.75" customHeight="1">
      <c r="A1455" s="8">
        <v>46227.0</v>
      </c>
      <c r="B1455" s="4" t="s">
        <v>583</v>
      </c>
      <c r="C1455" s="5">
        <v>0.0</v>
      </c>
      <c r="D1455" s="5">
        <v>4.0742985E7</v>
      </c>
      <c r="E1455" s="5">
        <f t="shared" si="2"/>
        <v>41700089</v>
      </c>
      <c r="F1455" s="14" t="s">
        <v>21</v>
      </c>
      <c r="G1455" s="14" t="s">
        <v>136</v>
      </c>
      <c r="H1455" s="14" t="s">
        <v>28</v>
      </c>
    </row>
    <row r="1456" ht="15.75" customHeight="1">
      <c r="A1456" s="8">
        <v>46229.0</v>
      </c>
      <c r="B1456" s="4" t="s">
        <v>588</v>
      </c>
      <c r="C1456" s="5">
        <v>0.0</v>
      </c>
      <c r="D1456" s="5">
        <v>441785.0</v>
      </c>
      <c r="E1456" s="5">
        <f t="shared" si="2"/>
        <v>42141874</v>
      </c>
      <c r="F1456" s="14" t="s">
        <v>21</v>
      </c>
      <c r="G1456" s="14" t="s">
        <v>136</v>
      </c>
      <c r="H1456" s="14" t="s">
        <v>28</v>
      </c>
    </row>
    <row r="1457" ht="15.75" customHeight="1">
      <c r="A1457" s="8">
        <v>46180.0</v>
      </c>
      <c r="B1457" s="4" t="s">
        <v>3986</v>
      </c>
      <c r="C1457" s="5">
        <v>228300.0</v>
      </c>
      <c r="D1457" s="5">
        <v>0.0</v>
      </c>
      <c r="E1457" s="5">
        <f t="shared" si="2"/>
        <v>41913574</v>
      </c>
      <c r="F1457" s="14" t="s">
        <v>105</v>
      </c>
      <c r="G1457" s="14" t="s">
        <v>3451</v>
      </c>
      <c r="H1457" s="14" t="s">
        <v>72</v>
      </c>
    </row>
    <row r="1458" ht="15.75" customHeight="1">
      <c r="A1458" s="8">
        <v>46195.0</v>
      </c>
      <c r="B1458" s="4" t="s">
        <v>3777</v>
      </c>
      <c r="C1458" s="5">
        <v>9154.0</v>
      </c>
      <c r="D1458" s="5">
        <v>0.0</v>
      </c>
      <c r="E1458" s="5">
        <f t="shared" si="2"/>
        <v>41904420</v>
      </c>
      <c r="F1458" s="14" t="s">
        <v>43</v>
      </c>
      <c r="G1458" s="14" t="s">
        <v>1356</v>
      </c>
      <c r="H1458" s="14"/>
    </row>
    <row r="1459" ht="15.75" customHeight="1">
      <c r="A1459" s="8">
        <v>46195.0</v>
      </c>
      <c r="B1459" s="14" t="s">
        <v>3987</v>
      </c>
      <c r="C1459" s="5">
        <v>706500.0</v>
      </c>
      <c r="D1459" s="5">
        <v>0.0</v>
      </c>
      <c r="E1459" s="5">
        <f t="shared" si="2"/>
        <v>41197920</v>
      </c>
      <c r="F1459" s="14" t="s">
        <v>105</v>
      </c>
      <c r="G1459" s="14" t="s">
        <v>3451</v>
      </c>
      <c r="H1459" s="4" t="s">
        <v>72</v>
      </c>
      <c r="I1459" s="14"/>
      <c r="J1459" s="14"/>
      <c r="K1459" s="14"/>
      <c r="L1459" s="14"/>
    </row>
    <row r="1460" ht="15.75" customHeight="1">
      <c r="A1460" s="8"/>
      <c r="B1460" s="4" t="s">
        <v>3988</v>
      </c>
      <c r="C1460" s="5">
        <v>13150.0</v>
      </c>
      <c r="D1460" s="5">
        <v>0.0</v>
      </c>
      <c r="E1460" s="5">
        <f t="shared" si="2"/>
        <v>41184770</v>
      </c>
      <c r="F1460" s="14" t="s">
        <v>43</v>
      </c>
      <c r="G1460" s="14" t="s">
        <v>45</v>
      </c>
      <c r="H1460" s="14"/>
    </row>
    <row r="1461" ht="15.75" customHeight="1">
      <c r="A1461" s="8">
        <v>46204.0</v>
      </c>
      <c r="B1461" s="14" t="s">
        <v>3989</v>
      </c>
      <c r="C1461" s="5">
        <v>357500.0</v>
      </c>
      <c r="D1461" s="5">
        <v>0.0</v>
      </c>
      <c r="E1461" s="5">
        <f t="shared" si="2"/>
        <v>40827270</v>
      </c>
      <c r="F1461" s="14" t="s">
        <v>50</v>
      </c>
      <c r="G1461" s="14" t="s">
        <v>1988</v>
      </c>
      <c r="H1461" s="14"/>
      <c r="I1461" s="14"/>
      <c r="J1461" s="14"/>
      <c r="K1461" s="14"/>
      <c r="L1461" s="14"/>
    </row>
    <row r="1462" ht="15.75" customHeight="1">
      <c r="A1462" s="8">
        <v>46202.0</v>
      </c>
      <c r="B1462" s="14" t="s">
        <v>3990</v>
      </c>
      <c r="C1462" s="5">
        <v>3.42E7</v>
      </c>
      <c r="D1462" s="5">
        <v>0.0</v>
      </c>
      <c r="E1462" s="5">
        <f t="shared" si="2"/>
        <v>6627270</v>
      </c>
      <c r="F1462" s="14" t="s">
        <v>306</v>
      </c>
      <c r="G1462" s="14" t="s">
        <v>307</v>
      </c>
      <c r="H1462" s="14" t="s">
        <v>3991</v>
      </c>
      <c r="I1462" s="14"/>
      <c r="J1462" s="14"/>
      <c r="K1462" s="14"/>
      <c r="L1462" s="14"/>
    </row>
    <row r="1463" ht="15.75" customHeight="1">
      <c r="A1463" s="8"/>
      <c r="B1463" s="14" t="s">
        <v>3992</v>
      </c>
      <c r="C1463" s="5">
        <v>4800000.0</v>
      </c>
      <c r="D1463" s="5">
        <v>0.0</v>
      </c>
      <c r="E1463" s="5">
        <f t="shared" si="2"/>
        <v>1827270</v>
      </c>
      <c r="F1463" s="14" t="s">
        <v>306</v>
      </c>
      <c r="G1463" s="14" t="s">
        <v>307</v>
      </c>
      <c r="H1463" s="14" t="s">
        <v>3993</v>
      </c>
      <c r="I1463" s="14"/>
      <c r="J1463" s="14"/>
      <c r="K1463" s="14"/>
      <c r="L1463" s="14"/>
    </row>
    <row r="1464" ht="15.75" customHeight="1">
      <c r="A1464" s="8"/>
      <c r="B1464" s="14" t="s">
        <v>3994</v>
      </c>
      <c r="C1464" s="5">
        <v>199500.0</v>
      </c>
      <c r="D1464" s="5">
        <v>0.0</v>
      </c>
      <c r="E1464" s="5">
        <f t="shared" si="2"/>
        <v>1627770</v>
      </c>
      <c r="F1464" s="14" t="s">
        <v>50</v>
      </c>
      <c r="G1464" s="14" t="s">
        <v>1984</v>
      </c>
      <c r="H1464" s="14"/>
      <c r="I1464" s="14"/>
      <c r="J1464" s="14"/>
      <c r="K1464" s="14"/>
      <c r="L1464" s="14"/>
    </row>
    <row r="1465" ht="15.75" customHeight="1">
      <c r="A1465" s="8"/>
      <c r="B1465" s="14" t="s">
        <v>3995</v>
      </c>
      <c r="C1465" s="5">
        <f>40375485-C1462-C1463-C1464</f>
        <v>1175985</v>
      </c>
      <c r="D1465" s="5">
        <v>0.0</v>
      </c>
      <c r="E1465" s="5">
        <f t="shared" si="2"/>
        <v>451785</v>
      </c>
      <c r="F1465" s="14" t="s">
        <v>43</v>
      </c>
      <c r="G1465" s="14" t="s">
        <v>45</v>
      </c>
      <c r="H1465" s="14"/>
      <c r="I1465" s="14"/>
      <c r="J1465" s="14"/>
      <c r="K1465" s="14"/>
      <c r="L1465" s="14"/>
    </row>
    <row r="1466" ht="15.75" customHeight="1">
      <c r="A1466" s="8">
        <v>46205.0</v>
      </c>
      <c r="B1466" s="4" t="s">
        <v>3432</v>
      </c>
      <c r="C1466" s="5">
        <v>10000.0</v>
      </c>
      <c r="D1466" s="5">
        <v>0.0</v>
      </c>
      <c r="E1466" s="5">
        <f t="shared" si="2"/>
        <v>441785</v>
      </c>
      <c r="F1466" s="14" t="s">
        <v>43</v>
      </c>
      <c r="G1466" s="14" t="s">
        <v>45</v>
      </c>
      <c r="H1466" s="14"/>
    </row>
    <row r="1467" ht="15.75" customHeight="1">
      <c r="A1467" s="8">
        <v>46176.0</v>
      </c>
      <c r="B1467" s="4" t="s">
        <v>3996</v>
      </c>
      <c r="C1467" s="5">
        <v>85227.0</v>
      </c>
      <c r="D1467" s="5">
        <v>0.0</v>
      </c>
      <c r="E1467" s="5">
        <f t="shared" si="2"/>
        <v>356558</v>
      </c>
      <c r="F1467" s="4" t="s">
        <v>2464</v>
      </c>
      <c r="G1467" s="14" t="s">
        <v>59</v>
      </c>
      <c r="H1467" s="14" t="s">
        <v>739</v>
      </c>
    </row>
    <row r="1468" ht="15.75" customHeight="1">
      <c r="A1468" s="8">
        <v>46195.0</v>
      </c>
      <c r="B1468" s="4" t="s">
        <v>3777</v>
      </c>
      <c r="C1468" s="5">
        <v>3430.0</v>
      </c>
      <c r="D1468" s="5">
        <v>0.0</v>
      </c>
      <c r="E1468" s="5">
        <f t="shared" si="2"/>
        <v>353128</v>
      </c>
      <c r="F1468" s="14" t="s">
        <v>43</v>
      </c>
      <c r="G1468" s="14" t="s">
        <v>1356</v>
      </c>
    </row>
    <row r="1469" ht="15.75" customHeight="1">
      <c r="A1469" s="8">
        <v>46202.0</v>
      </c>
      <c r="B1469" s="4" t="s">
        <v>3997</v>
      </c>
      <c r="C1469" s="5">
        <v>347809.0</v>
      </c>
      <c r="D1469" s="5">
        <v>0.0</v>
      </c>
      <c r="E1469" s="5">
        <f t="shared" si="2"/>
        <v>5319</v>
      </c>
      <c r="F1469" s="14" t="s">
        <v>50</v>
      </c>
      <c r="G1469" s="4" t="s">
        <v>178</v>
      </c>
    </row>
    <row r="1470" ht="15.75" customHeight="1">
      <c r="A1470" s="8"/>
      <c r="B1470" s="4" t="s">
        <v>3988</v>
      </c>
      <c r="C1470" s="5">
        <v>5319.0</v>
      </c>
      <c r="D1470" s="5">
        <v>0.0</v>
      </c>
      <c r="E1470" s="5">
        <f t="shared" si="2"/>
        <v>0</v>
      </c>
      <c r="F1470" s="14" t="s">
        <v>43</v>
      </c>
      <c r="G1470" s="14" t="s">
        <v>1356</v>
      </c>
    </row>
    <row r="1471" ht="15.75" customHeight="1">
      <c r="A1471" s="8">
        <v>46237.0</v>
      </c>
      <c r="B1471" s="4" t="s">
        <v>2297</v>
      </c>
      <c r="C1471" s="5">
        <v>0.0</v>
      </c>
      <c r="D1471" s="5">
        <v>2.8504216E7</v>
      </c>
      <c r="E1471" s="5">
        <f t="shared" si="2"/>
        <v>28504216</v>
      </c>
      <c r="F1471" s="14" t="s">
        <v>21</v>
      </c>
      <c r="G1471" s="14" t="s">
        <v>448</v>
      </c>
      <c r="H1471" s="14" t="s">
        <v>38</v>
      </c>
    </row>
    <row r="1472" ht="15.75" customHeight="1">
      <c r="A1472" s="8">
        <v>46202.0</v>
      </c>
      <c r="B1472" s="4" t="s">
        <v>3469</v>
      </c>
      <c r="C1472" s="5">
        <v>5000.0</v>
      </c>
      <c r="D1472" s="5">
        <v>0.0</v>
      </c>
      <c r="E1472" s="5">
        <f t="shared" si="2"/>
        <v>28499216</v>
      </c>
      <c r="F1472" s="14" t="s">
        <v>43</v>
      </c>
      <c r="G1472" s="14" t="s">
        <v>45</v>
      </c>
      <c r="H1472" s="14"/>
    </row>
    <row r="1473" ht="15.75" customHeight="1">
      <c r="A1473" s="8">
        <v>46221.0</v>
      </c>
      <c r="B1473" s="4" t="s">
        <v>3430</v>
      </c>
      <c r="C1473" s="5">
        <v>10000.0</v>
      </c>
      <c r="D1473" s="5">
        <v>0.0</v>
      </c>
      <c r="E1473" s="5">
        <f t="shared" si="2"/>
        <v>28489216</v>
      </c>
      <c r="F1473" s="14" t="s">
        <v>43</v>
      </c>
      <c r="G1473" s="14" t="s">
        <v>45</v>
      </c>
      <c r="H1473" s="14"/>
    </row>
    <row r="1474" ht="15.75" customHeight="1">
      <c r="A1474" s="8">
        <v>46221.0</v>
      </c>
      <c r="B1474" s="4" t="s">
        <v>3470</v>
      </c>
      <c r="C1474" s="5">
        <v>10000.0</v>
      </c>
      <c r="D1474" s="5">
        <v>0.0</v>
      </c>
      <c r="E1474" s="5">
        <f t="shared" si="2"/>
        <v>28479216</v>
      </c>
      <c r="F1474" s="14" t="s">
        <v>43</v>
      </c>
      <c r="G1474" s="14" t="s">
        <v>45</v>
      </c>
      <c r="H1474" s="14"/>
    </row>
    <row r="1475" ht="15.75" customHeight="1">
      <c r="A1475" s="8">
        <v>46193.0</v>
      </c>
      <c r="B1475" s="17" t="s">
        <v>3998</v>
      </c>
      <c r="C1475" s="5">
        <v>200000.0</v>
      </c>
      <c r="D1475" s="5">
        <v>0.0</v>
      </c>
      <c r="E1475" s="5">
        <f t="shared" si="2"/>
        <v>28279216</v>
      </c>
      <c r="F1475" s="14" t="s">
        <v>50</v>
      </c>
      <c r="G1475" s="14" t="s">
        <v>245</v>
      </c>
      <c r="H1475" s="14" t="s">
        <v>413</v>
      </c>
    </row>
    <row r="1476" ht="15.75" customHeight="1">
      <c r="A1476" s="8">
        <v>46195.0</v>
      </c>
      <c r="B1476" s="4" t="s">
        <v>3999</v>
      </c>
      <c r="C1476" s="5">
        <v>1384000.0</v>
      </c>
      <c r="D1476" s="5">
        <v>0.0</v>
      </c>
      <c r="E1476" s="5">
        <f t="shared" si="2"/>
        <v>26895216</v>
      </c>
      <c r="F1476" s="14" t="s">
        <v>105</v>
      </c>
      <c r="G1476" s="14" t="s">
        <v>380</v>
      </c>
      <c r="H1476" s="14"/>
    </row>
    <row r="1477" ht="15.75" customHeight="1">
      <c r="A1477" s="8">
        <v>46196.0</v>
      </c>
      <c r="B1477" s="17" t="s">
        <v>4000</v>
      </c>
      <c r="C1477" s="5">
        <v>376860.0</v>
      </c>
      <c r="D1477" s="5">
        <v>0.0</v>
      </c>
      <c r="E1477" s="5">
        <f t="shared" si="2"/>
        <v>26518356</v>
      </c>
      <c r="F1477" s="14" t="s">
        <v>50</v>
      </c>
      <c r="G1477" s="14" t="s">
        <v>245</v>
      </c>
      <c r="H1477" s="14" t="s">
        <v>413</v>
      </c>
    </row>
    <row r="1478" ht="15.75" customHeight="1">
      <c r="A1478" s="8">
        <v>46198.0</v>
      </c>
      <c r="B1478" s="17" t="s">
        <v>4001</v>
      </c>
      <c r="C1478" s="5">
        <v>359030.0</v>
      </c>
      <c r="D1478" s="5">
        <v>0.0</v>
      </c>
      <c r="E1478" s="5">
        <f t="shared" si="2"/>
        <v>26159326</v>
      </c>
      <c r="F1478" s="14" t="s">
        <v>50</v>
      </c>
      <c r="G1478" s="14" t="s">
        <v>245</v>
      </c>
      <c r="H1478" s="14" t="s">
        <v>413</v>
      </c>
    </row>
    <row r="1479" ht="15.75" customHeight="1">
      <c r="A1479" s="8">
        <v>46199.0</v>
      </c>
      <c r="B1479" s="14" t="s">
        <v>4002</v>
      </c>
      <c r="C1479" s="5">
        <v>111800.0</v>
      </c>
      <c r="D1479" s="5">
        <v>0.0</v>
      </c>
      <c r="E1479" s="5">
        <f t="shared" si="2"/>
        <v>26047526</v>
      </c>
      <c r="F1479" s="14" t="s">
        <v>50</v>
      </c>
      <c r="G1479" s="14" t="s">
        <v>1984</v>
      </c>
      <c r="H1479" s="14"/>
      <c r="I1479" s="14"/>
      <c r="J1479" s="14"/>
      <c r="K1479" s="14"/>
      <c r="L1479" s="14"/>
    </row>
    <row r="1480" ht="15.75" customHeight="1">
      <c r="A1480" s="8">
        <v>46199.0</v>
      </c>
      <c r="B1480" s="4" t="s">
        <v>4003</v>
      </c>
      <c r="C1480" s="5">
        <v>182000.0</v>
      </c>
      <c r="D1480" s="5">
        <v>0.0</v>
      </c>
      <c r="E1480" s="5">
        <f t="shared" si="2"/>
        <v>25865526</v>
      </c>
      <c r="F1480" s="14" t="s">
        <v>105</v>
      </c>
      <c r="G1480" s="14" t="s">
        <v>2064</v>
      </c>
      <c r="H1480" s="14" t="s">
        <v>271</v>
      </c>
    </row>
    <row r="1481" ht="15.75" customHeight="1">
      <c r="A1481" s="8">
        <v>46199.0</v>
      </c>
      <c r="B1481" s="4" t="s">
        <v>4004</v>
      </c>
      <c r="C1481" s="5">
        <v>394000.0</v>
      </c>
      <c r="D1481" s="5">
        <v>0.0</v>
      </c>
      <c r="E1481" s="5">
        <f t="shared" si="2"/>
        <v>25471526</v>
      </c>
      <c r="F1481" s="14" t="s">
        <v>105</v>
      </c>
      <c r="G1481" s="14" t="s">
        <v>2064</v>
      </c>
      <c r="H1481" s="14" t="s">
        <v>271</v>
      </c>
    </row>
    <row r="1482" ht="15.75" customHeight="1">
      <c r="A1482" s="8">
        <v>46199.0</v>
      </c>
      <c r="B1482" s="4" t="s">
        <v>4003</v>
      </c>
      <c r="C1482" s="5">
        <v>779000.0</v>
      </c>
      <c r="D1482" s="5">
        <v>0.0</v>
      </c>
      <c r="E1482" s="5">
        <f t="shared" si="2"/>
        <v>24692526</v>
      </c>
      <c r="F1482" s="14" t="s">
        <v>105</v>
      </c>
      <c r="G1482" s="14" t="s">
        <v>2064</v>
      </c>
      <c r="H1482" s="14" t="s">
        <v>271</v>
      </c>
    </row>
    <row r="1483" ht="15.75" customHeight="1">
      <c r="A1483" s="8">
        <v>46199.0</v>
      </c>
      <c r="B1483" s="4" t="s">
        <v>4003</v>
      </c>
      <c r="C1483" s="5">
        <v>102000.0</v>
      </c>
      <c r="D1483" s="5">
        <v>0.0</v>
      </c>
      <c r="E1483" s="5">
        <f t="shared" si="2"/>
        <v>24590526</v>
      </c>
      <c r="F1483" s="14" t="s">
        <v>105</v>
      </c>
      <c r="G1483" s="14" t="s">
        <v>2064</v>
      </c>
      <c r="H1483" s="14" t="s">
        <v>271</v>
      </c>
    </row>
    <row r="1484" ht="15.75" customHeight="1">
      <c r="A1484" s="8">
        <v>46199.0</v>
      </c>
      <c r="B1484" s="4" t="s">
        <v>4003</v>
      </c>
      <c r="C1484" s="5">
        <v>613000.0</v>
      </c>
      <c r="D1484" s="5">
        <v>0.0</v>
      </c>
      <c r="E1484" s="5">
        <f t="shared" si="2"/>
        <v>23977526</v>
      </c>
      <c r="F1484" s="14" t="s">
        <v>105</v>
      </c>
      <c r="G1484" s="14" t="s">
        <v>2064</v>
      </c>
      <c r="H1484" s="14" t="s">
        <v>271</v>
      </c>
    </row>
    <row r="1485" ht="15.75" customHeight="1">
      <c r="A1485" s="8">
        <v>46203.0</v>
      </c>
      <c r="B1485" s="4" t="s">
        <v>4005</v>
      </c>
      <c r="C1485" s="5">
        <v>387600.0</v>
      </c>
      <c r="D1485" s="5">
        <v>0.0</v>
      </c>
      <c r="E1485" s="5">
        <f t="shared" si="2"/>
        <v>23589926</v>
      </c>
      <c r="F1485" s="14" t="s">
        <v>50</v>
      </c>
      <c r="G1485" s="14" t="s">
        <v>245</v>
      </c>
      <c r="H1485" s="14" t="s">
        <v>413</v>
      </c>
    </row>
    <row r="1486" ht="15.75" customHeight="1">
      <c r="A1486" s="8">
        <v>46205.0</v>
      </c>
      <c r="B1486" s="17" t="s">
        <v>4006</v>
      </c>
      <c r="C1486" s="5">
        <v>263400.0</v>
      </c>
      <c r="D1486" s="5">
        <v>0.0</v>
      </c>
      <c r="E1486" s="5">
        <f t="shared" si="2"/>
        <v>23326526</v>
      </c>
      <c r="F1486" s="14" t="s">
        <v>50</v>
      </c>
      <c r="G1486" s="14" t="s">
        <v>245</v>
      </c>
      <c r="H1486" s="14" t="s">
        <v>413</v>
      </c>
    </row>
    <row r="1487" ht="15.75" customHeight="1">
      <c r="A1487" s="8">
        <v>46206.0</v>
      </c>
      <c r="B1487" s="17" t="s">
        <v>4007</v>
      </c>
      <c r="C1487" s="5">
        <v>250920.0</v>
      </c>
      <c r="D1487" s="5">
        <v>0.0</v>
      </c>
      <c r="E1487" s="5">
        <f t="shared" si="2"/>
        <v>23075606</v>
      </c>
      <c r="F1487" s="14" t="s">
        <v>2464</v>
      </c>
      <c r="G1487" s="14" t="s">
        <v>59</v>
      </c>
      <c r="H1487" s="15" t="s">
        <v>824</v>
      </c>
    </row>
    <row r="1488" ht="15.75" customHeight="1">
      <c r="A1488" s="8">
        <v>46207.0</v>
      </c>
      <c r="B1488" s="4" t="s">
        <v>4008</v>
      </c>
      <c r="C1488" s="5">
        <v>1789590.0</v>
      </c>
      <c r="D1488" s="5">
        <v>0.0</v>
      </c>
      <c r="E1488" s="5">
        <f t="shared" si="2"/>
        <v>21286016</v>
      </c>
      <c r="F1488" s="14" t="s">
        <v>2464</v>
      </c>
      <c r="G1488" s="14" t="s">
        <v>59</v>
      </c>
      <c r="H1488" s="15" t="s">
        <v>824</v>
      </c>
    </row>
    <row r="1489" ht="15.75" customHeight="1">
      <c r="A1489" s="8">
        <v>46208.0</v>
      </c>
      <c r="B1489" s="4" t="s">
        <v>4009</v>
      </c>
      <c r="C1489" s="5">
        <v>247700.0</v>
      </c>
      <c r="D1489" s="5">
        <v>0.0</v>
      </c>
      <c r="E1489" s="5">
        <f t="shared" si="2"/>
        <v>21038316</v>
      </c>
      <c r="F1489" s="14" t="s">
        <v>2464</v>
      </c>
      <c r="G1489" s="14" t="s">
        <v>59</v>
      </c>
      <c r="H1489" s="15" t="s">
        <v>824</v>
      </c>
    </row>
    <row r="1490" ht="15.75" customHeight="1">
      <c r="A1490" s="8">
        <v>46209.0</v>
      </c>
      <c r="B1490" s="14" t="s">
        <v>4010</v>
      </c>
      <c r="C1490" s="5">
        <v>1282300.0</v>
      </c>
      <c r="D1490" s="5">
        <v>0.0</v>
      </c>
      <c r="E1490" s="5">
        <f t="shared" si="2"/>
        <v>19756016</v>
      </c>
      <c r="F1490" s="14" t="s">
        <v>2464</v>
      </c>
      <c r="G1490" s="14" t="s">
        <v>59</v>
      </c>
      <c r="H1490" s="14" t="s">
        <v>824</v>
      </c>
      <c r="I1490" s="14"/>
      <c r="J1490" s="14"/>
      <c r="K1490" s="14"/>
      <c r="L1490" s="14"/>
    </row>
    <row r="1491" ht="15.75" customHeight="1">
      <c r="A1491" s="8">
        <v>46209.0</v>
      </c>
      <c r="B1491" s="4" t="s">
        <v>4011</v>
      </c>
      <c r="C1491" s="5">
        <v>405110.0</v>
      </c>
      <c r="D1491" s="5">
        <v>0.0</v>
      </c>
      <c r="E1491" s="5">
        <f t="shared" si="2"/>
        <v>19350906</v>
      </c>
      <c r="F1491" s="14" t="s">
        <v>2464</v>
      </c>
      <c r="G1491" s="14" t="s">
        <v>59</v>
      </c>
      <c r="H1491" s="15" t="s">
        <v>824</v>
      </c>
    </row>
    <row r="1492" ht="15.75" customHeight="1">
      <c r="A1492" s="8">
        <v>46209.0</v>
      </c>
      <c r="B1492" s="4" t="s">
        <v>4012</v>
      </c>
      <c r="C1492" s="5">
        <v>57800.0</v>
      </c>
      <c r="D1492" s="5">
        <v>0.0</v>
      </c>
      <c r="E1492" s="5">
        <f t="shared" si="2"/>
        <v>19293106</v>
      </c>
      <c r="F1492" s="14" t="s">
        <v>2464</v>
      </c>
      <c r="G1492" s="14" t="s">
        <v>59</v>
      </c>
      <c r="H1492" s="15" t="s">
        <v>824</v>
      </c>
    </row>
    <row r="1493" ht="15.75" customHeight="1">
      <c r="A1493" s="8">
        <v>46209.0</v>
      </c>
      <c r="B1493" s="4" t="s">
        <v>4013</v>
      </c>
      <c r="C1493" s="5">
        <v>140000.0</v>
      </c>
      <c r="D1493" s="5">
        <v>0.0</v>
      </c>
      <c r="E1493" s="5">
        <f t="shared" si="2"/>
        <v>19153106</v>
      </c>
      <c r="F1493" s="14" t="s">
        <v>2464</v>
      </c>
      <c r="G1493" s="14" t="s">
        <v>59</v>
      </c>
      <c r="H1493" s="15" t="s">
        <v>824</v>
      </c>
    </row>
    <row r="1494" ht="15.75" customHeight="1">
      <c r="A1494" s="8">
        <v>46191.0</v>
      </c>
      <c r="B1494" s="4" t="s">
        <v>4014</v>
      </c>
      <c r="C1494" s="5">
        <v>2960000.0</v>
      </c>
      <c r="D1494" s="5">
        <v>0.0</v>
      </c>
      <c r="E1494" s="5">
        <f t="shared" si="2"/>
        <v>16193106</v>
      </c>
      <c r="F1494" s="14" t="s">
        <v>24</v>
      </c>
      <c r="G1494" s="14" t="s">
        <v>125</v>
      </c>
      <c r="H1494" s="14" t="s">
        <v>2207</v>
      </c>
    </row>
    <row r="1495" ht="15.75" customHeight="1">
      <c r="A1495" s="8">
        <v>46192.0</v>
      </c>
      <c r="B1495" s="4" t="s">
        <v>4015</v>
      </c>
      <c r="C1495" s="5">
        <v>2383700.0</v>
      </c>
      <c r="D1495" s="5">
        <v>0.0</v>
      </c>
      <c r="E1495" s="5">
        <f t="shared" si="2"/>
        <v>13809406</v>
      </c>
      <c r="F1495" s="14" t="s">
        <v>2464</v>
      </c>
      <c r="G1495" s="14" t="s">
        <v>59</v>
      </c>
      <c r="H1495" s="4" t="s">
        <v>3800</v>
      </c>
    </row>
    <row r="1496" ht="15.75" customHeight="1">
      <c r="A1496" s="8">
        <v>46192.0</v>
      </c>
      <c r="B1496" s="4" t="s">
        <v>4016</v>
      </c>
      <c r="C1496" s="5">
        <v>1956907.0</v>
      </c>
      <c r="D1496" s="5">
        <v>0.0</v>
      </c>
      <c r="E1496" s="5">
        <f t="shared" si="2"/>
        <v>11852499</v>
      </c>
      <c r="F1496" s="14" t="s">
        <v>105</v>
      </c>
      <c r="G1496" s="14" t="s">
        <v>4017</v>
      </c>
      <c r="H1496" s="14"/>
    </row>
    <row r="1497" ht="15.75" customHeight="1">
      <c r="A1497" s="8">
        <v>46193.0</v>
      </c>
      <c r="B1497" s="4" t="s">
        <v>4018</v>
      </c>
      <c r="C1497" s="5">
        <v>2703500.0</v>
      </c>
      <c r="D1497" s="5">
        <v>0.0</v>
      </c>
      <c r="E1497" s="5">
        <f t="shared" si="2"/>
        <v>9148999</v>
      </c>
      <c r="F1497" s="14" t="s">
        <v>93</v>
      </c>
      <c r="G1497" s="14" t="s">
        <v>93</v>
      </c>
      <c r="H1497" s="14" t="s">
        <v>346</v>
      </c>
    </row>
    <row r="1498" ht="15.75" customHeight="1">
      <c r="A1498" s="8">
        <v>46196.0</v>
      </c>
      <c r="B1498" s="14" t="s">
        <v>4019</v>
      </c>
      <c r="C1498" s="5">
        <v>1791900.0</v>
      </c>
      <c r="D1498" s="5">
        <v>0.0</v>
      </c>
      <c r="E1498" s="5">
        <f t="shared" si="2"/>
        <v>7357099</v>
      </c>
      <c r="F1498" s="14" t="s">
        <v>306</v>
      </c>
      <c r="G1498" s="14" t="s">
        <v>307</v>
      </c>
      <c r="H1498" s="14" t="s">
        <v>4020</v>
      </c>
      <c r="I1498" s="14"/>
      <c r="J1498" s="14"/>
      <c r="K1498" s="14"/>
      <c r="L1498" s="14"/>
    </row>
    <row r="1499" ht="15.75" customHeight="1">
      <c r="A1499" s="8">
        <v>46196.0</v>
      </c>
      <c r="B1499" s="4" t="s">
        <v>4021</v>
      </c>
      <c r="C1499" s="5">
        <v>71495.0</v>
      </c>
      <c r="D1499" s="5">
        <v>0.0</v>
      </c>
      <c r="E1499" s="5">
        <f t="shared" si="2"/>
        <v>7285604</v>
      </c>
      <c r="F1499" s="14" t="s">
        <v>50</v>
      </c>
      <c r="G1499" s="14" t="s">
        <v>178</v>
      </c>
      <c r="H1499" s="14"/>
    </row>
    <row r="1500" ht="15.75" customHeight="1">
      <c r="A1500" s="8">
        <v>46198.0</v>
      </c>
      <c r="B1500" s="17" t="s">
        <v>4022</v>
      </c>
      <c r="C1500" s="5">
        <v>353000.0</v>
      </c>
      <c r="D1500" s="5">
        <v>0.0</v>
      </c>
      <c r="E1500" s="5">
        <f t="shared" si="2"/>
        <v>6932604</v>
      </c>
      <c r="F1500" s="14" t="s">
        <v>50</v>
      </c>
      <c r="G1500" s="14" t="s">
        <v>245</v>
      </c>
      <c r="H1500" s="14" t="s">
        <v>246</v>
      </c>
    </row>
    <row r="1501" ht="15.75" customHeight="1">
      <c r="A1501" s="8">
        <v>46202.0</v>
      </c>
      <c r="B1501" s="4" t="s">
        <v>4023</v>
      </c>
      <c r="C1501" s="5">
        <v>1840000.0</v>
      </c>
      <c r="D1501" s="5">
        <v>0.0</v>
      </c>
      <c r="E1501" s="5">
        <f t="shared" si="2"/>
        <v>5092604</v>
      </c>
      <c r="F1501" s="14" t="s">
        <v>24</v>
      </c>
      <c r="G1501" s="14" t="s">
        <v>125</v>
      </c>
      <c r="H1501" s="14" t="s">
        <v>2207</v>
      </c>
    </row>
    <row r="1502" ht="15.75" customHeight="1">
      <c r="A1502" s="8">
        <v>46202.0</v>
      </c>
      <c r="B1502" s="4" t="s">
        <v>4024</v>
      </c>
      <c r="C1502" s="5">
        <v>0.0</v>
      </c>
      <c r="D1502" s="5">
        <v>2703500.0</v>
      </c>
      <c r="E1502" s="5">
        <f t="shared" si="2"/>
        <v>7796104</v>
      </c>
      <c r="F1502" s="14" t="s">
        <v>93</v>
      </c>
      <c r="G1502" s="14" t="s">
        <v>93</v>
      </c>
      <c r="H1502" s="14" t="s">
        <v>346</v>
      </c>
    </row>
    <row r="1503" ht="15.75" customHeight="1">
      <c r="A1503" s="8">
        <v>46202.0</v>
      </c>
      <c r="B1503" s="4" t="s">
        <v>4025</v>
      </c>
      <c r="C1503" s="5">
        <v>3249850.0</v>
      </c>
      <c r="D1503" s="5">
        <v>0.0</v>
      </c>
      <c r="E1503" s="5">
        <f t="shared" si="2"/>
        <v>4546254</v>
      </c>
      <c r="F1503" s="14" t="s">
        <v>105</v>
      </c>
      <c r="G1503" s="14" t="s">
        <v>4017</v>
      </c>
      <c r="H1503" s="14"/>
    </row>
    <row r="1504" ht="15.75" customHeight="1">
      <c r="A1504" s="8">
        <v>46204.0</v>
      </c>
      <c r="B1504" s="4" t="s">
        <v>4026</v>
      </c>
      <c r="C1504" s="5">
        <v>920000.0</v>
      </c>
      <c r="D1504" s="5">
        <v>0.0</v>
      </c>
      <c r="E1504" s="5">
        <f t="shared" si="2"/>
        <v>3626254</v>
      </c>
      <c r="F1504" s="14" t="s">
        <v>24</v>
      </c>
      <c r="G1504" s="14" t="s">
        <v>125</v>
      </c>
      <c r="H1504" s="14" t="s">
        <v>2207</v>
      </c>
    </row>
    <row r="1505" ht="15.75" customHeight="1">
      <c r="A1505" s="8">
        <v>46217.0</v>
      </c>
      <c r="B1505" s="17" t="s">
        <v>4027</v>
      </c>
      <c r="C1505" s="5">
        <v>358000.0</v>
      </c>
      <c r="D1505" s="5">
        <v>0.0</v>
      </c>
      <c r="E1505" s="5">
        <f t="shared" si="2"/>
        <v>3268254</v>
      </c>
      <c r="F1505" s="14" t="s">
        <v>50</v>
      </c>
      <c r="G1505" s="14" t="s">
        <v>245</v>
      </c>
      <c r="H1505" s="14" t="s">
        <v>246</v>
      </c>
    </row>
    <row r="1506" ht="15.75" customHeight="1">
      <c r="A1506" s="8">
        <v>46220.0</v>
      </c>
      <c r="B1506" s="4" t="s">
        <v>4028</v>
      </c>
      <c r="C1506" s="5">
        <v>2.429987E7</v>
      </c>
      <c r="D1506" s="5">
        <v>0.0</v>
      </c>
      <c r="E1506" s="5">
        <f t="shared" si="2"/>
        <v>-21031616</v>
      </c>
      <c r="F1506" s="14" t="s">
        <v>93</v>
      </c>
      <c r="G1506" s="14" t="s">
        <v>93</v>
      </c>
      <c r="H1506" s="14" t="s">
        <v>346</v>
      </c>
    </row>
    <row r="1507" ht="15.75" customHeight="1">
      <c r="A1507" s="8">
        <v>46220.0</v>
      </c>
      <c r="B1507" s="4" t="s">
        <v>4028</v>
      </c>
      <c r="C1507" s="5">
        <v>0.0</v>
      </c>
      <c r="D1507" s="5">
        <v>2.429987E7</v>
      </c>
      <c r="E1507" s="5">
        <f t="shared" si="2"/>
        <v>3268254</v>
      </c>
      <c r="F1507" s="14" t="s">
        <v>93</v>
      </c>
      <c r="G1507" s="14" t="s">
        <v>93</v>
      </c>
      <c r="H1507" s="14" t="s">
        <v>346</v>
      </c>
    </row>
    <row r="1508" ht="15.75" customHeight="1">
      <c r="A1508" s="8">
        <v>46192.0</v>
      </c>
      <c r="B1508" s="14" t="s">
        <v>4029</v>
      </c>
      <c r="C1508" s="5">
        <v>283657.0</v>
      </c>
      <c r="D1508" s="5">
        <v>0.0</v>
      </c>
      <c r="E1508" s="5">
        <f t="shared" si="2"/>
        <v>2984597</v>
      </c>
      <c r="F1508" s="14" t="s">
        <v>105</v>
      </c>
      <c r="G1508" s="14" t="s">
        <v>2064</v>
      </c>
      <c r="H1508" s="14" t="s">
        <v>72</v>
      </c>
      <c r="I1508" s="14"/>
      <c r="J1508" s="14"/>
      <c r="K1508" s="14"/>
      <c r="L1508" s="14"/>
    </row>
    <row r="1509" ht="15.75" customHeight="1">
      <c r="A1509" s="8">
        <v>46195.0</v>
      </c>
      <c r="B1509" s="14" t="s">
        <v>4030</v>
      </c>
      <c r="C1509" s="5">
        <v>2645797.0</v>
      </c>
      <c r="D1509" s="5">
        <v>0.0</v>
      </c>
      <c r="E1509" s="5">
        <f t="shared" si="2"/>
        <v>338800</v>
      </c>
      <c r="F1509" s="14" t="s">
        <v>105</v>
      </c>
      <c r="G1509" s="14" t="s">
        <v>106</v>
      </c>
      <c r="H1509" s="14" t="s">
        <v>72</v>
      </c>
      <c r="I1509" s="14"/>
      <c r="J1509" s="14"/>
      <c r="K1509" s="14"/>
      <c r="L1509" s="14"/>
    </row>
    <row r="1510" ht="15.75" customHeight="1">
      <c r="A1510" s="8">
        <v>46209.0</v>
      </c>
      <c r="B1510" s="14" t="s">
        <v>4031</v>
      </c>
      <c r="C1510" s="5">
        <v>338800.0</v>
      </c>
      <c r="D1510" s="5">
        <v>0.0</v>
      </c>
      <c r="E1510" s="5">
        <f t="shared" si="2"/>
        <v>0</v>
      </c>
      <c r="F1510" s="14" t="s">
        <v>105</v>
      </c>
      <c r="G1510" s="14" t="s">
        <v>2064</v>
      </c>
      <c r="H1510" s="14" t="s">
        <v>72</v>
      </c>
      <c r="I1510" s="14"/>
      <c r="J1510" s="14"/>
      <c r="K1510" s="14"/>
      <c r="L1510" s="14"/>
    </row>
    <row r="1511" ht="15.75" customHeight="1">
      <c r="A1511" s="8">
        <v>46238.0</v>
      </c>
      <c r="B1511" s="4" t="s">
        <v>2309</v>
      </c>
      <c r="C1511" s="5">
        <v>0.0</v>
      </c>
      <c r="D1511" s="5">
        <v>7.4884076E7</v>
      </c>
      <c r="E1511" s="5">
        <f t="shared" si="2"/>
        <v>74884076</v>
      </c>
      <c r="F1511" s="14" t="s">
        <v>21</v>
      </c>
      <c r="G1511" s="14" t="s">
        <v>448</v>
      </c>
      <c r="H1511" s="14" t="s">
        <v>55</v>
      </c>
    </row>
    <row r="1512" ht="15.75" customHeight="1">
      <c r="A1512" s="8">
        <v>46192.0</v>
      </c>
      <c r="B1512" s="4" t="s">
        <v>4032</v>
      </c>
      <c r="C1512" s="5">
        <v>1.9431276E7</v>
      </c>
      <c r="D1512" s="5">
        <v>0.0</v>
      </c>
      <c r="E1512" s="5">
        <f t="shared" si="2"/>
        <v>55452800</v>
      </c>
      <c r="F1512" s="14" t="s">
        <v>2464</v>
      </c>
      <c r="G1512" s="14" t="s">
        <v>59</v>
      </c>
      <c r="H1512" s="14" t="s">
        <v>592</v>
      </c>
    </row>
    <row r="1513" ht="15.75" customHeight="1">
      <c r="A1513" s="8">
        <v>46192.0</v>
      </c>
      <c r="B1513" s="17" t="s">
        <v>4033</v>
      </c>
      <c r="C1513" s="5">
        <v>3049200.0</v>
      </c>
      <c r="D1513" s="5">
        <v>0.0</v>
      </c>
      <c r="E1513" s="5">
        <f t="shared" si="2"/>
        <v>52403600</v>
      </c>
      <c r="F1513" s="14" t="s">
        <v>2464</v>
      </c>
      <c r="G1513" s="14" t="s">
        <v>59</v>
      </c>
      <c r="H1513" s="14" t="s">
        <v>592</v>
      </c>
    </row>
    <row r="1514" ht="15.75" customHeight="1">
      <c r="A1514" s="8">
        <v>46196.0</v>
      </c>
      <c r="B1514" s="4" t="s">
        <v>3582</v>
      </c>
      <c r="C1514" s="5">
        <v>5000.0</v>
      </c>
      <c r="D1514" s="5">
        <v>0.0</v>
      </c>
      <c r="E1514" s="5">
        <f t="shared" si="2"/>
        <v>52398600</v>
      </c>
      <c r="F1514" s="14" t="s">
        <v>43</v>
      </c>
      <c r="G1514" s="14" t="s">
        <v>45</v>
      </c>
      <c r="H1514" s="14"/>
    </row>
    <row r="1515" ht="15.75" customHeight="1">
      <c r="A1515" s="8">
        <v>46203.0</v>
      </c>
      <c r="B1515" s="4" t="s">
        <v>3430</v>
      </c>
      <c r="C1515" s="5">
        <v>7500.0</v>
      </c>
      <c r="D1515" s="5">
        <v>0.0</v>
      </c>
      <c r="E1515" s="5">
        <f t="shared" si="2"/>
        <v>52391100</v>
      </c>
      <c r="F1515" s="14" t="s">
        <v>43</v>
      </c>
      <c r="G1515" s="14" t="s">
        <v>45</v>
      </c>
      <c r="H1515" s="14"/>
    </row>
    <row r="1516" ht="15.75" customHeight="1">
      <c r="A1516" s="8">
        <v>46203.0</v>
      </c>
      <c r="B1516" s="4" t="s">
        <v>4034</v>
      </c>
      <c r="C1516" s="5">
        <v>955900.0</v>
      </c>
      <c r="D1516" s="5">
        <v>0.0</v>
      </c>
      <c r="E1516" s="5">
        <f t="shared" si="2"/>
        <v>51435200</v>
      </c>
      <c r="F1516" s="14" t="s">
        <v>1471</v>
      </c>
      <c r="G1516" s="14" t="s">
        <v>3435</v>
      </c>
      <c r="H1516" s="14"/>
    </row>
    <row r="1517" ht="15.75" customHeight="1">
      <c r="A1517" s="8">
        <v>46203.0</v>
      </c>
      <c r="B1517" s="17" t="s">
        <v>4035</v>
      </c>
      <c r="C1517" s="5">
        <v>2507000.0</v>
      </c>
      <c r="D1517" s="5">
        <v>0.0</v>
      </c>
      <c r="E1517" s="5">
        <f t="shared" si="2"/>
        <v>48928200</v>
      </c>
      <c r="F1517" s="14" t="s">
        <v>1471</v>
      </c>
      <c r="G1517" s="14" t="s">
        <v>3435</v>
      </c>
      <c r="H1517" s="14"/>
    </row>
    <row r="1518" ht="15.75" customHeight="1">
      <c r="A1518" s="8">
        <v>46211.0</v>
      </c>
      <c r="B1518" s="4" t="s">
        <v>4036</v>
      </c>
      <c r="C1518" s="5">
        <v>4706900.0</v>
      </c>
      <c r="D1518" s="5">
        <v>0.0</v>
      </c>
      <c r="E1518" s="5">
        <f t="shared" si="2"/>
        <v>44221300</v>
      </c>
      <c r="F1518" s="14" t="s">
        <v>1471</v>
      </c>
      <c r="G1518" s="14" t="s">
        <v>3435</v>
      </c>
      <c r="H1518" s="14"/>
    </row>
    <row r="1519" ht="15.75" customHeight="1">
      <c r="A1519" s="8">
        <v>46218.0</v>
      </c>
      <c r="B1519" s="4" t="s">
        <v>4037</v>
      </c>
      <c r="C1519" s="5">
        <v>3150000.0</v>
      </c>
      <c r="D1519" s="5">
        <v>0.0</v>
      </c>
      <c r="E1519" s="5">
        <f t="shared" si="2"/>
        <v>41071300</v>
      </c>
      <c r="F1519" s="14" t="s">
        <v>2464</v>
      </c>
      <c r="G1519" s="14" t="s">
        <v>59</v>
      </c>
      <c r="H1519" s="14" t="s">
        <v>854</v>
      </c>
    </row>
    <row r="1520" ht="15.75" customHeight="1">
      <c r="A1520" s="8">
        <v>46218.0</v>
      </c>
      <c r="B1520" s="4" t="s">
        <v>4038</v>
      </c>
      <c r="C1520" s="5">
        <v>3.71E7</v>
      </c>
      <c r="D1520" s="5">
        <v>0.0</v>
      </c>
      <c r="E1520" s="5">
        <f t="shared" si="2"/>
        <v>3971300</v>
      </c>
      <c r="F1520" s="14" t="s">
        <v>2464</v>
      </c>
      <c r="G1520" s="14" t="s">
        <v>59</v>
      </c>
      <c r="H1520" s="14" t="s">
        <v>854</v>
      </c>
    </row>
    <row r="1521" ht="15.75" customHeight="1">
      <c r="A1521" s="8">
        <v>46220.0</v>
      </c>
      <c r="B1521" s="17" t="s">
        <v>4039</v>
      </c>
      <c r="C1521" s="5">
        <v>311300.0</v>
      </c>
      <c r="D1521" s="5">
        <v>0.0</v>
      </c>
      <c r="E1521" s="5">
        <f t="shared" si="2"/>
        <v>3660000</v>
      </c>
      <c r="F1521" s="14" t="s">
        <v>2464</v>
      </c>
      <c r="G1521" s="14" t="s">
        <v>59</v>
      </c>
      <c r="H1521" s="14" t="s">
        <v>854</v>
      </c>
    </row>
    <row r="1522" ht="15.75" customHeight="1">
      <c r="A1522" s="8">
        <v>46221.0</v>
      </c>
      <c r="B1522" s="4" t="s">
        <v>4040</v>
      </c>
      <c r="C1522" s="5">
        <v>3450000.0</v>
      </c>
      <c r="D1522" s="5">
        <v>0.0</v>
      </c>
      <c r="E1522" s="5">
        <f t="shared" si="2"/>
        <v>210000</v>
      </c>
      <c r="F1522" s="14" t="s">
        <v>2464</v>
      </c>
      <c r="G1522" s="14" t="s">
        <v>59</v>
      </c>
      <c r="H1522" s="14" t="s">
        <v>854</v>
      </c>
    </row>
    <row r="1523" ht="15.75" customHeight="1">
      <c r="A1523" s="8">
        <v>46221.0</v>
      </c>
      <c r="B1523" s="17" t="s">
        <v>4041</v>
      </c>
      <c r="C1523" s="5">
        <v>200000.0</v>
      </c>
      <c r="D1523" s="5">
        <v>0.0</v>
      </c>
      <c r="E1523" s="5">
        <f t="shared" si="2"/>
        <v>10000</v>
      </c>
      <c r="F1523" s="14" t="s">
        <v>2464</v>
      </c>
      <c r="G1523" s="14" t="s">
        <v>59</v>
      </c>
      <c r="H1523" s="14" t="s">
        <v>854</v>
      </c>
    </row>
    <row r="1524" ht="15.75" customHeight="1">
      <c r="A1524" s="8">
        <v>46223.0</v>
      </c>
      <c r="B1524" s="4" t="s">
        <v>3432</v>
      </c>
      <c r="C1524" s="5">
        <v>10000.0</v>
      </c>
      <c r="D1524" s="5">
        <v>0.0</v>
      </c>
      <c r="E1524" s="5">
        <f t="shared" si="2"/>
        <v>0</v>
      </c>
      <c r="F1524" s="14" t="s">
        <v>43</v>
      </c>
      <c r="G1524" s="14" t="s">
        <v>45</v>
      </c>
      <c r="H1524" s="14"/>
    </row>
    <row r="1525" ht="15.75" customHeight="1">
      <c r="A1525" s="8">
        <v>46238.0</v>
      </c>
      <c r="B1525" s="17" t="s">
        <v>4042</v>
      </c>
      <c r="C1525" s="5">
        <v>0.0</v>
      </c>
      <c r="D1525" s="5">
        <v>3585662.0</v>
      </c>
      <c r="E1525" s="5">
        <f t="shared" si="2"/>
        <v>3585662</v>
      </c>
      <c r="F1525" s="14" t="s">
        <v>18</v>
      </c>
      <c r="G1525" s="14" t="s">
        <v>19</v>
      </c>
      <c r="H1525" s="14" t="s">
        <v>20</v>
      </c>
      <c r="I1525" s="14"/>
      <c r="J1525" s="14"/>
      <c r="K1525" s="14"/>
      <c r="L1525" s="14"/>
    </row>
    <row r="1526" ht="15.75" customHeight="1">
      <c r="A1526" s="8">
        <v>46211.0</v>
      </c>
      <c r="B1526" s="17" t="s">
        <v>4043</v>
      </c>
      <c r="C1526" s="5">
        <v>2053138.0</v>
      </c>
      <c r="D1526" s="5">
        <v>0.0</v>
      </c>
      <c r="E1526" s="5">
        <f t="shared" si="2"/>
        <v>1532524</v>
      </c>
      <c r="F1526" s="14" t="s">
        <v>21</v>
      </c>
      <c r="G1526" s="14" t="s">
        <v>876</v>
      </c>
      <c r="H1526" s="14" t="s">
        <v>70</v>
      </c>
      <c r="I1526" s="14"/>
      <c r="J1526" s="14"/>
      <c r="K1526" s="14"/>
      <c r="L1526" s="14"/>
    </row>
    <row r="1527" ht="15.75" customHeight="1">
      <c r="A1527" s="8">
        <v>46196.0</v>
      </c>
      <c r="B1527" s="4" t="s">
        <v>4044</v>
      </c>
      <c r="C1527" s="5">
        <v>248314.0</v>
      </c>
      <c r="D1527" s="5">
        <v>0.0</v>
      </c>
      <c r="E1527" s="5">
        <f t="shared" si="2"/>
        <v>1284210</v>
      </c>
      <c r="F1527" s="14" t="s">
        <v>2464</v>
      </c>
      <c r="G1527" s="14" t="s">
        <v>59</v>
      </c>
      <c r="H1527" s="14" t="s">
        <v>694</v>
      </c>
    </row>
    <row r="1528" ht="15.75" customHeight="1">
      <c r="A1528" s="8">
        <v>46196.0</v>
      </c>
      <c r="B1528" s="14" t="s">
        <v>4044</v>
      </c>
      <c r="C1528" s="5">
        <v>248314.0</v>
      </c>
      <c r="D1528" s="5">
        <v>0.0</v>
      </c>
      <c r="E1528" s="5">
        <f t="shared" si="2"/>
        <v>1035896</v>
      </c>
      <c r="F1528" s="14" t="s">
        <v>2464</v>
      </c>
      <c r="G1528" s="14" t="s">
        <v>59</v>
      </c>
      <c r="H1528" s="14" t="s">
        <v>694</v>
      </c>
      <c r="I1528" s="14"/>
      <c r="J1528" s="14"/>
      <c r="K1528" s="14"/>
      <c r="L1528" s="14"/>
    </row>
    <row r="1529" ht="15.75" customHeight="1">
      <c r="A1529" s="8">
        <v>46197.0</v>
      </c>
      <c r="B1529" s="4" t="s">
        <v>4045</v>
      </c>
      <c r="C1529" s="5">
        <v>159140.0</v>
      </c>
      <c r="D1529" s="5">
        <v>0.0</v>
      </c>
      <c r="E1529" s="5">
        <f t="shared" si="2"/>
        <v>876756</v>
      </c>
      <c r="F1529" s="14" t="s">
        <v>2464</v>
      </c>
      <c r="G1529" s="14" t="s">
        <v>59</v>
      </c>
      <c r="H1529" s="14" t="s">
        <v>683</v>
      </c>
    </row>
    <row r="1530" ht="15.75" customHeight="1">
      <c r="A1530" s="8">
        <v>46203.0</v>
      </c>
      <c r="B1530" s="4" t="s">
        <v>4046</v>
      </c>
      <c r="C1530" s="5">
        <v>7500.0</v>
      </c>
      <c r="D1530" s="5">
        <v>0.0</v>
      </c>
      <c r="E1530" s="5">
        <f t="shared" si="2"/>
        <v>869256</v>
      </c>
      <c r="F1530" s="14" t="s">
        <v>43</v>
      </c>
      <c r="G1530" s="14" t="s">
        <v>45</v>
      </c>
      <c r="H1530" s="14"/>
    </row>
    <row r="1531" ht="15.75" customHeight="1">
      <c r="A1531" s="8">
        <v>46204.0</v>
      </c>
      <c r="B1531" s="4" t="s">
        <v>4047</v>
      </c>
      <c r="C1531" s="5">
        <v>159140.0</v>
      </c>
      <c r="D1531" s="5">
        <v>0.0</v>
      </c>
      <c r="E1531" s="5">
        <f t="shared" si="2"/>
        <v>710116</v>
      </c>
      <c r="F1531" s="14" t="s">
        <v>2464</v>
      </c>
      <c r="G1531" s="14" t="s">
        <v>59</v>
      </c>
      <c r="H1531" s="14" t="s">
        <v>931</v>
      </c>
    </row>
    <row r="1532" ht="15.75" customHeight="1">
      <c r="A1532" s="8">
        <v>46206.0</v>
      </c>
      <c r="B1532" s="4" t="s">
        <v>4048</v>
      </c>
      <c r="C1532" s="5">
        <v>129283.0</v>
      </c>
      <c r="D1532" s="5">
        <v>0.0</v>
      </c>
      <c r="E1532" s="5">
        <f t="shared" si="2"/>
        <v>580833</v>
      </c>
      <c r="F1532" s="14" t="s">
        <v>2464</v>
      </c>
      <c r="G1532" s="14" t="s">
        <v>59</v>
      </c>
      <c r="H1532" s="14" t="s">
        <v>931</v>
      </c>
    </row>
    <row r="1533" ht="15.75" customHeight="1">
      <c r="A1533" s="8">
        <v>46222.0</v>
      </c>
      <c r="B1533" s="4" t="s">
        <v>3432</v>
      </c>
      <c r="C1533" s="5">
        <v>10000.0</v>
      </c>
      <c r="D1533" s="5">
        <v>0.0</v>
      </c>
      <c r="E1533" s="5">
        <f t="shared" si="2"/>
        <v>570833</v>
      </c>
      <c r="F1533" s="14" t="s">
        <v>43</v>
      </c>
      <c r="G1533" s="14" t="s">
        <v>45</v>
      </c>
      <c r="H1533" s="14"/>
    </row>
    <row r="1534" ht="15.75" customHeight="1">
      <c r="A1534" s="8">
        <v>46222.0</v>
      </c>
      <c r="B1534" s="4" t="s">
        <v>3828</v>
      </c>
      <c r="C1534" s="5">
        <v>570833.0</v>
      </c>
      <c r="D1534" s="5">
        <v>0.0</v>
      </c>
      <c r="E1534" s="5">
        <f t="shared" si="2"/>
        <v>0</v>
      </c>
      <c r="F1534" s="14" t="s">
        <v>21</v>
      </c>
      <c r="G1534" s="14" t="s">
        <v>899</v>
      </c>
      <c r="H1534" s="14"/>
    </row>
    <row r="1535" ht="15.75" customHeight="1">
      <c r="A1535" s="8">
        <v>46244.0</v>
      </c>
      <c r="B1535" s="4" t="s">
        <v>4049</v>
      </c>
      <c r="C1535" s="5">
        <v>0.0</v>
      </c>
      <c r="D1535" s="5">
        <v>4.1313301E7</v>
      </c>
      <c r="E1535" s="5">
        <f t="shared" si="2"/>
        <v>41313301</v>
      </c>
      <c r="F1535" s="14" t="s">
        <v>24</v>
      </c>
      <c r="G1535" s="14" t="s">
        <v>125</v>
      </c>
      <c r="H1535" s="4" t="s">
        <v>170</v>
      </c>
    </row>
    <row r="1536" ht="15.75" customHeight="1">
      <c r="A1536" s="8">
        <v>46204.0</v>
      </c>
      <c r="B1536" s="4" t="s">
        <v>3984</v>
      </c>
      <c r="C1536" s="5">
        <v>7500.0</v>
      </c>
      <c r="D1536" s="5">
        <v>0.0</v>
      </c>
      <c r="E1536" s="5">
        <f t="shared" si="2"/>
        <v>41305801</v>
      </c>
      <c r="F1536" s="14" t="s">
        <v>43</v>
      </c>
      <c r="G1536" s="14" t="s">
        <v>45</v>
      </c>
      <c r="H1536" s="14"/>
    </row>
    <row r="1537" ht="15.75" customHeight="1">
      <c r="A1537" s="8">
        <v>46204.0</v>
      </c>
      <c r="B1537" s="4" t="s">
        <v>3984</v>
      </c>
      <c r="C1537" s="5">
        <v>7500.0</v>
      </c>
      <c r="D1537" s="5">
        <v>0.0</v>
      </c>
      <c r="E1537" s="5">
        <f t="shared" si="2"/>
        <v>41298301</v>
      </c>
      <c r="F1537" s="14" t="s">
        <v>43</v>
      </c>
      <c r="G1537" s="14" t="s">
        <v>45</v>
      </c>
      <c r="H1537" s="14"/>
    </row>
    <row r="1538" ht="15.75" customHeight="1">
      <c r="A1538" s="8">
        <v>46215.0</v>
      </c>
      <c r="B1538" s="14" t="s">
        <v>4050</v>
      </c>
      <c r="C1538" s="5">
        <v>230588.0</v>
      </c>
      <c r="D1538" s="5">
        <v>0.0</v>
      </c>
      <c r="E1538" s="5">
        <f t="shared" si="2"/>
        <v>41067713</v>
      </c>
      <c r="F1538" s="14" t="s">
        <v>105</v>
      </c>
      <c r="G1538" s="14" t="s">
        <v>2064</v>
      </c>
      <c r="H1538" s="14" t="s">
        <v>72</v>
      </c>
      <c r="I1538" s="14"/>
      <c r="J1538" s="14"/>
      <c r="K1538" s="14"/>
      <c r="L1538" s="14"/>
    </row>
    <row r="1539" ht="15.75" customHeight="1">
      <c r="A1539" s="8">
        <v>46219.0</v>
      </c>
      <c r="B1539" s="14" t="s">
        <v>4051</v>
      </c>
      <c r="C1539" s="5">
        <v>919600.0</v>
      </c>
      <c r="D1539" s="5">
        <v>0.0</v>
      </c>
      <c r="E1539" s="5">
        <f t="shared" si="2"/>
        <v>40148113</v>
      </c>
      <c r="F1539" s="14" t="s">
        <v>1471</v>
      </c>
      <c r="G1539" s="14" t="s">
        <v>3435</v>
      </c>
      <c r="H1539" s="14"/>
      <c r="I1539" s="14"/>
      <c r="J1539" s="14"/>
      <c r="K1539" s="14"/>
      <c r="L1539" s="14"/>
    </row>
    <row r="1540" ht="15.75" customHeight="1">
      <c r="A1540" s="8">
        <v>46224.0</v>
      </c>
      <c r="B1540" s="14" t="s">
        <v>4052</v>
      </c>
      <c r="C1540" s="5">
        <v>179073.0</v>
      </c>
      <c r="D1540" s="5">
        <v>0.0</v>
      </c>
      <c r="E1540" s="5">
        <f t="shared" si="2"/>
        <v>39969040</v>
      </c>
      <c r="F1540" s="14" t="s">
        <v>105</v>
      </c>
      <c r="G1540" s="14" t="s">
        <v>2064</v>
      </c>
      <c r="H1540" s="14" t="s">
        <v>72</v>
      </c>
      <c r="I1540" s="14"/>
      <c r="J1540" s="14"/>
      <c r="K1540" s="14"/>
      <c r="L1540" s="14"/>
    </row>
    <row r="1541" ht="15.75" customHeight="1">
      <c r="A1541" s="8"/>
      <c r="B1541" s="4" t="s">
        <v>4053</v>
      </c>
      <c r="C1541" s="5">
        <v>3.996904E7</v>
      </c>
      <c r="D1541" s="5">
        <v>0.0</v>
      </c>
      <c r="E1541" s="5">
        <f t="shared" si="2"/>
        <v>0</v>
      </c>
      <c r="F1541" s="14" t="s">
        <v>24</v>
      </c>
      <c r="G1541" s="14" t="s">
        <v>125</v>
      </c>
      <c r="H1541" s="4" t="s">
        <v>170</v>
      </c>
    </row>
    <row r="1542" ht="15.75" customHeight="1">
      <c r="A1542" s="8">
        <v>46249.0</v>
      </c>
      <c r="B1542" s="4" t="s">
        <v>607</v>
      </c>
      <c r="C1542" s="5">
        <v>0.0</v>
      </c>
      <c r="D1542" s="5">
        <v>2.10131354E8</v>
      </c>
      <c r="E1542" s="5">
        <f t="shared" si="2"/>
        <v>210131354</v>
      </c>
      <c r="F1542" s="14" t="s">
        <v>21</v>
      </c>
      <c r="G1542" s="14" t="s">
        <v>136</v>
      </c>
      <c r="H1542" s="14" t="s">
        <v>28</v>
      </c>
    </row>
    <row r="1543" ht="15.75" customHeight="1">
      <c r="A1543" s="8">
        <v>46236.0</v>
      </c>
      <c r="B1543" s="4" t="s">
        <v>4054</v>
      </c>
      <c r="C1543" s="5">
        <v>1270300.0</v>
      </c>
      <c r="D1543" s="5">
        <v>0.0</v>
      </c>
      <c r="E1543" s="5">
        <f t="shared" si="2"/>
        <v>208861054</v>
      </c>
      <c r="F1543" s="14" t="s">
        <v>105</v>
      </c>
      <c r="G1543" s="14" t="s">
        <v>106</v>
      </c>
      <c r="H1543" s="14" t="s">
        <v>72</v>
      </c>
    </row>
    <row r="1544" ht="15.75" customHeight="1">
      <c r="A1544" s="8">
        <v>46204.0</v>
      </c>
      <c r="B1544" s="14" t="s">
        <v>4055</v>
      </c>
      <c r="C1544" s="5">
        <v>2720000.0</v>
      </c>
      <c r="D1544" s="5">
        <v>0.0</v>
      </c>
      <c r="E1544" s="5">
        <f t="shared" si="2"/>
        <v>206141054</v>
      </c>
      <c r="F1544" s="14" t="s">
        <v>50</v>
      </c>
      <c r="G1544" s="14" t="s">
        <v>1984</v>
      </c>
      <c r="H1544" s="14"/>
      <c r="I1544" s="14"/>
      <c r="J1544" s="14"/>
      <c r="K1544" s="14"/>
      <c r="L1544" s="14"/>
    </row>
    <row r="1545" ht="15.75" customHeight="1">
      <c r="A1545" s="8"/>
      <c r="B1545" s="14" t="s">
        <v>4055</v>
      </c>
      <c r="C1545" s="5">
        <f>2801600-C1544</f>
        <v>81600</v>
      </c>
      <c r="D1545" s="5">
        <v>0.0</v>
      </c>
      <c r="E1545" s="5">
        <f t="shared" si="2"/>
        <v>206059454</v>
      </c>
      <c r="F1545" s="14" t="s">
        <v>43</v>
      </c>
      <c r="G1545" s="14" t="s">
        <v>45</v>
      </c>
      <c r="H1545" s="14"/>
      <c r="I1545" s="14"/>
      <c r="J1545" s="14"/>
      <c r="K1545" s="14"/>
      <c r="L1545" s="14"/>
    </row>
    <row r="1546" ht="15.75" customHeight="1">
      <c r="A1546" s="8">
        <v>46209.0</v>
      </c>
      <c r="B1546" s="4" t="s">
        <v>4056</v>
      </c>
      <c r="C1546" s="5">
        <v>681200.0</v>
      </c>
      <c r="D1546" s="5">
        <v>0.0</v>
      </c>
      <c r="E1546" s="5">
        <f t="shared" si="2"/>
        <v>205378254</v>
      </c>
      <c r="F1546" s="14" t="s">
        <v>2464</v>
      </c>
      <c r="G1546" s="14" t="s">
        <v>59</v>
      </c>
      <c r="H1546" s="15" t="s">
        <v>824</v>
      </c>
    </row>
    <row r="1547" ht="15.75" customHeight="1">
      <c r="A1547" s="8">
        <v>46210.0</v>
      </c>
      <c r="B1547" s="4" t="s">
        <v>4057</v>
      </c>
      <c r="C1547" s="5">
        <v>347400.0</v>
      </c>
      <c r="D1547" s="5">
        <v>0.0</v>
      </c>
      <c r="E1547" s="5">
        <f t="shared" si="2"/>
        <v>205030854</v>
      </c>
      <c r="F1547" s="14" t="s">
        <v>2464</v>
      </c>
      <c r="G1547" s="14" t="s">
        <v>59</v>
      </c>
      <c r="H1547" s="15" t="s">
        <v>824</v>
      </c>
    </row>
    <row r="1548" ht="15.75" customHeight="1">
      <c r="A1548" s="8">
        <v>46209.0</v>
      </c>
      <c r="B1548" s="4" t="s">
        <v>4058</v>
      </c>
      <c r="C1548" s="5">
        <v>340000.0</v>
      </c>
      <c r="D1548" s="5">
        <v>0.0</v>
      </c>
      <c r="E1548" s="5">
        <f t="shared" si="2"/>
        <v>204690854</v>
      </c>
      <c r="F1548" s="14" t="s">
        <v>50</v>
      </c>
      <c r="G1548" s="14" t="s">
        <v>245</v>
      </c>
      <c r="H1548" s="14" t="s">
        <v>246</v>
      </c>
    </row>
    <row r="1549" ht="15.75" customHeight="1">
      <c r="A1549" s="8">
        <v>46209.0</v>
      </c>
      <c r="B1549" s="4" t="s">
        <v>4059</v>
      </c>
      <c r="C1549" s="5">
        <v>3190940.0</v>
      </c>
      <c r="D1549" s="5">
        <v>0.0</v>
      </c>
      <c r="E1549" s="5">
        <f t="shared" si="2"/>
        <v>201499914</v>
      </c>
      <c r="F1549" s="14" t="s">
        <v>2464</v>
      </c>
      <c r="G1549" s="14" t="s">
        <v>59</v>
      </c>
      <c r="H1549" s="15" t="s">
        <v>824</v>
      </c>
    </row>
    <row r="1550" ht="15.75" customHeight="1">
      <c r="A1550" s="8">
        <v>46209.0</v>
      </c>
      <c r="B1550" s="4" t="s">
        <v>4060</v>
      </c>
      <c r="C1550" s="5">
        <v>540309.0</v>
      </c>
      <c r="D1550" s="5">
        <v>0.0</v>
      </c>
      <c r="E1550" s="5">
        <f t="shared" si="2"/>
        <v>200959605</v>
      </c>
      <c r="F1550" s="14" t="s">
        <v>2464</v>
      </c>
      <c r="G1550" s="14" t="s">
        <v>59</v>
      </c>
      <c r="H1550" s="15" t="s">
        <v>824</v>
      </c>
    </row>
    <row r="1551" ht="15.75" customHeight="1">
      <c r="A1551" s="8">
        <v>46210.0</v>
      </c>
      <c r="B1551" s="14" t="s">
        <v>4061</v>
      </c>
      <c r="C1551" s="5">
        <v>0.0</v>
      </c>
      <c r="D1551" s="5">
        <v>23482.0</v>
      </c>
      <c r="E1551" s="5">
        <f t="shared" si="2"/>
        <v>200983087</v>
      </c>
      <c r="F1551" s="14" t="s">
        <v>1201</v>
      </c>
      <c r="G1551" s="14" t="s">
        <v>2000</v>
      </c>
      <c r="H1551" s="14"/>
      <c r="I1551" s="14"/>
      <c r="J1551" s="14"/>
      <c r="K1551" s="14"/>
      <c r="L1551" s="14"/>
    </row>
    <row r="1552" ht="15.75" customHeight="1">
      <c r="A1552" s="8">
        <v>46212.0</v>
      </c>
      <c r="B1552" s="4" t="s">
        <v>4062</v>
      </c>
      <c r="C1552" s="5">
        <v>7951020.0</v>
      </c>
      <c r="D1552" s="5">
        <v>0.0</v>
      </c>
      <c r="E1552" s="5">
        <f t="shared" si="2"/>
        <v>193032067</v>
      </c>
      <c r="F1552" s="14" t="s">
        <v>2464</v>
      </c>
      <c r="G1552" s="14" t="s">
        <v>59</v>
      </c>
      <c r="H1552" s="15" t="s">
        <v>824</v>
      </c>
    </row>
    <row r="1553" ht="15.75" customHeight="1">
      <c r="A1553" s="8">
        <v>46217.0</v>
      </c>
      <c r="B1553" s="4" t="s">
        <v>4063</v>
      </c>
      <c r="C1553" s="5">
        <v>2802000.0</v>
      </c>
      <c r="D1553" s="5">
        <v>0.0</v>
      </c>
      <c r="E1553" s="5">
        <f t="shared" si="2"/>
        <v>190230067</v>
      </c>
      <c r="F1553" s="14" t="s">
        <v>2464</v>
      </c>
      <c r="G1553" s="14" t="s">
        <v>59</v>
      </c>
      <c r="H1553" s="14" t="s">
        <v>1250</v>
      </c>
    </row>
    <row r="1554" ht="15.75" customHeight="1">
      <c r="A1554" s="8">
        <v>46216.0</v>
      </c>
      <c r="B1554" s="4" t="s">
        <v>4064</v>
      </c>
      <c r="C1554" s="5">
        <v>1.147E8</v>
      </c>
      <c r="D1554" s="5">
        <v>0.0</v>
      </c>
      <c r="E1554" s="5">
        <f t="shared" si="2"/>
        <v>75530067</v>
      </c>
      <c r="F1554" s="14" t="s">
        <v>2464</v>
      </c>
      <c r="G1554" s="14" t="s">
        <v>59</v>
      </c>
      <c r="H1554" s="14" t="s">
        <v>854</v>
      </c>
    </row>
    <row r="1555" ht="15.75" customHeight="1">
      <c r="A1555" s="8">
        <v>46217.0</v>
      </c>
      <c r="B1555" s="4" t="s">
        <v>4065</v>
      </c>
      <c r="C1555" s="5">
        <v>149500.0</v>
      </c>
      <c r="D1555" s="5">
        <v>0.0</v>
      </c>
      <c r="E1555" s="5">
        <f t="shared" si="2"/>
        <v>75380567</v>
      </c>
      <c r="F1555" s="14" t="s">
        <v>1471</v>
      </c>
      <c r="G1555" s="14" t="s">
        <v>1579</v>
      </c>
      <c r="H1555" s="14"/>
    </row>
    <row r="1556" ht="15.75" customHeight="1">
      <c r="A1556" s="8">
        <v>46219.0</v>
      </c>
      <c r="B1556" s="4" t="s">
        <v>4066</v>
      </c>
      <c r="C1556" s="5">
        <v>3500470.0</v>
      </c>
      <c r="D1556" s="5">
        <v>0.0</v>
      </c>
      <c r="E1556" s="5">
        <f t="shared" si="2"/>
        <v>71880097</v>
      </c>
      <c r="F1556" s="14" t="s">
        <v>2464</v>
      </c>
      <c r="G1556" s="14" t="s">
        <v>59</v>
      </c>
      <c r="H1556" s="14" t="s">
        <v>854</v>
      </c>
    </row>
    <row r="1557" ht="15.75" customHeight="1">
      <c r="A1557" s="8">
        <v>46222.0</v>
      </c>
      <c r="B1557" s="4" t="s">
        <v>4067</v>
      </c>
      <c r="C1557" s="5">
        <v>1250000.0</v>
      </c>
      <c r="D1557" s="5">
        <v>0.0</v>
      </c>
      <c r="E1557" s="5">
        <f t="shared" si="2"/>
        <v>70630097</v>
      </c>
      <c r="F1557" s="14" t="s">
        <v>2464</v>
      </c>
      <c r="G1557" s="14" t="s">
        <v>59</v>
      </c>
      <c r="H1557" s="4" t="s">
        <v>3800</v>
      </c>
    </row>
    <row r="1558" ht="15.75" customHeight="1">
      <c r="A1558" s="8">
        <v>46225.0</v>
      </c>
      <c r="B1558" s="14" t="s">
        <v>3828</v>
      </c>
      <c r="C1558" s="5">
        <v>100000.0</v>
      </c>
      <c r="D1558" s="5">
        <v>0.0</v>
      </c>
      <c r="E1558" s="5">
        <f t="shared" si="2"/>
        <v>70530097</v>
      </c>
      <c r="F1558" s="14" t="s">
        <v>43</v>
      </c>
      <c r="G1558" s="14" t="s">
        <v>45</v>
      </c>
      <c r="H1558" s="14"/>
      <c r="I1558" s="14"/>
      <c r="J1558" s="14"/>
      <c r="K1558" s="14"/>
      <c r="L1558" s="14"/>
    </row>
    <row r="1559" ht="15.75" customHeight="1">
      <c r="A1559" s="8">
        <v>46225.0</v>
      </c>
      <c r="B1559" s="4" t="s">
        <v>4068</v>
      </c>
      <c r="C1559" s="5">
        <v>1.432E7</v>
      </c>
      <c r="D1559" s="5">
        <v>0.0</v>
      </c>
      <c r="E1559" s="5">
        <f t="shared" si="2"/>
        <v>56210097</v>
      </c>
      <c r="F1559" s="14" t="s">
        <v>2464</v>
      </c>
      <c r="G1559" s="14" t="s">
        <v>59</v>
      </c>
      <c r="H1559" s="4" t="s">
        <v>3800</v>
      </c>
    </row>
    <row r="1560" ht="15.75" customHeight="1">
      <c r="A1560" s="8">
        <v>46231.0</v>
      </c>
      <c r="B1560" s="4" t="s">
        <v>4069</v>
      </c>
      <c r="C1560" s="5">
        <v>9399564.0</v>
      </c>
      <c r="D1560" s="5">
        <v>0.0</v>
      </c>
      <c r="E1560" s="5">
        <f t="shared" si="2"/>
        <v>46810533</v>
      </c>
      <c r="F1560" s="14" t="s">
        <v>2464</v>
      </c>
      <c r="G1560" s="14" t="s">
        <v>59</v>
      </c>
      <c r="H1560" s="14" t="s">
        <v>1250</v>
      </c>
    </row>
    <row r="1561" ht="15.75" customHeight="1">
      <c r="A1561" s="8">
        <v>46230.0</v>
      </c>
      <c r="B1561" s="4" t="s">
        <v>4070</v>
      </c>
      <c r="C1561" s="5">
        <v>5700000.0</v>
      </c>
      <c r="D1561" s="5">
        <v>0.0</v>
      </c>
      <c r="E1561" s="5">
        <f t="shared" si="2"/>
        <v>41110533</v>
      </c>
      <c r="F1561" s="14" t="s">
        <v>2464</v>
      </c>
      <c r="G1561" s="14" t="s">
        <v>59</v>
      </c>
      <c r="H1561" s="14" t="s">
        <v>854</v>
      </c>
    </row>
    <row r="1562" ht="15.75" customHeight="1">
      <c r="A1562" s="8">
        <v>46231.0</v>
      </c>
      <c r="B1562" s="14" t="s">
        <v>4071</v>
      </c>
      <c r="C1562" s="5">
        <v>338976.0</v>
      </c>
      <c r="D1562" s="5">
        <v>0.0</v>
      </c>
      <c r="E1562" s="5">
        <f t="shared" si="2"/>
        <v>40771557</v>
      </c>
      <c r="F1562" s="14" t="s">
        <v>1471</v>
      </c>
      <c r="G1562" s="14" t="s">
        <v>3435</v>
      </c>
      <c r="H1562" s="14"/>
      <c r="I1562" s="14"/>
      <c r="J1562" s="14"/>
      <c r="K1562" s="14"/>
      <c r="L1562" s="14"/>
    </row>
    <row r="1563" ht="15.75" customHeight="1">
      <c r="A1563" s="8">
        <v>46232.0</v>
      </c>
      <c r="B1563" s="4" t="s">
        <v>4072</v>
      </c>
      <c r="C1563" s="5">
        <v>2.622758E7</v>
      </c>
      <c r="D1563" s="5">
        <v>0.0</v>
      </c>
      <c r="E1563" s="5">
        <f t="shared" si="2"/>
        <v>14543977</v>
      </c>
      <c r="F1563" s="14" t="s">
        <v>2464</v>
      </c>
      <c r="G1563" s="14" t="s">
        <v>59</v>
      </c>
      <c r="H1563" s="4" t="s">
        <v>3800</v>
      </c>
    </row>
    <row r="1564" ht="15.75" customHeight="1">
      <c r="A1564" s="8">
        <v>46231.0</v>
      </c>
      <c r="B1564" s="14" t="s">
        <v>4073</v>
      </c>
      <c r="C1564" s="5">
        <v>184000.0</v>
      </c>
      <c r="D1564" s="5">
        <v>0.0</v>
      </c>
      <c r="E1564" s="5">
        <f t="shared" si="2"/>
        <v>14359977</v>
      </c>
      <c r="F1564" s="14" t="s">
        <v>1471</v>
      </c>
      <c r="G1564" s="14" t="s">
        <v>3435</v>
      </c>
      <c r="H1564" s="14"/>
      <c r="I1564" s="14"/>
      <c r="J1564" s="14"/>
      <c r="K1564" s="14"/>
      <c r="L1564" s="14"/>
    </row>
    <row r="1565" ht="15.75" customHeight="1">
      <c r="A1565" s="8">
        <v>46236.0</v>
      </c>
      <c r="B1565" s="14" t="s">
        <v>3432</v>
      </c>
      <c r="C1565" s="5">
        <v>10000.0</v>
      </c>
      <c r="D1565" s="5">
        <v>0.0</v>
      </c>
      <c r="E1565" s="5">
        <f t="shared" si="2"/>
        <v>14349977</v>
      </c>
      <c r="F1565" s="14" t="s">
        <v>43</v>
      </c>
      <c r="G1565" s="14" t="s">
        <v>45</v>
      </c>
      <c r="H1565" s="14"/>
      <c r="I1565" s="14"/>
      <c r="J1565" s="14"/>
      <c r="K1565" s="14"/>
      <c r="L1565" s="14"/>
    </row>
    <row r="1566" ht="15.75" customHeight="1">
      <c r="A1566" s="8">
        <v>46236.0</v>
      </c>
      <c r="B1566" s="14" t="s">
        <v>3828</v>
      </c>
      <c r="C1566" s="5">
        <v>539005.0</v>
      </c>
      <c r="D1566" s="5">
        <v>0.0</v>
      </c>
      <c r="E1566" s="5">
        <f t="shared" si="2"/>
        <v>13810972</v>
      </c>
      <c r="F1566" s="14" t="s">
        <v>43</v>
      </c>
      <c r="G1566" s="14" t="s">
        <v>45</v>
      </c>
      <c r="H1566" s="14"/>
      <c r="I1566" s="14"/>
      <c r="J1566" s="14"/>
      <c r="K1566" s="14"/>
      <c r="L1566" s="14"/>
    </row>
    <row r="1567" ht="15.75" customHeight="1">
      <c r="A1567" s="8">
        <v>46205.0</v>
      </c>
      <c r="B1567" s="4" t="s">
        <v>4074</v>
      </c>
      <c r="C1567" s="5">
        <v>370150.0</v>
      </c>
      <c r="D1567" s="5">
        <v>0.0</v>
      </c>
      <c r="E1567" s="5">
        <f t="shared" si="2"/>
        <v>13440822</v>
      </c>
      <c r="F1567" s="14" t="s">
        <v>105</v>
      </c>
      <c r="G1567" s="14" t="s">
        <v>2064</v>
      </c>
      <c r="H1567" s="14" t="s">
        <v>72</v>
      </c>
    </row>
    <row r="1568" ht="15.75" customHeight="1">
      <c r="A1568" s="8">
        <v>46205.0</v>
      </c>
      <c r="B1568" s="4" t="s">
        <v>4075</v>
      </c>
      <c r="C1568" s="5">
        <v>616500.0</v>
      </c>
      <c r="D1568" s="5">
        <v>0.0</v>
      </c>
      <c r="E1568" s="5">
        <f t="shared" si="2"/>
        <v>12824322</v>
      </c>
      <c r="F1568" s="14" t="s">
        <v>2464</v>
      </c>
      <c r="G1568" s="14" t="s">
        <v>59</v>
      </c>
      <c r="H1568" s="15" t="s">
        <v>824</v>
      </c>
    </row>
    <row r="1569" ht="15.75" customHeight="1">
      <c r="A1569" s="8">
        <v>46206.0</v>
      </c>
      <c r="B1569" s="14" t="s">
        <v>4076</v>
      </c>
      <c r="C1569" s="5">
        <v>748000.0</v>
      </c>
      <c r="D1569" s="5">
        <v>0.0</v>
      </c>
      <c r="E1569" s="5">
        <f t="shared" si="2"/>
        <v>12076322</v>
      </c>
      <c r="F1569" s="14" t="s">
        <v>1471</v>
      </c>
      <c r="G1569" s="14" t="s">
        <v>3435</v>
      </c>
      <c r="H1569" s="14"/>
      <c r="I1569" s="14"/>
      <c r="J1569" s="14"/>
      <c r="K1569" s="14"/>
      <c r="L1569" s="14"/>
    </row>
    <row r="1570" ht="15.75" customHeight="1">
      <c r="A1570" s="8">
        <v>46206.0</v>
      </c>
      <c r="B1570" s="14" t="s">
        <v>4076</v>
      </c>
      <c r="C1570" s="5">
        <v>170000.0</v>
      </c>
      <c r="D1570" s="5">
        <v>0.0</v>
      </c>
      <c r="E1570" s="5">
        <f t="shared" si="2"/>
        <v>11906322</v>
      </c>
      <c r="F1570" s="14" t="s">
        <v>1471</v>
      </c>
      <c r="G1570" s="14" t="s">
        <v>3435</v>
      </c>
      <c r="H1570" s="14"/>
      <c r="I1570" s="14"/>
      <c r="J1570" s="14"/>
      <c r="K1570" s="14"/>
      <c r="L1570" s="14"/>
    </row>
    <row r="1571" ht="15.75" customHeight="1">
      <c r="A1571" s="8">
        <v>46206.0</v>
      </c>
      <c r="B1571" s="4" t="s">
        <v>4077</v>
      </c>
      <c r="C1571" s="5">
        <v>288000.0</v>
      </c>
      <c r="D1571" s="5">
        <v>0.0</v>
      </c>
      <c r="E1571" s="5">
        <f t="shared" si="2"/>
        <v>11618322</v>
      </c>
      <c r="F1571" s="14" t="s">
        <v>2464</v>
      </c>
      <c r="G1571" s="14" t="s">
        <v>59</v>
      </c>
      <c r="H1571" s="15" t="s">
        <v>824</v>
      </c>
    </row>
    <row r="1572" ht="15.75" customHeight="1">
      <c r="A1572" s="8">
        <v>46209.0</v>
      </c>
      <c r="B1572" s="4" t="s">
        <v>4078</v>
      </c>
      <c r="C1572" s="5">
        <v>539550.0</v>
      </c>
      <c r="D1572" s="5">
        <v>0.0</v>
      </c>
      <c r="E1572" s="5">
        <f t="shared" si="2"/>
        <v>11078772</v>
      </c>
      <c r="F1572" s="14" t="s">
        <v>2464</v>
      </c>
      <c r="G1572" s="14" t="s">
        <v>59</v>
      </c>
      <c r="H1572" s="15" t="s">
        <v>824</v>
      </c>
    </row>
    <row r="1573" ht="15.75" customHeight="1">
      <c r="A1573" s="8">
        <v>46209.0</v>
      </c>
      <c r="B1573" s="4" t="s">
        <v>4079</v>
      </c>
      <c r="C1573" s="5">
        <v>52100.0</v>
      </c>
      <c r="D1573" s="5">
        <v>0.0</v>
      </c>
      <c r="E1573" s="5">
        <f t="shared" si="2"/>
        <v>11026672</v>
      </c>
      <c r="F1573" s="14" t="s">
        <v>50</v>
      </c>
      <c r="G1573" s="14" t="s">
        <v>1988</v>
      </c>
      <c r="H1573" s="14"/>
    </row>
    <row r="1574" ht="15.75" customHeight="1">
      <c r="A1574" s="8">
        <v>46210.0</v>
      </c>
      <c r="B1574" s="4" t="s">
        <v>4080</v>
      </c>
      <c r="C1574" s="5">
        <v>66000.0</v>
      </c>
      <c r="D1574" s="5">
        <v>0.0</v>
      </c>
      <c r="E1574" s="5">
        <f t="shared" si="2"/>
        <v>10960672</v>
      </c>
      <c r="F1574" s="14" t="s">
        <v>2464</v>
      </c>
      <c r="G1574" s="14" t="s">
        <v>59</v>
      </c>
      <c r="H1574" s="15" t="s">
        <v>824</v>
      </c>
    </row>
    <row r="1575" ht="15.75" customHeight="1">
      <c r="A1575" s="8">
        <v>46209.0</v>
      </c>
      <c r="B1575" s="4" t="s">
        <v>4081</v>
      </c>
      <c r="C1575" s="5">
        <v>246040.0</v>
      </c>
      <c r="D1575" s="5">
        <v>0.0</v>
      </c>
      <c r="E1575" s="5">
        <f t="shared" si="2"/>
        <v>10714632</v>
      </c>
      <c r="F1575" s="14" t="s">
        <v>2464</v>
      </c>
      <c r="G1575" s="14" t="s">
        <v>59</v>
      </c>
      <c r="H1575" s="15" t="s">
        <v>824</v>
      </c>
    </row>
    <row r="1576" ht="15.75" customHeight="1">
      <c r="A1576" s="8">
        <v>46209.0</v>
      </c>
      <c r="B1576" s="4" t="s">
        <v>4082</v>
      </c>
      <c r="C1576" s="5">
        <v>392200.0</v>
      </c>
      <c r="D1576" s="5">
        <v>0.0</v>
      </c>
      <c r="E1576" s="5">
        <f t="shared" si="2"/>
        <v>10322432</v>
      </c>
      <c r="F1576" s="14" t="s">
        <v>50</v>
      </c>
      <c r="G1576" s="14" t="s">
        <v>245</v>
      </c>
      <c r="H1576" s="14" t="s">
        <v>413</v>
      </c>
    </row>
    <row r="1577" ht="15.75" customHeight="1">
      <c r="A1577" s="8">
        <v>46210.0</v>
      </c>
      <c r="B1577" s="4" t="s">
        <v>4083</v>
      </c>
      <c r="C1577" s="5">
        <v>462250.0</v>
      </c>
      <c r="D1577" s="5">
        <v>0.0</v>
      </c>
      <c r="E1577" s="5">
        <f t="shared" si="2"/>
        <v>9860182</v>
      </c>
      <c r="F1577" s="14" t="s">
        <v>2464</v>
      </c>
      <c r="G1577" s="14" t="s">
        <v>59</v>
      </c>
      <c r="H1577" s="15" t="s">
        <v>824</v>
      </c>
    </row>
    <row r="1578" ht="15.75" customHeight="1">
      <c r="A1578" s="8">
        <v>46209.0</v>
      </c>
      <c r="B1578" s="4" t="s">
        <v>4084</v>
      </c>
      <c r="C1578" s="5">
        <v>47600.0</v>
      </c>
      <c r="D1578" s="5">
        <v>0.0</v>
      </c>
      <c r="E1578" s="5">
        <f t="shared" si="2"/>
        <v>9812582</v>
      </c>
      <c r="F1578" s="14" t="s">
        <v>2464</v>
      </c>
      <c r="G1578" s="14" t="s">
        <v>59</v>
      </c>
      <c r="H1578" s="15" t="s">
        <v>824</v>
      </c>
    </row>
    <row r="1579" ht="15.75" customHeight="1">
      <c r="A1579" s="8">
        <v>46212.0</v>
      </c>
      <c r="B1579" s="4" t="s">
        <v>4085</v>
      </c>
      <c r="C1579" s="5">
        <v>130000.0</v>
      </c>
      <c r="D1579" s="5">
        <v>0.0</v>
      </c>
      <c r="E1579" s="5">
        <f t="shared" si="2"/>
        <v>9682582</v>
      </c>
      <c r="F1579" s="14" t="s">
        <v>105</v>
      </c>
      <c r="G1579" s="14" t="s">
        <v>106</v>
      </c>
      <c r="H1579" s="14" t="s">
        <v>203</v>
      </c>
    </row>
    <row r="1580" ht="15.75" customHeight="1">
      <c r="A1580" s="8">
        <v>46212.0</v>
      </c>
      <c r="B1580" s="4" t="s">
        <v>4086</v>
      </c>
      <c r="C1580" s="5">
        <v>381540.0</v>
      </c>
      <c r="D1580" s="5">
        <v>0.0</v>
      </c>
      <c r="E1580" s="5">
        <f t="shared" si="2"/>
        <v>9301042</v>
      </c>
      <c r="F1580" s="14" t="s">
        <v>50</v>
      </c>
      <c r="G1580" s="14" t="s">
        <v>245</v>
      </c>
      <c r="H1580" s="14" t="s">
        <v>413</v>
      </c>
    </row>
    <row r="1581" ht="15.75" customHeight="1">
      <c r="A1581" s="8">
        <v>46212.0</v>
      </c>
      <c r="B1581" s="4" t="s">
        <v>4087</v>
      </c>
      <c r="C1581" s="5">
        <v>554000.0</v>
      </c>
      <c r="D1581" s="5">
        <v>0.0</v>
      </c>
      <c r="E1581" s="5">
        <f t="shared" si="2"/>
        <v>8747042</v>
      </c>
      <c r="F1581" s="14" t="s">
        <v>105</v>
      </c>
      <c r="G1581" s="14" t="s">
        <v>106</v>
      </c>
      <c r="H1581" s="14" t="s">
        <v>203</v>
      </c>
    </row>
    <row r="1582" ht="15.75" customHeight="1">
      <c r="A1582" s="8">
        <v>46216.0</v>
      </c>
      <c r="B1582" s="4" t="s">
        <v>4088</v>
      </c>
      <c r="C1582" s="5">
        <v>110000.0</v>
      </c>
      <c r="D1582" s="5">
        <v>0.0</v>
      </c>
      <c r="E1582" s="5">
        <f t="shared" si="2"/>
        <v>8637042</v>
      </c>
      <c r="F1582" s="14" t="s">
        <v>2464</v>
      </c>
      <c r="G1582" s="14" t="s">
        <v>59</v>
      </c>
      <c r="H1582" s="14" t="s">
        <v>854</v>
      </c>
    </row>
    <row r="1583" ht="15.75" customHeight="1">
      <c r="A1583" s="8">
        <v>46216.0</v>
      </c>
      <c r="B1583" s="4" t="s">
        <v>4082</v>
      </c>
      <c r="C1583" s="5">
        <v>299000.0</v>
      </c>
      <c r="D1583" s="5">
        <v>0.0</v>
      </c>
      <c r="E1583" s="5">
        <f t="shared" si="2"/>
        <v>8338042</v>
      </c>
      <c r="F1583" s="14" t="s">
        <v>50</v>
      </c>
      <c r="G1583" s="14" t="s">
        <v>245</v>
      </c>
      <c r="H1583" s="14" t="s">
        <v>413</v>
      </c>
    </row>
    <row r="1584" ht="15.75" customHeight="1">
      <c r="A1584" s="8">
        <v>46219.0</v>
      </c>
      <c r="B1584" s="4" t="s">
        <v>4089</v>
      </c>
      <c r="C1584" s="5">
        <v>369020.0</v>
      </c>
      <c r="D1584" s="5">
        <v>0.0</v>
      </c>
      <c r="E1584" s="5">
        <f t="shared" si="2"/>
        <v>7969022</v>
      </c>
      <c r="F1584" s="14" t="s">
        <v>50</v>
      </c>
      <c r="G1584" s="14" t="s">
        <v>245</v>
      </c>
      <c r="H1584" s="14" t="s">
        <v>413</v>
      </c>
    </row>
    <row r="1585" ht="15.75" customHeight="1">
      <c r="A1585" s="8">
        <v>46220.0</v>
      </c>
      <c r="B1585" s="4" t="s">
        <v>4090</v>
      </c>
      <c r="C1585" s="5">
        <v>1665500.0</v>
      </c>
      <c r="D1585" s="5">
        <v>0.0</v>
      </c>
      <c r="E1585" s="5">
        <f t="shared" si="2"/>
        <v>6303522</v>
      </c>
      <c r="F1585" s="14" t="s">
        <v>105</v>
      </c>
      <c r="G1585" s="14" t="s">
        <v>106</v>
      </c>
      <c r="H1585" s="14" t="s">
        <v>203</v>
      </c>
    </row>
    <row r="1586" ht="15.75" customHeight="1">
      <c r="A1586" s="8">
        <v>46225.0</v>
      </c>
      <c r="B1586" s="14" t="s">
        <v>3828</v>
      </c>
      <c r="C1586" s="5">
        <v>4418.0</v>
      </c>
      <c r="D1586" s="5">
        <v>0.0</v>
      </c>
      <c r="E1586" s="5">
        <f t="shared" si="2"/>
        <v>6299104</v>
      </c>
      <c r="F1586" s="14" t="s">
        <v>43</v>
      </c>
      <c r="G1586" s="14" t="s">
        <v>45</v>
      </c>
      <c r="H1586" s="14"/>
      <c r="I1586" s="14"/>
      <c r="J1586" s="14"/>
      <c r="K1586" s="14"/>
      <c r="L1586" s="14"/>
    </row>
    <row r="1587" ht="15.75" customHeight="1">
      <c r="A1587" s="8">
        <v>46224.0</v>
      </c>
      <c r="B1587" s="4" t="s">
        <v>4082</v>
      </c>
      <c r="C1587" s="5">
        <v>389200.0</v>
      </c>
      <c r="D1587" s="5">
        <v>0.0</v>
      </c>
      <c r="E1587" s="5">
        <f t="shared" si="2"/>
        <v>5909904</v>
      </c>
      <c r="F1587" s="14" t="s">
        <v>50</v>
      </c>
      <c r="G1587" s="14" t="s">
        <v>245</v>
      </c>
      <c r="H1587" s="14" t="s">
        <v>413</v>
      </c>
    </row>
    <row r="1588" ht="15.75" customHeight="1">
      <c r="A1588" s="8">
        <v>46225.0</v>
      </c>
      <c r="B1588" s="4" t="s">
        <v>4091</v>
      </c>
      <c r="C1588" s="5">
        <v>347809.0</v>
      </c>
      <c r="D1588" s="5">
        <v>0.0</v>
      </c>
      <c r="E1588" s="5">
        <f t="shared" si="2"/>
        <v>5562095</v>
      </c>
      <c r="F1588" s="14" t="s">
        <v>50</v>
      </c>
      <c r="G1588" s="14" t="s">
        <v>178</v>
      </c>
      <c r="H1588" s="14"/>
    </row>
    <row r="1589" ht="15.75" customHeight="1">
      <c r="A1589" s="8">
        <v>46226.0</v>
      </c>
      <c r="B1589" s="4" t="s">
        <v>4082</v>
      </c>
      <c r="C1589" s="5">
        <v>258200.0</v>
      </c>
      <c r="D1589" s="5">
        <v>0.0</v>
      </c>
      <c r="E1589" s="5">
        <f t="shared" si="2"/>
        <v>5303895</v>
      </c>
      <c r="F1589" s="14" t="s">
        <v>50</v>
      </c>
      <c r="G1589" s="14" t="s">
        <v>245</v>
      </c>
      <c r="H1589" s="14" t="s">
        <v>413</v>
      </c>
    </row>
    <row r="1590" ht="15.75" customHeight="1">
      <c r="A1590" s="8">
        <v>46231.0</v>
      </c>
      <c r="B1590" s="4" t="s">
        <v>4092</v>
      </c>
      <c r="C1590" s="5">
        <v>335400.0</v>
      </c>
      <c r="D1590" s="5">
        <v>0.0</v>
      </c>
      <c r="E1590" s="5">
        <f t="shared" si="2"/>
        <v>4968495</v>
      </c>
      <c r="F1590" s="14" t="s">
        <v>50</v>
      </c>
      <c r="G1590" s="14" t="s">
        <v>245</v>
      </c>
      <c r="H1590" s="14" t="s">
        <v>413</v>
      </c>
    </row>
    <row r="1591" ht="15.75" customHeight="1">
      <c r="A1591" s="8">
        <v>46233.0</v>
      </c>
      <c r="B1591" s="4" t="s">
        <v>4093</v>
      </c>
      <c r="C1591" s="5">
        <v>1860000.0</v>
      </c>
      <c r="D1591" s="5">
        <v>0.0</v>
      </c>
      <c r="E1591" s="5">
        <f t="shared" si="2"/>
        <v>3108495</v>
      </c>
      <c r="F1591" s="14" t="s">
        <v>2464</v>
      </c>
      <c r="G1591" s="14" t="s">
        <v>59</v>
      </c>
      <c r="H1591" s="14" t="s">
        <v>1250</v>
      </c>
    </row>
    <row r="1592" ht="15.75" customHeight="1">
      <c r="A1592" s="8">
        <v>46233.0</v>
      </c>
      <c r="B1592" s="4" t="s">
        <v>4094</v>
      </c>
      <c r="C1592" s="5">
        <v>3100000.0</v>
      </c>
      <c r="D1592" s="5">
        <v>0.0</v>
      </c>
      <c r="E1592" s="5">
        <f t="shared" si="2"/>
        <v>8495</v>
      </c>
      <c r="F1592" s="14" t="s">
        <v>2464</v>
      </c>
      <c r="G1592" s="14" t="s">
        <v>59</v>
      </c>
      <c r="H1592" s="14" t="s">
        <v>1250</v>
      </c>
    </row>
    <row r="1593" ht="15.75" customHeight="1">
      <c r="A1593" s="8">
        <v>46233.0</v>
      </c>
      <c r="B1593" s="14" t="s">
        <v>3828</v>
      </c>
      <c r="C1593" s="5">
        <v>8495.0</v>
      </c>
      <c r="D1593" s="5">
        <v>0.0</v>
      </c>
      <c r="E1593" s="5">
        <f t="shared" si="2"/>
        <v>0</v>
      </c>
      <c r="F1593" s="14" t="s">
        <v>43</v>
      </c>
      <c r="G1593" s="14" t="s">
        <v>45</v>
      </c>
      <c r="H1593" s="14"/>
      <c r="I1593" s="14"/>
      <c r="J1593" s="14"/>
      <c r="K1593" s="14"/>
      <c r="L1593" s="14"/>
    </row>
    <row r="1594" ht="15.75" customHeight="1">
      <c r="A1594" s="8">
        <v>46268.0</v>
      </c>
      <c r="B1594" s="4" t="s">
        <v>2551</v>
      </c>
      <c r="C1594" s="5">
        <v>0.0</v>
      </c>
      <c r="D1594" s="5">
        <v>1.97186251E8</v>
      </c>
      <c r="E1594" s="5">
        <f t="shared" si="2"/>
        <v>197186251</v>
      </c>
      <c r="F1594" s="14" t="s">
        <v>21</v>
      </c>
      <c r="G1594" s="14" t="s">
        <v>448</v>
      </c>
      <c r="H1594" s="14" t="s">
        <v>38</v>
      </c>
    </row>
    <row r="1595" ht="15.75" customHeight="1">
      <c r="A1595" s="8">
        <v>46245.0</v>
      </c>
      <c r="B1595" s="4" t="s">
        <v>4095</v>
      </c>
      <c r="C1595" s="5">
        <v>0.0</v>
      </c>
      <c r="D1595" s="5">
        <v>5.0E7</v>
      </c>
      <c r="E1595" s="5">
        <f t="shared" si="2"/>
        <v>247186251</v>
      </c>
      <c r="F1595" s="14" t="s">
        <v>18</v>
      </c>
      <c r="G1595" s="14" t="s">
        <v>19</v>
      </c>
      <c r="H1595" s="14" t="s">
        <v>20</v>
      </c>
    </row>
    <row r="1596" ht="15.75" customHeight="1">
      <c r="A1596" s="8">
        <v>46248.0</v>
      </c>
      <c r="B1596" s="4" t="s">
        <v>4095</v>
      </c>
      <c r="C1596" s="5">
        <v>0.0</v>
      </c>
      <c r="D1596" s="5">
        <v>315000.0</v>
      </c>
      <c r="E1596" s="5">
        <f t="shared" si="2"/>
        <v>247501251</v>
      </c>
      <c r="F1596" s="14" t="s">
        <v>18</v>
      </c>
      <c r="G1596" s="14" t="s">
        <v>19</v>
      </c>
      <c r="H1596" s="14" t="s">
        <v>20</v>
      </c>
    </row>
    <row r="1597" ht="15.75" customHeight="1">
      <c r="A1597" s="8">
        <v>46249.0</v>
      </c>
      <c r="B1597" s="4" t="s">
        <v>4095</v>
      </c>
      <c r="C1597" s="5">
        <v>0.0</v>
      </c>
      <c r="D1597" s="5">
        <v>5000000.0</v>
      </c>
      <c r="E1597" s="5">
        <f t="shared" si="2"/>
        <v>252501251</v>
      </c>
      <c r="F1597" s="14" t="s">
        <v>18</v>
      </c>
      <c r="G1597" s="14" t="s">
        <v>19</v>
      </c>
      <c r="H1597" s="14" t="s">
        <v>20</v>
      </c>
    </row>
    <row r="1598" ht="15.75" customHeight="1">
      <c r="A1598" s="8">
        <v>46257.0</v>
      </c>
      <c r="B1598" s="14" t="s">
        <v>3469</v>
      </c>
      <c r="C1598" s="5">
        <v>5000.0</v>
      </c>
      <c r="D1598" s="5">
        <v>0.0</v>
      </c>
      <c r="E1598" s="5">
        <f t="shared" si="2"/>
        <v>252496251</v>
      </c>
      <c r="F1598" s="14" t="s">
        <v>43</v>
      </c>
      <c r="G1598" s="14" t="s">
        <v>45</v>
      </c>
      <c r="H1598" s="14"/>
      <c r="I1598" s="14"/>
      <c r="J1598" s="14"/>
      <c r="K1598" s="14"/>
      <c r="L1598" s="14"/>
    </row>
    <row r="1599" ht="15.75" customHeight="1">
      <c r="A1599" s="8">
        <v>46252.0</v>
      </c>
      <c r="B1599" s="14" t="s">
        <v>3430</v>
      </c>
      <c r="C1599" s="5">
        <v>10000.0</v>
      </c>
      <c r="D1599" s="5">
        <v>0.0</v>
      </c>
      <c r="E1599" s="5">
        <f t="shared" si="2"/>
        <v>252486251</v>
      </c>
      <c r="F1599" s="14" t="s">
        <v>43</v>
      </c>
      <c r="G1599" s="14" t="s">
        <v>45</v>
      </c>
      <c r="H1599" s="14"/>
      <c r="I1599" s="14"/>
      <c r="J1599" s="14"/>
      <c r="K1599" s="14"/>
      <c r="L1599" s="14"/>
    </row>
    <row r="1600" ht="15.75" customHeight="1">
      <c r="A1600" s="8">
        <v>46252.0</v>
      </c>
      <c r="B1600" s="14" t="s">
        <v>3470</v>
      </c>
      <c r="C1600" s="5">
        <v>10000.0</v>
      </c>
      <c r="D1600" s="5">
        <v>0.0</v>
      </c>
      <c r="E1600" s="5">
        <f t="shared" si="2"/>
        <v>252476251</v>
      </c>
      <c r="F1600" s="14" t="s">
        <v>43</v>
      </c>
      <c r="G1600" s="14" t="s">
        <v>45</v>
      </c>
      <c r="H1600" s="14"/>
      <c r="I1600" s="14"/>
      <c r="J1600" s="14"/>
      <c r="K1600" s="14"/>
      <c r="L1600" s="14"/>
    </row>
    <row r="1601" ht="15.75" customHeight="1">
      <c r="A1601" s="8">
        <v>46226.0</v>
      </c>
      <c r="B1601" s="4" t="s">
        <v>4096</v>
      </c>
      <c r="C1601" s="5">
        <v>9000.0</v>
      </c>
      <c r="D1601" s="5">
        <v>0.0</v>
      </c>
      <c r="E1601" s="5">
        <f t="shared" si="2"/>
        <v>252467251</v>
      </c>
      <c r="F1601" s="14" t="s">
        <v>50</v>
      </c>
      <c r="G1601" s="14" t="s">
        <v>245</v>
      </c>
      <c r="H1601" s="14" t="s">
        <v>4097</v>
      </c>
    </row>
    <row r="1602" ht="15.75" customHeight="1">
      <c r="A1602" s="8">
        <v>46239.0</v>
      </c>
      <c r="B1602" s="4" t="s">
        <v>4098</v>
      </c>
      <c r="C1602" s="5">
        <v>1752690.0</v>
      </c>
      <c r="D1602" s="5">
        <v>0.0</v>
      </c>
      <c r="E1602" s="5">
        <f t="shared" si="2"/>
        <v>250714561</v>
      </c>
      <c r="F1602" s="14" t="s">
        <v>50</v>
      </c>
      <c r="G1602" s="14" t="s">
        <v>2128</v>
      </c>
      <c r="H1602" s="14"/>
    </row>
    <row r="1603" ht="15.75" customHeight="1">
      <c r="A1603" s="8">
        <v>46240.0</v>
      </c>
      <c r="B1603" s="4" t="s">
        <v>4099</v>
      </c>
      <c r="C1603" s="5">
        <v>9000.0</v>
      </c>
      <c r="D1603" s="5">
        <v>0.0</v>
      </c>
      <c r="E1603" s="5">
        <f t="shared" si="2"/>
        <v>250705561</v>
      </c>
      <c r="F1603" s="14" t="s">
        <v>50</v>
      </c>
      <c r="G1603" s="14" t="s">
        <v>245</v>
      </c>
      <c r="H1603" s="14" t="s">
        <v>4097</v>
      </c>
    </row>
    <row r="1604" ht="15.75" customHeight="1">
      <c r="A1604" s="8">
        <v>46244.0</v>
      </c>
      <c r="B1604" s="4" t="s">
        <v>4100</v>
      </c>
      <c r="C1604" s="5">
        <v>379390.0</v>
      </c>
      <c r="D1604" s="5">
        <v>0.0</v>
      </c>
      <c r="E1604" s="5">
        <f t="shared" si="2"/>
        <v>250326171</v>
      </c>
      <c r="F1604" s="14" t="s">
        <v>50</v>
      </c>
      <c r="G1604" s="14" t="s">
        <v>245</v>
      </c>
      <c r="H1604" s="14" t="s">
        <v>413</v>
      </c>
    </row>
    <row r="1605" ht="15.75" customHeight="1">
      <c r="A1605" s="8">
        <v>46244.0</v>
      </c>
      <c r="B1605" s="4" t="s">
        <v>4101</v>
      </c>
      <c r="C1605" s="5">
        <v>157000.0</v>
      </c>
      <c r="D1605" s="5">
        <v>0.0</v>
      </c>
      <c r="E1605" s="5">
        <f t="shared" si="2"/>
        <v>250169171</v>
      </c>
      <c r="F1605" s="14" t="s">
        <v>24</v>
      </c>
      <c r="G1605" s="14" t="s">
        <v>4102</v>
      </c>
      <c r="H1605" s="4" t="s">
        <v>946</v>
      </c>
    </row>
    <row r="1606" ht="15.75" customHeight="1">
      <c r="A1606" s="8">
        <v>46244.0</v>
      </c>
      <c r="B1606" s="4" t="s">
        <v>4103</v>
      </c>
      <c r="C1606" s="5">
        <v>325380.0</v>
      </c>
      <c r="D1606" s="5">
        <v>0.0</v>
      </c>
      <c r="E1606" s="5">
        <f t="shared" si="2"/>
        <v>249843791</v>
      </c>
      <c r="F1606" s="14" t="s">
        <v>24</v>
      </c>
      <c r="G1606" s="14" t="s">
        <v>4102</v>
      </c>
      <c r="H1606" s="4" t="s">
        <v>946</v>
      </c>
    </row>
    <row r="1607" ht="15.75" customHeight="1">
      <c r="A1607" s="8">
        <v>46244.0</v>
      </c>
      <c r="B1607" s="14" t="s">
        <v>4104</v>
      </c>
      <c r="C1607" s="5">
        <v>573500.0</v>
      </c>
      <c r="D1607" s="5">
        <v>0.0</v>
      </c>
      <c r="E1607" s="5">
        <f t="shared" si="2"/>
        <v>249270291</v>
      </c>
      <c r="F1607" s="14" t="s">
        <v>93</v>
      </c>
      <c r="G1607" s="14" t="s">
        <v>93</v>
      </c>
      <c r="H1607" s="14" t="s">
        <v>346</v>
      </c>
      <c r="I1607" s="14"/>
      <c r="J1607" s="14"/>
      <c r="K1607" s="14"/>
      <c r="L1607" s="14"/>
    </row>
    <row r="1608" ht="15.75" customHeight="1">
      <c r="A1608" s="8">
        <v>46244.0</v>
      </c>
      <c r="B1608" s="14" t="s">
        <v>4104</v>
      </c>
      <c r="C1608" s="5">
        <f>590500-C1607</f>
        <v>17000</v>
      </c>
      <c r="D1608" s="5">
        <v>0.0</v>
      </c>
      <c r="E1608" s="5">
        <f t="shared" si="2"/>
        <v>249253291</v>
      </c>
      <c r="F1608" s="14" t="s">
        <v>1201</v>
      </c>
      <c r="G1608" s="14" t="s">
        <v>124</v>
      </c>
      <c r="H1608" s="14"/>
      <c r="I1608" s="14"/>
      <c r="J1608" s="14"/>
      <c r="K1608" s="14"/>
      <c r="L1608" s="14"/>
    </row>
    <row r="1609" ht="15.75" customHeight="1">
      <c r="A1609" s="8">
        <v>46244.0</v>
      </c>
      <c r="B1609" s="14" t="s">
        <v>4105</v>
      </c>
      <c r="C1609" s="5">
        <v>562000.0</v>
      </c>
      <c r="D1609" s="5">
        <v>0.0</v>
      </c>
      <c r="E1609" s="5">
        <f t="shared" si="2"/>
        <v>248691291</v>
      </c>
      <c r="F1609" s="14" t="s">
        <v>24</v>
      </c>
      <c r="G1609" s="14" t="s">
        <v>4102</v>
      </c>
      <c r="H1609" s="14" t="s">
        <v>946</v>
      </c>
      <c r="I1609" s="14"/>
      <c r="J1609" s="14"/>
      <c r="K1609" s="14"/>
      <c r="L1609" s="14"/>
    </row>
    <row r="1610" ht="15.75" customHeight="1">
      <c r="A1610" s="8">
        <v>46244.0</v>
      </c>
      <c r="B1610" s="14" t="s">
        <v>4105</v>
      </c>
      <c r="C1610" s="5">
        <v>590500.0</v>
      </c>
      <c r="D1610" s="5">
        <v>0.0</v>
      </c>
      <c r="E1610" s="5">
        <f t="shared" si="2"/>
        <v>248100791</v>
      </c>
      <c r="F1610" s="14" t="s">
        <v>24</v>
      </c>
      <c r="G1610" s="14" t="s">
        <v>4102</v>
      </c>
      <c r="H1610" s="14" t="s">
        <v>946</v>
      </c>
      <c r="I1610" s="14"/>
      <c r="J1610" s="14"/>
      <c r="K1610" s="14"/>
      <c r="L1610" s="14"/>
    </row>
    <row r="1611" ht="15.75" customHeight="1">
      <c r="A1611" s="8">
        <v>46245.0</v>
      </c>
      <c r="B1611" s="14" t="s">
        <v>4106</v>
      </c>
      <c r="C1611" s="5">
        <v>7125000.0</v>
      </c>
      <c r="D1611" s="5">
        <v>0.0</v>
      </c>
      <c r="E1611" s="5">
        <f t="shared" si="2"/>
        <v>240975791</v>
      </c>
      <c r="F1611" s="14" t="s">
        <v>24</v>
      </c>
      <c r="G1611" s="14" t="s">
        <v>4102</v>
      </c>
      <c r="H1611" s="14" t="s">
        <v>946</v>
      </c>
      <c r="I1611" s="14"/>
      <c r="J1611" s="14"/>
      <c r="K1611" s="14"/>
      <c r="L1611" s="14"/>
    </row>
    <row r="1612" ht="15.75" customHeight="1">
      <c r="A1612" s="8">
        <v>46245.0</v>
      </c>
      <c r="B1612" s="14" t="s">
        <v>4107</v>
      </c>
      <c r="C1612" s="5">
        <v>166260.0</v>
      </c>
      <c r="D1612" s="5">
        <v>0.0</v>
      </c>
      <c r="E1612" s="5">
        <f t="shared" si="2"/>
        <v>240809531</v>
      </c>
      <c r="F1612" s="14" t="s">
        <v>24</v>
      </c>
      <c r="G1612" s="14" t="s">
        <v>4102</v>
      </c>
      <c r="H1612" s="14" t="s">
        <v>946</v>
      </c>
      <c r="I1612" s="14"/>
      <c r="J1612" s="14"/>
      <c r="K1612" s="14"/>
      <c r="L1612" s="14"/>
    </row>
    <row r="1613" ht="15.75" customHeight="1">
      <c r="A1613" s="8">
        <v>46245.0</v>
      </c>
      <c r="B1613" s="14" t="s">
        <v>4108</v>
      </c>
      <c r="C1613" s="5">
        <v>121150.0</v>
      </c>
      <c r="D1613" s="5">
        <v>0.0</v>
      </c>
      <c r="E1613" s="5">
        <f t="shared" si="2"/>
        <v>240688381</v>
      </c>
      <c r="F1613" s="14" t="s">
        <v>24</v>
      </c>
      <c r="G1613" s="14" t="s">
        <v>4102</v>
      </c>
      <c r="H1613" s="14" t="s">
        <v>946</v>
      </c>
      <c r="I1613" s="14"/>
      <c r="J1613" s="14"/>
      <c r="K1613" s="14"/>
      <c r="L1613" s="14"/>
    </row>
    <row r="1614" ht="15.75" customHeight="1">
      <c r="A1614" s="8">
        <v>46245.0</v>
      </c>
      <c r="B1614" s="14" t="s">
        <v>4109</v>
      </c>
      <c r="C1614" s="5">
        <v>840500.0</v>
      </c>
      <c r="D1614" s="5">
        <v>0.0</v>
      </c>
      <c r="E1614" s="5">
        <f t="shared" si="2"/>
        <v>239847881</v>
      </c>
      <c r="F1614" s="14" t="s">
        <v>24</v>
      </c>
      <c r="G1614" s="14" t="s">
        <v>4102</v>
      </c>
      <c r="H1614" s="14" t="s">
        <v>946</v>
      </c>
      <c r="I1614" s="14"/>
      <c r="J1614" s="14"/>
      <c r="K1614" s="14"/>
      <c r="L1614" s="14"/>
    </row>
    <row r="1615" ht="15.75" customHeight="1">
      <c r="A1615" s="8">
        <v>46246.0</v>
      </c>
      <c r="B1615" s="14" t="s">
        <v>4110</v>
      </c>
      <c r="C1615" s="5">
        <v>62100.0</v>
      </c>
      <c r="D1615" s="5">
        <v>0.0</v>
      </c>
      <c r="E1615" s="5">
        <f t="shared" si="2"/>
        <v>239785781</v>
      </c>
      <c r="F1615" s="14" t="s">
        <v>24</v>
      </c>
      <c r="G1615" s="14" t="s">
        <v>4102</v>
      </c>
      <c r="H1615" s="14" t="s">
        <v>946</v>
      </c>
      <c r="I1615" s="14"/>
      <c r="J1615" s="14"/>
      <c r="K1615" s="14"/>
      <c r="L1615" s="14"/>
    </row>
    <row r="1616" ht="15.75" customHeight="1">
      <c r="A1616" s="8">
        <v>46246.0</v>
      </c>
      <c r="B1616" s="14" t="s">
        <v>4111</v>
      </c>
      <c r="C1616" s="5">
        <v>70180.0</v>
      </c>
      <c r="D1616" s="5">
        <v>0.0</v>
      </c>
      <c r="E1616" s="5">
        <f t="shared" si="2"/>
        <v>239715601</v>
      </c>
      <c r="F1616" s="14" t="s">
        <v>24</v>
      </c>
      <c r="G1616" s="14" t="s">
        <v>4102</v>
      </c>
      <c r="H1616" s="14" t="s">
        <v>946</v>
      </c>
      <c r="I1616" s="14"/>
      <c r="J1616" s="14"/>
      <c r="K1616" s="14"/>
      <c r="L1616" s="14"/>
    </row>
    <row r="1617" ht="15.75" customHeight="1">
      <c r="A1617" s="8">
        <v>46246.0</v>
      </c>
      <c r="B1617" s="14" t="s">
        <v>4112</v>
      </c>
      <c r="C1617" s="5">
        <v>103550.0</v>
      </c>
      <c r="D1617" s="5">
        <v>0.0</v>
      </c>
      <c r="E1617" s="5">
        <f t="shared" si="2"/>
        <v>239612051</v>
      </c>
      <c r="F1617" s="14" t="s">
        <v>24</v>
      </c>
      <c r="G1617" s="14" t="s">
        <v>4102</v>
      </c>
      <c r="H1617" s="14" t="s">
        <v>946</v>
      </c>
      <c r="I1617" s="14"/>
      <c r="J1617" s="14"/>
      <c r="K1617" s="14"/>
      <c r="L1617" s="14"/>
    </row>
    <row r="1618" ht="15.75" customHeight="1">
      <c r="A1618" s="8">
        <v>46246.0</v>
      </c>
      <c r="B1618" s="14" t="s">
        <v>4113</v>
      </c>
      <c r="C1618" s="5">
        <v>3000000.0</v>
      </c>
      <c r="D1618" s="5">
        <v>0.0</v>
      </c>
      <c r="E1618" s="5">
        <f t="shared" si="2"/>
        <v>236612051</v>
      </c>
      <c r="F1618" s="14" t="s">
        <v>24</v>
      </c>
      <c r="G1618" s="14" t="s">
        <v>4102</v>
      </c>
      <c r="H1618" s="14" t="s">
        <v>946</v>
      </c>
      <c r="I1618" s="14"/>
      <c r="J1618" s="14"/>
      <c r="K1618" s="14"/>
      <c r="L1618" s="14"/>
    </row>
    <row r="1619" ht="15.75" customHeight="1">
      <c r="A1619" s="8">
        <v>46247.0</v>
      </c>
      <c r="B1619" s="14" t="s">
        <v>4114</v>
      </c>
      <c r="C1619" s="5">
        <v>122000.0</v>
      </c>
      <c r="D1619" s="5">
        <v>0.0</v>
      </c>
      <c r="E1619" s="5">
        <f t="shared" si="2"/>
        <v>236490051</v>
      </c>
      <c r="F1619" s="14" t="s">
        <v>24</v>
      </c>
      <c r="G1619" s="14" t="s">
        <v>4102</v>
      </c>
      <c r="H1619" s="14" t="s">
        <v>946</v>
      </c>
      <c r="I1619" s="14"/>
      <c r="J1619" s="14"/>
      <c r="K1619" s="14"/>
      <c r="L1619" s="14"/>
    </row>
    <row r="1620" ht="15.75" customHeight="1">
      <c r="A1620" s="8">
        <v>46247.0</v>
      </c>
      <c r="B1620" s="14" t="s">
        <v>4115</v>
      </c>
      <c r="C1620" s="5">
        <v>198530.0</v>
      </c>
      <c r="D1620" s="5">
        <v>0.0</v>
      </c>
      <c r="E1620" s="5">
        <f t="shared" si="2"/>
        <v>236291521</v>
      </c>
      <c r="F1620" s="14" t="s">
        <v>24</v>
      </c>
      <c r="G1620" s="14" t="s">
        <v>4102</v>
      </c>
      <c r="H1620" s="14" t="s">
        <v>946</v>
      </c>
      <c r="I1620" s="14"/>
      <c r="J1620" s="14"/>
      <c r="K1620" s="14"/>
      <c r="L1620" s="14"/>
    </row>
    <row r="1621" ht="15.75" customHeight="1">
      <c r="A1621" s="8">
        <v>46247.0</v>
      </c>
      <c r="B1621" s="14" t="s">
        <v>4116</v>
      </c>
      <c r="C1621" s="5">
        <v>149999.0</v>
      </c>
      <c r="D1621" s="5">
        <v>0.0</v>
      </c>
      <c r="E1621" s="5">
        <f t="shared" si="2"/>
        <v>236141522</v>
      </c>
      <c r="F1621" s="14" t="s">
        <v>24</v>
      </c>
      <c r="G1621" s="14" t="s">
        <v>4102</v>
      </c>
      <c r="H1621" s="14" t="s">
        <v>946</v>
      </c>
      <c r="I1621" s="14"/>
      <c r="J1621" s="14"/>
      <c r="K1621" s="14"/>
      <c r="L1621" s="14"/>
    </row>
    <row r="1622" ht="15.75" customHeight="1">
      <c r="A1622" s="8">
        <v>46221.0</v>
      </c>
      <c r="B1622" s="14" t="s">
        <v>4117</v>
      </c>
      <c r="C1622" s="5">
        <v>8072900.0</v>
      </c>
      <c r="D1622" s="5">
        <v>0.0</v>
      </c>
      <c r="E1622" s="5">
        <f t="shared" si="2"/>
        <v>228068622</v>
      </c>
      <c r="F1622" s="14" t="s">
        <v>306</v>
      </c>
      <c r="G1622" s="14" t="s">
        <v>307</v>
      </c>
      <c r="H1622" s="14" t="s">
        <v>4118</v>
      </c>
      <c r="I1622" s="14"/>
      <c r="J1622" s="14"/>
      <c r="K1622" s="14"/>
      <c r="L1622" s="14"/>
    </row>
    <row r="1623" ht="15.75" customHeight="1">
      <c r="A1623" s="8">
        <v>46222.0</v>
      </c>
      <c r="B1623" s="4" t="s">
        <v>4119</v>
      </c>
      <c r="C1623" s="5">
        <v>1250000.0</v>
      </c>
      <c r="D1623" s="5">
        <v>0.0</v>
      </c>
      <c r="E1623" s="5">
        <f t="shared" si="2"/>
        <v>226818622</v>
      </c>
      <c r="F1623" s="14" t="s">
        <v>2464</v>
      </c>
      <c r="G1623" s="14" t="s">
        <v>59</v>
      </c>
      <c r="H1623" s="4" t="s">
        <v>3800</v>
      </c>
    </row>
    <row r="1624" ht="15.75" customHeight="1">
      <c r="A1624" s="8">
        <v>46224.0</v>
      </c>
      <c r="B1624" s="14" t="s">
        <v>4120</v>
      </c>
      <c r="C1624" s="5">
        <v>2.4999E7</v>
      </c>
      <c r="D1624" s="5">
        <v>0.0</v>
      </c>
      <c r="E1624" s="5">
        <f t="shared" si="2"/>
        <v>201819622</v>
      </c>
      <c r="F1624" s="14" t="s">
        <v>306</v>
      </c>
      <c r="G1624" s="14" t="s">
        <v>307</v>
      </c>
      <c r="H1624" s="14" t="s">
        <v>4121</v>
      </c>
      <c r="I1624" s="14"/>
      <c r="J1624" s="14"/>
      <c r="K1624" s="14"/>
      <c r="L1624" s="14"/>
    </row>
    <row r="1625" ht="15.75" customHeight="1">
      <c r="A1625" s="8">
        <v>46224.0</v>
      </c>
      <c r="B1625" s="14" t="s">
        <v>4122</v>
      </c>
      <c r="C1625" s="5">
        <v>1656000.0</v>
      </c>
      <c r="D1625" s="5">
        <v>0.0</v>
      </c>
      <c r="E1625" s="5">
        <f t="shared" si="2"/>
        <v>200163622</v>
      </c>
      <c r="F1625" s="14" t="s">
        <v>50</v>
      </c>
      <c r="G1625" s="14" t="s">
        <v>1984</v>
      </c>
      <c r="H1625" s="14"/>
      <c r="I1625" s="14"/>
      <c r="J1625" s="14"/>
      <c r="K1625" s="14"/>
      <c r="L1625" s="14"/>
    </row>
    <row r="1626" ht="15.75" customHeight="1">
      <c r="A1626" s="8"/>
      <c r="B1626" s="14" t="s">
        <v>4123</v>
      </c>
      <c r="C1626" s="5">
        <f>1705680-C1625</f>
        <v>49680</v>
      </c>
      <c r="D1626" s="5">
        <v>0.0</v>
      </c>
      <c r="E1626" s="5">
        <f t="shared" si="2"/>
        <v>200113942</v>
      </c>
      <c r="F1626" s="14" t="s">
        <v>43</v>
      </c>
      <c r="G1626" s="14" t="s">
        <v>45</v>
      </c>
      <c r="H1626" s="14"/>
      <c r="I1626" s="14"/>
      <c r="J1626" s="14"/>
      <c r="K1626" s="14"/>
      <c r="L1626" s="14"/>
    </row>
    <row r="1627" ht="15.75" customHeight="1">
      <c r="A1627" s="8">
        <v>46232.0</v>
      </c>
      <c r="B1627" s="14" t="s">
        <v>4124</v>
      </c>
      <c r="C1627" s="5">
        <v>847354.0</v>
      </c>
      <c r="D1627" s="5">
        <v>0.0</v>
      </c>
      <c r="E1627" s="5">
        <f t="shared" si="2"/>
        <v>199266588</v>
      </c>
      <c r="F1627" s="14" t="s">
        <v>24</v>
      </c>
      <c r="G1627" s="14" t="s">
        <v>4102</v>
      </c>
      <c r="H1627" s="14" t="s">
        <v>946</v>
      </c>
      <c r="I1627" s="14"/>
      <c r="J1627" s="14"/>
      <c r="K1627" s="14"/>
      <c r="L1627" s="14"/>
    </row>
    <row r="1628" ht="15.75" customHeight="1">
      <c r="A1628" s="8">
        <v>46239.0</v>
      </c>
      <c r="B1628" s="4" t="s">
        <v>4125</v>
      </c>
      <c r="C1628" s="5">
        <v>375000.0</v>
      </c>
      <c r="D1628" s="5">
        <v>0.0</v>
      </c>
      <c r="E1628" s="5">
        <f t="shared" si="2"/>
        <v>198891588</v>
      </c>
      <c r="F1628" s="14" t="s">
        <v>50</v>
      </c>
      <c r="G1628" s="14" t="s">
        <v>245</v>
      </c>
      <c r="H1628" s="14" t="s">
        <v>246</v>
      </c>
    </row>
    <row r="1629" ht="15.75" customHeight="1">
      <c r="A1629" s="8">
        <v>46240.0</v>
      </c>
      <c r="B1629" s="4" t="s">
        <v>4126</v>
      </c>
      <c r="C1629" s="5">
        <v>6500000.0</v>
      </c>
      <c r="D1629" s="5">
        <v>0.0</v>
      </c>
      <c r="E1629" s="5">
        <f t="shared" si="2"/>
        <v>192391588</v>
      </c>
      <c r="F1629" s="14" t="s">
        <v>2464</v>
      </c>
      <c r="G1629" s="14" t="s">
        <v>59</v>
      </c>
      <c r="H1629" s="4" t="s">
        <v>3800</v>
      </c>
    </row>
    <row r="1630" ht="15.75" customHeight="1">
      <c r="A1630" s="8">
        <v>46241.0</v>
      </c>
      <c r="B1630" s="14" t="s">
        <v>4127</v>
      </c>
      <c r="C1630" s="5">
        <v>2.96E7</v>
      </c>
      <c r="D1630" s="5">
        <v>0.0</v>
      </c>
      <c r="E1630" s="5">
        <f t="shared" si="2"/>
        <v>162791588</v>
      </c>
      <c r="F1630" s="14" t="s">
        <v>24</v>
      </c>
      <c r="G1630" s="14" t="s">
        <v>4102</v>
      </c>
      <c r="H1630" s="14" t="s">
        <v>946</v>
      </c>
      <c r="I1630" s="14"/>
      <c r="J1630" s="14"/>
      <c r="K1630" s="14"/>
      <c r="L1630" s="14"/>
    </row>
    <row r="1631" ht="15.75" customHeight="1">
      <c r="A1631" s="8">
        <v>46241.0</v>
      </c>
      <c r="B1631" s="14" t="s">
        <v>4128</v>
      </c>
      <c r="C1631" s="5">
        <v>3385644.0</v>
      </c>
      <c r="D1631" s="5">
        <v>0.0</v>
      </c>
      <c r="E1631" s="5">
        <f t="shared" si="2"/>
        <v>159405944</v>
      </c>
      <c r="F1631" s="14" t="s">
        <v>24</v>
      </c>
      <c r="G1631" s="14" t="s">
        <v>4102</v>
      </c>
      <c r="H1631" s="14" t="s">
        <v>946</v>
      </c>
      <c r="I1631" s="14"/>
      <c r="J1631" s="14"/>
      <c r="K1631" s="14"/>
      <c r="L1631" s="14"/>
    </row>
    <row r="1632" ht="15.75" customHeight="1">
      <c r="A1632" s="8">
        <v>46241.0</v>
      </c>
      <c r="B1632" s="14" t="s">
        <v>4129</v>
      </c>
      <c r="C1632" s="5">
        <v>2002000.0</v>
      </c>
      <c r="D1632" s="5">
        <v>0.0</v>
      </c>
      <c r="E1632" s="5">
        <f t="shared" si="2"/>
        <v>157403944</v>
      </c>
      <c r="F1632" s="14" t="s">
        <v>24</v>
      </c>
      <c r="G1632" s="14" t="s">
        <v>4102</v>
      </c>
      <c r="H1632" s="14" t="s">
        <v>946</v>
      </c>
      <c r="I1632" s="14"/>
      <c r="J1632" s="14"/>
      <c r="K1632" s="14"/>
      <c r="L1632" s="14"/>
    </row>
    <row r="1633" ht="15.75" customHeight="1">
      <c r="A1633" s="8">
        <v>46241.0</v>
      </c>
      <c r="B1633" s="14" t="s">
        <v>4130</v>
      </c>
      <c r="C1633" s="5">
        <v>1094500.0</v>
      </c>
      <c r="D1633" s="5">
        <v>0.0</v>
      </c>
      <c r="E1633" s="5">
        <f t="shared" si="2"/>
        <v>156309444</v>
      </c>
      <c r="F1633" s="14" t="s">
        <v>24</v>
      </c>
      <c r="G1633" s="14" t="s">
        <v>4102</v>
      </c>
      <c r="H1633" s="14" t="s">
        <v>946</v>
      </c>
      <c r="I1633" s="14"/>
      <c r="J1633" s="14"/>
      <c r="K1633" s="14"/>
      <c r="L1633" s="14"/>
    </row>
    <row r="1634" ht="15.75" customHeight="1">
      <c r="A1634" s="8">
        <v>46241.0</v>
      </c>
      <c r="B1634" s="14" t="s">
        <v>4131</v>
      </c>
      <c r="C1634" s="5">
        <v>1624500.0</v>
      </c>
      <c r="D1634" s="5">
        <v>0.0</v>
      </c>
      <c r="E1634" s="5">
        <f t="shared" si="2"/>
        <v>154684944</v>
      </c>
      <c r="F1634" s="14" t="s">
        <v>24</v>
      </c>
      <c r="G1634" s="14" t="s">
        <v>4102</v>
      </c>
      <c r="H1634" s="14" t="s">
        <v>946</v>
      </c>
      <c r="I1634" s="14"/>
      <c r="J1634" s="14"/>
      <c r="K1634" s="14"/>
      <c r="L1634" s="14"/>
    </row>
    <row r="1635" ht="15.75" customHeight="1">
      <c r="A1635" s="8">
        <v>46241.0</v>
      </c>
      <c r="B1635" s="14" t="s">
        <v>4132</v>
      </c>
      <c r="C1635" s="5">
        <v>1.0021932E7</v>
      </c>
      <c r="D1635" s="5">
        <v>0.0</v>
      </c>
      <c r="E1635" s="5">
        <f t="shared" si="2"/>
        <v>144663012</v>
      </c>
      <c r="F1635" s="14" t="s">
        <v>24</v>
      </c>
      <c r="G1635" s="14" t="s">
        <v>4102</v>
      </c>
      <c r="H1635" s="14" t="s">
        <v>946</v>
      </c>
      <c r="I1635" s="14"/>
      <c r="J1635" s="14"/>
      <c r="K1635" s="14"/>
      <c r="L1635" s="14"/>
    </row>
    <row r="1636" ht="15.75" customHeight="1">
      <c r="A1636" s="8">
        <v>46241.0</v>
      </c>
      <c r="B1636" s="14" t="s">
        <v>4133</v>
      </c>
      <c r="C1636" s="5">
        <v>1624500.0</v>
      </c>
      <c r="D1636" s="5">
        <v>0.0</v>
      </c>
      <c r="E1636" s="5">
        <f t="shared" si="2"/>
        <v>143038512</v>
      </c>
      <c r="F1636" s="14" t="s">
        <v>24</v>
      </c>
      <c r="G1636" s="14" t="s">
        <v>4102</v>
      </c>
      <c r="H1636" s="14" t="s">
        <v>946</v>
      </c>
      <c r="I1636" s="14"/>
      <c r="J1636" s="14"/>
      <c r="K1636" s="14"/>
      <c r="L1636" s="14"/>
    </row>
    <row r="1637" ht="15.75" customHeight="1">
      <c r="A1637" s="8">
        <v>46241.0</v>
      </c>
      <c r="B1637" s="14" t="s">
        <v>4134</v>
      </c>
      <c r="C1637" s="5">
        <v>3.69E7</v>
      </c>
      <c r="D1637" s="5">
        <v>0.0</v>
      </c>
      <c r="E1637" s="5">
        <f t="shared" si="2"/>
        <v>106138512</v>
      </c>
      <c r="F1637" s="14" t="s">
        <v>24</v>
      </c>
      <c r="G1637" s="14" t="s">
        <v>4102</v>
      </c>
      <c r="H1637" s="14" t="s">
        <v>946</v>
      </c>
      <c r="I1637" s="14"/>
      <c r="J1637" s="14"/>
      <c r="K1637" s="14"/>
      <c r="L1637" s="14"/>
    </row>
    <row r="1638" ht="15.75" customHeight="1">
      <c r="A1638" s="8">
        <v>46242.0</v>
      </c>
      <c r="B1638" s="14" t="s">
        <v>4135</v>
      </c>
      <c r="C1638" s="5">
        <v>710700.0</v>
      </c>
      <c r="D1638" s="5">
        <v>0.0</v>
      </c>
      <c r="E1638" s="5">
        <f t="shared" si="2"/>
        <v>105427812</v>
      </c>
      <c r="F1638" s="14" t="s">
        <v>24</v>
      </c>
      <c r="G1638" s="14" t="s">
        <v>4102</v>
      </c>
      <c r="H1638" s="14" t="s">
        <v>946</v>
      </c>
      <c r="I1638" s="14"/>
      <c r="J1638" s="14"/>
      <c r="K1638" s="14"/>
      <c r="L1638" s="14"/>
    </row>
    <row r="1639" ht="15.75" customHeight="1">
      <c r="A1639" s="8">
        <v>46242.0</v>
      </c>
      <c r="B1639" s="14" t="s">
        <v>4135</v>
      </c>
      <c r="C1639" s="5">
        <v>710700.0</v>
      </c>
      <c r="D1639" s="5">
        <v>0.0</v>
      </c>
      <c r="E1639" s="5">
        <f t="shared" si="2"/>
        <v>104717112</v>
      </c>
      <c r="F1639" s="14" t="s">
        <v>24</v>
      </c>
      <c r="G1639" s="14" t="s">
        <v>4102</v>
      </c>
      <c r="H1639" s="14" t="s">
        <v>946</v>
      </c>
      <c r="I1639" s="14"/>
      <c r="J1639" s="14"/>
      <c r="K1639" s="14"/>
      <c r="L1639" s="14"/>
    </row>
    <row r="1640" ht="15.75" customHeight="1">
      <c r="A1640" s="8">
        <v>46242.0</v>
      </c>
      <c r="B1640" s="14" t="s">
        <v>4136</v>
      </c>
      <c r="C1640" s="5">
        <v>392900.0</v>
      </c>
      <c r="D1640" s="5">
        <v>0.0</v>
      </c>
      <c r="E1640" s="5">
        <f t="shared" si="2"/>
        <v>104324212</v>
      </c>
      <c r="F1640" s="14" t="s">
        <v>24</v>
      </c>
      <c r="G1640" s="14" t="s">
        <v>4102</v>
      </c>
      <c r="H1640" s="14" t="s">
        <v>946</v>
      </c>
      <c r="I1640" s="14"/>
      <c r="J1640" s="14"/>
      <c r="K1640" s="14"/>
      <c r="L1640" s="14"/>
    </row>
    <row r="1641" ht="15.75" customHeight="1">
      <c r="A1641" s="8">
        <v>46242.0</v>
      </c>
      <c r="B1641" s="14" t="s">
        <v>4135</v>
      </c>
      <c r="C1641" s="5">
        <v>3368629.0</v>
      </c>
      <c r="D1641" s="5">
        <v>0.0</v>
      </c>
      <c r="E1641" s="5">
        <f t="shared" si="2"/>
        <v>100955583</v>
      </c>
      <c r="F1641" s="14" t="s">
        <v>24</v>
      </c>
      <c r="G1641" s="14" t="s">
        <v>4102</v>
      </c>
      <c r="H1641" s="14" t="s">
        <v>946</v>
      </c>
      <c r="I1641" s="14"/>
      <c r="J1641" s="14"/>
      <c r="K1641" s="14"/>
      <c r="L1641" s="14"/>
    </row>
    <row r="1642" ht="15.75" customHeight="1">
      <c r="A1642" s="8">
        <v>46242.0</v>
      </c>
      <c r="B1642" s="14" t="s">
        <v>4137</v>
      </c>
      <c r="C1642" s="5">
        <v>1697231.0</v>
      </c>
      <c r="D1642" s="5">
        <v>0.0</v>
      </c>
      <c r="E1642" s="5">
        <f t="shared" si="2"/>
        <v>99258352</v>
      </c>
      <c r="F1642" s="14" t="s">
        <v>24</v>
      </c>
      <c r="G1642" s="14" t="s">
        <v>4102</v>
      </c>
      <c r="H1642" s="14" t="s">
        <v>946</v>
      </c>
      <c r="I1642" s="14"/>
      <c r="J1642" s="14"/>
      <c r="K1642" s="14"/>
      <c r="L1642" s="14"/>
    </row>
    <row r="1643" ht="15.75" customHeight="1">
      <c r="A1643" s="8">
        <v>46243.0</v>
      </c>
      <c r="B1643" s="14" t="s">
        <v>4138</v>
      </c>
      <c r="C1643" s="5">
        <v>149000.0</v>
      </c>
      <c r="D1643" s="5">
        <v>0.0</v>
      </c>
      <c r="E1643" s="5">
        <f t="shared" si="2"/>
        <v>99109352</v>
      </c>
      <c r="F1643" s="14" t="s">
        <v>24</v>
      </c>
      <c r="G1643" s="14" t="s">
        <v>4102</v>
      </c>
      <c r="H1643" s="14" t="s">
        <v>946</v>
      </c>
      <c r="I1643" s="14"/>
      <c r="J1643" s="14"/>
      <c r="K1643" s="14"/>
      <c r="L1643" s="14"/>
    </row>
    <row r="1644" ht="15.75" customHeight="1">
      <c r="A1644" s="8">
        <v>46243.0</v>
      </c>
      <c r="B1644" s="14" t="s">
        <v>4139</v>
      </c>
      <c r="C1644" s="5">
        <v>496000.0</v>
      </c>
      <c r="D1644" s="5">
        <v>0.0</v>
      </c>
      <c r="E1644" s="5">
        <f t="shared" si="2"/>
        <v>98613352</v>
      </c>
      <c r="F1644" s="14" t="s">
        <v>24</v>
      </c>
      <c r="G1644" s="14" t="s">
        <v>4102</v>
      </c>
      <c r="H1644" s="14" t="s">
        <v>946</v>
      </c>
      <c r="I1644" s="14"/>
      <c r="J1644" s="14"/>
      <c r="K1644" s="14"/>
      <c r="L1644" s="14"/>
    </row>
    <row r="1645" ht="15.75" customHeight="1">
      <c r="A1645" s="8">
        <v>46243.0</v>
      </c>
      <c r="B1645" s="14" t="s">
        <v>4140</v>
      </c>
      <c r="C1645" s="5">
        <v>99000.0</v>
      </c>
      <c r="D1645" s="5">
        <v>0.0</v>
      </c>
      <c r="E1645" s="5">
        <f t="shared" si="2"/>
        <v>98514352</v>
      </c>
      <c r="F1645" s="14" t="s">
        <v>24</v>
      </c>
      <c r="G1645" s="14" t="s">
        <v>4102</v>
      </c>
      <c r="H1645" s="14" t="s">
        <v>946</v>
      </c>
      <c r="I1645" s="14"/>
      <c r="J1645" s="14"/>
      <c r="K1645" s="14"/>
      <c r="L1645" s="14"/>
    </row>
    <row r="1646" ht="15.75" customHeight="1">
      <c r="A1646" s="8">
        <v>46243.0</v>
      </c>
      <c r="B1646" s="14" t="s">
        <v>4141</v>
      </c>
      <c r="C1646" s="5">
        <v>590500.0</v>
      </c>
      <c r="D1646" s="5">
        <v>0.0</v>
      </c>
      <c r="E1646" s="5">
        <f t="shared" si="2"/>
        <v>97923852</v>
      </c>
      <c r="F1646" s="14" t="s">
        <v>24</v>
      </c>
      <c r="G1646" s="14" t="s">
        <v>4102</v>
      </c>
      <c r="H1646" s="14" t="s">
        <v>946</v>
      </c>
      <c r="I1646" s="14"/>
      <c r="J1646" s="14"/>
      <c r="K1646" s="14"/>
      <c r="L1646" s="14"/>
    </row>
    <row r="1647" ht="15.75" customHeight="1">
      <c r="A1647" s="8">
        <v>46243.0</v>
      </c>
      <c r="B1647" s="4" t="s">
        <v>4142</v>
      </c>
      <c r="C1647" s="5">
        <v>590500.0</v>
      </c>
      <c r="D1647" s="5">
        <v>0.0</v>
      </c>
      <c r="E1647" s="5">
        <f t="shared" si="2"/>
        <v>97333352</v>
      </c>
      <c r="F1647" s="14" t="s">
        <v>24</v>
      </c>
      <c r="G1647" s="14" t="s">
        <v>4102</v>
      </c>
      <c r="H1647" s="4" t="s">
        <v>946</v>
      </c>
    </row>
    <row r="1648" ht="15.75" customHeight="1">
      <c r="A1648" s="8">
        <v>46243.0</v>
      </c>
      <c r="B1648" s="4" t="s">
        <v>4142</v>
      </c>
      <c r="C1648" s="5">
        <v>590500.0</v>
      </c>
      <c r="D1648" s="5">
        <v>0.0</v>
      </c>
      <c r="E1648" s="5">
        <f t="shared" si="2"/>
        <v>96742852</v>
      </c>
      <c r="F1648" s="14" t="s">
        <v>24</v>
      </c>
      <c r="G1648" s="14" t="s">
        <v>4102</v>
      </c>
      <c r="H1648" s="4" t="s">
        <v>946</v>
      </c>
    </row>
    <row r="1649" ht="15.75" customHeight="1">
      <c r="A1649" s="8">
        <v>46244.0</v>
      </c>
      <c r="B1649" s="4" t="s">
        <v>4143</v>
      </c>
      <c r="C1649" s="5">
        <v>3700000.0</v>
      </c>
      <c r="D1649" s="5">
        <v>0.0</v>
      </c>
      <c r="E1649" s="5">
        <f t="shared" si="2"/>
        <v>93042852</v>
      </c>
      <c r="F1649" s="14" t="s">
        <v>24</v>
      </c>
      <c r="G1649" s="14" t="s">
        <v>4102</v>
      </c>
      <c r="H1649" s="4" t="s">
        <v>946</v>
      </c>
    </row>
    <row r="1650" ht="15.75" customHeight="1">
      <c r="A1650" s="8">
        <v>46244.0</v>
      </c>
      <c r="B1650" s="4" t="s">
        <v>4144</v>
      </c>
      <c r="C1650" s="5">
        <v>320600.0</v>
      </c>
      <c r="D1650" s="5">
        <v>0.0</v>
      </c>
      <c r="E1650" s="5">
        <f t="shared" si="2"/>
        <v>92722252</v>
      </c>
      <c r="F1650" s="14" t="s">
        <v>50</v>
      </c>
      <c r="G1650" s="14" t="s">
        <v>245</v>
      </c>
      <c r="H1650" s="14" t="s">
        <v>246</v>
      </c>
    </row>
    <row r="1651" ht="15.75" customHeight="1">
      <c r="A1651" s="8">
        <v>46245.0</v>
      </c>
      <c r="B1651" s="4" t="s">
        <v>4145</v>
      </c>
      <c r="C1651" s="5">
        <v>158096.0</v>
      </c>
      <c r="D1651" s="5">
        <v>0.0</v>
      </c>
      <c r="E1651" s="5">
        <f t="shared" si="2"/>
        <v>92564156</v>
      </c>
      <c r="F1651" s="14" t="s">
        <v>24</v>
      </c>
      <c r="G1651" s="14" t="s">
        <v>4102</v>
      </c>
      <c r="H1651" s="4" t="s">
        <v>946</v>
      </c>
    </row>
    <row r="1652" ht="15.75" customHeight="1">
      <c r="A1652" s="8">
        <v>46245.0</v>
      </c>
      <c r="B1652" s="4" t="s">
        <v>4146</v>
      </c>
      <c r="C1652" s="5">
        <v>1515600.0</v>
      </c>
      <c r="D1652" s="5">
        <v>0.0</v>
      </c>
      <c r="E1652" s="5">
        <f t="shared" si="2"/>
        <v>91048556</v>
      </c>
      <c r="F1652" s="14" t="s">
        <v>24</v>
      </c>
      <c r="G1652" s="14" t="s">
        <v>4102</v>
      </c>
      <c r="H1652" s="4" t="s">
        <v>946</v>
      </c>
    </row>
    <row r="1653" ht="15.75" customHeight="1">
      <c r="A1653" s="8">
        <v>46245.0</v>
      </c>
      <c r="B1653" s="4" t="s">
        <v>4147</v>
      </c>
      <c r="C1653" s="5">
        <v>589004.0</v>
      </c>
      <c r="D1653" s="5">
        <v>0.0</v>
      </c>
      <c r="E1653" s="5">
        <f t="shared" si="2"/>
        <v>90459552</v>
      </c>
      <c r="F1653" s="14" t="s">
        <v>24</v>
      </c>
      <c r="G1653" s="14" t="s">
        <v>4102</v>
      </c>
      <c r="H1653" s="4" t="s">
        <v>946</v>
      </c>
    </row>
    <row r="1654" ht="15.75" customHeight="1">
      <c r="A1654" s="8">
        <v>46245.0</v>
      </c>
      <c r="B1654" s="4" t="s">
        <v>4148</v>
      </c>
      <c r="C1654" s="5">
        <v>313000.0</v>
      </c>
      <c r="D1654" s="5">
        <v>0.0</v>
      </c>
      <c r="E1654" s="5">
        <f t="shared" si="2"/>
        <v>90146552</v>
      </c>
      <c r="F1654" s="14" t="s">
        <v>24</v>
      </c>
      <c r="G1654" s="14" t="s">
        <v>4102</v>
      </c>
      <c r="H1654" s="4" t="s">
        <v>946</v>
      </c>
    </row>
    <row r="1655" ht="15.75" customHeight="1">
      <c r="A1655" s="8">
        <v>46245.0</v>
      </c>
      <c r="B1655" s="4" t="s">
        <v>4149</v>
      </c>
      <c r="C1655" s="5">
        <v>144100.0</v>
      </c>
      <c r="D1655" s="5">
        <v>0.0</v>
      </c>
      <c r="E1655" s="5">
        <f t="shared" si="2"/>
        <v>90002452</v>
      </c>
      <c r="F1655" s="14" t="s">
        <v>24</v>
      </c>
      <c r="G1655" s="14" t="s">
        <v>4102</v>
      </c>
      <c r="H1655" s="4" t="s">
        <v>946</v>
      </c>
    </row>
    <row r="1656" ht="15.75" customHeight="1">
      <c r="A1656" s="8">
        <v>46245.0</v>
      </c>
      <c r="B1656" s="4" t="s">
        <v>4150</v>
      </c>
      <c r="C1656" s="5">
        <v>121150.0</v>
      </c>
      <c r="D1656" s="5">
        <v>0.0</v>
      </c>
      <c r="E1656" s="5">
        <f t="shared" si="2"/>
        <v>89881302</v>
      </c>
      <c r="F1656" s="14" t="s">
        <v>24</v>
      </c>
      <c r="G1656" s="14" t="s">
        <v>4102</v>
      </c>
      <c r="H1656" s="4" t="s">
        <v>946</v>
      </c>
    </row>
    <row r="1657" ht="15.75" customHeight="1">
      <c r="A1657" s="8">
        <v>46245.0</v>
      </c>
      <c r="B1657" s="4" t="s">
        <v>4151</v>
      </c>
      <c r="C1657" s="5">
        <v>201150.0</v>
      </c>
      <c r="D1657" s="5">
        <v>0.0</v>
      </c>
      <c r="E1657" s="5">
        <f t="shared" si="2"/>
        <v>89680152</v>
      </c>
      <c r="F1657" s="14" t="s">
        <v>24</v>
      </c>
      <c r="G1657" s="14" t="s">
        <v>4102</v>
      </c>
      <c r="H1657" s="4" t="s">
        <v>946</v>
      </c>
    </row>
    <row r="1658" ht="15.75" customHeight="1">
      <c r="A1658" s="8">
        <v>46245.0</v>
      </c>
      <c r="B1658" s="4" t="s">
        <v>4152</v>
      </c>
      <c r="C1658" s="5">
        <v>235780.0</v>
      </c>
      <c r="D1658" s="5">
        <v>0.0</v>
      </c>
      <c r="E1658" s="5">
        <f t="shared" si="2"/>
        <v>89444372</v>
      </c>
      <c r="F1658" s="14" t="s">
        <v>24</v>
      </c>
      <c r="G1658" s="14" t="s">
        <v>4102</v>
      </c>
      <c r="H1658" s="4" t="s">
        <v>946</v>
      </c>
    </row>
    <row r="1659" ht="15.75" customHeight="1">
      <c r="A1659" s="8">
        <v>46245.0</v>
      </c>
      <c r="B1659" s="4" t="s">
        <v>4153</v>
      </c>
      <c r="C1659" s="5">
        <v>87215.0</v>
      </c>
      <c r="D1659" s="5">
        <v>0.0</v>
      </c>
      <c r="E1659" s="5">
        <f t="shared" si="2"/>
        <v>89357157</v>
      </c>
      <c r="F1659" s="14" t="s">
        <v>24</v>
      </c>
      <c r="G1659" s="14" t="s">
        <v>4102</v>
      </c>
      <c r="H1659" s="4" t="s">
        <v>946</v>
      </c>
    </row>
    <row r="1660" ht="15.75" customHeight="1">
      <c r="A1660" s="8">
        <v>46246.0</v>
      </c>
      <c r="B1660" s="14" t="s">
        <v>4154</v>
      </c>
      <c r="C1660" s="5">
        <v>6686468.0</v>
      </c>
      <c r="D1660" s="5">
        <v>0.0</v>
      </c>
      <c r="E1660" s="5">
        <f t="shared" si="2"/>
        <v>82670689</v>
      </c>
      <c r="F1660" s="14" t="s">
        <v>1471</v>
      </c>
      <c r="G1660" s="14" t="s">
        <v>3435</v>
      </c>
      <c r="H1660" s="14"/>
      <c r="I1660" s="14"/>
      <c r="J1660" s="14"/>
      <c r="K1660" s="14"/>
      <c r="L1660" s="14"/>
    </row>
    <row r="1661" ht="15.75" customHeight="1">
      <c r="A1661" s="8">
        <v>46247.0</v>
      </c>
      <c r="B1661" s="4" t="s">
        <v>4155</v>
      </c>
      <c r="C1661" s="5">
        <v>2169528.0</v>
      </c>
      <c r="D1661" s="5">
        <v>0.0</v>
      </c>
      <c r="E1661" s="5">
        <f t="shared" si="2"/>
        <v>80501161</v>
      </c>
      <c r="F1661" s="14" t="s">
        <v>2464</v>
      </c>
      <c r="G1661" s="14" t="s">
        <v>59</v>
      </c>
      <c r="H1661" s="14" t="s">
        <v>1250</v>
      </c>
    </row>
    <row r="1662" ht="15.75" customHeight="1">
      <c r="A1662" s="8">
        <v>46247.0</v>
      </c>
      <c r="B1662" s="4" t="s">
        <v>4156</v>
      </c>
      <c r="C1662" s="5">
        <v>1158172.0</v>
      </c>
      <c r="D1662" s="5">
        <v>0.0</v>
      </c>
      <c r="E1662" s="5">
        <f t="shared" si="2"/>
        <v>79342989</v>
      </c>
      <c r="F1662" s="14" t="s">
        <v>24</v>
      </c>
      <c r="G1662" s="14" t="s">
        <v>4102</v>
      </c>
      <c r="H1662" s="4" t="s">
        <v>946</v>
      </c>
    </row>
    <row r="1663" ht="15.75" customHeight="1">
      <c r="A1663" s="8">
        <v>46247.0</v>
      </c>
      <c r="B1663" s="4" t="s">
        <v>4157</v>
      </c>
      <c r="C1663" s="5">
        <v>1600064.0</v>
      </c>
      <c r="D1663" s="5">
        <v>0.0</v>
      </c>
      <c r="E1663" s="5">
        <f t="shared" si="2"/>
        <v>77742925</v>
      </c>
      <c r="F1663" s="14" t="s">
        <v>2464</v>
      </c>
      <c r="G1663" s="14" t="s">
        <v>59</v>
      </c>
      <c r="H1663" s="14" t="s">
        <v>1250</v>
      </c>
    </row>
    <row r="1664" ht="15.75" customHeight="1">
      <c r="A1664" s="8">
        <v>46247.0</v>
      </c>
      <c r="B1664" s="4" t="s">
        <v>4157</v>
      </c>
      <c r="C1664" s="5">
        <v>1000040.0</v>
      </c>
      <c r="D1664" s="5">
        <v>0.0</v>
      </c>
      <c r="E1664" s="5">
        <f t="shared" si="2"/>
        <v>76742885</v>
      </c>
      <c r="F1664" s="14" t="s">
        <v>2464</v>
      </c>
      <c r="G1664" s="14" t="s">
        <v>59</v>
      </c>
      <c r="H1664" s="14" t="s">
        <v>1250</v>
      </c>
    </row>
    <row r="1665" ht="15.75" customHeight="1">
      <c r="A1665" s="8">
        <v>46247.0</v>
      </c>
      <c r="B1665" s="4" t="s">
        <v>4157</v>
      </c>
      <c r="C1665" s="5">
        <v>1000040.0</v>
      </c>
      <c r="D1665" s="5">
        <v>0.0</v>
      </c>
      <c r="E1665" s="5">
        <f t="shared" si="2"/>
        <v>75742845</v>
      </c>
      <c r="F1665" s="14" t="s">
        <v>2464</v>
      </c>
      <c r="G1665" s="14" t="s">
        <v>59</v>
      </c>
      <c r="H1665" s="14" t="s">
        <v>1250</v>
      </c>
    </row>
    <row r="1666" ht="15.75" customHeight="1">
      <c r="A1666" s="8">
        <v>46247.0</v>
      </c>
      <c r="B1666" s="4" t="s">
        <v>4157</v>
      </c>
      <c r="C1666" s="5">
        <v>1000040.0</v>
      </c>
      <c r="D1666" s="5">
        <v>0.0</v>
      </c>
      <c r="E1666" s="5">
        <f t="shared" si="2"/>
        <v>74742805</v>
      </c>
      <c r="F1666" s="14" t="s">
        <v>2464</v>
      </c>
      <c r="G1666" s="14" t="s">
        <v>59</v>
      </c>
      <c r="H1666" s="14" t="s">
        <v>1250</v>
      </c>
    </row>
    <row r="1667" ht="15.75" customHeight="1">
      <c r="A1667" s="8">
        <v>46247.0</v>
      </c>
      <c r="B1667" s="4" t="s">
        <v>4157</v>
      </c>
      <c r="C1667" s="5">
        <v>1300052.0</v>
      </c>
      <c r="D1667" s="5">
        <v>0.0</v>
      </c>
      <c r="E1667" s="5">
        <f t="shared" si="2"/>
        <v>73442753</v>
      </c>
      <c r="F1667" s="14" t="s">
        <v>2464</v>
      </c>
      <c r="G1667" s="14" t="s">
        <v>59</v>
      </c>
      <c r="H1667" s="14" t="s">
        <v>1250</v>
      </c>
    </row>
    <row r="1668" ht="15.75" customHeight="1">
      <c r="A1668" s="8">
        <v>46247.0</v>
      </c>
      <c r="B1668" s="4" t="s">
        <v>4157</v>
      </c>
      <c r="C1668" s="5">
        <v>1300052.0</v>
      </c>
      <c r="D1668" s="5">
        <v>0.0</v>
      </c>
      <c r="E1668" s="5">
        <f t="shared" si="2"/>
        <v>72142701</v>
      </c>
      <c r="F1668" s="14" t="s">
        <v>2464</v>
      </c>
      <c r="G1668" s="14" t="s">
        <v>59</v>
      </c>
      <c r="H1668" s="14" t="s">
        <v>1250</v>
      </c>
    </row>
    <row r="1669" ht="15.75" customHeight="1">
      <c r="A1669" s="8">
        <v>46247.0</v>
      </c>
      <c r="B1669" s="4" t="s">
        <v>4158</v>
      </c>
      <c r="C1669" s="5">
        <v>9341200.0</v>
      </c>
      <c r="D1669" s="5">
        <v>0.0</v>
      </c>
      <c r="E1669" s="5">
        <f t="shared" si="2"/>
        <v>62801501</v>
      </c>
      <c r="F1669" s="14" t="s">
        <v>2464</v>
      </c>
      <c r="G1669" s="14" t="s">
        <v>59</v>
      </c>
      <c r="H1669" s="14" t="s">
        <v>1250</v>
      </c>
    </row>
    <row r="1670" ht="15.75" customHeight="1">
      <c r="A1670" s="8">
        <v>46247.0</v>
      </c>
      <c r="B1670" s="4" t="s">
        <v>4159</v>
      </c>
      <c r="C1670" s="5">
        <v>1938473.0</v>
      </c>
      <c r="D1670" s="5">
        <v>0.0</v>
      </c>
      <c r="E1670" s="5">
        <f t="shared" si="2"/>
        <v>60863028</v>
      </c>
      <c r="F1670" s="14" t="s">
        <v>24</v>
      </c>
      <c r="G1670" s="14" t="s">
        <v>4102</v>
      </c>
      <c r="H1670" s="4" t="s">
        <v>946</v>
      </c>
    </row>
    <row r="1671" ht="15.75" customHeight="1">
      <c r="A1671" s="8">
        <v>46248.0</v>
      </c>
      <c r="B1671" s="4" t="s">
        <v>4160</v>
      </c>
      <c r="C1671" s="5">
        <v>1544500.0</v>
      </c>
      <c r="D1671" s="5">
        <v>0.0</v>
      </c>
      <c r="E1671" s="5">
        <f t="shared" si="2"/>
        <v>59318528</v>
      </c>
      <c r="F1671" s="14" t="s">
        <v>24</v>
      </c>
      <c r="G1671" s="14" t="s">
        <v>4102</v>
      </c>
      <c r="H1671" s="4" t="s">
        <v>946</v>
      </c>
    </row>
    <row r="1672" ht="15.75" customHeight="1">
      <c r="A1672" s="8">
        <v>46248.0</v>
      </c>
      <c r="B1672" s="4" t="s">
        <v>4161</v>
      </c>
      <c r="C1672" s="5">
        <v>1244500.0</v>
      </c>
      <c r="D1672" s="5">
        <v>0.0</v>
      </c>
      <c r="E1672" s="5">
        <f t="shared" si="2"/>
        <v>58074028</v>
      </c>
      <c r="F1672" s="14" t="s">
        <v>24</v>
      </c>
      <c r="G1672" s="14" t="s">
        <v>4102</v>
      </c>
      <c r="H1672" s="4" t="s">
        <v>946</v>
      </c>
    </row>
    <row r="1673" ht="15.75" customHeight="1">
      <c r="A1673" s="8">
        <v>46248.0</v>
      </c>
      <c r="B1673" s="4" t="s">
        <v>4162</v>
      </c>
      <c r="C1673" s="5">
        <v>614500.0</v>
      </c>
      <c r="D1673" s="5">
        <v>0.0</v>
      </c>
      <c r="E1673" s="5">
        <f t="shared" si="2"/>
        <v>57459528</v>
      </c>
      <c r="F1673" s="14" t="s">
        <v>24</v>
      </c>
      <c r="G1673" s="14" t="s">
        <v>4102</v>
      </c>
      <c r="H1673" s="4" t="s">
        <v>946</v>
      </c>
    </row>
    <row r="1674" ht="15.75" customHeight="1">
      <c r="A1674" s="8">
        <v>46248.0</v>
      </c>
      <c r="B1674" s="4" t="s">
        <v>4163</v>
      </c>
      <c r="C1674" s="5">
        <v>442500.0</v>
      </c>
      <c r="D1674" s="5">
        <v>0.0</v>
      </c>
      <c r="E1674" s="5">
        <f t="shared" si="2"/>
        <v>57017028</v>
      </c>
      <c r="F1674" s="14" t="s">
        <v>24</v>
      </c>
      <c r="G1674" s="14" t="s">
        <v>4102</v>
      </c>
      <c r="H1674" s="4" t="s">
        <v>946</v>
      </c>
    </row>
    <row r="1675" ht="15.75" customHeight="1">
      <c r="A1675" s="8">
        <v>46248.0</v>
      </c>
      <c r="B1675" s="4" t="s">
        <v>4164</v>
      </c>
      <c r="C1675" s="5">
        <v>1.7178888E7</v>
      </c>
      <c r="D1675" s="5">
        <v>0.0</v>
      </c>
      <c r="E1675" s="5">
        <f t="shared" si="2"/>
        <v>39838140</v>
      </c>
      <c r="F1675" s="14" t="s">
        <v>24</v>
      </c>
      <c r="G1675" s="14" t="s">
        <v>4102</v>
      </c>
      <c r="H1675" s="4" t="s">
        <v>946</v>
      </c>
    </row>
    <row r="1676" ht="15.75" customHeight="1">
      <c r="A1676" s="8">
        <v>46249.0</v>
      </c>
      <c r="B1676" s="14" t="s">
        <v>4165</v>
      </c>
      <c r="C1676" s="5">
        <v>9000000.0</v>
      </c>
      <c r="D1676" s="5">
        <v>0.0</v>
      </c>
      <c r="E1676" s="5">
        <f t="shared" si="2"/>
        <v>30838140</v>
      </c>
      <c r="F1676" s="14" t="s">
        <v>2464</v>
      </c>
      <c r="G1676" s="14" t="s">
        <v>59</v>
      </c>
      <c r="H1676" s="14" t="s">
        <v>3800</v>
      </c>
      <c r="I1676" s="14"/>
      <c r="J1676" s="14"/>
      <c r="K1676" s="14"/>
      <c r="L1676" s="14"/>
    </row>
    <row r="1677" ht="15.75" customHeight="1">
      <c r="A1677" s="8">
        <v>46250.0</v>
      </c>
      <c r="B1677" s="14" t="s">
        <v>4166</v>
      </c>
      <c r="C1677" s="5">
        <v>0.0</v>
      </c>
      <c r="D1677" s="5">
        <v>573500.0</v>
      </c>
      <c r="E1677" s="5">
        <f t="shared" si="2"/>
        <v>31411640</v>
      </c>
      <c r="F1677" s="14" t="s">
        <v>93</v>
      </c>
      <c r="G1677" s="14" t="s">
        <v>93</v>
      </c>
      <c r="H1677" s="14" t="s">
        <v>346</v>
      </c>
      <c r="I1677" s="14"/>
      <c r="J1677" s="14"/>
      <c r="K1677" s="14"/>
      <c r="L1677" s="14"/>
    </row>
    <row r="1678" ht="15.75" customHeight="1">
      <c r="A1678" s="8">
        <v>46237.0</v>
      </c>
      <c r="B1678" s="4" t="s">
        <v>4167</v>
      </c>
      <c r="C1678" s="5">
        <v>2.0667582E7</v>
      </c>
      <c r="D1678" s="5">
        <v>0.0</v>
      </c>
      <c r="E1678" s="5">
        <f t="shared" si="2"/>
        <v>10744058</v>
      </c>
      <c r="F1678" s="14" t="s">
        <v>105</v>
      </c>
      <c r="G1678" s="14" t="s">
        <v>106</v>
      </c>
      <c r="H1678" s="14" t="s">
        <v>72</v>
      </c>
    </row>
    <row r="1679" ht="15.75" customHeight="1">
      <c r="A1679" s="8">
        <v>46238.0</v>
      </c>
      <c r="B1679" s="4" t="s">
        <v>4168</v>
      </c>
      <c r="C1679" s="5">
        <v>1.0744058E7</v>
      </c>
      <c r="D1679" s="5">
        <v>0.0</v>
      </c>
      <c r="E1679" s="5">
        <f t="shared" si="2"/>
        <v>0</v>
      </c>
      <c r="F1679" s="14" t="s">
        <v>105</v>
      </c>
      <c r="G1679" s="14" t="s">
        <v>106</v>
      </c>
      <c r="H1679" s="14" t="s">
        <v>72</v>
      </c>
    </row>
    <row r="1680" ht="15.75" customHeight="1">
      <c r="A1680" s="8">
        <v>46268.0</v>
      </c>
      <c r="B1680" s="4" t="s">
        <v>2547</v>
      </c>
      <c r="C1680" s="5">
        <v>0.0</v>
      </c>
      <c r="D1680" s="5">
        <v>5.1994536E7</v>
      </c>
      <c r="E1680" s="5">
        <f t="shared" si="2"/>
        <v>51994536</v>
      </c>
      <c r="F1680" s="14" t="s">
        <v>21</v>
      </c>
      <c r="G1680" s="14" t="s">
        <v>448</v>
      </c>
      <c r="H1680" s="14" t="s">
        <v>55</v>
      </c>
    </row>
    <row r="1681" ht="15.75" customHeight="1">
      <c r="A1681" s="8">
        <v>46224.0</v>
      </c>
      <c r="B1681" s="4" t="s">
        <v>4169</v>
      </c>
      <c r="C1681" s="5">
        <v>1.87738E7</v>
      </c>
      <c r="D1681" s="5">
        <v>0.0</v>
      </c>
      <c r="E1681" s="5">
        <f t="shared" si="2"/>
        <v>33220736</v>
      </c>
      <c r="F1681" s="14" t="s">
        <v>2464</v>
      </c>
      <c r="G1681" s="14" t="s">
        <v>59</v>
      </c>
      <c r="H1681" s="14" t="s">
        <v>1250</v>
      </c>
    </row>
    <row r="1682" ht="15.75" customHeight="1">
      <c r="A1682" s="8">
        <v>46227.0</v>
      </c>
      <c r="B1682" s="14" t="s">
        <v>4170</v>
      </c>
      <c r="C1682" s="5">
        <v>5000.0</v>
      </c>
      <c r="D1682" s="5">
        <v>0.0</v>
      </c>
      <c r="E1682" s="5">
        <f t="shared" si="2"/>
        <v>33215736</v>
      </c>
      <c r="F1682" s="14" t="s">
        <v>43</v>
      </c>
      <c r="G1682" s="14" t="s">
        <v>45</v>
      </c>
      <c r="H1682" s="14"/>
      <c r="I1682" s="14"/>
      <c r="J1682" s="14"/>
      <c r="K1682" s="14"/>
      <c r="L1682" s="14"/>
    </row>
    <row r="1683" ht="15.75" customHeight="1">
      <c r="A1683" s="8">
        <v>46230.0</v>
      </c>
      <c r="B1683" s="4" t="s">
        <v>4171</v>
      </c>
      <c r="C1683" s="5">
        <v>50000.0</v>
      </c>
      <c r="D1683" s="5">
        <v>0.0</v>
      </c>
      <c r="E1683" s="5">
        <f t="shared" si="2"/>
        <v>33165736</v>
      </c>
      <c r="F1683" s="14" t="s">
        <v>2464</v>
      </c>
      <c r="G1683" s="14" t="s">
        <v>59</v>
      </c>
      <c r="H1683" s="14" t="s">
        <v>1250</v>
      </c>
    </row>
    <row r="1684" ht="15.75" customHeight="1">
      <c r="A1684" s="8">
        <v>46230.0</v>
      </c>
      <c r="B1684" s="4" t="s">
        <v>4172</v>
      </c>
      <c r="C1684" s="5">
        <v>724185.0</v>
      </c>
      <c r="D1684" s="5">
        <v>0.0</v>
      </c>
      <c r="E1684" s="5">
        <f t="shared" si="2"/>
        <v>32441551</v>
      </c>
      <c r="F1684" s="14" t="s">
        <v>2464</v>
      </c>
      <c r="G1684" s="14" t="s">
        <v>59</v>
      </c>
      <c r="H1684" s="14" t="s">
        <v>1250</v>
      </c>
    </row>
    <row r="1685" ht="15.75" customHeight="1">
      <c r="A1685" s="8">
        <v>46230.0</v>
      </c>
      <c r="B1685" s="4" t="s">
        <v>4173</v>
      </c>
      <c r="C1685" s="5">
        <v>340000.0</v>
      </c>
      <c r="D1685" s="5">
        <v>0.0</v>
      </c>
      <c r="E1685" s="5">
        <f t="shared" si="2"/>
        <v>32101551</v>
      </c>
      <c r="F1685" s="14" t="s">
        <v>2464</v>
      </c>
      <c r="G1685" s="14" t="s">
        <v>59</v>
      </c>
      <c r="H1685" s="14" t="s">
        <v>1250</v>
      </c>
    </row>
    <row r="1686" ht="15.75" customHeight="1">
      <c r="A1686" s="8">
        <v>46233.0</v>
      </c>
      <c r="B1686" s="4" t="s">
        <v>4174</v>
      </c>
      <c r="C1686" s="5">
        <v>404800.0</v>
      </c>
      <c r="D1686" s="5">
        <v>0.0</v>
      </c>
      <c r="E1686" s="5">
        <f t="shared" si="2"/>
        <v>31696751</v>
      </c>
      <c r="F1686" s="14" t="s">
        <v>2464</v>
      </c>
      <c r="G1686" s="14" t="s">
        <v>59</v>
      </c>
      <c r="H1686" s="14" t="s">
        <v>1250</v>
      </c>
    </row>
    <row r="1687" ht="15.75" customHeight="1">
      <c r="A1687" s="8">
        <v>46233.0</v>
      </c>
      <c r="B1687" s="14" t="s">
        <v>4175</v>
      </c>
      <c r="C1687" s="5">
        <v>7500.0</v>
      </c>
      <c r="D1687" s="5">
        <v>0.0</v>
      </c>
      <c r="E1687" s="5">
        <f t="shared" si="2"/>
        <v>31689251</v>
      </c>
      <c r="F1687" s="14" t="s">
        <v>43</v>
      </c>
      <c r="G1687" s="14" t="s">
        <v>45</v>
      </c>
      <c r="H1687" s="14"/>
      <c r="I1687" s="14"/>
      <c r="J1687" s="14"/>
      <c r="K1687" s="14"/>
      <c r="L1687" s="14"/>
    </row>
    <row r="1688" ht="15.75" customHeight="1">
      <c r="A1688" s="8">
        <v>46240.0</v>
      </c>
      <c r="B1688" s="4" t="s">
        <v>4176</v>
      </c>
      <c r="C1688" s="5">
        <v>553860.0</v>
      </c>
      <c r="D1688" s="5">
        <v>0.0</v>
      </c>
      <c r="E1688" s="5">
        <f t="shared" si="2"/>
        <v>31135391</v>
      </c>
      <c r="F1688" s="14" t="s">
        <v>2464</v>
      </c>
      <c r="G1688" s="14" t="s">
        <v>59</v>
      </c>
      <c r="H1688" s="14" t="s">
        <v>1250</v>
      </c>
    </row>
    <row r="1689" ht="15.75" customHeight="1">
      <c r="A1689" s="8">
        <v>46241.0</v>
      </c>
      <c r="B1689" s="4" t="s">
        <v>4177</v>
      </c>
      <c r="C1689" s="5">
        <v>7045500.0</v>
      </c>
      <c r="D1689" s="5">
        <v>0.0</v>
      </c>
      <c r="E1689" s="5">
        <f t="shared" si="2"/>
        <v>24089891</v>
      </c>
      <c r="F1689" s="14" t="s">
        <v>2464</v>
      </c>
      <c r="G1689" s="14" t="s">
        <v>59</v>
      </c>
      <c r="H1689" s="14" t="s">
        <v>1250</v>
      </c>
    </row>
    <row r="1690" ht="15.75" customHeight="1">
      <c r="A1690" s="8">
        <v>46241.0</v>
      </c>
      <c r="B1690" s="4" t="s">
        <v>4178</v>
      </c>
      <c r="C1690" s="5">
        <v>5140311.0</v>
      </c>
      <c r="D1690" s="5">
        <v>0.0</v>
      </c>
      <c r="E1690" s="5">
        <f t="shared" si="2"/>
        <v>18949580</v>
      </c>
      <c r="F1690" s="14" t="s">
        <v>2464</v>
      </c>
      <c r="G1690" s="14" t="s">
        <v>59</v>
      </c>
      <c r="H1690" s="14" t="s">
        <v>1250</v>
      </c>
    </row>
    <row r="1691" ht="15.75" customHeight="1">
      <c r="A1691" s="8">
        <v>46241.0</v>
      </c>
      <c r="B1691" s="4" t="s">
        <v>4179</v>
      </c>
      <c r="C1691" s="5">
        <v>1.835284E7</v>
      </c>
      <c r="D1691" s="5">
        <v>0.0</v>
      </c>
      <c r="E1691" s="5">
        <f t="shared" si="2"/>
        <v>596740</v>
      </c>
      <c r="F1691" s="14" t="s">
        <v>2464</v>
      </c>
      <c r="G1691" s="14" t="s">
        <v>59</v>
      </c>
      <c r="H1691" s="14" t="s">
        <v>1250</v>
      </c>
    </row>
    <row r="1692" ht="15.75" customHeight="1">
      <c r="A1692" s="8">
        <v>46246.0</v>
      </c>
      <c r="B1692" s="14" t="s">
        <v>4180</v>
      </c>
      <c r="C1692" s="5">
        <v>586740.0</v>
      </c>
      <c r="D1692" s="5">
        <v>0.0</v>
      </c>
      <c r="E1692" s="5">
        <f t="shared" si="2"/>
        <v>10000</v>
      </c>
      <c r="F1692" s="14" t="s">
        <v>1471</v>
      </c>
      <c r="G1692" s="14" t="s">
        <v>3435</v>
      </c>
      <c r="H1692" s="14"/>
      <c r="I1692" s="14"/>
      <c r="J1692" s="14"/>
      <c r="K1692" s="14"/>
      <c r="L1692" s="14"/>
    </row>
    <row r="1693" ht="15.75" customHeight="1">
      <c r="A1693" s="8">
        <v>46254.0</v>
      </c>
      <c r="B1693" s="14" t="s">
        <v>3432</v>
      </c>
      <c r="C1693" s="5">
        <v>10000.0</v>
      </c>
      <c r="D1693" s="5">
        <v>0.0</v>
      </c>
      <c r="E1693" s="5">
        <f t="shared" si="2"/>
        <v>0</v>
      </c>
      <c r="F1693" s="14" t="s">
        <v>43</v>
      </c>
      <c r="G1693" s="14" t="s">
        <v>45</v>
      </c>
      <c r="H1693" s="14"/>
      <c r="I1693" s="14"/>
      <c r="J1693" s="14"/>
      <c r="K1693" s="14"/>
      <c r="L1693" s="14"/>
    </row>
    <row r="1694" ht="15.75" customHeight="1">
      <c r="A1694" s="8">
        <v>46268.0</v>
      </c>
      <c r="B1694" s="4" t="s">
        <v>2543</v>
      </c>
      <c r="C1694" s="5">
        <v>0.0</v>
      </c>
      <c r="D1694" s="5">
        <v>9428854.0</v>
      </c>
      <c r="E1694" s="5">
        <f t="shared" si="2"/>
        <v>9428854</v>
      </c>
      <c r="F1694" s="14" t="s">
        <v>21</v>
      </c>
      <c r="G1694" s="14" t="s">
        <v>448</v>
      </c>
      <c r="H1694" s="14" t="s">
        <v>70</v>
      </c>
    </row>
    <row r="1695" ht="15.75" customHeight="1">
      <c r="A1695" s="8">
        <v>46224.0</v>
      </c>
      <c r="B1695" s="4" t="s">
        <v>4181</v>
      </c>
      <c r="C1695" s="5">
        <v>659935.0</v>
      </c>
      <c r="D1695" s="5">
        <v>0.0</v>
      </c>
      <c r="E1695" s="5">
        <f t="shared" si="2"/>
        <v>8768919</v>
      </c>
      <c r="F1695" s="14" t="s">
        <v>24</v>
      </c>
      <c r="G1695" s="14" t="s">
        <v>4102</v>
      </c>
      <c r="H1695" s="4" t="s">
        <v>946</v>
      </c>
    </row>
    <row r="1696" ht="15.75" customHeight="1">
      <c r="A1696" s="8">
        <v>46225.0</v>
      </c>
      <c r="B1696" s="14" t="s">
        <v>4182</v>
      </c>
      <c r="C1696" s="5">
        <v>347000.0</v>
      </c>
      <c r="D1696" s="5">
        <v>0.0</v>
      </c>
      <c r="E1696" s="5">
        <f t="shared" si="2"/>
        <v>8421919</v>
      </c>
      <c r="F1696" s="14" t="s">
        <v>50</v>
      </c>
      <c r="G1696" s="14" t="s">
        <v>245</v>
      </c>
      <c r="H1696" s="14" t="s">
        <v>246</v>
      </c>
      <c r="I1696" s="14"/>
      <c r="J1696" s="14"/>
      <c r="K1696" s="14"/>
      <c r="L1696" s="14"/>
    </row>
    <row r="1697" ht="15.75" customHeight="1">
      <c r="A1697" s="8">
        <v>46226.0</v>
      </c>
      <c r="B1697" s="4" t="s">
        <v>4181</v>
      </c>
      <c r="C1697" s="5">
        <v>453139.0</v>
      </c>
      <c r="D1697" s="5">
        <v>0.0</v>
      </c>
      <c r="E1697" s="5">
        <f t="shared" si="2"/>
        <v>7968780</v>
      </c>
      <c r="F1697" s="14" t="s">
        <v>24</v>
      </c>
      <c r="G1697" s="14" t="s">
        <v>4102</v>
      </c>
      <c r="H1697" s="14" t="s">
        <v>4183</v>
      </c>
    </row>
    <row r="1698" ht="15.75" customHeight="1">
      <c r="A1698" s="8">
        <v>46240.0</v>
      </c>
      <c r="B1698" s="4" t="s">
        <v>4181</v>
      </c>
      <c r="C1698" s="5">
        <v>944021.0</v>
      </c>
      <c r="D1698" s="5">
        <v>0.0</v>
      </c>
      <c r="E1698" s="5">
        <f t="shared" si="2"/>
        <v>7024759</v>
      </c>
      <c r="F1698" s="14" t="s">
        <v>2464</v>
      </c>
      <c r="G1698" s="4" t="s">
        <v>59</v>
      </c>
      <c r="H1698" s="14" t="s">
        <v>677</v>
      </c>
    </row>
    <row r="1699" ht="15.75" customHeight="1">
      <c r="A1699" s="8">
        <v>46244.0</v>
      </c>
      <c r="B1699" s="4" t="s">
        <v>4184</v>
      </c>
      <c r="C1699" s="5">
        <v>607968.0</v>
      </c>
      <c r="D1699" s="5">
        <v>0.0</v>
      </c>
      <c r="E1699" s="5">
        <f t="shared" si="2"/>
        <v>6416791</v>
      </c>
      <c r="F1699" s="14" t="s">
        <v>2464</v>
      </c>
      <c r="G1699" s="4" t="s">
        <v>59</v>
      </c>
      <c r="H1699" s="14" t="s">
        <v>677</v>
      </c>
    </row>
    <row r="1700" ht="15.75" customHeight="1">
      <c r="A1700" s="8">
        <v>46245.0</v>
      </c>
      <c r="B1700" s="14" t="s">
        <v>4185</v>
      </c>
      <c r="C1700" s="5">
        <v>2508791.0</v>
      </c>
      <c r="D1700" s="5">
        <v>0.0</v>
      </c>
      <c r="E1700" s="5">
        <f t="shared" si="2"/>
        <v>3908000</v>
      </c>
      <c r="F1700" s="14" t="s">
        <v>2464</v>
      </c>
      <c r="G1700" s="14" t="s">
        <v>59</v>
      </c>
      <c r="H1700" s="14" t="s">
        <v>1250</v>
      </c>
      <c r="I1700" s="14"/>
      <c r="J1700" s="14"/>
      <c r="K1700" s="14"/>
      <c r="L1700" s="14"/>
    </row>
    <row r="1701" ht="15.75" customHeight="1">
      <c r="A1701" s="8">
        <v>46245.0</v>
      </c>
      <c r="B1701" s="14" t="s">
        <v>4186</v>
      </c>
      <c r="C1701" s="5">
        <v>329600.0</v>
      </c>
      <c r="D1701" s="5">
        <v>0.0</v>
      </c>
      <c r="E1701" s="5">
        <f t="shared" si="2"/>
        <v>3578400</v>
      </c>
      <c r="F1701" s="14" t="s">
        <v>50</v>
      </c>
      <c r="G1701" s="14" t="s">
        <v>1984</v>
      </c>
      <c r="H1701" s="14"/>
      <c r="I1701" s="14"/>
      <c r="J1701" s="14"/>
      <c r="K1701" s="14"/>
      <c r="L1701" s="14"/>
    </row>
    <row r="1702" ht="15.75" customHeight="1">
      <c r="A1702" s="8">
        <v>46246.0</v>
      </c>
      <c r="B1702" s="4" t="s">
        <v>4187</v>
      </c>
      <c r="C1702" s="5">
        <v>272100.0</v>
      </c>
      <c r="D1702" s="5">
        <v>0.0</v>
      </c>
      <c r="E1702" s="5">
        <f t="shared" si="2"/>
        <v>3306300</v>
      </c>
      <c r="F1702" s="14" t="s">
        <v>50</v>
      </c>
      <c r="G1702" s="14" t="s">
        <v>245</v>
      </c>
      <c r="H1702" s="14" t="s">
        <v>413</v>
      </c>
    </row>
    <row r="1703" ht="15.75" customHeight="1">
      <c r="A1703" s="8">
        <v>46252.0</v>
      </c>
      <c r="B1703" s="14" t="s">
        <v>4188</v>
      </c>
      <c r="C1703" s="5">
        <v>3210000.0</v>
      </c>
      <c r="D1703" s="5">
        <v>0.0</v>
      </c>
      <c r="E1703" s="5">
        <f t="shared" si="2"/>
        <v>96300</v>
      </c>
      <c r="F1703" s="14" t="s">
        <v>306</v>
      </c>
      <c r="G1703" s="14" t="s">
        <v>307</v>
      </c>
      <c r="H1703" s="14" t="s">
        <v>4189</v>
      </c>
      <c r="I1703" s="14"/>
      <c r="J1703" s="14"/>
      <c r="K1703" s="14"/>
      <c r="L1703" s="14"/>
    </row>
    <row r="1704" ht="15.75" customHeight="1">
      <c r="A1704" s="8"/>
      <c r="B1704" s="14" t="s">
        <v>4190</v>
      </c>
      <c r="C1704" s="5">
        <f>3306300-C1703</f>
        <v>96300</v>
      </c>
      <c r="D1704" s="5">
        <v>0.0</v>
      </c>
      <c r="E1704" s="5">
        <f t="shared" si="2"/>
        <v>0</v>
      </c>
      <c r="F1704" s="14" t="s">
        <v>43</v>
      </c>
      <c r="G1704" s="14" t="s">
        <v>45</v>
      </c>
      <c r="H1704" s="14"/>
      <c r="I1704" s="14"/>
      <c r="J1704" s="14"/>
      <c r="K1704" s="14"/>
      <c r="L1704" s="14"/>
    </row>
    <row r="1705" ht="15.75" customHeight="1">
      <c r="A1705" s="8"/>
      <c r="B1705" s="4" t="s">
        <v>4053</v>
      </c>
      <c r="C1705" s="5">
        <v>0.0</v>
      </c>
      <c r="D1705" s="5">
        <v>3.996904E7</v>
      </c>
      <c r="E1705" s="5">
        <f t="shared" si="2"/>
        <v>39969040</v>
      </c>
      <c r="F1705" s="14" t="s">
        <v>24</v>
      </c>
      <c r="G1705" s="14" t="s">
        <v>125</v>
      </c>
      <c r="H1705" s="4" t="s">
        <v>170</v>
      </c>
    </row>
    <row r="1706" ht="15.75" customHeight="1">
      <c r="A1706" s="8">
        <v>46232.0</v>
      </c>
      <c r="B1706" s="4" t="s">
        <v>4191</v>
      </c>
      <c r="C1706" s="5">
        <v>7500.0</v>
      </c>
      <c r="D1706" s="5">
        <v>0.0</v>
      </c>
      <c r="E1706" s="5">
        <f t="shared" si="2"/>
        <v>39961540</v>
      </c>
      <c r="F1706" s="14" t="s">
        <v>43</v>
      </c>
      <c r="G1706" s="14" t="s">
        <v>45</v>
      </c>
    </row>
    <row r="1707" ht="15.75" customHeight="1">
      <c r="A1707" s="8">
        <v>46232.0</v>
      </c>
      <c r="B1707" s="4" t="s">
        <v>4191</v>
      </c>
      <c r="C1707" s="5">
        <v>7500.0</v>
      </c>
      <c r="D1707" s="5">
        <v>0.0</v>
      </c>
      <c r="E1707" s="5">
        <f t="shared" si="2"/>
        <v>39954040</v>
      </c>
      <c r="F1707" s="14" t="s">
        <v>43</v>
      </c>
      <c r="G1707" s="14" t="s">
        <v>45</v>
      </c>
      <c r="H1707" s="14"/>
    </row>
    <row r="1708" ht="15.75" customHeight="1">
      <c r="A1708" s="8">
        <v>46230.0</v>
      </c>
      <c r="B1708" s="4" t="s">
        <v>4192</v>
      </c>
      <c r="C1708" s="5">
        <v>78000.0</v>
      </c>
      <c r="D1708" s="5">
        <v>0.0</v>
      </c>
      <c r="E1708" s="5">
        <f t="shared" si="2"/>
        <v>39876040</v>
      </c>
      <c r="F1708" s="14" t="s">
        <v>105</v>
      </c>
      <c r="G1708" s="14" t="s">
        <v>2064</v>
      </c>
      <c r="H1708" s="14" t="s">
        <v>72</v>
      </c>
    </row>
    <row r="1709" ht="15.75" customHeight="1">
      <c r="A1709" s="8">
        <v>46231.0</v>
      </c>
      <c r="B1709" s="4" t="s">
        <v>4193</v>
      </c>
      <c r="C1709" s="5">
        <v>147298.0</v>
      </c>
      <c r="D1709" s="5">
        <v>0.0</v>
      </c>
      <c r="E1709" s="5">
        <f t="shared" si="2"/>
        <v>39728742</v>
      </c>
      <c r="F1709" s="14" t="s">
        <v>105</v>
      </c>
      <c r="G1709" s="14" t="s">
        <v>2064</v>
      </c>
      <c r="H1709" s="14" t="s">
        <v>72</v>
      </c>
    </row>
    <row r="1710" ht="15.75" customHeight="1">
      <c r="A1710" s="8">
        <v>46233.0</v>
      </c>
      <c r="B1710" s="4" t="s">
        <v>4194</v>
      </c>
      <c r="C1710" s="5">
        <v>145450.0</v>
      </c>
      <c r="D1710" s="5">
        <v>0.0</v>
      </c>
      <c r="E1710" s="5">
        <f t="shared" si="2"/>
        <v>39583292</v>
      </c>
      <c r="F1710" s="14" t="s">
        <v>105</v>
      </c>
      <c r="G1710" s="14" t="s">
        <v>2064</v>
      </c>
      <c r="H1710" s="14" t="s">
        <v>72</v>
      </c>
    </row>
    <row r="1711" ht="15.75" customHeight="1">
      <c r="A1711" s="8">
        <v>46234.0</v>
      </c>
      <c r="B1711" s="4" t="s">
        <v>4195</v>
      </c>
      <c r="C1711" s="5">
        <v>230588.0</v>
      </c>
      <c r="D1711" s="5">
        <v>0.0</v>
      </c>
      <c r="E1711" s="5">
        <f t="shared" si="2"/>
        <v>39352704</v>
      </c>
      <c r="F1711" s="14" t="s">
        <v>105</v>
      </c>
      <c r="G1711" s="14" t="s">
        <v>2064</v>
      </c>
      <c r="H1711" s="14" t="s">
        <v>72</v>
      </c>
    </row>
    <row r="1712" ht="15.75" customHeight="1">
      <c r="A1712" s="8">
        <v>46246.0</v>
      </c>
      <c r="B1712" s="4" t="s">
        <v>4196</v>
      </c>
      <c r="C1712" s="5">
        <v>581900.0</v>
      </c>
      <c r="D1712" s="5">
        <v>0.0</v>
      </c>
      <c r="E1712" s="5">
        <f t="shared" si="2"/>
        <v>38770804</v>
      </c>
      <c r="F1712" s="14" t="s">
        <v>105</v>
      </c>
      <c r="G1712" s="14" t="s">
        <v>2064</v>
      </c>
      <c r="H1712" s="14" t="s">
        <v>72</v>
      </c>
    </row>
    <row r="1713" ht="15.75" customHeight="1">
      <c r="A1713" s="8">
        <v>46247.0</v>
      </c>
      <c r="B1713" s="4" t="s">
        <v>4197</v>
      </c>
      <c r="C1713" s="5">
        <v>380000.0</v>
      </c>
      <c r="D1713" s="5">
        <v>0.0</v>
      </c>
      <c r="E1713" s="5">
        <f t="shared" si="2"/>
        <v>38390804</v>
      </c>
      <c r="F1713" s="14" t="s">
        <v>105</v>
      </c>
      <c r="G1713" s="14" t="s">
        <v>2064</v>
      </c>
      <c r="H1713" s="14" t="s">
        <v>72</v>
      </c>
    </row>
    <row r="1714" ht="15.75" customHeight="1">
      <c r="A1714" s="8">
        <v>46253.0</v>
      </c>
      <c r="B1714" s="4" t="s">
        <v>4198</v>
      </c>
      <c r="C1714" s="5">
        <v>125900.0</v>
      </c>
      <c r="D1714" s="5">
        <v>0.0</v>
      </c>
      <c r="E1714" s="5">
        <f t="shared" si="2"/>
        <v>38264904</v>
      </c>
      <c r="F1714" s="14" t="s">
        <v>105</v>
      </c>
      <c r="G1714" s="14" t="s">
        <v>2064</v>
      </c>
      <c r="H1714" s="14" t="s">
        <v>72</v>
      </c>
    </row>
    <row r="1715" ht="15.75" customHeight="1">
      <c r="A1715" s="8">
        <v>46254.0</v>
      </c>
      <c r="B1715" s="4" t="s">
        <v>4199</v>
      </c>
      <c r="C1715" s="5">
        <v>389928.0</v>
      </c>
      <c r="D1715" s="5">
        <v>0.0</v>
      </c>
      <c r="E1715" s="5">
        <f t="shared" si="2"/>
        <v>37874976</v>
      </c>
      <c r="F1715" s="14" t="s">
        <v>105</v>
      </c>
      <c r="G1715" s="14" t="s">
        <v>2064</v>
      </c>
      <c r="H1715" s="14" t="s">
        <v>72</v>
      </c>
    </row>
    <row r="1716" ht="15.75" customHeight="1">
      <c r="A1716" s="8"/>
      <c r="B1716" s="4" t="s">
        <v>4200</v>
      </c>
      <c r="C1716" s="5">
        <v>3.7874976E7</v>
      </c>
      <c r="D1716" s="5">
        <v>0.0</v>
      </c>
      <c r="E1716" s="5">
        <f t="shared" si="2"/>
        <v>0</v>
      </c>
      <c r="F1716" s="14" t="s">
        <v>24</v>
      </c>
      <c r="G1716" s="14" t="s">
        <v>125</v>
      </c>
      <c r="H1716" s="4" t="s">
        <v>170</v>
      </c>
    </row>
    <row r="1717" ht="15.75" customHeight="1">
      <c r="A1717" s="8">
        <v>45961.0</v>
      </c>
      <c r="B1717" s="4" t="s">
        <v>4201</v>
      </c>
      <c r="C1717" s="5">
        <v>0.0</v>
      </c>
      <c r="D1717" s="5">
        <v>1.2E7</v>
      </c>
      <c r="E1717" s="5">
        <f t="shared" si="2"/>
        <v>12000000</v>
      </c>
      <c r="F1717" s="4" t="s">
        <v>24</v>
      </c>
      <c r="G1717" s="4" t="s">
        <v>669</v>
      </c>
      <c r="H1717" s="4" t="s">
        <v>4202</v>
      </c>
    </row>
    <row r="1718" ht="15.75" customHeight="1">
      <c r="A1718" s="8"/>
      <c r="B1718" s="4" t="s">
        <v>4203</v>
      </c>
      <c r="C1718" s="5">
        <v>1.0E7</v>
      </c>
      <c r="D1718" s="5">
        <v>0.0</v>
      </c>
      <c r="E1718" s="5">
        <f t="shared" si="2"/>
        <v>2000000</v>
      </c>
      <c r="F1718" s="4" t="s">
        <v>93</v>
      </c>
      <c r="G1718" s="4" t="s">
        <v>93</v>
      </c>
      <c r="H1718" s="4" t="s">
        <v>4204</v>
      </c>
    </row>
    <row r="1719" ht="15.75" customHeight="1">
      <c r="A1719" s="8"/>
      <c r="B1719" s="4" t="s">
        <v>4205</v>
      </c>
      <c r="C1719" s="5">
        <v>80400.0</v>
      </c>
      <c r="D1719" s="5">
        <v>0.0</v>
      </c>
      <c r="E1719" s="5">
        <f t="shared" si="2"/>
        <v>1919600</v>
      </c>
      <c r="F1719" s="4" t="s">
        <v>18</v>
      </c>
      <c r="G1719" s="4" t="s">
        <v>80</v>
      </c>
      <c r="H1719" s="4" t="s">
        <v>4206</v>
      </c>
    </row>
    <row r="1720" ht="15.75" customHeight="1">
      <c r="A1720" s="8"/>
      <c r="B1720" s="4" t="s">
        <v>4207</v>
      </c>
      <c r="C1720" s="5">
        <v>35959.0</v>
      </c>
      <c r="D1720" s="5">
        <v>0.0</v>
      </c>
      <c r="E1720" s="5">
        <f t="shared" si="2"/>
        <v>1883641</v>
      </c>
      <c r="F1720" s="4" t="s">
        <v>18</v>
      </c>
      <c r="G1720" s="4" t="s">
        <v>80</v>
      </c>
      <c r="H1720" s="4" t="s">
        <v>4206</v>
      </c>
    </row>
    <row r="1721" ht="15.75" customHeight="1">
      <c r="A1721" s="8"/>
      <c r="B1721" s="4" t="s">
        <v>4208</v>
      </c>
      <c r="C1721" s="5">
        <v>76297.0</v>
      </c>
      <c r="D1721" s="5">
        <v>0.0</v>
      </c>
      <c r="E1721" s="5">
        <f t="shared" si="2"/>
        <v>1807344</v>
      </c>
      <c r="F1721" s="4" t="s">
        <v>18</v>
      </c>
      <c r="G1721" s="4" t="s">
        <v>80</v>
      </c>
      <c r="H1721" s="4" t="s">
        <v>4206</v>
      </c>
    </row>
    <row r="1722" ht="15.75" customHeight="1">
      <c r="A1722" s="8"/>
      <c r="B1722" s="4" t="s">
        <v>4209</v>
      </c>
      <c r="C1722" s="5">
        <v>120000.0</v>
      </c>
      <c r="D1722" s="5">
        <v>0.0</v>
      </c>
      <c r="E1722" s="5">
        <f t="shared" si="2"/>
        <v>1687344</v>
      </c>
      <c r="F1722" s="4" t="s">
        <v>18</v>
      </c>
      <c r="G1722" s="4" t="s">
        <v>80</v>
      </c>
      <c r="H1722" s="4" t="s">
        <v>4206</v>
      </c>
    </row>
    <row r="1723" ht="15.75" customHeight="1">
      <c r="A1723" s="8"/>
      <c r="B1723" s="4" t="s">
        <v>4210</v>
      </c>
      <c r="C1723" s="5">
        <v>10000.0</v>
      </c>
      <c r="D1723" s="5">
        <v>0.0</v>
      </c>
      <c r="E1723" s="5">
        <f t="shared" si="2"/>
        <v>1677344</v>
      </c>
      <c r="F1723" s="4" t="s">
        <v>18</v>
      </c>
      <c r="G1723" s="4" t="s">
        <v>80</v>
      </c>
      <c r="H1723" s="4" t="s">
        <v>4206</v>
      </c>
    </row>
    <row r="1724" ht="15.75" customHeight="1">
      <c r="A1724" s="8"/>
      <c r="B1724" s="4" t="s">
        <v>4211</v>
      </c>
      <c r="C1724" s="5">
        <v>54000.0</v>
      </c>
      <c r="D1724" s="5">
        <v>0.0</v>
      </c>
      <c r="E1724" s="5">
        <f t="shared" si="2"/>
        <v>1623344</v>
      </c>
      <c r="F1724" s="4" t="s">
        <v>18</v>
      </c>
      <c r="G1724" s="4" t="s">
        <v>80</v>
      </c>
      <c r="H1724" s="4" t="s">
        <v>4206</v>
      </c>
    </row>
    <row r="1725" ht="15.75" customHeight="1">
      <c r="A1725" s="8"/>
      <c r="B1725" s="4" t="s">
        <v>4212</v>
      </c>
      <c r="C1725" s="5">
        <v>30000.0</v>
      </c>
      <c r="D1725" s="5">
        <v>0.0</v>
      </c>
      <c r="E1725" s="5">
        <f t="shared" si="2"/>
        <v>1593344</v>
      </c>
      <c r="F1725" s="4" t="s">
        <v>18</v>
      </c>
      <c r="G1725" s="4" t="s">
        <v>80</v>
      </c>
      <c r="H1725" s="4" t="s">
        <v>4206</v>
      </c>
    </row>
    <row r="1726" ht="15.75" customHeight="1">
      <c r="A1726" s="8"/>
      <c r="B1726" s="4" t="s">
        <v>4213</v>
      </c>
      <c r="C1726" s="5">
        <v>25000.0</v>
      </c>
      <c r="D1726" s="5">
        <v>0.0</v>
      </c>
      <c r="E1726" s="5">
        <f t="shared" si="2"/>
        <v>1568344</v>
      </c>
      <c r="F1726" s="4" t="s">
        <v>18</v>
      </c>
      <c r="G1726" s="4" t="s">
        <v>80</v>
      </c>
      <c r="H1726" s="4" t="s">
        <v>4206</v>
      </c>
    </row>
    <row r="1727" ht="15.75" customHeight="1">
      <c r="A1727" s="8"/>
      <c r="B1727" s="4" t="s">
        <v>4214</v>
      </c>
      <c r="C1727" s="5">
        <v>88000.0</v>
      </c>
      <c r="D1727" s="5">
        <v>0.0</v>
      </c>
      <c r="E1727" s="5">
        <f t="shared" si="2"/>
        <v>1480344</v>
      </c>
      <c r="F1727" s="4" t="s">
        <v>18</v>
      </c>
      <c r="G1727" s="4" t="s">
        <v>80</v>
      </c>
      <c r="H1727" s="4" t="s">
        <v>4206</v>
      </c>
    </row>
    <row r="1728" ht="15.75" customHeight="1">
      <c r="A1728" s="8"/>
      <c r="B1728" s="4" t="s">
        <v>4215</v>
      </c>
      <c r="C1728" s="5">
        <v>150000.0</v>
      </c>
      <c r="D1728" s="5">
        <v>0.0</v>
      </c>
      <c r="E1728" s="5">
        <f t="shared" si="2"/>
        <v>1330344</v>
      </c>
      <c r="F1728" s="4" t="s">
        <v>18</v>
      </c>
      <c r="G1728" s="4" t="s">
        <v>80</v>
      </c>
      <c r="H1728" s="4" t="s">
        <v>4206</v>
      </c>
    </row>
    <row r="1729" ht="15.75" customHeight="1">
      <c r="A1729" s="8"/>
      <c r="B1729" s="4" t="s">
        <v>4216</v>
      </c>
      <c r="C1729" s="5">
        <v>96000.0</v>
      </c>
      <c r="D1729" s="5">
        <v>0.0</v>
      </c>
      <c r="E1729" s="5">
        <f t="shared" si="2"/>
        <v>1234344</v>
      </c>
      <c r="F1729" s="4" t="s">
        <v>18</v>
      </c>
      <c r="G1729" s="4" t="s">
        <v>80</v>
      </c>
      <c r="H1729" s="4" t="s">
        <v>4206</v>
      </c>
    </row>
    <row r="1730" ht="15.75" customHeight="1">
      <c r="A1730" s="8"/>
      <c r="B1730" s="4" t="s">
        <v>4217</v>
      </c>
      <c r="C1730" s="5">
        <v>315000.0</v>
      </c>
      <c r="D1730" s="5">
        <v>0.0</v>
      </c>
      <c r="E1730" s="5">
        <f t="shared" si="2"/>
        <v>919344</v>
      </c>
      <c r="F1730" s="4" t="s">
        <v>18</v>
      </c>
      <c r="G1730" s="4" t="s">
        <v>80</v>
      </c>
      <c r="H1730" s="4" t="s">
        <v>4206</v>
      </c>
    </row>
    <row r="1731" ht="15.75" customHeight="1">
      <c r="A1731" s="8"/>
      <c r="B1731" s="4" t="s">
        <v>4218</v>
      </c>
      <c r="C1731" s="5">
        <v>55500.0</v>
      </c>
      <c r="D1731" s="5">
        <v>0.0</v>
      </c>
      <c r="E1731" s="5">
        <f t="shared" si="2"/>
        <v>863844</v>
      </c>
      <c r="F1731" s="4" t="s">
        <v>18</v>
      </c>
      <c r="G1731" s="4" t="s">
        <v>80</v>
      </c>
      <c r="H1731" s="4" t="s">
        <v>4206</v>
      </c>
    </row>
    <row r="1732" ht="15.75" customHeight="1">
      <c r="A1732" s="8"/>
      <c r="B1732" s="4" t="s">
        <v>4219</v>
      </c>
      <c r="C1732" s="5">
        <v>60000.0</v>
      </c>
      <c r="D1732" s="5">
        <v>0.0</v>
      </c>
      <c r="E1732" s="5">
        <f t="shared" si="2"/>
        <v>803844</v>
      </c>
      <c r="F1732" s="4" t="s">
        <v>18</v>
      </c>
      <c r="G1732" s="4" t="s">
        <v>80</v>
      </c>
      <c r="H1732" s="4" t="s">
        <v>4206</v>
      </c>
    </row>
    <row r="1733" ht="15.75" customHeight="1">
      <c r="A1733" s="8"/>
      <c r="B1733" s="4" t="s">
        <v>4220</v>
      </c>
      <c r="C1733" s="5">
        <v>12000.0</v>
      </c>
      <c r="D1733" s="5">
        <v>0.0</v>
      </c>
      <c r="E1733" s="5">
        <f t="shared" si="2"/>
        <v>791844</v>
      </c>
      <c r="F1733" s="4" t="s">
        <v>18</v>
      </c>
      <c r="G1733" s="4" t="s">
        <v>80</v>
      </c>
      <c r="H1733" s="4" t="s">
        <v>4206</v>
      </c>
    </row>
    <row r="1734" ht="15.75" customHeight="1">
      <c r="A1734" s="8"/>
      <c r="B1734" s="4" t="s">
        <v>4221</v>
      </c>
      <c r="C1734" s="5">
        <v>0.0</v>
      </c>
      <c r="D1734" s="5">
        <v>1.0E7</v>
      </c>
      <c r="E1734" s="5">
        <f t="shared" si="2"/>
        <v>10791844</v>
      </c>
      <c r="F1734" s="4" t="s">
        <v>93</v>
      </c>
      <c r="G1734" s="4" t="s">
        <v>93</v>
      </c>
      <c r="H1734" s="4" t="s">
        <v>4204</v>
      </c>
    </row>
    <row r="1735" ht="15.75" customHeight="1">
      <c r="A1735" s="8"/>
      <c r="B1735" s="4" t="s">
        <v>4222</v>
      </c>
      <c r="C1735" s="5">
        <v>1.0791844E7</v>
      </c>
      <c r="D1735" s="5">
        <v>0.0</v>
      </c>
      <c r="E1735" s="5">
        <f t="shared" si="2"/>
        <v>0</v>
      </c>
      <c r="F1735" s="4" t="s">
        <v>21</v>
      </c>
      <c r="G1735" s="4" t="s">
        <v>41</v>
      </c>
      <c r="H1735" s="4" t="s">
        <v>4202</v>
      </c>
    </row>
    <row r="1736" ht="15.75" customHeight="1">
      <c r="A1736" s="8">
        <v>46001.0</v>
      </c>
      <c r="B1736" s="4" t="s">
        <v>4223</v>
      </c>
      <c r="C1736" s="5">
        <v>0.0</v>
      </c>
      <c r="D1736" s="5">
        <v>5000000.0</v>
      </c>
      <c r="E1736" s="5">
        <f t="shared" si="2"/>
        <v>5000000</v>
      </c>
      <c r="F1736" s="4" t="s">
        <v>24</v>
      </c>
      <c r="G1736" s="4" t="s">
        <v>669</v>
      </c>
      <c r="H1736" s="4" t="s">
        <v>4224</v>
      </c>
    </row>
    <row r="1737" ht="15.75" customHeight="1">
      <c r="A1737" s="8"/>
      <c r="B1737" s="4" t="s">
        <v>4225</v>
      </c>
      <c r="C1737" s="5">
        <v>184000.0</v>
      </c>
      <c r="D1737" s="5">
        <v>0.0</v>
      </c>
      <c r="E1737" s="5">
        <f t="shared" si="2"/>
        <v>4816000</v>
      </c>
      <c r="F1737" s="4" t="s">
        <v>18</v>
      </c>
      <c r="G1737" s="4" t="s">
        <v>80</v>
      </c>
      <c r="H1737" s="4" t="s">
        <v>263</v>
      </c>
    </row>
    <row r="1738" ht="15.75" customHeight="1">
      <c r="A1738" s="8"/>
      <c r="B1738" s="4" t="s">
        <v>4226</v>
      </c>
      <c r="C1738" s="5">
        <v>66000.0</v>
      </c>
      <c r="D1738" s="5">
        <v>0.0</v>
      </c>
      <c r="E1738" s="5">
        <f t="shared" si="2"/>
        <v>4750000</v>
      </c>
      <c r="F1738" s="4" t="s">
        <v>18</v>
      </c>
      <c r="G1738" s="4" t="s">
        <v>80</v>
      </c>
      <c r="H1738" s="4" t="s">
        <v>263</v>
      </c>
    </row>
    <row r="1739" ht="15.75" customHeight="1">
      <c r="A1739" s="8"/>
      <c r="B1739" s="4" t="s">
        <v>4227</v>
      </c>
      <c r="C1739" s="5">
        <v>50000.0</v>
      </c>
      <c r="D1739" s="5">
        <v>0.0</v>
      </c>
      <c r="E1739" s="5">
        <f t="shared" si="2"/>
        <v>4700000</v>
      </c>
      <c r="F1739" s="4" t="s">
        <v>18</v>
      </c>
      <c r="G1739" s="4" t="s">
        <v>80</v>
      </c>
      <c r="H1739" s="4" t="s">
        <v>263</v>
      </c>
    </row>
    <row r="1740" ht="15.75" customHeight="1">
      <c r="A1740" s="8"/>
      <c r="B1740" s="4" t="s">
        <v>4228</v>
      </c>
      <c r="C1740" s="5">
        <v>50000.0</v>
      </c>
      <c r="D1740" s="5">
        <v>0.0</v>
      </c>
      <c r="E1740" s="5">
        <f t="shared" si="2"/>
        <v>4650000</v>
      </c>
      <c r="F1740" s="4" t="s">
        <v>18</v>
      </c>
      <c r="G1740" s="4" t="s">
        <v>80</v>
      </c>
      <c r="H1740" s="4" t="s">
        <v>263</v>
      </c>
    </row>
    <row r="1741" ht="15.75" customHeight="1">
      <c r="A1741" s="8"/>
      <c r="B1741" s="4" t="s">
        <v>4229</v>
      </c>
      <c r="C1741" s="5">
        <v>650000.0</v>
      </c>
      <c r="D1741" s="5">
        <v>0.0</v>
      </c>
      <c r="E1741" s="5">
        <f t="shared" si="2"/>
        <v>4000000</v>
      </c>
      <c r="F1741" s="4" t="s">
        <v>18</v>
      </c>
      <c r="G1741" s="4" t="s">
        <v>80</v>
      </c>
      <c r="H1741" s="4" t="s">
        <v>263</v>
      </c>
    </row>
    <row r="1742" ht="15.75" customHeight="1">
      <c r="A1742" s="8"/>
      <c r="B1742" s="4" t="s">
        <v>4230</v>
      </c>
      <c r="C1742" s="5">
        <v>19500.0</v>
      </c>
      <c r="D1742" s="5">
        <v>0.0</v>
      </c>
      <c r="E1742" s="5">
        <f t="shared" si="2"/>
        <v>3980500</v>
      </c>
      <c r="F1742" s="4" t="s">
        <v>18</v>
      </c>
      <c r="G1742" s="4" t="s">
        <v>80</v>
      </c>
      <c r="H1742" s="4" t="s">
        <v>263</v>
      </c>
    </row>
    <row r="1743" ht="15.75" customHeight="1">
      <c r="A1743" s="8"/>
      <c r="B1743" s="4" t="s">
        <v>4231</v>
      </c>
      <c r="C1743" s="5">
        <v>19500.0</v>
      </c>
      <c r="D1743" s="5">
        <v>0.0</v>
      </c>
      <c r="E1743" s="5">
        <f t="shared" si="2"/>
        <v>3961000</v>
      </c>
      <c r="F1743" s="4" t="s">
        <v>18</v>
      </c>
      <c r="G1743" s="4" t="s">
        <v>80</v>
      </c>
      <c r="H1743" s="4" t="s">
        <v>263</v>
      </c>
    </row>
    <row r="1744" ht="15.75" customHeight="1">
      <c r="A1744" s="8"/>
      <c r="B1744" s="4" t="s">
        <v>4232</v>
      </c>
      <c r="C1744" s="5">
        <v>270000.0</v>
      </c>
      <c r="D1744" s="5">
        <v>0.0</v>
      </c>
      <c r="E1744" s="5">
        <f t="shared" si="2"/>
        <v>3691000</v>
      </c>
      <c r="F1744" s="4" t="s">
        <v>18</v>
      </c>
      <c r="G1744" s="4" t="s">
        <v>80</v>
      </c>
      <c r="H1744" s="4" t="s">
        <v>263</v>
      </c>
    </row>
    <row r="1745" ht="15.75" customHeight="1">
      <c r="A1745" s="8"/>
      <c r="B1745" s="4" t="s">
        <v>4233</v>
      </c>
      <c r="C1745" s="5">
        <v>200000.0</v>
      </c>
      <c r="D1745" s="5">
        <v>0.0</v>
      </c>
      <c r="E1745" s="5">
        <f t="shared" si="2"/>
        <v>3491000</v>
      </c>
      <c r="F1745" s="4" t="s">
        <v>18</v>
      </c>
      <c r="G1745" s="4" t="s">
        <v>80</v>
      </c>
      <c r="H1745" s="4" t="s">
        <v>263</v>
      </c>
    </row>
    <row r="1746" ht="15.75" customHeight="1">
      <c r="A1746" s="8"/>
      <c r="B1746" s="4" t="s">
        <v>4234</v>
      </c>
      <c r="C1746" s="5">
        <v>134000.0</v>
      </c>
      <c r="D1746" s="5">
        <v>0.0</v>
      </c>
      <c r="E1746" s="5">
        <f t="shared" si="2"/>
        <v>3357000</v>
      </c>
      <c r="F1746" s="4" t="s">
        <v>18</v>
      </c>
      <c r="G1746" s="4" t="s">
        <v>80</v>
      </c>
      <c r="H1746" s="4" t="s">
        <v>263</v>
      </c>
    </row>
    <row r="1747" ht="15.75" customHeight="1">
      <c r="A1747" s="8"/>
      <c r="B1747" s="4" t="s">
        <v>4235</v>
      </c>
      <c r="C1747" s="5">
        <v>150000.0</v>
      </c>
      <c r="D1747" s="5">
        <v>0.0</v>
      </c>
      <c r="E1747" s="5">
        <f t="shared" si="2"/>
        <v>3207000</v>
      </c>
      <c r="F1747" s="4" t="s">
        <v>18</v>
      </c>
      <c r="G1747" s="4" t="s">
        <v>80</v>
      </c>
      <c r="H1747" s="4" t="s">
        <v>263</v>
      </c>
    </row>
    <row r="1748" ht="15.75" customHeight="1">
      <c r="A1748" s="8"/>
      <c r="B1748" s="4" t="s">
        <v>4236</v>
      </c>
      <c r="C1748" s="5">
        <v>7000.0</v>
      </c>
      <c r="D1748" s="5">
        <v>0.0</v>
      </c>
      <c r="E1748" s="5">
        <f t="shared" si="2"/>
        <v>3200000</v>
      </c>
      <c r="F1748" s="4" t="s">
        <v>18</v>
      </c>
      <c r="G1748" s="4" t="s">
        <v>80</v>
      </c>
      <c r="H1748" s="4" t="s">
        <v>263</v>
      </c>
    </row>
    <row r="1749" ht="15.75" customHeight="1">
      <c r="A1749" s="8"/>
      <c r="B1749" s="4" t="s">
        <v>4237</v>
      </c>
      <c r="C1749" s="5">
        <v>27000.0</v>
      </c>
      <c r="D1749" s="5">
        <v>0.0</v>
      </c>
      <c r="E1749" s="5">
        <f t="shared" si="2"/>
        <v>3173000</v>
      </c>
      <c r="F1749" s="4" t="s">
        <v>18</v>
      </c>
      <c r="G1749" s="4" t="s">
        <v>80</v>
      </c>
      <c r="H1749" s="4" t="s">
        <v>263</v>
      </c>
    </row>
    <row r="1750" ht="15.75" customHeight="1">
      <c r="A1750" s="8"/>
      <c r="B1750" s="4" t="s">
        <v>4238</v>
      </c>
      <c r="C1750" s="5">
        <v>27000.0</v>
      </c>
      <c r="D1750" s="5">
        <v>0.0</v>
      </c>
      <c r="E1750" s="5">
        <f t="shared" si="2"/>
        <v>3146000</v>
      </c>
      <c r="F1750" s="4" t="s">
        <v>18</v>
      </c>
      <c r="G1750" s="4" t="s">
        <v>80</v>
      </c>
      <c r="H1750" s="4" t="s">
        <v>263</v>
      </c>
    </row>
    <row r="1751" ht="15.75" customHeight="1">
      <c r="A1751" s="8">
        <v>46027.0</v>
      </c>
      <c r="B1751" s="4" t="s">
        <v>35</v>
      </c>
      <c r="C1751" s="5">
        <v>3146000.0</v>
      </c>
      <c r="D1751" s="5">
        <v>0.0</v>
      </c>
      <c r="E1751" s="5">
        <f t="shared" si="2"/>
        <v>0</v>
      </c>
      <c r="F1751" s="4" t="s">
        <v>21</v>
      </c>
      <c r="G1751" s="4" t="s">
        <v>41</v>
      </c>
      <c r="H1751" s="4" t="s">
        <v>4224</v>
      </c>
    </row>
    <row r="1752" ht="15.75" customHeight="1">
      <c r="A1752" s="8">
        <v>46045.0</v>
      </c>
      <c r="B1752" s="4" t="s">
        <v>445</v>
      </c>
      <c r="C1752" s="5">
        <v>0.0</v>
      </c>
      <c r="D1752" s="5">
        <v>2.5E8</v>
      </c>
      <c r="E1752" s="5">
        <f t="shared" si="2"/>
        <v>250000000</v>
      </c>
      <c r="F1752" s="4" t="s">
        <v>21</v>
      </c>
      <c r="G1752" s="4" t="s">
        <v>448</v>
      </c>
      <c r="H1752" s="4" t="s">
        <v>123</v>
      </c>
    </row>
    <row r="1753" ht="15.75" customHeight="1">
      <c r="A1753" s="8"/>
      <c r="B1753" s="4" t="s">
        <v>4239</v>
      </c>
      <c r="C1753" s="5">
        <v>2.0E7</v>
      </c>
      <c r="D1753" s="5">
        <v>0.0</v>
      </c>
      <c r="E1753" s="5">
        <f t="shared" si="2"/>
        <v>230000000</v>
      </c>
      <c r="F1753" s="14" t="s">
        <v>2464</v>
      </c>
      <c r="G1753" s="14" t="s">
        <v>59</v>
      </c>
      <c r="H1753" s="14" t="s">
        <v>238</v>
      </c>
    </row>
    <row r="1754" ht="15.75" customHeight="1">
      <c r="A1754" s="8"/>
      <c r="B1754" s="4" t="s">
        <v>4240</v>
      </c>
      <c r="C1754" s="5">
        <v>6.0E7</v>
      </c>
      <c r="D1754" s="5">
        <v>0.0</v>
      </c>
      <c r="E1754" s="5">
        <f t="shared" si="2"/>
        <v>170000000</v>
      </c>
      <c r="F1754" s="14" t="s">
        <v>2464</v>
      </c>
      <c r="G1754" s="14" t="s">
        <v>59</v>
      </c>
      <c r="H1754" s="14" t="s">
        <v>238</v>
      </c>
    </row>
    <row r="1755" ht="15.75" customHeight="1">
      <c r="A1755" s="8"/>
      <c r="B1755" s="4" t="s">
        <v>4241</v>
      </c>
      <c r="C1755" s="5">
        <v>1.1E8</v>
      </c>
      <c r="D1755" s="5">
        <v>0.0</v>
      </c>
      <c r="E1755" s="5">
        <f t="shared" si="2"/>
        <v>60000000</v>
      </c>
      <c r="F1755" s="14" t="s">
        <v>2464</v>
      </c>
      <c r="G1755" s="14" t="s">
        <v>59</v>
      </c>
      <c r="H1755" s="14" t="s">
        <v>238</v>
      </c>
    </row>
    <row r="1756" ht="15.75" customHeight="1">
      <c r="A1756" s="8"/>
      <c r="B1756" s="4" t="s">
        <v>4242</v>
      </c>
      <c r="C1756" s="5">
        <v>5000000.0</v>
      </c>
      <c r="D1756" s="5">
        <v>0.0</v>
      </c>
      <c r="E1756" s="5">
        <f t="shared" si="2"/>
        <v>55000000</v>
      </c>
      <c r="F1756" s="14" t="s">
        <v>2464</v>
      </c>
      <c r="G1756" s="14" t="s">
        <v>59</v>
      </c>
      <c r="H1756" s="14" t="s">
        <v>238</v>
      </c>
    </row>
    <row r="1757" ht="15.75" customHeight="1">
      <c r="A1757" s="8"/>
      <c r="B1757" s="4" t="s">
        <v>4243</v>
      </c>
      <c r="C1757" s="5">
        <v>6720000.0</v>
      </c>
      <c r="D1757" s="5">
        <v>0.0</v>
      </c>
      <c r="E1757" s="5">
        <f t="shared" si="2"/>
        <v>48280000</v>
      </c>
      <c r="F1757" s="14" t="s">
        <v>2464</v>
      </c>
      <c r="G1757" s="14" t="s">
        <v>59</v>
      </c>
      <c r="H1757" s="14" t="s">
        <v>238</v>
      </c>
    </row>
    <row r="1758" ht="15.75" customHeight="1">
      <c r="A1758" s="8"/>
      <c r="B1758" s="4" t="s">
        <v>4244</v>
      </c>
      <c r="C1758" s="5">
        <v>3810000.0</v>
      </c>
      <c r="D1758" s="5">
        <v>0.0</v>
      </c>
      <c r="E1758" s="5">
        <f t="shared" si="2"/>
        <v>44470000</v>
      </c>
      <c r="F1758" s="14" t="s">
        <v>2464</v>
      </c>
      <c r="G1758" s="14" t="s">
        <v>59</v>
      </c>
      <c r="H1758" s="14" t="s">
        <v>238</v>
      </c>
    </row>
    <row r="1759" ht="15.75" customHeight="1">
      <c r="A1759" s="8"/>
      <c r="B1759" s="4" t="s">
        <v>4245</v>
      </c>
      <c r="C1759" s="5">
        <v>300000.0</v>
      </c>
      <c r="D1759" s="5">
        <v>0.0</v>
      </c>
      <c r="E1759" s="5">
        <f t="shared" si="2"/>
        <v>44170000</v>
      </c>
      <c r="F1759" s="14" t="s">
        <v>2464</v>
      </c>
      <c r="G1759" s="14" t="s">
        <v>59</v>
      </c>
      <c r="H1759" s="14" t="s">
        <v>238</v>
      </c>
    </row>
    <row r="1760" ht="15.75" customHeight="1">
      <c r="A1760" s="8"/>
      <c r="B1760" s="4" t="s">
        <v>4246</v>
      </c>
      <c r="C1760" s="5">
        <v>454000.0</v>
      </c>
      <c r="D1760" s="5">
        <v>0.0</v>
      </c>
      <c r="E1760" s="5">
        <f t="shared" si="2"/>
        <v>43716000</v>
      </c>
      <c r="F1760" s="14" t="s">
        <v>2464</v>
      </c>
      <c r="G1760" s="14" t="s">
        <v>59</v>
      </c>
      <c r="H1760" s="14" t="s">
        <v>238</v>
      </c>
    </row>
    <row r="1761" ht="15.75" customHeight="1">
      <c r="A1761" s="8"/>
      <c r="B1761" s="4" t="s">
        <v>4247</v>
      </c>
      <c r="C1761" s="5">
        <v>3.5E7</v>
      </c>
      <c r="D1761" s="5">
        <v>0.0</v>
      </c>
      <c r="E1761" s="5">
        <f t="shared" si="2"/>
        <v>8716000</v>
      </c>
      <c r="F1761" s="14" t="s">
        <v>2464</v>
      </c>
      <c r="G1761" s="14" t="s">
        <v>59</v>
      </c>
      <c r="H1761" s="14" t="s">
        <v>238</v>
      </c>
    </row>
    <row r="1762" ht="15.75" customHeight="1">
      <c r="A1762" s="8"/>
      <c r="B1762" s="4" t="s">
        <v>2654</v>
      </c>
      <c r="C1762" s="5">
        <v>200000.0</v>
      </c>
      <c r="D1762" s="5">
        <v>0.0</v>
      </c>
      <c r="E1762" s="5">
        <f t="shared" si="2"/>
        <v>8516000</v>
      </c>
      <c r="F1762" s="14" t="s">
        <v>2464</v>
      </c>
      <c r="G1762" s="14" t="s">
        <v>59</v>
      </c>
      <c r="H1762" s="14" t="s">
        <v>238</v>
      </c>
    </row>
    <row r="1763" ht="15.75" customHeight="1">
      <c r="A1763" s="8"/>
      <c r="B1763" s="4" t="s">
        <v>4248</v>
      </c>
      <c r="C1763" s="5">
        <v>8516000.0</v>
      </c>
      <c r="D1763" s="5">
        <v>0.0</v>
      </c>
      <c r="E1763" s="5">
        <f t="shared" si="2"/>
        <v>0</v>
      </c>
      <c r="F1763" s="4" t="s">
        <v>21</v>
      </c>
      <c r="G1763" s="4" t="s">
        <v>122</v>
      </c>
      <c r="H1763" s="4" t="s">
        <v>123</v>
      </c>
    </row>
    <row r="1764" ht="15.75" customHeight="1">
      <c r="A1764" s="8">
        <v>46051.0</v>
      </c>
      <c r="B1764" s="4" t="s">
        <v>414</v>
      </c>
      <c r="C1764" s="5">
        <v>0.0</v>
      </c>
      <c r="D1764" s="5">
        <v>7000000.0</v>
      </c>
      <c r="E1764" s="5">
        <f t="shared" si="2"/>
        <v>7000000</v>
      </c>
      <c r="F1764" s="4" t="s">
        <v>21</v>
      </c>
      <c r="G1764" s="4" t="s">
        <v>184</v>
      </c>
      <c r="H1764" s="4" t="s">
        <v>4249</v>
      </c>
    </row>
    <row r="1765" ht="15.75" customHeight="1">
      <c r="A1765" s="8"/>
      <c r="B1765" s="4" t="s">
        <v>4250</v>
      </c>
      <c r="C1765" s="5">
        <v>275000.0</v>
      </c>
      <c r="D1765" s="5">
        <v>0.0</v>
      </c>
      <c r="E1765" s="5">
        <f t="shared" si="2"/>
        <v>6725000</v>
      </c>
      <c r="F1765" s="4" t="s">
        <v>2464</v>
      </c>
      <c r="G1765" s="4" t="s">
        <v>59</v>
      </c>
      <c r="H1765" s="4" t="s">
        <v>319</v>
      </c>
    </row>
    <row r="1766" ht="15.75" customHeight="1">
      <c r="A1766" s="8"/>
      <c r="B1766" s="4" t="s">
        <v>4251</v>
      </c>
      <c r="C1766" s="5">
        <v>77000.0</v>
      </c>
      <c r="D1766" s="5">
        <v>0.0</v>
      </c>
      <c r="E1766" s="5">
        <f t="shared" si="2"/>
        <v>6648000</v>
      </c>
      <c r="F1766" s="4" t="s">
        <v>2464</v>
      </c>
      <c r="G1766" s="4" t="s">
        <v>59</v>
      </c>
      <c r="H1766" s="4" t="s">
        <v>319</v>
      </c>
    </row>
    <row r="1767" ht="15.75" customHeight="1">
      <c r="A1767" s="8"/>
      <c r="B1767" s="4" t="s">
        <v>4252</v>
      </c>
      <c r="C1767" s="5">
        <v>275000.0</v>
      </c>
      <c r="D1767" s="5">
        <v>0.0</v>
      </c>
      <c r="E1767" s="5">
        <f t="shared" si="2"/>
        <v>6373000</v>
      </c>
      <c r="F1767" s="4" t="s">
        <v>2464</v>
      </c>
      <c r="G1767" s="4" t="s">
        <v>59</v>
      </c>
      <c r="H1767" s="4" t="s">
        <v>234</v>
      </c>
    </row>
    <row r="1768" ht="15.75" customHeight="1">
      <c r="A1768" s="8"/>
      <c r="B1768" s="4" t="s">
        <v>4253</v>
      </c>
      <c r="C1768" s="5">
        <v>60000.0</v>
      </c>
      <c r="D1768" s="5">
        <v>0.0</v>
      </c>
      <c r="E1768" s="5">
        <f t="shared" si="2"/>
        <v>6313000</v>
      </c>
      <c r="F1768" s="4" t="s">
        <v>2464</v>
      </c>
      <c r="G1768" s="4" t="s">
        <v>59</v>
      </c>
      <c r="H1768" s="4" t="s">
        <v>319</v>
      </c>
    </row>
    <row r="1769" ht="15.75" customHeight="1">
      <c r="A1769" s="8"/>
      <c r="B1769" s="4" t="s">
        <v>4254</v>
      </c>
      <c r="C1769" s="5">
        <v>30500.0</v>
      </c>
      <c r="D1769" s="5">
        <v>0.0</v>
      </c>
      <c r="E1769" s="5">
        <f t="shared" si="2"/>
        <v>6282500</v>
      </c>
      <c r="F1769" s="4" t="s">
        <v>2464</v>
      </c>
      <c r="G1769" s="4" t="s">
        <v>59</v>
      </c>
      <c r="H1769" s="4" t="s">
        <v>319</v>
      </c>
    </row>
    <row r="1770" ht="15.75" customHeight="1">
      <c r="A1770" s="8"/>
      <c r="B1770" s="4" t="s">
        <v>4255</v>
      </c>
      <c r="C1770" s="5">
        <v>80000.0</v>
      </c>
      <c r="D1770" s="5">
        <v>0.0</v>
      </c>
      <c r="E1770" s="5">
        <f t="shared" si="2"/>
        <v>6202500</v>
      </c>
      <c r="F1770" s="4" t="s">
        <v>2464</v>
      </c>
      <c r="G1770" s="4" t="s">
        <v>59</v>
      </c>
      <c r="H1770" s="4" t="s">
        <v>319</v>
      </c>
    </row>
    <row r="1771" ht="15.75" customHeight="1">
      <c r="A1771" s="8"/>
      <c r="B1771" s="4" t="s">
        <v>4256</v>
      </c>
      <c r="C1771" s="5">
        <v>130000.0</v>
      </c>
      <c r="D1771" s="5">
        <v>0.0</v>
      </c>
      <c r="E1771" s="5">
        <f t="shared" si="2"/>
        <v>6072500</v>
      </c>
      <c r="F1771" s="4" t="s">
        <v>2464</v>
      </c>
      <c r="G1771" s="4" t="s">
        <v>59</v>
      </c>
      <c r="H1771" s="4" t="s">
        <v>319</v>
      </c>
    </row>
    <row r="1772" ht="15.75" customHeight="1">
      <c r="A1772" s="8"/>
      <c r="B1772" s="4" t="s">
        <v>4257</v>
      </c>
      <c r="C1772" s="5">
        <v>140000.0</v>
      </c>
      <c r="D1772" s="5">
        <v>0.0</v>
      </c>
      <c r="E1772" s="5">
        <f t="shared" si="2"/>
        <v>5932500</v>
      </c>
      <c r="F1772" s="4" t="s">
        <v>2464</v>
      </c>
      <c r="G1772" s="4" t="s">
        <v>59</v>
      </c>
      <c r="H1772" s="4" t="s">
        <v>319</v>
      </c>
    </row>
    <row r="1773" ht="15.75" customHeight="1">
      <c r="A1773" s="8"/>
      <c r="B1773" s="4" t="s">
        <v>4258</v>
      </c>
      <c r="C1773" s="5">
        <v>295000.0</v>
      </c>
      <c r="D1773" s="5">
        <v>0.0</v>
      </c>
      <c r="E1773" s="5">
        <f t="shared" si="2"/>
        <v>5637500</v>
      </c>
      <c r="F1773" s="4" t="s">
        <v>2464</v>
      </c>
      <c r="G1773" s="4" t="s">
        <v>59</v>
      </c>
      <c r="H1773" s="4" t="s">
        <v>319</v>
      </c>
    </row>
    <row r="1774" ht="15.75" customHeight="1">
      <c r="A1774" s="8"/>
      <c r="B1774" s="4" t="s">
        <v>4259</v>
      </c>
      <c r="C1774" s="5">
        <v>18500.0</v>
      </c>
      <c r="D1774" s="5">
        <v>0.0</v>
      </c>
      <c r="E1774" s="5">
        <f t="shared" si="2"/>
        <v>5619000</v>
      </c>
      <c r="F1774" s="4" t="s">
        <v>2464</v>
      </c>
      <c r="G1774" s="4" t="s">
        <v>59</v>
      </c>
      <c r="H1774" s="4" t="s">
        <v>319</v>
      </c>
    </row>
    <row r="1775" ht="15.75" customHeight="1">
      <c r="A1775" s="8"/>
      <c r="B1775" s="4" t="s">
        <v>4260</v>
      </c>
      <c r="C1775" s="5">
        <v>186300.0</v>
      </c>
      <c r="D1775" s="5">
        <v>0.0</v>
      </c>
      <c r="E1775" s="5">
        <f t="shared" si="2"/>
        <v>5432700</v>
      </c>
      <c r="F1775" s="4" t="s">
        <v>2464</v>
      </c>
      <c r="G1775" s="4" t="s">
        <v>59</v>
      </c>
      <c r="H1775" s="4" t="s">
        <v>319</v>
      </c>
    </row>
    <row r="1776" ht="15.75" customHeight="1">
      <c r="A1776" s="8"/>
      <c r="B1776" s="4" t="s">
        <v>4261</v>
      </c>
      <c r="C1776" s="5">
        <v>3500000.0</v>
      </c>
      <c r="D1776" s="5">
        <v>0.0</v>
      </c>
      <c r="E1776" s="5">
        <f t="shared" si="2"/>
        <v>1932700</v>
      </c>
      <c r="F1776" s="4" t="s">
        <v>2464</v>
      </c>
      <c r="G1776" s="4" t="s">
        <v>59</v>
      </c>
      <c r="H1776" s="4" t="s">
        <v>319</v>
      </c>
    </row>
    <row r="1777" ht="15.75" customHeight="1">
      <c r="A1777" s="8"/>
      <c r="B1777" s="4" t="s">
        <v>4262</v>
      </c>
      <c r="C1777" s="5">
        <v>46000.0</v>
      </c>
      <c r="D1777" s="5">
        <v>0.0</v>
      </c>
      <c r="E1777" s="5">
        <f t="shared" si="2"/>
        <v>1886700</v>
      </c>
      <c r="F1777" s="4" t="s">
        <v>2464</v>
      </c>
      <c r="G1777" s="4" t="s">
        <v>59</v>
      </c>
      <c r="H1777" s="4" t="s">
        <v>319</v>
      </c>
    </row>
    <row r="1778" ht="15.75" customHeight="1">
      <c r="A1778" s="8"/>
      <c r="B1778" s="4" t="s">
        <v>4263</v>
      </c>
      <c r="C1778" s="5">
        <v>32000.0</v>
      </c>
      <c r="D1778" s="5">
        <v>0.0</v>
      </c>
      <c r="E1778" s="5">
        <f t="shared" si="2"/>
        <v>1854700</v>
      </c>
      <c r="F1778" s="4" t="s">
        <v>2464</v>
      </c>
      <c r="G1778" s="4" t="s">
        <v>59</v>
      </c>
      <c r="H1778" s="4" t="s">
        <v>319</v>
      </c>
    </row>
    <row r="1779" ht="15.75" customHeight="1">
      <c r="A1779" s="8"/>
      <c r="B1779" s="4" t="s">
        <v>4264</v>
      </c>
      <c r="C1779" s="5">
        <v>21200.0</v>
      </c>
      <c r="D1779" s="5">
        <v>0.0</v>
      </c>
      <c r="E1779" s="5">
        <f t="shared" si="2"/>
        <v>1833500</v>
      </c>
      <c r="F1779" s="4" t="s">
        <v>2464</v>
      </c>
      <c r="G1779" s="4" t="s">
        <v>59</v>
      </c>
      <c r="H1779" s="4" t="s">
        <v>319</v>
      </c>
    </row>
    <row r="1780" ht="15.75" customHeight="1">
      <c r="A1780" s="8"/>
      <c r="B1780" s="4" t="s">
        <v>4263</v>
      </c>
      <c r="C1780" s="5">
        <v>17500.0</v>
      </c>
      <c r="D1780" s="5">
        <v>0.0</v>
      </c>
      <c r="E1780" s="5">
        <f t="shared" si="2"/>
        <v>1816000</v>
      </c>
      <c r="F1780" s="4" t="s">
        <v>2464</v>
      </c>
      <c r="G1780" s="4" t="s">
        <v>59</v>
      </c>
      <c r="H1780" s="4" t="s">
        <v>319</v>
      </c>
    </row>
    <row r="1781" ht="15.75" customHeight="1">
      <c r="A1781" s="8"/>
      <c r="B1781" s="4" t="s">
        <v>4265</v>
      </c>
      <c r="C1781" s="5">
        <v>200000.0</v>
      </c>
      <c r="D1781" s="5">
        <v>0.0</v>
      </c>
      <c r="E1781" s="5">
        <f t="shared" si="2"/>
        <v>1616000</v>
      </c>
      <c r="F1781" s="4" t="s">
        <v>2464</v>
      </c>
      <c r="G1781" s="4" t="s">
        <v>59</v>
      </c>
      <c r="H1781" s="4" t="s">
        <v>319</v>
      </c>
    </row>
    <row r="1782" ht="15.75" customHeight="1">
      <c r="A1782" s="8"/>
      <c r="B1782" s="4" t="s">
        <v>4266</v>
      </c>
      <c r="C1782" s="5">
        <v>21000.0</v>
      </c>
      <c r="D1782" s="5">
        <v>0.0</v>
      </c>
      <c r="E1782" s="5">
        <f t="shared" si="2"/>
        <v>1595000</v>
      </c>
      <c r="F1782" s="4" t="s">
        <v>2464</v>
      </c>
      <c r="G1782" s="4" t="s">
        <v>59</v>
      </c>
      <c r="H1782" s="4" t="s">
        <v>319</v>
      </c>
    </row>
    <row r="1783" ht="15.75" customHeight="1">
      <c r="A1783" s="8"/>
      <c r="B1783" s="4" t="s">
        <v>4267</v>
      </c>
      <c r="C1783" s="5">
        <v>92000.0</v>
      </c>
      <c r="D1783" s="5">
        <v>0.0</v>
      </c>
      <c r="E1783" s="5">
        <f t="shared" si="2"/>
        <v>1503000</v>
      </c>
      <c r="F1783" s="4" t="s">
        <v>2464</v>
      </c>
      <c r="G1783" s="4" t="s">
        <v>59</v>
      </c>
      <c r="H1783" s="4" t="s">
        <v>319</v>
      </c>
    </row>
    <row r="1784" ht="15.75" customHeight="1">
      <c r="A1784" s="8"/>
      <c r="B1784" s="4" t="s">
        <v>4268</v>
      </c>
      <c r="C1784" s="5">
        <v>44000.0</v>
      </c>
      <c r="D1784" s="5">
        <v>0.0</v>
      </c>
      <c r="E1784" s="5">
        <f t="shared" si="2"/>
        <v>1459000</v>
      </c>
      <c r="F1784" s="4" t="s">
        <v>2464</v>
      </c>
      <c r="G1784" s="4" t="s">
        <v>59</v>
      </c>
      <c r="H1784" s="4" t="s">
        <v>319</v>
      </c>
    </row>
    <row r="1785" ht="15.75" customHeight="1">
      <c r="A1785" s="8"/>
      <c r="B1785" s="4" t="s">
        <v>4269</v>
      </c>
      <c r="C1785" s="5">
        <v>195000.0</v>
      </c>
      <c r="D1785" s="5">
        <v>0.0</v>
      </c>
      <c r="E1785" s="5">
        <f t="shared" si="2"/>
        <v>1264000</v>
      </c>
      <c r="F1785" s="4" t="s">
        <v>2464</v>
      </c>
      <c r="G1785" s="4" t="s">
        <v>59</v>
      </c>
      <c r="H1785" s="4" t="s">
        <v>319</v>
      </c>
    </row>
    <row r="1786" ht="15.75" customHeight="1">
      <c r="A1786" s="8"/>
      <c r="B1786" s="4" t="s">
        <v>4270</v>
      </c>
      <c r="C1786" s="5">
        <v>100000.0</v>
      </c>
      <c r="D1786" s="5">
        <v>0.0</v>
      </c>
      <c r="E1786" s="5">
        <f t="shared" si="2"/>
        <v>1164000</v>
      </c>
      <c r="F1786" s="4" t="s">
        <v>2464</v>
      </c>
      <c r="G1786" s="4" t="s">
        <v>59</v>
      </c>
      <c r="H1786" s="4" t="s">
        <v>319</v>
      </c>
    </row>
    <row r="1787" ht="15.75" customHeight="1">
      <c r="A1787" s="8"/>
      <c r="B1787" s="4" t="s">
        <v>4271</v>
      </c>
      <c r="C1787" s="5">
        <v>44000.0</v>
      </c>
      <c r="D1787" s="5">
        <v>0.0</v>
      </c>
      <c r="E1787" s="5">
        <f t="shared" si="2"/>
        <v>1120000</v>
      </c>
      <c r="F1787" s="4" t="s">
        <v>2464</v>
      </c>
      <c r="G1787" s="4" t="s">
        <v>59</v>
      </c>
      <c r="H1787" s="4" t="s">
        <v>319</v>
      </c>
    </row>
    <row r="1788" ht="15.75" customHeight="1">
      <c r="A1788" s="8"/>
      <c r="B1788" s="4" t="s">
        <v>4272</v>
      </c>
      <c r="C1788" s="5">
        <v>50000.0</v>
      </c>
      <c r="D1788" s="5">
        <v>0.0</v>
      </c>
      <c r="E1788" s="5">
        <f t="shared" si="2"/>
        <v>1070000</v>
      </c>
      <c r="F1788" s="4" t="s">
        <v>2464</v>
      </c>
      <c r="G1788" s="4" t="s">
        <v>59</v>
      </c>
      <c r="H1788" s="4" t="s">
        <v>314</v>
      </c>
    </row>
    <row r="1789" ht="15.75" customHeight="1">
      <c r="A1789" s="8"/>
      <c r="B1789" s="4" t="s">
        <v>4273</v>
      </c>
      <c r="C1789" s="5">
        <v>25000.0</v>
      </c>
      <c r="D1789" s="5">
        <v>0.0</v>
      </c>
      <c r="E1789" s="5">
        <f t="shared" si="2"/>
        <v>1045000</v>
      </c>
      <c r="F1789" s="4" t="s">
        <v>2464</v>
      </c>
      <c r="G1789" s="4" t="s">
        <v>59</v>
      </c>
      <c r="H1789" s="4" t="s">
        <v>314</v>
      </c>
    </row>
    <row r="1790" ht="15.75" customHeight="1">
      <c r="A1790" s="8"/>
      <c r="B1790" s="4" t="s">
        <v>4274</v>
      </c>
      <c r="C1790" s="5">
        <v>18500.0</v>
      </c>
      <c r="D1790" s="5">
        <v>0.0</v>
      </c>
      <c r="E1790" s="5">
        <f t="shared" si="2"/>
        <v>1026500</v>
      </c>
      <c r="F1790" s="4" t="s">
        <v>2464</v>
      </c>
      <c r="G1790" s="4" t="s">
        <v>59</v>
      </c>
      <c r="H1790" s="4" t="s">
        <v>314</v>
      </c>
    </row>
    <row r="1791" ht="15.75" customHeight="1">
      <c r="A1791" s="8"/>
      <c r="B1791" s="4" t="s">
        <v>4275</v>
      </c>
      <c r="C1791" s="5">
        <v>50000.0</v>
      </c>
      <c r="D1791" s="5">
        <v>0.0</v>
      </c>
      <c r="E1791" s="5">
        <f t="shared" si="2"/>
        <v>976500</v>
      </c>
      <c r="F1791" s="4" t="s">
        <v>2464</v>
      </c>
      <c r="G1791" s="4" t="s">
        <v>59</v>
      </c>
      <c r="H1791" s="4" t="s">
        <v>314</v>
      </c>
    </row>
    <row r="1792" ht="15.75" customHeight="1">
      <c r="A1792" s="8"/>
      <c r="B1792" s="4" t="s">
        <v>4276</v>
      </c>
      <c r="C1792" s="5">
        <v>142100.0</v>
      </c>
      <c r="D1792" s="5">
        <v>0.0</v>
      </c>
      <c r="E1792" s="5">
        <f t="shared" si="2"/>
        <v>834400</v>
      </c>
      <c r="F1792" s="4" t="s">
        <v>2464</v>
      </c>
      <c r="G1792" s="4" t="s">
        <v>59</v>
      </c>
      <c r="H1792" s="4" t="s">
        <v>314</v>
      </c>
    </row>
    <row r="1793" ht="15.75" customHeight="1">
      <c r="A1793" s="8"/>
      <c r="B1793" s="4" t="s">
        <v>4277</v>
      </c>
      <c r="C1793" s="5">
        <v>120000.0</v>
      </c>
      <c r="D1793" s="5">
        <v>0.0</v>
      </c>
      <c r="E1793" s="5">
        <f t="shared" si="2"/>
        <v>714400</v>
      </c>
      <c r="F1793" s="4" t="s">
        <v>2464</v>
      </c>
      <c r="G1793" s="4" t="s">
        <v>59</v>
      </c>
      <c r="H1793" s="4" t="s">
        <v>314</v>
      </c>
    </row>
    <row r="1794" ht="15.75" customHeight="1">
      <c r="A1794" s="8"/>
      <c r="B1794" s="4" t="s">
        <v>4278</v>
      </c>
      <c r="C1794" s="5">
        <v>13000.0</v>
      </c>
      <c r="D1794" s="5">
        <v>0.0</v>
      </c>
      <c r="E1794" s="5">
        <f t="shared" si="2"/>
        <v>701400</v>
      </c>
      <c r="F1794" s="4" t="s">
        <v>2464</v>
      </c>
      <c r="G1794" s="4" t="s">
        <v>59</v>
      </c>
      <c r="H1794" s="4" t="s">
        <v>314</v>
      </c>
    </row>
    <row r="1795" ht="15.75" customHeight="1">
      <c r="A1795" s="8"/>
      <c r="B1795" s="4" t="s">
        <v>4279</v>
      </c>
      <c r="C1795" s="5">
        <v>260500.0</v>
      </c>
      <c r="D1795" s="5">
        <v>0.0</v>
      </c>
      <c r="E1795" s="5">
        <f t="shared" si="2"/>
        <v>440900</v>
      </c>
      <c r="F1795" s="4" t="s">
        <v>2464</v>
      </c>
      <c r="G1795" s="4" t="s">
        <v>59</v>
      </c>
      <c r="H1795" s="4" t="s">
        <v>314</v>
      </c>
    </row>
    <row r="1796" ht="15.75" customHeight="1">
      <c r="A1796" s="8"/>
      <c r="B1796" s="4" t="s">
        <v>4280</v>
      </c>
      <c r="C1796" s="5">
        <v>73000.0</v>
      </c>
      <c r="D1796" s="5">
        <v>0.0</v>
      </c>
      <c r="E1796" s="5">
        <f t="shared" si="2"/>
        <v>367900</v>
      </c>
      <c r="F1796" s="4" t="s">
        <v>2464</v>
      </c>
      <c r="G1796" s="4" t="s">
        <v>59</v>
      </c>
      <c r="H1796" s="4" t="s">
        <v>314</v>
      </c>
    </row>
    <row r="1797" ht="15.75" customHeight="1">
      <c r="A1797" s="8"/>
      <c r="B1797" s="4" t="s">
        <v>4281</v>
      </c>
      <c r="C1797" s="5">
        <v>367900.0</v>
      </c>
      <c r="D1797" s="5">
        <v>0.0</v>
      </c>
      <c r="E1797" s="5">
        <f t="shared" si="2"/>
        <v>0</v>
      </c>
      <c r="F1797" s="4" t="s">
        <v>21</v>
      </c>
      <c r="G1797" s="4" t="s">
        <v>41</v>
      </c>
      <c r="H1797" s="4" t="s">
        <v>4249</v>
      </c>
    </row>
    <row r="1798" ht="15.75" customHeight="1">
      <c r="A1798" s="8">
        <v>46051.0</v>
      </c>
      <c r="B1798" s="4" t="s">
        <v>530</v>
      </c>
      <c r="C1798" s="5">
        <v>0.0</v>
      </c>
      <c r="D1798" s="5">
        <v>3.0E8</v>
      </c>
      <c r="E1798" s="5">
        <f t="shared" si="2"/>
        <v>300000000</v>
      </c>
      <c r="F1798" s="4" t="s">
        <v>21</v>
      </c>
      <c r="G1798" s="4" t="s">
        <v>448</v>
      </c>
      <c r="H1798" s="4" t="s">
        <v>131</v>
      </c>
    </row>
    <row r="1799" ht="15.75" customHeight="1">
      <c r="A1799" s="8"/>
      <c r="B1799" s="4" t="s">
        <v>4282</v>
      </c>
      <c r="C1799" s="5">
        <v>1.95E7</v>
      </c>
      <c r="D1799" s="5">
        <v>0.0</v>
      </c>
      <c r="E1799" s="5">
        <f t="shared" si="2"/>
        <v>280500000</v>
      </c>
      <c r="F1799" s="4" t="s">
        <v>2464</v>
      </c>
      <c r="G1799" s="4" t="s">
        <v>59</v>
      </c>
      <c r="H1799" s="4" t="s">
        <v>234</v>
      </c>
    </row>
    <row r="1800" ht="15.75" customHeight="1">
      <c r="A1800" s="8"/>
      <c r="B1800" s="4" t="s">
        <v>4283</v>
      </c>
      <c r="C1800" s="5">
        <v>1.9E8</v>
      </c>
      <c r="D1800" s="5">
        <v>0.0</v>
      </c>
      <c r="E1800" s="5">
        <f t="shared" si="2"/>
        <v>90500000</v>
      </c>
      <c r="F1800" s="4" t="s">
        <v>2464</v>
      </c>
      <c r="G1800" s="4" t="s">
        <v>59</v>
      </c>
      <c r="H1800" s="4" t="s">
        <v>234</v>
      </c>
    </row>
    <row r="1801" ht="15.75" customHeight="1">
      <c r="A1801" s="8"/>
      <c r="B1801" s="4" t="s">
        <v>4284</v>
      </c>
      <c r="C1801" s="5">
        <v>3000000.0</v>
      </c>
      <c r="D1801" s="5">
        <v>0.0</v>
      </c>
      <c r="E1801" s="5">
        <f t="shared" si="2"/>
        <v>87500000</v>
      </c>
      <c r="F1801" s="4" t="s">
        <v>2464</v>
      </c>
      <c r="G1801" s="4" t="s">
        <v>59</v>
      </c>
      <c r="H1801" s="4" t="s">
        <v>234</v>
      </c>
    </row>
    <row r="1802" ht="15.75" customHeight="1">
      <c r="A1802" s="8"/>
      <c r="B1802" s="4" t="s">
        <v>4285</v>
      </c>
      <c r="C1802" s="5">
        <v>4000000.0</v>
      </c>
      <c r="D1802" s="5">
        <v>0.0</v>
      </c>
      <c r="E1802" s="5">
        <f t="shared" si="2"/>
        <v>83500000</v>
      </c>
      <c r="F1802" s="4" t="s">
        <v>2464</v>
      </c>
      <c r="G1802" s="4" t="s">
        <v>59</v>
      </c>
      <c r="H1802" s="4" t="s">
        <v>234</v>
      </c>
    </row>
    <row r="1803" ht="15.75" customHeight="1">
      <c r="A1803" s="8"/>
      <c r="B1803" s="4" t="s">
        <v>4286</v>
      </c>
      <c r="C1803" s="5">
        <v>3000000.0</v>
      </c>
      <c r="D1803" s="5">
        <v>0.0</v>
      </c>
      <c r="E1803" s="5">
        <f t="shared" si="2"/>
        <v>80500000</v>
      </c>
      <c r="F1803" s="4" t="s">
        <v>2464</v>
      </c>
      <c r="G1803" s="4" t="s">
        <v>59</v>
      </c>
      <c r="H1803" s="4" t="s">
        <v>234</v>
      </c>
    </row>
    <row r="1804" ht="15.75" customHeight="1">
      <c r="A1804" s="8"/>
      <c r="B1804" s="4" t="s">
        <v>2530</v>
      </c>
      <c r="C1804" s="5">
        <v>300000.0</v>
      </c>
      <c r="D1804" s="5">
        <v>0.0</v>
      </c>
      <c r="E1804" s="5">
        <f t="shared" si="2"/>
        <v>80200000</v>
      </c>
      <c r="F1804" s="4" t="s">
        <v>2464</v>
      </c>
      <c r="G1804" s="4" t="s">
        <v>59</v>
      </c>
      <c r="H1804" s="4" t="s">
        <v>234</v>
      </c>
    </row>
    <row r="1805" ht="15.75" customHeight="1">
      <c r="A1805" s="8"/>
      <c r="B1805" s="4" t="s">
        <v>4287</v>
      </c>
      <c r="C1805" s="5">
        <v>9475000.0</v>
      </c>
      <c r="D1805" s="5">
        <v>0.0</v>
      </c>
      <c r="E1805" s="5">
        <f t="shared" si="2"/>
        <v>70725000</v>
      </c>
      <c r="F1805" s="4" t="s">
        <v>2464</v>
      </c>
      <c r="G1805" s="4" t="s">
        <v>59</v>
      </c>
      <c r="H1805" s="4" t="s">
        <v>234</v>
      </c>
    </row>
    <row r="1806" ht="15.75" customHeight="1">
      <c r="A1806" s="8"/>
      <c r="B1806" s="4" t="s">
        <v>4288</v>
      </c>
      <c r="C1806" s="5">
        <v>4.0E7</v>
      </c>
      <c r="D1806" s="5">
        <v>0.0</v>
      </c>
      <c r="E1806" s="5">
        <f t="shared" si="2"/>
        <v>30725000</v>
      </c>
      <c r="F1806" s="4" t="s">
        <v>2464</v>
      </c>
      <c r="G1806" s="4" t="s">
        <v>59</v>
      </c>
      <c r="H1806" s="4" t="s">
        <v>234</v>
      </c>
    </row>
    <row r="1807" ht="15.75" customHeight="1">
      <c r="A1807" s="8"/>
      <c r="B1807" s="4" t="s">
        <v>4289</v>
      </c>
      <c r="C1807" s="5">
        <v>200000.0</v>
      </c>
      <c r="D1807" s="5">
        <v>0.0</v>
      </c>
      <c r="E1807" s="5">
        <f t="shared" si="2"/>
        <v>30525000</v>
      </c>
      <c r="F1807" s="4" t="s">
        <v>2464</v>
      </c>
      <c r="G1807" s="4" t="s">
        <v>59</v>
      </c>
      <c r="H1807" s="4" t="s">
        <v>234</v>
      </c>
    </row>
    <row r="1808" ht="15.75" customHeight="1">
      <c r="A1808" s="8"/>
      <c r="B1808" s="4" t="s">
        <v>4248</v>
      </c>
      <c r="C1808" s="5">
        <v>3.0525E7</v>
      </c>
      <c r="D1808" s="5">
        <v>0.0</v>
      </c>
      <c r="E1808" s="5">
        <f t="shared" si="2"/>
        <v>0</v>
      </c>
      <c r="F1808" s="4" t="s">
        <v>21</v>
      </c>
      <c r="G1808" s="4" t="s">
        <v>122</v>
      </c>
      <c r="H1808" s="4" t="s">
        <v>131</v>
      </c>
    </row>
    <row r="1809" ht="15.75" customHeight="1">
      <c r="A1809" s="8">
        <v>46051.0</v>
      </c>
      <c r="B1809" s="4" t="s">
        <v>407</v>
      </c>
      <c r="C1809" s="5">
        <v>0.0</v>
      </c>
      <c r="D1809" s="5">
        <v>5500000.0</v>
      </c>
      <c r="E1809" s="5">
        <f t="shared" si="2"/>
        <v>5500000</v>
      </c>
      <c r="F1809" s="4" t="s">
        <v>21</v>
      </c>
      <c r="G1809" s="4" t="s">
        <v>184</v>
      </c>
      <c r="H1809" s="4" t="s">
        <v>4290</v>
      </c>
    </row>
    <row r="1810" ht="15.75" customHeight="1">
      <c r="A1810" s="8"/>
      <c r="B1810" s="4" t="s">
        <v>4291</v>
      </c>
      <c r="C1810" s="5">
        <v>4717000.0</v>
      </c>
      <c r="D1810" s="5">
        <v>0.0</v>
      </c>
      <c r="E1810" s="5">
        <f t="shared" si="2"/>
        <v>783000</v>
      </c>
      <c r="F1810" s="4" t="s">
        <v>18</v>
      </c>
      <c r="G1810" s="4" t="s">
        <v>80</v>
      </c>
      <c r="H1810" s="4" t="s">
        <v>324</v>
      </c>
    </row>
    <row r="1811" ht="15.75" customHeight="1">
      <c r="A1811" s="8"/>
      <c r="B1811" s="4" t="s">
        <v>4292</v>
      </c>
      <c r="C1811" s="5">
        <v>170000.0</v>
      </c>
      <c r="D1811" s="5">
        <v>0.0</v>
      </c>
      <c r="E1811" s="5">
        <f t="shared" si="2"/>
        <v>613000</v>
      </c>
      <c r="F1811" s="4" t="s">
        <v>18</v>
      </c>
      <c r="G1811" s="4" t="s">
        <v>80</v>
      </c>
      <c r="H1811" s="4" t="s">
        <v>324</v>
      </c>
    </row>
    <row r="1812" ht="15.75" customHeight="1">
      <c r="A1812" s="8"/>
      <c r="B1812" s="4" t="s">
        <v>4293</v>
      </c>
      <c r="C1812" s="5">
        <v>613000.0</v>
      </c>
      <c r="D1812" s="5">
        <v>0.0</v>
      </c>
      <c r="E1812" s="5">
        <f t="shared" si="2"/>
        <v>0</v>
      </c>
      <c r="F1812" s="4" t="s">
        <v>21</v>
      </c>
      <c r="G1812" s="4" t="s">
        <v>41</v>
      </c>
      <c r="H1812" s="4" t="s">
        <v>4290</v>
      </c>
    </row>
    <row r="1813" ht="15.75" customHeight="1">
      <c r="A1813" s="8">
        <v>46057.0</v>
      </c>
      <c r="B1813" s="4" t="s">
        <v>534</v>
      </c>
      <c r="C1813" s="5">
        <v>0.0</v>
      </c>
      <c r="D1813" s="5">
        <v>1.9E7</v>
      </c>
      <c r="E1813" s="5">
        <f t="shared" si="2"/>
        <v>19000000</v>
      </c>
      <c r="F1813" s="4" t="s">
        <v>21</v>
      </c>
      <c r="G1813" s="4" t="s">
        <v>184</v>
      </c>
      <c r="H1813" s="4" t="s">
        <v>4294</v>
      </c>
    </row>
    <row r="1814" ht="15.75" customHeight="1">
      <c r="A1814" s="8"/>
      <c r="B1814" s="4" t="s">
        <v>4295</v>
      </c>
      <c r="C1814" s="5">
        <v>800000.0</v>
      </c>
      <c r="D1814" s="5">
        <v>0.0</v>
      </c>
      <c r="E1814" s="5">
        <f t="shared" si="2"/>
        <v>18200000</v>
      </c>
      <c r="F1814" s="4" t="s">
        <v>2464</v>
      </c>
      <c r="G1814" s="4" t="s">
        <v>59</v>
      </c>
      <c r="H1814" s="4" t="s">
        <v>226</v>
      </c>
    </row>
    <row r="1815" ht="15.75" customHeight="1">
      <c r="A1815" s="8"/>
      <c r="B1815" s="4" t="s">
        <v>4296</v>
      </c>
      <c r="C1815" s="5">
        <v>2500.0</v>
      </c>
      <c r="D1815" s="5">
        <v>0.0</v>
      </c>
      <c r="E1815" s="5">
        <f t="shared" si="2"/>
        <v>18197500</v>
      </c>
      <c r="F1815" s="4" t="s">
        <v>2464</v>
      </c>
      <c r="G1815" s="4" t="s">
        <v>59</v>
      </c>
      <c r="H1815" s="4" t="s">
        <v>226</v>
      </c>
    </row>
    <row r="1816" ht="15.75" customHeight="1">
      <c r="A1816" s="8"/>
      <c r="B1816" s="4" t="s">
        <v>4297</v>
      </c>
      <c r="C1816" s="5">
        <v>598000.0</v>
      </c>
      <c r="D1816" s="5">
        <v>0.0</v>
      </c>
      <c r="E1816" s="5">
        <f t="shared" si="2"/>
        <v>17599500</v>
      </c>
      <c r="F1816" s="4" t="s">
        <v>2464</v>
      </c>
      <c r="G1816" s="4" t="s">
        <v>59</v>
      </c>
      <c r="H1816" s="4" t="s">
        <v>226</v>
      </c>
    </row>
    <row r="1817" ht="15.75" customHeight="1">
      <c r="A1817" s="8"/>
      <c r="B1817" s="4" t="s">
        <v>4298</v>
      </c>
      <c r="C1817" s="5">
        <v>1600000.0</v>
      </c>
      <c r="D1817" s="5">
        <v>0.0</v>
      </c>
      <c r="E1817" s="5">
        <f t="shared" si="2"/>
        <v>15999500</v>
      </c>
      <c r="F1817" s="4" t="s">
        <v>2464</v>
      </c>
      <c r="G1817" s="4" t="s">
        <v>59</v>
      </c>
      <c r="H1817" s="4" t="s">
        <v>226</v>
      </c>
    </row>
    <row r="1818" ht="15.75" customHeight="1">
      <c r="A1818" s="8"/>
      <c r="B1818" s="4" t="s">
        <v>4299</v>
      </c>
      <c r="C1818" s="5">
        <v>730000.0</v>
      </c>
      <c r="D1818" s="5">
        <v>0.0</v>
      </c>
      <c r="E1818" s="5">
        <f t="shared" si="2"/>
        <v>15269500</v>
      </c>
      <c r="F1818" s="4" t="s">
        <v>2464</v>
      </c>
      <c r="G1818" s="4" t="s">
        <v>59</v>
      </c>
      <c r="H1818" s="4" t="s">
        <v>226</v>
      </c>
    </row>
    <row r="1819" ht="15.75" customHeight="1">
      <c r="A1819" s="8"/>
      <c r="B1819" s="4" t="s">
        <v>4300</v>
      </c>
      <c r="C1819" s="5">
        <v>200000.0</v>
      </c>
      <c r="D1819" s="5">
        <v>0.0</v>
      </c>
      <c r="E1819" s="5">
        <f t="shared" si="2"/>
        <v>15069500</v>
      </c>
      <c r="F1819" s="4" t="s">
        <v>2464</v>
      </c>
      <c r="G1819" s="4" t="s">
        <v>59</v>
      </c>
      <c r="H1819" s="4" t="s">
        <v>226</v>
      </c>
    </row>
    <row r="1820" ht="15.75" customHeight="1">
      <c r="A1820" s="8"/>
      <c r="B1820" s="4" t="s">
        <v>4301</v>
      </c>
      <c r="C1820" s="5">
        <v>650000.0</v>
      </c>
      <c r="D1820" s="5">
        <v>0.0</v>
      </c>
      <c r="E1820" s="5">
        <f t="shared" si="2"/>
        <v>14419500</v>
      </c>
      <c r="F1820" s="4" t="s">
        <v>2464</v>
      </c>
      <c r="G1820" s="4" t="s">
        <v>59</v>
      </c>
      <c r="H1820" s="4" t="s">
        <v>226</v>
      </c>
    </row>
    <row r="1821" ht="15.75" customHeight="1">
      <c r="A1821" s="8"/>
      <c r="B1821" s="4" t="s">
        <v>4302</v>
      </c>
      <c r="C1821" s="5">
        <v>150000.0</v>
      </c>
      <c r="D1821" s="5">
        <v>0.0</v>
      </c>
      <c r="E1821" s="5">
        <f t="shared" si="2"/>
        <v>14269500</v>
      </c>
      <c r="F1821" s="4" t="s">
        <v>2464</v>
      </c>
      <c r="G1821" s="4" t="s">
        <v>59</v>
      </c>
      <c r="H1821" s="4" t="s">
        <v>226</v>
      </c>
    </row>
    <row r="1822" ht="15.75" customHeight="1">
      <c r="A1822" s="8"/>
      <c r="B1822" s="4" t="s">
        <v>4303</v>
      </c>
      <c r="C1822" s="5">
        <v>1600000.0</v>
      </c>
      <c r="D1822" s="5">
        <v>0.0</v>
      </c>
      <c r="E1822" s="5">
        <f t="shared" si="2"/>
        <v>12669500</v>
      </c>
      <c r="F1822" s="4" t="s">
        <v>2464</v>
      </c>
      <c r="G1822" s="4" t="s">
        <v>59</v>
      </c>
      <c r="H1822" s="4" t="s">
        <v>226</v>
      </c>
    </row>
    <row r="1823" ht="15.75" customHeight="1">
      <c r="A1823" s="8"/>
      <c r="B1823" s="4" t="s">
        <v>4304</v>
      </c>
      <c r="C1823" s="5">
        <v>200000.0</v>
      </c>
      <c r="D1823" s="5">
        <v>0.0</v>
      </c>
      <c r="E1823" s="5">
        <f t="shared" si="2"/>
        <v>12469500</v>
      </c>
      <c r="F1823" s="4" t="s">
        <v>2464</v>
      </c>
      <c r="G1823" s="4" t="s">
        <v>59</v>
      </c>
      <c r="H1823" s="4" t="s">
        <v>226</v>
      </c>
    </row>
    <row r="1824" ht="15.75" customHeight="1">
      <c r="A1824" s="8"/>
      <c r="B1824" s="4" t="s">
        <v>4305</v>
      </c>
      <c r="C1824" s="5">
        <v>400000.0</v>
      </c>
      <c r="D1824" s="5">
        <v>0.0</v>
      </c>
      <c r="E1824" s="5">
        <f t="shared" si="2"/>
        <v>12069500</v>
      </c>
      <c r="F1824" s="4" t="s">
        <v>2464</v>
      </c>
      <c r="G1824" s="4" t="s">
        <v>59</v>
      </c>
      <c r="H1824" s="4" t="s">
        <v>226</v>
      </c>
    </row>
    <row r="1825" ht="15.75" customHeight="1">
      <c r="A1825" s="8"/>
      <c r="B1825" s="4" t="s">
        <v>4306</v>
      </c>
      <c r="C1825" s="5">
        <v>800000.0</v>
      </c>
      <c r="D1825" s="5">
        <v>0.0</v>
      </c>
      <c r="E1825" s="5">
        <f t="shared" si="2"/>
        <v>11269500</v>
      </c>
      <c r="F1825" s="4" t="s">
        <v>2464</v>
      </c>
      <c r="G1825" s="4" t="s">
        <v>59</v>
      </c>
      <c r="H1825" s="4" t="s">
        <v>226</v>
      </c>
    </row>
    <row r="1826" ht="15.75" customHeight="1">
      <c r="A1826" s="8"/>
      <c r="B1826" s="4" t="s">
        <v>4307</v>
      </c>
      <c r="C1826" s="5">
        <v>450000.0</v>
      </c>
      <c r="D1826" s="5">
        <v>0.0</v>
      </c>
      <c r="E1826" s="5">
        <f t="shared" si="2"/>
        <v>10819500</v>
      </c>
      <c r="F1826" s="4" t="s">
        <v>2464</v>
      </c>
      <c r="G1826" s="4" t="s">
        <v>59</v>
      </c>
      <c r="H1826" s="4" t="s">
        <v>226</v>
      </c>
    </row>
    <row r="1827" ht="15.75" customHeight="1">
      <c r="A1827" s="8"/>
      <c r="B1827" s="4" t="s">
        <v>4308</v>
      </c>
      <c r="C1827" s="5">
        <v>2500.0</v>
      </c>
      <c r="D1827" s="5">
        <v>0.0</v>
      </c>
      <c r="E1827" s="5">
        <f t="shared" si="2"/>
        <v>10817000</v>
      </c>
      <c r="F1827" s="4" t="s">
        <v>2464</v>
      </c>
      <c r="G1827" s="4" t="s">
        <v>59</v>
      </c>
      <c r="H1827" s="4" t="s">
        <v>226</v>
      </c>
    </row>
    <row r="1828" ht="15.75" customHeight="1">
      <c r="A1828" s="8"/>
      <c r="B1828" s="4" t="s">
        <v>4309</v>
      </c>
      <c r="C1828" s="5">
        <v>600000.0</v>
      </c>
      <c r="D1828" s="5">
        <v>0.0</v>
      </c>
      <c r="E1828" s="5">
        <f t="shared" si="2"/>
        <v>10217000</v>
      </c>
      <c r="F1828" s="4" t="s">
        <v>2464</v>
      </c>
      <c r="G1828" s="4" t="s">
        <v>59</v>
      </c>
      <c r="H1828" s="4" t="s">
        <v>226</v>
      </c>
    </row>
    <row r="1829" ht="15.75" customHeight="1">
      <c r="A1829" s="8"/>
      <c r="B1829" s="4" t="s">
        <v>4310</v>
      </c>
      <c r="C1829" s="5">
        <v>1597200.0</v>
      </c>
      <c r="D1829" s="5">
        <v>0.0</v>
      </c>
      <c r="E1829" s="5">
        <f t="shared" si="2"/>
        <v>8619800</v>
      </c>
      <c r="F1829" s="4" t="s">
        <v>2464</v>
      </c>
      <c r="G1829" s="4" t="s">
        <v>59</v>
      </c>
      <c r="H1829" s="4" t="s">
        <v>226</v>
      </c>
    </row>
    <row r="1830" ht="15.75" customHeight="1">
      <c r="A1830" s="8"/>
      <c r="B1830" s="4" t="s">
        <v>4311</v>
      </c>
      <c r="C1830" s="5">
        <v>200000.0</v>
      </c>
      <c r="D1830" s="5">
        <v>0.0</v>
      </c>
      <c r="E1830" s="5">
        <f t="shared" si="2"/>
        <v>8419800</v>
      </c>
      <c r="F1830" s="4" t="s">
        <v>2464</v>
      </c>
      <c r="G1830" s="4" t="s">
        <v>59</v>
      </c>
      <c r="H1830" s="4" t="s">
        <v>226</v>
      </c>
    </row>
    <row r="1831" ht="15.75" customHeight="1">
      <c r="A1831" s="8"/>
      <c r="B1831" s="4" t="s">
        <v>4312</v>
      </c>
      <c r="C1831" s="5">
        <v>100000.0</v>
      </c>
      <c r="D1831" s="5">
        <v>0.0</v>
      </c>
      <c r="E1831" s="5">
        <f t="shared" si="2"/>
        <v>8319800</v>
      </c>
      <c r="F1831" s="4" t="s">
        <v>2464</v>
      </c>
      <c r="G1831" s="4" t="s">
        <v>59</v>
      </c>
      <c r="H1831" s="4" t="s">
        <v>226</v>
      </c>
    </row>
    <row r="1832" ht="15.75" customHeight="1">
      <c r="A1832" s="8"/>
      <c r="B1832" s="4" t="s">
        <v>4313</v>
      </c>
      <c r="C1832" s="5">
        <v>108000.0</v>
      </c>
      <c r="D1832" s="5">
        <v>0.0</v>
      </c>
      <c r="E1832" s="5">
        <f t="shared" si="2"/>
        <v>8211800</v>
      </c>
      <c r="F1832" s="4" t="s">
        <v>2464</v>
      </c>
      <c r="G1832" s="4" t="s">
        <v>59</v>
      </c>
      <c r="H1832" s="4" t="s">
        <v>226</v>
      </c>
    </row>
    <row r="1833" ht="15.75" customHeight="1">
      <c r="A1833" s="8"/>
      <c r="B1833" s="4" t="s">
        <v>4313</v>
      </c>
      <c r="C1833" s="5">
        <v>77000.0</v>
      </c>
      <c r="D1833" s="5">
        <v>0.0</v>
      </c>
      <c r="E1833" s="5">
        <f t="shared" si="2"/>
        <v>8134800</v>
      </c>
      <c r="F1833" s="4" t="s">
        <v>2464</v>
      </c>
      <c r="G1833" s="4" t="s">
        <v>59</v>
      </c>
      <c r="H1833" s="4" t="s">
        <v>226</v>
      </c>
    </row>
    <row r="1834" ht="15.75" customHeight="1">
      <c r="A1834" s="8"/>
      <c r="B1834" s="4" t="s">
        <v>4314</v>
      </c>
      <c r="C1834" s="5">
        <v>120000.0</v>
      </c>
      <c r="D1834" s="5">
        <v>0.0</v>
      </c>
      <c r="E1834" s="5">
        <f t="shared" si="2"/>
        <v>8014800</v>
      </c>
      <c r="F1834" s="4" t="s">
        <v>2464</v>
      </c>
      <c r="G1834" s="4" t="s">
        <v>59</v>
      </c>
      <c r="H1834" s="4" t="s">
        <v>226</v>
      </c>
    </row>
    <row r="1835" ht="15.75" customHeight="1">
      <c r="A1835" s="8"/>
      <c r="B1835" s="4" t="s">
        <v>4315</v>
      </c>
      <c r="C1835" s="5">
        <v>30000.0</v>
      </c>
      <c r="D1835" s="5">
        <v>0.0</v>
      </c>
      <c r="E1835" s="5">
        <f t="shared" si="2"/>
        <v>7984800</v>
      </c>
      <c r="F1835" s="4" t="s">
        <v>2464</v>
      </c>
      <c r="G1835" s="4" t="s">
        <v>59</v>
      </c>
      <c r="H1835" s="4" t="s">
        <v>226</v>
      </c>
    </row>
    <row r="1836" ht="15.75" customHeight="1">
      <c r="A1836" s="8"/>
      <c r="B1836" s="4" t="s">
        <v>4316</v>
      </c>
      <c r="C1836" s="5">
        <v>155000.0</v>
      </c>
      <c r="D1836" s="5">
        <v>0.0</v>
      </c>
      <c r="E1836" s="5">
        <f t="shared" si="2"/>
        <v>7829800</v>
      </c>
      <c r="F1836" s="4" t="s">
        <v>2464</v>
      </c>
      <c r="G1836" s="4" t="s">
        <v>59</v>
      </c>
      <c r="H1836" s="4" t="s">
        <v>226</v>
      </c>
    </row>
    <row r="1837" ht="15.75" customHeight="1">
      <c r="A1837" s="8"/>
      <c r="B1837" s="4" t="s">
        <v>4317</v>
      </c>
      <c r="C1837" s="5">
        <v>108000.0</v>
      </c>
      <c r="D1837" s="5">
        <v>0.0</v>
      </c>
      <c r="E1837" s="5">
        <f t="shared" si="2"/>
        <v>7721800</v>
      </c>
      <c r="F1837" s="4" t="s">
        <v>2464</v>
      </c>
      <c r="G1837" s="4" t="s">
        <v>59</v>
      </c>
      <c r="H1837" s="4" t="s">
        <v>226</v>
      </c>
    </row>
    <row r="1838" ht="15.75" customHeight="1">
      <c r="A1838" s="8"/>
      <c r="B1838" s="4" t="s">
        <v>4318</v>
      </c>
      <c r="C1838" s="5">
        <v>1600000.0</v>
      </c>
      <c r="D1838" s="5">
        <v>0.0</v>
      </c>
      <c r="E1838" s="5">
        <f t="shared" si="2"/>
        <v>6121800</v>
      </c>
      <c r="F1838" s="4" t="s">
        <v>2464</v>
      </c>
      <c r="G1838" s="4" t="s">
        <v>59</v>
      </c>
      <c r="H1838" s="4" t="s">
        <v>226</v>
      </c>
    </row>
    <row r="1839" ht="15.75" customHeight="1">
      <c r="A1839" s="8"/>
      <c r="B1839" s="4" t="s">
        <v>4319</v>
      </c>
      <c r="C1839" s="5">
        <v>60000.0</v>
      </c>
      <c r="D1839" s="5">
        <v>0.0</v>
      </c>
      <c r="E1839" s="5">
        <f t="shared" si="2"/>
        <v>6061800</v>
      </c>
      <c r="F1839" s="4" t="s">
        <v>2464</v>
      </c>
      <c r="G1839" s="4" t="s">
        <v>59</v>
      </c>
      <c r="H1839" s="4" t="s">
        <v>226</v>
      </c>
    </row>
    <row r="1840" ht="15.75" customHeight="1">
      <c r="A1840" s="8"/>
      <c r="B1840" s="4" t="s">
        <v>4320</v>
      </c>
      <c r="C1840" s="5">
        <v>420000.0</v>
      </c>
      <c r="D1840" s="5">
        <v>0.0</v>
      </c>
      <c r="E1840" s="5">
        <f t="shared" si="2"/>
        <v>5641800</v>
      </c>
      <c r="F1840" s="4" t="s">
        <v>2464</v>
      </c>
      <c r="G1840" s="4" t="s">
        <v>59</v>
      </c>
      <c r="H1840" s="4" t="s">
        <v>226</v>
      </c>
    </row>
    <row r="1841" ht="15.75" customHeight="1">
      <c r="A1841" s="8"/>
      <c r="B1841" s="4" t="s">
        <v>4321</v>
      </c>
      <c r="C1841" s="5">
        <v>2500.0</v>
      </c>
      <c r="D1841" s="5">
        <v>0.0</v>
      </c>
      <c r="E1841" s="5">
        <f t="shared" si="2"/>
        <v>5639300</v>
      </c>
      <c r="F1841" s="4" t="s">
        <v>2464</v>
      </c>
      <c r="G1841" s="4" t="s">
        <v>59</v>
      </c>
      <c r="H1841" s="4" t="s">
        <v>226</v>
      </c>
    </row>
    <row r="1842" ht="15.75" customHeight="1">
      <c r="A1842" s="8"/>
      <c r="B1842" s="4" t="s">
        <v>4322</v>
      </c>
      <c r="C1842" s="5">
        <v>5639300.0</v>
      </c>
      <c r="D1842" s="5">
        <v>0.0</v>
      </c>
      <c r="E1842" s="5">
        <f t="shared" si="2"/>
        <v>0</v>
      </c>
      <c r="F1842" s="4" t="s">
        <v>21</v>
      </c>
      <c r="G1842" s="4" t="s">
        <v>41</v>
      </c>
      <c r="H1842" s="4" t="s">
        <v>4294</v>
      </c>
    </row>
    <row r="1843" ht="15.75" customHeight="1">
      <c r="A1843" s="8">
        <v>46057.0</v>
      </c>
      <c r="B1843" s="4" t="s">
        <v>655</v>
      </c>
      <c r="C1843" s="5">
        <v>0.0</v>
      </c>
      <c r="D1843" s="5">
        <v>5000000.0</v>
      </c>
      <c r="E1843" s="5">
        <f t="shared" si="2"/>
        <v>5000000</v>
      </c>
      <c r="F1843" s="4" t="s">
        <v>21</v>
      </c>
      <c r="G1843" s="4" t="s">
        <v>448</v>
      </c>
      <c r="H1843" s="4" t="s">
        <v>4323</v>
      </c>
    </row>
    <row r="1844" ht="15.75" customHeight="1">
      <c r="A1844" s="8"/>
      <c r="B1844" s="4" t="s">
        <v>4324</v>
      </c>
      <c r="C1844" s="5">
        <v>1000000.0</v>
      </c>
      <c r="D1844" s="5">
        <v>0.0</v>
      </c>
      <c r="E1844" s="5">
        <f t="shared" si="2"/>
        <v>4000000</v>
      </c>
      <c r="F1844" s="4" t="s">
        <v>2464</v>
      </c>
      <c r="G1844" s="4" t="s">
        <v>59</v>
      </c>
      <c r="H1844" s="4" t="s">
        <v>319</v>
      </c>
    </row>
    <row r="1845" ht="15.75" customHeight="1">
      <c r="A1845" s="8"/>
      <c r="B1845" s="4" t="s">
        <v>4325</v>
      </c>
      <c r="C1845" s="5">
        <v>2800000.0</v>
      </c>
      <c r="D1845" s="5">
        <v>0.0</v>
      </c>
      <c r="E1845" s="5">
        <f t="shared" si="2"/>
        <v>1200000</v>
      </c>
      <c r="F1845" s="4" t="s">
        <v>2464</v>
      </c>
      <c r="G1845" s="4" t="s">
        <v>59</v>
      </c>
      <c r="H1845" s="4" t="s">
        <v>319</v>
      </c>
    </row>
    <row r="1846" ht="15.75" customHeight="1">
      <c r="A1846" s="8"/>
      <c r="B1846" s="4" t="s">
        <v>4326</v>
      </c>
      <c r="C1846" s="5">
        <v>500000.0</v>
      </c>
      <c r="D1846" s="5">
        <v>0.0</v>
      </c>
      <c r="E1846" s="5">
        <f t="shared" si="2"/>
        <v>700000</v>
      </c>
      <c r="F1846" s="4" t="s">
        <v>2464</v>
      </c>
      <c r="G1846" s="4" t="s">
        <v>59</v>
      </c>
      <c r="H1846" s="4" t="s">
        <v>319</v>
      </c>
    </row>
    <row r="1847" ht="15.75" customHeight="1">
      <c r="A1847" s="8"/>
      <c r="B1847" s="4" t="s">
        <v>4327</v>
      </c>
      <c r="C1847" s="5">
        <v>1720000.0</v>
      </c>
      <c r="D1847" s="5">
        <v>0.0</v>
      </c>
      <c r="E1847" s="5">
        <f t="shared" si="2"/>
        <v>-1020000</v>
      </c>
      <c r="F1847" s="4" t="s">
        <v>2464</v>
      </c>
      <c r="G1847" s="4" t="s">
        <v>59</v>
      </c>
      <c r="H1847" s="4" t="s">
        <v>319</v>
      </c>
    </row>
    <row r="1848" ht="15.75" customHeight="1">
      <c r="A1848" s="8"/>
      <c r="B1848" s="4" t="s">
        <v>4328</v>
      </c>
      <c r="C1848" s="5">
        <v>100000.0</v>
      </c>
      <c r="D1848" s="5">
        <v>0.0</v>
      </c>
      <c r="E1848" s="5">
        <f t="shared" si="2"/>
        <v>-1120000</v>
      </c>
      <c r="F1848" s="4" t="s">
        <v>2464</v>
      </c>
      <c r="G1848" s="4" t="s">
        <v>59</v>
      </c>
      <c r="H1848" s="4" t="s">
        <v>319</v>
      </c>
    </row>
    <row r="1849" ht="15.75" customHeight="1">
      <c r="A1849" s="8"/>
      <c r="B1849" s="4" t="s">
        <v>4329</v>
      </c>
      <c r="C1849" s="5">
        <v>55000.0</v>
      </c>
      <c r="D1849" s="5">
        <v>0.0</v>
      </c>
      <c r="E1849" s="5">
        <f t="shared" si="2"/>
        <v>-1175000</v>
      </c>
      <c r="F1849" s="4" t="s">
        <v>2464</v>
      </c>
      <c r="G1849" s="4" t="s">
        <v>59</v>
      </c>
      <c r="H1849" s="4" t="s">
        <v>319</v>
      </c>
    </row>
    <row r="1850" ht="15.75" customHeight="1">
      <c r="A1850" s="8"/>
      <c r="B1850" s="4" t="s">
        <v>4330</v>
      </c>
      <c r="C1850" s="5">
        <v>4000000.0</v>
      </c>
      <c r="D1850" s="5">
        <v>0.0</v>
      </c>
      <c r="E1850" s="5">
        <f t="shared" si="2"/>
        <v>-5175000</v>
      </c>
      <c r="F1850" s="4" t="s">
        <v>2464</v>
      </c>
      <c r="G1850" s="4" t="s">
        <v>59</v>
      </c>
      <c r="H1850" s="4" t="s">
        <v>319</v>
      </c>
    </row>
    <row r="1851" ht="15.75" customHeight="1">
      <c r="A1851" s="8"/>
      <c r="B1851" s="4" t="s">
        <v>4331</v>
      </c>
      <c r="C1851" s="5">
        <v>1123875.0</v>
      </c>
      <c r="D1851" s="5">
        <v>0.0</v>
      </c>
      <c r="E1851" s="5">
        <f t="shared" si="2"/>
        <v>-6298875</v>
      </c>
      <c r="F1851" s="4" t="s">
        <v>2464</v>
      </c>
      <c r="G1851" s="4" t="s">
        <v>59</v>
      </c>
      <c r="H1851" s="4" t="s">
        <v>319</v>
      </c>
    </row>
    <row r="1852" ht="15.75" customHeight="1">
      <c r="A1852" s="8"/>
      <c r="B1852" s="4" t="s">
        <v>4332</v>
      </c>
      <c r="C1852" s="5">
        <v>110000.0</v>
      </c>
      <c r="D1852" s="5">
        <v>0.0</v>
      </c>
      <c r="E1852" s="5">
        <f t="shared" si="2"/>
        <v>-6408875</v>
      </c>
      <c r="F1852" s="4" t="s">
        <v>2464</v>
      </c>
      <c r="G1852" s="4" t="s">
        <v>59</v>
      </c>
      <c r="H1852" s="4" t="s">
        <v>319</v>
      </c>
    </row>
    <row r="1853" ht="15.75" customHeight="1">
      <c r="A1853" s="8">
        <v>46073.0</v>
      </c>
      <c r="B1853" s="4" t="s">
        <v>921</v>
      </c>
      <c r="C1853" s="5">
        <v>0.0</v>
      </c>
      <c r="D1853" s="5">
        <v>6408875.0</v>
      </c>
      <c r="E1853" s="5">
        <f t="shared" si="2"/>
        <v>0</v>
      </c>
      <c r="F1853" s="4" t="s">
        <v>21</v>
      </c>
      <c r="G1853" s="4" t="s">
        <v>448</v>
      </c>
      <c r="H1853" s="4" t="s">
        <v>4323</v>
      </c>
    </row>
    <row r="1854" ht="15.75" customHeight="1">
      <c r="A1854" s="8">
        <v>46063.0</v>
      </c>
      <c r="B1854" s="4" t="s">
        <v>758</v>
      </c>
      <c r="C1854" s="5">
        <v>0.0</v>
      </c>
      <c r="D1854" s="5">
        <v>3.0E7</v>
      </c>
      <c r="E1854" s="5">
        <f t="shared" si="2"/>
        <v>30000000</v>
      </c>
      <c r="F1854" s="4" t="s">
        <v>21</v>
      </c>
      <c r="G1854" s="4" t="s">
        <v>448</v>
      </c>
      <c r="H1854" s="4" t="s">
        <v>4333</v>
      </c>
    </row>
    <row r="1855" ht="15.75" customHeight="1">
      <c r="A1855" s="8"/>
      <c r="B1855" s="4" t="s">
        <v>4334</v>
      </c>
      <c r="C1855" s="5">
        <v>2800000.0</v>
      </c>
      <c r="D1855" s="5">
        <v>0.0</v>
      </c>
      <c r="E1855" s="5">
        <f t="shared" si="2"/>
        <v>27200000</v>
      </c>
      <c r="F1855" s="4" t="s">
        <v>2464</v>
      </c>
      <c r="G1855" s="4" t="s">
        <v>59</v>
      </c>
      <c r="H1855" s="4" t="s">
        <v>326</v>
      </c>
    </row>
    <row r="1856" ht="15.75" customHeight="1">
      <c r="A1856" s="8"/>
      <c r="B1856" s="4" t="s">
        <v>4335</v>
      </c>
      <c r="C1856" s="5">
        <v>7450000.0</v>
      </c>
      <c r="D1856" s="5">
        <v>0.0</v>
      </c>
      <c r="E1856" s="5">
        <f t="shared" si="2"/>
        <v>19750000</v>
      </c>
      <c r="F1856" s="4" t="s">
        <v>2464</v>
      </c>
      <c r="G1856" s="4" t="s">
        <v>59</v>
      </c>
      <c r="H1856" s="4" t="s">
        <v>326</v>
      </c>
    </row>
    <row r="1857" ht="15.75" customHeight="1">
      <c r="A1857" s="8"/>
      <c r="B1857" s="4" t="s">
        <v>4336</v>
      </c>
      <c r="C1857" s="5">
        <v>500000.0</v>
      </c>
      <c r="D1857" s="5">
        <v>0.0</v>
      </c>
      <c r="E1857" s="5">
        <f t="shared" si="2"/>
        <v>19250000</v>
      </c>
      <c r="F1857" s="4" t="s">
        <v>2464</v>
      </c>
      <c r="G1857" s="4" t="s">
        <v>59</v>
      </c>
      <c r="H1857" s="4" t="s">
        <v>326</v>
      </c>
    </row>
    <row r="1858" ht="15.75" customHeight="1">
      <c r="A1858" s="8"/>
      <c r="B1858" s="4" t="s">
        <v>4337</v>
      </c>
      <c r="C1858" s="5">
        <v>80000.0</v>
      </c>
      <c r="D1858" s="5">
        <v>0.0</v>
      </c>
      <c r="E1858" s="5">
        <f t="shared" si="2"/>
        <v>19170000</v>
      </c>
      <c r="F1858" s="4" t="s">
        <v>2464</v>
      </c>
      <c r="G1858" s="4" t="s">
        <v>59</v>
      </c>
      <c r="H1858" s="4" t="s">
        <v>326</v>
      </c>
    </row>
    <row r="1859" ht="15.75" customHeight="1">
      <c r="A1859" s="8"/>
      <c r="B1859" s="4" t="s">
        <v>4338</v>
      </c>
      <c r="C1859" s="5">
        <v>132000.0</v>
      </c>
      <c r="D1859" s="5">
        <v>0.0</v>
      </c>
      <c r="E1859" s="5">
        <f t="shared" si="2"/>
        <v>19038000</v>
      </c>
      <c r="F1859" s="4" t="s">
        <v>2464</v>
      </c>
      <c r="G1859" s="4" t="s">
        <v>59</v>
      </c>
      <c r="H1859" s="4" t="s">
        <v>326</v>
      </c>
    </row>
    <row r="1860" ht="15.75" customHeight="1">
      <c r="A1860" s="8"/>
      <c r="B1860" s="4" t="s">
        <v>4339</v>
      </c>
      <c r="C1860" s="5">
        <v>57000.0</v>
      </c>
      <c r="D1860" s="5">
        <v>0.0</v>
      </c>
      <c r="E1860" s="5">
        <f t="shared" si="2"/>
        <v>18981000</v>
      </c>
      <c r="F1860" s="4" t="s">
        <v>2464</v>
      </c>
      <c r="G1860" s="4" t="s">
        <v>59</v>
      </c>
      <c r="H1860" s="4" t="s">
        <v>326</v>
      </c>
    </row>
    <row r="1861" ht="15.75" customHeight="1">
      <c r="A1861" s="8"/>
      <c r="B1861" s="4" t="s">
        <v>4340</v>
      </c>
      <c r="C1861" s="5">
        <v>360000.0</v>
      </c>
      <c r="D1861" s="5">
        <v>0.0</v>
      </c>
      <c r="E1861" s="5">
        <f t="shared" si="2"/>
        <v>18621000</v>
      </c>
      <c r="F1861" s="4" t="s">
        <v>2464</v>
      </c>
      <c r="G1861" s="4" t="s">
        <v>59</v>
      </c>
      <c r="H1861" s="4" t="s">
        <v>326</v>
      </c>
    </row>
    <row r="1862" ht="15.75" customHeight="1">
      <c r="A1862" s="8"/>
      <c r="B1862" s="4" t="s">
        <v>4341</v>
      </c>
      <c r="C1862" s="5">
        <v>9151200.0</v>
      </c>
      <c r="D1862" s="5">
        <v>0.0</v>
      </c>
      <c r="E1862" s="5">
        <f t="shared" si="2"/>
        <v>9469800</v>
      </c>
      <c r="F1862" s="4" t="s">
        <v>2464</v>
      </c>
      <c r="G1862" s="4" t="s">
        <v>59</v>
      </c>
      <c r="H1862" s="4" t="s">
        <v>326</v>
      </c>
    </row>
    <row r="1863" ht="15.75" customHeight="1">
      <c r="A1863" s="8"/>
      <c r="B1863" s="4" t="s">
        <v>4342</v>
      </c>
      <c r="C1863" s="5">
        <v>1502500.0</v>
      </c>
      <c r="D1863" s="5">
        <v>0.0</v>
      </c>
      <c r="E1863" s="5">
        <f t="shared" si="2"/>
        <v>7967300</v>
      </c>
      <c r="F1863" s="4" t="s">
        <v>2464</v>
      </c>
      <c r="G1863" s="4" t="s">
        <v>59</v>
      </c>
      <c r="H1863" s="4" t="s">
        <v>326</v>
      </c>
    </row>
    <row r="1864" ht="15.75" customHeight="1">
      <c r="A1864" s="8"/>
      <c r="B1864" s="4" t="s">
        <v>4343</v>
      </c>
      <c r="C1864" s="5">
        <v>1460100.0</v>
      </c>
      <c r="D1864" s="5">
        <v>0.0</v>
      </c>
      <c r="E1864" s="5">
        <f t="shared" si="2"/>
        <v>6507200</v>
      </c>
      <c r="F1864" s="4" t="s">
        <v>2464</v>
      </c>
      <c r="G1864" s="4" t="s">
        <v>59</v>
      </c>
      <c r="H1864" s="4" t="s">
        <v>326</v>
      </c>
    </row>
    <row r="1865" ht="15.75" customHeight="1">
      <c r="A1865" s="8"/>
      <c r="B1865" s="4" t="s">
        <v>4344</v>
      </c>
      <c r="C1865" s="5">
        <v>200000.0</v>
      </c>
      <c r="D1865" s="5">
        <v>0.0</v>
      </c>
      <c r="E1865" s="5">
        <f t="shared" si="2"/>
        <v>6307200</v>
      </c>
      <c r="F1865" s="4" t="s">
        <v>2464</v>
      </c>
      <c r="G1865" s="4" t="s">
        <v>59</v>
      </c>
      <c r="H1865" s="4" t="s">
        <v>326</v>
      </c>
    </row>
    <row r="1866" ht="15.75" customHeight="1">
      <c r="A1866" s="8"/>
      <c r="B1866" s="4" t="s">
        <v>4345</v>
      </c>
      <c r="C1866" s="5">
        <v>3241100.0</v>
      </c>
      <c r="D1866" s="5">
        <v>0.0</v>
      </c>
      <c r="E1866" s="5">
        <f t="shared" si="2"/>
        <v>3066100</v>
      </c>
      <c r="F1866" s="4" t="s">
        <v>2464</v>
      </c>
      <c r="G1866" s="4" t="s">
        <v>59</v>
      </c>
      <c r="H1866" s="4" t="s">
        <v>326</v>
      </c>
    </row>
    <row r="1867" ht="15.75" customHeight="1">
      <c r="A1867" s="8"/>
      <c r="B1867" s="4" t="s">
        <v>4346</v>
      </c>
      <c r="C1867" s="5">
        <v>652500.0</v>
      </c>
      <c r="D1867" s="5">
        <v>0.0</v>
      </c>
      <c r="E1867" s="5">
        <f t="shared" si="2"/>
        <v>2413600</v>
      </c>
      <c r="F1867" s="4" t="s">
        <v>2464</v>
      </c>
      <c r="G1867" s="4" t="s">
        <v>59</v>
      </c>
      <c r="H1867" s="4" t="s">
        <v>326</v>
      </c>
    </row>
    <row r="1868" ht="15.75" customHeight="1">
      <c r="A1868" s="8"/>
      <c r="B1868" s="4" t="s">
        <v>4347</v>
      </c>
      <c r="C1868" s="5">
        <v>350000.0</v>
      </c>
      <c r="D1868" s="5">
        <v>0.0</v>
      </c>
      <c r="E1868" s="5">
        <f t="shared" si="2"/>
        <v>2063600</v>
      </c>
      <c r="F1868" s="4" t="s">
        <v>2464</v>
      </c>
      <c r="G1868" s="4" t="s">
        <v>59</v>
      </c>
      <c r="H1868" s="4" t="s">
        <v>326</v>
      </c>
    </row>
    <row r="1869" ht="15.75" customHeight="1">
      <c r="A1869" s="8"/>
      <c r="B1869" s="4" t="s">
        <v>4348</v>
      </c>
      <c r="C1869" s="5">
        <v>240000.0</v>
      </c>
      <c r="D1869" s="5">
        <v>0.0</v>
      </c>
      <c r="E1869" s="5">
        <f t="shared" si="2"/>
        <v>1823600</v>
      </c>
      <c r="F1869" s="4" t="s">
        <v>2464</v>
      </c>
      <c r="G1869" s="4" t="s">
        <v>59</v>
      </c>
      <c r="H1869" s="4" t="s">
        <v>326</v>
      </c>
    </row>
    <row r="1870" ht="15.75" customHeight="1">
      <c r="A1870" s="8"/>
      <c r="B1870" s="4" t="s">
        <v>4349</v>
      </c>
      <c r="C1870" s="5">
        <v>854000.0</v>
      </c>
      <c r="D1870" s="5">
        <v>0.0</v>
      </c>
      <c r="E1870" s="5">
        <f t="shared" si="2"/>
        <v>969600</v>
      </c>
      <c r="F1870" s="4" t="s">
        <v>2464</v>
      </c>
      <c r="G1870" s="4" t="s">
        <v>59</v>
      </c>
      <c r="H1870" s="4" t="s">
        <v>326</v>
      </c>
    </row>
    <row r="1871" ht="15.75" customHeight="1">
      <c r="A1871" s="8"/>
      <c r="B1871" s="4" t="s">
        <v>4350</v>
      </c>
      <c r="C1871" s="5">
        <v>969600.0</v>
      </c>
      <c r="D1871" s="5">
        <v>0.0</v>
      </c>
      <c r="E1871" s="5">
        <f t="shared" si="2"/>
        <v>0</v>
      </c>
      <c r="F1871" s="4" t="s">
        <v>21</v>
      </c>
      <c r="G1871" s="4" t="s">
        <v>876</v>
      </c>
      <c r="H1871" s="4" t="s">
        <v>4333</v>
      </c>
    </row>
    <row r="1872" ht="15.75" customHeight="1">
      <c r="A1872" s="8">
        <v>46064.0</v>
      </c>
      <c r="B1872" s="4" t="s">
        <v>569</v>
      </c>
      <c r="C1872" s="5">
        <v>0.0</v>
      </c>
      <c r="D1872" s="5">
        <v>5000000.0</v>
      </c>
      <c r="E1872" s="5">
        <f t="shared" si="2"/>
        <v>5000000</v>
      </c>
      <c r="F1872" s="4" t="s">
        <v>21</v>
      </c>
      <c r="G1872" s="4" t="s">
        <v>184</v>
      </c>
      <c r="H1872" s="4" t="s">
        <v>4351</v>
      </c>
    </row>
    <row r="1873" ht="15.75" customHeight="1">
      <c r="A1873" s="8"/>
      <c r="B1873" s="4" t="s">
        <v>4352</v>
      </c>
      <c r="C1873" s="5">
        <v>85500.0</v>
      </c>
      <c r="D1873" s="5">
        <v>0.0</v>
      </c>
      <c r="E1873" s="5">
        <f t="shared" si="2"/>
        <v>4914500</v>
      </c>
      <c r="F1873" s="4" t="s">
        <v>2464</v>
      </c>
      <c r="G1873" s="4" t="s">
        <v>59</v>
      </c>
      <c r="H1873" s="4" t="s">
        <v>326</v>
      </c>
    </row>
    <row r="1874" ht="15.75" customHeight="1">
      <c r="A1874" s="8"/>
      <c r="B1874" s="4" t="s">
        <v>4353</v>
      </c>
      <c r="C1874" s="5">
        <v>80000.0</v>
      </c>
      <c r="D1874" s="5">
        <v>0.0</v>
      </c>
      <c r="E1874" s="5">
        <f t="shared" si="2"/>
        <v>4834500</v>
      </c>
      <c r="F1874" s="4" t="s">
        <v>2464</v>
      </c>
      <c r="G1874" s="4" t="s">
        <v>59</v>
      </c>
      <c r="H1874" s="4" t="s">
        <v>326</v>
      </c>
    </row>
    <row r="1875" ht="15.75" customHeight="1">
      <c r="A1875" s="8"/>
      <c r="B1875" s="4" t="s">
        <v>4354</v>
      </c>
      <c r="C1875" s="5">
        <v>240000.0</v>
      </c>
      <c r="D1875" s="5">
        <v>0.0</v>
      </c>
      <c r="E1875" s="5">
        <f t="shared" si="2"/>
        <v>4594500</v>
      </c>
      <c r="F1875" s="4" t="s">
        <v>2464</v>
      </c>
      <c r="G1875" s="4" t="s">
        <v>59</v>
      </c>
      <c r="H1875" s="4" t="s">
        <v>326</v>
      </c>
    </row>
    <row r="1876" ht="15.75" customHeight="1">
      <c r="A1876" s="8"/>
      <c r="B1876" s="4" t="s">
        <v>4355</v>
      </c>
      <c r="C1876" s="5">
        <v>1878504.0</v>
      </c>
      <c r="D1876" s="5">
        <v>0.0</v>
      </c>
      <c r="E1876" s="5">
        <f t="shared" si="2"/>
        <v>2715996</v>
      </c>
      <c r="F1876" s="4" t="s">
        <v>2464</v>
      </c>
      <c r="G1876" s="4" t="s">
        <v>59</v>
      </c>
      <c r="H1876" s="4" t="s">
        <v>326</v>
      </c>
    </row>
    <row r="1877" ht="15.75" customHeight="1">
      <c r="A1877" s="8"/>
      <c r="B1877" s="4" t="s">
        <v>4356</v>
      </c>
      <c r="C1877" s="5">
        <v>1878504.0</v>
      </c>
      <c r="D1877" s="5">
        <v>0.0</v>
      </c>
      <c r="E1877" s="5">
        <f t="shared" si="2"/>
        <v>837492</v>
      </c>
      <c r="F1877" s="4" t="s">
        <v>2464</v>
      </c>
      <c r="G1877" s="4" t="s">
        <v>59</v>
      </c>
      <c r="H1877" s="4" t="s">
        <v>326</v>
      </c>
    </row>
    <row r="1878" ht="15.75" customHeight="1">
      <c r="A1878" s="8"/>
      <c r="B1878" s="4" t="s">
        <v>4357</v>
      </c>
      <c r="C1878" s="5">
        <v>573540.0</v>
      </c>
      <c r="D1878" s="5">
        <v>0.0</v>
      </c>
      <c r="E1878" s="5">
        <f t="shared" si="2"/>
        <v>263952</v>
      </c>
      <c r="F1878" s="4" t="s">
        <v>2464</v>
      </c>
      <c r="G1878" s="4" t="s">
        <v>59</v>
      </c>
      <c r="H1878" s="4" t="s">
        <v>326</v>
      </c>
    </row>
    <row r="1879" ht="15.75" customHeight="1">
      <c r="A1879" s="8"/>
      <c r="B1879" s="4" t="s">
        <v>4358</v>
      </c>
      <c r="C1879" s="5">
        <v>2500.0</v>
      </c>
      <c r="D1879" s="5">
        <v>0.0</v>
      </c>
      <c r="E1879" s="5">
        <f t="shared" si="2"/>
        <v>261452</v>
      </c>
      <c r="F1879" s="4" t="s">
        <v>2464</v>
      </c>
      <c r="G1879" s="4" t="s">
        <v>59</v>
      </c>
      <c r="H1879" s="4" t="s">
        <v>326</v>
      </c>
    </row>
    <row r="1880" ht="15.75" customHeight="1">
      <c r="A1880" s="8"/>
      <c r="B1880" s="4" t="s">
        <v>4359</v>
      </c>
      <c r="C1880" s="5">
        <v>800000.0</v>
      </c>
      <c r="D1880" s="5">
        <v>0.0</v>
      </c>
      <c r="E1880" s="5">
        <f t="shared" si="2"/>
        <v>-538548</v>
      </c>
      <c r="F1880" s="4" t="s">
        <v>2464</v>
      </c>
      <c r="G1880" s="4" t="s">
        <v>59</v>
      </c>
      <c r="H1880" s="4" t="s">
        <v>326</v>
      </c>
    </row>
    <row r="1881" ht="15.75" customHeight="1">
      <c r="A1881" s="8">
        <v>46078.0</v>
      </c>
      <c r="B1881" s="4" t="s">
        <v>569</v>
      </c>
      <c r="C1881" s="5">
        <v>0.0</v>
      </c>
      <c r="D1881" s="5">
        <v>538548.0</v>
      </c>
      <c r="E1881" s="5">
        <f t="shared" si="2"/>
        <v>0</v>
      </c>
      <c r="F1881" s="4" t="s">
        <v>21</v>
      </c>
      <c r="G1881" s="4" t="s">
        <v>184</v>
      </c>
      <c r="H1881" s="4" t="s">
        <v>4351</v>
      </c>
    </row>
    <row r="1882" ht="15.75" customHeight="1">
      <c r="A1882" s="8">
        <v>46073.0</v>
      </c>
      <c r="B1882" s="4" t="s">
        <v>4360</v>
      </c>
      <c r="C1882" s="5">
        <v>0.0</v>
      </c>
      <c r="D1882" s="5">
        <v>4.5E8</v>
      </c>
      <c r="E1882" s="5">
        <f t="shared" si="2"/>
        <v>450000000</v>
      </c>
      <c r="F1882" s="4" t="s">
        <v>21</v>
      </c>
      <c r="G1882" s="4" t="s">
        <v>136</v>
      </c>
      <c r="H1882" s="4" t="s">
        <v>156</v>
      </c>
    </row>
    <row r="1883" ht="15.75" customHeight="1">
      <c r="A1883" s="8"/>
      <c r="B1883" s="4" t="s">
        <v>4361</v>
      </c>
      <c r="C1883" s="5">
        <v>4080000.0</v>
      </c>
      <c r="D1883" s="5">
        <v>0.0</v>
      </c>
      <c r="E1883" s="5">
        <f t="shared" si="2"/>
        <v>445920000</v>
      </c>
      <c r="F1883" s="4" t="s">
        <v>2464</v>
      </c>
      <c r="G1883" s="4" t="s">
        <v>59</v>
      </c>
      <c r="H1883" s="4" t="s">
        <v>476</v>
      </c>
    </row>
    <row r="1884" ht="15.75" customHeight="1">
      <c r="A1884" s="8"/>
      <c r="B1884" s="4" t="s">
        <v>4362</v>
      </c>
      <c r="C1884" s="5">
        <v>4105000.0</v>
      </c>
      <c r="D1884" s="5">
        <v>0.0</v>
      </c>
      <c r="E1884" s="5">
        <f t="shared" si="2"/>
        <v>441815000</v>
      </c>
      <c r="F1884" s="4" t="s">
        <v>2464</v>
      </c>
      <c r="G1884" s="4" t="s">
        <v>59</v>
      </c>
      <c r="H1884" s="4" t="s">
        <v>476</v>
      </c>
    </row>
    <row r="1885" ht="15.75" customHeight="1">
      <c r="A1885" s="8"/>
      <c r="B1885" s="4" t="s">
        <v>4363</v>
      </c>
      <c r="C1885" s="5">
        <v>4269000.0</v>
      </c>
      <c r="D1885" s="5">
        <v>0.0</v>
      </c>
      <c r="E1885" s="5">
        <f t="shared" si="2"/>
        <v>437546000</v>
      </c>
      <c r="F1885" s="4" t="s">
        <v>2464</v>
      </c>
      <c r="G1885" s="4" t="s">
        <v>59</v>
      </c>
      <c r="H1885" s="4" t="s">
        <v>476</v>
      </c>
    </row>
    <row r="1886" ht="15.75" customHeight="1">
      <c r="A1886" s="8"/>
      <c r="B1886" s="4" t="s">
        <v>4364</v>
      </c>
      <c r="C1886" s="5">
        <v>350000.0</v>
      </c>
      <c r="D1886" s="5">
        <v>0.0</v>
      </c>
      <c r="E1886" s="5">
        <f t="shared" si="2"/>
        <v>437196000</v>
      </c>
      <c r="F1886" s="4" t="s">
        <v>2464</v>
      </c>
      <c r="G1886" s="4" t="s">
        <v>59</v>
      </c>
      <c r="H1886" s="4" t="s">
        <v>476</v>
      </c>
    </row>
    <row r="1887" ht="15.75" customHeight="1">
      <c r="A1887" s="8"/>
      <c r="B1887" s="4" t="s">
        <v>4365</v>
      </c>
      <c r="C1887" s="5">
        <v>2600000.0</v>
      </c>
      <c r="D1887" s="5">
        <v>0.0</v>
      </c>
      <c r="E1887" s="5">
        <f t="shared" si="2"/>
        <v>434596000</v>
      </c>
      <c r="F1887" s="4" t="s">
        <v>2464</v>
      </c>
      <c r="G1887" s="4" t="s">
        <v>59</v>
      </c>
      <c r="H1887" s="4" t="s">
        <v>476</v>
      </c>
    </row>
    <row r="1888" ht="15.75" customHeight="1">
      <c r="A1888" s="8"/>
      <c r="B1888" s="4" t="s">
        <v>4366</v>
      </c>
      <c r="C1888" s="5">
        <v>207900.0</v>
      </c>
      <c r="D1888" s="5">
        <v>0.0</v>
      </c>
      <c r="E1888" s="5">
        <f t="shared" si="2"/>
        <v>434388100</v>
      </c>
      <c r="F1888" s="4" t="s">
        <v>2464</v>
      </c>
      <c r="G1888" s="4" t="s">
        <v>59</v>
      </c>
      <c r="H1888" s="4" t="s">
        <v>476</v>
      </c>
    </row>
    <row r="1889" ht="15.75" customHeight="1">
      <c r="A1889" s="8"/>
      <c r="B1889" s="4" t="s">
        <v>4367</v>
      </c>
      <c r="C1889" s="5">
        <v>1.5E7</v>
      </c>
      <c r="D1889" s="5">
        <v>0.0</v>
      </c>
      <c r="E1889" s="5">
        <f t="shared" si="2"/>
        <v>419388100</v>
      </c>
      <c r="F1889" s="4" t="s">
        <v>2464</v>
      </c>
      <c r="G1889" s="4" t="s">
        <v>59</v>
      </c>
      <c r="H1889" s="4" t="s">
        <v>476</v>
      </c>
    </row>
    <row r="1890" ht="15.75" customHeight="1">
      <c r="A1890" s="8"/>
      <c r="B1890" s="4" t="s">
        <v>4368</v>
      </c>
      <c r="C1890" s="5">
        <v>5.0E7</v>
      </c>
      <c r="D1890" s="5">
        <v>0.0</v>
      </c>
      <c r="E1890" s="5">
        <f t="shared" si="2"/>
        <v>369388100</v>
      </c>
      <c r="F1890" s="4" t="s">
        <v>2464</v>
      </c>
      <c r="G1890" s="4" t="s">
        <v>59</v>
      </c>
      <c r="H1890" s="4" t="s">
        <v>476</v>
      </c>
    </row>
    <row r="1891" ht="15.75" customHeight="1">
      <c r="A1891" s="8"/>
      <c r="B1891" s="4" t="s">
        <v>4369</v>
      </c>
      <c r="C1891" s="5">
        <v>4.0E7</v>
      </c>
      <c r="D1891" s="5">
        <v>0.0</v>
      </c>
      <c r="E1891" s="5">
        <f t="shared" si="2"/>
        <v>329388100</v>
      </c>
      <c r="F1891" s="4" t="s">
        <v>2464</v>
      </c>
      <c r="G1891" s="4" t="s">
        <v>59</v>
      </c>
      <c r="H1891" s="4" t="s">
        <v>476</v>
      </c>
    </row>
    <row r="1892" ht="15.75" customHeight="1">
      <c r="A1892" s="8"/>
      <c r="B1892" s="4" t="s">
        <v>4370</v>
      </c>
      <c r="C1892" s="5">
        <v>3.0E8</v>
      </c>
      <c r="D1892" s="5">
        <v>0.0</v>
      </c>
      <c r="E1892" s="5">
        <f t="shared" si="2"/>
        <v>29388100</v>
      </c>
      <c r="F1892" s="4" t="s">
        <v>2464</v>
      </c>
      <c r="G1892" s="4" t="s">
        <v>59</v>
      </c>
      <c r="H1892" s="4" t="s">
        <v>476</v>
      </c>
    </row>
    <row r="1893" ht="15.75" customHeight="1">
      <c r="A1893" s="8"/>
      <c r="B1893" s="4" t="s">
        <v>4284</v>
      </c>
      <c r="C1893" s="5">
        <v>5000000.0</v>
      </c>
      <c r="D1893" s="5">
        <v>0.0</v>
      </c>
      <c r="E1893" s="5">
        <f t="shared" si="2"/>
        <v>24388100</v>
      </c>
      <c r="F1893" s="4" t="s">
        <v>2464</v>
      </c>
      <c r="G1893" s="4" t="s">
        <v>59</v>
      </c>
      <c r="H1893" s="4" t="s">
        <v>476</v>
      </c>
    </row>
    <row r="1894" ht="15.75" customHeight="1">
      <c r="A1894" s="8"/>
      <c r="B1894" s="4" t="s">
        <v>4371</v>
      </c>
      <c r="C1894" s="5">
        <v>8000000.0</v>
      </c>
      <c r="D1894" s="5">
        <v>0.0</v>
      </c>
      <c r="E1894" s="5">
        <f t="shared" si="2"/>
        <v>16388100</v>
      </c>
      <c r="F1894" s="4" t="s">
        <v>2464</v>
      </c>
      <c r="G1894" s="4" t="s">
        <v>59</v>
      </c>
      <c r="H1894" s="4" t="s">
        <v>476</v>
      </c>
    </row>
    <row r="1895" ht="15.75" customHeight="1">
      <c r="A1895" s="8"/>
      <c r="B1895" s="4" t="s">
        <v>4372</v>
      </c>
      <c r="C1895" s="5">
        <v>2709000.0</v>
      </c>
      <c r="D1895" s="5">
        <v>0.0</v>
      </c>
      <c r="E1895" s="5">
        <f t="shared" si="2"/>
        <v>13679100</v>
      </c>
      <c r="F1895" s="4" t="s">
        <v>2464</v>
      </c>
      <c r="G1895" s="4" t="s">
        <v>59</v>
      </c>
      <c r="H1895" s="4" t="s">
        <v>476</v>
      </c>
    </row>
    <row r="1896" ht="15.75" customHeight="1">
      <c r="A1896" s="8"/>
      <c r="B1896" s="4" t="s">
        <v>4373</v>
      </c>
      <c r="C1896" s="5">
        <v>155000.0</v>
      </c>
      <c r="D1896" s="5">
        <v>0.0</v>
      </c>
      <c r="E1896" s="5">
        <f t="shared" si="2"/>
        <v>13524100</v>
      </c>
      <c r="F1896" s="4" t="s">
        <v>2464</v>
      </c>
      <c r="G1896" s="4" t="s">
        <v>59</v>
      </c>
      <c r="H1896" s="4" t="s">
        <v>476</v>
      </c>
    </row>
    <row r="1897" ht="15.75" customHeight="1">
      <c r="A1897" s="8"/>
      <c r="B1897" s="4" t="s">
        <v>4374</v>
      </c>
      <c r="C1897" s="5">
        <v>400000.0</v>
      </c>
      <c r="D1897" s="5">
        <v>0.0</v>
      </c>
      <c r="E1897" s="5">
        <f t="shared" si="2"/>
        <v>13124100</v>
      </c>
      <c r="F1897" s="4" t="s">
        <v>2464</v>
      </c>
      <c r="G1897" s="4" t="s">
        <v>59</v>
      </c>
      <c r="H1897" s="4" t="s">
        <v>476</v>
      </c>
    </row>
    <row r="1898" ht="15.75" customHeight="1">
      <c r="A1898" s="8"/>
      <c r="B1898" s="4" t="s">
        <v>4375</v>
      </c>
      <c r="C1898" s="5">
        <v>1180000.0</v>
      </c>
      <c r="D1898" s="5">
        <v>0.0</v>
      </c>
      <c r="E1898" s="5">
        <f t="shared" si="2"/>
        <v>11944100</v>
      </c>
      <c r="F1898" s="4" t="s">
        <v>2464</v>
      </c>
      <c r="G1898" s="4" t="s">
        <v>59</v>
      </c>
      <c r="H1898" s="4" t="s">
        <v>476</v>
      </c>
    </row>
    <row r="1899" ht="15.75" customHeight="1">
      <c r="A1899" s="8"/>
      <c r="B1899" s="4" t="s">
        <v>4376</v>
      </c>
      <c r="C1899" s="5">
        <v>615000.0</v>
      </c>
      <c r="D1899" s="5">
        <v>0.0</v>
      </c>
      <c r="E1899" s="5">
        <f t="shared" si="2"/>
        <v>11329100</v>
      </c>
      <c r="F1899" s="4" t="s">
        <v>2464</v>
      </c>
      <c r="G1899" s="4" t="s">
        <v>59</v>
      </c>
      <c r="H1899" s="4" t="s">
        <v>476</v>
      </c>
    </row>
    <row r="1900" ht="15.75" customHeight="1">
      <c r="A1900" s="8"/>
      <c r="B1900" s="4" t="s">
        <v>4377</v>
      </c>
      <c r="C1900" s="5">
        <v>280000.0</v>
      </c>
      <c r="D1900" s="5">
        <v>0.0</v>
      </c>
      <c r="E1900" s="5">
        <f t="shared" si="2"/>
        <v>11049100</v>
      </c>
      <c r="F1900" s="4" t="s">
        <v>2464</v>
      </c>
      <c r="G1900" s="4" t="s">
        <v>59</v>
      </c>
      <c r="H1900" s="4" t="s">
        <v>476</v>
      </c>
    </row>
    <row r="1901" ht="15.75" customHeight="1">
      <c r="A1901" s="8"/>
      <c r="B1901" s="4" t="s">
        <v>4378</v>
      </c>
      <c r="C1901" s="5">
        <v>288000.0</v>
      </c>
      <c r="D1901" s="5">
        <v>0.0</v>
      </c>
      <c r="E1901" s="5">
        <f t="shared" si="2"/>
        <v>10761100</v>
      </c>
      <c r="F1901" s="4" t="s">
        <v>2464</v>
      </c>
      <c r="G1901" s="4" t="s">
        <v>59</v>
      </c>
      <c r="H1901" s="4" t="s">
        <v>476</v>
      </c>
    </row>
    <row r="1902" ht="15.75" customHeight="1">
      <c r="A1902" s="8"/>
      <c r="B1902" s="4" t="s">
        <v>4379</v>
      </c>
      <c r="C1902" s="5">
        <v>2080000.0</v>
      </c>
      <c r="D1902" s="5">
        <v>0.0</v>
      </c>
      <c r="E1902" s="5">
        <f t="shared" si="2"/>
        <v>8681100</v>
      </c>
      <c r="F1902" s="4" t="s">
        <v>2464</v>
      </c>
      <c r="G1902" s="4" t="s">
        <v>59</v>
      </c>
      <c r="H1902" s="4" t="s">
        <v>476</v>
      </c>
    </row>
    <row r="1903" ht="15.75" customHeight="1">
      <c r="A1903" s="8"/>
      <c r="B1903" s="4" t="s">
        <v>4380</v>
      </c>
      <c r="C1903" s="5">
        <v>180000.0</v>
      </c>
      <c r="D1903" s="5">
        <v>0.0</v>
      </c>
      <c r="E1903" s="5">
        <f t="shared" si="2"/>
        <v>8501100</v>
      </c>
      <c r="F1903" s="4" t="s">
        <v>2464</v>
      </c>
      <c r="G1903" s="4" t="s">
        <v>59</v>
      </c>
      <c r="H1903" s="4" t="s">
        <v>476</v>
      </c>
    </row>
    <row r="1904" ht="15.75" customHeight="1">
      <c r="A1904" s="8"/>
      <c r="B1904" s="4" t="s">
        <v>4381</v>
      </c>
      <c r="C1904" s="5">
        <v>500000.0</v>
      </c>
      <c r="D1904" s="5">
        <v>0.0</v>
      </c>
      <c r="E1904" s="5">
        <f t="shared" si="2"/>
        <v>8001100</v>
      </c>
      <c r="F1904" s="4" t="s">
        <v>2464</v>
      </c>
      <c r="G1904" s="4" t="s">
        <v>59</v>
      </c>
      <c r="H1904" s="4" t="s">
        <v>476</v>
      </c>
    </row>
    <row r="1905" ht="15.75" customHeight="1">
      <c r="A1905" s="8"/>
      <c r="B1905" s="4" t="s">
        <v>4382</v>
      </c>
      <c r="C1905" s="5">
        <v>5000000.0</v>
      </c>
      <c r="D1905" s="5">
        <v>0.0</v>
      </c>
      <c r="E1905" s="5">
        <f t="shared" si="2"/>
        <v>3001100</v>
      </c>
      <c r="F1905" s="4" t="s">
        <v>2464</v>
      </c>
      <c r="G1905" s="4" t="s">
        <v>59</v>
      </c>
      <c r="H1905" s="4" t="s">
        <v>476</v>
      </c>
    </row>
    <row r="1906" ht="15.75" customHeight="1">
      <c r="A1906" s="8"/>
      <c r="B1906" s="4" t="s">
        <v>4383</v>
      </c>
      <c r="C1906" s="5">
        <v>200000.0</v>
      </c>
      <c r="D1906" s="5">
        <v>0.0</v>
      </c>
      <c r="E1906" s="5">
        <f t="shared" si="2"/>
        <v>2801100</v>
      </c>
      <c r="F1906" s="4" t="s">
        <v>2464</v>
      </c>
      <c r="G1906" s="4" t="s">
        <v>59</v>
      </c>
      <c r="H1906" s="4" t="s">
        <v>476</v>
      </c>
    </row>
    <row r="1907" ht="15.75" customHeight="1">
      <c r="A1907" s="8"/>
      <c r="B1907" s="4" t="s">
        <v>4384</v>
      </c>
      <c r="C1907" s="5">
        <v>300000.0</v>
      </c>
      <c r="D1907" s="5">
        <v>0.0</v>
      </c>
      <c r="E1907" s="5">
        <f t="shared" si="2"/>
        <v>2501100</v>
      </c>
      <c r="F1907" s="4" t="s">
        <v>2464</v>
      </c>
      <c r="G1907" s="4" t="s">
        <v>59</v>
      </c>
      <c r="H1907" s="4" t="s">
        <v>476</v>
      </c>
    </row>
    <row r="1908" ht="15.75" customHeight="1">
      <c r="A1908" s="8"/>
      <c r="B1908" s="4" t="s">
        <v>4385</v>
      </c>
      <c r="C1908" s="5">
        <v>2501100.0</v>
      </c>
      <c r="D1908" s="5">
        <v>0.0</v>
      </c>
      <c r="E1908" s="5">
        <f t="shared" si="2"/>
        <v>0</v>
      </c>
      <c r="F1908" s="4" t="s">
        <v>21</v>
      </c>
      <c r="G1908" s="4" t="s">
        <v>41</v>
      </c>
      <c r="H1908" s="4" t="s">
        <v>156</v>
      </c>
    </row>
    <row r="1909" ht="15.75" customHeight="1">
      <c r="A1909" s="8">
        <v>46084.0</v>
      </c>
      <c r="B1909" s="4" t="s">
        <v>749</v>
      </c>
      <c r="C1909" s="5">
        <v>0.0</v>
      </c>
      <c r="D1909" s="5">
        <v>3.5E7</v>
      </c>
      <c r="E1909" s="5">
        <f t="shared" si="2"/>
        <v>35000000</v>
      </c>
      <c r="F1909" s="4" t="s">
        <v>21</v>
      </c>
      <c r="G1909" s="4" t="s">
        <v>184</v>
      </c>
      <c r="H1909" s="4" t="s">
        <v>4386</v>
      </c>
    </row>
    <row r="1910" ht="15.75" customHeight="1">
      <c r="A1910" s="8"/>
      <c r="B1910" s="4" t="s">
        <v>4387</v>
      </c>
      <c r="C1910" s="5">
        <v>305000.0</v>
      </c>
      <c r="D1910" s="5">
        <v>0.0</v>
      </c>
      <c r="E1910" s="5">
        <f t="shared" si="2"/>
        <v>34695000</v>
      </c>
      <c r="F1910" s="15" t="s">
        <v>2464</v>
      </c>
      <c r="G1910" s="4" t="s">
        <v>59</v>
      </c>
      <c r="H1910" s="14" t="s">
        <v>638</v>
      </c>
    </row>
    <row r="1911" ht="15.75" customHeight="1">
      <c r="A1911" s="8"/>
      <c r="B1911" s="4" t="s">
        <v>4388</v>
      </c>
      <c r="C1911" s="5">
        <v>84400.0</v>
      </c>
      <c r="D1911" s="5">
        <v>0.0</v>
      </c>
      <c r="E1911" s="5">
        <f t="shared" si="2"/>
        <v>34610600</v>
      </c>
      <c r="F1911" s="15" t="s">
        <v>2464</v>
      </c>
      <c r="G1911" s="4" t="s">
        <v>59</v>
      </c>
      <c r="H1911" s="14" t="s">
        <v>638</v>
      </c>
    </row>
    <row r="1912" ht="15.75" customHeight="1">
      <c r="A1912" s="8"/>
      <c r="B1912" s="4" t="s">
        <v>4389</v>
      </c>
      <c r="C1912" s="5">
        <v>3.0E7</v>
      </c>
      <c r="D1912" s="5">
        <v>0.0</v>
      </c>
      <c r="E1912" s="5">
        <f t="shared" si="2"/>
        <v>4610600</v>
      </c>
      <c r="F1912" s="15" t="s">
        <v>2464</v>
      </c>
      <c r="G1912" s="4" t="s">
        <v>59</v>
      </c>
      <c r="H1912" s="14" t="s">
        <v>638</v>
      </c>
    </row>
    <row r="1913" ht="15.75" customHeight="1">
      <c r="A1913" s="8"/>
      <c r="B1913" s="4" t="s">
        <v>4390</v>
      </c>
      <c r="C1913" s="5">
        <v>1000000.0</v>
      </c>
      <c r="D1913" s="5">
        <v>0.0</v>
      </c>
      <c r="E1913" s="5">
        <f t="shared" si="2"/>
        <v>3610600</v>
      </c>
      <c r="F1913" s="15" t="s">
        <v>2464</v>
      </c>
      <c r="G1913" s="4" t="s">
        <v>59</v>
      </c>
      <c r="H1913" s="14" t="s">
        <v>638</v>
      </c>
    </row>
    <row r="1914" ht="15.75" customHeight="1">
      <c r="A1914" s="8"/>
      <c r="B1914" s="4" t="s">
        <v>4391</v>
      </c>
      <c r="C1914" s="5">
        <v>177000.0</v>
      </c>
      <c r="D1914" s="5">
        <v>0.0</v>
      </c>
      <c r="E1914" s="5">
        <f t="shared" si="2"/>
        <v>3433600</v>
      </c>
      <c r="F1914" s="15" t="s">
        <v>2464</v>
      </c>
      <c r="G1914" s="4" t="s">
        <v>59</v>
      </c>
      <c r="H1914" s="14" t="s">
        <v>638</v>
      </c>
    </row>
    <row r="1915" ht="15.75" customHeight="1">
      <c r="A1915" s="8"/>
      <c r="B1915" s="4" t="s">
        <v>4392</v>
      </c>
      <c r="C1915" s="5">
        <v>1000000.0</v>
      </c>
      <c r="D1915" s="5">
        <v>0.0</v>
      </c>
      <c r="E1915" s="5">
        <f t="shared" si="2"/>
        <v>2433600</v>
      </c>
      <c r="F1915" s="15" t="s">
        <v>2464</v>
      </c>
      <c r="G1915" s="4" t="s">
        <v>59</v>
      </c>
      <c r="H1915" s="14" t="s">
        <v>638</v>
      </c>
    </row>
    <row r="1916" ht="15.75" customHeight="1">
      <c r="A1916" s="8"/>
      <c r="B1916" s="4" t="s">
        <v>4393</v>
      </c>
      <c r="C1916" s="5">
        <v>60000.0</v>
      </c>
      <c r="D1916" s="5">
        <v>0.0</v>
      </c>
      <c r="E1916" s="5">
        <f t="shared" si="2"/>
        <v>2373600</v>
      </c>
      <c r="F1916" s="15" t="s">
        <v>2464</v>
      </c>
      <c r="G1916" s="4" t="s">
        <v>59</v>
      </c>
      <c r="H1916" s="14" t="s">
        <v>638</v>
      </c>
    </row>
    <row r="1917" ht="15.75" customHeight="1">
      <c r="A1917" s="8">
        <v>46113.0</v>
      </c>
      <c r="B1917" s="4" t="s">
        <v>1116</v>
      </c>
      <c r="C1917" s="5">
        <v>2373600.0</v>
      </c>
      <c r="D1917" s="5">
        <v>0.0</v>
      </c>
      <c r="E1917" s="5">
        <f t="shared" si="2"/>
        <v>0</v>
      </c>
      <c r="F1917" s="4" t="s">
        <v>21</v>
      </c>
      <c r="G1917" s="4" t="s">
        <v>41</v>
      </c>
      <c r="H1917" s="4" t="s">
        <v>4386</v>
      </c>
    </row>
    <row r="1918" ht="15.75" customHeight="1">
      <c r="A1918" s="8">
        <v>46084.0</v>
      </c>
      <c r="B1918" s="4" t="s">
        <v>742</v>
      </c>
      <c r="C1918" s="5">
        <v>0.0</v>
      </c>
      <c r="D1918" s="5">
        <v>1.0E7</v>
      </c>
      <c r="E1918" s="5">
        <f t="shared" si="2"/>
        <v>10000000</v>
      </c>
      <c r="F1918" s="4" t="s">
        <v>21</v>
      </c>
      <c r="G1918" s="4" t="s">
        <v>184</v>
      </c>
      <c r="H1918" s="4" t="s">
        <v>4394</v>
      </c>
    </row>
    <row r="1919" ht="15.75" customHeight="1">
      <c r="A1919" s="8"/>
      <c r="B1919" s="4" t="s">
        <v>4395</v>
      </c>
      <c r="C1919" s="5">
        <v>75330.0</v>
      </c>
      <c r="D1919" s="5">
        <v>0.0</v>
      </c>
      <c r="E1919" s="5">
        <f t="shared" si="2"/>
        <v>9924670</v>
      </c>
      <c r="F1919" s="4" t="s">
        <v>2464</v>
      </c>
      <c r="G1919" s="4" t="s">
        <v>59</v>
      </c>
      <c r="H1919" s="4" t="s">
        <v>404</v>
      </c>
    </row>
    <row r="1920" ht="15.75" customHeight="1">
      <c r="A1920" s="8"/>
      <c r="B1920" s="4" t="s">
        <v>4396</v>
      </c>
      <c r="C1920" s="5">
        <v>7000.0</v>
      </c>
      <c r="D1920" s="5">
        <v>0.0</v>
      </c>
      <c r="E1920" s="5">
        <f t="shared" si="2"/>
        <v>9917670</v>
      </c>
      <c r="F1920" s="4" t="s">
        <v>2464</v>
      </c>
      <c r="G1920" s="4" t="s">
        <v>59</v>
      </c>
      <c r="H1920" s="4" t="s">
        <v>404</v>
      </c>
    </row>
    <row r="1921" ht="15.75" customHeight="1">
      <c r="A1921" s="8"/>
      <c r="B1921" s="4" t="s">
        <v>4396</v>
      </c>
      <c r="C1921" s="5">
        <v>7000.0</v>
      </c>
      <c r="D1921" s="5">
        <v>0.0</v>
      </c>
      <c r="E1921" s="5">
        <f t="shared" si="2"/>
        <v>9910670</v>
      </c>
      <c r="F1921" s="4" t="s">
        <v>2464</v>
      </c>
      <c r="G1921" s="4" t="s">
        <v>59</v>
      </c>
      <c r="H1921" s="4" t="s">
        <v>404</v>
      </c>
    </row>
    <row r="1922" ht="15.75" customHeight="1">
      <c r="A1922" s="8"/>
      <c r="B1922" s="4" t="s">
        <v>4397</v>
      </c>
      <c r="C1922" s="5">
        <v>150000.0</v>
      </c>
      <c r="D1922" s="5">
        <v>0.0</v>
      </c>
      <c r="E1922" s="5">
        <f t="shared" si="2"/>
        <v>9760670</v>
      </c>
      <c r="F1922" s="4" t="s">
        <v>2464</v>
      </c>
      <c r="G1922" s="4" t="s">
        <v>59</v>
      </c>
      <c r="H1922" s="4" t="s">
        <v>404</v>
      </c>
    </row>
    <row r="1923" ht="15.75" customHeight="1">
      <c r="A1923" s="8"/>
      <c r="B1923" s="4" t="s">
        <v>4398</v>
      </c>
      <c r="C1923" s="5">
        <v>200000.0</v>
      </c>
      <c r="D1923" s="5">
        <v>0.0</v>
      </c>
      <c r="E1923" s="5">
        <f t="shared" si="2"/>
        <v>9560670</v>
      </c>
      <c r="F1923" s="4" t="s">
        <v>2464</v>
      </c>
      <c r="G1923" s="4" t="s">
        <v>59</v>
      </c>
      <c r="H1923" s="4" t="s">
        <v>404</v>
      </c>
    </row>
    <row r="1924" ht="15.75" customHeight="1">
      <c r="A1924" s="8"/>
      <c r="B1924" s="4" t="s">
        <v>3342</v>
      </c>
      <c r="C1924" s="5">
        <v>161970.0</v>
      </c>
      <c r="D1924" s="5">
        <v>0.0</v>
      </c>
      <c r="E1924" s="5">
        <f t="shared" si="2"/>
        <v>9398700</v>
      </c>
      <c r="F1924" s="4" t="s">
        <v>2464</v>
      </c>
      <c r="G1924" s="4" t="s">
        <v>59</v>
      </c>
      <c r="H1924" s="4" t="s">
        <v>404</v>
      </c>
    </row>
    <row r="1925" ht="15.75" customHeight="1">
      <c r="A1925" s="8"/>
      <c r="B1925" s="4" t="s">
        <v>4399</v>
      </c>
      <c r="C1925" s="5">
        <v>6000000.0</v>
      </c>
      <c r="D1925" s="5">
        <v>0.0</v>
      </c>
      <c r="E1925" s="5">
        <f t="shared" si="2"/>
        <v>3398700</v>
      </c>
      <c r="F1925" s="4" t="s">
        <v>2464</v>
      </c>
      <c r="G1925" s="4" t="s">
        <v>59</v>
      </c>
      <c r="H1925" s="4" t="s">
        <v>404</v>
      </c>
    </row>
    <row r="1926" ht="15.75" customHeight="1">
      <c r="A1926" s="8"/>
      <c r="B1926" s="4" t="s">
        <v>4400</v>
      </c>
      <c r="C1926" s="5">
        <v>252500.0</v>
      </c>
      <c r="D1926" s="5">
        <v>0.0</v>
      </c>
      <c r="E1926" s="5">
        <f t="shared" si="2"/>
        <v>3146200</v>
      </c>
      <c r="F1926" s="4" t="s">
        <v>2464</v>
      </c>
      <c r="G1926" s="4" t="s">
        <v>59</v>
      </c>
      <c r="H1926" s="4" t="s">
        <v>404</v>
      </c>
    </row>
    <row r="1927" ht="15.75" customHeight="1">
      <c r="A1927" s="8"/>
      <c r="B1927" s="4" t="s">
        <v>4401</v>
      </c>
      <c r="C1927" s="5">
        <v>256500.0</v>
      </c>
      <c r="D1927" s="5">
        <v>0.0</v>
      </c>
      <c r="E1927" s="5">
        <f t="shared" si="2"/>
        <v>2889700</v>
      </c>
      <c r="F1927" s="4" t="s">
        <v>2464</v>
      </c>
      <c r="G1927" s="4" t="s">
        <v>59</v>
      </c>
      <c r="H1927" s="4" t="s">
        <v>404</v>
      </c>
    </row>
    <row r="1928" ht="15.75" customHeight="1">
      <c r="A1928" s="8"/>
      <c r="B1928" s="4" t="s">
        <v>4402</v>
      </c>
      <c r="C1928" s="5">
        <v>167500.0</v>
      </c>
      <c r="D1928" s="5">
        <v>0.0</v>
      </c>
      <c r="E1928" s="5">
        <f t="shared" si="2"/>
        <v>2722200</v>
      </c>
      <c r="F1928" s="4" t="s">
        <v>2464</v>
      </c>
      <c r="G1928" s="4" t="s">
        <v>59</v>
      </c>
      <c r="H1928" s="4" t="s">
        <v>404</v>
      </c>
    </row>
    <row r="1929" ht="15.75" customHeight="1">
      <c r="A1929" s="8"/>
      <c r="B1929" s="4" t="s">
        <v>4403</v>
      </c>
      <c r="C1929" s="5">
        <v>35000.0</v>
      </c>
      <c r="D1929" s="5">
        <v>0.0</v>
      </c>
      <c r="E1929" s="5">
        <f t="shared" si="2"/>
        <v>2687200</v>
      </c>
      <c r="F1929" s="4" t="s">
        <v>2464</v>
      </c>
      <c r="G1929" s="4" t="s">
        <v>59</v>
      </c>
      <c r="H1929" s="4" t="s">
        <v>404</v>
      </c>
    </row>
    <row r="1930" ht="15.75" customHeight="1">
      <c r="A1930" s="8"/>
      <c r="B1930" s="4" t="s">
        <v>4404</v>
      </c>
      <c r="C1930" s="5">
        <v>40000.0</v>
      </c>
      <c r="D1930" s="5">
        <v>0.0</v>
      </c>
      <c r="E1930" s="5">
        <f t="shared" si="2"/>
        <v>2647200</v>
      </c>
      <c r="F1930" s="4" t="s">
        <v>2464</v>
      </c>
      <c r="G1930" s="4" t="s">
        <v>59</v>
      </c>
      <c r="H1930" s="4" t="s">
        <v>404</v>
      </c>
    </row>
    <row r="1931" ht="15.75" customHeight="1">
      <c r="A1931" s="8"/>
      <c r="B1931" s="4" t="s">
        <v>4405</v>
      </c>
      <c r="C1931" s="5">
        <v>8500.0</v>
      </c>
      <c r="D1931" s="5">
        <v>0.0</v>
      </c>
      <c r="E1931" s="5">
        <f t="shared" si="2"/>
        <v>2638700</v>
      </c>
      <c r="F1931" s="4" t="s">
        <v>2464</v>
      </c>
      <c r="G1931" s="4" t="s">
        <v>59</v>
      </c>
      <c r="H1931" s="4" t="s">
        <v>404</v>
      </c>
    </row>
    <row r="1932" ht="15.75" customHeight="1">
      <c r="A1932" s="8"/>
      <c r="B1932" s="4" t="s">
        <v>4406</v>
      </c>
      <c r="C1932" s="5">
        <v>23000.0</v>
      </c>
      <c r="D1932" s="5">
        <v>0.0</v>
      </c>
      <c r="E1932" s="5">
        <f t="shared" si="2"/>
        <v>2615700</v>
      </c>
      <c r="F1932" s="4" t="s">
        <v>2464</v>
      </c>
      <c r="G1932" s="4" t="s">
        <v>59</v>
      </c>
      <c r="H1932" s="4" t="s">
        <v>404</v>
      </c>
    </row>
    <row r="1933" ht="15.75" customHeight="1">
      <c r="A1933" s="8"/>
      <c r="B1933" s="4" t="s">
        <v>4407</v>
      </c>
      <c r="C1933" s="5">
        <v>300000.0</v>
      </c>
      <c r="D1933" s="5">
        <v>0.0</v>
      </c>
      <c r="E1933" s="5">
        <f t="shared" si="2"/>
        <v>2315700</v>
      </c>
      <c r="F1933" s="4" t="s">
        <v>2464</v>
      </c>
      <c r="G1933" s="4" t="s">
        <v>59</v>
      </c>
      <c r="H1933" s="4" t="s">
        <v>404</v>
      </c>
    </row>
    <row r="1934" ht="15.75" customHeight="1">
      <c r="A1934" s="8"/>
      <c r="B1934" s="4" t="s">
        <v>4408</v>
      </c>
      <c r="C1934" s="5">
        <v>100000.0</v>
      </c>
      <c r="D1934" s="5">
        <v>0.0</v>
      </c>
      <c r="E1934" s="5">
        <f t="shared" si="2"/>
        <v>2215700</v>
      </c>
      <c r="F1934" s="4" t="s">
        <v>2464</v>
      </c>
      <c r="G1934" s="4" t="s">
        <v>59</v>
      </c>
      <c r="H1934" s="4" t="s">
        <v>404</v>
      </c>
    </row>
    <row r="1935" ht="15.75" customHeight="1">
      <c r="A1935" s="8"/>
      <c r="B1935" s="4" t="s">
        <v>4409</v>
      </c>
      <c r="C1935" s="5">
        <v>139000.0</v>
      </c>
      <c r="D1935" s="5">
        <v>0.0</v>
      </c>
      <c r="E1935" s="5">
        <f t="shared" si="2"/>
        <v>2076700</v>
      </c>
      <c r="F1935" s="4" t="s">
        <v>2464</v>
      </c>
      <c r="G1935" s="4" t="s">
        <v>59</v>
      </c>
      <c r="H1935" s="4" t="s">
        <v>404</v>
      </c>
    </row>
    <row r="1936" ht="15.75" customHeight="1">
      <c r="A1936" s="8"/>
      <c r="B1936" s="4" t="s">
        <v>4409</v>
      </c>
      <c r="C1936" s="5">
        <v>65000.0</v>
      </c>
      <c r="D1936" s="5">
        <v>0.0</v>
      </c>
      <c r="E1936" s="5">
        <f t="shared" si="2"/>
        <v>2011700</v>
      </c>
      <c r="F1936" s="4" t="s">
        <v>2464</v>
      </c>
      <c r="G1936" s="4" t="s">
        <v>59</v>
      </c>
      <c r="H1936" s="4" t="s">
        <v>404</v>
      </c>
    </row>
    <row r="1937" ht="15.75" customHeight="1">
      <c r="A1937" s="8">
        <v>46097.0</v>
      </c>
      <c r="B1937" s="4" t="s">
        <v>4410</v>
      </c>
      <c r="C1937" s="5">
        <v>2011700.0</v>
      </c>
      <c r="D1937" s="5">
        <v>0.0</v>
      </c>
      <c r="E1937" s="5">
        <f t="shared" si="2"/>
        <v>0</v>
      </c>
      <c r="F1937" s="4" t="s">
        <v>21</v>
      </c>
      <c r="G1937" s="4" t="s">
        <v>41</v>
      </c>
      <c r="H1937" s="4" t="s">
        <v>4394</v>
      </c>
    </row>
    <row r="1938" ht="15.75" customHeight="1">
      <c r="A1938" s="8">
        <v>46111.0</v>
      </c>
      <c r="B1938" s="4" t="s">
        <v>1062</v>
      </c>
      <c r="C1938" s="5">
        <v>0.0</v>
      </c>
      <c r="D1938" s="5">
        <v>1.0E7</v>
      </c>
      <c r="E1938" s="5">
        <f t="shared" si="2"/>
        <v>10000000</v>
      </c>
      <c r="F1938" s="15" t="s">
        <v>21</v>
      </c>
      <c r="G1938" s="4" t="s">
        <v>184</v>
      </c>
      <c r="H1938" s="4" t="s">
        <v>4411</v>
      </c>
    </row>
    <row r="1939" ht="15.75" customHeight="1">
      <c r="A1939" s="8"/>
      <c r="B1939" s="4" t="s">
        <v>4412</v>
      </c>
      <c r="C1939" s="5">
        <v>51700.0</v>
      </c>
      <c r="D1939" s="5">
        <v>0.0</v>
      </c>
      <c r="E1939" s="5">
        <f t="shared" si="2"/>
        <v>9948300</v>
      </c>
      <c r="F1939" s="4" t="s">
        <v>2464</v>
      </c>
      <c r="G1939" s="4" t="s">
        <v>59</v>
      </c>
      <c r="H1939" s="4" t="s">
        <v>61</v>
      </c>
    </row>
    <row r="1940" ht="15.75" customHeight="1">
      <c r="A1940" s="8"/>
      <c r="B1940" s="4" t="s">
        <v>4413</v>
      </c>
      <c r="C1940" s="5">
        <v>78200.0</v>
      </c>
      <c r="D1940" s="5">
        <v>0.0</v>
      </c>
      <c r="E1940" s="5">
        <f t="shared" si="2"/>
        <v>9870100</v>
      </c>
      <c r="F1940" s="4" t="s">
        <v>2464</v>
      </c>
      <c r="G1940" s="4" t="s">
        <v>59</v>
      </c>
      <c r="H1940" s="4" t="s">
        <v>61</v>
      </c>
    </row>
    <row r="1941" ht="15.75" customHeight="1">
      <c r="A1941" s="8"/>
      <c r="B1941" s="4" t="s">
        <v>4414</v>
      </c>
      <c r="C1941" s="5">
        <v>270000.0</v>
      </c>
      <c r="D1941" s="5">
        <v>0.0</v>
      </c>
      <c r="E1941" s="5">
        <f t="shared" si="2"/>
        <v>9600100</v>
      </c>
      <c r="F1941" s="4" t="s">
        <v>2464</v>
      </c>
      <c r="G1941" s="4" t="s">
        <v>59</v>
      </c>
      <c r="H1941" s="4" t="s">
        <v>61</v>
      </c>
    </row>
    <row r="1942" ht="15.75" customHeight="1">
      <c r="A1942" s="8"/>
      <c r="B1942" s="4" t="s">
        <v>4415</v>
      </c>
      <c r="C1942" s="5">
        <v>60500.0</v>
      </c>
      <c r="D1942" s="5">
        <v>0.0</v>
      </c>
      <c r="E1942" s="5">
        <f t="shared" si="2"/>
        <v>9539600</v>
      </c>
      <c r="F1942" s="4" t="s">
        <v>2464</v>
      </c>
      <c r="G1942" s="4" t="s">
        <v>59</v>
      </c>
      <c r="H1942" s="4" t="s">
        <v>61</v>
      </c>
    </row>
    <row r="1943" ht="15.75" customHeight="1">
      <c r="A1943" s="8"/>
      <c r="B1943" s="4" t="s">
        <v>4416</v>
      </c>
      <c r="C1943" s="5">
        <v>534188.0</v>
      </c>
      <c r="D1943" s="5">
        <v>0.0</v>
      </c>
      <c r="E1943" s="5">
        <f t="shared" si="2"/>
        <v>9005412</v>
      </c>
      <c r="F1943" s="4" t="s">
        <v>2464</v>
      </c>
      <c r="G1943" s="4" t="s">
        <v>59</v>
      </c>
      <c r="H1943" s="4" t="s">
        <v>61</v>
      </c>
    </row>
    <row r="1944" ht="15.75" customHeight="1">
      <c r="A1944" s="8"/>
      <c r="B1944" s="4" t="s">
        <v>4417</v>
      </c>
      <c r="C1944" s="5">
        <v>21000.0</v>
      </c>
      <c r="D1944" s="5">
        <v>0.0</v>
      </c>
      <c r="E1944" s="5">
        <f t="shared" si="2"/>
        <v>8984412</v>
      </c>
      <c r="F1944" s="4" t="s">
        <v>2464</v>
      </c>
      <c r="G1944" s="4" t="s">
        <v>59</v>
      </c>
      <c r="H1944" s="4" t="s">
        <v>61</v>
      </c>
    </row>
    <row r="1945" ht="15.75" customHeight="1">
      <c r="A1945" s="8"/>
      <c r="B1945" s="4" t="s">
        <v>4418</v>
      </c>
      <c r="C1945" s="5">
        <v>1590000.0</v>
      </c>
      <c r="D1945" s="5">
        <v>0.0</v>
      </c>
      <c r="E1945" s="5">
        <f t="shared" si="2"/>
        <v>7394412</v>
      </c>
      <c r="F1945" s="4" t="s">
        <v>2464</v>
      </c>
      <c r="G1945" s="4" t="s">
        <v>59</v>
      </c>
      <c r="H1945" s="4" t="s">
        <v>61</v>
      </c>
    </row>
    <row r="1946" ht="15.75" customHeight="1">
      <c r="A1946" s="8"/>
      <c r="B1946" s="4" t="s">
        <v>4419</v>
      </c>
      <c r="C1946" s="5">
        <v>300000.0</v>
      </c>
      <c r="D1946" s="5">
        <v>0.0</v>
      </c>
      <c r="E1946" s="5">
        <f t="shared" si="2"/>
        <v>7094412</v>
      </c>
      <c r="F1946" s="4" t="s">
        <v>2464</v>
      </c>
      <c r="G1946" s="4" t="s">
        <v>59</v>
      </c>
      <c r="H1946" s="4" t="s">
        <v>61</v>
      </c>
    </row>
    <row r="1947" ht="15.75" customHeight="1">
      <c r="A1947" s="8"/>
      <c r="B1947" s="4" t="s">
        <v>4420</v>
      </c>
      <c r="C1947" s="5">
        <v>400000.0</v>
      </c>
      <c r="D1947" s="5">
        <v>0.0</v>
      </c>
      <c r="E1947" s="5">
        <f t="shared" si="2"/>
        <v>6694412</v>
      </c>
      <c r="F1947" s="4" t="s">
        <v>2464</v>
      </c>
      <c r="G1947" s="4" t="s">
        <v>59</v>
      </c>
      <c r="H1947" s="4" t="s">
        <v>61</v>
      </c>
    </row>
    <row r="1948" ht="15.75" customHeight="1">
      <c r="A1948" s="8"/>
      <c r="B1948" s="4" t="s">
        <v>4421</v>
      </c>
      <c r="C1948" s="5">
        <v>1800000.0</v>
      </c>
      <c r="D1948" s="5">
        <v>0.0</v>
      </c>
      <c r="E1948" s="5">
        <f t="shared" si="2"/>
        <v>4894412</v>
      </c>
      <c r="F1948" s="4" t="s">
        <v>2464</v>
      </c>
      <c r="G1948" s="4" t="s">
        <v>59</v>
      </c>
      <c r="H1948" s="4" t="s">
        <v>61</v>
      </c>
    </row>
    <row r="1949" ht="15.75" customHeight="1">
      <c r="A1949" s="8"/>
      <c r="B1949" s="4" t="s">
        <v>4422</v>
      </c>
      <c r="C1949" s="5">
        <v>200000.0</v>
      </c>
      <c r="D1949" s="5">
        <v>0.0</v>
      </c>
      <c r="E1949" s="5">
        <f t="shared" si="2"/>
        <v>4694412</v>
      </c>
      <c r="F1949" s="4" t="s">
        <v>2464</v>
      </c>
      <c r="G1949" s="4" t="s">
        <v>59</v>
      </c>
      <c r="H1949" s="4" t="s">
        <v>61</v>
      </c>
    </row>
    <row r="1950" ht="15.75" customHeight="1">
      <c r="A1950" s="8"/>
      <c r="B1950" s="4" t="s">
        <v>4423</v>
      </c>
      <c r="C1950" s="5">
        <v>200000.0</v>
      </c>
      <c r="D1950" s="5">
        <v>0.0</v>
      </c>
      <c r="E1950" s="5">
        <f t="shared" si="2"/>
        <v>4494412</v>
      </c>
      <c r="F1950" s="4" t="s">
        <v>2464</v>
      </c>
      <c r="G1950" s="4" t="s">
        <v>59</v>
      </c>
      <c r="H1950" s="4" t="s">
        <v>61</v>
      </c>
    </row>
    <row r="1951" ht="15.75" customHeight="1">
      <c r="A1951" s="8"/>
      <c r="B1951" s="4" t="s">
        <v>4424</v>
      </c>
      <c r="C1951" s="5">
        <v>1050000.0</v>
      </c>
      <c r="D1951" s="5">
        <v>0.0</v>
      </c>
      <c r="E1951" s="5">
        <f t="shared" si="2"/>
        <v>3444412</v>
      </c>
      <c r="F1951" s="4" t="s">
        <v>2464</v>
      </c>
      <c r="G1951" s="4" t="s">
        <v>59</v>
      </c>
      <c r="H1951" s="4" t="s">
        <v>61</v>
      </c>
    </row>
    <row r="1952" ht="15.75" customHeight="1">
      <c r="A1952" s="8"/>
      <c r="B1952" s="4" t="s">
        <v>4425</v>
      </c>
      <c r="C1952" s="5">
        <v>3500000.0</v>
      </c>
      <c r="D1952" s="5">
        <v>0.0</v>
      </c>
      <c r="E1952" s="5">
        <f t="shared" si="2"/>
        <v>-55588</v>
      </c>
      <c r="F1952" s="4" t="s">
        <v>2464</v>
      </c>
      <c r="G1952" s="4" t="s">
        <v>59</v>
      </c>
      <c r="H1952" s="4" t="s">
        <v>61</v>
      </c>
    </row>
    <row r="1953" ht="15.75" customHeight="1">
      <c r="A1953" s="8"/>
      <c r="B1953" s="4" t="s">
        <v>4426</v>
      </c>
      <c r="C1953" s="5">
        <v>919000.0</v>
      </c>
      <c r="D1953" s="5">
        <v>0.0</v>
      </c>
      <c r="E1953" s="5">
        <f t="shared" si="2"/>
        <v>-974588</v>
      </c>
      <c r="F1953" s="4" t="s">
        <v>2464</v>
      </c>
      <c r="G1953" s="4" t="s">
        <v>59</v>
      </c>
      <c r="H1953" s="4" t="s">
        <v>61</v>
      </c>
    </row>
    <row r="1954" ht="15.75" customHeight="1">
      <c r="A1954" s="8"/>
      <c r="B1954" s="4" t="s">
        <v>4427</v>
      </c>
      <c r="C1954" s="5">
        <v>227880.0</v>
      </c>
      <c r="D1954" s="5">
        <v>0.0</v>
      </c>
      <c r="E1954" s="5">
        <f t="shared" si="2"/>
        <v>-1202468</v>
      </c>
      <c r="F1954" s="4" t="s">
        <v>2464</v>
      </c>
      <c r="G1954" s="4" t="s">
        <v>59</v>
      </c>
      <c r="H1954" s="4" t="s">
        <v>61</v>
      </c>
    </row>
    <row r="1955" ht="15.75" customHeight="1">
      <c r="A1955" s="8"/>
      <c r="B1955" s="4" t="s">
        <v>4428</v>
      </c>
      <c r="C1955" s="5">
        <v>124500.0</v>
      </c>
      <c r="D1955" s="5">
        <v>0.0</v>
      </c>
      <c r="E1955" s="5">
        <f t="shared" si="2"/>
        <v>-1326968</v>
      </c>
      <c r="F1955" s="4" t="s">
        <v>2464</v>
      </c>
      <c r="G1955" s="4" t="s">
        <v>59</v>
      </c>
      <c r="H1955" s="4" t="s">
        <v>61</v>
      </c>
    </row>
    <row r="1956" ht="15.75" customHeight="1">
      <c r="A1956" s="8"/>
      <c r="B1956" s="4" t="s">
        <v>4429</v>
      </c>
      <c r="C1956" s="5">
        <v>0.0</v>
      </c>
      <c r="D1956" s="5">
        <v>1326968.0</v>
      </c>
      <c r="E1956" s="5">
        <f t="shared" si="2"/>
        <v>0</v>
      </c>
      <c r="F1956" s="15" t="s">
        <v>21</v>
      </c>
      <c r="G1956" s="15" t="s">
        <v>184</v>
      </c>
      <c r="H1956" s="14" t="s">
        <v>4411</v>
      </c>
      <c r="I1956" s="4" t="s">
        <v>6</v>
      </c>
    </row>
    <row r="1957" ht="15.75" customHeight="1">
      <c r="A1957" s="8">
        <v>46093.0</v>
      </c>
      <c r="B1957" s="4" t="s">
        <v>4430</v>
      </c>
      <c r="C1957" s="5">
        <v>0.0</v>
      </c>
      <c r="D1957" s="5">
        <v>2.7E9</v>
      </c>
      <c r="E1957" s="5">
        <f t="shared" si="2"/>
        <v>2700000000</v>
      </c>
      <c r="F1957" s="4" t="s">
        <v>21</v>
      </c>
      <c r="G1957" s="4" t="s">
        <v>136</v>
      </c>
      <c r="H1957" s="4" t="s">
        <v>4431</v>
      </c>
    </row>
    <row r="1958" ht="15.75" customHeight="1">
      <c r="A1958" s="8"/>
      <c r="B1958" s="4" t="s">
        <v>4432</v>
      </c>
      <c r="C1958" s="5">
        <v>1.0E8</v>
      </c>
      <c r="D1958" s="5">
        <v>0.0</v>
      </c>
      <c r="E1958" s="5">
        <f t="shared" si="2"/>
        <v>2600000000</v>
      </c>
      <c r="F1958" s="4" t="s">
        <v>2464</v>
      </c>
      <c r="G1958" s="4" t="s">
        <v>59</v>
      </c>
      <c r="H1958" s="4" t="s">
        <v>931</v>
      </c>
    </row>
    <row r="1959" ht="15.75" customHeight="1">
      <c r="A1959" s="8"/>
      <c r="B1959" s="4" t="s">
        <v>4433</v>
      </c>
      <c r="C1959" s="5">
        <v>2.25E8</v>
      </c>
      <c r="D1959" s="5">
        <v>0.0</v>
      </c>
      <c r="E1959" s="5">
        <f t="shared" si="2"/>
        <v>2375000000</v>
      </c>
      <c r="F1959" s="4" t="s">
        <v>2464</v>
      </c>
      <c r="G1959" s="4" t="s">
        <v>59</v>
      </c>
      <c r="H1959" s="4" t="s">
        <v>931</v>
      </c>
    </row>
    <row r="1960" ht="15.75" customHeight="1">
      <c r="A1960" s="8"/>
      <c r="B1960" s="4" t="s">
        <v>4434</v>
      </c>
      <c r="C1960" s="5">
        <v>1.5E9</v>
      </c>
      <c r="D1960" s="5">
        <v>0.0</v>
      </c>
      <c r="E1960" s="5">
        <f t="shared" si="2"/>
        <v>875000000</v>
      </c>
      <c r="F1960" s="4" t="s">
        <v>2464</v>
      </c>
      <c r="G1960" s="4" t="s">
        <v>59</v>
      </c>
      <c r="H1960" s="4" t="s">
        <v>931</v>
      </c>
    </row>
    <row r="1961" ht="15.75" customHeight="1">
      <c r="A1961" s="8"/>
      <c r="B1961" s="4" t="s">
        <v>4284</v>
      </c>
      <c r="C1961" s="5">
        <v>5000000.0</v>
      </c>
      <c r="D1961" s="5">
        <v>0.0</v>
      </c>
      <c r="E1961" s="5">
        <f t="shared" si="2"/>
        <v>870000000</v>
      </c>
      <c r="F1961" s="4" t="s">
        <v>2464</v>
      </c>
      <c r="G1961" s="4" t="s">
        <v>59</v>
      </c>
      <c r="H1961" s="4" t="s">
        <v>931</v>
      </c>
    </row>
    <row r="1962" ht="15.75" customHeight="1">
      <c r="A1962" s="8"/>
      <c r="B1962" s="4" t="s">
        <v>4435</v>
      </c>
      <c r="C1962" s="5">
        <v>6000000.0</v>
      </c>
      <c r="D1962" s="5">
        <v>0.0</v>
      </c>
      <c r="E1962" s="5">
        <f t="shared" si="2"/>
        <v>864000000</v>
      </c>
      <c r="F1962" s="4" t="s">
        <v>2464</v>
      </c>
      <c r="G1962" s="4" t="s">
        <v>59</v>
      </c>
      <c r="H1962" s="4" t="s">
        <v>931</v>
      </c>
    </row>
    <row r="1963" ht="15.75" customHeight="1">
      <c r="A1963" s="8"/>
      <c r="B1963" s="4" t="s">
        <v>4436</v>
      </c>
      <c r="C1963" s="5">
        <v>2.6E7</v>
      </c>
      <c r="D1963" s="5">
        <v>0.0</v>
      </c>
      <c r="E1963" s="5">
        <f t="shared" si="2"/>
        <v>838000000</v>
      </c>
      <c r="F1963" s="4" t="s">
        <v>2464</v>
      </c>
      <c r="G1963" s="4" t="s">
        <v>59</v>
      </c>
      <c r="H1963" s="4" t="s">
        <v>931</v>
      </c>
    </row>
    <row r="1964" ht="15.75" customHeight="1">
      <c r="A1964" s="8"/>
      <c r="B1964" s="4" t="s">
        <v>4367</v>
      </c>
      <c r="C1964" s="5">
        <v>1.65E8</v>
      </c>
      <c r="D1964" s="5">
        <v>0.0</v>
      </c>
      <c r="E1964" s="5">
        <f t="shared" si="2"/>
        <v>673000000</v>
      </c>
      <c r="F1964" s="4" t="s">
        <v>2464</v>
      </c>
      <c r="G1964" s="4" t="s">
        <v>59</v>
      </c>
      <c r="H1964" s="4" t="s">
        <v>931</v>
      </c>
    </row>
    <row r="1965" ht="15.75" customHeight="1">
      <c r="A1965" s="8"/>
      <c r="B1965" s="4" t="s">
        <v>4368</v>
      </c>
      <c r="C1965" s="5">
        <v>2.0361E8</v>
      </c>
      <c r="D1965" s="5">
        <v>0.0</v>
      </c>
      <c r="E1965" s="5">
        <f t="shared" si="2"/>
        <v>469390000</v>
      </c>
      <c r="F1965" s="4" t="s">
        <v>2464</v>
      </c>
      <c r="G1965" s="4" t="s">
        <v>59</v>
      </c>
      <c r="H1965" s="4" t="s">
        <v>931</v>
      </c>
    </row>
    <row r="1966" ht="15.75" customHeight="1">
      <c r="A1966" s="8"/>
      <c r="B1966" s="4" t="s">
        <v>4437</v>
      </c>
      <c r="C1966" s="5">
        <v>2000000.0</v>
      </c>
      <c r="D1966" s="5">
        <v>0.0</v>
      </c>
      <c r="E1966" s="5">
        <f t="shared" si="2"/>
        <v>467390000</v>
      </c>
      <c r="F1966" s="4" t="s">
        <v>2464</v>
      </c>
      <c r="G1966" s="4" t="s">
        <v>59</v>
      </c>
      <c r="H1966" s="4" t="s">
        <v>931</v>
      </c>
    </row>
    <row r="1967" ht="15.75" customHeight="1">
      <c r="A1967" s="8"/>
      <c r="B1967" s="4" t="s">
        <v>4438</v>
      </c>
      <c r="C1967" s="5">
        <v>1.0E7</v>
      </c>
      <c r="D1967" s="5">
        <v>0.0</v>
      </c>
      <c r="E1967" s="5">
        <f t="shared" si="2"/>
        <v>457390000</v>
      </c>
      <c r="F1967" s="4" t="s">
        <v>2464</v>
      </c>
      <c r="G1967" s="4" t="s">
        <v>59</v>
      </c>
      <c r="H1967" s="4" t="s">
        <v>931</v>
      </c>
    </row>
    <row r="1968" ht="15.75" customHeight="1">
      <c r="A1968" s="8"/>
      <c r="B1968" s="4" t="s">
        <v>4439</v>
      </c>
      <c r="C1968" s="5">
        <v>400000.0</v>
      </c>
      <c r="D1968" s="5">
        <v>0.0</v>
      </c>
      <c r="E1968" s="5">
        <f t="shared" si="2"/>
        <v>456990000</v>
      </c>
      <c r="F1968" s="4" t="s">
        <v>2464</v>
      </c>
      <c r="G1968" s="4" t="s">
        <v>59</v>
      </c>
      <c r="H1968" s="4" t="s">
        <v>931</v>
      </c>
    </row>
    <row r="1969" ht="15.75" customHeight="1">
      <c r="A1969" s="8"/>
      <c r="B1969" s="4" t="s">
        <v>4440</v>
      </c>
      <c r="C1969" s="5">
        <v>890000.0</v>
      </c>
      <c r="D1969" s="5">
        <v>0.0</v>
      </c>
      <c r="E1969" s="5">
        <f t="shared" si="2"/>
        <v>456100000</v>
      </c>
      <c r="F1969" s="4" t="s">
        <v>2464</v>
      </c>
      <c r="G1969" s="4" t="s">
        <v>59</v>
      </c>
      <c r="H1969" s="4" t="s">
        <v>931</v>
      </c>
    </row>
    <row r="1970" ht="15.75" customHeight="1">
      <c r="A1970" s="8"/>
      <c r="B1970" s="4" t="s">
        <v>4441</v>
      </c>
      <c r="C1970" s="5">
        <v>300000.0</v>
      </c>
      <c r="D1970" s="5">
        <v>0.0</v>
      </c>
      <c r="E1970" s="5">
        <f t="shared" si="2"/>
        <v>455800000</v>
      </c>
      <c r="F1970" s="4" t="s">
        <v>2464</v>
      </c>
      <c r="G1970" s="4" t="s">
        <v>59</v>
      </c>
      <c r="H1970" s="4" t="s">
        <v>931</v>
      </c>
    </row>
    <row r="1971" ht="15.75" customHeight="1">
      <c r="A1971" s="8"/>
      <c r="B1971" s="4" t="s">
        <v>4442</v>
      </c>
      <c r="C1971" s="5">
        <v>4.558E8</v>
      </c>
      <c r="D1971" s="5">
        <v>0.0</v>
      </c>
      <c r="E1971" s="5">
        <f t="shared" si="2"/>
        <v>0</v>
      </c>
      <c r="F1971" s="4" t="s">
        <v>21</v>
      </c>
      <c r="G1971" s="4" t="s">
        <v>41</v>
      </c>
      <c r="H1971" s="4" t="s">
        <v>4431</v>
      </c>
    </row>
    <row r="1972" ht="15.75" customHeight="1">
      <c r="A1972" s="8">
        <v>46098.0</v>
      </c>
      <c r="B1972" s="4" t="s">
        <v>901</v>
      </c>
      <c r="C1972" s="5">
        <v>0.0</v>
      </c>
      <c r="D1972" s="5">
        <v>2.2415094E7</v>
      </c>
      <c r="E1972" s="5">
        <f t="shared" si="2"/>
        <v>22415094</v>
      </c>
      <c r="F1972" s="4" t="s">
        <v>21</v>
      </c>
      <c r="G1972" s="4" t="s">
        <v>184</v>
      </c>
      <c r="H1972" s="4" t="s">
        <v>4443</v>
      </c>
    </row>
    <row r="1973" ht="15.75" customHeight="1">
      <c r="A1973" s="8"/>
      <c r="B1973" s="4" t="s">
        <v>4444</v>
      </c>
      <c r="C1973" s="5">
        <v>152278.0</v>
      </c>
      <c r="D1973" s="5">
        <v>0.0</v>
      </c>
      <c r="E1973" s="5">
        <f t="shared" si="2"/>
        <v>22262816</v>
      </c>
      <c r="F1973" s="4" t="s">
        <v>2464</v>
      </c>
      <c r="G1973" s="4" t="s">
        <v>59</v>
      </c>
      <c r="H1973" s="4" t="s">
        <v>408</v>
      </c>
    </row>
    <row r="1974" ht="15.75" customHeight="1">
      <c r="A1974" s="8"/>
      <c r="B1974" s="4" t="s">
        <v>4445</v>
      </c>
      <c r="C1974" s="5">
        <v>139912.0</v>
      </c>
      <c r="D1974" s="5">
        <v>0.0</v>
      </c>
      <c r="E1974" s="5">
        <f t="shared" si="2"/>
        <v>22122904</v>
      </c>
      <c r="F1974" s="4" t="s">
        <v>2464</v>
      </c>
      <c r="G1974" s="4" t="s">
        <v>59</v>
      </c>
      <c r="H1974" s="4" t="s">
        <v>408</v>
      </c>
    </row>
    <row r="1975" ht="15.75" customHeight="1">
      <c r="A1975" s="8"/>
      <c r="B1975" s="4" t="s">
        <v>4446</v>
      </c>
      <c r="C1975" s="5">
        <v>150000.0</v>
      </c>
      <c r="D1975" s="5">
        <v>0.0</v>
      </c>
      <c r="E1975" s="5">
        <f t="shared" si="2"/>
        <v>21972904</v>
      </c>
      <c r="F1975" s="4" t="s">
        <v>2464</v>
      </c>
      <c r="G1975" s="4" t="s">
        <v>59</v>
      </c>
      <c r="H1975" s="4" t="s">
        <v>408</v>
      </c>
    </row>
    <row r="1976" ht="15.75" customHeight="1">
      <c r="A1976" s="8"/>
      <c r="B1976" s="4" t="s">
        <v>4447</v>
      </c>
      <c r="C1976" s="5">
        <v>110000.0</v>
      </c>
      <c r="D1976" s="5">
        <v>0.0</v>
      </c>
      <c r="E1976" s="5">
        <f t="shared" si="2"/>
        <v>21862904</v>
      </c>
      <c r="F1976" s="4" t="s">
        <v>2464</v>
      </c>
      <c r="G1976" s="4" t="s">
        <v>59</v>
      </c>
      <c r="H1976" s="4" t="s">
        <v>408</v>
      </c>
    </row>
    <row r="1977" ht="15.75" customHeight="1">
      <c r="A1977" s="8"/>
      <c r="B1977" s="4" t="s">
        <v>4448</v>
      </c>
      <c r="C1977" s="5">
        <v>200000.0</v>
      </c>
      <c r="D1977" s="5">
        <v>0.0</v>
      </c>
      <c r="E1977" s="5">
        <f t="shared" si="2"/>
        <v>21662904</v>
      </c>
      <c r="F1977" s="4" t="s">
        <v>2464</v>
      </c>
      <c r="G1977" s="4" t="s">
        <v>59</v>
      </c>
      <c r="H1977" s="4" t="s">
        <v>408</v>
      </c>
    </row>
    <row r="1978" ht="15.75" customHeight="1">
      <c r="A1978" s="8"/>
      <c r="B1978" s="4" t="s">
        <v>4449</v>
      </c>
      <c r="C1978" s="5">
        <v>400000.0</v>
      </c>
      <c r="D1978" s="5">
        <v>0.0</v>
      </c>
      <c r="E1978" s="5">
        <f t="shared" si="2"/>
        <v>21262904</v>
      </c>
      <c r="F1978" s="4" t="s">
        <v>2464</v>
      </c>
      <c r="G1978" s="4" t="s">
        <v>59</v>
      </c>
      <c r="H1978" s="4" t="s">
        <v>408</v>
      </c>
    </row>
    <row r="1979" ht="15.75" customHeight="1">
      <c r="A1979" s="8"/>
      <c r="B1979" s="4" t="s">
        <v>4450</v>
      </c>
      <c r="C1979" s="5">
        <v>130000.0</v>
      </c>
      <c r="D1979" s="5">
        <v>0.0</v>
      </c>
      <c r="E1979" s="5">
        <f t="shared" si="2"/>
        <v>21132904</v>
      </c>
      <c r="F1979" s="4" t="s">
        <v>2464</v>
      </c>
      <c r="G1979" s="4" t="s">
        <v>59</v>
      </c>
      <c r="H1979" s="4" t="s">
        <v>408</v>
      </c>
    </row>
    <row r="1980" ht="15.75" customHeight="1">
      <c r="A1980" s="8"/>
      <c r="B1980" s="4" t="s">
        <v>4451</v>
      </c>
      <c r="C1980" s="5">
        <v>150000.0</v>
      </c>
      <c r="D1980" s="5">
        <v>0.0</v>
      </c>
      <c r="E1980" s="5">
        <f t="shared" si="2"/>
        <v>20982904</v>
      </c>
      <c r="F1980" s="4" t="s">
        <v>2464</v>
      </c>
      <c r="G1980" s="4" t="s">
        <v>59</v>
      </c>
      <c r="H1980" s="4" t="s">
        <v>408</v>
      </c>
    </row>
    <row r="1981" ht="15.75" customHeight="1">
      <c r="A1981" s="8"/>
      <c r="B1981" s="4" t="s">
        <v>4452</v>
      </c>
      <c r="C1981" s="5">
        <v>36500.0</v>
      </c>
      <c r="D1981" s="5">
        <v>0.0</v>
      </c>
      <c r="E1981" s="5">
        <f t="shared" si="2"/>
        <v>20946404</v>
      </c>
      <c r="F1981" s="4" t="s">
        <v>2464</v>
      </c>
      <c r="G1981" s="4" t="s">
        <v>59</v>
      </c>
      <c r="H1981" s="4" t="s">
        <v>408</v>
      </c>
    </row>
    <row r="1982" ht="15.75" customHeight="1">
      <c r="A1982" s="8"/>
      <c r="B1982" s="4" t="s">
        <v>4453</v>
      </c>
      <c r="C1982" s="5">
        <v>4085000.0</v>
      </c>
      <c r="D1982" s="5">
        <v>0.0</v>
      </c>
      <c r="E1982" s="5">
        <f t="shared" si="2"/>
        <v>16861404</v>
      </c>
      <c r="F1982" s="4" t="s">
        <v>2464</v>
      </c>
      <c r="G1982" s="4" t="s">
        <v>59</v>
      </c>
      <c r="H1982" s="4" t="s">
        <v>408</v>
      </c>
    </row>
    <row r="1983" ht="15.75" customHeight="1">
      <c r="A1983" s="8"/>
      <c r="B1983" s="4" t="s">
        <v>4454</v>
      </c>
      <c r="C1983" s="5">
        <v>280000.0</v>
      </c>
      <c r="D1983" s="5">
        <v>0.0</v>
      </c>
      <c r="E1983" s="5">
        <f t="shared" si="2"/>
        <v>16581404</v>
      </c>
      <c r="F1983" s="4" t="s">
        <v>2464</v>
      </c>
      <c r="G1983" s="4" t="s">
        <v>59</v>
      </c>
      <c r="H1983" s="4" t="s">
        <v>408</v>
      </c>
    </row>
    <row r="1984" ht="15.75" customHeight="1">
      <c r="A1984" s="8"/>
      <c r="B1984" s="4" t="s">
        <v>4455</v>
      </c>
      <c r="C1984" s="5">
        <v>1.2015094E7</v>
      </c>
      <c r="D1984" s="5">
        <v>0.0</v>
      </c>
      <c r="E1984" s="5">
        <f t="shared" si="2"/>
        <v>4566310</v>
      </c>
      <c r="F1984" s="4" t="s">
        <v>2464</v>
      </c>
      <c r="G1984" s="4" t="s">
        <v>59</v>
      </c>
      <c r="H1984" s="4" t="s">
        <v>408</v>
      </c>
    </row>
    <row r="1985" ht="15.75" customHeight="1">
      <c r="A1985" s="8"/>
      <c r="B1985" s="4" t="s">
        <v>4456</v>
      </c>
      <c r="C1985" s="5">
        <v>200000.0</v>
      </c>
      <c r="D1985" s="5">
        <v>0.0</v>
      </c>
      <c r="E1985" s="5">
        <f t="shared" si="2"/>
        <v>4366310</v>
      </c>
      <c r="F1985" s="4" t="s">
        <v>2464</v>
      </c>
      <c r="G1985" s="4" t="s">
        <v>59</v>
      </c>
      <c r="H1985" s="4" t="s">
        <v>408</v>
      </c>
    </row>
    <row r="1986" ht="15.75" customHeight="1">
      <c r="A1986" s="8"/>
      <c r="B1986" s="4" t="s">
        <v>4457</v>
      </c>
      <c r="C1986" s="5">
        <v>358000.0</v>
      </c>
      <c r="D1986" s="5">
        <v>0.0</v>
      </c>
      <c r="E1986" s="5">
        <f t="shared" si="2"/>
        <v>4008310</v>
      </c>
      <c r="F1986" s="4" t="s">
        <v>2464</v>
      </c>
      <c r="G1986" s="4" t="s">
        <v>59</v>
      </c>
      <c r="H1986" s="4" t="s">
        <v>408</v>
      </c>
    </row>
    <row r="1987" ht="15.75" customHeight="1">
      <c r="A1987" s="8"/>
      <c r="B1987" s="4" t="s">
        <v>4458</v>
      </c>
      <c r="C1987" s="5">
        <v>78183.0</v>
      </c>
      <c r="D1987" s="5">
        <v>0.0</v>
      </c>
      <c r="E1987" s="5">
        <f t="shared" si="2"/>
        <v>3930127</v>
      </c>
      <c r="F1987" s="4" t="s">
        <v>2464</v>
      </c>
      <c r="G1987" s="4" t="s">
        <v>59</v>
      </c>
      <c r="H1987" s="4" t="s">
        <v>408</v>
      </c>
    </row>
    <row r="1988" ht="15.75" customHeight="1">
      <c r="A1988" s="8"/>
      <c r="B1988" s="4" t="s">
        <v>4459</v>
      </c>
      <c r="C1988" s="5">
        <v>49669.0</v>
      </c>
      <c r="D1988" s="5">
        <v>0.0</v>
      </c>
      <c r="E1988" s="5">
        <f t="shared" si="2"/>
        <v>3880458</v>
      </c>
      <c r="F1988" s="4" t="s">
        <v>2464</v>
      </c>
      <c r="G1988" s="4" t="s">
        <v>59</v>
      </c>
      <c r="H1988" s="4" t="s">
        <v>408</v>
      </c>
    </row>
    <row r="1989" ht="15.75" customHeight="1">
      <c r="A1989" s="8"/>
      <c r="B1989" s="4" t="s">
        <v>4460</v>
      </c>
      <c r="C1989" s="5">
        <v>115000.0</v>
      </c>
      <c r="D1989" s="5">
        <v>0.0</v>
      </c>
      <c r="E1989" s="5">
        <f t="shared" si="2"/>
        <v>3765458</v>
      </c>
      <c r="F1989" s="4" t="s">
        <v>2464</v>
      </c>
      <c r="G1989" s="4" t="s">
        <v>59</v>
      </c>
      <c r="H1989" s="4" t="s">
        <v>408</v>
      </c>
    </row>
    <row r="1990" ht="15.75" customHeight="1">
      <c r="A1990" s="8"/>
      <c r="B1990" s="4" t="s">
        <v>4461</v>
      </c>
      <c r="C1990" s="5">
        <v>5000000.0</v>
      </c>
      <c r="D1990" s="5">
        <v>0.0</v>
      </c>
      <c r="E1990" s="5">
        <f t="shared" si="2"/>
        <v>-1234542</v>
      </c>
      <c r="F1990" s="4" t="s">
        <v>2464</v>
      </c>
      <c r="G1990" s="4" t="s">
        <v>59</v>
      </c>
      <c r="H1990" s="4" t="s">
        <v>408</v>
      </c>
    </row>
    <row r="1991" ht="15.75" customHeight="1">
      <c r="A1991" s="8"/>
      <c r="B1991" s="4" t="s">
        <v>4462</v>
      </c>
      <c r="C1991" s="5">
        <v>2000000.0</v>
      </c>
      <c r="D1991" s="5">
        <v>0.0</v>
      </c>
      <c r="E1991" s="5">
        <f t="shared" si="2"/>
        <v>-3234542</v>
      </c>
      <c r="F1991" s="4" t="s">
        <v>2464</v>
      </c>
      <c r="G1991" s="4" t="s">
        <v>59</v>
      </c>
      <c r="H1991" s="4" t="s">
        <v>408</v>
      </c>
    </row>
    <row r="1992" ht="15.75" customHeight="1">
      <c r="A1992" s="8"/>
      <c r="B1992" s="4" t="s">
        <v>4463</v>
      </c>
      <c r="C1992" s="5">
        <v>0.0</v>
      </c>
      <c r="D1992" s="5">
        <v>3234542.0</v>
      </c>
      <c r="E1992" s="5">
        <f t="shared" si="2"/>
        <v>0</v>
      </c>
      <c r="F1992" s="15" t="s">
        <v>21</v>
      </c>
      <c r="G1992" s="15" t="s">
        <v>184</v>
      </c>
      <c r="H1992" s="14" t="s">
        <v>4464</v>
      </c>
    </row>
    <row r="1993" ht="15.75" customHeight="1">
      <c r="A1993" s="8">
        <v>46098.0</v>
      </c>
      <c r="B1993" s="4" t="s">
        <v>924</v>
      </c>
      <c r="C1993" s="5">
        <v>0.0</v>
      </c>
      <c r="D1993" s="5">
        <v>3.52E7</v>
      </c>
      <c r="E1993" s="5">
        <f t="shared" si="2"/>
        <v>35200000</v>
      </c>
      <c r="F1993" s="4" t="s">
        <v>21</v>
      </c>
      <c r="G1993" s="4" t="s">
        <v>184</v>
      </c>
      <c r="H1993" s="4" t="s">
        <v>4465</v>
      </c>
    </row>
    <row r="1994" ht="15.75" customHeight="1">
      <c r="A1994" s="8"/>
      <c r="B1994" s="4" t="s">
        <v>4466</v>
      </c>
      <c r="C1994" s="5">
        <v>3.4848E7</v>
      </c>
      <c r="D1994" s="5">
        <v>0.0</v>
      </c>
      <c r="E1994" s="5">
        <f t="shared" si="2"/>
        <v>352000</v>
      </c>
      <c r="F1994" s="4" t="s">
        <v>2464</v>
      </c>
      <c r="G1994" s="4" t="s">
        <v>59</v>
      </c>
      <c r="H1994" s="14" t="s">
        <v>458</v>
      </c>
    </row>
    <row r="1995" ht="15.75" customHeight="1">
      <c r="A1995" s="8">
        <v>46157.0</v>
      </c>
      <c r="B1995" s="4" t="s">
        <v>1365</v>
      </c>
      <c r="C1995" s="5">
        <v>352000.0</v>
      </c>
      <c r="D1995" s="5">
        <v>0.0</v>
      </c>
      <c r="E1995" s="5">
        <f t="shared" si="2"/>
        <v>0</v>
      </c>
      <c r="F1995" s="4" t="s">
        <v>21</v>
      </c>
      <c r="G1995" s="4" t="s">
        <v>41</v>
      </c>
      <c r="H1995" s="4" t="s">
        <v>4465</v>
      </c>
    </row>
    <row r="1996" ht="15.75" customHeight="1">
      <c r="A1996" s="8">
        <v>46098.0</v>
      </c>
      <c r="B1996" s="4" t="s">
        <v>959</v>
      </c>
      <c r="C1996" s="5">
        <v>0.0</v>
      </c>
      <c r="D1996" s="5">
        <v>5785250.0</v>
      </c>
      <c r="E1996" s="5">
        <f t="shared" si="2"/>
        <v>5785250</v>
      </c>
      <c r="F1996" s="4" t="s">
        <v>21</v>
      </c>
      <c r="G1996" s="4" t="s">
        <v>184</v>
      </c>
      <c r="H1996" s="4" t="s">
        <v>4467</v>
      </c>
    </row>
    <row r="1997" ht="15.75" customHeight="1">
      <c r="A1997" s="8"/>
      <c r="B1997" s="4" t="s">
        <v>4468</v>
      </c>
      <c r="C1997" s="5">
        <v>5785250.0</v>
      </c>
      <c r="D1997" s="5">
        <v>0.0</v>
      </c>
      <c r="E1997" s="5">
        <f t="shared" si="2"/>
        <v>0</v>
      </c>
      <c r="F1997" s="4" t="s">
        <v>2464</v>
      </c>
      <c r="G1997" s="4" t="s">
        <v>59</v>
      </c>
      <c r="H1997" s="4" t="s">
        <v>408</v>
      </c>
    </row>
    <row r="1998" ht="15.75" customHeight="1">
      <c r="A1998" s="8">
        <v>46098.0</v>
      </c>
      <c r="B1998" s="4" t="s">
        <v>1032</v>
      </c>
      <c r="C1998" s="5">
        <v>0.0</v>
      </c>
      <c r="D1998" s="5">
        <v>5000000.0</v>
      </c>
      <c r="E1998" s="5">
        <f t="shared" si="2"/>
        <v>5000000</v>
      </c>
      <c r="F1998" s="4" t="s">
        <v>21</v>
      </c>
      <c r="G1998" s="4" t="s">
        <v>184</v>
      </c>
      <c r="H1998" s="4" t="s">
        <v>4469</v>
      </c>
    </row>
    <row r="1999" ht="15.75" customHeight="1">
      <c r="A1999" s="8"/>
      <c r="B1999" s="4" t="s">
        <v>4470</v>
      </c>
      <c r="C1999" s="5">
        <v>1500000.0</v>
      </c>
      <c r="D1999" s="5">
        <v>0.0</v>
      </c>
      <c r="E1999" s="5">
        <f t="shared" si="2"/>
        <v>3500000</v>
      </c>
      <c r="F1999" s="4" t="s">
        <v>2464</v>
      </c>
      <c r="G1999" s="4" t="s">
        <v>59</v>
      </c>
      <c r="H1999" s="4" t="s">
        <v>408</v>
      </c>
    </row>
    <row r="2000" ht="15.75" customHeight="1">
      <c r="A2000" s="8"/>
      <c r="B2000" s="4" t="s">
        <v>4471</v>
      </c>
      <c r="C2000" s="5">
        <v>3000000.0</v>
      </c>
      <c r="D2000" s="5">
        <v>0.0</v>
      </c>
      <c r="E2000" s="5">
        <f t="shared" si="2"/>
        <v>500000</v>
      </c>
      <c r="F2000" s="4" t="s">
        <v>2464</v>
      </c>
      <c r="G2000" s="4" t="s">
        <v>59</v>
      </c>
      <c r="H2000" s="4" t="s">
        <v>408</v>
      </c>
    </row>
    <row r="2001" ht="15.75" customHeight="1">
      <c r="A2001" s="8"/>
      <c r="B2001" s="4" t="s">
        <v>4472</v>
      </c>
      <c r="C2001" s="5">
        <v>500000.0</v>
      </c>
      <c r="D2001" s="5">
        <v>0.0</v>
      </c>
      <c r="E2001" s="5">
        <f t="shared" si="2"/>
        <v>0</v>
      </c>
      <c r="F2001" s="4" t="s">
        <v>21</v>
      </c>
      <c r="G2001" s="4" t="s">
        <v>41</v>
      </c>
      <c r="H2001" s="4" t="s">
        <v>4469</v>
      </c>
    </row>
    <row r="2002" ht="15.75" customHeight="1">
      <c r="A2002" s="8">
        <v>46158.0</v>
      </c>
      <c r="B2002" s="4" t="s">
        <v>1373</v>
      </c>
      <c r="C2002" s="5">
        <v>0.0</v>
      </c>
      <c r="D2002" s="5">
        <v>1.2343E7</v>
      </c>
      <c r="E2002" s="5">
        <f t="shared" si="2"/>
        <v>12343000</v>
      </c>
      <c r="F2002" s="4" t="s">
        <v>21</v>
      </c>
      <c r="G2002" s="4" t="s">
        <v>184</v>
      </c>
      <c r="H2002" s="4" t="s">
        <v>4473</v>
      </c>
    </row>
    <row r="2003" ht="15.75" customHeight="1">
      <c r="A2003" s="8"/>
      <c r="B2003" s="4" t="s">
        <v>4474</v>
      </c>
      <c r="C2003" s="5">
        <v>1.2343E7</v>
      </c>
      <c r="D2003" s="5">
        <v>0.0</v>
      </c>
      <c r="E2003" s="5">
        <f t="shared" si="2"/>
        <v>0</v>
      </c>
      <c r="F2003" s="4" t="s">
        <v>2464</v>
      </c>
      <c r="G2003" s="4" t="s">
        <v>59</v>
      </c>
      <c r="H2003" s="4" t="s">
        <v>230</v>
      </c>
    </row>
    <row r="2004" ht="15.75" customHeight="1">
      <c r="A2004" s="8">
        <v>46148.0</v>
      </c>
      <c r="B2004" s="4" t="s">
        <v>1506</v>
      </c>
      <c r="C2004" s="5">
        <v>0.0</v>
      </c>
      <c r="D2004" s="5">
        <v>2.5E8</v>
      </c>
      <c r="E2004" s="5">
        <f t="shared" si="2"/>
        <v>250000000</v>
      </c>
      <c r="F2004" s="14" t="s">
        <v>21</v>
      </c>
      <c r="G2004" s="14" t="s">
        <v>448</v>
      </c>
      <c r="H2004" s="14" t="s">
        <v>4475</v>
      </c>
    </row>
    <row r="2005" ht="15.75" customHeight="1">
      <c r="A2005" s="8">
        <v>46148.0</v>
      </c>
      <c r="B2005" s="4" t="s">
        <v>1506</v>
      </c>
      <c r="C2005" s="5">
        <v>0.0</v>
      </c>
      <c r="D2005" s="5">
        <v>2.5E8</v>
      </c>
      <c r="E2005" s="5">
        <f t="shared" si="2"/>
        <v>500000000</v>
      </c>
      <c r="F2005" s="14" t="s">
        <v>21</v>
      </c>
      <c r="G2005" s="14" t="s">
        <v>448</v>
      </c>
      <c r="H2005" s="14" t="s">
        <v>4475</v>
      </c>
    </row>
    <row r="2006" ht="15.75" customHeight="1">
      <c r="A2006" s="8"/>
      <c r="B2006" s="4" t="s">
        <v>4476</v>
      </c>
      <c r="C2006" s="5">
        <v>174000.0</v>
      </c>
      <c r="D2006" s="5">
        <v>0.0</v>
      </c>
      <c r="E2006" s="5">
        <f t="shared" si="2"/>
        <v>499826000</v>
      </c>
      <c r="F2006" s="4" t="s">
        <v>2464</v>
      </c>
      <c r="G2006" s="4" t="s">
        <v>59</v>
      </c>
      <c r="H2006" s="14" t="s">
        <v>694</v>
      </c>
    </row>
    <row r="2007" ht="15.75" customHeight="1">
      <c r="A2007" s="8"/>
      <c r="B2007" s="4" t="s">
        <v>4477</v>
      </c>
      <c r="C2007" s="5">
        <v>160000.0</v>
      </c>
      <c r="D2007" s="5">
        <v>0.0</v>
      </c>
      <c r="E2007" s="5">
        <f t="shared" si="2"/>
        <v>499666000</v>
      </c>
      <c r="F2007" s="4" t="s">
        <v>2464</v>
      </c>
      <c r="G2007" s="4" t="s">
        <v>59</v>
      </c>
      <c r="H2007" s="14" t="s">
        <v>694</v>
      </c>
    </row>
    <row r="2008" ht="15.75" customHeight="1">
      <c r="A2008" s="8"/>
      <c r="B2008" s="4" t="s">
        <v>4478</v>
      </c>
      <c r="C2008" s="5">
        <v>312000.0</v>
      </c>
      <c r="D2008" s="5">
        <v>0.0</v>
      </c>
      <c r="E2008" s="5">
        <f t="shared" si="2"/>
        <v>499354000</v>
      </c>
      <c r="F2008" s="4" t="s">
        <v>2464</v>
      </c>
      <c r="G2008" s="4" t="s">
        <v>59</v>
      </c>
      <c r="H2008" s="14" t="s">
        <v>694</v>
      </c>
    </row>
    <row r="2009" ht="15.75" customHeight="1">
      <c r="A2009" s="8"/>
      <c r="B2009" s="4" t="s">
        <v>4479</v>
      </c>
      <c r="C2009" s="5">
        <v>296000.0</v>
      </c>
      <c r="D2009" s="5">
        <v>0.0</v>
      </c>
      <c r="E2009" s="5">
        <f t="shared" si="2"/>
        <v>499058000</v>
      </c>
      <c r="F2009" s="4" t="s">
        <v>2464</v>
      </c>
      <c r="G2009" s="4" t="s">
        <v>59</v>
      </c>
      <c r="H2009" s="14" t="s">
        <v>694</v>
      </c>
    </row>
    <row r="2010" ht="15.75" customHeight="1">
      <c r="A2010" s="8"/>
      <c r="B2010" s="4" t="s">
        <v>4480</v>
      </c>
      <c r="C2010" s="5">
        <v>157000.0</v>
      </c>
      <c r="D2010" s="5">
        <v>0.0</v>
      </c>
      <c r="E2010" s="5">
        <f t="shared" si="2"/>
        <v>498901000</v>
      </c>
      <c r="F2010" s="4" t="s">
        <v>2464</v>
      </c>
      <c r="G2010" s="4" t="s">
        <v>59</v>
      </c>
      <c r="H2010" s="14" t="s">
        <v>694</v>
      </c>
    </row>
    <row r="2011" ht="15.75" customHeight="1">
      <c r="A2011" s="8"/>
      <c r="B2011" s="4" t="s">
        <v>4481</v>
      </c>
      <c r="C2011" s="5">
        <v>7.42E7</v>
      </c>
      <c r="D2011" s="5">
        <v>0.0</v>
      </c>
      <c r="E2011" s="5">
        <f t="shared" si="2"/>
        <v>424701000</v>
      </c>
      <c r="F2011" s="4" t="s">
        <v>2464</v>
      </c>
      <c r="G2011" s="4" t="s">
        <v>59</v>
      </c>
      <c r="H2011" s="14" t="s">
        <v>694</v>
      </c>
    </row>
    <row r="2012" ht="15.75" customHeight="1">
      <c r="A2012" s="8"/>
      <c r="B2012" s="4" t="s">
        <v>4367</v>
      </c>
      <c r="C2012" s="5">
        <v>1.5E7</v>
      </c>
      <c r="D2012" s="5">
        <v>0.0</v>
      </c>
      <c r="E2012" s="5">
        <f t="shared" si="2"/>
        <v>409701000</v>
      </c>
      <c r="F2012" s="4" t="s">
        <v>2464</v>
      </c>
      <c r="G2012" s="4" t="s">
        <v>59</v>
      </c>
      <c r="H2012" s="14" t="s">
        <v>694</v>
      </c>
    </row>
    <row r="2013" ht="15.75" customHeight="1">
      <c r="A2013" s="8"/>
      <c r="B2013" s="4" t="s">
        <v>4368</v>
      </c>
      <c r="C2013" s="5">
        <v>5.0E7</v>
      </c>
      <c r="D2013" s="5">
        <v>0.0</v>
      </c>
      <c r="E2013" s="5">
        <f t="shared" si="2"/>
        <v>359701000</v>
      </c>
      <c r="F2013" s="4" t="s">
        <v>2464</v>
      </c>
      <c r="G2013" s="4" t="s">
        <v>59</v>
      </c>
      <c r="H2013" s="14" t="s">
        <v>694</v>
      </c>
    </row>
    <row r="2014" ht="15.75" customHeight="1">
      <c r="A2014" s="8"/>
      <c r="B2014" s="4" t="s">
        <v>4482</v>
      </c>
      <c r="C2014" s="5">
        <v>4.0E7</v>
      </c>
      <c r="D2014" s="5">
        <v>0.0</v>
      </c>
      <c r="E2014" s="5">
        <f t="shared" si="2"/>
        <v>319701000</v>
      </c>
      <c r="F2014" s="4" t="s">
        <v>2464</v>
      </c>
      <c r="G2014" s="4" t="s">
        <v>59</v>
      </c>
      <c r="H2014" s="14" t="s">
        <v>694</v>
      </c>
    </row>
    <row r="2015" ht="15.75" customHeight="1">
      <c r="A2015" s="8"/>
      <c r="B2015" s="4" t="s">
        <v>4483</v>
      </c>
      <c r="C2015" s="5">
        <v>3.0E7</v>
      </c>
      <c r="D2015" s="5">
        <v>0.0</v>
      </c>
      <c r="E2015" s="5">
        <f t="shared" si="2"/>
        <v>289701000</v>
      </c>
      <c r="F2015" s="4" t="s">
        <v>2464</v>
      </c>
      <c r="G2015" s="4" t="s">
        <v>59</v>
      </c>
      <c r="H2015" s="14" t="s">
        <v>694</v>
      </c>
    </row>
    <row r="2016" ht="15.75" customHeight="1">
      <c r="A2016" s="8"/>
      <c r="B2016" s="4" t="s">
        <v>4484</v>
      </c>
      <c r="C2016" s="5">
        <v>2.8E8</v>
      </c>
      <c r="D2016" s="5">
        <v>0.0</v>
      </c>
      <c r="E2016" s="5">
        <f t="shared" si="2"/>
        <v>9701000</v>
      </c>
      <c r="F2016" s="4" t="s">
        <v>2464</v>
      </c>
      <c r="G2016" s="4" t="s">
        <v>59</v>
      </c>
      <c r="H2016" s="14" t="s">
        <v>694</v>
      </c>
    </row>
    <row r="2017" ht="15.75" customHeight="1">
      <c r="A2017" s="8"/>
      <c r="B2017" s="4" t="s">
        <v>4485</v>
      </c>
      <c r="C2017" s="5">
        <v>4000000.0</v>
      </c>
      <c r="D2017" s="5">
        <v>0.0</v>
      </c>
      <c r="E2017" s="5">
        <f t="shared" si="2"/>
        <v>5701000</v>
      </c>
      <c r="F2017" s="4" t="s">
        <v>2464</v>
      </c>
      <c r="G2017" s="4" t="s">
        <v>59</v>
      </c>
      <c r="H2017" s="14" t="s">
        <v>694</v>
      </c>
    </row>
    <row r="2018" ht="15.75" customHeight="1">
      <c r="A2018" s="8"/>
      <c r="B2018" s="4" t="s">
        <v>4486</v>
      </c>
      <c r="C2018" s="5">
        <v>1.0E7</v>
      </c>
      <c r="D2018" s="5">
        <v>0.0</v>
      </c>
      <c r="E2018" s="5">
        <f t="shared" si="2"/>
        <v>-4299000</v>
      </c>
      <c r="F2018" s="4" t="s">
        <v>2464</v>
      </c>
      <c r="G2018" s="4" t="s">
        <v>59</v>
      </c>
      <c r="H2018" s="14" t="s">
        <v>694</v>
      </c>
    </row>
    <row r="2019" ht="15.75" customHeight="1">
      <c r="A2019" s="8"/>
      <c r="B2019" s="4" t="s">
        <v>4487</v>
      </c>
      <c r="C2019" s="5">
        <v>1190000.0</v>
      </c>
      <c r="D2019" s="5">
        <v>0.0</v>
      </c>
      <c r="E2019" s="5">
        <f t="shared" si="2"/>
        <v>-5489000</v>
      </c>
      <c r="F2019" s="4" t="s">
        <v>2464</v>
      </c>
      <c r="G2019" s="4" t="s">
        <v>59</v>
      </c>
      <c r="H2019" s="14" t="s">
        <v>694</v>
      </c>
    </row>
    <row r="2020" ht="15.75" customHeight="1">
      <c r="A2020" s="8"/>
      <c r="B2020" s="4" t="s">
        <v>4488</v>
      </c>
      <c r="C2020" s="5">
        <v>2000000.0</v>
      </c>
      <c r="D2020" s="5">
        <v>0.0</v>
      </c>
      <c r="E2020" s="5">
        <f t="shared" si="2"/>
        <v>-7489000</v>
      </c>
      <c r="F2020" s="4" t="s">
        <v>2464</v>
      </c>
      <c r="G2020" s="4" t="s">
        <v>59</v>
      </c>
      <c r="H2020" s="14" t="s">
        <v>694</v>
      </c>
    </row>
    <row r="2021" ht="15.75" customHeight="1">
      <c r="A2021" s="8"/>
      <c r="B2021" s="4" t="s">
        <v>4489</v>
      </c>
      <c r="C2021" s="5">
        <v>281000.0</v>
      </c>
      <c r="D2021" s="5">
        <v>0.0</v>
      </c>
      <c r="E2021" s="5">
        <f t="shared" si="2"/>
        <v>-7770000</v>
      </c>
      <c r="F2021" s="4" t="s">
        <v>2464</v>
      </c>
      <c r="G2021" s="4" t="s">
        <v>59</v>
      </c>
      <c r="H2021" s="14" t="s">
        <v>694</v>
      </c>
    </row>
    <row r="2022" ht="15.75" customHeight="1">
      <c r="A2022" s="8"/>
      <c r="B2022" s="4" t="s">
        <v>4490</v>
      </c>
      <c r="C2022" s="5">
        <v>59999.0</v>
      </c>
      <c r="D2022" s="5">
        <v>0.0</v>
      </c>
      <c r="E2022" s="5">
        <f t="shared" si="2"/>
        <v>-7829999</v>
      </c>
      <c r="F2022" s="4" t="s">
        <v>2464</v>
      </c>
      <c r="G2022" s="4" t="s">
        <v>59</v>
      </c>
      <c r="H2022" s="14" t="s">
        <v>694</v>
      </c>
    </row>
    <row r="2023" ht="15.75" customHeight="1">
      <c r="A2023" s="8"/>
      <c r="B2023" s="4" t="s">
        <v>4491</v>
      </c>
      <c r="C2023" s="5">
        <v>120000.0</v>
      </c>
      <c r="D2023" s="5">
        <v>0.0</v>
      </c>
      <c r="E2023" s="5">
        <f t="shared" si="2"/>
        <v>-7949999</v>
      </c>
      <c r="F2023" s="4" t="s">
        <v>2464</v>
      </c>
      <c r="G2023" s="4" t="s">
        <v>59</v>
      </c>
      <c r="H2023" s="14" t="s">
        <v>694</v>
      </c>
    </row>
    <row r="2024" ht="15.75" customHeight="1">
      <c r="A2024" s="8"/>
      <c r="B2024" s="4" t="s">
        <v>4492</v>
      </c>
      <c r="C2024" s="5">
        <v>585000.0</v>
      </c>
      <c r="D2024" s="5">
        <v>0.0</v>
      </c>
      <c r="E2024" s="5">
        <f t="shared" si="2"/>
        <v>-8534999</v>
      </c>
      <c r="F2024" s="4" t="s">
        <v>2464</v>
      </c>
      <c r="G2024" s="4" t="s">
        <v>59</v>
      </c>
      <c r="H2024" s="14" t="s">
        <v>694</v>
      </c>
    </row>
    <row r="2025" ht="15.75" customHeight="1">
      <c r="A2025" s="8"/>
      <c r="B2025" s="4" t="s">
        <v>4493</v>
      </c>
      <c r="C2025" s="5">
        <v>200000.0</v>
      </c>
      <c r="D2025" s="5">
        <v>0.0</v>
      </c>
      <c r="E2025" s="5">
        <f t="shared" si="2"/>
        <v>-8734999</v>
      </c>
      <c r="F2025" s="4" t="s">
        <v>2464</v>
      </c>
      <c r="G2025" s="4" t="s">
        <v>59</v>
      </c>
      <c r="H2025" s="14" t="s">
        <v>694</v>
      </c>
    </row>
    <row r="2026" ht="15.75" customHeight="1">
      <c r="A2026" s="8"/>
      <c r="B2026" s="4" t="s">
        <v>4494</v>
      </c>
      <c r="C2026" s="5">
        <v>200000.0</v>
      </c>
      <c r="D2026" s="5">
        <v>0.0</v>
      </c>
      <c r="E2026" s="5">
        <f t="shared" si="2"/>
        <v>-8934999</v>
      </c>
      <c r="F2026" s="4" t="s">
        <v>2464</v>
      </c>
      <c r="G2026" s="4" t="s">
        <v>59</v>
      </c>
      <c r="H2026" s="14" t="s">
        <v>694</v>
      </c>
    </row>
    <row r="2027" ht="15.75" customHeight="1">
      <c r="A2027" s="8"/>
      <c r="B2027" s="4" t="s">
        <v>4495</v>
      </c>
      <c r="C2027" s="5">
        <v>2000000.0</v>
      </c>
      <c r="D2027" s="5">
        <v>0.0</v>
      </c>
      <c r="E2027" s="5">
        <f t="shared" si="2"/>
        <v>-10934999</v>
      </c>
      <c r="F2027" s="4" t="s">
        <v>2464</v>
      </c>
      <c r="G2027" s="4" t="s">
        <v>59</v>
      </c>
      <c r="H2027" s="14" t="s">
        <v>694</v>
      </c>
    </row>
    <row r="2028" ht="15.75" customHeight="1">
      <c r="A2028" s="8"/>
      <c r="B2028" s="14" t="s">
        <v>4496</v>
      </c>
      <c r="C2028" s="5">
        <v>0.0</v>
      </c>
      <c r="D2028" s="5">
        <v>312000.0</v>
      </c>
      <c r="E2028" s="5">
        <f t="shared" si="2"/>
        <v>-10622999</v>
      </c>
      <c r="F2028" s="14" t="s">
        <v>2464</v>
      </c>
      <c r="G2028" s="14" t="s">
        <v>59</v>
      </c>
      <c r="H2028" s="14" t="s">
        <v>694</v>
      </c>
      <c r="I2028" s="14"/>
      <c r="J2028" s="14"/>
      <c r="K2028" s="14"/>
      <c r="L2028" s="14"/>
    </row>
    <row r="2029" ht="15.75" customHeight="1">
      <c r="A2029" s="8">
        <v>46192.0</v>
      </c>
      <c r="B2029" s="14" t="s">
        <v>1629</v>
      </c>
      <c r="C2029" s="5">
        <v>0.0</v>
      </c>
      <c r="D2029" s="5">
        <v>1.0622999E7</v>
      </c>
      <c r="E2029" s="5">
        <f t="shared" si="2"/>
        <v>0</v>
      </c>
      <c r="F2029" s="14" t="s">
        <v>21</v>
      </c>
      <c r="G2029" s="15" t="s">
        <v>184</v>
      </c>
      <c r="H2029" s="14" t="s">
        <v>4475</v>
      </c>
    </row>
    <row r="2030" ht="15.75" customHeight="1">
      <c r="A2030" s="8">
        <v>46148.0</v>
      </c>
      <c r="B2030" s="4" t="s">
        <v>1515</v>
      </c>
      <c r="C2030" s="5">
        <v>0.0</v>
      </c>
      <c r="D2030" s="5">
        <v>3.0E8</v>
      </c>
      <c r="E2030" s="5">
        <f t="shared" si="2"/>
        <v>300000000</v>
      </c>
      <c r="F2030" s="14" t="s">
        <v>21</v>
      </c>
      <c r="G2030" s="14" t="s">
        <v>448</v>
      </c>
      <c r="H2030" s="14" t="s">
        <v>4497</v>
      </c>
    </row>
    <row r="2031" ht="15.75" customHeight="1">
      <c r="A2031" s="8"/>
      <c r="B2031" s="14" t="s">
        <v>4498</v>
      </c>
      <c r="C2031" s="5">
        <v>90975.0</v>
      </c>
      <c r="D2031" s="5">
        <v>0.0</v>
      </c>
      <c r="E2031" s="5">
        <f t="shared" si="2"/>
        <v>299909025</v>
      </c>
      <c r="F2031" s="14" t="s">
        <v>2464</v>
      </c>
      <c r="G2031" s="14" t="s">
        <v>59</v>
      </c>
      <c r="H2031" s="14" t="s">
        <v>683</v>
      </c>
    </row>
    <row r="2032" ht="15.75" customHeight="1">
      <c r="A2032" s="8"/>
      <c r="B2032" s="14" t="s">
        <v>4499</v>
      </c>
      <c r="C2032" s="5">
        <v>5.0E7</v>
      </c>
      <c r="D2032" s="5">
        <v>0.0</v>
      </c>
      <c r="E2032" s="5">
        <f t="shared" si="2"/>
        <v>249909025</v>
      </c>
      <c r="F2032" s="14" t="s">
        <v>2464</v>
      </c>
      <c r="G2032" s="14" t="s">
        <v>59</v>
      </c>
      <c r="H2032" s="14" t="s">
        <v>683</v>
      </c>
    </row>
    <row r="2033" ht="15.75" customHeight="1">
      <c r="A2033" s="8"/>
      <c r="B2033" s="14" t="s">
        <v>4500</v>
      </c>
      <c r="C2033" s="5">
        <v>548900.0</v>
      </c>
      <c r="D2033" s="5">
        <v>0.0</v>
      </c>
      <c r="E2033" s="5">
        <f t="shared" si="2"/>
        <v>249360125</v>
      </c>
      <c r="F2033" s="14" t="s">
        <v>2464</v>
      </c>
      <c r="G2033" s="14" t="s">
        <v>59</v>
      </c>
      <c r="H2033" s="14" t="s">
        <v>683</v>
      </c>
    </row>
    <row r="2034" ht="15.75" customHeight="1">
      <c r="A2034" s="8"/>
      <c r="B2034" s="14" t="s">
        <v>4501</v>
      </c>
      <c r="C2034" s="5">
        <v>1.81E8</v>
      </c>
      <c r="D2034" s="5">
        <v>0.0</v>
      </c>
      <c r="E2034" s="5">
        <f t="shared" si="2"/>
        <v>68360125</v>
      </c>
      <c r="F2034" s="14" t="s">
        <v>2464</v>
      </c>
      <c r="G2034" s="14" t="s">
        <v>59</v>
      </c>
      <c r="H2034" s="14" t="s">
        <v>683</v>
      </c>
    </row>
    <row r="2035" ht="15.75" customHeight="1">
      <c r="A2035" s="8"/>
      <c r="B2035" s="14" t="s">
        <v>4502</v>
      </c>
      <c r="C2035" s="5">
        <v>377000.0</v>
      </c>
      <c r="D2035" s="5">
        <v>0.0</v>
      </c>
      <c r="E2035" s="5">
        <f t="shared" si="2"/>
        <v>67983125</v>
      </c>
      <c r="F2035" s="14" t="s">
        <v>2464</v>
      </c>
      <c r="G2035" s="14" t="s">
        <v>59</v>
      </c>
      <c r="H2035" s="14" t="s">
        <v>683</v>
      </c>
    </row>
    <row r="2036" ht="15.75" customHeight="1">
      <c r="A2036" s="8"/>
      <c r="B2036" s="14" t="s">
        <v>4503</v>
      </c>
      <c r="C2036" s="5">
        <v>6795000.0</v>
      </c>
      <c r="D2036" s="5">
        <v>0.0</v>
      </c>
      <c r="E2036" s="5">
        <f t="shared" si="2"/>
        <v>61188125</v>
      </c>
      <c r="F2036" s="14" t="s">
        <v>2464</v>
      </c>
      <c r="G2036" s="14" t="s">
        <v>59</v>
      </c>
      <c r="H2036" s="14" t="s">
        <v>683</v>
      </c>
    </row>
    <row r="2037" ht="15.75" customHeight="1">
      <c r="A2037" s="8"/>
      <c r="B2037" s="14" t="s">
        <v>4504</v>
      </c>
      <c r="C2037" s="5">
        <v>3014700.0</v>
      </c>
      <c r="D2037" s="5">
        <v>0.0</v>
      </c>
      <c r="E2037" s="5">
        <f t="shared" si="2"/>
        <v>58173425</v>
      </c>
      <c r="F2037" s="14" t="s">
        <v>2464</v>
      </c>
      <c r="G2037" s="14" t="s">
        <v>59</v>
      </c>
      <c r="H2037" s="14" t="s">
        <v>683</v>
      </c>
    </row>
    <row r="2038" ht="15.75" customHeight="1">
      <c r="A2038" s="8"/>
      <c r="B2038" s="14" t="s">
        <v>4505</v>
      </c>
      <c r="C2038" s="5">
        <v>200000.0</v>
      </c>
      <c r="D2038" s="5">
        <v>0.0</v>
      </c>
      <c r="E2038" s="5">
        <f t="shared" si="2"/>
        <v>57973425</v>
      </c>
      <c r="F2038" s="14" t="s">
        <v>2464</v>
      </c>
      <c r="G2038" s="14" t="s">
        <v>59</v>
      </c>
      <c r="H2038" s="14" t="s">
        <v>683</v>
      </c>
    </row>
    <row r="2039" ht="15.75" customHeight="1">
      <c r="A2039" s="8"/>
      <c r="B2039" s="14" t="s">
        <v>4347</v>
      </c>
      <c r="C2039" s="5">
        <v>300000.0</v>
      </c>
      <c r="D2039" s="5">
        <v>0.0</v>
      </c>
      <c r="E2039" s="5">
        <f t="shared" si="2"/>
        <v>57673425</v>
      </c>
      <c r="F2039" s="14" t="s">
        <v>2464</v>
      </c>
      <c r="G2039" s="14" t="s">
        <v>59</v>
      </c>
      <c r="H2039" s="14" t="s">
        <v>683</v>
      </c>
    </row>
    <row r="2040" ht="15.75" customHeight="1">
      <c r="A2040" s="8"/>
      <c r="B2040" s="14" t="s">
        <v>4506</v>
      </c>
      <c r="C2040" s="5">
        <v>2.4E7</v>
      </c>
      <c r="D2040" s="5">
        <v>0.0</v>
      </c>
      <c r="E2040" s="5">
        <f t="shared" si="2"/>
        <v>33673425</v>
      </c>
      <c r="F2040" s="14" t="s">
        <v>2464</v>
      </c>
      <c r="G2040" s="14" t="s">
        <v>59</v>
      </c>
      <c r="H2040" s="14" t="s">
        <v>683</v>
      </c>
    </row>
    <row r="2041" ht="15.75" customHeight="1">
      <c r="A2041" s="8"/>
      <c r="B2041" s="14" t="s">
        <v>4507</v>
      </c>
      <c r="C2041" s="5">
        <v>3.0E7</v>
      </c>
      <c r="D2041" s="5">
        <v>0.0</v>
      </c>
      <c r="E2041" s="5">
        <f t="shared" si="2"/>
        <v>3673425</v>
      </c>
      <c r="F2041" s="14" t="s">
        <v>2464</v>
      </c>
      <c r="G2041" s="14" t="s">
        <v>59</v>
      </c>
      <c r="H2041" s="14" t="s">
        <v>683</v>
      </c>
    </row>
    <row r="2042" ht="15.75" customHeight="1">
      <c r="A2042" s="8"/>
      <c r="B2042" s="14" t="s">
        <v>4508</v>
      </c>
      <c r="C2042" s="5">
        <v>242000.0</v>
      </c>
      <c r="D2042" s="5">
        <v>0.0</v>
      </c>
      <c r="E2042" s="5">
        <f t="shared" si="2"/>
        <v>3431425</v>
      </c>
      <c r="F2042" s="14" t="s">
        <v>2464</v>
      </c>
      <c r="G2042" s="14" t="s">
        <v>59</v>
      </c>
      <c r="H2042" s="14" t="s">
        <v>683</v>
      </c>
    </row>
    <row r="2043" ht="15.75" customHeight="1">
      <c r="A2043" s="8"/>
      <c r="B2043" s="14" t="s">
        <v>4509</v>
      </c>
      <c r="C2043" s="5">
        <v>3431425.0</v>
      </c>
      <c r="D2043" s="5">
        <v>0.0</v>
      </c>
      <c r="E2043" s="5">
        <f t="shared" si="2"/>
        <v>0</v>
      </c>
      <c r="F2043" s="14" t="s">
        <v>21</v>
      </c>
      <c r="G2043" s="14" t="s">
        <v>876</v>
      </c>
      <c r="H2043" s="14" t="s">
        <v>4497</v>
      </c>
    </row>
    <row r="2044" ht="15.75" customHeight="1">
      <c r="A2044" s="8">
        <v>46182.0</v>
      </c>
      <c r="B2044" s="4" t="s">
        <v>1752</v>
      </c>
      <c r="C2044" s="5">
        <v>0.0</v>
      </c>
      <c r="D2044" s="5">
        <v>2.5E8</v>
      </c>
      <c r="E2044" s="5">
        <f t="shared" si="2"/>
        <v>250000000</v>
      </c>
      <c r="F2044" s="14" t="s">
        <v>21</v>
      </c>
      <c r="G2044" s="14" t="s">
        <v>448</v>
      </c>
      <c r="H2044" s="14" t="s">
        <v>4510</v>
      </c>
    </row>
    <row r="2045" ht="15.75" customHeight="1">
      <c r="A2045" s="8">
        <v>46182.0</v>
      </c>
      <c r="B2045" s="4" t="s">
        <v>1757</v>
      </c>
      <c r="C2045" s="5">
        <v>0.0</v>
      </c>
      <c r="D2045" s="5">
        <v>2.0E8</v>
      </c>
      <c r="E2045" s="5">
        <f t="shared" si="2"/>
        <v>450000000</v>
      </c>
      <c r="F2045" s="14" t="s">
        <v>21</v>
      </c>
      <c r="G2045" s="14" t="s">
        <v>448</v>
      </c>
      <c r="H2045" s="14" t="s">
        <v>4510</v>
      </c>
    </row>
    <row r="2046" ht="15.75" customHeight="1">
      <c r="A2046" s="8"/>
      <c r="B2046" s="4" t="s">
        <v>4511</v>
      </c>
      <c r="C2046" s="5">
        <v>1875000.0</v>
      </c>
      <c r="D2046" s="5">
        <v>0.0</v>
      </c>
      <c r="E2046" s="5">
        <f t="shared" si="2"/>
        <v>448125000</v>
      </c>
      <c r="F2046" s="4" t="s">
        <v>2464</v>
      </c>
      <c r="G2046" s="14" t="s">
        <v>59</v>
      </c>
      <c r="H2046" s="14" t="s">
        <v>739</v>
      </c>
    </row>
    <row r="2047" ht="15.75" customHeight="1">
      <c r="A2047" s="8"/>
      <c r="B2047" s="4" t="s">
        <v>4512</v>
      </c>
      <c r="C2047" s="5">
        <v>3850000.0</v>
      </c>
      <c r="D2047" s="5">
        <v>0.0</v>
      </c>
      <c r="E2047" s="5">
        <f t="shared" si="2"/>
        <v>444275000</v>
      </c>
      <c r="F2047" s="4" t="s">
        <v>2464</v>
      </c>
      <c r="G2047" s="14" t="s">
        <v>59</v>
      </c>
      <c r="H2047" s="14" t="s">
        <v>739</v>
      </c>
    </row>
    <row r="2048" ht="15.75" customHeight="1">
      <c r="A2048" s="8"/>
      <c r="B2048" s="4" t="s">
        <v>4513</v>
      </c>
      <c r="C2048" s="5">
        <v>1.5E8</v>
      </c>
      <c r="D2048" s="5">
        <v>0.0</v>
      </c>
      <c r="E2048" s="5">
        <f t="shared" si="2"/>
        <v>294275000</v>
      </c>
      <c r="F2048" s="4" t="s">
        <v>2464</v>
      </c>
      <c r="G2048" s="14" t="s">
        <v>59</v>
      </c>
      <c r="H2048" s="14" t="s">
        <v>739</v>
      </c>
    </row>
    <row r="2049" ht="15.75" customHeight="1">
      <c r="A2049" s="8"/>
      <c r="B2049" s="4" t="s">
        <v>4514</v>
      </c>
      <c r="C2049" s="5">
        <v>787500.0</v>
      </c>
      <c r="D2049" s="5">
        <v>0.0</v>
      </c>
      <c r="E2049" s="5">
        <f t="shared" si="2"/>
        <v>293487500</v>
      </c>
      <c r="F2049" s="4" t="s">
        <v>2464</v>
      </c>
      <c r="G2049" s="14" t="s">
        <v>59</v>
      </c>
      <c r="H2049" s="14" t="s">
        <v>739</v>
      </c>
    </row>
    <row r="2050" ht="15.75" customHeight="1">
      <c r="A2050" s="8"/>
      <c r="B2050" s="4" t="s">
        <v>4515</v>
      </c>
      <c r="C2050" s="5">
        <v>2.0E7</v>
      </c>
      <c r="D2050" s="5">
        <v>0.0</v>
      </c>
      <c r="E2050" s="5">
        <f t="shared" si="2"/>
        <v>273487500</v>
      </c>
      <c r="F2050" s="4" t="s">
        <v>2464</v>
      </c>
      <c r="G2050" s="14" t="s">
        <v>59</v>
      </c>
      <c r="H2050" s="14" t="s">
        <v>739</v>
      </c>
    </row>
    <row r="2051" ht="15.75" customHeight="1">
      <c r="A2051" s="8"/>
      <c r="B2051" s="4" t="s">
        <v>4516</v>
      </c>
      <c r="C2051" s="5">
        <v>3.0E7</v>
      </c>
      <c r="D2051" s="5">
        <v>0.0</v>
      </c>
      <c r="E2051" s="5">
        <f t="shared" si="2"/>
        <v>243487500</v>
      </c>
      <c r="F2051" s="4" t="s">
        <v>2464</v>
      </c>
      <c r="G2051" s="14" t="s">
        <v>59</v>
      </c>
      <c r="H2051" s="14" t="s">
        <v>739</v>
      </c>
    </row>
    <row r="2052" ht="15.75" customHeight="1">
      <c r="A2052" s="8"/>
      <c r="B2052" s="4" t="s">
        <v>4517</v>
      </c>
      <c r="C2052" s="5">
        <v>7.0E7</v>
      </c>
      <c r="D2052" s="5">
        <v>0.0</v>
      </c>
      <c r="E2052" s="5">
        <f t="shared" si="2"/>
        <v>173487500</v>
      </c>
      <c r="F2052" s="4" t="s">
        <v>2464</v>
      </c>
      <c r="G2052" s="14" t="s">
        <v>59</v>
      </c>
      <c r="H2052" s="14" t="s">
        <v>739</v>
      </c>
    </row>
    <row r="2053" ht="15.75" customHeight="1">
      <c r="A2053" s="8"/>
      <c r="B2053" s="4" t="s">
        <v>4518</v>
      </c>
      <c r="C2053" s="5">
        <v>5000000.0</v>
      </c>
      <c r="D2053" s="5">
        <v>0.0</v>
      </c>
      <c r="E2053" s="5">
        <f t="shared" si="2"/>
        <v>168487500</v>
      </c>
      <c r="F2053" s="4" t="s">
        <v>2464</v>
      </c>
      <c r="G2053" s="14" t="s">
        <v>59</v>
      </c>
      <c r="H2053" s="14" t="s">
        <v>739</v>
      </c>
    </row>
    <row r="2054" ht="15.75" customHeight="1">
      <c r="A2054" s="8"/>
      <c r="B2054" s="4" t="s">
        <v>4519</v>
      </c>
      <c r="C2054" s="5">
        <v>3412000.0</v>
      </c>
      <c r="D2054" s="5">
        <v>0.0</v>
      </c>
      <c r="E2054" s="5">
        <f t="shared" si="2"/>
        <v>165075500</v>
      </c>
      <c r="F2054" s="4" t="s">
        <v>2464</v>
      </c>
      <c r="G2054" s="14" t="s">
        <v>59</v>
      </c>
      <c r="H2054" s="14" t="s">
        <v>739</v>
      </c>
    </row>
    <row r="2055" ht="15.75" customHeight="1">
      <c r="A2055" s="8"/>
      <c r="B2055" s="4" t="s">
        <v>4505</v>
      </c>
      <c r="C2055" s="5">
        <v>150000.0</v>
      </c>
      <c r="D2055" s="5">
        <v>0.0</v>
      </c>
      <c r="E2055" s="5">
        <f t="shared" si="2"/>
        <v>164925500</v>
      </c>
      <c r="F2055" s="4" t="s">
        <v>2464</v>
      </c>
      <c r="G2055" s="14" t="s">
        <v>59</v>
      </c>
      <c r="H2055" s="14" t="s">
        <v>739</v>
      </c>
    </row>
    <row r="2056" ht="15.75" customHeight="1">
      <c r="A2056" s="8"/>
      <c r="B2056" s="14" t="s">
        <v>4495</v>
      </c>
      <c r="C2056" s="5">
        <v>1000000.0</v>
      </c>
      <c r="D2056" s="5">
        <v>0.0</v>
      </c>
      <c r="E2056" s="5">
        <f t="shared" si="2"/>
        <v>163925500</v>
      </c>
      <c r="F2056" s="4" t="s">
        <v>2464</v>
      </c>
      <c r="G2056" s="14" t="s">
        <v>59</v>
      </c>
      <c r="H2056" s="14" t="s">
        <v>739</v>
      </c>
    </row>
    <row r="2057" ht="15.75" customHeight="1">
      <c r="A2057" s="8"/>
      <c r="B2057" s="14" t="s">
        <v>4520</v>
      </c>
      <c r="C2057" s="5">
        <v>200000.0</v>
      </c>
      <c r="D2057" s="5">
        <v>0.0</v>
      </c>
      <c r="E2057" s="5">
        <f t="shared" si="2"/>
        <v>163725500</v>
      </c>
      <c r="F2057" s="4" t="s">
        <v>2464</v>
      </c>
      <c r="G2057" s="14" t="s">
        <v>59</v>
      </c>
      <c r="H2057" s="14" t="s">
        <v>739</v>
      </c>
    </row>
    <row r="2058" ht="15.75" customHeight="1">
      <c r="A2058" s="8"/>
      <c r="B2058" s="14" t="s">
        <v>4521</v>
      </c>
      <c r="C2058" s="5">
        <v>80000.0</v>
      </c>
      <c r="D2058" s="5">
        <v>0.0</v>
      </c>
      <c r="E2058" s="5">
        <f t="shared" si="2"/>
        <v>163645500</v>
      </c>
      <c r="F2058" s="4" t="s">
        <v>2464</v>
      </c>
      <c r="G2058" s="14" t="s">
        <v>59</v>
      </c>
      <c r="H2058" s="14" t="s">
        <v>739</v>
      </c>
    </row>
    <row r="2059" ht="15.75" customHeight="1">
      <c r="A2059" s="8"/>
      <c r="B2059" s="14" t="s">
        <v>4522</v>
      </c>
      <c r="C2059" s="5">
        <v>1.636455E8</v>
      </c>
      <c r="D2059" s="5">
        <v>0.0</v>
      </c>
      <c r="E2059" s="5">
        <f t="shared" si="2"/>
        <v>0</v>
      </c>
      <c r="F2059" s="14" t="s">
        <v>21</v>
      </c>
      <c r="G2059" s="14" t="s">
        <v>876</v>
      </c>
      <c r="H2059" s="14" t="s">
        <v>4510</v>
      </c>
    </row>
    <row r="2060" ht="15.75" customHeight="1">
      <c r="A2060" s="8">
        <v>46190.0</v>
      </c>
      <c r="B2060" s="4" t="s">
        <v>1800</v>
      </c>
      <c r="C2060" s="5">
        <v>0.0</v>
      </c>
      <c r="D2060" s="5">
        <v>2.5E8</v>
      </c>
      <c r="E2060" s="5">
        <f t="shared" si="2"/>
        <v>250000000</v>
      </c>
      <c r="F2060" s="14" t="s">
        <v>21</v>
      </c>
      <c r="G2060" s="14" t="s">
        <v>448</v>
      </c>
      <c r="H2060" s="14" t="s">
        <v>4523</v>
      </c>
    </row>
    <row r="2061" ht="15.75" customHeight="1">
      <c r="A2061" s="8"/>
      <c r="B2061" s="4" t="s">
        <v>4524</v>
      </c>
      <c r="C2061" s="5">
        <v>80000.0</v>
      </c>
      <c r="D2061" s="5">
        <v>0.0</v>
      </c>
      <c r="E2061" s="5">
        <f t="shared" si="2"/>
        <v>249920000</v>
      </c>
      <c r="F2061" s="4" t="s">
        <v>2464</v>
      </c>
      <c r="G2061" s="14" t="s">
        <v>59</v>
      </c>
      <c r="H2061" s="4" t="s">
        <v>592</v>
      </c>
    </row>
    <row r="2062" ht="15.75" customHeight="1">
      <c r="A2062" s="8"/>
      <c r="B2062" s="4" t="s">
        <v>4513</v>
      </c>
      <c r="C2062" s="5">
        <v>1.0E8</v>
      </c>
      <c r="D2062" s="5">
        <v>0.0</v>
      </c>
      <c r="E2062" s="5">
        <f t="shared" si="2"/>
        <v>149920000</v>
      </c>
      <c r="F2062" s="4" t="s">
        <v>2464</v>
      </c>
      <c r="G2062" s="14" t="s">
        <v>59</v>
      </c>
      <c r="H2062" s="4" t="s">
        <v>592</v>
      </c>
    </row>
    <row r="2063" ht="15.75" customHeight="1">
      <c r="A2063" s="8"/>
      <c r="B2063" s="4" t="s">
        <v>4525</v>
      </c>
      <c r="C2063" s="5">
        <v>1.2E8</v>
      </c>
      <c r="D2063" s="5">
        <v>0.0</v>
      </c>
      <c r="E2063" s="5">
        <f t="shared" si="2"/>
        <v>29920000</v>
      </c>
      <c r="F2063" s="4" t="s">
        <v>2464</v>
      </c>
      <c r="G2063" s="14" t="s">
        <v>59</v>
      </c>
      <c r="H2063" s="4" t="s">
        <v>592</v>
      </c>
    </row>
    <row r="2064" ht="15.75" customHeight="1">
      <c r="A2064" s="8"/>
      <c r="B2064" s="4" t="s">
        <v>4526</v>
      </c>
      <c r="C2064" s="5">
        <v>3000000.0</v>
      </c>
      <c r="D2064" s="5">
        <v>0.0</v>
      </c>
      <c r="E2064" s="5">
        <f t="shared" si="2"/>
        <v>26920000</v>
      </c>
      <c r="F2064" s="4" t="s">
        <v>2464</v>
      </c>
      <c r="G2064" s="14" t="s">
        <v>59</v>
      </c>
      <c r="H2064" s="4" t="s">
        <v>592</v>
      </c>
    </row>
    <row r="2065" ht="15.75" customHeight="1">
      <c r="A2065" s="8"/>
      <c r="B2065" s="4" t="s">
        <v>4527</v>
      </c>
      <c r="C2065" s="5">
        <v>1.0E7</v>
      </c>
      <c r="D2065" s="5">
        <v>0.0</v>
      </c>
      <c r="E2065" s="5">
        <f t="shared" si="2"/>
        <v>16920000</v>
      </c>
      <c r="F2065" s="4" t="s">
        <v>2464</v>
      </c>
      <c r="G2065" s="14" t="s">
        <v>59</v>
      </c>
      <c r="H2065" s="4" t="s">
        <v>592</v>
      </c>
    </row>
    <row r="2066" ht="15.75" customHeight="1">
      <c r="A2066" s="8"/>
      <c r="B2066" s="4" t="s">
        <v>4528</v>
      </c>
      <c r="C2066" s="5">
        <v>200000.0</v>
      </c>
      <c r="D2066" s="5">
        <v>0.0</v>
      </c>
      <c r="E2066" s="5">
        <f t="shared" si="2"/>
        <v>16720000</v>
      </c>
      <c r="F2066" s="4" t="s">
        <v>2464</v>
      </c>
      <c r="G2066" s="14" t="s">
        <v>59</v>
      </c>
      <c r="H2066" s="4" t="s">
        <v>592</v>
      </c>
    </row>
    <row r="2067" ht="15.75" customHeight="1">
      <c r="A2067" s="8"/>
      <c r="B2067" s="4" t="s">
        <v>4529</v>
      </c>
      <c r="C2067" s="5">
        <v>2000000.0</v>
      </c>
      <c r="D2067" s="5">
        <v>0.0</v>
      </c>
      <c r="E2067" s="5">
        <f t="shared" si="2"/>
        <v>14720000</v>
      </c>
      <c r="F2067" s="4" t="s">
        <v>2464</v>
      </c>
      <c r="G2067" s="14" t="s">
        <v>59</v>
      </c>
      <c r="H2067" s="4" t="s">
        <v>592</v>
      </c>
    </row>
    <row r="2068" ht="15.75" customHeight="1">
      <c r="A2068" s="8"/>
      <c r="B2068" s="4" t="s">
        <v>4530</v>
      </c>
      <c r="C2068" s="5">
        <v>200000.0</v>
      </c>
      <c r="D2068" s="5">
        <v>0.0</v>
      </c>
      <c r="E2068" s="5">
        <f t="shared" si="2"/>
        <v>14520000</v>
      </c>
      <c r="F2068" s="4" t="s">
        <v>2464</v>
      </c>
      <c r="G2068" s="14" t="s">
        <v>59</v>
      </c>
      <c r="H2068" s="4" t="s">
        <v>592</v>
      </c>
    </row>
    <row r="2069" ht="15.75" customHeight="1">
      <c r="A2069" s="8"/>
      <c r="B2069" s="4" t="s">
        <v>4531</v>
      </c>
      <c r="C2069" s="5">
        <v>1.452E7</v>
      </c>
      <c r="D2069" s="5">
        <v>0.0</v>
      </c>
      <c r="E2069" s="5">
        <f t="shared" si="2"/>
        <v>0</v>
      </c>
      <c r="F2069" s="14" t="s">
        <v>21</v>
      </c>
      <c r="G2069" s="14" t="s">
        <v>876</v>
      </c>
      <c r="H2069" s="14" t="s">
        <v>1802</v>
      </c>
    </row>
    <row r="2070" ht="15.75" customHeight="1">
      <c r="A2070" s="8">
        <v>46190.0</v>
      </c>
      <c r="B2070" s="4" t="s">
        <v>1807</v>
      </c>
      <c r="C2070" s="5">
        <v>0.0</v>
      </c>
      <c r="D2070" s="5">
        <v>1.0E8</v>
      </c>
      <c r="E2070" s="5">
        <f t="shared" si="2"/>
        <v>100000000</v>
      </c>
      <c r="F2070" s="14" t="s">
        <v>21</v>
      </c>
      <c r="G2070" s="14" t="s">
        <v>448</v>
      </c>
      <c r="H2070" s="14" t="s">
        <v>4523</v>
      </c>
    </row>
    <row r="2071" ht="15.75" customHeight="1">
      <c r="A2071" s="8"/>
      <c r="B2071" s="4" t="s">
        <v>4532</v>
      </c>
      <c r="C2071" s="5">
        <v>4.36E7</v>
      </c>
      <c r="D2071" s="5">
        <v>0.0</v>
      </c>
      <c r="E2071" s="5">
        <f t="shared" si="2"/>
        <v>56400000</v>
      </c>
      <c r="F2071" s="4" t="s">
        <v>2464</v>
      </c>
      <c r="G2071" s="4" t="s">
        <v>59</v>
      </c>
      <c r="H2071" s="14" t="s">
        <v>2357</v>
      </c>
    </row>
    <row r="2072" ht="15.75" customHeight="1">
      <c r="A2072" s="8"/>
      <c r="B2072" s="4" t="s">
        <v>4533</v>
      </c>
      <c r="C2072" s="5">
        <v>1.0E7</v>
      </c>
      <c r="D2072" s="5">
        <v>0.0</v>
      </c>
      <c r="E2072" s="5">
        <f t="shared" si="2"/>
        <v>46400000</v>
      </c>
      <c r="F2072" s="4" t="s">
        <v>2464</v>
      </c>
      <c r="G2072" s="4" t="s">
        <v>59</v>
      </c>
      <c r="H2072" s="14" t="s">
        <v>2357</v>
      </c>
    </row>
    <row r="2073" ht="15.75" customHeight="1">
      <c r="A2073" s="8"/>
      <c r="B2073" s="4" t="s">
        <v>4534</v>
      </c>
      <c r="C2073" s="5">
        <v>1.575E7</v>
      </c>
      <c r="D2073" s="5">
        <v>0.0</v>
      </c>
      <c r="E2073" s="5">
        <f t="shared" si="2"/>
        <v>30650000</v>
      </c>
      <c r="F2073" s="4" t="s">
        <v>2464</v>
      </c>
      <c r="G2073" s="4" t="s">
        <v>59</v>
      </c>
      <c r="H2073" s="14" t="s">
        <v>2357</v>
      </c>
    </row>
    <row r="2074" ht="15.75" customHeight="1">
      <c r="A2074" s="8"/>
      <c r="B2074" s="4" t="s">
        <v>4535</v>
      </c>
      <c r="C2074" s="5">
        <v>686000.0</v>
      </c>
      <c r="D2074" s="5">
        <v>0.0</v>
      </c>
      <c r="E2074" s="5">
        <f t="shared" si="2"/>
        <v>29964000</v>
      </c>
      <c r="F2074" s="4" t="s">
        <v>2464</v>
      </c>
      <c r="G2074" s="4" t="s">
        <v>59</v>
      </c>
      <c r="H2074" s="14" t="s">
        <v>2357</v>
      </c>
    </row>
    <row r="2075" ht="15.75" customHeight="1">
      <c r="A2075" s="8"/>
      <c r="B2075" s="4" t="s">
        <v>4536</v>
      </c>
      <c r="C2075" s="5">
        <v>2.9964E7</v>
      </c>
      <c r="D2075" s="5">
        <v>0.0</v>
      </c>
      <c r="E2075" s="5">
        <f t="shared" si="2"/>
        <v>0</v>
      </c>
      <c r="F2075" s="14" t="s">
        <v>21</v>
      </c>
      <c r="G2075" s="14" t="s">
        <v>876</v>
      </c>
      <c r="H2075" s="14" t="s">
        <v>1914</v>
      </c>
    </row>
    <row r="2076" ht="15.75" customHeight="1">
      <c r="A2076" s="8">
        <v>46209.0</v>
      </c>
      <c r="B2076" s="4" t="s">
        <v>1990</v>
      </c>
      <c r="C2076" s="5">
        <v>0.0</v>
      </c>
      <c r="D2076" s="5">
        <v>7.0E8</v>
      </c>
      <c r="E2076" s="5">
        <f t="shared" si="2"/>
        <v>700000000</v>
      </c>
      <c r="F2076" s="14" t="s">
        <v>21</v>
      </c>
      <c r="G2076" s="14" t="s">
        <v>448</v>
      </c>
      <c r="H2076" s="14" t="s">
        <v>4537</v>
      </c>
    </row>
    <row r="2077" ht="15.75" customHeight="1">
      <c r="A2077" s="8"/>
      <c r="B2077" s="4" t="s">
        <v>4538</v>
      </c>
      <c r="C2077" s="5">
        <v>3.0E7</v>
      </c>
      <c r="D2077" s="5">
        <v>0.0</v>
      </c>
      <c r="E2077" s="5">
        <f t="shared" si="2"/>
        <v>670000000</v>
      </c>
      <c r="F2077" s="14" t="s">
        <v>2464</v>
      </c>
      <c r="G2077" s="14" t="s">
        <v>59</v>
      </c>
      <c r="H2077" s="15" t="s">
        <v>824</v>
      </c>
    </row>
    <row r="2078" ht="15.75" customHeight="1">
      <c r="A2078" s="8"/>
      <c r="B2078" s="4" t="s">
        <v>4539</v>
      </c>
      <c r="C2078" s="5">
        <v>8.0E7</v>
      </c>
      <c r="D2078" s="5">
        <v>0.0</v>
      </c>
      <c r="E2078" s="5">
        <f t="shared" si="2"/>
        <v>590000000</v>
      </c>
      <c r="F2078" s="14" t="s">
        <v>2464</v>
      </c>
      <c r="G2078" s="14" t="s">
        <v>59</v>
      </c>
      <c r="H2078" s="15" t="s">
        <v>824</v>
      </c>
    </row>
    <row r="2079" ht="15.75" customHeight="1">
      <c r="A2079" s="8"/>
      <c r="B2079" s="4" t="s">
        <v>4540</v>
      </c>
      <c r="C2079" s="5">
        <v>3.5E8</v>
      </c>
      <c r="D2079" s="5">
        <v>0.0</v>
      </c>
      <c r="E2079" s="5">
        <f t="shared" si="2"/>
        <v>240000000</v>
      </c>
      <c r="F2079" s="14" t="s">
        <v>2464</v>
      </c>
      <c r="G2079" s="14" t="s">
        <v>59</v>
      </c>
      <c r="H2079" s="15" t="s">
        <v>824</v>
      </c>
    </row>
    <row r="2080" ht="15.75" customHeight="1">
      <c r="A2080" s="8"/>
      <c r="B2080" s="4" t="s">
        <v>4541</v>
      </c>
      <c r="C2080" s="5">
        <v>2.0E7</v>
      </c>
      <c r="D2080" s="5">
        <v>0.0</v>
      </c>
      <c r="E2080" s="5">
        <f t="shared" si="2"/>
        <v>220000000</v>
      </c>
      <c r="F2080" s="14" t="s">
        <v>2464</v>
      </c>
      <c r="G2080" s="14" t="s">
        <v>59</v>
      </c>
      <c r="H2080" s="15" t="s">
        <v>824</v>
      </c>
    </row>
    <row r="2081" ht="15.75" customHeight="1">
      <c r="A2081" s="8"/>
      <c r="B2081" s="4" t="s">
        <v>4542</v>
      </c>
      <c r="C2081" s="5">
        <v>1.25E7</v>
      </c>
      <c r="D2081" s="5">
        <v>0.0</v>
      </c>
      <c r="E2081" s="5">
        <f t="shared" si="2"/>
        <v>207500000</v>
      </c>
      <c r="F2081" s="14" t="s">
        <v>2464</v>
      </c>
      <c r="G2081" s="14" t="s">
        <v>59</v>
      </c>
      <c r="H2081" s="15" t="s">
        <v>824</v>
      </c>
    </row>
    <row r="2082" ht="15.75" customHeight="1">
      <c r="A2082" s="8"/>
      <c r="B2082" s="4" t="s">
        <v>4543</v>
      </c>
      <c r="C2082" s="5">
        <v>200000.0</v>
      </c>
      <c r="D2082" s="5">
        <v>0.0</v>
      </c>
      <c r="E2082" s="5">
        <f t="shared" si="2"/>
        <v>207300000</v>
      </c>
      <c r="F2082" s="14" t="s">
        <v>2464</v>
      </c>
      <c r="G2082" s="14" t="s">
        <v>59</v>
      </c>
      <c r="H2082" s="15" t="s">
        <v>824</v>
      </c>
    </row>
    <row r="2083" ht="15.75" customHeight="1">
      <c r="A2083" s="8"/>
      <c r="B2083" s="4" t="s">
        <v>4544</v>
      </c>
      <c r="C2083" s="5">
        <v>200000.0</v>
      </c>
      <c r="D2083" s="5">
        <v>0.0</v>
      </c>
      <c r="E2083" s="5">
        <f t="shared" si="2"/>
        <v>207100000</v>
      </c>
      <c r="F2083" s="14" t="s">
        <v>2464</v>
      </c>
      <c r="G2083" s="14" t="s">
        <v>59</v>
      </c>
      <c r="H2083" s="15" t="s">
        <v>824</v>
      </c>
    </row>
    <row r="2084" ht="15.75" customHeight="1">
      <c r="A2084" s="8"/>
      <c r="B2084" s="4" t="s">
        <v>4545</v>
      </c>
      <c r="C2084" s="5">
        <v>1.5E8</v>
      </c>
      <c r="D2084" s="5">
        <v>0.0</v>
      </c>
      <c r="E2084" s="5">
        <f t="shared" si="2"/>
        <v>57100000</v>
      </c>
      <c r="F2084" s="14" t="s">
        <v>2464</v>
      </c>
      <c r="G2084" s="14" t="s">
        <v>59</v>
      </c>
      <c r="H2084" s="15" t="s">
        <v>824</v>
      </c>
    </row>
    <row r="2085" ht="15.75" customHeight="1">
      <c r="A2085" s="8"/>
      <c r="B2085" s="4" t="s">
        <v>4546</v>
      </c>
      <c r="C2085" s="5">
        <v>5775000.0</v>
      </c>
      <c r="D2085" s="5">
        <v>0.0</v>
      </c>
      <c r="E2085" s="5">
        <f t="shared" si="2"/>
        <v>51325000</v>
      </c>
      <c r="F2085" s="14" t="s">
        <v>2464</v>
      </c>
      <c r="G2085" s="14" t="s">
        <v>59</v>
      </c>
      <c r="H2085" s="15" t="s">
        <v>824</v>
      </c>
    </row>
    <row r="2086" ht="15.75" customHeight="1">
      <c r="A2086" s="8"/>
      <c r="B2086" s="4" t="s">
        <v>4547</v>
      </c>
      <c r="C2086" s="5">
        <v>5961250.0</v>
      </c>
      <c r="D2086" s="5">
        <v>0.0</v>
      </c>
      <c r="E2086" s="5">
        <f t="shared" si="2"/>
        <v>45363750</v>
      </c>
      <c r="F2086" s="14" t="s">
        <v>2464</v>
      </c>
      <c r="G2086" s="14" t="s">
        <v>59</v>
      </c>
      <c r="H2086" s="15" t="s">
        <v>824</v>
      </c>
    </row>
    <row r="2087" ht="15.75" customHeight="1">
      <c r="A2087" s="8"/>
      <c r="B2087" s="4" t="s">
        <v>4548</v>
      </c>
      <c r="C2087" s="5">
        <v>99000.0</v>
      </c>
      <c r="D2087" s="5">
        <v>0.0</v>
      </c>
      <c r="E2087" s="5">
        <f t="shared" si="2"/>
        <v>45264750</v>
      </c>
      <c r="F2087" s="14" t="s">
        <v>2464</v>
      </c>
      <c r="G2087" s="14" t="s">
        <v>59</v>
      </c>
      <c r="H2087" s="15" t="s">
        <v>824</v>
      </c>
    </row>
    <row r="2088" ht="15.75" customHeight="1">
      <c r="A2088" s="8"/>
      <c r="B2088" s="4" t="s">
        <v>4549</v>
      </c>
      <c r="C2088" s="5">
        <v>400000.0</v>
      </c>
      <c r="D2088" s="5">
        <v>0.0</v>
      </c>
      <c r="E2088" s="5">
        <f t="shared" si="2"/>
        <v>44864750</v>
      </c>
      <c r="F2088" s="14" t="s">
        <v>2464</v>
      </c>
      <c r="G2088" s="14" t="s">
        <v>59</v>
      </c>
      <c r="H2088" s="15" t="s">
        <v>824</v>
      </c>
    </row>
    <row r="2089" ht="15.75" customHeight="1">
      <c r="A2089" s="8"/>
      <c r="B2089" s="4" t="s">
        <v>4550</v>
      </c>
      <c r="C2089" s="5">
        <v>285000.0</v>
      </c>
      <c r="D2089" s="5">
        <v>0.0</v>
      </c>
      <c r="E2089" s="5">
        <f t="shared" si="2"/>
        <v>44579750</v>
      </c>
      <c r="F2089" s="14" t="s">
        <v>2464</v>
      </c>
      <c r="G2089" s="14" t="s">
        <v>59</v>
      </c>
      <c r="H2089" s="15" t="s">
        <v>824</v>
      </c>
    </row>
    <row r="2090" ht="15.75" customHeight="1">
      <c r="A2090" s="8"/>
      <c r="B2090" s="4" t="s">
        <v>4551</v>
      </c>
      <c r="C2090" s="5">
        <v>2000000.0</v>
      </c>
      <c r="D2090" s="5">
        <v>0.0</v>
      </c>
      <c r="E2090" s="5">
        <f t="shared" si="2"/>
        <v>42579750</v>
      </c>
      <c r="F2090" s="14" t="s">
        <v>2464</v>
      </c>
      <c r="G2090" s="14" t="s">
        <v>59</v>
      </c>
      <c r="H2090" s="15" t="s">
        <v>824</v>
      </c>
    </row>
    <row r="2091" ht="15.75" customHeight="1">
      <c r="A2091" s="8"/>
      <c r="B2091" s="4" t="s">
        <v>4552</v>
      </c>
      <c r="C2091" s="5">
        <v>220000.0</v>
      </c>
      <c r="D2091" s="5">
        <v>0.0</v>
      </c>
      <c r="E2091" s="5">
        <f t="shared" si="2"/>
        <v>42359750</v>
      </c>
      <c r="F2091" s="14" t="s">
        <v>2464</v>
      </c>
      <c r="G2091" s="14" t="s">
        <v>59</v>
      </c>
      <c r="H2091" s="15" t="s">
        <v>824</v>
      </c>
    </row>
    <row r="2092" ht="15.75" customHeight="1">
      <c r="A2092" s="8"/>
      <c r="B2092" s="4" t="s">
        <v>4553</v>
      </c>
      <c r="C2092" s="5">
        <v>1.31275E7</v>
      </c>
      <c r="D2092" s="5">
        <v>0.0</v>
      </c>
      <c r="E2092" s="5">
        <f t="shared" si="2"/>
        <v>29232250</v>
      </c>
      <c r="F2092" s="14" t="s">
        <v>2464</v>
      </c>
      <c r="G2092" s="14" t="s">
        <v>59</v>
      </c>
      <c r="H2092" s="15" t="s">
        <v>824</v>
      </c>
    </row>
    <row r="2093" ht="15.75" customHeight="1">
      <c r="A2093" s="8"/>
      <c r="B2093" s="4" t="s">
        <v>595</v>
      </c>
      <c r="C2093" s="5">
        <v>2.0E7</v>
      </c>
      <c r="D2093" s="5">
        <v>0.0</v>
      </c>
      <c r="E2093" s="5">
        <f t="shared" si="2"/>
        <v>9232250</v>
      </c>
      <c r="F2093" s="14" t="s">
        <v>21</v>
      </c>
      <c r="G2093" s="14" t="s">
        <v>122</v>
      </c>
      <c r="H2093" s="14" t="s">
        <v>595</v>
      </c>
    </row>
    <row r="2094" ht="15.75" customHeight="1">
      <c r="A2094" s="8"/>
      <c r="B2094" s="4" t="s">
        <v>4554</v>
      </c>
      <c r="C2094" s="5">
        <v>4000000.0</v>
      </c>
      <c r="D2094" s="5">
        <v>0.0</v>
      </c>
      <c r="E2094" s="5">
        <f t="shared" si="2"/>
        <v>5232250</v>
      </c>
      <c r="F2094" s="14" t="s">
        <v>2464</v>
      </c>
      <c r="G2094" s="14" t="s">
        <v>59</v>
      </c>
      <c r="H2094" s="15" t="s">
        <v>824</v>
      </c>
    </row>
    <row r="2095" ht="15.75" customHeight="1">
      <c r="A2095" s="8"/>
      <c r="B2095" s="4" t="s">
        <v>4555</v>
      </c>
      <c r="C2095" s="5">
        <v>5232250.0</v>
      </c>
      <c r="D2095" s="5">
        <v>0.0</v>
      </c>
      <c r="E2095" s="5">
        <f t="shared" si="2"/>
        <v>0</v>
      </c>
      <c r="F2095" s="14" t="s">
        <v>21</v>
      </c>
      <c r="G2095" s="14" t="s">
        <v>876</v>
      </c>
      <c r="H2095" s="14" t="s">
        <v>4537</v>
      </c>
    </row>
    <row r="2096" ht="15.75" customHeight="1">
      <c r="A2096" s="8">
        <v>46213.0</v>
      </c>
      <c r="B2096" s="4" t="s">
        <v>2099</v>
      </c>
      <c r="C2096" s="5">
        <v>0.0</v>
      </c>
      <c r="D2096" s="5">
        <v>3.34E8</v>
      </c>
      <c r="E2096" s="5">
        <f t="shared" si="2"/>
        <v>334000000</v>
      </c>
      <c r="F2096" s="14" t="s">
        <v>21</v>
      </c>
      <c r="G2096" s="14" t="s">
        <v>448</v>
      </c>
      <c r="H2096" s="14" t="s">
        <v>4556</v>
      </c>
    </row>
    <row r="2097" ht="15.75" customHeight="1">
      <c r="A2097" s="8"/>
      <c r="B2097" s="4" t="s">
        <v>4557</v>
      </c>
      <c r="C2097" s="5">
        <v>3.34E8</v>
      </c>
      <c r="D2097" s="5">
        <v>0.0</v>
      </c>
      <c r="E2097" s="5">
        <f t="shared" si="2"/>
        <v>0</v>
      </c>
      <c r="F2097" s="14" t="s">
        <v>2464</v>
      </c>
      <c r="G2097" s="14" t="s">
        <v>59</v>
      </c>
      <c r="H2097" s="4" t="s">
        <v>592</v>
      </c>
    </row>
    <row r="2098" ht="15.75" customHeight="1">
      <c r="A2098" s="8">
        <v>46218.0</v>
      </c>
      <c r="B2098" s="14" t="s">
        <v>1810</v>
      </c>
      <c r="C2098" s="5">
        <v>0.0</v>
      </c>
      <c r="D2098" s="5">
        <v>1500000.0</v>
      </c>
      <c r="E2098" s="5">
        <f t="shared" si="2"/>
        <v>1500000</v>
      </c>
      <c r="F2098" s="14" t="s">
        <v>21</v>
      </c>
      <c r="G2098" s="4" t="s">
        <v>184</v>
      </c>
      <c r="H2098" s="4" t="s">
        <v>1813</v>
      </c>
      <c r="I2098" s="16" t="s">
        <v>44</v>
      </c>
    </row>
    <row r="2099" ht="15.75" customHeight="1">
      <c r="A2099" s="8"/>
      <c r="B2099" s="4" t="s">
        <v>4558</v>
      </c>
      <c r="C2099" s="5">
        <v>66027.0</v>
      </c>
      <c r="D2099" s="5">
        <v>0.0</v>
      </c>
      <c r="E2099" s="5">
        <f t="shared" si="2"/>
        <v>1433973</v>
      </c>
      <c r="F2099" s="14" t="s">
        <v>2464</v>
      </c>
      <c r="G2099" s="14" t="s">
        <v>59</v>
      </c>
      <c r="H2099" s="4" t="s">
        <v>1280</v>
      </c>
    </row>
    <row r="2100" ht="15.75" customHeight="1">
      <c r="A2100" s="8"/>
      <c r="B2100" s="4" t="s">
        <v>4559</v>
      </c>
      <c r="C2100" s="5">
        <v>40000.0</v>
      </c>
      <c r="D2100" s="5">
        <v>0.0</v>
      </c>
      <c r="E2100" s="5">
        <f t="shared" si="2"/>
        <v>1393973</v>
      </c>
      <c r="F2100" s="14" t="s">
        <v>2464</v>
      </c>
      <c r="G2100" s="14" t="s">
        <v>59</v>
      </c>
      <c r="H2100" s="4" t="s">
        <v>1280</v>
      </c>
    </row>
    <row r="2101" ht="15.75" customHeight="1">
      <c r="A2101" s="8"/>
      <c r="B2101" s="4" t="s">
        <v>4560</v>
      </c>
      <c r="C2101" s="5">
        <v>14500.0</v>
      </c>
      <c r="D2101" s="5">
        <v>0.0</v>
      </c>
      <c r="E2101" s="5">
        <f t="shared" si="2"/>
        <v>1379473</v>
      </c>
      <c r="F2101" s="14" t="s">
        <v>2464</v>
      </c>
      <c r="G2101" s="14" t="s">
        <v>59</v>
      </c>
      <c r="H2101" s="4" t="s">
        <v>1280</v>
      </c>
    </row>
    <row r="2102" ht="15.75" customHeight="1">
      <c r="A2102" s="8"/>
      <c r="B2102" s="4" t="s">
        <v>4561</v>
      </c>
      <c r="C2102" s="5">
        <v>120500.0</v>
      </c>
      <c r="D2102" s="5">
        <v>0.0</v>
      </c>
      <c r="E2102" s="5">
        <f t="shared" si="2"/>
        <v>1258973</v>
      </c>
      <c r="F2102" s="14" t="s">
        <v>2464</v>
      </c>
      <c r="G2102" s="14" t="s">
        <v>59</v>
      </c>
      <c r="H2102" s="4" t="s">
        <v>1280</v>
      </c>
    </row>
    <row r="2103" ht="15.75" customHeight="1">
      <c r="A2103" s="8"/>
      <c r="B2103" s="4" t="s">
        <v>4562</v>
      </c>
      <c r="C2103" s="5">
        <v>72000.0</v>
      </c>
      <c r="D2103" s="5">
        <v>0.0</v>
      </c>
      <c r="E2103" s="5">
        <f t="shared" si="2"/>
        <v>1186973</v>
      </c>
      <c r="F2103" s="14" t="s">
        <v>2464</v>
      </c>
      <c r="G2103" s="14" t="s">
        <v>59</v>
      </c>
      <c r="H2103" s="4" t="s">
        <v>1280</v>
      </c>
    </row>
    <row r="2104" ht="15.75" customHeight="1">
      <c r="A2104" s="8"/>
      <c r="B2104" s="4" t="s">
        <v>4563</v>
      </c>
      <c r="C2104" s="5">
        <v>110000.0</v>
      </c>
      <c r="D2104" s="5">
        <v>0.0</v>
      </c>
      <c r="E2104" s="5">
        <f t="shared" si="2"/>
        <v>1076973</v>
      </c>
      <c r="F2104" s="14" t="s">
        <v>2464</v>
      </c>
      <c r="G2104" s="14" t="s">
        <v>59</v>
      </c>
      <c r="H2104" s="4" t="s">
        <v>1280</v>
      </c>
    </row>
    <row r="2105" ht="15.75" customHeight="1">
      <c r="A2105" s="8"/>
      <c r="B2105" s="4" t="s">
        <v>4564</v>
      </c>
      <c r="C2105" s="5">
        <v>80000.0</v>
      </c>
      <c r="D2105" s="5">
        <v>0.0</v>
      </c>
      <c r="E2105" s="5">
        <f t="shared" si="2"/>
        <v>996973</v>
      </c>
      <c r="F2105" s="14" t="s">
        <v>2464</v>
      </c>
      <c r="G2105" s="14" t="s">
        <v>59</v>
      </c>
      <c r="H2105" s="4" t="s">
        <v>1280</v>
      </c>
    </row>
    <row r="2106" ht="15.75" customHeight="1">
      <c r="A2106" s="8"/>
      <c r="B2106" s="4" t="s">
        <v>4565</v>
      </c>
      <c r="C2106" s="5">
        <v>200000.0</v>
      </c>
      <c r="D2106" s="5">
        <v>0.0</v>
      </c>
      <c r="E2106" s="5">
        <f t="shared" si="2"/>
        <v>796973</v>
      </c>
      <c r="F2106" s="14" t="s">
        <v>2464</v>
      </c>
      <c r="G2106" s="14" t="s">
        <v>59</v>
      </c>
      <c r="H2106" s="4" t="s">
        <v>1280</v>
      </c>
    </row>
    <row r="2107" ht="15.75" customHeight="1">
      <c r="A2107" s="8"/>
      <c r="B2107" s="4" t="s">
        <v>4566</v>
      </c>
      <c r="C2107" s="5">
        <v>141000.0</v>
      </c>
      <c r="D2107" s="5">
        <v>0.0</v>
      </c>
      <c r="E2107" s="5">
        <f t="shared" si="2"/>
        <v>655973</v>
      </c>
      <c r="F2107" s="14" t="s">
        <v>2464</v>
      </c>
      <c r="G2107" s="14" t="s">
        <v>59</v>
      </c>
      <c r="H2107" s="4" t="s">
        <v>1280</v>
      </c>
    </row>
    <row r="2108" ht="15.75" customHeight="1">
      <c r="A2108" s="8"/>
      <c r="B2108" s="4" t="s">
        <v>4567</v>
      </c>
      <c r="C2108" s="5">
        <v>50000.0</v>
      </c>
      <c r="D2108" s="5">
        <v>0.0</v>
      </c>
      <c r="E2108" s="5">
        <f t="shared" si="2"/>
        <v>605973</v>
      </c>
      <c r="F2108" s="14" t="s">
        <v>2464</v>
      </c>
      <c r="G2108" s="14" t="s">
        <v>59</v>
      </c>
      <c r="H2108" s="4" t="s">
        <v>1280</v>
      </c>
    </row>
    <row r="2109" ht="15.75" customHeight="1">
      <c r="A2109" s="8"/>
      <c r="B2109" s="4" t="s">
        <v>4568</v>
      </c>
      <c r="C2109" s="5">
        <v>136500.0</v>
      </c>
      <c r="D2109" s="5">
        <v>0.0</v>
      </c>
      <c r="E2109" s="5">
        <f t="shared" si="2"/>
        <v>469473</v>
      </c>
      <c r="F2109" s="14" t="s">
        <v>2464</v>
      </c>
      <c r="G2109" s="14" t="s">
        <v>59</v>
      </c>
      <c r="H2109" s="4" t="s">
        <v>1280</v>
      </c>
    </row>
    <row r="2110" ht="15.75" customHeight="1">
      <c r="A2110" s="8"/>
      <c r="B2110" s="4" t="s">
        <v>4569</v>
      </c>
      <c r="C2110" s="5">
        <v>280000.0</v>
      </c>
      <c r="D2110" s="5">
        <v>0.0</v>
      </c>
      <c r="E2110" s="5">
        <f t="shared" si="2"/>
        <v>189473</v>
      </c>
      <c r="F2110" s="14" t="s">
        <v>2464</v>
      </c>
      <c r="G2110" s="14" t="s">
        <v>59</v>
      </c>
      <c r="H2110" s="4" t="s">
        <v>1280</v>
      </c>
    </row>
    <row r="2111" ht="15.75" customHeight="1">
      <c r="A2111" s="8"/>
      <c r="B2111" s="4" t="s">
        <v>4570</v>
      </c>
      <c r="C2111" s="5">
        <v>5000.0</v>
      </c>
      <c r="D2111" s="5">
        <v>0.0</v>
      </c>
      <c r="E2111" s="5">
        <f t="shared" si="2"/>
        <v>184473</v>
      </c>
      <c r="F2111" s="14" t="s">
        <v>2464</v>
      </c>
      <c r="G2111" s="14" t="s">
        <v>59</v>
      </c>
      <c r="H2111" s="4" t="s">
        <v>1280</v>
      </c>
    </row>
    <row r="2112" ht="15.75" customHeight="1">
      <c r="A2112" s="8"/>
      <c r="B2112" s="4" t="s">
        <v>4571</v>
      </c>
      <c r="C2112" s="5">
        <v>35000.0</v>
      </c>
      <c r="D2112" s="5">
        <v>0.0</v>
      </c>
      <c r="E2112" s="5">
        <f t="shared" si="2"/>
        <v>149473</v>
      </c>
      <c r="F2112" s="14" t="s">
        <v>2464</v>
      </c>
      <c r="G2112" s="14" t="s">
        <v>59</v>
      </c>
      <c r="H2112" s="4" t="s">
        <v>1280</v>
      </c>
    </row>
    <row r="2113" ht="15.75" customHeight="1">
      <c r="A2113" s="8">
        <v>46243.0</v>
      </c>
      <c r="B2113" s="14" t="s">
        <v>1993</v>
      </c>
      <c r="C2113" s="5">
        <v>149473.0</v>
      </c>
      <c r="D2113" s="5">
        <v>0.0</v>
      </c>
      <c r="E2113" s="5">
        <f t="shared" si="2"/>
        <v>0</v>
      </c>
      <c r="F2113" s="14" t="s">
        <v>21</v>
      </c>
      <c r="G2113" s="14" t="s">
        <v>41</v>
      </c>
      <c r="H2113" s="4" t="s">
        <v>1813</v>
      </c>
      <c r="I2113" s="16" t="s">
        <v>44</v>
      </c>
    </row>
    <row r="2114" ht="15.75" customHeight="1">
      <c r="A2114" s="8">
        <v>46227.0</v>
      </c>
      <c r="B2114" s="14" t="s">
        <v>1882</v>
      </c>
      <c r="C2114" s="5">
        <v>0.0</v>
      </c>
      <c r="D2114" s="5">
        <v>8000000.0</v>
      </c>
      <c r="E2114" s="5">
        <f t="shared" si="2"/>
        <v>8000000</v>
      </c>
      <c r="F2114" s="14" t="s">
        <v>21</v>
      </c>
      <c r="G2114" s="14" t="s">
        <v>184</v>
      </c>
      <c r="H2114" s="4" t="s">
        <v>1884</v>
      </c>
      <c r="I2114" s="16" t="s">
        <v>539</v>
      </c>
    </row>
    <row r="2115" ht="15.75" customHeight="1">
      <c r="A2115" s="8"/>
      <c r="B2115" s="14" t="s">
        <v>4572</v>
      </c>
      <c r="C2115" s="5">
        <v>8000000.0</v>
      </c>
      <c r="D2115" s="5">
        <v>0.0</v>
      </c>
      <c r="E2115" s="5">
        <f t="shared" si="2"/>
        <v>0</v>
      </c>
      <c r="F2115" s="14" t="s">
        <v>2464</v>
      </c>
      <c r="G2115" s="14" t="s">
        <v>59</v>
      </c>
      <c r="H2115" s="4" t="s">
        <v>3800</v>
      </c>
      <c r="I2115" s="16"/>
    </row>
    <row r="2116" ht="15.75" customHeight="1">
      <c r="A2116" s="8">
        <v>46237.0</v>
      </c>
      <c r="B2116" s="14" t="s">
        <v>1929</v>
      </c>
      <c r="C2116" s="5">
        <v>0.0</v>
      </c>
      <c r="D2116" s="5">
        <v>1.5E7</v>
      </c>
      <c r="E2116" s="5">
        <f t="shared" si="2"/>
        <v>15000000</v>
      </c>
      <c r="F2116" s="14" t="s">
        <v>21</v>
      </c>
      <c r="G2116" s="14" t="s">
        <v>184</v>
      </c>
      <c r="H2116" s="4" t="s">
        <v>1930</v>
      </c>
      <c r="I2116" s="16" t="s">
        <v>44</v>
      </c>
    </row>
    <row r="2117" ht="15.75" customHeight="1">
      <c r="A2117" s="8"/>
      <c r="B2117" s="14" t="s">
        <v>4565</v>
      </c>
      <c r="C2117" s="5">
        <v>200000.0</v>
      </c>
      <c r="D2117" s="5">
        <v>0.0</v>
      </c>
      <c r="E2117" s="5">
        <f t="shared" si="2"/>
        <v>14800000</v>
      </c>
      <c r="F2117" s="14" t="s">
        <v>24</v>
      </c>
      <c r="G2117" s="14" t="s">
        <v>125</v>
      </c>
      <c r="H2117" s="4" t="s">
        <v>922</v>
      </c>
      <c r="I2117" s="16"/>
    </row>
    <row r="2118" ht="15.75" customHeight="1">
      <c r="A2118" s="8"/>
      <c r="B2118" s="14" t="s">
        <v>4567</v>
      </c>
      <c r="C2118" s="5">
        <v>100000.0</v>
      </c>
      <c r="D2118" s="5">
        <v>0.0</v>
      </c>
      <c r="E2118" s="5">
        <f t="shared" si="2"/>
        <v>14700000</v>
      </c>
      <c r="F2118" s="14" t="s">
        <v>24</v>
      </c>
      <c r="G2118" s="14" t="s">
        <v>125</v>
      </c>
      <c r="H2118" s="4" t="s">
        <v>922</v>
      </c>
      <c r="I2118" s="16"/>
    </row>
    <row r="2119" ht="15.75" customHeight="1">
      <c r="A2119" s="8"/>
      <c r="B2119" s="14" t="s">
        <v>4564</v>
      </c>
      <c r="C2119" s="5">
        <v>43000.0</v>
      </c>
      <c r="D2119" s="5">
        <v>0.0</v>
      </c>
      <c r="E2119" s="5">
        <f t="shared" si="2"/>
        <v>14657000</v>
      </c>
      <c r="F2119" s="14" t="s">
        <v>24</v>
      </c>
      <c r="G2119" s="14" t="s">
        <v>125</v>
      </c>
      <c r="H2119" s="4" t="s">
        <v>922</v>
      </c>
      <c r="I2119" s="16"/>
    </row>
    <row r="2120" ht="15.75" customHeight="1">
      <c r="A2120" s="8"/>
      <c r="B2120" s="14" t="s">
        <v>4573</v>
      </c>
      <c r="C2120" s="5">
        <v>120500.0</v>
      </c>
      <c r="D2120" s="5">
        <v>0.0</v>
      </c>
      <c r="E2120" s="5">
        <f t="shared" si="2"/>
        <v>14536500</v>
      </c>
      <c r="F2120" s="14" t="s">
        <v>24</v>
      </c>
      <c r="G2120" s="14" t="s">
        <v>125</v>
      </c>
      <c r="H2120" s="4" t="s">
        <v>922</v>
      </c>
      <c r="I2120" s="16"/>
    </row>
    <row r="2121" ht="15.75" customHeight="1">
      <c r="A2121" s="8"/>
      <c r="B2121" s="14" t="s">
        <v>4574</v>
      </c>
      <c r="C2121" s="5">
        <v>390000.0</v>
      </c>
      <c r="D2121" s="5">
        <v>0.0</v>
      </c>
      <c r="E2121" s="5">
        <f t="shared" si="2"/>
        <v>14146500</v>
      </c>
      <c r="F2121" s="14" t="s">
        <v>24</v>
      </c>
      <c r="G2121" s="14" t="s">
        <v>125</v>
      </c>
      <c r="H2121" s="4" t="s">
        <v>922</v>
      </c>
      <c r="I2121" s="16"/>
    </row>
    <row r="2122" ht="15.75" customHeight="1">
      <c r="A2122" s="8"/>
      <c r="B2122" s="14" t="s">
        <v>4575</v>
      </c>
      <c r="C2122" s="5">
        <v>43882.0</v>
      </c>
      <c r="D2122" s="5">
        <v>0.0</v>
      </c>
      <c r="E2122" s="5">
        <f t="shared" si="2"/>
        <v>14102618</v>
      </c>
      <c r="F2122" s="14" t="s">
        <v>24</v>
      </c>
      <c r="G2122" s="14" t="s">
        <v>125</v>
      </c>
      <c r="H2122" s="4" t="s">
        <v>922</v>
      </c>
      <c r="I2122" s="16"/>
    </row>
    <row r="2123" ht="15.75" customHeight="1">
      <c r="A2123" s="8"/>
      <c r="B2123" s="14" t="s">
        <v>4576</v>
      </c>
      <c r="C2123" s="5">
        <v>34000.0</v>
      </c>
      <c r="D2123" s="5">
        <v>0.0</v>
      </c>
      <c r="E2123" s="5">
        <f t="shared" si="2"/>
        <v>14068618</v>
      </c>
      <c r="F2123" s="14" t="s">
        <v>24</v>
      </c>
      <c r="G2123" s="14" t="s">
        <v>125</v>
      </c>
      <c r="H2123" s="4" t="s">
        <v>922</v>
      </c>
      <c r="I2123" s="16"/>
    </row>
    <row r="2124" ht="15.75" customHeight="1">
      <c r="A2124" s="8"/>
      <c r="B2124" s="14" t="s">
        <v>4577</v>
      </c>
      <c r="C2124" s="5">
        <v>20000.0</v>
      </c>
      <c r="D2124" s="5">
        <v>0.0</v>
      </c>
      <c r="E2124" s="5">
        <f t="shared" si="2"/>
        <v>14048618</v>
      </c>
      <c r="F2124" s="14" t="s">
        <v>24</v>
      </c>
      <c r="G2124" s="14" t="s">
        <v>125</v>
      </c>
      <c r="H2124" s="4" t="s">
        <v>922</v>
      </c>
      <c r="I2124" s="16"/>
    </row>
    <row r="2125" ht="15.75" customHeight="1">
      <c r="A2125" s="8"/>
      <c r="B2125" s="14" t="s">
        <v>4578</v>
      </c>
      <c r="C2125" s="5">
        <v>14000.0</v>
      </c>
      <c r="D2125" s="5">
        <v>0.0</v>
      </c>
      <c r="E2125" s="5">
        <f t="shared" si="2"/>
        <v>14034618</v>
      </c>
      <c r="F2125" s="14" t="s">
        <v>24</v>
      </c>
      <c r="G2125" s="14" t="s">
        <v>125</v>
      </c>
      <c r="H2125" s="4" t="s">
        <v>922</v>
      </c>
      <c r="I2125" s="16"/>
    </row>
    <row r="2126" ht="15.75" customHeight="1">
      <c r="A2126" s="8"/>
      <c r="B2126" s="14" t="s">
        <v>4579</v>
      </c>
      <c r="C2126" s="5">
        <v>42000.0</v>
      </c>
      <c r="D2126" s="5">
        <v>0.0</v>
      </c>
      <c r="E2126" s="5">
        <f t="shared" si="2"/>
        <v>13992618</v>
      </c>
      <c r="F2126" s="14" t="s">
        <v>24</v>
      </c>
      <c r="G2126" s="14" t="s">
        <v>125</v>
      </c>
      <c r="H2126" s="4" t="s">
        <v>922</v>
      </c>
      <c r="I2126" s="16"/>
    </row>
    <row r="2127" ht="15.75" customHeight="1">
      <c r="A2127" s="8"/>
      <c r="B2127" s="14" t="s">
        <v>4580</v>
      </c>
      <c r="C2127" s="5">
        <v>34000.0</v>
      </c>
      <c r="D2127" s="5">
        <v>0.0</v>
      </c>
      <c r="E2127" s="5">
        <f t="shared" si="2"/>
        <v>13958618</v>
      </c>
      <c r="F2127" s="14" t="s">
        <v>24</v>
      </c>
      <c r="G2127" s="14" t="s">
        <v>125</v>
      </c>
      <c r="H2127" s="4" t="s">
        <v>922</v>
      </c>
      <c r="I2127" s="16"/>
    </row>
    <row r="2128" ht="15.75" customHeight="1">
      <c r="A2128" s="8"/>
      <c r="B2128" s="14" t="s">
        <v>4581</v>
      </c>
      <c r="C2128" s="5">
        <v>25000.0</v>
      </c>
      <c r="D2128" s="5">
        <v>0.0</v>
      </c>
      <c r="E2128" s="5">
        <f t="shared" si="2"/>
        <v>13933618</v>
      </c>
      <c r="F2128" s="14" t="s">
        <v>24</v>
      </c>
      <c r="G2128" s="14" t="s">
        <v>125</v>
      </c>
      <c r="H2128" s="4" t="s">
        <v>922</v>
      </c>
      <c r="I2128" s="16"/>
    </row>
    <row r="2129" ht="15.75" customHeight="1">
      <c r="A2129" s="8"/>
      <c r="B2129" s="14" t="s">
        <v>4582</v>
      </c>
      <c r="C2129" s="5">
        <v>178500.0</v>
      </c>
      <c r="D2129" s="5">
        <v>0.0</v>
      </c>
      <c r="E2129" s="5">
        <f t="shared" si="2"/>
        <v>13755118</v>
      </c>
      <c r="F2129" s="14" t="s">
        <v>24</v>
      </c>
      <c r="G2129" s="14" t="s">
        <v>125</v>
      </c>
      <c r="H2129" s="4" t="s">
        <v>922</v>
      </c>
      <c r="I2129" s="16"/>
    </row>
    <row r="2130" ht="15.75" customHeight="1">
      <c r="A2130" s="8"/>
      <c r="B2130" s="14" t="s">
        <v>4583</v>
      </c>
      <c r="C2130" s="5">
        <v>69200.0</v>
      </c>
      <c r="D2130" s="5">
        <v>0.0</v>
      </c>
      <c r="E2130" s="5">
        <f t="shared" si="2"/>
        <v>13685918</v>
      </c>
      <c r="F2130" s="14" t="s">
        <v>24</v>
      </c>
      <c r="G2130" s="14" t="s">
        <v>125</v>
      </c>
      <c r="H2130" s="4" t="s">
        <v>922</v>
      </c>
      <c r="I2130" s="16"/>
    </row>
    <row r="2131" ht="15.75" customHeight="1">
      <c r="A2131" s="8"/>
      <c r="B2131" s="14" t="s">
        <v>4584</v>
      </c>
      <c r="C2131" s="5">
        <v>50000.0</v>
      </c>
      <c r="D2131" s="5">
        <v>0.0</v>
      </c>
      <c r="E2131" s="5">
        <f t="shared" si="2"/>
        <v>13635918</v>
      </c>
      <c r="F2131" s="14" t="s">
        <v>24</v>
      </c>
      <c r="G2131" s="14" t="s">
        <v>125</v>
      </c>
      <c r="H2131" s="4" t="s">
        <v>922</v>
      </c>
      <c r="I2131" s="16"/>
    </row>
    <row r="2132" ht="15.75" customHeight="1">
      <c r="A2132" s="8"/>
      <c r="B2132" s="14" t="s">
        <v>4585</v>
      </c>
      <c r="C2132" s="5">
        <v>60000.0</v>
      </c>
      <c r="D2132" s="5">
        <v>0.0</v>
      </c>
      <c r="E2132" s="5">
        <f t="shared" si="2"/>
        <v>13575918</v>
      </c>
      <c r="F2132" s="14" t="s">
        <v>24</v>
      </c>
      <c r="G2132" s="14" t="s">
        <v>125</v>
      </c>
      <c r="H2132" s="4" t="s">
        <v>922</v>
      </c>
      <c r="I2132" s="16"/>
    </row>
    <row r="2133" ht="15.75" customHeight="1">
      <c r="A2133" s="8"/>
      <c r="B2133" s="14" t="s">
        <v>4586</v>
      </c>
      <c r="C2133" s="5">
        <v>29000.0</v>
      </c>
      <c r="D2133" s="5">
        <v>0.0</v>
      </c>
      <c r="E2133" s="5">
        <f t="shared" si="2"/>
        <v>13546918</v>
      </c>
      <c r="F2133" s="14" t="s">
        <v>24</v>
      </c>
      <c r="G2133" s="14" t="s">
        <v>125</v>
      </c>
      <c r="H2133" s="4" t="s">
        <v>922</v>
      </c>
      <c r="I2133" s="16"/>
    </row>
    <row r="2134" ht="15.75" customHeight="1">
      <c r="A2134" s="8"/>
      <c r="B2134" s="14" t="s">
        <v>4587</v>
      </c>
      <c r="C2134" s="5">
        <v>72000.0</v>
      </c>
      <c r="D2134" s="5">
        <v>0.0</v>
      </c>
      <c r="E2134" s="5">
        <f t="shared" si="2"/>
        <v>13474918</v>
      </c>
      <c r="F2134" s="14" t="s">
        <v>24</v>
      </c>
      <c r="G2134" s="14" t="s">
        <v>125</v>
      </c>
      <c r="H2134" s="4" t="s">
        <v>922</v>
      </c>
      <c r="I2134" s="16"/>
    </row>
    <row r="2135" ht="15.75" customHeight="1">
      <c r="A2135" s="8"/>
      <c r="B2135" s="14" t="s">
        <v>4588</v>
      </c>
      <c r="C2135" s="5">
        <v>32295.0</v>
      </c>
      <c r="D2135" s="5">
        <v>0.0</v>
      </c>
      <c r="E2135" s="5">
        <f t="shared" si="2"/>
        <v>13442623</v>
      </c>
      <c r="F2135" s="14" t="s">
        <v>24</v>
      </c>
      <c r="G2135" s="14" t="s">
        <v>125</v>
      </c>
      <c r="H2135" s="4" t="s">
        <v>922</v>
      </c>
      <c r="I2135" s="16"/>
    </row>
    <row r="2136" ht="15.75" customHeight="1">
      <c r="A2136" s="8"/>
      <c r="B2136" s="14" t="s">
        <v>4589</v>
      </c>
      <c r="C2136" s="5">
        <v>95000.0</v>
      </c>
      <c r="D2136" s="5">
        <v>0.0</v>
      </c>
      <c r="E2136" s="5">
        <f t="shared" si="2"/>
        <v>13347623</v>
      </c>
      <c r="F2136" s="14" t="s">
        <v>24</v>
      </c>
      <c r="G2136" s="14" t="s">
        <v>125</v>
      </c>
      <c r="H2136" s="4" t="s">
        <v>922</v>
      </c>
      <c r="I2136" s="16"/>
    </row>
    <row r="2137" ht="15.75" customHeight="1">
      <c r="A2137" s="8"/>
      <c r="B2137" s="14" t="s">
        <v>4590</v>
      </c>
      <c r="C2137" s="5">
        <v>15500.0</v>
      </c>
      <c r="D2137" s="5">
        <v>0.0</v>
      </c>
      <c r="E2137" s="5">
        <f t="shared" si="2"/>
        <v>13332123</v>
      </c>
      <c r="F2137" s="14" t="s">
        <v>24</v>
      </c>
      <c r="G2137" s="14" t="s">
        <v>125</v>
      </c>
      <c r="H2137" s="4" t="s">
        <v>922</v>
      </c>
      <c r="I2137" s="16"/>
    </row>
    <row r="2138" ht="15.75" customHeight="1">
      <c r="A2138" s="8"/>
      <c r="B2138" s="14" t="s">
        <v>4591</v>
      </c>
      <c r="C2138" s="5">
        <v>75000.0</v>
      </c>
      <c r="D2138" s="5">
        <v>0.0</v>
      </c>
      <c r="E2138" s="5">
        <f t="shared" si="2"/>
        <v>13257123</v>
      </c>
      <c r="F2138" s="14" t="s">
        <v>24</v>
      </c>
      <c r="G2138" s="14" t="s">
        <v>125</v>
      </c>
      <c r="H2138" s="4" t="s">
        <v>922</v>
      </c>
      <c r="I2138" s="16"/>
    </row>
    <row r="2139" ht="15.75" customHeight="1">
      <c r="A2139" s="8"/>
      <c r="B2139" s="14" t="s">
        <v>4592</v>
      </c>
      <c r="C2139" s="5">
        <v>25000.0</v>
      </c>
      <c r="D2139" s="5">
        <v>0.0</v>
      </c>
      <c r="E2139" s="5">
        <f t="shared" si="2"/>
        <v>13232123</v>
      </c>
      <c r="F2139" s="14" t="s">
        <v>24</v>
      </c>
      <c r="G2139" s="14" t="s">
        <v>125</v>
      </c>
      <c r="H2139" s="4" t="s">
        <v>922</v>
      </c>
      <c r="I2139" s="16"/>
    </row>
    <row r="2140" ht="15.75" customHeight="1">
      <c r="A2140" s="8"/>
      <c r="B2140" s="14" t="s">
        <v>4593</v>
      </c>
      <c r="C2140" s="5">
        <v>205000.0</v>
      </c>
      <c r="D2140" s="5">
        <v>0.0</v>
      </c>
      <c r="E2140" s="5">
        <f t="shared" si="2"/>
        <v>13027123</v>
      </c>
      <c r="F2140" s="14" t="s">
        <v>24</v>
      </c>
      <c r="G2140" s="14" t="s">
        <v>125</v>
      </c>
      <c r="H2140" s="4" t="s">
        <v>922</v>
      </c>
      <c r="I2140" s="16"/>
    </row>
    <row r="2141" ht="15.75" customHeight="1">
      <c r="A2141" s="8"/>
      <c r="B2141" s="14" t="s">
        <v>4594</v>
      </c>
      <c r="C2141" s="5">
        <v>30000.0</v>
      </c>
      <c r="D2141" s="5">
        <v>0.0</v>
      </c>
      <c r="E2141" s="5">
        <f t="shared" si="2"/>
        <v>12997123</v>
      </c>
      <c r="F2141" s="14" t="s">
        <v>24</v>
      </c>
      <c r="G2141" s="14" t="s">
        <v>125</v>
      </c>
      <c r="H2141" s="4" t="s">
        <v>922</v>
      </c>
      <c r="I2141" s="16"/>
    </row>
    <row r="2142" ht="15.75" customHeight="1">
      <c r="A2142" s="8">
        <v>46260.0</v>
      </c>
      <c r="B2142" s="14" t="s">
        <v>4595</v>
      </c>
      <c r="C2142" s="5">
        <v>1.2997123E7</v>
      </c>
      <c r="D2142" s="5">
        <v>0.0</v>
      </c>
      <c r="E2142" s="5">
        <f t="shared" si="2"/>
        <v>0</v>
      </c>
      <c r="F2142" s="14" t="s">
        <v>21</v>
      </c>
      <c r="G2142" s="14" t="s">
        <v>41</v>
      </c>
      <c r="H2142" s="4" t="s">
        <v>1930</v>
      </c>
      <c r="I2142" s="16" t="s">
        <v>44</v>
      </c>
    </row>
    <row r="2143" ht="15.75" customHeight="1">
      <c r="A2143" s="8">
        <v>46245.0</v>
      </c>
      <c r="B2143" s="14" t="s">
        <v>2075</v>
      </c>
      <c r="C2143" s="5">
        <v>0.0</v>
      </c>
      <c r="D2143" s="5">
        <v>1.0E7</v>
      </c>
      <c r="E2143" s="5">
        <f t="shared" si="2"/>
        <v>10000000</v>
      </c>
      <c r="F2143" s="14" t="s">
        <v>21</v>
      </c>
      <c r="G2143" s="14" t="s">
        <v>184</v>
      </c>
      <c r="H2143" s="4" t="s">
        <v>2077</v>
      </c>
      <c r="I2143" s="16" t="s">
        <v>451</v>
      </c>
    </row>
    <row r="2144" ht="15.75" customHeight="1">
      <c r="A2144" s="8"/>
      <c r="B2144" s="14" t="s">
        <v>4596</v>
      </c>
      <c r="C2144" s="5">
        <v>500000.0</v>
      </c>
      <c r="D2144" s="5">
        <v>0.0</v>
      </c>
      <c r="E2144" s="5">
        <f t="shared" si="2"/>
        <v>9500000</v>
      </c>
      <c r="F2144" s="14" t="s">
        <v>2464</v>
      </c>
      <c r="G2144" s="14" t="s">
        <v>59</v>
      </c>
      <c r="H2144" s="14" t="s">
        <v>1250</v>
      </c>
      <c r="I2144" s="16"/>
    </row>
    <row r="2145" ht="15.75" customHeight="1">
      <c r="A2145" s="8"/>
      <c r="B2145" s="14" t="s">
        <v>4597</v>
      </c>
      <c r="C2145" s="5">
        <v>2500000.0</v>
      </c>
      <c r="D2145" s="5">
        <v>0.0</v>
      </c>
      <c r="E2145" s="5">
        <f t="shared" si="2"/>
        <v>7000000</v>
      </c>
      <c r="F2145" s="14" t="s">
        <v>2464</v>
      </c>
      <c r="G2145" s="14" t="s">
        <v>59</v>
      </c>
      <c r="H2145" s="14" t="s">
        <v>1250</v>
      </c>
      <c r="I2145" s="16"/>
    </row>
    <row r="2146" ht="15.75" customHeight="1">
      <c r="A2146" s="8"/>
      <c r="B2146" s="14" t="s">
        <v>4598</v>
      </c>
      <c r="C2146" s="5">
        <v>80000.0</v>
      </c>
      <c r="D2146" s="5">
        <v>0.0</v>
      </c>
      <c r="E2146" s="5">
        <f t="shared" si="2"/>
        <v>6920000</v>
      </c>
      <c r="F2146" s="14" t="s">
        <v>2464</v>
      </c>
      <c r="G2146" s="14" t="s">
        <v>59</v>
      </c>
      <c r="H2146" s="14" t="s">
        <v>1250</v>
      </c>
      <c r="I2146" s="16"/>
    </row>
    <row r="2147" ht="15.75" customHeight="1">
      <c r="A2147" s="8"/>
      <c r="B2147" s="14" t="s">
        <v>4599</v>
      </c>
      <c r="C2147" s="5">
        <v>270000.0</v>
      </c>
      <c r="D2147" s="5">
        <v>0.0</v>
      </c>
      <c r="E2147" s="5">
        <f t="shared" si="2"/>
        <v>6650000</v>
      </c>
      <c r="F2147" s="14" t="s">
        <v>2464</v>
      </c>
      <c r="G2147" s="14" t="s">
        <v>59</v>
      </c>
      <c r="H2147" s="14" t="s">
        <v>1250</v>
      </c>
      <c r="I2147" s="16"/>
    </row>
    <row r="2148" ht="15.75" customHeight="1">
      <c r="A2148" s="8"/>
      <c r="B2148" s="14" t="s">
        <v>4600</v>
      </c>
      <c r="C2148" s="5">
        <v>150000.0</v>
      </c>
      <c r="D2148" s="5">
        <v>0.0</v>
      </c>
      <c r="E2148" s="5">
        <f t="shared" si="2"/>
        <v>6500000</v>
      </c>
      <c r="F2148" s="14" t="s">
        <v>2464</v>
      </c>
      <c r="G2148" s="14" t="s">
        <v>59</v>
      </c>
      <c r="H2148" s="14" t="s">
        <v>1250</v>
      </c>
      <c r="I2148" s="16"/>
    </row>
    <row r="2149" ht="15.75" customHeight="1">
      <c r="A2149" s="8"/>
      <c r="B2149" s="14" t="s">
        <v>4601</v>
      </c>
      <c r="C2149" s="5">
        <v>300000.0</v>
      </c>
      <c r="D2149" s="5">
        <v>0.0</v>
      </c>
      <c r="E2149" s="5">
        <f t="shared" si="2"/>
        <v>6200000</v>
      </c>
      <c r="F2149" s="14" t="s">
        <v>2464</v>
      </c>
      <c r="G2149" s="14" t="s">
        <v>59</v>
      </c>
      <c r="H2149" s="14" t="s">
        <v>1250</v>
      </c>
      <c r="I2149" s="16"/>
    </row>
    <row r="2150" ht="15.75" customHeight="1">
      <c r="A2150" s="8"/>
      <c r="B2150" s="14" t="s">
        <v>4602</v>
      </c>
      <c r="C2150" s="5">
        <v>163000.0</v>
      </c>
      <c r="D2150" s="5">
        <v>0.0</v>
      </c>
      <c r="E2150" s="5">
        <f t="shared" si="2"/>
        <v>6037000</v>
      </c>
      <c r="F2150" s="14" t="s">
        <v>2464</v>
      </c>
      <c r="G2150" s="14" t="s">
        <v>59</v>
      </c>
      <c r="H2150" s="14" t="s">
        <v>1250</v>
      </c>
      <c r="I2150" s="16"/>
    </row>
    <row r="2151" ht="15.75" customHeight="1">
      <c r="A2151" s="8"/>
      <c r="B2151" s="14" t="s">
        <v>4603</v>
      </c>
      <c r="C2151" s="5">
        <v>65000.0</v>
      </c>
      <c r="D2151" s="5">
        <v>0.0</v>
      </c>
      <c r="E2151" s="5">
        <f t="shared" si="2"/>
        <v>5972000</v>
      </c>
      <c r="F2151" s="14" t="s">
        <v>2464</v>
      </c>
      <c r="G2151" s="14" t="s">
        <v>59</v>
      </c>
      <c r="H2151" s="14" t="s">
        <v>1250</v>
      </c>
      <c r="I2151" s="16"/>
    </row>
    <row r="2152" ht="15.75" customHeight="1">
      <c r="A2152" s="8"/>
      <c r="B2152" s="14" t="s">
        <v>4604</v>
      </c>
      <c r="C2152" s="5">
        <v>2500000.0</v>
      </c>
      <c r="D2152" s="5">
        <v>0.0</v>
      </c>
      <c r="E2152" s="5">
        <f t="shared" si="2"/>
        <v>3472000</v>
      </c>
      <c r="F2152" s="14" t="s">
        <v>2464</v>
      </c>
      <c r="G2152" s="14" t="s">
        <v>59</v>
      </c>
      <c r="H2152" s="14" t="s">
        <v>1250</v>
      </c>
      <c r="I2152" s="16"/>
    </row>
    <row r="2153" ht="15.75" customHeight="1">
      <c r="A2153" s="8"/>
      <c r="B2153" s="14" t="s">
        <v>4605</v>
      </c>
      <c r="C2153" s="5">
        <v>185000.0</v>
      </c>
      <c r="D2153" s="5">
        <v>0.0</v>
      </c>
      <c r="E2153" s="5">
        <f t="shared" si="2"/>
        <v>3287000</v>
      </c>
      <c r="F2153" s="14" t="s">
        <v>2464</v>
      </c>
      <c r="G2153" s="14" t="s">
        <v>59</v>
      </c>
      <c r="H2153" s="14" t="s">
        <v>1250</v>
      </c>
      <c r="I2153" s="16"/>
    </row>
    <row r="2154" ht="15.75" customHeight="1">
      <c r="A2154" s="8"/>
      <c r="B2154" s="14" t="s">
        <v>4606</v>
      </c>
      <c r="C2154" s="5">
        <v>400000.0</v>
      </c>
      <c r="D2154" s="5">
        <v>0.0</v>
      </c>
      <c r="E2154" s="5">
        <f t="shared" si="2"/>
        <v>2887000</v>
      </c>
      <c r="F2154" s="14" t="s">
        <v>2464</v>
      </c>
      <c r="G2154" s="14" t="s">
        <v>59</v>
      </c>
      <c r="H2154" s="14" t="s">
        <v>1250</v>
      </c>
      <c r="I2154" s="16"/>
    </row>
    <row r="2155" ht="15.75" customHeight="1">
      <c r="A2155" s="8"/>
      <c r="B2155" s="14" t="s">
        <v>4607</v>
      </c>
      <c r="C2155" s="5">
        <v>1380000.0</v>
      </c>
      <c r="D2155" s="5">
        <v>0.0</v>
      </c>
      <c r="E2155" s="5">
        <f t="shared" si="2"/>
        <v>1507000</v>
      </c>
      <c r="F2155" s="14" t="s">
        <v>2464</v>
      </c>
      <c r="G2155" s="14" t="s">
        <v>59</v>
      </c>
      <c r="H2155" s="14" t="s">
        <v>1250</v>
      </c>
      <c r="I2155" s="16"/>
    </row>
    <row r="2156" ht="15.75" customHeight="1">
      <c r="A2156" s="8"/>
      <c r="B2156" s="14" t="s">
        <v>4608</v>
      </c>
      <c r="C2156" s="5">
        <v>3550000.0</v>
      </c>
      <c r="D2156" s="5">
        <v>0.0</v>
      </c>
      <c r="E2156" s="5">
        <f t="shared" si="2"/>
        <v>-2043000</v>
      </c>
      <c r="F2156" s="14" t="s">
        <v>2464</v>
      </c>
      <c r="G2156" s="14" t="s">
        <v>59</v>
      </c>
      <c r="H2156" s="14" t="s">
        <v>1250</v>
      </c>
      <c r="I2156" s="16"/>
    </row>
    <row r="2157" ht="15.75" customHeight="1">
      <c r="A2157" s="8">
        <v>46269.0</v>
      </c>
      <c r="B2157" s="14" t="s">
        <v>2075</v>
      </c>
      <c r="C2157" s="5">
        <v>0.0</v>
      </c>
      <c r="D2157" s="5">
        <v>2043000.0</v>
      </c>
      <c r="E2157" s="5">
        <f t="shared" si="2"/>
        <v>0</v>
      </c>
      <c r="F2157" s="14" t="s">
        <v>21</v>
      </c>
      <c r="G2157" s="14" t="s">
        <v>184</v>
      </c>
      <c r="H2157" s="14" t="s">
        <v>2077</v>
      </c>
      <c r="I2157" s="16" t="s">
        <v>451</v>
      </c>
    </row>
    <row r="2158" ht="15.75" customHeight="1">
      <c r="A2158" s="8">
        <v>46245.0</v>
      </c>
      <c r="B2158" s="14" t="s">
        <v>2066</v>
      </c>
      <c r="C2158" s="5">
        <v>0.0</v>
      </c>
      <c r="D2158" s="5">
        <v>6000000.0</v>
      </c>
      <c r="E2158" s="5">
        <f t="shared" si="2"/>
        <v>6000000</v>
      </c>
      <c r="F2158" s="14" t="s">
        <v>21</v>
      </c>
      <c r="G2158" s="14" t="s">
        <v>184</v>
      </c>
      <c r="H2158" s="4" t="s">
        <v>2068</v>
      </c>
      <c r="I2158" s="16" t="s">
        <v>539</v>
      </c>
    </row>
    <row r="2159" ht="15.75" customHeight="1">
      <c r="A2159" s="8"/>
      <c r="B2159" s="14" t="s">
        <v>4609</v>
      </c>
      <c r="C2159" s="5">
        <v>241700.0</v>
      </c>
      <c r="D2159" s="5">
        <v>0.0</v>
      </c>
      <c r="E2159" s="5">
        <f t="shared" si="2"/>
        <v>5758300</v>
      </c>
      <c r="F2159" s="14" t="s">
        <v>24</v>
      </c>
      <c r="G2159" s="14" t="s">
        <v>125</v>
      </c>
      <c r="H2159" s="4" t="s">
        <v>946</v>
      </c>
      <c r="I2159" s="16"/>
    </row>
    <row r="2160" ht="15.75" customHeight="1">
      <c r="A2160" s="8"/>
      <c r="B2160" s="14" t="s">
        <v>4610</v>
      </c>
      <c r="C2160" s="5">
        <v>2626600.0</v>
      </c>
      <c r="D2160" s="5">
        <v>0.0</v>
      </c>
      <c r="E2160" s="5">
        <f t="shared" si="2"/>
        <v>3131700</v>
      </c>
      <c r="F2160" s="14" t="s">
        <v>24</v>
      </c>
      <c r="G2160" s="14" t="s">
        <v>125</v>
      </c>
      <c r="H2160" s="4" t="s">
        <v>946</v>
      </c>
      <c r="I2160" s="16"/>
    </row>
    <row r="2161" ht="15.75" customHeight="1">
      <c r="A2161" s="8"/>
      <c r="B2161" s="14" t="s">
        <v>4611</v>
      </c>
      <c r="C2161" s="5">
        <v>157000.0</v>
      </c>
      <c r="D2161" s="5">
        <v>0.0</v>
      </c>
      <c r="E2161" s="5">
        <f t="shared" si="2"/>
        <v>2974700</v>
      </c>
      <c r="F2161" s="14" t="s">
        <v>24</v>
      </c>
      <c r="G2161" s="14" t="s">
        <v>125</v>
      </c>
      <c r="H2161" s="4" t="s">
        <v>946</v>
      </c>
      <c r="I2161" s="16"/>
    </row>
    <row r="2162" ht="15.75" customHeight="1">
      <c r="A2162" s="8"/>
      <c r="B2162" s="14" t="s">
        <v>4612</v>
      </c>
      <c r="C2162" s="5">
        <v>160000.0</v>
      </c>
      <c r="D2162" s="5">
        <v>0.0</v>
      </c>
      <c r="E2162" s="5">
        <f t="shared" si="2"/>
        <v>2814700</v>
      </c>
      <c r="F2162" s="14" t="s">
        <v>24</v>
      </c>
      <c r="G2162" s="14" t="s">
        <v>125</v>
      </c>
      <c r="H2162" s="4" t="s">
        <v>946</v>
      </c>
      <c r="I2162" s="16"/>
    </row>
    <row r="2163" ht="15.75" customHeight="1">
      <c r="A2163" s="8"/>
      <c r="B2163" s="14" t="s">
        <v>4613</v>
      </c>
      <c r="C2163" s="5">
        <v>119650.0</v>
      </c>
      <c r="D2163" s="5">
        <v>0.0</v>
      </c>
      <c r="E2163" s="5">
        <f t="shared" si="2"/>
        <v>2695050</v>
      </c>
      <c r="F2163" s="14" t="s">
        <v>24</v>
      </c>
      <c r="G2163" s="14" t="s">
        <v>125</v>
      </c>
      <c r="H2163" s="4" t="s">
        <v>946</v>
      </c>
      <c r="I2163" s="16"/>
    </row>
    <row r="2164" ht="15.75" customHeight="1">
      <c r="A2164" s="8"/>
      <c r="B2164" s="14" t="s">
        <v>4614</v>
      </c>
      <c r="C2164" s="5">
        <v>580600.0</v>
      </c>
      <c r="D2164" s="5">
        <v>0.0</v>
      </c>
      <c r="E2164" s="5">
        <f t="shared" si="2"/>
        <v>2114450</v>
      </c>
      <c r="F2164" s="14" t="s">
        <v>24</v>
      </c>
      <c r="G2164" s="14" t="s">
        <v>125</v>
      </c>
      <c r="H2164" s="4" t="s">
        <v>946</v>
      </c>
      <c r="I2164" s="16"/>
    </row>
    <row r="2165" ht="15.75" customHeight="1">
      <c r="A2165" s="8"/>
      <c r="B2165" s="14" t="s">
        <v>4615</v>
      </c>
      <c r="C2165" s="5">
        <v>70000.0</v>
      </c>
      <c r="D2165" s="5">
        <v>0.0</v>
      </c>
      <c r="E2165" s="5">
        <f t="shared" si="2"/>
        <v>2044450</v>
      </c>
      <c r="F2165" s="14" t="s">
        <v>24</v>
      </c>
      <c r="G2165" s="14" t="s">
        <v>125</v>
      </c>
      <c r="H2165" s="4" t="s">
        <v>946</v>
      </c>
      <c r="I2165" s="16"/>
    </row>
    <row r="2166" ht="15.75" customHeight="1">
      <c r="A2166" s="8"/>
      <c r="B2166" s="14" t="s">
        <v>4616</v>
      </c>
      <c r="C2166" s="5">
        <v>58000.0</v>
      </c>
      <c r="D2166" s="5">
        <v>0.0</v>
      </c>
      <c r="E2166" s="5">
        <f t="shared" si="2"/>
        <v>1986450</v>
      </c>
      <c r="F2166" s="14" t="s">
        <v>24</v>
      </c>
      <c r="G2166" s="14" t="s">
        <v>125</v>
      </c>
      <c r="H2166" s="4" t="s">
        <v>946</v>
      </c>
      <c r="I2166" s="16"/>
    </row>
    <row r="2167" ht="15.75" customHeight="1">
      <c r="A2167" s="8"/>
      <c r="B2167" s="14" t="s">
        <v>4617</v>
      </c>
      <c r="C2167" s="5">
        <v>120000.0</v>
      </c>
      <c r="D2167" s="5">
        <v>0.0</v>
      </c>
      <c r="E2167" s="5">
        <f t="shared" si="2"/>
        <v>1866450</v>
      </c>
      <c r="F2167" s="14" t="s">
        <v>24</v>
      </c>
      <c r="G2167" s="14" t="s">
        <v>125</v>
      </c>
      <c r="H2167" s="4" t="s">
        <v>946</v>
      </c>
      <c r="I2167" s="16"/>
    </row>
    <row r="2168" ht="15.75" customHeight="1">
      <c r="A2168" s="8"/>
      <c r="B2168" s="14" t="s">
        <v>4618</v>
      </c>
      <c r="C2168" s="5">
        <v>107600.0</v>
      </c>
      <c r="D2168" s="5">
        <v>0.0</v>
      </c>
      <c r="E2168" s="5">
        <f t="shared" si="2"/>
        <v>1758850</v>
      </c>
      <c r="F2168" s="14" t="s">
        <v>24</v>
      </c>
      <c r="G2168" s="14" t="s">
        <v>125</v>
      </c>
      <c r="H2168" s="4" t="s">
        <v>946</v>
      </c>
      <c r="I2168" s="16"/>
    </row>
    <row r="2169" ht="15.75" customHeight="1">
      <c r="A2169" s="8"/>
      <c r="B2169" s="14" t="s">
        <v>4619</v>
      </c>
      <c r="C2169" s="5">
        <v>50000.0</v>
      </c>
      <c r="D2169" s="5">
        <v>0.0</v>
      </c>
      <c r="E2169" s="5">
        <f t="shared" si="2"/>
        <v>1708850</v>
      </c>
      <c r="F2169" s="14" t="s">
        <v>24</v>
      </c>
      <c r="G2169" s="14" t="s">
        <v>125</v>
      </c>
      <c r="H2169" s="4" t="s">
        <v>946</v>
      </c>
      <c r="I2169" s="16"/>
    </row>
    <row r="2170" ht="15.75" customHeight="1">
      <c r="A2170" s="8"/>
      <c r="B2170" s="14" t="s">
        <v>4620</v>
      </c>
      <c r="C2170" s="5">
        <v>141501.0</v>
      </c>
      <c r="D2170" s="5">
        <v>0.0</v>
      </c>
      <c r="E2170" s="5">
        <f t="shared" si="2"/>
        <v>1567349</v>
      </c>
      <c r="F2170" s="14" t="s">
        <v>24</v>
      </c>
      <c r="G2170" s="14" t="s">
        <v>125</v>
      </c>
      <c r="H2170" s="4" t="s">
        <v>946</v>
      </c>
      <c r="I2170" s="16"/>
    </row>
    <row r="2171" ht="15.75" customHeight="1">
      <c r="A2171" s="8"/>
      <c r="B2171" s="14" t="s">
        <v>4621</v>
      </c>
      <c r="C2171" s="5">
        <v>21000.0</v>
      </c>
      <c r="D2171" s="5">
        <v>0.0</v>
      </c>
      <c r="E2171" s="5">
        <f t="shared" si="2"/>
        <v>1546349</v>
      </c>
      <c r="F2171" s="14" t="s">
        <v>24</v>
      </c>
      <c r="G2171" s="14" t="s">
        <v>125</v>
      </c>
      <c r="H2171" s="4" t="s">
        <v>946</v>
      </c>
      <c r="I2171" s="16"/>
    </row>
    <row r="2172" ht="15.75" customHeight="1">
      <c r="A2172" s="8"/>
      <c r="B2172" s="14" t="s">
        <v>4622</v>
      </c>
      <c r="C2172" s="5">
        <v>80220.0</v>
      </c>
      <c r="D2172" s="5">
        <v>0.0</v>
      </c>
      <c r="E2172" s="5">
        <f t="shared" si="2"/>
        <v>1466129</v>
      </c>
      <c r="F2172" s="14" t="s">
        <v>24</v>
      </c>
      <c r="G2172" s="14" t="s">
        <v>125</v>
      </c>
      <c r="H2172" s="4" t="s">
        <v>946</v>
      </c>
      <c r="I2172" s="16"/>
    </row>
    <row r="2173" ht="15.75" customHeight="1">
      <c r="A2173" s="8"/>
      <c r="B2173" s="14" t="s">
        <v>4623</v>
      </c>
      <c r="C2173" s="5">
        <v>200000.0</v>
      </c>
      <c r="D2173" s="5">
        <v>0.0</v>
      </c>
      <c r="E2173" s="5">
        <f t="shared" si="2"/>
        <v>1266129</v>
      </c>
      <c r="F2173" s="14" t="s">
        <v>24</v>
      </c>
      <c r="G2173" s="14" t="s">
        <v>125</v>
      </c>
      <c r="H2173" s="4" t="s">
        <v>946</v>
      </c>
      <c r="I2173" s="16"/>
    </row>
    <row r="2174" ht="15.75" customHeight="1">
      <c r="A2174" s="8"/>
      <c r="B2174" s="14" t="s">
        <v>4624</v>
      </c>
      <c r="C2174" s="5">
        <v>10000.0</v>
      </c>
      <c r="D2174" s="5">
        <v>0.0</v>
      </c>
      <c r="E2174" s="5">
        <f t="shared" si="2"/>
        <v>1256129</v>
      </c>
      <c r="F2174" s="14" t="s">
        <v>24</v>
      </c>
      <c r="G2174" s="14" t="s">
        <v>125</v>
      </c>
      <c r="H2174" s="4" t="s">
        <v>946</v>
      </c>
      <c r="I2174" s="16"/>
    </row>
    <row r="2175" ht="15.75" customHeight="1">
      <c r="A2175" s="8"/>
      <c r="B2175" s="14" t="s">
        <v>4625</v>
      </c>
      <c r="C2175" s="5">
        <v>19500.0</v>
      </c>
      <c r="D2175" s="5">
        <v>0.0</v>
      </c>
      <c r="E2175" s="5">
        <f t="shared" si="2"/>
        <v>1236629</v>
      </c>
      <c r="F2175" s="14" t="s">
        <v>24</v>
      </c>
      <c r="G2175" s="14" t="s">
        <v>125</v>
      </c>
      <c r="H2175" s="4" t="s">
        <v>946</v>
      </c>
      <c r="I2175" s="16"/>
    </row>
    <row r="2176" ht="15.75" customHeight="1">
      <c r="A2176" s="8"/>
      <c r="B2176" s="14" t="s">
        <v>4626</v>
      </c>
      <c r="C2176" s="5">
        <v>6000.0</v>
      </c>
      <c r="D2176" s="5">
        <v>0.0</v>
      </c>
      <c r="E2176" s="5">
        <f t="shared" si="2"/>
        <v>1230629</v>
      </c>
      <c r="F2176" s="14" t="s">
        <v>24</v>
      </c>
      <c r="G2176" s="14" t="s">
        <v>125</v>
      </c>
      <c r="H2176" s="4" t="s">
        <v>946</v>
      </c>
      <c r="I2176" s="16"/>
    </row>
    <row r="2177" ht="15.75" customHeight="1">
      <c r="A2177" s="8"/>
      <c r="B2177" s="14" t="s">
        <v>4627</v>
      </c>
      <c r="C2177" s="5">
        <v>29521.0</v>
      </c>
      <c r="D2177" s="5">
        <v>0.0</v>
      </c>
      <c r="E2177" s="5">
        <f t="shared" si="2"/>
        <v>1201108</v>
      </c>
      <c r="F2177" s="14" t="s">
        <v>24</v>
      </c>
      <c r="G2177" s="14" t="s">
        <v>125</v>
      </c>
      <c r="H2177" s="4" t="s">
        <v>946</v>
      </c>
      <c r="I2177" s="16"/>
    </row>
    <row r="2178" ht="15.75" customHeight="1">
      <c r="A2178" s="8">
        <v>46262.0</v>
      </c>
      <c r="B2178" s="14" t="s">
        <v>2360</v>
      </c>
      <c r="C2178" s="5">
        <v>1201108.0</v>
      </c>
      <c r="D2178" s="5">
        <v>0.0</v>
      </c>
      <c r="E2178" s="5">
        <f t="shared" si="2"/>
        <v>0</v>
      </c>
      <c r="F2178" s="14" t="s">
        <v>21</v>
      </c>
      <c r="G2178" s="14" t="s">
        <v>41</v>
      </c>
      <c r="H2178" s="4" t="s">
        <v>2068</v>
      </c>
      <c r="I2178" s="16" t="s">
        <v>539</v>
      </c>
    </row>
    <row r="2179" ht="15.75" customHeight="1">
      <c r="A2179" s="8">
        <v>46245.0</v>
      </c>
      <c r="B2179" s="14" t="s">
        <v>2130</v>
      </c>
      <c r="C2179" s="5">
        <v>0.0</v>
      </c>
      <c r="D2179" s="5">
        <v>1.0E7</v>
      </c>
      <c r="E2179" s="5">
        <f t="shared" si="2"/>
        <v>10000000</v>
      </c>
      <c r="F2179" s="14" t="s">
        <v>21</v>
      </c>
      <c r="G2179" s="14" t="s">
        <v>184</v>
      </c>
      <c r="H2179" s="4" t="s">
        <v>2131</v>
      </c>
      <c r="I2179" s="16" t="s">
        <v>203</v>
      </c>
    </row>
    <row r="2180" ht="15.75" customHeight="1">
      <c r="A2180" s="8"/>
      <c r="B2180" s="4" t="s">
        <v>4628</v>
      </c>
      <c r="C2180" s="5">
        <v>1.0E7</v>
      </c>
      <c r="D2180" s="5">
        <v>0.0</v>
      </c>
      <c r="E2180" s="5">
        <f t="shared" si="2"/>
        <v>0</v>
      </c>
      <c r="F2180" s="14" t="s">
        <v>24</v>
      </c>
      <c r="G2180" s="14" t="s">
        <v>125</v>
      </c>
      <c r="H2180" s="4" t="s">
        <v>946</v>
      </c>
    </row>
    <row r="2181" ht="15.75" customHeight="1">
      <c r="A2181" s="8">
        <v>46247.0</v>
      </c>
      <c r="B2181" s="14" t="s">
        <v>2133</v>
      </c>
      <c r="C2181" s="5">
        <v>0.0</v>
      </c>
      <c r="D2181" s="5">
        <v>2.0E7</v>
      </c>
      <c r="E2181" s="5">
        <f t="shared" si="2"/>
        <v>20000000</v>
      </c>
      <c r="F2181" s="14" t="s">
        <v>21</v>
      </c>
      <c r="G2181" s="14" t="s">
        <v>184</v>
      </c>
      <c r="H2181" s="4" t="s">
        <v>2137</v>
      </c>
      <c r="I2181" s="16" t="s">
        <v>203</v>
      </c>
    </row>
    <row r="2182" ht="15.75" customHeight="1">
      <c r="A2182" s="8"/>
      <c r="B2182" s="4" t="s">
        <v>4629</v>
      </c>
      <c r="C2182" s="5">
        <v>2.0E7</v>
      </c>
      <c r="D2182" s="5">
        <v>0.0</v>
      </c>
      <c r="E2182" s="5">
        <f t="shared" si="2"/>
        <v>0</v>
      </c>
      <c r="F2182" s="14" t="s">
        <v>24</v>
      </c>
      <c r="G2182" s="14" t="s">
        <v>125</v>
      </c>
      <c r="H2182" s="4" t="s">
        <v>946</v>
      </c>
    </row>
    <row r="2183" ht="15.75" customHeight="1">
      <c r="A2183" s="8">
        <v>46258.0</v>
      </c>
      <c r="B2183" s="4" t="s">
        <v>2469</v>
      </c>
      <c r="C2183" s="5">
        <v>0.0</v>
      </c>
      <c r="D2183" s="5">
        <v>4.5E8</v>
      </c>
      <c r="E2183" s="5">
        <f t="shared" si="2"/>
        <v>450000000</v>
      </c>
      <c r="F2183" s="14" t="s">
        <v>21</v>
      </c>
      <c r="G2183" s="14" t="s">
        <v>448</v>
      </c>
      <c r="H2183" s="14" t="s">
        <v>2470</v>
      </c>
      <c r="I2183" s="16" t="s">
        <v>451</v>
      </c>
    </row>
    <row r="2184" ht="15.75" customHeight="1">
      <c r="A2184" s="8"/>
      <c r="B2184" s="4" t="s">
        <v>4630</v>
      </c>
      <c r="C2184" s="5">
        <v>1.705E8</v>
      </c>
      <c r="D2184" s="5">
        <v>0.0</v>
      </c>
      <c r="E2184" s="5">
        <f t="shared" si="2"/>
        <v>279500000</v>
      </c>
      <c r="F2184" s="14" t="s">
        <v>24</v>
      </c>
      <c r="G2184" s="14" t="s">
        <v>125</v>
      </c>
      <c r="H2184" s="4" t="s">
        <v>1012</v>
      </c>
    </row>
    <row r="2185" ht="15.75" customHeight="1">
      <c r="A2185" s="8"/>
      <c r="B2185" s="4" t="s">
        <v>4631</v>
      </c>
      <c r="C2185" s="5">
        <v>2.461875E8</v>
      </c>
      <c r="D2185" s="5">
        <v>0.0</v>
      </c>
      <c r="E2185" s="5">
        <f t="shared" si="2"/>
        <v>33312500</v>
      </c>
      <c r="F2185" s="14" t="s">
        <v>24</v>
      </c>
      <c r="G2185" s="14" t="s">
        <v>125</v>
      </c>
      <c r="H2185" s="4" t="s">
        <v>1012</v>
      </c>
    </row>
    <row r="2186" ht="15.75" customHeight="1">
      <c r="A2186" s="8"/>
      <c r="B2186" s="4" t="s">
        <v>4437</v>
      </c>
      <c r="C2186" s="5">
        <v>2500000.0</v>
      </c>
      <c r="D2186" s="5">
        <v>0.0</v>
      </c>
      <c r="E2186" s="5">
        <f t="shared" si="2"/>
        <v>30812500</v>
      </c>
      <c r="F2186" s="14" t="s">
        <v>24</v>
      </c>
      <c r="G2186" s="14" t="s">
        <v>125</v>
      </c>
      <c r="H2186" s="4" t="s">
        <v>1012</v>
      </c>
    </row>
    <row r="2187" ht="15.75" customHeight="1">
      <c r="A2187" s="8"/>
      <c r="B2187" s="4" t="s">
        <v>4632</v>
      </c>
      <c r="C2187" s="5">
        <v>5000000.0</v>
      </c>
      <c r="D2187" s="5">
        <v>0.0</v>
      </c>
      <c r="E2187" s="5">
        <f t="shared" si="2"/>
        <v>25812500</v>
      </c>
      <c r="F2187" s="14" t="s">
        <v>24</v>
      </c>
      <c r="G2187" s="14" t="s">
        <v>125</v>
      </c>
      <c r="H2187" s="4" t="s">
        <v>1012</v>
      </c>
    </row>
    <row r="2188" ht="15.75" customHeight="1">
      <c r="A2188" s="8"/>
      <c r="B2188" s="4" t="s">
        <v>4633</v>
      </c>
      <c r="C2188" s="5">
        <v>173999.0</v>
      </c>
      <c r="D2188" s="5">
        <v>0.0</v>
      </c>
      <c r="E2188" s="5">
        <f t="shared" si="2"/>
        <v>25638501</v>
      </c>
      <c r="F2188" s="14" t="s">
        <v>24</v>
      </c>
      <c r="G2188" s="14" t="s">
        <v>125</v>
      </c>
      <c r="H2188" s="4" t="s">
        <v>1012</v>
      </c>
    </row>
    <row r="2189" ht="15.75" customHeight="1">
      <c r="A2189" s="8"/>
      <c r="B2189" s="4" t="s">
        <v>4634</v>
      </c>
      <c r="C2189" s="5">
        <v>274000.0</v>
      </c>
      <c r="D2189" s="5">
        <v>0.0</v>
      </c>
      <c r="E2189" s="5">
        <f t="shared" si="2"/>
        <v>25364501</v>
      </c>
      <c r="F2189" s="14" t="s">
        <v>24</v>
      </c>
      <c r="G2189" s="14" t="s">
        <v>125</v>
      </c>
      <c r="H2189" s="4" t="s">
        <v>1012</v>
      </c>
    </row>
    <row r="2190" ht="15.75" customHeight="1">
      <c r="A2190" s="8"/>
      <c r="B2190" s="4" t="s">
        <v>4505</v>
      </c>
      <c r="C2190" s="5">
        <v>200000.0</v>
      </c>
      <c r="D2190" s="5">
        <v>0.0</v>
      </c>
      <c r="E2190" s="5">
        <f t="shared" si="2"/>
        <v>25164501</v>
      </c>
      <c r="F2190" s="14" t="s">
        <v>24</v>
      </c>
      <c r="G2190" s="14" t="s">
        <v>125</v>
      </c>
      <c r="H2190" s="4" t="s">
        <v>1012</v>
      </c>
    </row>
    <row r="2191" ht="15.75" customHeight="1">
      <c r="A2191" s="8"/>
      <c r="B2191" s="4" t="s">
        <v>4635</v>
      </c>
      <c r="C2191" s="5">
        <v>400000.0</v>
      </c>
      <c r="D2191" s="5">
        <v>0.0</v>
      </c>
      <c r="E2191" s="5">
        <f t="shared" si="2"/>
        <v>24764501</v>
      </c>
      <c r="F2191" s="14" t="s">
        <v>24</v>
      </c>
      <c r="G2191" s="14" t="s">
        <v>125</v>
      </c>
      <c r="H2191" s="4" t="s">
        <v>1012</v>
      </c>
    </row>
    <row r="2192" ht="15.75" customHeight="1">
      <c r="A2192" s="8"/>
      <c r="B2192" s="4" t="s">
        <v>4636</v>
      </c>
      <c r="C2192" s="5">
        <v>9752500.0</v>
      </c>
      <c r="D2192" s="5">
        <v>0.0</v>
      </c>
      <c r="E2192" s="5">
        <f t="shared" si="2"/>
        <v>15012001</v>
      </c>
      <c r="F2192" s="14" t="s">
        <v>24</v>
      </c>
      <c r="G2192" s="14" t="s">
        <v>125</v>
      </c>
      <c r="H2192" s="4" t="s">
        <v>1012</v>
      </c>
    </row>
    <row r="2193" ht="15.75" customHeight="1">
      <c r="A2193" s="8">
        <v>46268.0</v>
      </c>
      <c r="B2193" s="4" t="s">
        <v>2557</v>
      </c>
      <c r="C2193" s="5">
        <v>1.5012001E7</v>
      </c>
      <c r="D2193" s="5">
        <v>0.0</v>
      </c>
      <c r="E2193" s="5">
        <f t="shared" si="2"/>
        <v>0</v>
      </c>
      <c r="F2193" s="14" t="s">
        <v>21</v>
      </c>
      <c r="G2193" s="14" t="s">
        <v>876</v>
      </c>
      <c r="H2193" s="14" t="s">
        <v>2470</v>
      </c>
      <c r="I2193" s="16" t="s">
        <v>451</v>
      </c>
    </row>
    <row r="2194" ht="15.75" customHeight="1">
      <c r="A2194" s="8">
        <v>46213.0</v>
      </c>
      <c r="B2194" s="4" t="s">
        <v>4637</v>
      </c>
      <c r="C2194" s="5">
        <v>0.0</v>
      </c>
      <c r="D2194" s="5">
        <v>2.4E8</v>
      </c>
      <c r="E2194" s="5">
        <f t="shared" si="2"/>
        <v>240000000</v>
      </c>
      <c r="F2194" s="14" t="s">
        <v>18</v>
      </c>
      <c r="G2194" s="14" t="s">
        <v>4638</v>
      </c>
      <c r="H2194" s="4" t="s">
        <v>1085</v>
      </c>
      <c r="I2194" s="4" t="s">
        <v>4639</v>
      </c>
    </row>
    <row r="2195" ht="15.75" customHeight="1">
      <c r="A2195" s="8"/>
      <c r="B2195" s="4" t="s">
        <v>1709</v>
      </c>
      <c r="C2195" s="5">
        <v>2.4E8</v>
      </c>
      <c r="D2195" s="5">
        <v>0.0</v>
      </c>
      <c r="E2195" s="5">
        <f t="shared" si="2"/>
        <v>0</v>
      </c>
      <c r="F2195" s="14" t="s">
        <v>1711</v>
      </c>
      <c r="G2195" s="14" t="s">
        <v>1712</v>
      </c>
      <c r="H2195" s="4" t="s">
        <v>1085</v>
      </c>
    </row>
    <row r="2196" ht="15.75" customHeight="1">
      <c r="A2196" s="8">
        <v>46065.0</v>
      </c>
      <c r="B2196" s="4" t="s">
        <v>269</v>
      </c>
      <c r="C2196" s="5">
        <v>0.0</v>
      </c>
      <c r="D2196" s="5">
        <v>120000.0</v>
      </c>
      <c r="E2196" s="5">
        <f t="shared" si="2"/>
        <v>120000</v>
      </c>
      <c r="F2196" s="4" t="s">
        <v>75</v>
      </c>
      <c r="G2196" s="4" t="s">
        <v>76</v>
      </c>
      <c r="H2196" s="4" t="s">
        <v>326</v>
      </c>
      <c r="I2196" s="4" t="s">
        <v>274</v>
      </c>
    </row>
    <row r="2197" ht="15.75" customHeight="1">
      <c r="A2197" s="8"/>
      <c r="B2197" s="4" t="s">
        <v>269</v>
      </c>
      <c r="C2197" s="5">
        <v>120000.0</v>
      </c>
      <c r="D2197" s="5">
        <v>0.0</v>
      </c>
      <c r="E2197" s="5">
        <f t="shared" si="2"/>
        <v>0</v>
      </c>
      <c r="F2197" s="4" t="s">
        <v>24</v>
      </c>
      <c r="G2197" s="4" t="s">
        <v>1787</v>
      </c>
      <c r="H2197" s="4" t="s">
        <v>4640</v>
      </c>
      <c r="I2197" s="4" t="s">
        <v>274</v>
      </c>
    </row>
    <row r="2198" ht="15.75" customHeight="1">
      <c r="A2198" s="8">
        <v>46064.0</v>
      </c>
      <c r="B2198" s="4" t="s">
        <v>260</v>
      </c>
      <c r="C2198" s="5">
        <v>0.0</v>
      </c>
      <c r="D2198" s="5">
        <v>716.0</v>
      </c>
      <c r="E2198" s="5">
        <f t="shared" si="2"/>
        <v>716</v>
      </c>
      <c r="F2198" s="4" t="s">
        <v>1201</v>
      </c>
      <c r="G2198" s="4" t="s">
        <v>2000</v>
      </c>
      <c r="H2198" s="4" t="s">
        <v>6</v>
      </c>
      <c r="I2198" s="4" t="s">
        <v>6</v>
      </c>
    </row>
    <row r="2199" ht="15.75" customHeight="1">
      <c r="A2199" s="8"/>
      <c r="B2199" s="4" t="s">
        <v>260</v>
      </c>
      <c r="C2199" s="5">
        <v>716.0</v>
      </c>
      <c r="D2199" s="5">
        <v>0.0</v>
      </c>
      <c r="E2199" s="5">
        <f t="shared" si="2"/>
        <v>0</v>
      </c>
      <c r="F2199" s="4" t="s">
        <v>75</v>
      </c>
      <c r="G2199" s="4" t="s">
        <v>76</v>
      </c>
      <c r="H2199" s="4" t="s">
        <v>326</v>
      </c>
      <c r="I2199" s="4" t="s">
        <v>267</v>
      </c>
    </row>
    <row r="2200" ht="15.75" customHeight="1">
      <c r="A2200" s="8">
        <v>46086.0</v>
      </c>
      <c r="B2200" s="4" t="s">
        <v>381</v>
      </c>
      <c r="C2200" s="5">
        <v>0.0</v>
      </c>
      <c r="D2200" s="5">
        <v>4000.0</v>
      </c>
      <c r="E2200" s="5">
        <f t="shared" si="2"/>
        <v>4000</v>
      </c>
      <c r="F2200" s="4" t="s">
        <v>24</v>
      </c>
      <c r="G2200" s="4" t="s">
        <v>26</v>
      </c>
      <c r="H2200" s="4" t="s">
        <v>324</v>
      </c>
      <c r="I2200" s="4" t="s">
        <v>382</v>
      </c>
    </row>
    <row r="2201" ht="15.75" customHeight="1">
      <c r="A2201" s="8"/>
      <c r="B2201" s="4" t="s">
        <v>381</v>
      </c>
      <c r="C2201" s="5">
        <v>4000.0</v>
      </c>
      <c r="D2201" s="5">
        <v>0.0</v>
      </c>
      <c r="E2201" s="5">
        <f t="shared" si="2"/>
        <v>0</v>
      </c>
      <c r="F2201" s="4" t="s">
        <v>1201</v>
      </c>
      <c r="G2201" s="4" t="s">
        <v>124</v>
      </c>
    </row>
    <row r="2202" ht="15.75" customHeight="1">
      <c r="A2202" s="8">
        <v>46064.0</v>
      </c>
      <c r="B2202" s="4" t="s">
        <v>580</v>
      </c>
      <c r="C2202" s="5">
        <v>0.0</v>
      </c>
      <c r="D2202" s="5">
        <v>1140000.0</v>
      </c>
      <c r="E2202" s="5">
        <f t="shared" si="2"/>
        <v>1140000</v>
      </c>
      <c r="F2202" s="4" t="s">
        <v>75</v>
      </c>
      <c r="G2202" s="4" t="s">
        <v>76</v>
      </c>
      <c r="H2202" s="4" t="s">
        <v>326</v>
      </c>
      <c r="I2202" s="4" t="s">
        <v>582</v>
      </c>
    </row>
    <row r="2203" ht="15.75" customHeight="1">
      <c r="A2203" s="8"/>
      <c r="B2203" s="4" t="s">
        <v>580</v>
      </c>
      <c r="C2203" s="5">
        <v>1140000.0</v>
      </c>
      <c r="D2203" s="5">
        <v>0.0</v>
      </c>
      <c r="E2203" s="5">
        <f t="shared" si="2"/>
        <v>0</v>
      </c>
      <c r="F2203" s="4" t="s">
        <v>24</v>
      </c>
      <c r="G2203" s="4" t="s">
        <v>1787</v>
      </c>
      <c r="H2203" s="4" t="s">
        <v>4640</v>
      </c>
      <c r="I2203" s="4" t="s">
        <v>582</v>
      </c>
    </row>
    <row r="2204" ht="15.75" customHeight="1">
      <c r="A2204" s="8">
        <v>46126.0</v>
      </c>
      <c r="B2204" s="4" t="s">
        <v>1188</v>
      </c>
      <c r="C2204" s="5">
        <v>0.0</v>
      </c>
      <c r="D2204" s="5">
        <v>1516305.0</v>
      </c>
      <c r="E2204" s="5">
        <f t="shared" si="2"/>
        <v>1516305</v>
      </c>
      <c r="F2204" s="4" t="s">
        <v>93</v>
      </c>
      <c r="G2204" s="4" t="s">
        <v>93</v>
      </c>
      <c r="H2204" s="4" t="s">
        <v>4641</v>
      </c>
      <c r="I2204" s="4" t="s">
        <v>1190</v>
      </c>
    </row>
    <row r="2205" ht="15.75" customHeight="1">
      <c r="A2205" s="8"/>
      <c r="B2205" s="4" t="s">
        <v>1188</v>
      </c>
      <c r="C2205" s="5">
        <v>1516305.0</v>
      </c>
      <c r="D2205" s="5">
        <v>0.0</v>
      </c>
      <c r="E2205" s="5">
        <f t="shared" si="2"/>
        <v>0</v>
      </c>
      <c r="F2205" s="4" t="s">
        <v>93</v>
      </c>
      <c r="G2205" s="4" t="s">
        <v>93</v>
      </c>
      <c r="H2205" s="4" t="s">
        <v>4641</v>
      </c>
      <c r="I2205" s="4" t="s">
        <v>1190</v>
      </c>
    </row>
    <row r="2206" ht="15.75" customHeight="1">
      <c r="A2206" s="8">
        <v>46126.0</v>
      </c>
      <c r="B2206" s="4" t="s">
        <v>1188</v>
      </c>
      <c r="C2206" s="5">
        <v>0.0</v>
      </c>
      <c r="D2206" s="5">
        <v>275692.0</v>
      </c>
      <c r="E2206" s="5">
        <f t="shared" si="2"/>
        <v>275692</v>
      </c>
      <c r="F2206" s="4" t="s">
        <v>24</v>
      </c>
      <c r="G2206" s="4" t="s">
        <v>26</v>
      </c>
      <c r="H2206" s="4" t="s">
        <v>805</v>
      </c>
      <c r="I2206" s="4" t="s">
        <v>1190</v>
      </c>
    </row>
    <row r="2207" ht="15.75" customHeight="1">
      <c r="A2207" s="8"/>
      <c r="B2207" s="4" t="s">
        <v>1188</v>
      </c>
      <c r="C2207" s="5">
        <v>275692.0</v>
      </c>
      <c r="D2207" s="5">
        <v>0.0</v>
      </c>
      <c r="E2207" s="5">
        <f t="shared" si="2"/>
        <v>0</v>
      </c>
      <c r="F2207" s="4" t="s">
        <v>24</v>
      </c>
      <c r="G2207" s="4" t="s">
        <v>1787</v>
      </c>
      <c r="H2207" s="4" t="s">
        <v>4640</v>
      </c>
      <c r="I2207" s="4" t="s">
        <v>1190</v>
      </c>
    </row>
    <row r="2208" ht="15.75" customHeight="1">
      <c r="A2208" s="8">
        <v>46127.0</v>
      </c>
      <c r="B2208" s="4" t="s">
        <v>1191</v>
      </c>
      <c r="C2208" s="5">
        <v>0.0</v>
      </c>
      <c r="D2208" s="5">
        <v>620000.0</v>
      </c>
      <c r="E2208" s="5">
        <f t="shared" si="2"/>
        <v>620000</v>
      </c>
      <c r="F2208" s="4" t="s">
        <v>75</v>
      </c>
      <c r="G2208" s="4" t="s">
        <v>76</v>
      </c>
      <c r="H2208" s="4" t="s">
        <v>326</v>
      </c>
      <c r="I2208" s="4" t="s">
        <v>1193</v>
      </c>
    </row>
    <row r="2209" ht="15.75" customHeight="1">
      <c r="A2209" s="8"/>
      <c r="B2209" s="4" t="s">
        <v>1191</v>
      </c>
      <c r="C2209" s="5">
        <v>620000.0</v>
      </c>
      <c r="D2209" s="5">
        <v>0.0</v>
      </c>
      <c r="E2209" s="5">
        <f t="shared" si="2"/>
        <v>0</v>
      </c>
      <c r="F2209" s="4" t="s">
        <v>24</v>
      </c>
      <c r="G2209" s="4" t="s">
        <v>1787</v>
      </c>
      <c r="H2209" s="4" t="s">
        <v>4640</v>
      </c>
      <c r="I2209" s="4" t="s">
        <v>1193</v>
      </c>
    </row>
    <row r="2210" ht="15.75" customHeight="1">
      <c r="A2210" s="8">
        <v>46141.0</v>
      </c>
      <c r="B2210" s="4" t="s">
        <v>1297</v>
      </c>
      <c r="C2210" s="5">
        <v>0.0</v>
      </c>
      <c r="D2210" s="5">
        <v>550000.0</v>
      </c>
      <c r="E2210" s="5">
        <f t="shared" si="2"/>
        <v>550000</v>
      </c>
      <c r="F2210" s="4" t="s">
        <v>75</v>
      </c>
      <c r="G2210" s="4" t="s">
        <v>76</v>
      </c>
      <c r="H2210" s="4" t="s">
        <v>326</v>
      </c>
      <c r="I2210" s="4" t="s">
        <v>1299</v>
      </c>
    </row>
    <row r="2211" ht="15.75" customHeight="1">
      <c r="A2211" s="8"/>
      <c r="B2211" s="4" t="s">
        <v>1297</v>
      </c>
      <c r="C2211" s="5">
        <v>550000.0</v>
      </c>
      <c r="D2211" s="5">
        <v>0.0</v>
      </c>
      <c r="E2211" s="5">
        <f t="shared" si="2"/>
        <v>0</v>
      </c>
      <c r="F2211" s="4" t="s">
        <v>24</v>
      </c>
      <c r="G2211" s="4" t="s">
        <v>1787</v>
      </c>
      <c r="H2211" s="4" t="s">
        <v>4640</v>
      </c>
      <c r="I2211" s="4" t="s">
        <v>1299</v>
      </c>
    </row>
    <row r="2212" ht="15.75" customHeight="1">
      <c r="A2212" s="8">
        <v>46160.0</v>
      </c>
      <c r="B2212" s="4" t="s">
        <v>1375</v>
      </c>
      <c r="C2212" s="5">
        <v>0.0</v>
      </c>
      <c r="D2212" s="5">
        <v>390000.0</v>
      </c>
      <c r="E2212" s="5">
        <f t="shared" si="2"/>
        <v>390000</v>
      </c>
      <c r="F2212" s="4" t="s">
        <v>75</v>
      </c>
      <c r="G2212" s="4" t="s">
        <v>76</v>
      </c>
      <c r="H2212" s="4" t="s">
        <v>326</v>
      </c>
      <c r="I2212" s="4" t="s">
        <v>1376</v>
      </c>
    </row>
    <row r="2213" ht="15.75" customHeight="1">
      <c r="A2213" s="8"/>
      <c r="B2213" s="4" t="s">
        <v>1375</v>
      </c>
      <c r="C2213" s="5">
        <v>390000.0</v>
      </c>
      <c r="D2213" s="5">
        <v>0.0</v>
      </c>
      <c r="E2213" s="5">
        <f t="shared" si="2"/>
        <v>0</v>
      </c>
      <c r="F2213" s="4" t="s">
        <v>24</v>
      </c>
      <c r="G2213" s="4" t="s">
        <v>1787</v>
      </c>
      <c r="H2213" s="4" t="s">
        <v>4640</v>
      </c>
      <c r="I2213" s="4" t="s">
        <v>1376</v>
      </c>
    </row>
    <row r="2214" ht="15.75" customHeight="1">
      <c r="A2214" s="8">
        <v>46185.0</v>
      </c>
      <c r="B2214" s="14" t="s">
        <v>1566</v>
      </c>
      <c r="C2214" s="5">
        <v>0.0</v>
      </c>
      <c r="D2214" s="5">
        <v>758153.0</v>
      </c>
      <c r="E2214" s="5">
        <f t="shared" si="2"/>
        <v>758153</v>
      </c>
      <c r="F2214" s="4" t="s">
        <v>93</v>
      </c>
      <c r="G2214" s="4" t="s">
        <v>93</v>
      </c>
      <c r="H2214" s="4" t="s">
        <v>4641</v>
      </c>
      <c r="I2214" s="16" t="s">
        <v>1568</v>
      </c>
    </row>
    <row r="2215" ht="15.75" customHeight="1">
      <c r="A2215" s="8"/>
      <c r="B2215" s="14" t="s">
        <v>1566</v>
      </c>
      <c r="C2215" s="5">
        <v>758153.0</v>
      </c>
      <c r="D2215" s="5">
        <v>0.0</v>
      </c>
      <c r="E2215" s="5">
        <f t="shared" si="2"/>
        <v>0</v>
      </c>
      <c r="F2215" s="4" t="s">
        <v>93</v>
      </c>
      <c r="G2215" s="4" t="s">
        <v>93</v>
      </c>
      <c r="H2215" s="4" t="s">
        <v>4641</v>
      </c>
      <c r="I2215" s="16" t="s">
        <v>1568</v>
      </c>
    </row>
    <row r="2216" ht="15.75" customHeight="1">
      <c r="A2216" s="8">
        <v>46024.0</v>
      </c>
      <c r="B2216" s="4" t="s">
        <v>14</v>
      </c>
      <c r="C2216" s="5">
        <v>0.0</v>
      </c>
      <c r="D2216" s="5">
        <v>3646500.0</v>
      </c>
      <c r="E2216" s="5">
        <f t="shared" si="2"/>
        <v>3646500</v>
      </c>
      <c r="F2216" s="4" t="s">
        <v>24</v>
      </c>
      <c r="G2216" s="4" t="s">
        <v>26</v>
      </c>
      <c r="H2216" s="4" t="s">
        <v>27</v>
      </c>
      <c r="I2216" s="4" t="s">
        <v>29</v>
      </c>
    </row>
    <row r="2217" ht="15.75" customHeight="1">
      <c r="A2217" s="8"/>
      <c r="B2217" s="4" t="s">
        <v>14</v>
      </c>
      <c r="C2217" s="5">
        <v>3085500.0</v>
      </c>
      <c r="D2217" s="5">
        <v>0.0</v>
      </c>
      <c r="E2217" s="5">
        <f t="shared" si="2"/>
        <v>561000</v>
      </c>
      <c r="F2217" s="4" t="s">
        <v>18</v>
      </c>
      <c r="G2217" s="4" t="s">
        <v>194</v>
      </c>
      <c r="H2217" s="4" t="s">
        <v>3401</v>
      </c>
      <c r="I2217" s="4" t="s">
        <v>29</v>
      </c>
    </row>
    <row r="2218" ht="15.75" customHeight="1">
      <c r="A2218" s="8"/>
      <c r="B2218" s="4" t="s">
        <v>14</v>
      </c>
      <c r="C2218" s="5">
        <v>561000.0</v>
      </c>
      <c r="D2218" s="5">
        <v>0.0</v>
      </c>
      <c r="E2218" s="5">
        <f t="shared" si="2"/>
        <v>0</v>
      </c>
      <c r="F2218" s="4" t="s">
        <v>24</v>
      </c>
      <c r="G2218" s="4" t="s">
        <v>1787</v>
      </c>
      <c r="H2218" s="4" t="s">
        <v>4642</v>
      </c>
      <c r="I2218" s="4" t="s">
        <v>29</v>
      </c>
    </row>
    <row r="2219" ht="15.75" customHeight="1">
      <c r="A2219" s="8">
        <v>46029.0</v>
      </c>
      <c r="B2219" s="4" t="s">
        <v>83</v>
      </c>
      <c r="C2219" s="5">
        <v>0.0</v>
      </c>
      <c r="D2219" s="5">
        <v>1.135281E7</v>
      </c>
      <c r="E2219" s="5">
        <f t="shared" si="2"/>
        <v>11352810</v>
      </c>
      <c r="F2219" s="4" t="s">
        <v>24</v>
      </c>
      <c r="G2219" s="4" t="s">
        <v>26</v>
      </c>
      <c r="H2219" s="4" t="s">
        <v>87</v>
      </c>
      <c r="I2219" s="4" t="s">
        <v>88</v>
      </c>
    </row>
    <row r="2220" ht="15.75" customHeight="1">
      <c r="A2220" s="8"/>
      <c r="B2220" s="4" t="s">
        <v>83</v>
      </c>
      <c r="C2220" s="5">
        <v>9603770.0</v>
      </c>
      <c r="D2220" s="5">
        <v>0.0</v>
      </c>
      <c r="E2220" s="5">
        <f t="shared" si="2"/>
        <v>1749040</v>
      </c>
      <c r="F2220" s="4" t="s">
        <v>18</v>
      </c>
      <c r="G2220" s="4" t="s">
        <v>194</v>
      </c>
      <c r="H2220" s="4" t="s">
        <v>4643</v>
      </c>
      <c r="I2220" s="4" t="s">
        <v>88</v>
      </c>
    </row>
    <row r="2221" ht="15.75" customHeight="1">
      <c r="A2221" s="8"/>
      <c r="B2221" s="4" t="s">
        <v>83</v>
      </c>
      <c r="C2221" s="5">
        <v>1749040.0</v>
      </c>
      <c r="D2221" s="5">
        <v>0.0</v>
      </c>
      <c r="E2221" s="5">
        <f t="shared" si="2"/>
        <v>0</v>
      </c>
      <c r="F2221" s="4" t="s">
        <v>24</v>
      </c>
      <c r="G2221" s="4" t="s">
        <v>1787</v>
      </c>
      <c r="H2221" s="4" t="s">
        <v>4644</v>
      </c>
      <c r="I2221" s="4" t="s">
        <v>88</v>
      </c>
    </row>
    <row r="2222" ht="15.75" customHeight="1">
      <c r="A2222" s="8">
        <v>46029.0</v>
      </c>
      <c r="B2222" s="4" t="s">
        <v>83</v>
      </c>
      <c r="C2222" s="5">
        <v>0.0</v>
      </c>
      <c r="D2222" s="5">
        <v>1.16402E7</v>
      </c>
      <c r="E2222" s="5">
        <f t="shared" si="2"/>
        <v>11640200</v>
      </c>
      <c r="F2222" s="4" t="s">
        <v>24</v>
      </c>
      <c r="G2222" s="4" t="s">
        <v>26</v>
      </c>
      <c r="H2222" s="4" t="s">
        <v>87</v>
      </c>
      <c r="I2222" s="4" t="s">
        <v>95</v>
      </c>
    </row>
    <row r="2223" ht="15.75" customHeight="1">
      <c r="A2223" s="8"/>
      <c r="B2223" s="4" t="s">
        <v>83</v>
      </c>
      <c r="C2223" s="5">
        <v>9849400.0</v>
      </c>
      <c r="D2223" s="5">
        <v>0.0</v>
      </c>
      <c r="E2223" s="5">
        <f t="shared" si="2"/>
        <v>1790800</v>
      </c>
      <c r="F2223" s="4" t="s">
        <v>18</v>
      </c>
      <c r="G2223" s="4" t="s">
        <v>194</v>
      </c>
      <c r="H2223" s="4" t="s">
        <v>4643</v>
      </c>
      <c r="I2223" s="4" t="s">
        <v>95</v>
      </c>
    </row>
    <row r="2224" ht="15.75" customHeight="1">
      <c r="A2224" s="8"/>
      <c r="B2224" s="4" t="s">
        <v>83</v>
      </c>
      <c r="C2224" s="5">
        <v>1790800.0</v>
      </c>
      <c r="D2224" s="5">
        <v>0.0</v>
      </c>
      <c r="E2224" s="5">
        <f t="shared" si="2"/>
        <v>0</v>
      </c>
      <c r="F2224" s="4" t="s">
        <v>24</v>
      </c>
      <c r="G2224" s="4" t="s">
        <v>1787</v>
      </c>
      <c r="H2224" s="4" t="s">
        <v>4644</v>
      </c>
      <c r="I2224" s="4" t="s">
        <v>95</v>
      </c>
    </row>
    <row r="2225" ht="15.75" customHeight="1">
      <c r="A2225" s="8">
        <v>46031.0</v>
      </c>
      <c r="B2225" s="4" t="s">
        <v>140</v>
      </c>
      <c r="C2225" s="5">
        <v>0.0</v>
      </c>
      <c r="D2225" s="5">
        <v>7917040.0</v>
      </c>
      <c r="E2225" s="5">
        <f t="shared" si="2"/>
        <v>7917040</v>
      </c>
      <c r="F2225" s="4" t="s">
        <v>24</v>
      </c>
      <c r="G2225" s="4" t="s">
        <v>26</v>
      </c>
      <c r="H2225" s="4" t="s">
        <v>142</v>
      </c>
      <c r="I2225" s="4" t="s">
        <v>143</v>
      </c>
    </row>
    <row r="2226" ht="15.75" customHeight="1">
      <c r="A2226" s="8"/>
      <c r="B2226" s="4" t="s">
        <v>140</v>
      </c>
      <c r="C2226" s="5">
        <v>6699034.0</v>
      </c>
      <c r="D2226" s="5">
        <v>0.0</v>
      </c>
      <c r="E2226" s="5">
        <f t="shared" si="2"/>
        <v>1218006</v>
      </c>
      <c r="F2226" s="4" t="s">
        <v>18</v>
      </c>
      <c r="G2226" s="4" t="s">
        <v>194</v>
      </c>
      <c r="H2226" s="4" t="s">
        <v>3401</v>
      </c>
      <c r="I2226" s="4" t="s">
        <v>143</v>
      </c>
    </row>
    <row r="2227" ht="15.75" customHeight="1">
      <c r="A2227" s="8"/>
      <c r="B2227" s="4" t="s">
        <v>140</v>
      </c>
      <c r="C2227" s="5">
        <v>1218006.0</v>
      </c>
      <c r="D2227" s="5">
        <v>0.0</v>
      </c>
      <c r="E2227" s="5">
        <f t="shared" si="2"/>
        <v>0</v>
      </c>
      <c r="F2227" s="4" t="s">
        <v>24</v>
      </c>
      <c r="G2227" s="4" t="s">
        <v>1787</v>
      </c>
      <c r="H2227" s="4" t="s">
        <v>4642</v>
      </c>
      <c r="I2227" s="4" t="s">
        <v>143</v>
      </c>
    </row>
    <row r="2228" ht="15.75" customHeight="1">
      <c r="A2228" s="8">
        <v>46031.0</v>
      </c>
      <c r="B2228" s="4" t="s">
        <v>146</v>
      </c>
      <c r="C2228" s="5">
        <v>0.0</v>
      </c>
      <c r="D2228" s="5">
        <v>5596827.3999999985</v>
      </c>
      <c r="E2228" s="5">
        <f t="shared" si="2"/>
        <v>5596827.4</v>
      </c>
      <c r="F2228" s="4" t="s">
        <v>24</v>
      </c>
      <c r="G2228" s="4" t="s">
        <v>26</v>
      </c>
      <c r="H2228" s="4" t="s">
        <v>149</v>
      </c>
      <c r="I2228" s="4" t="s">
        <v>150</v>
      </c>
    </row>
    <row r="2229" ht="15.75" customHeight="1">
      <c r="A2229" s="8"/>
      <c r="B2229" s="4" t="s">
        <v>146</v>
      </c>
      <c r="C2229" s="5">
        <v>4735777.0</v>
      </c>
      <c r="D2229" s="5">
        <v>0.0</v>
      </c>
      <c r="E2229" s="5">
        <f t="shared" si="2"/>
        <v>861050.4</v>
      </c>
      <c r="F2229" s="4" t="s">
        <v>18</v>
      </c>
      <c r="G2229" s="4" t="s">
        <v>194</v>
      </c>
      <c r="H2229" s="4" t="s">
        <v>3401</v>
      </c>
      <c r="I2229" s="4" t="s">
        <v>150</v>
      </c>
    </row>
    <row r="2230" ht="15.75" customHeight="1">
      <c r="A2230" s="8"/>
      <c r="B2230" s="4" t="s">
        <v>146</v>
      </c>
      <c r="C2230" s="5">
        <v>861050.3999999985</v>
      </c>
      <c r="D2230" s="5">
        <v>0.0</v>
      </c>
      <c r="E2230" s="5">
        <f t="shared" si="2"/>
        <v>0</v>
      </c>
      <c r="F2230" s="4" t="s">
        <v>24</v>
      </c>
      <c r="G2230" s="4" t="s">
        <v>1787</v>
      </c>
      <c r="H2230" s="4" t="s">
        <v>4642</v>
      </c>
      <c r="I2230" s="4" t="s">
        <v>150</v>
      </c>
    </row>
    <row r="2231" ht="15.75" customHeight="1">
      <c r="A2231" s="8">
        <v>46031.0</v>
      </c>
      <c r="B2231" s="4" t="s">
        <v>146</v>
      </c>
      <c r="C2231" s="5">
        <v>0.0</v>
      </c>
      <c r="D2231" s="5">
        <v>9640885.180000007</v>
      </c>
      <c r="E2231" s="5">
        <f t="shared" si="2"/>
        <v>9640885.18</v>
      </c>
      <c r="F2231" s="4" t="s">
        <v>24</v>
      </c>
      <c r="G2231" s="4" t="s">
        <v>26</v>
      </c>
      <c r="H2231" s="4" t="s">
        <v>152</v>
      </c>
      <c r="I2231" s="4" t="s">
        <v>154</v>
      </c>
    </row>
    <row r="2232" ht="15.75" customHeight="1">
      <c r="A2232" s="8"/>
      <c r="B2232" s="4" t="s">
        <v>146</v>
      </c>
      <c r="C2232" s="5">
        <v>8157672.0</v>
      </c>
      <c r="D2232" s="5">
        <v>0.0</v>
      </c>
      <c r="E2232" s="5">
        <f t="shared" si="2"/>
        <v>1483213.18</v>
      </c>
      <c r="F2232" s="4" t="s">
        <v>18</v>
      </c>
      <c r="G2232" s="4" t="s">
        <v>194</v>
      </c>
      <c r="H2232" s="4" t="s">
        <v>3401</v>
      </c>
      <c r="I2232" s="4" t="s">
        <v>154</v>
      </c>
    </row>
    <row r="2233" ht="15.75" customHeight="1">
      <c r="A2233" s="8"/>
      <c r="B2233" s="4" t="s">
        <v>146</v>
      </c>
      <c r="C2233" s="5">
        <v>1483213.1800000072</v>
      </c>
      <c r="D2233" s="5">
        <v>0.0</v>
      </c>
      <c r="E2233" s="5">
        <f t="shared" si="2"/>
        <v>0</v>
      </c>
      <c r="F2233" s="4" t="s">
        <v>24</v>
      </c>
      <c r="G2233" s="4" t="s">
        <v>1787</v>
      </c>
      <c r="H2233" s="4" t="s">
        <v>4642</v>
      </c>
      <c r="I2233" s="4" t="s">
        <v>154</v>
      </c>
    </row>
    <row r="2234" ht="15.75" customHeight="1">
      <c r="A2234" s="8">
        <v>46031.0</v>
      </c>
      <c r="B2234" s="4" t="s">
        <v>146</v>
      </c>
      <c r="C2234" s="5">
        <v>0.0</v>
      </c>
      <c r="D2234" s="5">
        <v>1.3728290419999987E7</v>
      </c>
      <c r="E2234" s="5">
        <f t="shared" si="2"/>
        <v>13728290.42</v>
      </c>
      <c r="F2234" s="4" t="s">
        <v>24</v>
      </c>
      <c r="G2234" s="4" t="s">
        <v>26</v>
      </c>
      <c r="H2234" s="4" t="s">
        <v>162</v>
      </c>
      <c r="I2234" s="4" t="s">
        <v>163</v>
      </c>
    </row>
    <row r="2235" ht="15.75" customHeight="1">
      <c r="A2235" s="8"/>
      <c r="B2235" s="4" t="s">
        <v>146</v>
      </c>
      <c r="C2235" s="5">
        <v>1.1616246E7</v>
      </c>
      <c r="D2235" s="5">
        <v>0.0</v>
      </c>
      <c r="E2235" s="5">
        <f t="shared" si="2"/>
        <v>2112044.42</v>
      </c>
      <c r="F2235" s="4" t="s">
        <v>18</v>
      </c>
      <c r="G2235" s="4" t="s">
        <v>194</v>
      </c>
      <c r="H2235" s="4" t="s">
        <v>4643</v>
      </c>
      <c r="I2235" s="4" t="s">
        <v>163</v>
      </c>
    </row>
    <row r="2236" ht="15.75" customHeight="1">
      <c r="A2236" s="8"/>
      <c r="B2236" s="4" t="s">
        <v>146</v>
      </c>
      <c r="C2236" s="5">
        <v>2112044.419999987</v>
      </c>
      <c r="D2236" s="5">
        <v>0.0</v>
      </c>
      <c r="E2236" s="5">
        <f t="shared" si="2"/>
        <v>0</v>
      </c>
      <c r="F2236" s="4" t="s">
        <v>24</v>
      </c>
      <c r="G2236" s="4" t="s">
        <v>1787</v>
      </c>
      <c r="H2236" s="4" t="s">
        <v>4644</v>
      </c>
      <c r="I2236" s="4" t="s">
        <v>163</v>
      </c>
    </row>
    <row r="2237" ht="15.75" customHeight="1">
      <c r="A2237" s="8">
        <v>46034.0</v>
      </c>
      <c r="B2237" s="4" t="s">
        <v>172</v>
      </c>
      <c r="C2237" s="5">
        <v>0.0</v>
      </c>
      <c r="D2237" s="5">
        <v>1383962.0</v>
      </c>
      <c r="E2237" s="5">
        <f t="shared" si="2"/>
        <v>1383962</v>
      </c>
      <c r="F2237" s="4" t="s">
        <v>24</v>
      </c>
      <c r="G2237" s="4" t="s">
        <v>26</v>
      </c>
      <c r="H2237" s="4" t="s">
        <v>174</v>
      </c>
      <c r="I2237" s="4" t="s">
        <v>175</v>
      </c>
    </row>
    <row r="2238" ht="15.75" customHeight="1">
      <c r="A2238" s="8"/>
      <c r="B2238" s="4" t="s">
        <v>172</v>
      </c>
      <c r="C2238" s="5">
        <v>1383962.0</v>
      </c>
      <c r="D2238" s="5">
        <v>0.0</v>
      </c>
      <c r="E2238" s="5">
        <f t="shared" si="2"/>
        <v>0</v>
      </c>
      <c r="F2238" s="4" t="s">
        <v>24</v>
      </c>
      <c r="G2238" s="4" t="s">
        <v>1787</v>
      </c>
      <c r="H2238" s="4" t="s">
        <v>4642</v>
      </c>
      <c r="I2238" s="4" t="s">
        <v>175</v>
      </c>
    </row>
    <row r="2239" ht="15.75" customHeight="1">
      <c r="A2239" s="8">
        <v>46034.0</v>
      </c>
      <c r="B2239" s="4" t="s">
        <v>177</v>
      </c>
      <c r="C2239" s="5">
        <v>0.0</v>
      </c>
      <c r="D2239" s="5">
        <v>4.1044523E7</v>
      </c>
      <c r="E2239" s="5">
        <f t="shared" si="2"/>
        <v>41044523</v>
      </c>
      <c r="F2239" s="4" t="s">
        <v>24</v>
      </c>
      <c r="G2239" s="4" t="s">
        <v>26</v>
      </c>
      <c r="H2239" s="4" t="s">
        <v>179</v>
      </c>
      <c r="I2239" s="4" t="s">
        <v>181</v>
      </c>
    </row>
    <row r="2240" ht="15.75" customHeight="1">
      <c r="A2240" s="8"/>
      <c r="B2240" s="4" t="s">
        <v>177</v>
      </c>
      <c r="C2240" s="5">
        <v>3.4729981E7</v>
      </c>
      <c r="D2240" s="5">
        <v>0.0</v>
      </c>
      <c r="E2240" s="5">
        <f t="shared" si="2"/>
        <v>6314542</v>
      </c>
      <c r="F2240" s="4" t="s">
        <v>18</v>
      </c>
      <c r="G2240" s="4" t="s">
        <v>194</v>
      </c>
      <c r="H2240" s="4" t="s">
        <v>3401</v>
      </c>
      <c r="I2240" s="4" t="s">
        <v>181</v>
      </c>
    </row>
    <row r="2241" ht="15.75" customHeight="1">
      <c r="A2241" s="8"/>
      <c r="B2241" s="4" t="s">
        <v>177</v>
      </c>
      <c r="C2241" s="5">
        <v>6314542.0</v>
      </c>
      <c r="D2241" s="5">
        <v>0.0</v>
      </c>
      <c r="E2241" s="5">
        <f t="shared" si="2"/>
        <v>0</v>
      </c>
      <c r="F2241" s="4" t="s">
        <v>24</v>
      </c>
      <c r="G2241" s="4" t="s">
        <v>1787</v>
      </c>
      <c r="H2241" s="4" t="s">
        <v>4642</v>
      </c>
      <c r="I2241" s="4" t="s">
        <v>181</v>
      </c>
    </row>
    <row r="2242" ht="15.75" customHeight="1">
      <c r="A2242" s="8">
        <v>46037.0</v>
      </c>
      <c r="B2242" s="4" t="s">
        <v>258</v>
      </c>
      <c r="C2242" s="5">
        <v>0.0</v>
      </c>
      <c r="D2242" s="5">
        <v>130506.0</v>
      </c>
      <c r="E2242" s="5">
        <f t="shared" si="2"/>
        <v>130506</v>
      </c>
      <c r="F2242" s="4" t="s">
        <v>24</v>
      </c>
      <c r="G2242" s="4" t="s">
        <v>26</v>
      </c>
      <c r="H2242" s="4" t="s">
        <v>263</v>
      </c>
      <c r="I2242" s="4" t="s">
        <v>264</v>
      </c>
    </row>
    <row r="2243" ht="15.75" customHeight="1">
      <c r="A2243" s="8">
        <v>46083.0</v>
      </c>
      <c r="B2243" s="4" t="s">
        <v>1028</v>
      </c>
      <c r="C2243" s="5">
        <v>0.0</v>
      </c>
      <c r="D2243" s="5">
        <v>1870670.0</v>
      </c>
      <c r="E2243" s="5">
        <f t="shared" si="2"/>
        <v>2001176</v>
      </c>
      <c r="F2243" s="4" t="s">
        <v>24</v>
      </c>
      <c r="G2243" s="4" t="s">
        <v>26</v>
      </c>
      <c r="H2243" s="4" t="s">
        <v>263</v>
      </c>
      <c r="I2243" s="4" t="s">
        <v>1030</v>
      </c>
    </row>
    <row r="2244" ht="15.75" customHeight="1">
      <c r="A2244" s="8"/>
      <c r="B2244" s="4" t="s">
        <v>258</v>
      </c>
      <c r="C2244" s="5">
        <v>1994876.0</v>
      </c>
      <c r="D2244" s="5">
        <v>0.0</v>
      </c>
      <c r="E2244" s="5">
        <f t="shared" si="2"/>
        <v>6300</v>
      </c>
      <c r="F2244" s="4" t="s">
        <v>24</v>
      </c>
      <c r="G2244" s="4" t="s">
        <v>1787</v>
      </c>
      <c r="H2244" s="4" t="s">
        <v>4642</v>
      </c>
      <c r="I2244" s="4" t="s">
        <v>1030</v>
      </c>
    </row>
    <row r="2245" ht="15.75" customHeight="1">
      <c r="A2245" s="8"/>
      <c r="B2245" s="4" t="s">
        <v>1028</v>
      </c>
      <c r="C2245" s="5">
        <v>6300.0</v>
      </c>
      <c r="D2245" s="5">
        <v>0.0</v>
      </c>
      <c r="E2245" s="5">
        <f t="shared" si="2"/>
        <v>0</v>
      </c>
      <c r="F2245" s="4" t="s">
        <v>24</v>
      </c>
      <c r="G2245" s="4" t="s">
        <v>1787</v>
      </c>
      <c r="H2245" s="4" t="s">
        <v>4642</v>
      </c>
      <c r="I2245" s="4" t="s">
        <v>1030</v>
      </c>
    </row>
    <row r="2246" ht="15.75" customHeight="1">
      <c r="A2246" s="8">
        <v>46043.0</v>
      </c>
      <c r="B2246" s="4" t="s">
        <v>339</v>
      </c>
      <c r="C2246" s="5">
        <v>0.0</v>
      </c>
      <c r="D2246" s="5">
        <v>1.7038586E7</v>
      </c>
      <c r="E2246" s="5">
        <f t="shared" si="2"/>
        <v>17038586</v>
      </c>
      <c r="F2246" s="4" t="s">
        <v>24</v>
      </c>
      <c r="G2246" s="4" t="s">
        <v>26</v>
      </c>
      <c r="H2246" s="4" t="s">
        <v>341</v>
      </c>
      <c r="I2246" s="4" t="s">
        <v>342</v>
      </c>
    </row>
    <row r="2247" ht="15.75" customHeight="1">
      <c r="A2247" s="8"/>
      <c r="B2247" s="4" t="s">
        <v>339</v>
      </c>
      <c r="C2247" s="5">
        <v>1.4417265E7</v>
      </c>
      <c r="D2247" s="5">
        <v>0.0</v>
      </c>
      <c r="E2247" s="5">
        <f t="shared" si="2"/>
        <v>2621321</v>
      </c>
      <c r="F2247" s="4" t="s">
        <v>18</v>
      </c>
      <c r="G2247" s="4" t="s">
        <v>194</v>
      </c>
      <c r="H2247" s="4" t="s">
        <v>3401</v>
      </c>
      <c r="I2247" s="4" t="s">
        <v>342</v>
      </c>
    </row>
    <row r="2248" ht="15.75" customHeight="1">
      <c r="A2248" s="8"/>
      <c r="B2248" s="4" t="s">
        <v>339</v>
      </c>
      <c r="C2248" s="5">
        <v>2621321.0</v>
      </c>
      <c r="D2248" s="5">
        <v>0.0</v>
      </c>
      <c r="E2248" s="5">
        <f t="shared" si="2"/>
        <v>0</v>
      </c>
      <c r="F2248" s="4" t="s">
        <v>24</v>
      </c>
      <c r="G2248" s="4" t="s">
        <v>1787</v>
      </c>
      <c r="H2248" s="4" t="s">
        <v>4642</v>
      </c>
      <c r="I2248" s="4" t="s">
        <v>342</v>
      </c>
    </row>
    <row r="2249" ht="15.75" customHeight="1">
      <c r="A2249" s="8">
        <v>46043.0</v>
      </c>
      <c r="B2249" s="4" t="s">
        <v>339</v>
      </c>
      <c r="C2249" s="5">
        <v>0.0</v>
      </c>
      <c r="D2249" s="5">
        <v>2901025.0</v>
      </c>
      <c r="E2249" s="5">
        <f t="shared" si="2"/>
        <v>2901025</v>
      </c>
      <c r="F2249" s="4" t="s">
        <v>24</v>
      </c>
      <c r="G2249" s="4" t="s">
        <v>26</v>
      </c>
      <c r="H2249" s="4" t="s">
        <v>349</v>
      </c>
      <c r="I2249" s="4" t="s">
        <v>350</v>
      </c>
    </row>
    <row r="2250" ht="15.75" customHeight="1">
      <c r="A2250" s="8"/>
      <c r="B2250" s="4" t="s">
        <v>339</v>
      </c>
      <c r="C2250" s="5">
        <v>2454713.0</v>
      </c>
      <c r="D2250" s="5">
        <v>0.0</v>
      </c>
      <c r="E2250" s="5">
        <f t="shared" si="2"/>
        <v>446312</v>
      </c>
      <c r="F2250" s="4" t="s">
        <v>18</v>
      </c>
      <c r="G2250" s="4" t="s">
        <v>194</v>
      </c>
      <c r="H2250" s="4" t="s">
        <v>3401</v>
      </c>
      <c r="I2250" s="4" t="s">
        <v>350</v>
      </c>
    </row>
    <row r="2251" ht="15.75" customHeight="1">
      <c r="A2251" s="8"/>
      <c r="B2251" s="4" t="s">
        <v>339</v>
      </c>
      <c r="C2251" s="5">
        <v>446312.0</v>
      </c>
      <c r="D2251" s="5">
        <v>0.0</v>
      </c>
      <c r="E2251" s="5">
        <f t="shared" si="2"/>
        <v>0</v>
      </c>
      <c r="F2251" s="4" t="s">
        <v>24</v>
      </c>
      <c r="G2251" s="4" t="s">
        <v>1787</v>
      </c>
      <c r="H2251" s="4" t="s">
        <v>4642</v>
      </c>
      <c r="I2251" s="4" t="s">
        <v>350</v>
      </c>
    </row>
    <row r="2252" ht="15.75" customHeight="1">
      <c r="A2252" s="8">
        <v>46073.0</v>
      </c>
      <c r="B2252" s="4" t="s">
        <v>862</v>
      </c>
      <c r="C2252" s="5">
        <v>0.0</v>
      </c>
      <c r="D2252" s="5">
        <v>7181736.0</v>
      </c>
      <c r="E2252" s="5">
        <f t="shared" si="2"/>
        <v>7181736</v>
      </c>
      <c r="F2252" s="4" t="s">
        <v>24</v>
      </c>
      <c r="G2252" s="4" t="s">
        <v>26</v>
      </c>
      <c r="H2252" s="4" t="s">
        <v>864</v>
      </c>
      <c r="I2252" s="4" t="s">
        <v>866</v>
      </c>
    </row>
    <row r="2253" ht="15.75" customHeight="1">
      <c r="A2253" s="8"/>
      <c r="B2253" s="4" t="s">
        <v>862</v>
      </c>
      <c r="C2253" s="5">
        <v>7181736.0</v>
      </c>
      <c r="D2253" s="5">
        <v>0.0</v>
      </c>
      <c r="E2253" s="5">
        <f t="shared" si="2"/>
        <v>0</v>
      </c>
      <c r="F2253" s="4" t="s">
        <v>24</v>
      </c>
      <c r="G2253" s="4" t="s">
        <v>1787</v>
      </c>
      <c r="H2253" s="4" t="s">
        <v>4642</v>
      </c>
      <c r="I2253" s="4" t="s">
        <v>866</v>
      </c>
    </row>
    <row r="2254" ht="15.75" customHeight="1">
      <c r="A2254" s="8">
        <v>46041.0</v>
      </c>
      <c r="B2254" s="4" t="s">
        <v>325</v>
      </c>
      <c r="C2254" s="5">
        <v>0.0</v>
      </c>
      <c r="D2254" s="5">
        <v>3.515181848000002E7</v>
      </c>
      <c r="E2254" s="5">
        <f t="shared" si="2"/>
        <v>35151818.48</v>
      </c>
      <c r="F2254" s="4" t="s">
        <v>75</v>
      </c>
      <c r="G2254" s="4" t="s">
        <v>76</v>
      </c>
      <c r="H2254" s="4" t="s">
        <v>330</v>
      </c>
      <c r="I2254" s="4" t="s">
        <v>331</v>
      </c>
    </row>
    <row r="2255" ht="15.75" customHeight="1">
      <c r="A2255" s="8"/>
      <c r="B2255" s="4" t="s">
        <v>325</v>
      </c>
      <c r="C2255" s="5">
        <v>3.4684685E7</v>
      </c>
      <c r="D2255" s="5">
        <v>0.0</v>
      </c>
      <c r="E2255" s="5">
        <f t="shared" si="2"/>
        <v>467133.48</v>
      </c>
      <c r="F2255" s="4" t="s">
        <v>93</v>
      </c>
      <c r="G2255" s="4" t="s">
        <v>93</v>
      </c>
      <c r="H2255" s="4" t="s">
        <v>4645</v>
      </c>
      <c r="I2255" s="4" t="s">
        <v>331</v>
      </c>
    </row>
    <row r="2256" ht="15.75" customHeight="1">
      <c r="A2256" s="8"/>
      <c r="B2256" s="4" t="s">
        <v>325</v>
      </c>
      <c r="C2256" s="5">
        <v>467133.0</v>
      </c>
      <c r="D2256" s="5">
        <v>0.0</v>
      </c>
      <c r="E2256" s="5">
        <f t="shared" si="2"/>
        <v>0.4800000191</v>
      </c>
      <c r="F2256" s="4" t="s">
        <v>24</v>
      </c>
      <c r="G2256" s="4" t="s">
        <v>1787</v>
      </c>
      <c r="H2256" s="4" t="s">
        <v>4640</v>
      </c>
      <c r="I2256" s="4" t="s">
        <v>331</v>
      </c>
    </row>
    <row r="2257" ht="15.75" customHeight="1">
      <c r="A2257" s="8"/>
      <c r="B2257" s="4" t="s">
        <v>325</v>
      </c>
      <c r="C2257" s="5">
        <v>0.48000001907348633</v>
      </c>
      <c r="D2257" s="5">
        <v>0.0</v>
      </c>
      <c r="E2257" s="5">
        <f t="shared" si="2"/>
        <v>0</v>
      </c>
      <c r="F2257" s="4" t="s">
        <v>1201</v>
      </c>
      <c r="G2257" s="4" t="s">
        <v>243</v>
      </c>
    </row>
    <row r="2258" ht="15.75" customHeight="1">
      <c r="A2258" s="8">
        <v>46043.0</v>
      </c>
      <c r="B2258" s="4" t="s">
        <v>334</v>
      </c>
      <c r="C2258" s="5">
        <v>0.0</v>
      </c>
      <c r="D2258" s="5">
        <v>1463742.0</v>
      </c>
      <c r="E2258" s="5">
        <f t="shared" si="2"/>
        <v>1463742</v>
      </c>
      <c r="F2258" s="4" t="s">
        <v>24</v>
      </c>
      <c r="G2258" s="4" t="s">
        <v>26</v>
      </c>
      <c r="H2258" s="4" t="s">
        <v>3204</v>
      </c>
      <c r="I2258" s="4" t="s">
        <v>4646</v>
      </c>
    </row>
    <row r="2259" ht="15.75" customHeight="1">
      <c r="A2259" s="8"/>
      <c r="B2259" s="14" t="s">
        <v>4647</v>
      </c>
      <c r="C2259" s="5">
        <v>1238551.0</v>
      </c>
      <c r="D2259" s="5">
        <v>0.0</v>
      </c>
      <c r="E2259" s="5">
        <f t="shared" si="2"/>
        <v>225191</v>
      </c>
      <c r="F2259" s="14" t="s">
        <v>18</v>
      </c>
      <c r="G2259" s="14" t="s">
        <v>194</v>
      </c>
      <c r="H2259" s="14" t="s">
        <v>3401</v>
      </c>
      <c r="I2259" s="4" t="s">
        <v>4646</v>
      </c>
      <c r="J2259" s="14"/>
      <c r="K2259" s="14"/>
      <c r="L2259" s="14"/>
    </row>
    <row r="2260" ht="15.75" customHeight="1">
      <c r="A2260" s="8"/>
      <c r="B2260" s="4" t="s">
        <v>334</v>
      </c>
      <c r="C2260" s="5">
        <v>225191.0</v>
      </c>
      <c r="D2260" s="5">
        <v>0.0</v>
      </c>
      <c r="E2260" s="5">
        <f t="shared" si="2"/>
        <v>0</v>
      </c>
      <c r="F2260" s="4" t="s">
        <v>24</v>
      </c>
      <c r="G2260" s="4" t="s">
        <v>1787</v>
      </c>
      <c r="H2260" s="4" t="s">
        <v>4642</v>
      </c>
      <c r="I2260" s="4" t="s">
        <v>4646</v>
      </c>
    </row>
    <row r="2261" ht="15.75" customHeight="1">
      <c r="A2261" s="8">
        <v>46059.0</v>
      </c>
      <c r="B2261" s="4" t="s">
        <v>14</v>
      </c>
      <c r="C2261" s="5">
        <v>0.0</v>
      </c>
      <c r="D2261" s="5">
        <v>4234858.0</v>
      </c>
      <c r="E2261" s="5">
        <f t="shared" si="2"/>
        <v>4234858</v>
      </c>
      <c r="F2261" s="4" t="s">
        <v>75</v>
      </c>
      <c r="G2261" s="4" t="s">
        <v>76</v>
      </c>
      <c r="H2261" s="4" t="s">
        <v>230</v>
      </c>
      <c r="I2261" s="4" t="s">
        <v>681</v>
      </c>
    </row>
    <row r="2262" ht="15.75" customHeight="1">
      <c r="A2262" s="8"/>
      <c r="B2262" s="4" t="s">
        <v>14</v>
      </c>
      <c r="C2262" s="5">
        <v>3583341.0</v>
      </c>
      <c r="D2262" s="5">
        <v>0.0</v>
      </c>
      <c r="E2262" s="5">
        <f t="shared" si="2"/>
        <v>651517</v>
      </c>
      <c r="F2262" s="4" t="s">
        <v>93</v>
      </c>
      <c r="G2262" s="4" t="s">
        <v>93</v>
      </c>
      <c r="H2262" s="4" t="s">
        <v>4645</v>
      </c>
      <c r="I2262" s="4" t="s">
        <v>681</v>
      </c>
    </row>
    <row r="2263" ht="15.75" customHeight="1">
      <c r="A2263" s="8"/>
      <c r="B2263" s="4" t="s">
        <v>14</v>
      </c>
      <c r="C2263" s="5">
        <v>651517.0</v>
      </c>
      <c r="D2263" s="5">
        <v>0.0</v>
      </c>
      <c r="E2263" s="5">
        <f t="shared" si="2"/>
        <v>0</v>
      </c>
      <c r="F2263" s="4" t="s">
        <v>24</v>
      </c>
      <c r="G2263" s="4" t="s">
        <v>1787</v>
      </c>
      <c r="H2263" s="4" t="s">
        <v>4640</v>
      </c>
      <c r="I2263" s="4" t="s">
        <v>681</v>
      </c>
    </row>
    <row r="2264" ht="15.75" customHeight="1">
      <c r="A2264" s="8">
        <v>46066.0</v>
      </c>
      <c r="B2264" s="4" t="s">
        <v>807</v>
      </c>
      <c r="C2264" s="5">
        <v>0.0</v>
      </c>
      <c r="D2264" s="5">
        <v>1.1771758E7</v>
      </c>
      <c r="E2264" s="5">
        <f t="shared" si="2"/>
        <v>11771758</v>
      </c>
      <c r="F2264" s="4" t="s">
        <v>75</v>
      </c>
      <c r="G2264" s="4" t="s">
        <v>76</v>
      </c>
      <c r="H2264" s="4" t="s">
        <v>809</v>
      </c>
      <c r="I2264" s="4" t="s">
        <v>810</v>
      </c>
    </row>
    <row r="2265" ht="15.75" customHeight="1">
      <c r="A2265" s="8"/>
      <c r="B2265" s="4" t="s">
        <v>807</v>
      </c>
      <c r="C2265" s="5">
        <v>9960718.0</v>
      </c>
      <c r="D2265" s="5">
        <v>0.0</v>
      </c>
      <c r="E2265" s="5">
        <f t="shared" si="2"/>
        <v>1811040</v>
      </c>
      <c r="F2265" s="4" t="s">
        <v>93</v>
      </c>
      <c r="G2265" s="4" t="s">
        <v>93</v>
      </c>
      <c r="H2265" s="4" t="s">
        <v>4645</v>
      </c>
      <c r="I2265" s="4" t="s">
        <v>810</v>
      </c>
    </row>
    <row r="2266" ht="15.75" customHeight="1">
      <c r="A2266" s="8"/>
      <c r="B2266" s="4" t="s">
        <v>807</v>
      </c>
      <c r="C2266" s="5">
        <v>1811040.0</v>
      </c>
      <c r="D2266" s="5">
        <v>0.0</v>
      </c>
      <c r="E2266" s="5">
        <f t="shared" si="2"/>
        <v>0</v>
      </c>
      <c r="F2266" s="4" t="s">
        <v>24</v>
      </c>
      <c r="G2266" s="4" t="s">
        <v>1787</v>
      </c>
      <c r="H2266" s="4" t="s">
        <v>4640</v>
      </c>
      <c r="I2266" s="4" t="s">
        <v>810</v>
      </c>
    </row>
    <row r="2267" ht="15.75" customHeight="1">
      <c r="A2267" s="8">
        <v>46071.0</v>
      </c>
      <c r="B2267" s="4" t="s">
        <v>847</v>
      </c>
      <c r="C2267" s="5">
        <v>0.0</v>
      </c>
      <c r="D2267" s="5">
        <v>2956393.0</v>
      </c>
      <c r="E2267" s="5">
        <f t="shared" si="2"/>
        <v>2956393</v>
      </c>
      <c r="F2267" s="4" t="s">
        <v>75</v>
      </c>
      <c r="G2267" s="4" t="s">
        <v>76</v>
      </c>
      <c r="H2267" s="4" t="s">
        <v>850</v>
      </c>
      <c r="I2267" s="4" t="s">
        <v>852</v>
      </c>
    </row>
    <row r="2268" ht="15.75" customHeight="1">
      <c r="A2268" s="8"/>
      <c r="B2268" s="4" t="s">
        <v>847</v>
      </c>
      <c r="C2268" s="5">
        <v>2501563.0</v>
      </c>
      <c r="D2268" s="5">
        <v>0.0</v>
      </c>
      <c r="E2268" s="5">
        <f t="shared" si="2"/>
        <v>454830</v>
      </c>
      <c r="F2268" s="4" t="s">
        <v>93</v>
      </c>
      <c r="G2268" s="4" t="s">
        <v>93</v>
      </c>
      <c r="H2268" s="4" t="s">
        <v>4645</v>
      </c>
      <c r="I2268" s="4" t="s">
        <v>852</v>
      </c>
    </row>
    <row r="2269" ht="15.75" customHeight="1">
      <c r="A2269" s="8"/>
      <c r="B2269" s="4" t="s">
        <v>847</v>
      </c>
      <c r="C2269" s="5">
        <v>454830.0</v>
      </c>
      <c r="D2269" s="5">
        <v>0.0</v>
      </c>
      <c r="E2269" s="5">
        <f t="shared" si="2"/>
        <v>0</v>
      </c>
      <c r="F2269" s="4" t="s">
        <v>24</v>
      </c>
      <c r="G2269" s="4" t="s">
        <v>1787</v>
      </c>
      <c r="H2269" s="4" t="s">
        <v>4640</v>
      </c>
      <c r="I2269" s="4" t="s">
        <v>852</v>
      </c>
    </row>
    <row r="2270" ht="15.75" customHeight="1">
      <c r="A2270" s="8">
        <v>46071.0</v>
      </c>
      <c r="B2270" s="4" t="s">
        <v>847</v>
      </c>
      <c r="C2270" s="5">
        <v>0.0</v>
      </c>
      <c r="D2270" s="5">
        <v>4378502.0</v>
      </c>
      <c r="E2270" s="5">
        <f t="shared" si="2"/>
        <v>4378502</v>
      </c>
      <c r="F2270" s="4" t="s">
        <v>75</v>
      </c>
      <c r="G2270" s="4" t="s">
        <v>76</v>
      </c>
      <c r="H2270" s="4" t="s">
        <v>855</v>
      </c>
      <c r="I2270" s="4" t="s">
        <v>856</v>
      </c>
    </row>
    <row r="2271" ht="15.75" customHeight="1">
      <c r="A2271" s="8"/>
      <c r="B2271" s="4" t="s">
        <v>847</v>
      </c>
      <c r="C2271" s="5">
        <v>3704886.0</v>
      </c>
      <c r="D2271" s="5">
        <v>0.0</v>
      </c>
      <c r="E2271" s="5">
        <f t="shared" si="2"/>
        <v>673616</v>
      </c>
      <c r="F2271" s="4" t="s">
        <v>93</v>
      </c>
      <c r="G2271" s="4" t="s">
        <v>93</v>
      </c>
      <c r="H2271" s="4" t="s">
        <v>4645</v>
      </c>
      <c r="I2271" s="4" t="s">
        <v>856</v>
      </c>
    </row>
    <row r="2272" ht="15.75" customHeight="1">
      <c r="A2272" s="8"/>
      <c r="B2272" s="4" t="s">
        <v>847</v>
      </c>
      <c r="C2272" s="5">
        <v>673616.0</v>
      </c>
      <c r="D2272" s="5">
        <v>0.0</v>
      </c>
      <c r="E2272" s="5">
        <f t="shared" si="2"/>
        <v>0</v>
      </c>
      <c r="F2272" s="4" t="s">
        <v>24</v>
      </c>
      <c r="G2272" s="4" t="s">
        <v>1787</v>
      </c>
      <c r="H2272" s="4" t="s">
        <v>4640</v>
      </c>
      <c r="I2272" s="4" t="s">
        <v>856</v>
      </c>
    </row>
    <row r="2273" ht="15.75" customHeight="1">
      <c r="A2273" s="8">
        <v>46071.0</v>
      </c>
      <c r="B2273" s="4" t="s">
        <v>847</v>
      </c>
      <c r="C2273" s="5">
        <v>0.0</v>
      </c>
      <c r="D2273" s="5">
        <v>1.0460988E7</v>
      </c>
      <c r="E2273" s="5">
        <f t="shared" si="2"/>
        <v>10460988</v>
      </c>
      <c r="F2273" s="4" t="s">
        <v>75</v>
      </c>
      <c r="G2273" s="4" t="s">
        <v>76</v>
      </c>
      <c r="H2273" s="4" t="s">
        <v>860</v>
      </c>
      <c r="I2273" s="4" t="s">
        <v>861</v>
      </c>
    </row>
    <row r="2274" ht="15.75" customHeight="1">
      <c r="A2274" s="8"/>
      <c r="B2274" s="4" t="s">
        <v>847</v>
      </c>
      <c r="C2274" s="5">
        <v>8851605.0</v>
      </c>
      <c r="D2274" s="5">
        <v>0.0</v>
      </c>
      <c r="E2274" s="5">
        <f t="shared" si="2"/>
        <v>1609383</v>
      </c>
      <c r="F2274" s="4" t="s">
        <v>93</v>
      </c>
      <c r="G2274" s="4" t="s">
        <v>93</v>
      </c>
      <c r="H2274" s="4" t="s">
        <v>4645</v>
      </c>
      <c r="I2274" s="4" t="s">
        <v>861</v>
      </c>
    </row>
    <row r="2275" ht="15.75" customHeight="1">
      <c r="A2275" s="8"/>
      <c r="B2275" s="4" t="s">
        <v>847</v>
      </c>
      <c r="C2275" s="5">
        <v>1609383.0</v>
      </c>
      <c r="D2275" s="5">
        <v>0.0</v>
      </c>
      <c r="E2275" s="5">
        <f t="shared" si="2"/>
        <v>0</v>
      </c>
      <c r="F2275" s="4" t="s">
        <v>24</v>
      </c>
      <c r="G2275" s="4" t="s">
        <v>1787</v>
      </c>
      <c r="H2275" s="4" t="s">
        <v>4640</v>
      </c>
      <c r="I2275" s="4" t="s">
        <v>861</v>
      </c>
    </row>
    <row r="2276" ht="15.75" customHeight="1">
      <c r="A2276" s="8">
        <v>46073.0</v>
      </c>
      <c r="B2276" s="4" t="s">
        <v>867</v>
      </c>
      <c r="C2276" s="5">
        <v>0.0</v>
      </c>
      <c r="D2276" s="5">
        <v>4207745.0</v>
      </c>
      <c r="E2276" s="5">
        <f t="shared" si="2"/>
        <v>4207745</v>
      </c>
      <c r="F2276" s="4" t="s">
        <v>75</v>
      </c>
      <c r="G2276" s="4" t="s">
        <v>76</v>
      </c>
      <c r="H2276" s="4" t="s">
        <v>871</v>
      </c>
      <c r="I2276" s="4" t="s">
        <v>872</v>
      </c>
    </row>
    <row r="2277" ht="15.75" customHeight="1">
      <c r="A2277" s="8"/>
      <c r="B2277" s="4" t="s">
        <v>867</v>
      </c>
      <c r="C2277" s="5">
        <v>3560400.0</v>
      </c>
      <c r="D2277" s="5">
        <v>0.0</v>
      </c>
      <c r="E2277" s="5">
        <f t="shared" si="2"/>
        <v>647345</v>
      </c>
      <c r="F2277" s="4" t="s">
        <v>93</v>
      </c>
      <c r="G2277" s="4" t="s">
        <v>93</v>
      </c>
      <c r="H2277" s="4" t="s">
        <v>4645</v>
      </c>
      <c r="I2277" s="4" t="s">
        <v>872</v>
      </c>
    </row>
    <row r="2278" ht="15.75" customHeight="1">
      <c r="A2278" s="8"/>
      <c r="B2278" s="4" t="s">
        <v>867</v>
      </c>
      <c r="C2278" s="5">
        <v>647345.0</v>
      </c>
      <c r="D2278" s="5">
        <v>0.0</v>
      </c>
      <c r="E2278" s="5">
        <f t="shared" si="2"/>
        <v>0</v>
      </c>
      <c r="F2278" s="4" t="s">
        <v>24</v>
      </c>
      <c r="G2278" s="4" t="s">
        <v>1787</v>
      </c>
      <c r="H2278" s="4" t="s">
        <v>4640</v>
      </c>
      <c r="I2278" s="4" t="s">
        <v>872</v>
      </c>
    </row>
    <row r="2279" ht="15.75" customHeight="1">
      <c r="A2279" s="8">
        <v>46087.0</v>
      </c>
      <c r="B2279" s="4" t="s">
        <v>1049</v>
      </c>
      <c r="C2279" s="5">
        <v>0.0</v>
      </c>
      <c r="D2279" s="5">
        <v>7136180.0</v>
      </c>
      <c r="E2279" s="5">
        <f t="shared" si="2"/>
        <v>7136180</v>
      </c>
      <c r="F2279" s="4" t="s">
        <v>75</v>
      </c>
      <c r="G2279" s="4" t="s">
        <v>76</v>
      </c>
      <c r="H2279" s="4" t="s">
        <v>3204</v>
      </c>
      <c r="I2279" s="4" t="s">
        <v>1052</v>
      </c>
    </row>
    <row r="2280" ht="15.75" customHeight="1">
      <c r="A2280" s="8"/>
      <c r="B2280" s="4" t="s">
        <v>1049</v>
      </c>
      <c r="C2280" s="5">
        <v>6038306.0</v>
      </c>
      <c r="D2280" s="5">
        <v>0.0</v>
      </c>
      <c r="E2280" s="5">
        <f t="shared" si="2"/>
        <v>1097874</v>
      </c>
      <c r="F2280" s="4" t="s">
        <v>93</v>
      </c>
      <c r="G2280" s="4" t="s">
        <v>93</v>
      </c>
      <c r="H2280" s="4" t="s">
        <v>4645</v>
      </c>
      <c r="I2280" s="4" t="s">
        <v>1052</v>
      </c>
    </row>
    <row r="2281" ht="15.75" customHeight="1">
      <c r="A2281" s="8"/>
      <c r="B2281" s="4" t="s">
        <v>1049</v>
      </c>
      <c r="C2281" s="5">
        <v>1097874.0</v>
      </c>
      <c r="D2281" s="5">
        <v>0.0</v>
      </c>
      <c r="E2281" s="5">
        <f t="shared" si="2"/>
        <v>0</v>
      </c>
      <c r="F2281" s="4" t="s">
        <v>24</v>
      </c>
      <c r="G2281" s="4" t="s">
        <v>1787</v>
      </c>
      <c r="H2281" s="4" t="s">
        <v>4640</v>
      </c>
      <c r="I2281" s="4" t="s">
        <v>1052</v>
      </c>
    </row>
    <row r="2282" ht="15.75" customHeight="1">
      <c r="A2282" s="8">
        <v>46087.0</v>
      </c>
      <c r="B2282" s="4" t="s">
        <v>1049</v>
      </c>
      <c r="C2282" s="5">
        <v>0.0</v>
      </c>
      <c r="D2282" s="5">
        <v>3923929.0</v>
      </c>
      <c r="E2282" s="5">
        <f t="shared" si="2"/>
        <v>3923929</v>
      </c>
      <c r="F2282" s="4" t="s">
        <v>75</v>
      </c>
      <c r="G2282" s="4" t="s">
        <v>76</v>
      </c>
      <c r="H2282" s="15" t="s">
        <v>2838</v>
      </c>
      <c r="I2282" s="4" t="s">
        <v>1056</v>
      </c>
    </row>
    <row r="2283" ht="15.75" customHeight="1">
      <c r="A2283" s="8"/>
      <c r="B2283" s="4" t="s">
        <v>1049</v>
      </c>
      <c r="C2283" s="5">
        <v>3320248.0</v>
      </c>
      <c r="D2283" s="5">
        <v>0.0</v>
      </c>
      <c r="E2283" s="5">
        <f t="shared" si="2"/>
        <v>603681</v>
      </c>
      <c r="F2283" s="4" t="s">
        <v>93</v>
      </c>
      <c r="G2283" s="4" t="s">
        <v>93</v>
      </c>
      <c r="H2283" s="4" t="s">
        <v>4645</v>
      </c>
      <c r="I2283" s="4" t="s">
        <v>1056</v>
      </c>
    </row>
    <row r="2284" ht="15.75" customHeight="1">
      <c r="A2284" s="8"/>
      <c r="B2284" s="4" t="s">
        <v>1049</v>
      </c>
      <c r="C2284" s="5">
        <v>603681.0</v>
      </c>
      <c r="D2284" s="5">
        <v>0.0</v>
      </c>
      <c r="E2284" s="5">
        <f t="shared" si="2"/>
        <v>0</v>
      </c>
      <c r="F2284" s="4" t="s">
        <v>24</v>
      </c>
      <c r="G2284" s="4" t="s">
        <v>1787</v>
      </c>
      <c r="H2284" s="4" t="s">
        <v>4640</v>
      </c>
      <c r="I2284" s="4" t="s">
        <v>1056</v>
      </c>
    </row>
    <row r="2285" ht="15.75" customHeight="1">
      <c r="A2285" s="8">
        <v>46094.0</v>
      </c>
      <c r="B2285" s="4" t="s">
        <v>1086</v>
      </c>
      <c r="C2285" s="5">
        <v>0.0</v>
      </c>
      <c r="D2285" s="5">
        <v>284214.0</v>
      </c>
      <c r="E2285" s="5">
        <f t="shared" si="2"/>
        <v>284214</v>
      </c>
      <c r="F2285" s="4" t="s">
        <v>75</v>
      </c>
      <c r="G2285" s="4" t="s">
        <v>76</v>
      </c>
      <c r="H2285" s="4" t="s">
        <v>111</v>
      </c>
      <c r="I2285" s="4" t="s">
        <v>1087</v>
      </c>
    </row>
    <row r="2286" ht="15.75" customHeight="1">
      <c r="A2286" s="8"/>
      <c r="B2286" s="4" t="s">
        <v>1086</v>
      </c>
      <c r="C2286" s="5">
        <v>284214.0</v>
      </c>
      <c r="D2286" s="5">
        <v>0.0</v>
      </c>
      <c r="E2286" s="5">
        <f t="shared" si="2"/>
        <v>0</v>
      </c>
      <c r="F2286" s="4" t="s">
        <v>24</v>
      </c>
      <c r="G2286" s="4" t="s">
        <v>1787</v>
      </c>
      <c r="H2286" s="4" t="s">
        <v>4640</v>
      </c>
      <c r="I2286" s="4" t="s">
        <v>1087</v>
      </c>
    </row>
    <row r="2287" ht="15.75" customHeight="1">
      <c r="A2287" s="8">
        <v>46121.0</v>
      </c>
      <c r="B2287" s="4" t="s">
        <v>1309</v>
      </c>
      <c r="C2287" s="5">
        <v>0.0</v>
      </c>
      <c r="D2287" s="5">
        <v>284214.0</v>
      </c>
      <c r="E2287" s="5">
        <f t="shared" si="2"/>
        <v>284214</v>
      </c>
      <c r="F2287" s="4" t="s">
        <v>75</v>
      </c>
      <c r="G2287" s="4" t="s">
        <v>76</v>
      </c>
      <c r="H2287" s="4" t="s">
        <v>111</v>
      </c>
      <c r="I2287" s="4" t="s">
        <v>1310</v>
      </c>
    </row>
    <row r="2288" ht="15.75" customHeight="1">
      <c r="A2288" s="8"/>
      <c r="B2288" s="4" t="s">
        <v>1309</v>
      </c>
      <c r="C2288" s="5">
        <v>284214.0</v>
      </c>
      <c r="D2288" s="5">
        <v>0.0</v>
      </c>
      <c r="E2288" s="5">
        <f t="shared" si="2"/>
        <v>0</v>
      </c>
      <c r="F2288" s="4" t="s">
        <v>24</v>
      </c>
      <c r="G2288" s="4" t="s">
        <v>1787</v>
      </c>
      <c r="H2288" s="4" t="s">
        <v>4640</v>
      </c>
      <c r="I2288" s="4" t="s">
        <v>1310</v>
      </c>
    </row>
    <row r="2289" ht="15.75" customHeight="1">
      <c r="A2289" s="8">
        <v>46121.0</v>
      </c>
      <c r="B2289" s="4" t="s">
        <v>1311</v>
      </c>
      <c r="C2289" s="5">
        <v>0.0</v>
      </c>
      <c r="D2289" s="5">
        <v>3577900.0</v>
      </c>
      <c r="E2289" s="5">
        <f t="shared" si="2"/>
        <v>3577900</v>
      </c>
      <c r="F2289" s="4" t="s">
        <v>75</v>
      </c>
      <c r="G2289" s="4" t="s">
        <v>76</v>
      </c>
      <c r="H2289" s="4" t="s">
        <v>326</v>
      </c>
      <c r="I2289" s="4" t="s">
        <v>1313</v>
      </c>
    </row>
    <row r="2290" ht="15.75" customHeight="1">
      <c r="A2290" s="8"/>
      <c r="B2290" s="4" t="s">
        <v>1311</v>
      </c>
      <c r="C2290" s="5">
        <v>3025000.0</v>
      </c>
      <c r="D2290" s="5">
        <v>0.0</v>
      </c>
      <c r="E2290" s="5">
        <f t="shared" si="2"/>
        <v>552900</v>
      </c>
      <c r="F2290" s="4" t="s">
        <v>93</v>
      </c>
      <c r="G2290" s="4" t="s">
        <v>93</v>
      </c>
      <c r="H2290" s="4" t="s">
        <v>4645</v>
      </c>
      <c r="I2290" s="4" t="s">
        <v>1313</v>
      </c>
    </row>
    <row r="2291" ht="15.75" customHeight="1">
      <c r="A2291" s="8"/>
      <c r="B2291" s="4" t="s">
        <v>1311</v>
      </c>
      <c r="C2291" s="5">
        <v>550000.0</v>
      </c>
      <c r="D2291" s="5">
        <v>0.0</v>
      </c>
      <c r="E2291" s="5">
        <f t="shared" si="2"/>
        <v>2900</v>
      </c>
      <c r="F2291" s="4" t="s">
        <v>24</v>
      </c>
      <c r="G2291" s="4" t="s">
        <v>1787</v>
      </c>
      <c r="H2291" s="4" t="s">
        <v>4640</v>
      </c>
      <c r="I2291" s="4" t="s">
        <v>1313</v>
      </c>
    </row>
    <row r="2292" ht="15.75" customHeight="1">
      <c r="A2292" s="8"/>
      <c r="B2292" s="4" t="s">
        <v>1311</v>
      </c>
      <c r="C2292" s="5">
        <v>2900.0</v>
      </c>
      <c r="D2292" s="5">
        <v>0.0</v>
      </c>
      <c r="E2292" s="5">
        <f t="shared" si="2"/>
        <v>0</v>
      </c>
      <c r="F2292" s="4" t="s">
        <v>43</v>
      </c>
      <c r="G2292" s="4" t="s">
        <v>45</v>
      </c>
    </row>
    <row r="2293" ht="15.75" customHeight="1">
      <c r="A2293" s="8">
        <v>46126.0</v>
      </c>
      <c r="B2293" s="14" t="s">
        <v>4648</v>
      </c>
      <c r="C2293" s="5">
        <v>0.0</v>
      </c>
      <c r="D2293" s="5">
        <v>766298.0</v>
      </c>
      <c r="E2293" s="5">
        <f t="shared" si="2"/>
        <v>766298</v>
      </c>
      <c r="F2293" s="14" t="s">
        <v>2464</v>
      </c>
      <c r="G2293" s="14" t="s">
        <v>59</v>
      </c>
      <c r="H2293" s="14" t="s">
        <v>408</v>
      </c>
      <c r="I2293" s="16" t="s">
        <v>1323</v>
      </c>
      <c r="J2293" s="14"/>
      <c r="K2293" s="14"/>
      <c r="L2293" s="14"/>
    </row>
    <row r="2294" ht="15.75" customHeight="1">
      <c r="A2294" s="8"/>
      <c r="B2294" s="14" t="s">
        <v>4648</v>
      </c>
      <c r="C2294" s="5">
        <v>766298.0</v>
      </c>
      <c r="D2294" s="5">
        <v>0.0</v>
      </c>
      <c r="E2294" s="5">
        <f t="shared" si="2"/>
        <v>0</v>
      </c>
      <c r="F2294" s="14" t="s">
        <v>93</v>
      </c>
      <c r="G2294" s="14" t="s">
        <v>93</v>
      </c>
      <c r="H2294" s="14" t="s">
        <v>4645</v>
      </c>
      <c r="I2294" s="16" t="s">
        <v>1323</v>
      </c>
      <c r="J2294" s="14"/>
      <c r="K2294" s="14"/>
      <c r="L2294" s="14"/>
    </row>
    <row r="2295" ht="15.75" customHeight="1">
      <c r="A2295" s="8">
        <v>46142.0</v>
      </c>
      <c r="B2295" s="4" t="s">
        <v>1480</v>
      </c>
      <c r="C2295" s="5">
        <v>0.0</v>
      </c>
      <c r="D2295" s="5">
        <v>14682.0</v>
      </c>
      <c r="E2295" s="5">
        <f t="shared" si="2"/>
        <v>14682</v>
      </c>
      <c r="F2295" s="4" t="s">
        <v>75</v>
      </c>
      <c r="G2295" s="4" t="s">
        <v>76</v>
      </c>
      <c r="H2295" s="4" t="s">
        <v>111</v>
      </c>
      <c r="I2295" s="4" t="s">
        <v>1482</v>
      </c>
    </row>
    <row r="2296" ht="15.75" customHeight="1">
      <c r="A2296" s="8"/>
      <c r="B2296" s="4" t="s">
        <v>1480</v>
      </c>
      <c r="C2296" s="5">
        <v>14682.0</v>
      </c>
      <c r="D2296" s="5">
        <v>0.0</v>
      </c>
      <c r="E2296" s="5">
        <f t="shared" si="2"/>
        <v>0</v>
      </c>
      <c r="F2296" s="4" t="s">
        <v>24</v>
      </c>
      <c r="G2296" s="4" t="s">
        <v>1787</v>
      </c>
      <c r="H2296" s="4" t="s">
        <v>4640</v>
      </c>
      <c r="I2296" s="4" t="s">
        <v>1482</v>
      </c>
    </row>
    <row r="2297" ht="15.75" customHeight="1">
      <c r="A2297" s="8">
        <v>46127.0</v>
      </c>
      <c r="B2297" s="4" t="s">
        <v>1329</v>
      </c>
      <c r="C2297" s="5">
        <v>0.0</v>
      </c>
      <c r="D2297" s="5">
        <v>2.5916482E7</v>
      </c>
      <c r="E2297" s="5">
        <f t="shared" si="2"/>
        <v>25916482</v>
      </c>
      <c r="F2297" s="4" t="s">
        <v>24</v>
      </c>
      <c r="G2297" s="4" t="s">
        <v>26</v>
      </c>
      <c r="H2297" s="4" t="s">
        <v>805</v>
      </c>
      <c r="I2297" s="4" t="s">
        <v>1330</v>
      </c>
    </row>
    <row r="2298" ht="15.75" customHeight="1">
      <c r="A2298" s="8"/>
      <c r="B2298" s="4" t="s">
        <v>1329</v>
      </c>
      <c r="C2298" s="5">
        <v>2.1929331E7</v>
      </c>
      <c r="D2298" s="5">
        <v>0.0</v>
      </c>
      <c r="E2298" s="5">
        <f t="shared" si="2"/>
        <v>3987151</v>
      </c>
      <c r="F2298" s="4" t="s">
        <v>18</v>
      </c>
      <c r="G2298" s="4" t="s">
        <v>194</v>
      </c>
      <c r="H2298" s="4" t="s">
        <v>4649</v>
      </c>
      <c r="I2298" s="4" t="s">
        <v>4650</v>
      </c>
    </row>
    <row r="2299" ht="15.75" customHeight="1">
      <c r="A2299" s="8"/>
      <c r="B2299" s="4" t="s">
        <v>1329</v>
      </c>
      <c r="C2299" s="5">
        <v>3987151.0</v>
      </c>
      <c r="D2299" s="5">
        <v>0.0</v>
      </c>
      <c r="E2299" s="5">
        <f t="shared" si="2"/>
        <v>0</v>
      </c>
      <c r="F2299" s="4" t="s">
        <v>24</v>
      </c>
      <c r="G2299" s="4" t="s">
        <v>1787</v>
      </c>
      <c r="H2299" s="4" t="s">
        <v>4640</v>
      </c>
      <c r="I2299" s="4" t="s">
        <v>4650</v>
      </c>
    </row>
    <row r="2300" ht="15.75" customHeight="1">
      <c r="A2300" s="8">
        <v>46127.0</v>
      </c>
      <c r="B2300" s="4" t="s">
        <v>1329</v>
      </c>
      <c r="C2300" s="5">
        <v>0.0</v>
      </c>
      <c r="D2300" s="5">
        <v>6206200.0</v>
      </c>
      <c r="E2300" s="5">
        <f t="shared" si="2"/>
        <v>6206200</v>
      </c>
      <c r="F2300" s="4" t="s">
        <v>75</v>
      </c>
      <c r="G2300" s="4" t="s">
        <v>76</v>
      </c>
      <c r="H2300" s="4" t="s">
        <v>226</v>
      </c>
      <c r="I2300" s="4" t="s">
        <v>1332</v>
      </c>
    </row>
    <row r="2301" ht="15.75" customHeight="1">
      <c r="A2301" s="8"/>
      <c r="B2301" s="4" t="s">
        <v>1329</v>
      </c>
      <c r="C2301" s="5">
        <v>5251400.0</v>
      </c>
      <c r="D2301" s="5">
        <v>0.0</v>
      </c>
      <c r="E2301" s="5">
        <f t="shared" si="2"/>
        <v>954800</v>
      </c>
      <c r="F2301" s="4" t="s">
        <v>93</v>
      </c>
      <c r="G2301" s="4" t="s">
        <v>93</v>
      </c>
      <c r="H2301" s="4" t="s">
        <v>4645</v>
      </c>
      <c r="I2301" s="4" t="s">
        <v>1332</v>
      </c>
    </row>
    <row r="2302" ht="15.75" customHeight="1">
      <c r="A2302" s="8"/>
      <c r="B2302" s="4" t="s">
        <v>1329</v>
      </c>
      <c r="C2302" s="5">
        <v>954800.0</v>
      </c>
      <c r="D2302" s="5">
        <v>0.0</v>
      </c>
      <c r="E2302" s="5">
        <f t="shared" si="2"/>
        <v>0</v>
      </c>
      <c r="F2302" s="4" t="s">
        <v>24</v>
      </c>
      <c r="G2302" s="4" t="s">
        <v>1787</v>
      </c>
      <c r="H2302" s="4" t="s">
        <v>4640</v>
      </c>
      <c r="I2302" s="4" t="s">
        <v>1332</v>
      </c>
    </row>
    <row r="2303" ht="15.75" customHeight="1">
      <c r="A2303" s="8">
        <v>46135.0</v>
      </c>
      <c r="B2303" s="4" t="s">
        <v>1419</v>
      </c>
      <c r="C2303" s="5">
        <v>0.0</v>
      </c>
      <c r="D2303" s="5">
        <v>83768.0</v>
      </c>
      <c r="E2303" s="5">
        <f t="shared" si="2"/>
        <v>83768</v>
      </c>
      <c r="F2303" s="4" t="s">
        <v>75</v>
      </c>
      <c r="G2303" s="4" t="s">
        <v>76</v>
      </c>
      <c r="H2303" s="4" t="s">
        <v>111</v>
      </c>
      <c r="I2303" s="4" t="s">
        <v>1420</v>
      </c>
    </row>
    <row r="2304" ht="15.75" customHeight="1">
      <c r="A2304" s="8"/>
      <c r="B2304" s="4" t="s">
        <v>1419</v>
      </c>
      <c r="C2304" s="5">
        <v>83768.0</v>
      </c>
      <c r="D2304" s="5">
        <v>0.0</v>
      </c>
      <c r="E2304" s="5">
        <f t="shared" si="2"/>
        <v>0</v>
      </c>
      <c r="F2304" s="4" t="s">
        <v>24</v>
      </c>
      <c r="G2304" s="4" t="s">
        <v>1787</v>
      </c>
      <c r="H2304" s="4" t="s">
        <v>4640</v>
      </c>
      <c r="I2304" s="4" t="s">
        <v>1420</v>
      </c>
    </row>
    <row r="2305" ht="15.75" customHeight="1">
      <c r="A2305" s="8">
        <v>46135.0</v>
      </c>
      <c r="B2305" s="4" t="s">
        <v>1419</v>
      </c>
      <c r="C2305" s="5">
        <v>0.0</v>
      </c>
      <c r="D2305" s="5">
        <v>45424.995999999344</v>
      </c>
      <c r="E2305" s="5">
        <f t="shared" si="2"/>
        <v>45424.996</v>
      </c>
      <c r="F2305" s="4" t="s">
        <v>75</v>
      </c>
      <c r="G2305" s="4" t="s">
        <v>76</v>
      </c>
      <c r="H2305" s="4" t="s">
        <v>111</v>
      </c>
      <c r="I2305" s="4" t="s">
        <v>1422</v>
      </c>
    </row>
    <row r="2306" ht="15.75" customHeight="1">
      <c r="A2306" s="8"/>
      <c r="B2306" s="4" t="s">
        <v>1419</v>
      </c>
      <c r="C2306" s="5">
        <v>45424.995999999344</v>
      </c>
      <c r="D2306" s="5">
        <v>0.0</v>
      </c>
      <c r="E2306" s="5">
        <f t="shared" si="2"/>
        <v>0</v>
      </c>
      <c r="F2306" s="4" t="s">
        <v>24</v>
      </c>
      <c r="G2306" s="4" t="s">
        <v>1787</v>
      </c>
      <c r="H2306" s="4" t="s">
        <v>4640</v>
      </c>
      <c r="I2306" s="4" t="s">
        <v>1422</v>
      </c>
    </row>
    <row r="2307" ht="15.75" customHeight="1">
      <c r="A2307" s="8">
        <v>46135.0</v>
      </c>
      <c r="B2307" s="4" t="s">
        <v>1419</v>
      </c>
      <c r="C2307" s="5">
        <v>0.0</v>
      </c>
      <c r="D2307" s="5">
        <v>68608.0</v>
      </c>
      <c r="E2307" s="5">
        <f t="shared" si="2"/>
        <v>68608</v>
      </c>
      <c r="F2307" s="4" t="s">
        <v>75</v>
      </c>
      <c r="G2307" s="4" t="s">
        <v>76</v>
      </c>
      <c r="H2307" s="4" t="s">
        <v>111</v>
      </c>
      <c r="I2307" s="4" t="s">
        <v>1426</v>
      </c>
    </row>
    <row r="2308" ht="15.75" customHeight="1">
      <c r="A2308" s="8"/>
      <c r="B2308" s="4" t="s">
        <v>1419</v>
      </c>
      <c r="C2308" s="5">
        <v>68608.0</v>
      </c>
      <c r="D2308" s="5">
        <v>0.0</v>
      </c>
      <c r="E2308" s="5">
        <f t="shared" si="2"/>
        <v>0</v>
      </c>
      <c r="F2308" s="4" t="s">
        <v>24</v>
      </c>
      <c r="G2308" s="4" t="s">
        <v>1787</v>
      </c>
      <c r="H2308" s="4" t="s">
        <v>4640</v>
      </c>
      <c r="I2308" s="4" t="s">
        <v>1426</v>
      </c>
    </row>
    <row r="2309" ht="15.75" customHeight="1">
      <c r="A2309" s="8">
        <v>46149.0</v>
      </c>
      <c r="B2309" s="4" t="s">
        <v>1524</v>
      </c>
      <c r="C2309" s="5">
        <v>0.0</v>
      </c>
      <c r="D2309" s="5">
        <v>764929.0</v>
      </c>
      <c r="E2309" s="5">
        <f t="shared" si="2"/>
        <v>764929</v>
      </c>
      <c r="F2309" s="4" t="s">
        <v>75</v>
      </c>
      <c r="G2309" s="4" t="s">
        <v>76</v>
      </c>
      <c r="H2309" s="4" t="s">
        <v>111</v>
      </c>
      <c r="I2309" s="4" t="s">
        <v>1525</v>
      </c>
    </row>
    <row r="2310" ht="15.75" customHeight="1">
      <c r="A2310" s="8"/>
      <c r="B2310" s="4" t="s">
        <v>1524</v>
      </c>
      <c r="C2310" s="5">
        <v>764929.0</v>
      </c>
      <c r="D2310" s="5">
        <v>0.0</v>
      </c>
      <c r="E2310" s="5">
        <f t="shared" si="2"/>
        <v>0</v>
      </c>
      <c r="F2310" s="4" t="s">
        <v>24</v>
      </c>
      <c r="G2310" s="4" t="s">
        <v>1787</v>
      </c>
      <c r="H2310" s="4" t="s">
        <v>4640</v>
      </c>
      <c r="I2310" s="4" t="s">
        <v>1525</v>
      </c>
    </row>
    <row r="2311" ht="15.75" customHeight="1">
      <c r="A2311" s="8">
        <v>46149.0</v>
      </c>
      <c r="B2311" s="4" t="s">
        <v>1524</v>
      </c>
      <c r="C2311" s="5">
        <v>0.0</v>
      </c>
      <c r="D2311" s="5">
        <v>54530.0</v>
      </c>
      <c r="E2311" s="5">
        <f t="shared" si="2"/>
        <v>54530</v>
      </c>
      <c r="F2311" s="4" t="s">
        <v>75</v>
      </c>
      <c r="G2311" s="4" t="s">
        <v>76</v>
      </c>
      <c r="H2311" s="4" t="s">
        <v>111</v>
      </c>
      <c r="I2311" s="4" t="s">
        <v>1526</v>
      </c>
    </row>
    <row r="2312" ht="15.75" customHeight="1">
      <c r="A2312" s="8"/>
      <c r="B2312" s="4" t="s">
        <v>1524</v>
      </c>
      <c r="C2312" s="5">
        <v>54530.0</v>
      </c>
      <c r="D2312" s="5">
        <v>0.0</v>
      </c>
      <c r="E2312" s="5">
        <f t="shared" si="2"/>
        <v>0</v>
      </c>
      <c r="F2312" s="4" t="s">
        <v>24</v>
      </c>
      <c r="G2312" s="4" t="s">
        <v>1787</v>
      </c>
      <c r="H2312" s="4" t="s">
        <v>4640</v>
      </c>
      <c r="I2312" s="4" t="s">
        <v>1526</v>
      </c>
    </row>
    <row r="2313" ht="15.75" customHeight="1">
      <c r="A2313" s="8">
        <v>46149.0</v>
      </c>
      <c r="B2313" s="4" t="s">
        <v>1524</v>
      </c>
      <c r="C2313" s="5">
        <v>0.0</v>
      </c>
      <c r="D2313" s="5">
        <v>31698.0</v>
      </c>
      <c r="E2313" s="5">
        <f t="shared" si="2"/>
        <v>31698</v>
      </c>
      <c r="F2313" s="4" t="s">
        <v>75</v>
      </c>
      <c r="G2313" s="4" t="s">
        <v>76</v>
      </c>
      <c r="H2313" s="4" t="s">
        <v>111</v>
      </c>
      <c r="I2313" s="4" t="s">
        <v>1527</v>
      </c>
    </row>
    <row r="2314" ht="15.75" customHeight="1">
      <c r="A2314" s="8"/>
      <c r="B2314" s="4" t="s">
        <v>1524</v>
      </c>
      <c r="C2314" s="5">
        <v>31698.0</v>
      </c>
      <c r="D2314" s="5">
        <v>0.0</v>
      </c>
      <c r="E2314" s="5">
        <f t="shared" si="2"/>
        <v>0</v>
      </c>
      <c r="F2314" s="4" t="s">
        <v>24</v>
      </c>
      <c r="G2314" s="4" t="s">
        <v>1787</v>
      </c>
      <c r="H2314" s="4" t="s">
        <v>4640</v>
      </c>
      <c r="I2314" s="4" t="s">
        <v>1527</v>
      </c>
    </row>
    <row r="2315" ht="15.75" customHeight="1">
      <c r="A2315" s="8">
        <v>46149.0</v>
      </c>
      <c r="B2315" s="4" t="s">
        <v>1524</v>
      </c>
      <c r="C2315" s="5">
        <v>0.0</v>
      </c>
      <c r="D2315" s="5">
        <v>19067.0</v>
      </c>
      <c r="E2315" s="5">
        <f t="shared" si="2"/>
        <v>19067</v>
      </c>
      <c r="F2315" s="4" t="s">
        <v>75</v>
      </c>
      <c r="G2315" s="4" t="s">
        <v>76</v>
      </c>
      <c r="H2315" s="4" t="s">
        <v>111</v>
      </c>
      <c r="I2315" s="4" t="s">
        <v>1528</v>
      </c>
    </row>
    <row r="2316" ht="15.75" customHeight="1">
      <c r="A2316" s="8"/>
      <c r="B2316" s="4" t="s">
        <v>1524</v>
      </c>
      <c r="C2316" s="5">
        <v>19067.0</v>
      </c>
      <c r="D2316" s="5">
        <v>0.0</v>
      </c>
      <c r="E2316" s="5">
        <f t="shared" si="2"/>
        <v>0</v>
      </c>
      <c r="F2316" s="4" t="s">
        <v>24</v>
      </c>
      <c r="G2316" s="4" t="s">
        <v>1787</v>
      </c>
      <c r="H2316" s="4" t="s">
        <v>4640</v>
      </c>
      <c r="I2316" s="4" t="s">
        <v>1528</v>
      </c>
    </row>
    <row r="2317" ht="15.75" customHeight="1">
      <c r="A2317" s="8">
        <v>46149.0</v>
      </c>
      <c r="B2317" s="4" t="s">
        <v>1524</v>
      </c>
      <c r="C2317" s="5">
        <v>0.0</v>
      </c>
      <c r="D2317" s="5">
        <v>31902.0</v>
      </c>
      <c r="E2317" s="5">
        <f t="shared" si="2"/>
        <v>31902</v>
      </c>
      <c r="F2317" s="4" t="s">
        <v>75</v>
      </c>
      <c r="G2317" s="4" t="s">
        <v>76</v>
      </c>
      <c r="H2317" s="4" t="s">
        <v>111</v>
      </c>
      <c r="I2317" s="4" t="s">
        <v>1529</v>
      </c>
    </row>
    <row r="2318" ht="15.75" customHeight="1">
      <c r="A2318" s="8"/>
      <c r="B2318" s="4" t="s">
        <v>1524</v>
      </c>
      <c r="C2318" s="5">
        <v>31902.0</v>
      </c>
      <c r="D2318" s="5">
        <v>0.0</v>
      </c>
      <c r="E2318" s="5">
        <f t="shared" si="2"/>
        <v>0</v>
      </c>
      <c r="F2318" s="4" t="s">
        <v>24</v>
      </c>
      <c r="G2318" s="4" t="s">
        <v>1787</v>
      </c>
      <c r="H2318" s="4" t="s">
        <v>4640</v>
      </c>
      <c r="I2318" s="4" t="s">
        <v>1529</v>
      </c>
    </row>
    <row r="2319" ht="15.75" customHeight="1">
      <c r="A2319" s="8">
        <v>46155.0</v>
      </c>
      <c r="B2319" s="4" t="s">
        <v>1618</v>
      </c>
      <c r="C2319" s="5">
        <v>0.0</v>
      </c>
      <c r="D2319" s="5">
        <v>2683571.0</v>
      </c>
      <c r="E2319" s="5">
        <f t="shared" si="2"/>
        <v>2683571</v>
      </c>
      <c r="F2319" s="4" t="s">
        <v>75</v>
      </c>
      <c r="G2319" s="4" t="s">
        <v>76</v>
      </c>
      <c r="H2319" s="4" t="s">
        <v>1610</v>
      </c>
      <c r="I2319" s="4" t="s">
        <v>1620</v>
      </c>
    </row>
    <row r="2320" ht="15.75" customHeight="1">
      <c r="A2320" s="8"/>
      <c r="B2320" s="4" t="s">
        <v>1618</v>
      </c>
      <c r="C2320" s="5">
        <v>2270714.0</v>
      </c>
      <c r="D2320" s="5">
        <v>0.0</v>
      </c>
      <c r="E2320" s="5">
        <f t="shared" si="2"/>
        <v>412857</v>
      </c>
      <c r="F2320" s="4" t="s">
        <v>93</v>
      </c>
      <c r="G2320" s="4" t="s">
        <v>93</v>
      </c>
      <c r="H2320" s="4" t="s">
        <v>4645</v>
      </c>
      <c r="I2320" s="4" t="s">
        <v>1620</v>
      </c>
    </row>
    <row r="2321" ht="15.75" customHeight="1">
      <c r="A2321" s="8"/>
      <c r="B2321" s="4" t="s">
        <v>1618</v>
      </c>
      <c r="C2321" s="5">
        <v>412857.0</v>
      </c>
      <c r="D2321" s="5">
        <v>0.0</v>
      </c>
      <c r="E2321" s="5">
        <f t="shared" si="2"/>
        <v>0</v>
      </c>
      <c r="F2321" s="4" t="s">
        <v>24</v>
      </c>
      <c r="G2321" s="4" t="s">
        <v>1787</v>
      </c>
      <c r="H2321" s="4" t="s">
        <v>4640</v>
      </c>
      <c r="I2321" s="4" t="s">
        <v>1620</v>
      </c>
    </row>
    <row r="2322" ht="15.75" customHeight="1">
      <c r="A2322" s="8">
        <v>46155.0</v>
      </c>
      <c r="B2322" s="4" t="s">
        <v>1618</v>
      </c>
      <c r="C2322" s="5">
        <v>0.0</v>
      </c>
      <c r="D2322" s="5">
        <v>1.0429028E7</v>
      </c>
      <c r="E2322" s="5">
        <f t="shared" si="2"/>
        <v>10429028</v>
      </c>
      <c r="F2322" s="4" t="s">
        <v>75</v>
      </c>
      <c r="G2322" s="4" t="s">
        <v>76</v>
      </c>
      <c r="H2322" s="4" t="s">
        <v>1038</v>
      </c>
      <c r="I2322" s="4" t="s">
        <v>1621</v>
      </c>
    </row>
    <row r="2323" ht="15.75" customHeight="1">
      <c r="A2323" s="8"/>
      <c r="B2323" s="4" t="s">
        <v>1618</v>
      </c>
      <c r="C2323" s="5">
        <v>8824562.0</v>
      </c>
      <c r="D2323" s="5">
        <v>0.0</v>
      </c>
      <c r="E2323" s="5">
        <f t="shared" si="2"/>
        <v>1604466</v>
      </c>
      <c r="F2323" s="4" t="s">
        <v>93</v>
      </c>
      <c r="G2323" s="4" t="s">
        <v>93</v>
      </c>
      <c r="H2323" s="4" t="s">
        <v>4645</v>
      </c>
      <c r="I2323" s="4" t="s">
        <v>1621</v>
      </c>
    </row>
    <row r="2324" ht="15.75" customHeight="1">
      <c r="A2324" s="8"/>
      <c r="B2324" s="4" t="s">
        <v>1618</v>
      </c>
      <c r="C2324" s="5">
        <v>1604466.0</v>
      </c>
      <c r="D2324" s="5">
        <v>0.0</v>
      </c>
      <c r="E2324" s="5">
        <f t="shared" si="2"/>
        <v>0</v>
      </c>
      <c r="F2324" s="4" t="s">
        <v>24</v>
      </c>
      <c r="G2324" s="4" t="s">
        <v>1787</v>
      </c>
      <c r="H2324" s="4" t="s">
        <v>4640</v>
      </c>
      <c r="I2324" s="4" t="s">
        <v>1621</v>
      </c>
    </row>
    <row r="2325" ht="15.75" customHeight="1">
      <c r="A2325" s="8">
        <v>46155.0</v>
      </c>
      <c r="B2325" s="4" t="s">
        <v>140</v>
      </c>
      <c r="C2325" s="5">
        <v>0.0</v>
      </c>
      <c r="D2325" s="5">
        <v>1716983.0</v>
      </c>
      <c r="E2325" s="5">
        <f t="shared" si="2"/>
        <v>1716983</v>
      </c>
      <c r="F2325" s="4" t="s">
        <v>75</v>
      </c>
      <c r="G2325" s="4" t="s">
        <v>76</v>
      </c>
      <c r="H2325" s="4" t="s">
        <v>230</v>
      </c>
      <c r="I2325" s="4" t="s">
        <v>1624</v>
      </c>
    </row>
    <row r="2326" ht="15.75" customHeight="1">
      <c r="A2326" s="8"/>
      <c r="B2326" s="4" t="s">
        <v>140</v>
      </c>
      <c r="C2326" s="5">
        <v>1452832.0</v>
      </c>
      <c r="D2326" s="5">
        <v>0.0</v>
      </c>
      <c r="E2326" s="5">
        <f t="shared" si="2"/>
        <v>264151</v>
      </c>
      <c r="F2326" s="4" t="s">
        <v>93</v>
      </c>
      <c r="G2326" s="4" t="s">
        <v>93</v>
      </c>
      <c r="H2326" s="4" t="s">
        <v>4645</v>
      </c>
      <c r="I2326" s="4" t="s">
        <v>1624</v>
      </c>
    </row>
    <row r="2327" ht="15.75" customHeight="1">
      <c r="A2327" s="8"/>
      <c r="B2327" s="4" t="s">
        <v>140</v>
      </c>
      <c r="C2327" s="5">
        <v>264151.0</v>
      </c>
      <c r="D2327" s="5">
        <v>0.0</v>
      </c>
      <c r="E2327" s="5">
        <f t="shared" si="2"/>
        <v>0</v>
      </c>
      <c r="F2327" s="4" t="s">
        <v>24</v>
      </c>
      <c r="G2327" s="4" t="s">
        <v>1787</v>
      </c>
      <c r="H2327" s="4" t="s">
        <v>4640</v>
      </c>
      <c r="I2327" s="4" t="s">
        <v>1624</v>
      </c>
    </row>
    <row r="2328" ht="15.75" customHeight="1">
      <c r="A2328" s="8">
        <v>46155.0</v>
      </c>
      <c r="B2328" s="4" t="s">
        <v>1625</v>
      </c>
      <c r="C2328" s="5">
        <v>0.0</v>
      </c>
      <c r="D2328" s="5">
        <v>327827.0</v>
      </c>
      <c r="E2328" s="5">
        <f t="shared" si="2"/>
        <v>327827</v>
      </c>
      <c r="F2328" s="4" t="s">
        <v>75</v>
      </c>
      <c r="G2328" s="4" t="s">
        <v>76</v>
      </c>
      <c r="H2328" s="4" t="s">
        <v>111</v>
      </c>
      <c r="I2328" s="4" t="s">
        <v>1627</v>
      </c>
    </row>
    <row r="2329" ht="15.75" customHeight="1">
      <c r="A2329" s="8"/>
      <c r="B2329" s="4" t="s">
        <v>1625</v>
      </c>
      <c r="C2329" s="5">
        <v>327827.0</v>
      </c>
      <c r="D2329" s="5">
        <v>0.0</v>
      </c>
      <c r="E2329" s="5">
        <f t="shared" si="2"/>
        <v>0</v>
      </c>
      <c r="F2329" s="4" t="s">
        <v>24</v>
      </c>
      <c r="G2329" s="4" t="s">
        <v>1787</v>
      </c>
      <c r="H2329" s="4" t="s">
        <v>4640</v>
      </c>
      <c r="I2329" s="4" t="s">
        <v>1627</v>
      </c>
    </row>
    <row r="2330" ht="15.75" customHeight="1">
      <c r="A2330" s="8">
        <v>46041.0</v>
      </c>
      <c r="B2330" s="4" t="s">
        <v>4651</v>
      </c>
      <c r="C2330" s="5">
        <v>0.0</v>
      </c>
      <c r="D2330" s="5">
        <v>1.70247E7</v>
      </c>
      <c r="E2330" s="5">
        <f t="shared" si="2"/>
        <v>17024700</v>
      </c>
      <c r="F2330" s="4" t="s">
        <v>1201</v>
      </c>
      <c r="G2330" s="4" t="s">
        <v>2000</v>
      </c>
      <c r="H2330" s="4" t="s">
        <v>6</v>
      </c>
      <c r="I2330" s="4" t="s">
        <v>6</v>
      </c>
    </row>
    <row r="2331" ht="15.75" customHeight="1">
      <c r="A2331" s="8"/>
      <c r="B2331" s="4" t="s">
        <v>4651</v>
      </c>
      <c r="C2331" s="5">
        <v>1.70247E7</v>
      </c>
      <c r="D2331" s="5">
        <v>0.0</v>
      </c>
      <c r="E2331" s="5">
        <f t="shared" si="2"/>
        <v>0</v>
      </c>
      <c r="F2331" s="4" t="s">
        <v>18</v>
      </c>
      <c r="G2331" s="4" t="s">
        <v>194</v>
      </c>
      <c r="H2331" s="4" t="s">
        <v>3401</v>
      </c>
      <c r="I2331" s="4" t="s">
        <v>4652</v>
      </c>
    </row>
    <row r="2332" ht="15.75" customHeight="1">
      <c r="A2332" s="8">
        <v>46048.0</v>
      </c>
      <c r="B2332" s="4" t="s">
        <v>71</v>
      </c>
      <c r="C2332" s="5">
        <v>0.0</v>
      </c>
      <c r="D2332" s="5">
        <v>7.4369369E7</v>
      </c>
      <c r="E2332" s="5">
        <f t="shared" si="2"/>
        <v>74369369</v>
      </c>
      <c r="F2332" s="4" t="s">
        <v>75</v>
      </c>
      <c r="G2332" s="4" t="s">
        <v>76</v>
      </c>
      <c r="H2332" s="4" t="s">
        <v>68</v>
      </c>
      <c r="I2332" s="4" t="s">
        <v>78</v>
      </c>
    </row>
    <row r="2333" ht="15.75" customHeight="1">
      <c r="A2333" s="8"/>
      <c r="B2333" s="4" t="s">
        <v>71</v>
      </c>
      <c r="C2333" s="5">
        <v>6.2927928E7</v>
      </c>
      <c r="D2333" s="5">
        <v>0.0</v>
      </c>
      <c r="E2333" s="5">
        <f t="shared" si="2"/>
        <v>11441441</v>
      </c>
      <c r="F2333" s="4" t="s">
        <v>93</v>
      </c>
      <c r="G2333" s="4" t="s">
        <v>93</v>
      </c>
      <c r="H2333" s="4" t="s">
        <v>4645</v>
      </c>
      <c r="I2333" s="4" t="s">
        <v>78</v>
      </c>
    </row>
    <row r="2334" ht="15.75" customHeight="1">
      <c r="A2334" s="8"/>
      <c r="B2334" s="4" t="s">
        <v>71</v>
      </c>
      <c r="C2334" s="5">
        <v>1.1441441E7</v>
      </c>
      <c r="D2334" s="5">
        <v>0.0</v>
      </c>
      <c r="E2334" s="5">
        <f t="shared" si="2"/>
        <v>0</v>
      </c>
      <c r="F2334" s="4" t="s">
        <v>24</v>
      </c>
      <c r="G2334" s="4" t="s">
        <v>1787</v>
      </c>
      <c r="H2334" s="4" t="s">
        <v>4640</v>
      </c>
      <c r="I2334" s="4" t="s">
        <v>78</v>
      </c>
    </row>
    <row r="2335" ht="15.75" customHeight="1">
      <c r="A2335" s="8">
        <v>46049.0</v>
      </c>
      <c r="B2335" s="4" t="s">
        <v>79</v>
      </c>
      <c r="C2335" s="5">
        <v>0.0</v>
      </c>
      <c r="D2335" s="5">
        <v>7.4369369E7</v>
      </c>
      <c r="E2335" s="5">
        <f t="shared" si="2"/>
        <v>74369369</v>
      </c>
      <c r="F2335" s="4" t="s">
        <v>75</v>
      </c>
      <c r="G2335" s="4" t="s">
        <v>76</v>
      </c>
      <c r="H2335" s="4" t="s">
        <v>85</v>
      </c>
      <c r="I2335" s="4" t="s">
        <v>86</v>
      </c>
    </row>
    <row r="2336" ht="15.75" customHeight="1">
      <c r="A2336" s="8"/>
      <c r="B2336" s="4" t="s">
        <v>79</v>
      </c>
      <c r="C2336" s="5">
        <v>6.2927928E7</v>
      </c>
      <c r="D2336" s="5">
        <v>0.0</v>
      </c>
      <c r="E2336" s="5">
        <f t="shared" si="2"/>
        <v>11441441</v>
      </c>
      <c r="F2336" s="4" t="s">
        <v>93</v>
      </c>
      <c r="G2336" s="4" t="s">
        <v>93</v>
      </c>
      <c r="H2336" s="4" t="s">
        <v>4645</v>
      </c>
      <c r="I2336" s="4" t="s">
        <v>86</v>
      </c>
    </row>
    <row r="2337" ht="15.75" customHeight="1">
      <c r="A2337" s="8"/>
      <c r="B2337" s="4" t="s">
        <v>79</v>
      </c>
      <c r="C2337" s="5">
        <v>1.1441441E7</v>
      </c>
      <c r="D2337" s="5">
        <v>0.0</v>
      </c>
      <c r="E2337" s="5">
        <f t="shared" si="2"/>
        <v>0</v>
      </c>
      <c r="F2337" s="4" t="s">
        <v>24</v>
      </c>
      <c r="G2337" s="4" t="s">
        <v>1787</v>
      </c>
      <c r="H2337" s="4" t="s">
        <v>4640</v>
      </c>
      <c r="I2337" s="4" t="s">
        <v>86</v>
      </c>
    </row>
    <row r="2338" ht="15.75" customHeight="1">
      <c r="A2338" s="8">
        <v>46094.0</v>
      </c>
      <c r="B2338" s="4" t="s">
        <v>256</v>
      </c>
      <c r="C2338" s="5">
        <v>0.0</v>
      </c>
      <c r="D2338" s="5">
        <v>1.9734556E7</v>
      </c>
      <c r="E2338" s="5">
        <f t="shared" si="2"/>
        <v>19734556</v>
      </c>
      <c r="F2338" s="4" t="s">
        <v>75</v>
      </c>
      <c r="G2338" s="4" t="s">
        <v>76</v>
      </c>
      <c r="H2338" s="4" t="s">
        <v>332</v>
      </c>
      <c r="I2338" s="4" t="s">
        <v>261</v>
      </c>
    </row>
    <row r="2339" ht="15.75" customHeight="1">
      <c r="A2339" s="8"/>
      <c r="B2339" s="4" t="s">
        <v>256</v>
      </c>
      <c r="C2339" s="5">
        <v>1.9734556E7</v>
      </c>
      <c r="D2339" s="5">
        <v>0.0</v>
      </c>
      <c r="E2339" s="5">
        <f t="shared" si="2"/>
        <v>0</v>
      </c>
      <c r="F2339" s="4" t="s">
        <v>93</v>
      </c>
      <c r="G2339" s="4" t="s">
        <v>93</v>
      </c>
      <c r="H2339" s="4" t="s">
        <v>4645</v>
      </c>
      <c r="I2339" s="4" t="s">
        <v>261</v>
      </c>
    </row>
    <row r="2340" ht="15.75" customHeight="1">
      <c r="A2340" s="8">
        <v>46097.0</v>
      </c>
      <c r="B2340" s="4" t="s">
        <v>276</v>
      </c>
      <c r="C2340" s="5">
        <v>0.0</v>
      </c>
      <c r="D2340" s="5">
        <v>7.6126126E7</v>
      </c>
      <c r="E2340" s="5">
        <f t="shared" si="2"/>
        <v>76126126</v>
      </c>
      <c r="F2340" s="4" t="s">
        <v>75</v>
      </c>
      <c r="G2340" s="4" t="s">
        <v>76</v>
      </c>
      <c r="H2340" s="4" t="s">
        <v>234</v>
      </c>
      <c r="I2340" s="4" t="s">
        <v>280</v>
      </c>
    </row>
    <row r="2341" ht="15.75" customHeight="1">
      <c r="A2341" s="8"/>
      <c r="B2341" s="4" t="s">
        <v>276</v>
      </c>
      <c r="C2341" s="5">
        <v>6.4414414E7</v>
      </c>
      <c r="D2341" s="5">
        <v>0.0</v>
      </c>
      <c r="E2341" s="5">
        <f t="shared" si="2"/>
        <v>11711712</v>
      </c>
      <c r="F2341" s="4" t="s">
        <v>93</v>
      </c>
      <c r="G2341" s="4" t="s">
        <v>93</v>
      </c>
      <c r="H2341" s="4" t="s">
        <v>4645</v>
      </c>
      <c r="I2341" s="4" t="s">
        <v>280</v>
      </c>
    </row>
    <row r="2342" ht="15.75" customHeight="1">
      <c r="A2342" s="8"/>
      <c r="B2342" s="4" t="s">
        <v>276</v>
      </c>
      <c r="C2342" s="5">
        <v>1.1711712E7</v>
      </c>
      <c r="D2342" s="5">
        <v>0.0</v>
      </c>
      <c r="E2342" s="5">
        <f t="shared" si="2"/>
        <v>0</v>
      </c>
      <c r="F2342" s="4" t="s">
        <v>24</v>
      </c>
      <c r="G2342" s="4" t="s">
        <v>1787</v>
      </c>
      <c r="H2342" s="4" t="s">
        <v>4640</v>
      </c>
      <c r="I2342" s="4" t="s">
        <v>280</v>
      </c>
    </row>
    <row r="2343" ht="15.75" customHeight="1">
      <c r="A2343" s="8">
        <v>46071.0</v>
      </c>
      <c r="B2343" s="4" t="s">
        <v>1194</v>
      </c>
      <c r="C2343" s="5">
        <v>0.0</v>
      </c>
      <c r="D2343" s="5">
        <v>7.0270271E7</v>
      </c>
      <c r="E2343" s="5">
        <f t="shared" si="2"/>
        <v>70270271</v>
      </c>
      <c r="F2343" s="4" t="s">
        <v>75</v>
      </c>
      <c r="G2343" s="4" t="s">
        <v>76</v>
      </c>
      <c r="H2343" s="4" t="s">
        <v>68</v>
      </c>
      <c r="I2343" s="4" t="s">
        <v>1196</v>
      </c>
    </row>
    <row r="2344" ht="15.75" customHeight="1">
      <c r="A2344" s="8"/>
      <c r="B2344" s="4" t="s">
        <v>1194</v>
      </c>
      <c r="C2344" s="5">
        <v>5.945946E7</v>
      </c>
      <c r="D2344" s="5">
        <v>0.0</v>
      </c>
      <c r="E2344" s="5">
        <f t="shared" si="2"/>
        <v>10810811</v>
      </c>
      <c r="F2344" s="4" t="s">
        <v>93</v>
      </c>
      <c r="G2344" s="4" t="s">
        <v>93</v>
      </c>
      <c r="H2344" s="4" t="s">
        <v>4645</v>
      </c>
      <c r="I2344" s="4" t="s">
        <v>1196</v>
      </c>
    </row>
    <row r="2345" ht="15.75" customHeight="1">
      <c r="A2345" s="8"/>
      <c r="B2345" s="4" t="s">
        <v>1194</v>
      </c>
      <c r="C2345" s="5">
        <v>1.0810811E7</v>
      </c>
      <c r="D2345" s="5">
        <v>0.0</v>
      </c>
      <c r="E2345" s="5">
        <f t="shared" si="2"/>
        <v>0</v>
      </c>
      <c r="F2345" s="4" t="s">
        <v>24</v>
      </c>
      <c r="G2345" s="4" t="s">
        <v>1787</v>
      </c>
      <c r="H2345" s="4" t="s">
        <v>4640</v>
      </c>
      <c r="I2345" s="4" t="s">
        <v>1196</v>
      </c>
    </row>
    <row r="2346" ht="15.75" customHeight="1">
      <c r="A2346" s="8">
        <v>46097.0</v>
      </c>
      <c r="B2346" s="4" t="s">
        <v>1214</v>
      </c>
      <c r="C2346" s="5">
        <v>0.0</v>
      </c>
      <c r="D2346" s="5">
        <v>7.6126126E7</v>
      </c>
      <c r="E2346" s="5">
        <f t="shared" si="2"/>
        <v>76126126</v>
      </c>
      <c r="F2346" s="4" t="s">
        <v>75</v>
      </c>
      <c r="G2346" s="4" t="s">
        <v>76</v>
      </c>
      <c r="H2346" s="4" t="s">
        <v>317</v>
      </c>
      <c r="I2346" s="4" t="s">
        <v>1217</v>
      </c>
    </row>
    <row r="2347" ht="15.75" customHeight="1">
      <c r="A2347" s="8"/>
      <c r="B2347" s="4" t="s">
        <v>1214</v>
      </c>
      <c r="C2347" s="5">
        <v>6.4414414E7</v>
      </c>
      <c r="D2347" s="5">
        <v>0.0</v>
      </c>
      <c r="E2347" s="5">
        <f t="shared" si="2"/>
        <v>11711712</v>
      </c>
      <c r="F2347" s="4" t="s">
        <v>93</v>
      </c>
      <c r="G2347" s="4" t="s">
        <v>93</v>
      </c>
      <c r="H2347" s="4" t="s">
        <v>4645</v>
      </c>
      <c r="I2347" s="4" t="s">
        <v>1217</v>
      </c>
    </row>
    <row r="2348" ht="15.75" customHeight="1">
      <c r="A2348" s="8"/>
      <c r="B2348" s="4" t="s">
        <v>1214</v>
      </c>
      <c r="C2348" s="5">
        <v>1.1711712E7</v>
      </c>
      <c r="D2348" s="5">
        <v>0.0</v>
      </c>
      <c r="E2348" s="5">
        <f t="shared" si="2"/>
        <v>0</v>
      </c>
      <c r="F2348" s="4" t="s">
        <v>24</v>
      </c>
      <c r="G2348" s="4" t="s">
        <v>1787</v>
      </c>
      <c r="H2348" s="4" t="s">
        <v>4640</v>
      </c>
      <c r="I2348" s="4" t="s">
        <v>1217</v>
      </c>
    </row>
    <row r="2349" ht="15.75" customHeight="1">
      <c r="A2349" s="8">
        <v>46140.0</v>
      </c>
      <c r="B2349" s="4" t="s">
        <v>383</v>
      </c>
      <c r="C2349" s="5">
        <v>0.0</v>
      </c>
      <c r="D2349" s="5">
        <v>1.0010849E7</v>
      </c>
      <c r="E2349" s="5">
        <f t="shared" si="2"/>
        <v>10010849</v>
      </c>
      <c r="F2349" s="4" t="s">
        <v>75</v>
      </c>
      <c r="G2349" s="4" t="s">
        <v>76</v>
      </c>
      <c r="H2349" s="4" t="s">
        <v>314</v>
      </c>
      <c r="I2349" s="4" t="s">
        <v>386</v>
      </c>
    </row>
    <row r="2350" ht="15.75" customHeight="1">
      <c r="A2350" s="8"/>
      <c r="B2350" s="4" t="s">
        <v>383</v>
      </c>
      <c r="C2350" s="5">
        <v>8470718.0</v>
      </c>
      <c r="D2350" s="5">
        <v>0.0</v>
      </c>
      <c r="E2350" s="5">
        <f t="shared" si="2"/>
        <v>1540131</v>
      </c>
      <c r="F2350" s="4" t="s">
        <v>93</v>
      </c>
      <c r="G2350" s="4" t="s">
        <v>93</v>
      </c>
      <c r="H2350" s="4" t="s">
        <v>4645</v>
      </c>
      <c r="I2350" s="4" t="s">
        <v>386</v>
      </c>
    </row>
    <row r="2351" ht="15.75" customHeight="1">
      <c r="A2351" s="8"/>
      <c r="B2351" s="4" t="s">
        <v>383</v>
      </c>
      <c r="C2351" s="5">
        <v>1540131.0</v>
      </c>
      <c r="D2351" s="5">
        <v>0.0</v>
      </c>
      <c r="E2351" s="5">
        <f t="shared" si="2"/>
        <v>0</v>
      </c>
      <c r="F2351" s="4" t="s">
        <v>24</v>
      </c>
      <c r="G2351" s="4" t="s">
        <v>1787</v>
      </c>
      <c r="H2351" s="4" t="s">
        <v>4640</v>
      </c>
      <c r="I2351" s="4" t="s">
        <v>386</v>
      </c>
    </row>
    <row r="2352" ht="15.75" customHeight="1">
      <c r="A2352" s="8">
        <v>46140.0</v>
      </c>
      <c r="B2352" s="4" t="s">
        <v>388</v>
      </c>
      <c r="C2352" s="5">
        <v>0.0</v>
      </c>
      <c r="D2352" s="5">
        <v>1.10253E7</v>
      </c>
      <c r="E2352" s="5">
        <f t="shared" si="2"/>
        <v>11025300</v>
      </c>
      <c r="F2352" s="4" t="s">
        <v>75</v>
      </c>
      <c r="G2352" s="4" t="s">
        <v>76</v>
      </c>
      <c r="H2352" s="4" t="s">
        <v>391</v>
      </c>
      <c r="I2352" s="4" t="s">
        <v>392</v>
      </c>
    </row>
    <row r="2353" ht="15.75" customHeight="1">
      <c r="A2353" s="8"/>
      <c r="B2353" s="4" t="s">
        <v>388</v>
      </c>
      <c r="C2353" s="5">
        <v>9329100.0</v>
      </c>
      <c r="D2353" s="5">
        <v>0.0</v>
      </c>
      <c r="E2353" s="5">
        <f t="shared" si="2"/>
        <v>1696200</v>
      </c>
      <c r="F2353" s="4" t="s">
        <v>93</v>
      </c>
      <c r="G2353" s="4" t="s">
        <v>93</v>
      </c>
      <c r="H2353" s="4" t="s">
        <v>4645</v>
      </c>
      <c r="I2353" s="4" t="s">
        <v>392</v>
      </c>
    </row>
    <row r="2354" ht="15.75" customHeight="1">
      <c r="A2354" s="8"/>
      <c r="B2354" s="4" t="s">
        <v>388</v>
      </c>
      <c r="C2354" s="5">
        <v>1696200.0</v>
      </c>
      <c r="D2354" s="5">
        <v>0.0</v>
      </c>
      <c r="E2354" s="5">
        <f t="shared" si="2"/>
        <v>0</v>
      </c>
      <c r="F2354" s="4" t="s">
        <v>24</v>
      </c>
      <c r="G2354" s="4" t="s">
        <v>1787</v>
      </c>
      <c r="H2354" s="4" t="s">
        <v>4640</v>
      </c>
      <c r="I2354" s="4" t="s">
        <v>392</v>
      </c>
    </row>
    <row r="2355" ht="15.75" customHeight="1">
      <c r="A2355" s="8">
        <v>46148.0</v>
      </c>
      <c r="B2355" s="4" t="s">
        <v>410</v>
      </c>
      <c r="C2355" s="5">
        <v>0.0</v>
      </c>
      <c r="D2355" s="5">
        <v>2.0177249E7</v>
      </c>
      <c r="E2355" s="5">
        <f t="shared" si="2"/>
        <v>20177249</v>
      </c>
      <c r="F2355" s="4" t="s">
        <v>75</v>
      </c>
      <c r="G2355" s="4" t="s">
        <v>76</v>
      </c>
      <c r="H2355" s="4" t="s">
        <v>404</v>
      </c>
      <c r="I2355" s="4" t="s">
        <v>415</v>
      </c>
    </row>
    <row r="2356" ht="15.75" customHeight="1">
      <c r="A2356" s="8"/>
      <c r="B2356" s="4" t="s">
        <v>410</v>
      </c>
      <c r="C2356" s="5">
        <v>1.7073057E7</v>
      </c>
      <c r="D2356" s="5">
        <v>0.0</v>
      </c>
      <c r="E2356" s="5">
        <f t="shared" si="2"/>
        <v>3104192</v>
      </c>
      <c r="F2356" s="4" t="s">
        <v>93</v>
      </c>
      <c r="G2356" s="4" t="s">
        <v>93</v>
      </c>
      <c r="H2356" s="4" t="s">
        <v>4645</v>
      </c>
      <c r="I2356" s="4" t="s">
        <v>415</v>
      </c>
    </row>
    <row r="2357" ht="15.75" customHeight="1">
      <c r="A2357" s="8"/>
      <c r="B2357" s="4" t="s">
        <v>410</v>
      </c>
      <c r="C2357" s="5">
        <v>3104192.0</v>
      </c>
      <c r="D2357" s="5">
        <v>0.0</v>
      </c>
      <c r="E2357" s="5">
        <f t="shared" si="2"/>
        <v>0</v>
      </c>
      <c r="F2357" s="4" t="s">
        <v>24</v>
      </c>
      <c r="G2357" s="4" t="s">
        <v>1787</v>
      </c>
      <c r="H2357" s="4" t="s">
        <v>4640</v>
      </c>
      <c r="I2357" s="4" t="s">
        <v>415</v>
      </c>
    </row>
    <row r="2358" ht="15.75" customHeight="1">
      <c r="A2358" s="8">
        <v>46141.59136574075</v>
      </c>
      <c r="B2358" s="4" t="s">
        <v>1403</v>
      </c>
      <c r="C2358" s="5">
        <v>0.0</v>
      </c>
      <c r="D2358" s="5">
        <v>8.1351351E7</v>
      </c>
      <c r="E2358" s="5">
        <f t="shared" si="2"/>
        <v>81351351</v>
      </c>
      <c r="F2358" s="4" t="s">
        <v>24</v>
      </c>
      <c r="G2358" s="4" t="s">
        <v>26</v>
      </c>
      <c r="H2358" s="4" t="s">
        <v>1406</v>
      </c>
      <c r="I2358" s="4" t="s">
        <v>1407</v>
      </c>
    </row>
    <row r="2359" ht="15.75" customHeight="1">
      <c r="A2359" s="8"/>
      <c r="B2359" s="4" t="s">
        <v>1403</v>
      </c>
      <c r="C2359" s="5">
        <v>8.027027E7</v>
      </c>
      <c r="D2359" s="5">
        <v>0.0</v>
      </c>
      <c r="E2359" s="5">
        <f t="shared" si="2"/>
        <v>1081081</v>
      </c>
      <c r="F2359" s="4" t="s">
        <v>18</v>
      </c>
      <c r="G2359" s="4" t="s">
        <v>194</v>
      </c>
      <c r="H2359" s="4" t="s">
        <v>3401</v>
      </c>
      <c r="I2359" s="4" t="s">
        <v>1407</v>
      </c>
    </row>
    <row r="2360" ht="15.75" customHeight="1">
      <c r="A2360" s="8"/>
      <c r="B2360" s="4" t="s">
        <v>1403</v>
      </c>
      <c r="C2360" s="5">
        <v>1081081.0</v>
      </c>
      <c r="D2360" s="5">
        <v>0.0</v>
      </c>
      <c r="E2360" s="5">
        <f t="shared" si="2"/>
        <v>0</v>
      </c>
      <c r="F2360" s="4" t="s">
        <v>24</v>
      </c>
      <c r="G2360" s="4" t="s">
        <v>1787</v>
      </c>
      <c r="H2360" s="4" t="s">
        <v>4640</v>
      </c>
      <c r="I2360" s="4" t="s">
        <v>1407</v>
      </c>
    </row>
    <row r="2361" ht="15.75" customHeight="1">
      <c r="A2361" s="8">
        <v>46149.0</v>
      </c>
      <c r="B2361" s="4" t="s">
        <v>440</v>
      </c>
      <c r="C2361" s="5">
        <v>0.0</v>
      </c>
      <c r="D2361" s="5">
        <v>1.3875264E7</v>
      </c>
      <c r="E2361" s="5">
        <f t="shared" si="2"/>
        <v>13875264</v>
      </c>
      <c r="F2361" s="4" t="s">
        <v>75</v>
      </c>
      <c r="G2361" s="4" t="s">
        <v>76</v>
      </c>
      <c r="H2361" s="4" t="s">
        <v>443</v>
      </c>
      <c r="I2361" s="4" t="s">
        <v>444</v>
      </c>
    </row>
    <row r="2362" ht="15.75" customHeight="1">
      <c r="A2362" s="8"/>
      <c r="B2362" s="4" t="s">
        <v>440</v>
      </c>
      <c r="C2362" s="5">
        <v>1.1740608E7</v>
      </c>
      <c r="D2362" s="5">
        <v>0.0</v>
      </c>
      <c r="E2362" s="5">
        <f t="shared" si="2"/>
        <v>2134656</v>
      </c>
      <c r="F2362" s="4" t="s">
        <v>93</v>
      </c>
      <c r="G2362" s="4" t="s">
        <v>93</v>
      </c>
      <c r="H2362" s="4" t="s">
        <v>4645</v>
      </c>
      <c r="I2362" s="4" t="s">
        <v>444</v>
      </c>
    </row>
    <row r="2363" ht="15.75" customHeight="1">
      <c r="A2363" s="8"/>
      <c r="B2363" s="4" t="s">
        <v>440</v>
      </c>
      <c r="C2363" s="5">
        <v>2134656.0</v>
      </c>
      <c r="D2363" s="5">
        <v>0.0</v>
      </c>
      <c r="E2363" s="5">
        <f t="shared" si="2"/>
        <v>0</v>
      </c>
      <c r="F2363" s="4" t="s">
        <v>24</v>
      </c>
      <c r="G2363" s="4" t="s">
        <v>1787</v>
      </c>
      <c r="H2363" s="4" t="s">
        <v>4640</v>
      </c>
      <c r="I2363" s="4" t="s">
        <v>444</v>
      </c>
    </row>
    <row r="2364" ht="15.75" customHeight="1">
      <c r="A2364" s="8">
        <v>46161.0</v>
      </c>
      <c r="B2364" s="4" t="s">
        <v>1243</v>
      </c>
      <c r="C2364" s="5">
        <v>0.0</v>
      </c>
      <c r="D2364" s="5">
        <v>9.9549549E7</v>
      </c>
      <c r="E2364" s="5">
        <f t="shared" si="2"/>
        <v>99549549</v>
      </c>
      <c r="F2364" s="4" t="s">
        <v>75</v>
      </c>
      <c r="G2364" s="4" t="s">
        <v>76</v>
      </c>
      <c r="H2364" s="14" t="s">
        <v>931</v>
      </c>
      <c r="I2364" s="4" t="s">
        <v>1246</v>
      </c>
    </row>
    <row r="2365" ht="15.75" customHeight="1">
      <c r="A2365" s="8"/>
      <c r="B2365" s="4" t="s">
        <v>1243</v>
      </c>
      <c r="C2365" s="5">
        <v>8.4234234E7</v>
      </c>
      <c r="D2365" s="5">
        <v>0.0</v>
      </c>
      <c r="E2365" s="5">
        <f t="shared" si="2"/>
        <v>15315315</v>
      </c>
      <c r="F2365" s="4" t="s">
        <v>93</v>
      </c>
      <c r="G2365" s="4" t="s">
        <v>93</v>
      </c>
      <c r="H2365" s="4" t="s">
        <v>4645</v>
      </c>
      <c r="I2365" s="4" t="s">
        <v>1246</v>
      </c>
    </row>
    <row r="2366" ht="15.75" customHeight="1">
      <c r="A2366" s="8"/>
      <c r="B2366" s="4" t="s">
        <v>1243</v>
      </c>
      <c r="C2366" s="5">
        <v>1.5315315E7</v>
      </c>
      <c r="D2366" s="5">
        <v>0.0</v>
      </c>
      <c r="E2366" s="5">
        <f t="shared" si="2"/>
        <v>0</v>
      </c>
      <c r="F2366" s="4" t="s">
        <v>24</v>
      </c>
      <c r="G2366" s="4" t="s">
        <v>1787</v>
      </c>
      <c r="H2366" s="4" t="s">
        <v>4640</v>
      </c>
      <c r="I2366" s="4" t="s">
        <v>1246</v>
      </c>
    </row>
    <row r="2367" ht="15.75" customHeight="1">
      <c r="A2367" s="8">
        <v>46164.0</v>
      </c>
      <c r="B2367" s="4" t="s">
        <v>1672</v>
      </c>
      <c r="C2367" s="5">
        <v>0.0</v>
      </c>
      <c r="D2367" s="5">
        <v>6421037.0</v>
      </c>
      <c r="E2367" s="5">
        <f t="shared" si="2"/>
        <v>6421037</v>
      </c>
      <c r="F2367" s="4" t="s">
        <v>75</v>
      </c>
      <c r="G2367" s="4" t="s">
        <v>76</v>
      </c>
      <c r="H2367" s="4" t="s">
        <v>1673</v>
      </c>
      <c r="I2367" s="4" t="s">
        <v>1674</v>
      </c>
    </row>
    <row r="2368" ht="15.75" customHeight="1">
      <c r="A2368" s="8"/>
      <c r="B2368" s="4" t="s">
        <v>1672</v>
      </c>
      <c r="C2368" s="5">
        <v>5433185.0</v>
      </c>
      <c r="D2368" s="5">
        <v>0.0</v>
      </c>
      <c r="E2368" s="5">
        <f t="shared" si="2"/>
        <v>987852</v>
      </c>
      <c r="F2368" s="4" t="s">
        <v>93</v>
      </c>
      <c r="G2368" s="4" t="s">
        <v>93</v>
      </c>
      <c r="H2368" s="4" t="s">
        <v>4645</v>
      </c>
      <c r="I2368" s="4" t="s">
        <v>1674</v>
      </c>
    </row>
    <row r="2369" ht="15.75" customHeight="1">
      <c r="A2369" s="8"/>
      <c r="B2369" s="4" t="s">
        <v>1672</v>
      </c>
      <c r="C2369" s="5">
        <v>987852.0</v>
      </c>
      <c r="D2369" s="5">
        <v>0.0</v>
      </c>
      <c r="E2369" s="5">
        <f t="shared" si="2"/>
        <v>0</v>
      </c>
      <c r="F2369" s="4" t="s">
        <v>24</v>
      </c>
      <c r="G2369" s="4" t="s">
        <v>1787</v>
      </c>
      <c r="H2369" s="4" t="s">
        <v>4640</v>
      </c>
      <c r="I2369" s="15" t="s">
        <v>1674</v>
      </c>
    </row>
    <row r="2370" ht="15.75" customHeight="1">
      <c r="A2370" s="8">
        <v>46177.0</v>
      </c>
      <c r="B2370" s="4" t="s">
        <v>1256</v>
      </c>
      <c r="C2370" s="5">
        <v>0.0</v>
      </c>
      <c r="D2370" s="5">
        <v>6.4414415E7</v>
      </c>
      <c r="E2370" s="5">
        <f t="shared" si="2"/>
        <v>64414415</v>
      </c>
      <c r="F2370" s="4" t="s">
        <v>75</v>
      </c>
      <c r="G2370" s="4" t="s">
        <v>76</v>
      </c>
      <c r="H2370" s="4" t="s">
        <v>476</v>
      </c>
      <c r="I2370" s="4" t="s">
        <v>1258</v>
      </c>
    </row>
    <row r="2371" ht="15.75" customHeight="1">
      <c r="A2371" s="8"/>
      <c r="B2371" s="4" t="s">
        <v>1256</v>
      </c>
      <c r="C2371" s="5">
        <v>5.4504505E7</v>
      </c>
      <c r="D2371" s="5">
        <v>0.0</v>
      </c>
      <c r="E2371" s="5">
        <f t="shared" si="2"/>
        <v>9909910</v>
      </c>
      <c r="F2371" s="4" t="s">
        <v>93</v>
      </c>
      <c r="G2371" s="4" t="s">
        <v>93</v>
      </c>
      <c r="H2371" s="4" t="s">
        <v>4645</v>
      </c>
      <c r="I2371" s="4" t="s">
        <v>1258</v>
      </c>
    </row>
    <row r="2372" ht="15.75" customHeight="1">
      <c r="A2372" s="8"/>
      <c r="B2372" s="4" t="s">
        <v>1256</v>
      </c>
      <c r="C2372" s="5">
        <v>9909910.0</v>
      </c>
      <c r="D2372" s="5">
        <v>0.0</v>
      </c>
      <c r="E2372" s="5">
        <f t="shared" si="2"/>
        <v>0</v>
      </c>
      <c r="F2372" s="4" t="s">
        <v>24</v>
      </c>
      <c r="G2372" s="4" t="s">
        <v>1787</v>
      </c>
      <c r="H2372" s="4" t="s">
        <v>4640</v>
      </c>
      <c r="I2372" s="4" t="s">
        <v>1258</v>
      </c>
    </row>
    <row r="2373" ht="15.75" customHeight="1">
      <c r="A2373" s="8">
        <v>46185.0</v>
      </c>
      <c r="B2373" s="4" t="s">
        <v>14</v>
      </c>
      <c r="C2373" s="5">
        <v>0.0</v>
      </c>
      <c r="D2373" s="5">
        <v>2466859.0</v>
      </c>
      <c r="E2373" s="5">
        <f t="shared" si="2"/>
        <v>2466859</v>
      </c>
      <c r="F2373" s="4" t="s">
        <v>75</v>
      </c>
      <c r="G2373" s="4" t="s">
        <v>76</v>
      </c>
      <c r="H2373" s="4" t="s">
        <v>1760</v>
      </c>
      <c r="I2373" s="4" t="s">
        <v>1762</v>
      </c>
    </row>
    <row r="2374" ht="15.75" customHeight="1">
      <c r="A2374" s="8"/>
      <c r="B2374" s="4" t="s">
        <v>14</v>
      </c>
      <c r="C2374" s="5">
        <v>2087342.0</v>
      </c>
      <c r="D2374" s="5">
        <v>0.0</v>
      </c>
      <c r="E2374" s="5">
        <f t="shared" si="2"/>
        <v>379517</v>
      </c>
      <c r="F2374" s="4" t="s">
        <v>93</v>
      </c>
      <c r="G2374" s="4" t="s">
        <v>93</v>
      </c>
      <c r="H2374" s="4" t="s">
        <v>4645</v>
      </c>
      <c r="I2374" s="4" t="s">
        <v>1762</v>
      </c>
    </row>
    <row r="2375" ht="15.75" customHeight="1">
      <c r="A2375" s="8"/>
      <c r="B2375" s="4" t="s">
        <v>14</v>
      </c>
      <c r="C2375" s="5">
        <v>379517.0</v>
      </c>
      <c r="D2375" s="5">
        <v>0.0</v>
      </c>
      <c r="E2375" s="5">
        <f t="shared" si="2"/>
        <v>0</v>
      </c>
      <c r="F2375" s="4" t="s">
        <v>24</v>
      </c>
      <c r="G2375" s="4" t="s">
        <v>1787</v>
      </c>
      <c r="H2375" s="4" t="s">
        <v>4640</v>
      </c>
      <c r="I2375" s="4" t="s">
        <v>1762</v>
      </c>
    </row>
    <row r="2376" ht="15.75" customHeight="1">
      <c r="A2376" s="8">
        <v>46188.0</v>
      </c>
      <c r="B2376" s="4" t="s">
        <v>473</v>
      </c>
      <c r="C2376" s="5">
        <v>0.0</v>
      </c>
      <c r="D2376" s="5">
        <v>8.1981982E7</v>
      </c>
      <c r="E2376" s="5">
        <f t="shared" si="2"/>
        <v>81981982</v>
      </c>
      <c r="F2376" s="4" t="s">
        <v>75</v>
      </c>
      <c r="G2376" s="4" t="s">
        <v>76</v>
      </c>
      <c r="H2376" s="4" t="s">
        <v>476</v>
      </c>
      <c r="I2376" s="4" t="s">
        <v>477</v>
      </c>
    </row>
    <row r="2377" ht="15.75" customHeight="1">
      <c r="A2377" s="8"/>
      <c r="B2377" s="4" t="s">
        <v>473</v>
      </c>
      <c r="C2377" s="5">
        <v>6.9369369E7</v>
      </c>
      <c r="D2377" s="5">
        <v>0.0</v>
      </c>
      <c r="E2377" s="5">
        <f t="shared" si="2"/>
        <v>12612613</v>
      </c>
      <c r="F2377" s="4" t="s">
        <v>93</v>
      </c>
      <c r="G2377" s="4" t="s">
        <v>93</v>
      </c>
      <c r="H2377" s="4" t="s">
        <v>4645</v>
      </c>
      <c r="I2377" s="4" t="s">
        <v>477</v>
      </c>
    </row>
    <row r="2378" ht="15.75" customHeight="1">
      <c r="A2378" s="8"/>
      <c r="B2378" s="4" t="s">
        <v>473</v>
      </c>
      <c r="C2378" s="5">
        <v>1.2612613E7</v>
      </c>
      <c r="D2378" s="5">
        <v>0.0</v>
      </c>
      <c r="E2378" s="5">
        <f t="shared" si="2"/>
        <v>0</v>
      </c>
      <c r="F2378" s="4" t="s">
        <v>24</v>
      </c>
      <c r="G2378" s="4" t="s">
        <v>1787</v>
      </c>
      <c r="H2378" s="4" t="s">
        <v>4640</v>
      </c>
      <c r="I2378" s="4" t="s">
        <v>477</v>
      </c>
    </row>
    <row r="2379" ht="15.75" customHeight="1">
      <c r="A2379" s="8">
        <v>46190.0</v>
      </c>
      <c r="B2379" s="4" t="s">
        <v>1809</v>
      </c>
      <c r="C2379" s="5">
        <v>0.0</v>
      </c>
      <c r="D2379" s="5">
        <v>9.585212E7</v>
      </c>
      <c r="E2379" s="5">
        <f t="shared" si="2"/>
        <v>95852120</v>
      </c>
      <c r="F2379" s="4" t="s">
        <v>75</v>
      </c>
      <c r="G2379" s="4" t="s">
        <v>76</v>
      </c>
      <c r="H2379" s="4" t="s">
        <v>319</v>
      </c>
      <c r="I2379" s="4" t="s">
        <v>1811</v>
      </c>
    </row>
    <row r="2380" ht="15.75" customHeight="1">
      <c r="A2380" s="8"/>
      <c r="B2380" s="4" t="s">
        <v>1809</v>
      </c>
      <c r="C2380" s="5">
        <v>8.1105641E7</v>
      </c>
      <c r="D2380" s="5">
        <v>0.0</v>
      </c>
      <c r="E2380" s="5">
        <f t="shared" si="2"/>
        <v>14746479</v>
      </c>
      <c r="F2380" s="4" t="s">
        <v>93</v>
      </c>
      <c r="G2380" s="4" t="s">
        <v>93</v>
      </c>
      <c r="H2380" s="4" t="s">
        <v>4645</v>
      </c>
      <c r="I2380" s="4" t="s">
        <v>1811</v>
      </c>
    </row>
    <row r="2381" ht="15.75" customHeight="1">
      <c r="A2381" s="8"/>
      <c r="B2381" s="4" t="s">
        <v>1809</v>
      </c>
      <c r="C2381" s="5">
        <v>1.4746479E7</v>
      </c>
      <c r="D2381" s="5">
        <v>0.0</v>
      </c>
      <c r="E2381" s="5">
        <f t="shared" si="2"/>
        <v>0</v>
      </c>
      <c r="F2381" s="4" t="s">
        <v>24</v>
      </c>
      <c r="G2381" s="4" t="s">
        <v>1787</v>
      </c>
      <c r="H2381" s="4" t="s">
        <v>4640</v>
      </c>
      <c r="I2381" s="4" t="s">
        <v>1811</v>
      </c>
    </row>
    <row r="2382" ht="15.75" customHeight="1">
      <c r="A2382" s="8">
        <v>46192.0</v>
      </c>
      <c r="B2382" s="4" t="s">
        <v>807</v>
      </c>
      <c r="C2382" s="5">
        <v>0.0</v>
      </c>
      <c r="D2382" s="5">
        <v>4541875.0</v>
      </c>
      <c r="E2382" s="5">
        <f t="shared" si="2"/>
        <v>4541875</v>
      </c>
      <c r="F2382" s="4" t="s">
        <v>75</v>
      </c>
      <c r="G2382" s="4" t="s">
        <v>76</v>
      </c>
      <c r="H2382" s="4" t="s">
        <v>1876</v>
      </c>
      <c r="I2382" s="4" t="s">
        <v>1877</v>
      </c>
    </row>
    <row r="2383" ht="15.75" customHeight="1">
      <c r="A2383" s="8"/>
      <c r="B2383" s="4" t="s">
        <v>807</v>
      </c>
      <c r="C2383" s="5">
        <v>3843125.0</v>
      </c>
      <c r="D2383" s="5">
        <v>0.0</v>
      </c>
      <c r="E2383" s="5">
        <f t="shared" si="2"/>
        <v>698750</v>
      </c>
      <c r="F2383" s="4" t="s">
        <v>93</v>
      </c>
      <c r="G2383" s="4" t="s">
        <v>93</v>
      </c>
      <c r="H2383" s="4" t="s">
        <v>4645</v>
      </c>
      <c r="I2383" s="4" t="s">
        <v>1877</v>
      </c>
    </row>
    <row r="2384" ht="15.75" customHeight="1">
      <c r="A2384" s="8"/>
      <c r="B2384" s="4" t="s">
        <v>807</v>
      </c>
      <c r="C2384" s="5">
        <v>698750.0</v>
      </c>
      <c r="D2384" s="5">
        <v>0.0</v>
      </c>
      <c r="E2384" s="5">
        <f t="shared" si="2"/>
        <v>0</v>
      </c>
      <c r="F2384" s="4" t="s">
        <v>24</v>
      </c>
      <c r="G2384" s="4" t="s">
        <v>1787</v>
      </c>
      <c r="H2384" s="4" t="s">
        <v>4640</v>
      </c>
      <c r="I2384" s="4" t="s">
        <v>1877</v>
      </c>
    </row>
    <row r="2385" ht="15.75" customHeight="1">
      <c r="A2385" s="8">
        <v>46195.0</v>
      </c>
      <c r="B2385" s="4" t="s">
        <v>1885</v>
      </c>
      <c r="C2385" s="5">
        <v>0.0</v>
      </c>
      <c r="D2385" s="5">
        <v>4183015.0</v>
      </c>
      <c r="E2385" s="5">
        <f t="shared" si="2"/>
        <v>4183015</v>
      </c>
      <c r="F2385" s="4" t="s">
        <v>75</v>
      </c>
      <c r="G2385" s="4" t="s">
        <v>76</v>
      </c>
      <c r="H2385" s="4" t="s">
        <v>1886</v>
      </c>
      <c r="I2385" s="4" t="s">
        <v>1887</v>
      </c>
    </row>
    <row r="2386" ht="15.75" customHeight="1">
      <c r="A2386" s="8"/>
      <c r="B2386" s="4" t="s">
        <v>1885</v>
      </c>
      <c r="C2386" s="5">
        <v>3539474.0</v>
      </c>
      <c r="D2386" s="5">
        <v>0.0</v>
      </c>
      <c r="E2386" s="5">
        <f t="shared" si="2"/>
        <v>643541</v>
      </c>
      <c r="F2386" s="4" t="s">
        <v>93</v>
      </c>
      <c r="G2386" s="4" t="s">
        <v>93</v>
      </c>
      <c r="H2386" s="4" t="s">
        <v>4645</v>
      </c>
      <c r="I2386" s="4" t="s">
        <v>1887</v>
      </c>
    </row>
    <row r="2387" ht="15.75" customHeight="1">
      <c r="A2387" s="8"/>
      <c r="B2387" s="4" t="s">
        <v>1885</v>
      </c>
      <c r="C2387" s="5">
        <v>643541.0</v>
      </c>
      <c r="D2387" s="5">
        <v>0.0</v>
      </c>
      <c r="E2387" s="5">
        <f t="shared" si="2"/>
        <v>0</v>
      </c>
      <c r="F2387" s="4" t="s">
        <v>24</v>
      </c>
      <c r="G2387" s="4" t="s">
        <v>1787</v>
      </c>
      <c r="H2387" s="4" t="s">
        <v>4640</v>
      </c>
      <c r="I2387" s="4" t="s">
        <v>1887</v>
      </c>
    </row>
    <row r="2388" ht="15.75" customHeight="1">
      <c r="A2388" s="8">
        <v>46195.0</v>
      </c>
      <c r="B2388" s="4" t="s">
        <v>1885</v>
      </c>
      <c r="C2388" s="5">
        <v>0.0</v>
      </c>
      <c r="D2388" s="5">
        <v>6194485.0</v>
      </c>
      <c r="E2388" s="5">
        <f t="shared" si="2"/>
        <v>6194485</v>
      </c>
      <c r="F2388" s="4" t="s">
        <v>75</v>
      </c>
      <c r="G2388" s="4" t="s">
        <v>76</v>
      </c>
      <c r="H2388" s="4" t="s">
        <v>1888</v>
      </c>
      <c r="I2388" s="4" t="s">
        <v>1889</v>
      </c>
    </row>
    <row r="2389" ht="15.75" customHeight="1">
      <c r="A2389" s="8"/>
      <c r="B2389" s="4" t="s">
        <v>1885</v>
      </c>
      <c r="C2389" s="5">
        <v>5241487.0</v>
      </c>
      <c r="D2389" s="5">
        <v>0.0</v>
      </c>
      <c r="E2389" s="5">
        <f t="shared" si="2"/>
        <v>952998</v>
      </c>
      <c r="F2389" s="4" t="s">
        <v>93</v>
      </c>
      <c r="G2389" s="4" t="s">
        <v>93</v>
      </c>
      <c r="H2389" s="4" t="s">
        <v>4645</v>
      </c>
      <c r="I2389" s="4" t="s">
        <v>1889</v>
      </c>
    </row>
    <row r="2390" ht="15.75" customHeight="1">
      <c r="A2390" s="8"/>
      <c r="B2390" s="4" t="s">
        <v>1885</v>
      </c>
      <c r="C2390" s="5">
        <v>952998.0</v>
      </c>
      <c r="D2390" s="5">
        <v>0.0</v>
      </c>
      <c r="E2390" s="5">
        <f t="shared" si="2"/>
        <v>0</v>
      </c>
      <c r="F2390" s="4" t="s">
        <v>24</v>
      </c>
      <c r="G2390" s="4" t="s">
        <v>1787</v>
      </c>
      <c r="H2390" s="4" t="s">
        <v>4640</v>
      </c>
      <c r="I2390" s="15" t="s">
        <v>1889</v>
      </c>
    </row>
    <row r="2391" ht="15.75" customHeight="1">
      <c r="A2391" s="8">
        <v>46195.0</v>
      </c>
      <c r="B2391" s="4" t="s">
        <v>1885</v>
      </c>
      <c r="C2391" s="5">
        <v>0.0</v>
      </c>
      <c r="D2391" s="5">
        <v>8320221.0</v>
      </c>
      <c r="E2391" s="5">
        <f t="shared" si="2"/>
        <v>8320221</v>
      </c>
      <c r="F2391" s="4" t="s">
        <v>75</v>
      </c>
      <c r="G2391" s="4" t="s">
        <v>76</v>
      </c>
      <c r="H2391" s="4" t="s">
        <v>1890</v>
      </c>
      <c r="I2391" s="4" t="s">
        <v>1891</v>
      </c>
    </row>
    <row r="2392" ht="15.75" customHeight="1">
      <c r="A2392" s="8"/>
      <c r="B2392" s="4" t="s">
        <v>1885</v>
      </c>
      <c r="C2392" s="5">
        <v>7040187.0</v>
      </c>
      <c r="D2392" s="5">
        <v>0.0</v>
      </c>
      <c r="E2392" s="5">
        <f t="shared" si="2"/>
        <v>1280034</v>
      </c>
      <c r="F2392" s="4" t="s">
        <v>93</v>
      </c>
      <c r="G2392" s="4" t="s">
        <v>93</v>
      </c>
      <c r="H2392" s="4" t="s">
        <v>4645</v>
      </c>
      <c r="I2392" s="4" t="s">
        <v>1891</v>
      </c>
    </row>
    <row r="2393" ht="15.75" customHeight="1">
      <c r="A2393" s="8"/>
      <c r="B2393" s="4" t="s">
        <v>1885</v>
      </c>
      <c r="C2393" s="5">
        <v>1280034.0</v>
      </c>
      <c r="D2393" s="5">
        <v>0.0</v>
      </c>
      <c r="E2393" s="5">
        <f t="shared" si="2"/>
        <v>0</v>
      </c>
      <c r="F2393" s="4" t="s">
        <v>24</v>
      </c>
      <c r="G2393" s="4" t="s">
        <v>1787</v>
      </c>
      <c r="H2393" s="4" t="s">
        <v>4640</v>
      </c>
      <c r="I2393" s="4" t="s">
        <v>1891</v>
      </c>
    </row>
    <row r="2394" ht="15.75" customHeight="1">
      <c r="A2394" s="8">
        <v>46195.0</v>
      </c>
      <c r="B2394" s="4" t="s">
        <v>1885</v>
      </c>
      <c r="C2394" s="5">
        <v>0.0</v>
      </c>
      <c r="D2394" s="5">
        <v>1.987593E7</v>
      </c>
      <c r="E2394" s="5">
        <f t="shared" si="2"/>
        <v>19875930</v>
      </c>
      <c r="F2394" s="4" t="s">
        <v>75</v>
      </c>
      <c r="G2394" s="4" t="s">
        <v>76</v>
      </c>
      <c r="H2394" s="4" t="s">
        <v>1894</v>
      </c>
      <c r="I2394" s="4" t="s">
        <v>1895</v>
      </c>
    </row>
    <row r="2395" ht="15.75" customHeight="1">
      <c r="A2395" s="8"/>
      <c r="B2395" s="4" t="s">
        <v>1885</v>
      </c>
      <c r="C2395" s="5">
        <v>1.6818095E7</v>
      </c>
      <c r="D2395" s="5">
        <v>0.0</v>
      </c>
      <c r="E2395" s="5">
        <f t="shared" si="2"/>
        <v>3057835</v>
      </c>
      <c r="F2395" s="4" t="s">
        <v>93</v>
      </c>
      <c r="G2395" s="4" t="s">
        <v>93</v>
      </c>
      <c r="H2395" s="4" t="s">
        <v>4645</v>
      </c>
      <c r="I2395" s="4" t="s">
        <v>1895</v>
      </c>
    </row>
    <row r="2396" ht="15.75" customHeight="1">
      <c r="A2396" s="8"/>
      <c r="B2396" s="4" t="s">
        <v>1885</v>
      </c>
      <c r="C2396" s="5">
        <v>3057835.0</v>
      </c>
      <c r="D2396" s="5">
        <v>0.0</v>
      </c>
      <c r="E2396" s="5">
        <f t="shared" si="2"/>
        <v>0</v>
      </c>
      <c r="F2396" s="4" t="s">
        <v>24</v>
      </c>
      <c r="G2396" s="4" t="s">
        <v>1787</v>
      </c>
      <c r="H2396" s="4" t="s">
        <v>4640</v>
      </c>
      <c r="I2396" s="4" t="s">
        <v>1895</v>
      </c>
    </row>
    <row r="2397" ht="15.75" customHeight="1">
      <c r="A2397" s="8">
        <v>46195.0</v>
      </c>
      <c r="B2397" s="4" t="s">
        <v>1896</v>
      </c>
      <c r="C2397" s="5">
        <v>0.0</v>
      </c>
      <c r="D2397" s="5">
        <v>1.7732302E7</v>
      </c>
      <c r="E2397" s="5">
        <f t="shared" si="2"/>
        <v>17732302</v>
      </c>
      <c r="F2397" s="4" t="s">
        <v>75</v>
      </c>
      <c r="G2397" s="4" t="s">
        <v>76</v>
      </c>
      <c r="H2397" s="15" t="s">
        <v>3102</v>
      </c>
      <c r="I2397" s="4" t="s">
        <v>1898</v>
      </c>
    </row>
    <row r="2398" ht="15.75" customHeight="1">
      <c r="A2398" s="8"/>
      <c r="B2398" s="4" t="s">
        <v>1896</v>
      </c>
      <c r="C2398" s="5">
        <v>1.5004256E7</v>
      </c>
      <c r="D2398" s="5">
        <v>0.0</v>
      </c>
      <c r="E2398" s="5">
        <f t="shared" si="2"/>
        <v>2728046</v>
      </c>
      <c r="F2398" s="4" t="s">
        <v>93</v>
      </c>
      <c r="G2398" s="4" t="s">
        <v>93</v>
      </c>
      <c r="H2398" s="4" t="s">
        <v>4645</v>
      </c>
      <c r="I2398" s="4" t="s">
        <v>1898</v>
      </c>
    </row>
    <row r="2399" ht="15.75" customHeight="1">
      <c r="A2399" s="8"/>
      <c r="B2399" s="4" t="s">
        <v>1896</v>
      </c>
      <c r="C2399" s="5">
        <v>2728046.0</v>
      </c>
      <c r="D2399" s="5">
        <v>0.0</v>
      </c>
      <c r="E2399" s="5">
        <f t="shared" si="2"/>
        <v>0</v>
      </c>
      <c r="F2399" s="4" t="s">
        <v>24</v>
      </c>
      <c r="G2399" s="4" t="s">
        <v>1787</v>
      </c>
      <c r="H2399" s="4" t="s">
        <v>4640</v>
      </c>
      <c r="I2399" s="4" t="s">
        <v>1898</v>
      </c>
    </row>
    <row r="2400" ht="15.75" customHeight="1">
      <c r="A2400" s="8">
        <v>46198.0</v>
      </c>
      <c r="B2400" s="4" t="s">
        <v>1265</v>
      </c>
      <c r="C2400" s="5">
        <v>0.0</v>
      </c>
      <c r="D2400" s="5">
        <v>8.1981982E7</v>
      </c>
      <c r="E2400" s="5">
        <f t="shared" si="2"/>
        <v>81981982</v>
      </c>
      <c r="F2400" s="4" t="s">
        <v>75</v>
      </c>
      <c r="G2400" s="4" t="s">
        <v>76</v>
      </c>
      <c r="H2400" s="14" t="s">
        <v>694</v>
      </c>
      <c r="I2400" s="16" t="s">
        <v>1267</v>
      </c>
    </row>
    <row r="2401" ht="15.75" customHeight="1">
      <c r="A2401" s="8"/>
      <c r="B2401" s="4" t="s">
        <v>1265</v>
      </c>
      <c r="C2401" s="5">
        <v>6.9369369E7</v>
      </c>
      <c r="D2401" s="5">
        <v>0.0</v>
      </c>
      <c r="E2401" s="5">
        <f t="shared" si="2"/>
        <v>12612613</v>
      </c>
      <c r="F2401" s="4" t="s">
        <v>93</v>
      </c>
      <c r="G2401" s="4" t="s">
        <v>93</v>
      </c>
      <c r="H2401" s="4" t="s">
        <v>4645</v>
      </c>
      <c r="I2401" s="16" t="s">
        <v>1267</v>
      </c>
    </row>
    <row r="2402" ht="15.75" customHeight="1">
      <c r="A2402" s="8"/>
      <c r="B2402" s="4" t="s">
        <v>1265</v>
      </c>
      <c r="C2402" s="5">
        <v>1.2612613E7</v>
      </c>
      <c r="D2402" s="5">
        <v>0.0</v>
      </c>
      <c r="E2402" s="5">
        <f t="shared" si="2"/>
        <v>0</v>
      </c>
      <c r="F2402" s="4" t="s">
        <v>24</v>
      </c>
      <c r="G2402" s="4" t="s">
        <v>1787</v>
      </c>
      <c r="H2402" s="4" t="s">
        <v>4640</v>
      </c>
      <c r="I2402" s="16" t="s">
        <v>1267</v>
      </c>
    </row>
    <row r="2403" ht="15.75" customHeight="1">
      <c r="A2403" s="8">
        <v>46202.0</v>
      </c>
      <c r="B2403" s="4" t="s">
        <v>1920</v>
      </c>
      <c r="C2403" s="5">
        <v>0.0</v>
      </c>
      <c r="D2403" s="5">
        <v>3642900.0</v>
      </c>
      <c r="E2403" s="5">
        <f t="shared" si="2"/>
        <v>3642900</v>
      </c>
      <c r="F2403" s="4" t="s">
        <v>75</v>
      </c>
      <c r="G2403" s="4" t="s">
        <v>76</v>
      </c>
      <c r="H2403" s="4" t="s">
        <v>1348</v>
      </c>
      <c r="I2403" s="4" t="s">
        <v>1921</v>
      </c>
    </row>
    <row r="2404" ht="15.75" customHeight="1">
      <c r="A2404" s="8"/>
      <c r="B2404" s="4" t="s">
        <v>1920</v>
      </c>
      <c r="C2404" s="5">
        <v>3080000.0</v>
      </c>
      <c r="D2404" s="5">
        <v>0.0</v>
      </c>
      <c r="E2404" s="5">
        <f t="shared" si="2"/>
        <v>562900</v>
      </c>
      <c r="F2404" s="4" t="s">
        <v>93</v>
      </c>
      <c r="G2404" s="4" t="s">
        <v>93</v>
      </c>
      <c r="H2404" s="4" t="s">
        <v>4645</v>
      </c>
      <c r="I2404" s="4" t="s">
        <v>1921</v>
      </c>
    </row>
    <row r="2405" ht="15.75" customHeight="1">
      <c r="A2405" s="8"/>
      <c r="B2405" s="4" t="s">
        <v>1920</v>
      </c>
      <c r="C2405" s="5">
        <v>560000.0</v>
      </c>
      <c r="D2405" s="5">
        <v>0.0</v>
      </c>
      <c r="E2405" s="5">
        <f t="shared" si="2"/>
        <v>2900</v>
      </c>
      <c r="F2405" s="4" t="s">
        <v>24</v>
      </c>
      <c r="G2405" s="4" t="s">
        <v>1787</v>
      </c>
      <c r="H2405" s="4" t="s">
        <v>4640</v>
      </c>
      <c r="I2405" s="4" t="s">
        <v>1921</v>
      </c>
    </row>
    <row r="2406" ht="15.75" customHeight="1">
      <c r="A2406" s="8"/>
      <c r="B2406" s="4" t="s">
        <v>1920</v>
      </c>
      <c r="C2406" s="5">
        <v>2900.0</v>
      </c>
      <c r="D2406" s="5">
        <v>0.0</v>
      </c>
      <c r="E2406" s="5">
        <f t="shared" si="2"/>
        <v>0</v>
      </c>
      <c r="F2406" s="4" t="s">
        <v>43</v>
      </c>
      <c r="G2406" s="4" t="s">
        <v>45</v>
      </c>
      <c r="H2406" s="4" t="s">
        <v>6</v>
      </c>
    </row>
    <row r="2407" ht="15.75" customHeight="1">
      <c r="A2407" s="8">
        <v>46203.0</v>
      </c>
      <c r="B2407" s="4" t="s">
        <v>524</v>
      </c>
      <c r="C2407" s="5">
        <v>0.0</v>
      </c>
      <c r="D2407" s="5">
        <v>1.05405405E8</v>
      </c>
      <c r="E2407" s="5">
        <f t="shared" si="2"/>
        <v>105405405</v>
      </c>
      <c r="F2407" s="4" t="s">
        <v>75</v>
      </c>
      <c r="G2407" s="4" t="s">
        <v>76</v>
      </c>
      <c r="H2407" s="14" t="s">
        <v>931</v>
      </c>
      <c r="I2407" s="4" t="s">
        <v>528</v>
      </c>
    </row>
    <row r="2408" ht="15.75" customHeight="1">
      <c r="A2408" s="8"/>
      <c r="B2408" s="4" t="s">
        <v>524</v>
      </c>
      <c r="C2408" s="5">
        <v>8.9189189E7</v>
      </c>
      <c r="D2408" s="5">
        <v>0.0</v>
      </c>
      <c r="E2408" s="5">
        <f t="shared" si="2"/>
        <v>16216216</v>
      </c>
      <c r="F2408" s="4" t="s">
        <v>93</v>
      </c>
      <c r="G2408" s="4" t="s">
        <v>93</v>
      </c>
      <c r="H2408" s="4" t="s">
        <v>4645</v>
      </c>
      <c r="I2408" s="4" t="s">
        <v>528</v>
      </c>
    </row>
    <row r="2409" ht="15.75" customHeight="1">
      <c r="A2409" s="8"/>
      <c r="B2409" s="4" t="s">
        <v>524</v>
      </c>
      <c r="C2409" s="5">
        <v>1.6216216E7</v>
      </c>
      <c r="D2409" s="5">
        <v>0.0</v>
      </c>
      <c r="E2409" s="5">
        <f t="shared" si="2"/>
        <v>0</v>
      </c>
      <c r="F2409" s="4" t="s">
        <v>24</v>
      </c>
      <c r="G2409" s="4" t="s">
        <v>1787</v>
      </c>
      <c r="H2409" s="4" t="s">
        <v>4640</v>
      </c>
      <c r="I2409" s="4" t="s">
        <v>528</v>
      </c>
    </row>
    <row r="2410" ht="15.75" customHeight="1">
      <c r="A2410" s="8">
        <v>46205.0</v>
      </c>
      <c r="B2410" s="4" t="s">
        <v>1945</v>
      </c>
      <c r="C2410" s="5">
        <v>0.0</v>
      </c>
      <c r="D2410" s="5">
        <v>7.76595301E8</v>
      </c>
      <c r="E2410" s="5">
        <f t="shared" si="2"/>
        <v>776595301</v>
      </c>
      <c r="F2410" s="4" t="s">
        <v>75</v>
      </c>
      <c r="G2410" s="4" t="s">
        <v>76</v>
      </c>
      <c r="H2410" s="4" t="s">
        <v>408</v>
      </c>
      <c r="I2410" s="4" t="s">
        <v>1946</v>
      </c>
    </row>
    <row r="2411" ht="15.75" customHeight="1">
      <c r="A2411" s="8"/>
      <c r="B2411" s="4" t="s">
        <v>1945</v>
      </c>
      <c r="C2411" s="5">
        <v>6.32781356E8</v>
      </c>
      <c r="D2411" s="5">
        <v>0.0</v>
      </c>
      <c r="E2411" s="5">
        <f t="shared" si="2"/>
        <v>143813945</v>
      </c>
      <c r="F2411" s="4" t="s">
        <v>93</v>
      </c>
      <c r="G2411" s="4" t="s">
        <v>93</v>
      </c>
      <c r="H2411" s="4" t="s">
        <v>4645</v>
      </c>
      <c r="I2411" s="4" t="s">
        <v>4653</v>
      </c>
    </row>
    <row r="2412" ht="15.75" customHeight="1">
      <c r="A2412" s="8"/>
      <c r="B2412" s="4" t="s">
        <v>1945</v>
      </c>
      <c r="C2412" s="5">
        <v>1.15051156E8</v>
      </c>
      <c r="D2412" s="5">
        <v>0.0</v>
      </c>
      <c r="E2412" s="5">
        <f t="shared" si="2"/>
        <v>28762789</v>
      </c>
      <c r="F2412" s="4" t="s">
        <v>24</v>
      </c>
      <c r="G2412" s="4" t="s">
        <v>1787</v>
      </c>
      <c r="H2412" s="4" t="s">
        <v>4640</v>
      </c>
      <c r="I2412" s="4" t="s">
        <v>1946</v>
      </c>
    </row>
    <row r="2413" ht="15.75" customHeight="1">
      <c r="A2413" s="8"/>
      <c r="B2413" s="14" t="s">
        <v>1945</v>
      </c>
      <c r="C2413" s="5">
        <v>2.8762789E7</v>
      </c>
      <c r="D2413" s="5">
        <v>0.0</v>
      </c>
      <c r="E2413" s="5">
        <f t="shared" si="2"/>
        <v>0</v>
      </c>
      <c r="F2413" s="14" t="s">
        <v>2464</v>
      </c>
      <c r="G2413" s="14" t="s">
        <v>59</v>
      </c>
      <c r="H2413" s="14" t="s">
        <v>408</v>
      </c>
      <c r="I2413" s="14"/>
      <c r="J2413" s="14"/>
      <c r="K2413" s="14"/>
      <c r="L2413" s="14"/>
    </row>
    <row r="2414" ht="15.75" customHeight="1">
      <c r="A2414" s="8">
        <v>46206.0</v>
      </c>
      <c r="B2414" s="4" t="s">
        <v>555</v>
      </c>
      <c r="C2414" s="5">
        <v>0.0</v>
      </c>
      <c r="D2414" s="5">
        <v>9.3693693E7</v>
      </c>
      <c r="E2414" s="5">
        <f t="shared" si="2"/>
        <v>93693693</v>
      </c>
      <c r="F2414" s="4" t="s">
        <v>75</v>
      </c>
      <c r="G2414" s="4" t="s">
        <v>76</v>
      </c>
      <c r="H2414" s="14" t="s">
        <v>694</v>
      </c>
      <c r="I2414" s="4" t="s">
        <v>560</v>
      </c>
    </row>
    <row r="2415" ht="15.75" customHeight="1">
      <c r="A2415" s="8"/>
      <c r="B2415" s="4" t="s">
        <v>555</v>
      </c>
      <c r="C2415" s="5">
        <v>7.9279279E7</v>
      </c>
      <c r="D2415" s="5">
        <v>0.0</v>
      </c>
      <c r="E2415" s="5">
        <f t="shared" si="2"/>
        <v>14414414</v>
      </c>
      <c r="F2415" s="4" t="s">
        <v>93</v>
      </c>
      <c r="G2415" s="4" t="s">
        <v>93</v>
      </c>
      <c r="H2415" s="4" t="s">
        <v>4645</v>
      </c>
      <c r="I2415" s="4" t="s">
        <v>560</v>
      </c>
    </row>
    <row r="2416" ht="15.75" customHeight="1">
      <c r="A2416" s="8"/>
      <c r="B2416" s="4" t="s">
        <v>555</v>
      </c>
      <c r="C2416" s="5">
        <v>1.4414414E7</v>
      </c>
      <c r="D2416" s="5">
        <v>0.0</v>
      </c>
      <c r="E2416" s="5">
        <f t="shared" si="2"/>
        <v>0</v>
      </c>
      <c r="F2416" s="4" t="s">
        <v>24</v>
      </c>
      <c r="G2416" s="4" t="s">
        <v>1787</v>
      </c>
      <c r="H2416" s="4" t="s">
        <v>4640</v>
      </c>
      <c r="I2416" s="4" t="s">
        <v>560</v>
      </c>
    </row>
    <row r="2417" ht="15.75" customHeight="1">
      <c r="A2417" s="8">
        <v>46206.0</v>
      </c>
      <c r="B2417" s="4" t="s">
        <v>140</v>
      </c>
      <c r="C2417" s="5">
        <v>0.0</v>
      </c>
      <c r="D2417" s="5">
        <v>8.3190146E7</v>
      </c>
      <c r="E2417" s="5">
        <f t="shared" si="2"/>
        <v>83190146</v>
      </c>
      <c r="F2417" s="4" t="s">
        <v>75</v>
      </c>
      <c r="G2417" s="4" t="s">
        <v>76</v>
      </c>
      <c r="H2417" s="4" t="s">
        <v>3800</v>
      </c>
      <c r="I2417" s="4" t="s">
        <v>1963</v>
      </c>
    </row>
    <row r="2418" ht="15.75" customHeight="1">
      <c r="A2418" s="8"/>
      <c r="B2418" s="4" t="s">
        <v>140</v>
      </c>
      <c r="C2418" s="5">
        <v>7.0391662E7</v>
      </c>
      <c r="D2418" s="5">
        <v>0.0</v>
      </c>
      <c r="E2418" s="5">
        <f t="shared" si="2"/>
        <v>12798484</v>
      </c>
      <c r="F2418" s="4" t="s">
        <v>93</v>
      </c>
      <c r="G2418" s="4" t="s">
        <v>93</v>
      </c>
      <c r="H2418" s="4" t="s">
        <v>4645</v>
      </c>
      <c r="I2418" s="4" t="s">
        <v>1963</v>
      </c>
    </row>
    <row r="2419" ht="15.75" customHeight="1">
      <c r="A2419" s="8"/>
      <c r="B2419" s="4" t="s">
        <v>140</v>
      </c>
      <c r="C2419" s="5">
        <v>1.2798484E7</v>
      </c>
      <c r="D2419" s="5">
        <v>0.0</v>
      </c>
      <c r="E2419" s="5">
        <f t="shared" si="2"/>
        <v>0</v>
      </c>
      <c r="F2419" s="4" t="s">
        <v>24</v>
      </c>
      <c r="G2419" s="4" t="s">
        <v>1787</v>
      </c>
      <c r="H2419" s="4" t="s">
        <v>4640</v>
      </c>
      <c r="I2419" s="4" t="s">
        <v>1963</v>
      </c>
    </row>
    <row r="2420" ht="15.75" customHeight="1">
      <c r="A2420" s="8">
        <v>46206.0</v>
      </c>
      <c r="B2420" s="4" t="s">
        <v>1968</v>
      </c>
      <c r="C2420" s="5">
        <v>0.0</v>
      </c>
      <c r="D2420" s="5">
        <v>5.1051077E7</v>
      </c>
      <c r="E2420" s="5">
        <f t="shared" si="2"/>
        <v>51051077</v>
      </c>
      <c r="F2420" s="4" t="s">
        <v>75</v>
      </c>
      <c r="G2420" s="4" t="s">
        <v>76</v>
      </c>
      <c r="H2420" s="14" t="s">
        <v>683</v>
      </c>
      <c r="I2420" s="4" t="s">
        <v>1971</v>
      </c>
    </row>
    <row r="2421" ht="15.75" customHeight="1">
      <c r="A2421" s="8"/>
      <c r="B2421" s="4" t="s">
        <v>1968</v>
      </c>
      <c r="C2421" s="5">
        <v>4.3197065E7</v>
      </c>
      <c r="D2421" s="5">
        <v>0.0</v>
      </c>
      <c r="E2421" s="5">
        <f t="shared" si="2"/>
        <v>7854012</v>
      </c>
      <c r="F2421" s="4" t="s">
        <v>93</v>
      </c>
      <c r="G2421" s="4" t="s">
        <v>93</v>
      </c>
      <c r="H2421" s="4" t="s">
        <v>4645</v>
      </c>
      <c r="I2421" s="4" t="s">
        <v>1971</v>
      </c>
    </row>
    <row r="2422" ht="15.75" customHeight="1">
      <c r="A2422" s="8"/>
      <c r="B2422" s="4" t="s">
        <v>1968</v>
      </c>
      <c r="C2422" s="5">
        <v>7854012.0</v>
      </c>
      <c r="D2422" s="5">
        <v>0.0</v>
      </c>
      <c r="E2422" s="5">
        <f t="shared" si="2"/>
        <v>0</v>
      </c>
      <c r="F2422" s="4" t="s">
        <v>24</v>
      </c>
      <c r="G2422" s="4" t="s">
        <v>1787</v>
      </c>
      <c r="H2422" s="4" t="s">
        <v>4640</v>
      </c>
      <c r="I2422" s="4" t="s">
        <v>1971</v>
      </c>
    </row>
    <row r="2423" ht="15.75" customHeight="1">
      <c r="A2423" s="8">
        <v>46206.0</v>
      </c>
      <c r="B2423" s="4" t="s">
        <v>1974</v>
      </c>
      <c r="C2423" s="5">
        <v>0.0</v>
      </c>
      <c r="D2423" s="5">
        <v>1.0268767E7</v>
      </c>
      <c r="E2423" s="5">
        <f t="shared" si="2"/>
        <v>10268767</v>
      </c>
      <c r="F2423" s="4" t="s">
        <v>75</v>
      </c>
      <c r="G2423" s="4" t="s">
        <v>76</v>
      </c>
      <c r="H2423" s="4" t="s">
        <v>408</v>
      </c>
      <c r="I2423" s="4" t="s">
        <v>1976</v>
      </c>
    </row>
    <row r="2424" ht="15.75" customHeight="1">
      <c r="A2424" s="8"/>
      <c r="B2424" s="4" t="s">
        <v>1974</v>
      </c>
      <c r="C2424" s="5">
        <v>8688958.0</v>
      </c>
      <c r="D2424" s="5">
        <v>0.0</v>
      </c>
      <c r="E2424" s="5">
        <f t="shared" si="2"/>
        <v>1579809</v>
      </c>
      <c r="F2424" s="4" t="s">
        <v>93</v>
      </c>
      <c r="G2424" s="4" t="s">
        <v>93</v>
      </c>
      <c r="H2424" s="4" t="s">
        <v>4645</v>
      </c>
      <c r="I2424" s="4" t="s">
        <v>1976</v>
      </c>
    </row>
    <row r="2425" ht="15.75" customHeight="1">
      <c r="A2425" s="8"/>
      <c r="B2425" s="4" t="s">
        <v>1974</v>
      </c>
      <c r="C2425" s="5">
        <v>1579809.0</v>
      </c>
      <c r="D2425" s="5">
        <v>0.0</v>
      </c>
      <c r="E2425" s="5">
        <f t="shared" si="2"/>
        <v>0</v>
      </c>
      <c r="F2425" s="4" t="s">
        <v>24</v>
      </c>
      <c r="G2425" s="4" t="s">
        <v>1787</v>
      </c>
      <c r="H2425" s="4" t="s">
        <v>4640</v>
      </c>
      <c r="I2425" s="4" t="s">
        <v>1976</v>
      </c>
    </row>
    <row r="2426" ht="15.75" customHeight="1">
      <c r="A2426" s="8">
        <v>46210.0</v>
      </c>
      <c r="B2426" s="14" t="s">
        <v>83</v>
      </c>
      <c r="C2426" s="5">
        <v>0.0</v>
      </c>
      <c r="D2426" s="5">
        <v>3752900.0</v>
      </c>
      <c r="E2426" s="5">
        <f t="shared" si="2"/>
        <v>3752900</v>
      </c>
      <c r="F2426" s="14" t="s">
        <v>24</v>
      </c>
      <c r="G2426" s="14" t="s">
        <v>26</v>
      </c>
      <c r="H2426" s="14" t="s">
        <v>179</v>
      </c>
      <c r="I2426" s="16" t="s">
        <v>2011</v>
      </c>
    </row>
    <row r="2427" ht="15.75" customHeight="1">
      <c r="A2427" s="8"/>
      <c r="B2427" s="14" t="s">
        <v>83</v>
      </c>
      <c r="C2427" s="5">
        <v>3750000.0</v>
      </c>
      <c r="D2427" s="5">
        <v>0.0</v>
      </c>
      <c r="E2427" s="5">
        <f t="shared" si="2"/>
        <v>2900</v>
      </c>
      <c r="F2427" s="4" t="s">
        <v>24</v>
      </c>
      <c r="G2427" s="4" t="s">
        <v>1787</v>
      </c>
      <c r="H2427" s="4" t="s">
        <v>4640</v>
      </c>
      <c r="I2427" s="16" t="s">
        <v>2011</v>
      </c>
    </row>
    <row r="2428" ht="15.75" customHeight="1">
      <c r="A2428" s="8"/>
      <c r="B2428" s="14" t="s">
        <v>83</v>
      </c>
      <c r="C2428" s="5">
        <v>2900.0</v>
      </c>
      <c r="D2428" s="5">
        <v>0.0</v>
      </c>
      <c r="E2428" s="5">
        <f t="shared" si="2"/>
        <v>0</v>
      </c>
      <c r="F2428" s="4" t="s">
        <v>43</v>
      </c>
      <c r="G2428" s="4" t="s">
        <v>45</v>
      </c>
    </row>
    <row r="2429" ht="15.75" customHeight="1">
      <c r="A2429" s="8">
        <v>46225.0</v>
      </c>
      <c r="B2429" s="4" t="s">
        <v>2179</v>
      </c>
      <c r="C2429" s="5">
        <v>0.0</v>
      </c>
      <c r="D2429" s="5">
        <v>2809318.0</v>
      </c>
      <c r="E2429" s="5">
        <f t="shared" si="2"/>
        <v>2809318</v>
      </c>
      <c r="F2429" s="4" t="s">
        <v>75</v>
      </c>
      <c r="G2429" s="4" t="s">
        <v>76</v>
      </c>
      <c r="H2429" s="4" t="s">
        <v>165</v>
      </c>
      <c r="I2429" s="4" t="s">
        <v>2181</v>
      </c>
    </row>
    <row r="2430" ht="15.75" customHeight="1">
      <c r="A2430" s="8"/>
      <c r="B2430" s="4" t="s">
        <v>2179</v>
      </c>
      <c r="C2430" s="5">
        <v>2377115.0</v>
      </c>
      <c r="D2430" s="5">
        <v>0.0</v>
      </c>
      <c r="E2430" s="5">
        <f t="shared" si="2"/>
        <v>432203</v>
      </c>
      <c r="F2430" s="4" t="s">
        <v>93</v>
      </c>
      <c r="G2430" s="4" t="s">
        <v>93</v>
      </c>
      <c r="H2430" s="4" t="s">
        <v>4645</v>
      </c>
      <c r="I2430" s="4" t="s">
        <v>2181</v>
      </c>
    </row>
    <row r="2431" ht="15.75" customHeight="1">
      <c r="A2431" s="8"/>
      <c r="B2431" s="4" t="s">
        <v>2179</v>
      </c>
      <c r="C2431" s="5">
        <v>432203.0</v>
      </c>
      <c r="D2431" s="5">
        <v>0.0</v>
      </c>
      <c r="E2431" s="5">
        <f t="shared" si="2"/>
        <v>0</v>
      </c>
      <c r="F2431" s="4" t="s">
        <v>24</v>
      </c>
      <c r="G2431" s="4" t="s">
        <v>1787</v>
      </c>
      <c r="H2431" s="4" t="s">
        <v>4640</v>
      </c>
      <c r="I2431" s="4" t="s">
        <v>2181</v>
      </c>
    </row>
    <row r="2432" ht="15.75" customHeight="1">
      <c r="A2432" s="8">
        <v>46225.0</v>
      </c>
      <c r="B2432" s="4" t="s">
        <v>2179</v>
      </c>
      <c r="C2432" s="5">
        <v>0.0</v>
      </c>
      <c r="D2432" s="5">
        <v>8823268.0</v>
      </c>
      <c r="E2432" s="5">
        <f t="shared" si="2"/>
        <v>8823268</v>
      </c>
      <c r="F2432" s="4" t="s">
        <v>75</v>
      </c>
      <c r="G2432" s="4" t="s">
        <v>76</v>
      </c>
      <c r="H2432" s="4" t="s">
        <v>2184</v>
      </c>
      <c r="I2432" s="4" t="s">
        <v>2185</v>
      </c>
    </row>
    <row r="2433" ht="15.75" customHeight="1">
      <c r="A2433" s="8"/>
      <c r="B2433" s="4" t="s">
        <v>2179</v>
      </c>
      <c r="C2433" s="5">
        <v>7465842.0</v>
      </c>
      <c r="D2433" s="5">
        <v>0.0</v>
      </c>
      <c r="E2433" s="5">
        <f t="shared" si="2"/>
        <v>1357426</v>
      </c>
      <c r="F2433" s="4" t="s">
        <v>93</v>
      </c>
      <c r="G2433" s="4" t="s">
        <v>93</v>
      </c>
      <c r="H2433" s="4" t="s">
        <v>4645</v>
      </c>
      <c r="I2433" s="4" t="s">
        <v>2185</v>
      </c>
    </row>
    <row r="2434" ht="15.75" customHeight="1">
      <c r="A2434" s="8"/>
      <c r="B2434" s="4" t="s">
        <v>2179</v>
      </c>
      <c r="C2434" s="5">
        <v>1357426.0</v>
      </c>
      <c r="D2434" s="5">
        <v>0.0</v>
      </c>
      <c r="E2434" s="5">
        <f t="shared" si="2"/>
        <v>0</v>
      </c>
      <c r="F2434" s="4" t="s">
        <v>24</v>
      </c>
      <c r="G2434" s="4" t="s">
        <v>1787</v>
      </c>
      <c r="H2434" s="4" t="s">
        <v>4640</v>
      </c>
      <c r="I2434" s="4" t="s">
        <v>2185</v>
      </c>
    </row>
    <row r="2435" ht="15.75" customHeight="1">
      <c r="A2435" s="8">
        <v>46225.0</v>
      </c>
      <c r="B2435" s="4" t="s">
        <v>2179</v>
      </c>
      <c r="C2435" s="5">
        <v>0.0</v>
      </c>
      <c r="D2435" s="5">
        <v>5371983.0</v>
      </c>
      <c r="E2435" s="5">
        <f t="shared" si="2"/>
        <v>5371983</v>
      </c>
      <c r="F2435" s="4" t="s">
        <v>75</v>
      </c>
      <c r="G2435" s="4" t="s">
        <v>76</v>
      </c>
      <c r="H2435" s="14" t="s">
        <v>1785</v>
      </c>
      <c r="I2435" s="4" t="s">
        <v>2190</v>
      </c>
    </row>
    <row r="2436" ht="15.75" customHeight="1">
      <c r="A2436" s="8"/>
      <c r="B2436" s="4" t="s">
        <v>2179</v>
      </c>
      <c r="C2436" s="5">
        <v>4545524.0</v>
      </c>
      <c r="D2436" s="5">
        <v>0.0</v>
      </c>
      <c r="E2436" s="5">
        <f t="shared" si="2"/>
        <v>826459</v>
      </c>
      <c r="F2436" s="4" t="s">
        <v>93</v>
      </c>
      <c r="G2436" s="4" t="s">
        <v>93</v>
      </c>
      <c r="H2436" s="4" t="s">
        <v>4645</v>
      </c>
      <c r="I2436" s="4" t="s">
        <v>2190</v>
      </c>
    </row>
    <row r="2437" ht="15.75" customHeight="1">
      <c r="A2437" s="8"/>
      <c r="B2437" s="4" t="s">
        <v>2179</v>
      </c>
      <c r="C2437" s="5">
        <v>826459.0</v>
      </c>
      <c r="D2437" s="5">
        <v>0.0</v>
      </c>
      <c r="E2437" s="5">
        <f t="shared" si="2"/>
        <v>0</v>
      </c>
      <c r="F2437" s="4" t="s">
        <v>24</v>
      </c>
      <c r="G2437" s="4" t="s">
        <v>1787</v>
      </c>
      <c r="H2437" s="4" t="s">
        <v>4640</v>
      </c>
      <c r="I2437" s="4" t="s">
        <v>2190</v>
      </c>
    </row>
    <row r="2438" ht="15.75" customHeight="1">
      <c r="A2438" s="8">
        <v>46226.0</v>
      </c>
      <c r="B2438" s="4" t="s">
        <v>4654</v>
      </c>
      <c r="C2438" s="5">
        <v>0.0</v>
      </c>
      <c r="D2438" s="5">
        <v>8.783783779999995E7</v>
      </c>
      <c r="E2438" s="5">
        <f t="shared" si="2"/>
        <v>87837837.8</v>
      </c>
      <c r="F2438" s="14" t="s">
        <v>75</v>
      </c>
      <c r="G2438" s="14" t="s">
        <v>76</v>
      </c>
      <c r="H2438" s="14" t="s">
        <v>931</v>
      </c>
      <c r="I2438" s="16" t="s">
        <v>2197</v>
      </c>
    </row>
    <row r="2439" ht="15.75" customHeight="1">
      <c r="A2439" s="8"/>
      <c r="B2439" s="4" t="s">
        <v>4654</v>
      </c>
      <c r="C2439" s="5">
        <v>7.4324324E7</v>
      </c>
      <c r="D2439" s="5">
        <v>0.0</v>
      </c>
      <c r="E2439" s="5">
        <f t="shared" si="2"/>
        <v>13513513.8</v>
      </c>
      <c r="F2439" s="4" t="s">
        <v>93</v>
      </c>
      <c r="G2439" s="4" t="s">
        <v>93</v>
      </c>
      <c r="H2439" s="4" t="s">
        <v>4645</v>
      </c>
      <c r="I2439" s="16" t="s">
        <v>2197</v>
      </c>
    </row>
    <row r="2440" ht="15.75" customHeight="1">
      <c r="A2440" s="8"/>
      <c r="B2440" s="4" t="s">
        <v>4654</v>
      </c>
      <c r="C2440" s="5">
        <v>1.3513514E7</v>
      </c>
      <c r="D2440" s="5">
        <v>0.0</v>
      </c>
      <c r="E2440" s="5">
        <f t="shared" si="2"/>
        <v>-0.2000000477</v>
      </c>
      <c r="F2440" s="4" t="s">
        <v>24</v>
      </c>
      <c r="G2440" s="4" t="s">
        <v>1787</v>
      </c>
      <c r="H2440" s="4" t="s">
        <v>4640</v>
      </c>
      <c r="I2440" s="16" t="s">
        <v>2197</v>
      </c>
    </row>
    <row r="2441" ht="15.75" customHeight="1">
      <c r="A2441" s="8"/>
      <c r="B2441" s="4" t="s">
        <v>4654</v>
      </c>
      <c r="C2441" s="5">
        <v>0.0</v>
      </c>
      <c r="D2441" s="5">
        <v>0.200000047683716</v>
      </c>
      <c r="E2441" s="5">
        <f t="shared" si="2"/>
        <v>0</v>
      </c>
      <c r="F2441" s="4" t="s">
        <v>1201</v>
      </c>
      <c r="G2441" s="4" t="s">
        <v>2000</v>
      </c>
    </row>
    <row r="2442" ht="15.75" customHeight="1">
      <c r="A2442" s="8">
        <v>46230.0</v>
      </c>
      <c r="B2442" s="4" t="s">
        <v>2233</v>
      </c>
      <c r="C2442" s="5">
        <v>0.0</v>
      </c>
      <c r="D2442" s="5">
        <v>3.5571355E7</v>
      </c>
      <c r="E2442" s="5">
        <f t="shared" si="2"/>
        <v>35571355</v>
      </c>
      <c r="F2442" s="14" t="s">
        <v>75</v>
      </c>
      <c r="G2442" s="14" t="s">
        <v>76</v>
      </c>
      <c r="H2442" s="14" t="s">
        <v>2234</v>
      </c>
      <c r="I2442" s="16" t="s">
        <v>2235</v>
      </c>
    </row>
    <row r="2443" ht="15.75" customHeight="1">
      <c r="A2443" s="8"/>
      <c r="B2443" s="4" t="s">
        <v>2233</v>
      </c>
      <c r="C2443" s="5">
        <v>3.0098839E7</v>
      </c>
      <c r="D2443" s="5">
        <v>0.0</v>
      </c>
      <c r="E2443" s="5">
        <f t="shared" si="2"/>
        <v>5472516</v>
      </c>
      <c r="F2443" s="4" t="s">
        <v>93</v>
      </c>
      <c r="G2443" s="4" t="s">
        <v>93</v>
      </c>
      <c r="H2443" s="4" t="s">
        <v>4645</v>
      </c>
      <c r="I2443" s="16" t="s">
        <v>2235</v>
      </c>
    </row>
    <row r="2444" ht="15.75" customHeight="1">
      <c r="A2444" s="8"/>
      <c r="B2444" s="4" t="s">
        <v>2233</v>
      </c>
      <c r="C2444" s="5">
        <v>5472516.0</v>
      </c>
      <c r="D2444" s="5">
        <v>0.0</v>
      </c>
      <c r="E2444" s="5">
        <f t="shared" si="2"/>
        <v>0</v>
      </c>
      <c r="F2444" s="4" t="s">
        <v>24</v>
      </c>
      <c r="G2444" s="4" t="s">
        <v>1787</v>
      </c>
      <c r="H2444" s="4" t="s">
        <v>4640</v>
      </c>
      <c r="I2444" s="16" t="s">
        <v>2235</v>
      </c>
    </row>
    <row r="2445" ht="15.75" customHeight="1">
      <c r="A2445" s="8">
        <v>46230.0</v>
      </c>
      <c r="B2445" s="4" t="s">
        <v>2233</v>
      </c>
      <c r="C2445" s="5">
        <v>0.0</v>
      </c>
      <c r="D2445" s="5">
        <v>1.10896762E8</v>
      </c>
      <c r="E2445" s="5">
        <f t="shared" si="2"/>
        <v>110896762</v>
      </c>
      <c r="F2445" s="14" t="s">
        <v>75</v>
      </c>
      <c r="G2445" s="14" t="s">
        <v>76</v>
      </c>
      <c r="H2445" s="14" t="s">
        <v>2241</v>
      </c>
      <c r="I2445" s="16" t="s">
        <v>2242</v>
      </c>
    </row>
    <row r="2446" ht="15.75" customHeight="1">
      <c r="A2446" s="8"/>
      <c r="B2446" s="4" t="s">
        <v>2233</v>
      </c>
      <c r="C2446" s="5">
        <v>9.3835722E7</v>
      </c>
      <c r="D2446" s="5">
        <v>0.0</v>
      </c>
      <c r="E2446" s="5">
        <f t="shared" si="2"/>
        <v>17061040</v>
      </c>
      <c r="F2446" s="4" t="s">
        <v>93</v>
      </c>
      <c r="G2446" s="4" t="s">
        <v>93</v>
      </c>
      <c r="H2446" s="4" t="s">
        <v>4645</v>
      </c>
      <c r="I2446" s="16" t="s">
        <v>2242</v>
      </c>
    </row>
    <row r="2447" ht="15.75" customHeight="1">
      <c r="A2447" s="8"/>
      <c r="B2447" s="4" t="s">
        <v>2233</v>
      </c>
      <c r="C2447" s="5">
        <v>1.706104E7</v>
      </c>
      <c r="D2447" s="5">
        <v>0.0</v>
      </c>
      <c r="E2447" s="5">
        <f t="shared" si="2"/>
        <v>0</v>
      </c>
      <c r="F2447" s="4" t="s">
        <v>24</v>
      </c>
      <c r="G2447" s="4" t="s">
        <v>1787</v>
      </c>
      <c r="H2447" s="4" t="s">
        <v>4640</v>
      </c>
      <c r="I2447" s="16" t="s">
        <v>2242</v>
      </c>
    </row>
    <row r="2448" ht="15.75" customHeight="1">
      <c r="A2448" s="8">
        <v>46234.0</v>
      </c>
      <c r="B2448" s="4" t="s">
        <v>590</v>
      </c>
      <c r="C2448" s="5">
        <v>0.0</v>
      </c>
      <c r="D2448" s="5">
        <v>9.3693693E7</v>
      </c>
      <c r="E2448" s="5">
        <f t="shared" si="2"/>
        <v>93693693</v>
      </c>
      <c r="F2448" s="14" t="s">
        <v>75</v>
      </c>
      <c r="G2448" s="14" t="s">
        <v>76</v>
      </c>
      <c r="H2448" s="14" t="s">
        <v>592</v>
      </c>
      <c r="I2448" s="16" t="s">
        <v>593</v>
      </c>
    </row>
    <row r="2449" ht="15.75" customHeight="1">
      <c r="A2449" s="8"/>
      <c r="B2449" s="4" t="s">
        <v>590</v>
      </c>
      <c r="C2449" s="5">
        <v>7.9279279E7</v>
      </c>
      <c r="D2449" s="5">
        <v>0.0</v>
      </c>
      <c r="E2449" s="5">
        <f t="shared" si="2"/>
        <v>14414414</v>
      </c>
      <c r="F2449" s="4" t="s">
        <v>93</v>
      </c>
      <c r="G2449" s="4" t="s">
        <v>93</v>
      </c>
      <c r="H2449" s="4" t="s">
        <v>4645</v>
      </c>
      <c r="I2449" s="16" t="s">
        <v>593</v>
      </c>
    </row>
    <row r="2450" ht="15.75" customHeight="1">
      <c r="A2450" s="8"/>
      <c r="B2450" s="4" t="s">
        <v>590</v>
      </c>
      <c r="C2450" s="5">
        <v>1.4414414E7</v>
      </c>
      <c r="D2450" s="5">
        <v>0.0</v>
      </c>
      <c r="E2450" s="5">
        <f t="shared" si="2"/>
        <v>0</v>
      </c>
      <c r="F2450" s="4" t="s">
        <v>24</v>
      </c>
      <c r="G2450" s="4" t="s">
        <v>1787</v>
      </c>
      <c r="H2450" s="4" t="s">
        <v>4640</v>
      </c>
      <c r="I2450" s="16" t="s">
        <v>593</v>
      </c>
    </row>
    <row r="2451" ht="15.75" customHeight="1">
      <c r="A2451" s="8">
        <v>46240.0</v>
      </c>
      <c r="B2451" s="4" t="s">
        <v>1947</v>
      </c>
      <c r="C2451" s="5">
        <v>0.0</v>
      </c>
      <c r="D2451" s="5">
        <v>199539.0</v>
      </c>
      <c r="E2451" s="5">
        <f t="shared" si="2"/>
        <v>199539</v>
      </c>
      <c r="F2451" s="4" t="s">
        <v>75</v>
      </c>
      <c r="G2451" s="4" t="s">
        <v>76</v>
      </c>
      <c r="H2451" s="4" t="s">
        <v>326</v>
      </c>
      <c r="I2451" s="4" t="s">
        <v>1949</v>
      </c>
    </row>
    <row r="2452" ht="15.75" customHeight="1">
      <c r="A2452" s="8"/>
      <c r="B2452" s="4" t="s">
        <v>1947</v>
      </c>
      <c r="C2452" s="5">
        <v>199539.0</v>
      </c>
      <c r="D2452" s="5">
        <v>0.0</v>
      </c>
      <c r="E2452" s="5">
        <f t="shared" si="2"/>
        <v>0</v>
      </c>
      <c r="F2452" s="4" t="s">
        <v>24</v>
      </c>
      <c r="G2452" s="4" t="s">
        <v>1787</v>
      </c>
      <c r="H2452" s="4" t="s">
        <v>4640</v>
      </c>
      <c r="I2452" s="4" t="s">
        <v>1949</v>
      </c>
    </row>
    <row r="2453" ht="15.75" customHeight="1">
      <c r="A2453" s="8">
        <v>46244.0</v>
      </c>
      <c r="B2453" s="4" t="s">
        <v>2336</v>
      </c>
      <c r="C2453" s="5">
        <v>0.0</v>
      </c>
      <c r="D2453" s="5">
        <v>1554896.0</v>
      </c>
      <c r="E2453" s="5">
        <f t="shared" si="2"/>
        <v>1554896</v>
      </c>
      <c r="F2453" s="4" t="s">
        <v>75</v>
      </c>
      <c r="G2453" s="4" t="s">
        <v>76</v>
      </c>
      <c r="H2453" s="4" t="s">
        <v>964</v>
      </c>
      <c r="I2453" s="4" t="s">
        <v>2337</v>
      </c>
    </row>
    <row r="2454" ht="15.75" customHeight="1">
      <c r="A2454" s="8"/>
      <c r="B2454" s="4" t="s">
        <v>2336</v>
      </c>
      <c r="C2454" s="5">
        <v>1554896.0</v>
      </c>
      <c r="D2454" s="5">
        <v>0.0</v>
      </c>
      <c r="E2454" s="5">
        <f t="shared" si="2"/>
        <v>0</v>
      </c>
      <c r="F2454" s="4" t="s">
        <v>24</v>
      </c>
      <c r="G2454" s="4" t="s">
        <v>1787</v>
      </c>
      <c r="H2454" s="4" t="s">
        <v>4640</v>
      </c>
      <c r="I2454" s="4" t="s">
        <v>2337</v>
      </c>
    </row>
    <row r="2455" ht="15.75" customHeight="1">
      <c r="A2455" s="8">
        <v>46246.0</v>
      </c>
      <c r="B2455" s="4" t="s">
        <v>1447</v>
      </c>
      <c r="C2455" s="5">
        <v>0.0</v>
      </c>
      <c r="D2455" s="5">
        <v>5.9535626E7</v>
      </c>
      <c r="E2455" s="5">
        <f t="shared" si="2"/>
        <v>59535626</v>
      </c>
      <c r="F2455" s="4" t="s">
        <v>75</v>
      </c>
      <c r="G2455" s="4" t="s">
        <v>76</v>
      </c>
      <c r="H2455" s="14" t="s">
        <v>931</v>
      </c>
      <c r="I2455" s="14" t="s">
        <v>1450</v>
      </c>
    </row>
    <row r="2456" ht="15.75" customHeight="1">
      <c r="A2456" s="8"/>
      <c r="B2456" s="4" t="s">
        <v>1447</v>
      </c>
      <c r="C2456" s="5">
        <v>5.8567568E7</v>
      </c>
      <c r="D2456" s="5">
        <v>0.0</v>
      </c>
      <c r="E2456" s="5">
        <f t="shared" si="2"/>
        <v>968058</v>
      </c>
      <c r="F2456" s="4" t="s">
        <v>93</v>
      </c>
      <c r="G2456" s="4" t="s">
        <v>93</v>
      </c>
      <c r="H2456" s="4" t="s">
        <v>4645</v>
      </c>
      <c r="I2456" s="14" t="s">
        <v>1450</v>
      </c>
    </row>
    <row r="2457" ht="15.75" customHeight="1">
      <c r="A2457" s="8"/>
      <c r="B2457" s="4" t="s">
        <v>1447</v>
      </c>
      <c r="C2457" s="5">
        <v>968058.0</v>
      </c>
      <c r="D2457" s="5">
        <v>0.0</v>
      </c>
      <c r="E2457" s="5">
        <f t="shared" si="2"/>
        <v>0</v>
      </c>
      <c r="F2457" s="4" t="s">
        <v>24</v>
      </c>
      <c r="G2457" s="4" t="s">
        <v>1787</v>
      </c>
      <c r="H2457" s="4" t="s">
        <v>4640</v>
      </c>
      <c r="I2457" s="14" t="s">
        <v>1450</v>
      </c>
    </row>
    <row r="2458" ht="15.75" customHeight="1">
      <c r="A2458" s="8">
        <v>46248.0</v>
      </c>
      <c r="B2458" s="4" t="s">
        <v>140</v>
      </c>
      <c r="C2458" s="5">
        <v>0.0</v>
      </c>
      <c r="D2458" s="5">
        <v>3950050.0</v>
      </c>
      <c r="E2458" s="5">
        <f t="shared" si="2"/>
        <v>3950050</v>
      </c>
      <c r="F2458" s="4" t="s">
        <v>75</v>
      </c>
      <c r="G2458" s="4" t="s">
        <v>76</v>
      </c>
      <c r="H2458" s="4" t="s">
        <v>2042</v>
      </c>
      <c r="I2458" s="4" t="s">
        <v>2377</v>
      </c>
    </row>
    <row r="2459" ht="15.75" customHeight="1">
      <c r="A2459" s="8"/>
      <c r="B2459" s="4" t="s">
        <v>140</v>
      </c>
      <c r="C2459" s="5">
        <v>3342350.0</v>
      </c>
      <c r="D2459" s="5">
        <v>0.0</v>
      </c>
      <c r="E2459" s="5">
        <f t="shared" si="2"/>
        <v>607700</v>
      </c>
      <c r="F2459" s="4" t="s">
        <v>93</v>
      </c>
      <c r="G2459" s="4" t="s">
        <v>93</v>
      </c>
      <c r="H2459" s="4" t="s">
        <v>4645</v>
      </c>
      <c r="I2459" s="4" t="s">
        <v>2377</v>
      </c>
    </row>
    <row r="2460" ht="15.75" customHeight="1">
      <c r="A2460" s="8"/>
      <c r="B2460" s="4" t="s">
        <v>140</v>
      </c>
      <c r="C2460" s="5">
        <v>607700.0</v>
      </c>
      <c r="D2460" s="5">
        <v>0.0</v>
      </c>
      <c r="E2460" s="5">
        <f t="shared" si="2"/>
        <v>0</v>
      </c>
      <c r="F2460" s="4" t="s">
        <v>24</v>
      </c>
      <c r="G2460" s="4" t="s">
        <v>1787</v>
      </c>
      <c r="H2460" s="4" t="s">
        <v>4640</v>
      </c>
      <c r="I2460" s="4" t="s">
        <v>2377</v>
      </c>
    </row>
    <row r="2461" ht="15.75" customHeight="1">
      <c r="A2461" s="8">
        <v>46248.0</v>
      </c>
      <c r="B2461" s="4" t="s">
        <v>140</v>
      </c>
      <c r="C2461" s="5">
        <v>0.0</v>
      </c>
      <c r="D2461" s="5">
        <v>3132452.0</v>
      </c>
      <c r="E2461" s="5">
        <f t="shared" si="2"/>
        <v>3132452</v>
      </c>
      <c r="F2461" s="4" t="s">
        <v>75</v>
      </c>
      <c r="G2461" s="4" t="s">
        <v>76</v>
      </c>
      <c r="H2461" s="4" t="s">
        <v>809</v>
      </c>
      <c r="I2461" s="4" t="s">
        <v>2379</v>
      </c>
    </row>
    <row r="2462" ht="15.75" customHeight="1">
      <c r="A2462" s="8"/>
      <c r="B2462" s="4" t="s">
        <v>140</v>
      </c>
      <c r="C2462" s="5">
        <v>2650536.0</v>
      </c>
      <c r="D2462" s="5">
        <v>0.0</v>
      </c>
      <c r="E2462" s="5">
        <f t="shared" si="2"/>
        <v>481916</v>
      </c>
      <c r="F2462" s="4" t="s">
        <v>93</v>
      </c>
      <c r="G2462" s="4" t="s">
        <v>93</v>
      </c>
      <c r="H2462" s="4" t="s">
        <v>4645</v>
      </c>
      <c r="I2462" s="4" t="s">
        <v>2379</v>
      </c>
    </row>
    <row r="2463" ht="15.75" customHeight="1">
      <c r="A2463" s="8"/>
      <c r="B2463" s="4" t="s">
        <v>140</v>
      </c>
      <c r="C2463" s="5">
        <v>481916.0</v>
      </c>
      <c r="D2463" s="5">
        <v>0.0</v>
      </c>
      <c r="E2463" s="5">
        <f t="shared" si="2"/>
        <v>0</v>
      </c>
      <c r="F2463" s="4" t="s">
        <v>24</v>
      </c>
      <c r="G2463" s="4" t="s">
        <v>1787</v>
      </c>
      <c r="H2463" s="4" t="s">
        <v>4640</v>
      </c>
      <c r="I2463" s="4" t="s">
        <v>2379</v>
      </c>
    </row>
    <row r="2464" ht="15.75" customHeight="1">
      <c r="A2464" s="8">
        <v>46248.0</v>
      </c>
      <c r="B2464" s="4" t="s">
        <v>140</v>
      </c>
      <c r="C2464" s="5">
        <v>0.0</v>
      </c>
      <c r="D2464" s="5">
        <v>2933505.0</v>
      </c>
      <c r="E2464" s="5">
        <f t="shared" si="2"/>
        <v>2933505</v>
      </c>
      <c r="F2464" s="4" t="s">
        <v>75</v>
      </c>
      <c r="G2464" s="4" t="s">
        <v>76</v>
      </c>
      <c r="H2464" s="4" t="s">
        <v>2385</v>
      </c>
      <c r="I2464" s="4" t="s">
        <v>2386</v>
      </c>
    </row>
    <row r="2465" ht="15.75" customHeight="1">
      <c r="A2465" s="8"/>
      <c r="B2465" s="4" t="s">
        <v>140</v>
      </c>
      <c r="C2465" s="5">
        <v>2482197.0</v>
      </c>
      <c r="D2465" s="5">
        <v>0.0</v>
      </c>
      <c r="E2465" s="5">
        <f t="shared" si="2"/>
        <v>451308</v>
      </c>
      <c r="F2465" s="4" t="s">
        <v>93</v>
      </c>
      <c r="G2465" s="4" t="s">
        <v>93</v>
      </c>
      <c r="H2465" s="4" t="s">
        <v>4645</v>
      </c>
      <c r="I2465" s="4" t="s">
        <v>2386</v>
      </c>
    </row>
    <row r="2466" ht="15.75" customHeight="1">
      <c r="A2466" s="8"/>
      <c r="B2466" s="4" t="s">
        <v>140</v>
      </c>
      <c r="C2466" s="5">
        <v>451308.0</v>
      </c>
      <c r="D2466" s="5">
        <v>0.0</v>
      </c>
      <c r="E2466" s="5">
        <f t="shared" si="2"/>
        <v>0</v>
      </c>
      <c r="F2466" s="4" t="s">
        <v>24</v>
      </c>
      <c r="G2466" s="4" t="s">
        <v>1787</v>
      </c>
      <c r="H2466" s="4" t="s">
        <v>4640</v>
      </c>
      <c r="I2466" s="4" t="s">
        <v>2386</v>
      </c>
    </row>
    <row r="2467" ht="15.75" customHeight="1">
      <c r="A2467" s="8">
        <v>46248.0</v>
      </c>
      <c r="B2467" s="4" t="s">
        <v>600</v>
      </c>
      <c r="C2467" s="5">
        <v>0.0</v>
      </c>
      <c r="D2467" s="5">
        <v>7.6312199E7</v>
      </c>
      <c r="E2467" s="5">
        <f t="shared" si="2"/>
        <v>76312199</v>
      </c>
      <c r="F2467" s="4" t="s">
        <v>75</v>
      </c>
      <c r="G2467" s="4" t="s">
        <v>76</v>
      </c>
      <c r="H2467" s="4" t="s">
        <v>602</v>
      </c>
      <c r="I2467" s="4" t="s">
        <v>603</v>
      </c>
    </row>
    <row r="2468" ht="15.75" customHeight="1">
      <c r="A2468" s="8"/>
      <c r="B2468" s="4" t="s">
        <v>600</v>
      </c>
      <c r="C2468" s="5">
        <v>6.4571861E7</v>
      </c>
      <c r="D2468" s="5">
        <v>0.0</v>
      </c>
      <c r="E2468" s="5">
        <f t="shared" si="2"/>
        <v>11740338</v>
      </c>
      <c r="F2468" s="4" t="s">
        <v>93</v>
      </c>
      <c r="G2468" s="4" t="s">
        <v>93</v>
      </c>
      <c r="H2468" s="4" t="s">
        <v>4645</v>
      </c>
      <c r="I2468" s="4" t="s">
        <v>603</v>
      </c>
    </row>
    <row r="2469" ht="15.75" customHeight="1">
      <c r="A2469" s="8"/>
      <c r="B2469" s="4" t="s">
        <v>600</v>
      </c>
      <c r="C2469" s="5">
        <v>1.1740338E7</v>
      </c>
      <c r="D2469" s="5">
        <v>0.0</v>
      </c>
      <c r="E2469" s="5">
        <f t="shared" si="2"/>
        <v>0</v>
      </c>
      <c r="F2469" s="4" t="s">
        <v>24</v>
      </c>
      <c r="G2469" s="4" t="s">
        <v>1787</v>
      </c>
      <c r="H2469" s="4" t="s">
        <v>4640</v>
      </c>
      <c r="I2469" s="4" t="s">
        <v>603</v>
      </c>
    </row>
    <row r="2470" ht="15.75" customHeight="1">
      <c r="A2470" s="8">
        <v>46252.0</v>
      </c>
      <c r="B2470" s="4" t="s">
        <v>2388</v>
      </c>
      <c r="C2470" s="5">
        <v>0.0</v>
      </c>
      <c r="D2470" s="5">
        <v>1.6815033E7</v>
      </c>
      <c r="E2470" s="5">
        <f t="shared" si="2"/>
        <v>16815033</v>
      </c>
      <c r="F2470" s="4" t="s">
        <v>75</v>
      </c>
      <c r="G2470" s="4" t="s">
        <v>76</v>
      </c>
      <c r="H2470" s="4" t="s">
        <v>458</v>
      </c>
      <c r="I2470" s="4" t="s">
        <v>2390</v>
      </c>
    </row>
    <row r="2471" ht="15.75" customHeight="1">
      <c r="A2471" s="8"/>
      <c r="B2471" s="4" t="s">
        <v>2388</v>
      </c>
      <c r="C2471" s="5">
        <v>1.6815033E7</v>
      </c>
      <c r="D2471" s="5">
        <v>0.0</v>
      </c>
      <c r="E2471" s="5">
        <f t="shared" si="2"/>
        <v>0</v>
      </c>
      <c r="F2471" s="4" t="s">
        <v>24</v>
      </c>
      <c r="G2471" s="4" t="s">
        <v>1787</v>
      </c>
      <c r="H2471" s="4" t="s">
        <v>4640</v>
      </c>
      <c r="I2471" s="4" t="s">
        <v>2390</v>
      </c>
    </row>
    <row r="2472" ht="15.75" customHeight="1">
      <c r="A2472" s="8">
        <v>46254.0</v>
      </c>
      <c r="B2472" s="14" t="s">
        <v>2200</v>
      </c>
      <c r="C2472" s="5">
        <v>0.0</v>
      </c>
      <c r="D2472" s="5">
        <v>11529.0</v>
      </c>
      <c r="E2472" s="5">
        <f t="shared" si="2"/>
        <v>11529</v>
      </c>
      <c r="F2472" s="14" t="s">
        <v>75</v>
      </c>
      <c r="G2472" s="14" t="s">
        <v>76</v>
      </c>
      <c r="H2472" s="14" t="s">
        <v>2202</v>
      </c>
      <c r="I2472" s="16" t="s">
        <v>2203</v>
      </c>
    </row>
    <row r="2473" ht="15.75" customHeight="1">
      <c r="A2473" s="8"/>
      <c r="B2473" s="14" t="s">
        <v>2200</v>
      </c>
      <c r="C2473" s="5">
        <v>11529.0</v>
      </c>
      <c r="D2473" s="5">
        <v>0.0</v>
      </c>
      <c r="E2473" s="5">
        <f t="shared" si="2"/>
        <v>0</v>
      </c>
      <c r="F2473" s="4" t="s">
        <v>24</v>
      </c>
      <c r="G2473" s="4" t="s">
        <v>1787</v>
      </c>
      <c r="H2473" s="4" t="s">
        <v>4640</v>
      </c>
      <c r="I2473" s="16" t="s">
        <v>2203</v>
      </c>
    </row>
    <row r="2474" ht="15.75" customHeight="1">
      <c r="A2474" s="8">
        <v>46255.0</v>
      </c>
      <c r="B2474" s="4" t="s">
        <v>1279</v>
      </c>
      <c r="C2474" s="5">
        <v>0.0</v>
      </c>
      <c r="D2474" s="5">
        <v>1.005693E7</v>
      </c>
      <c r="E2474" s="5">
        <f t="shared" si="2"/>
        <v>10056930</v>
      </c>
      <c r="F2474" s="4" t="s">
        <v>75</v>
      </c>
      <c r="G2474" s="4" t="s">
        <v>76</v>
      </c>
      <c r="H2474" s="4" t="s">
        <v>1280</v>
      </c>
      <c r="I2474" s="4" t="s">
        <v>1281</v>
      </c>
    </row>
    <row r="2475" ht="15.75" customHeight="1">
      <c r="A2475" s="8"/>
      <c r="B2475" s="4" t="s">
        <v>1279</v>
      </c>
      <c r="C2475" s="5">
        <v>8509710.0</v>
      </c>
      <c r="D2475" s="5">
        <v>0.0</v>
      </c>
      <c r="E2475" s="5">
        <f t="shared" si="2"/>
        <v>1547220</v>
      </c>
      <c r="F2475" s="4" t="s">
        <v>93</v>
      </c>
      <c r="G2475" s="4" t="s">
        <v>93</v>
      </c>
      <c r="H2475" s="4" t="s">
        <v>4645</v>
      </c>
      <c r="I2475" s="4" t="s">
        <v>1281</v>
      </c>
    </row>
    <row r="2476" ht="15.75" customHeight="1">
      <c r="A2476" s="8"/>
      <c r="B2476" s="4" t="s">
        <v>1279</v>
      </c>
      <c r="C2476" s="5">
        <v>1547220.0</v>
      </c>
      <c r="D2476" s="5">
        <v>0.0</v>
      </c>
      <c r="E2476" s="5">
        <f t="shared" si="2"/>
        <v>0</v>
      </c>
      <c r="F2476" s="4" t="s">
        <v>24</v>
      </c>
      <c r="G2476" s="4" t="s">
        <v>1787</v>
      </c>
      <c r="H2476" s="4" t="s">
        <v>4640</v>
      </c>
      <c r="I2476" s="4" t="s">
        <v>1281</v>
      </c>
    </row>
    <row r="2477" ht="15.75" customHeight="1">
      <c r="A2477" s="8">
        <v>46265.0</v>
      </c>
      <c r="B2477" s="4" t="s">
        <v>2496</v>
      </c>
      <c r="C2477" s="5">
        <v>0.0</v>
      </c>
      <c r="D2477" s="5">
        <v>5416374.0</v>
      </c>
      <c r="E2477" s="5">
        <f t="shared" si="2"/>
        <v>5416374</v>
      </c>
      <c r="F2477" s="14" t="s">
        <v>75</v>
      </c>
      <c r="G2477" s="14" t="s">
        <v>76</v>
      </c>
      <c r="H2477" s="14" t="s">
        <v>458</v>
      </c>
      <c r="I2477" s="16" t="s">
        <v>2499</v>
      </c>
    </row>
    <row r="2478" ht="15.75" customHeight="1">
      <c r="A2478" s="8"/>
      <c r="B2478" s="4" t="s">
        <v>2496</v>
      </c>
      <c r="C2478" s="5">
        <v>5416374.0</v>
      </c>
      <c r="D2478" s="5">
        <v>0.0</v>
      </c>
      <c r="E2478" s="5">
        <f t="shared" si="2"/>
        <v>0</v>
      </c>
      <c r="F2478" s="4" t="s">
        <v>24</v>
      </c>
      <c r="G2478" s="4" t="s">
        <v>1787</v>
      </c>
      <c r="H2478" s="4" t="s">
        <v>4640</v>
      </c>
      <c r="I2478" s="16" t="s">
        <v>2499</v>
      </c>
    </row>
    <row r="2479" ht="15.75" customHeight="1">
      <c r="A2479" s="8">
        <v>46275.0</v>
      </c>
      <c r="B2479" s="4" t="s">
        <v>2606</v>
      </c>
      <c r="C2479" s="5">
        <v>0.0</v>
      </c>
      <c r="D2479" s="5">
        <v>446099.0</v>
      </c>
      <c r="E2479" s="5">
        <f t="shared" si="2"/>
        <v>446099</v>
      </c>
      <c r="F2479" s="14" t="s">
        <v>75</v>
      </c>
      <c r="G2479" s="14" t="s">
        <v>76</v>
      </c>
      <c r="H2479" s="14" t="s">
        <v>964</v>
      </c>
      <c r="I2479" s="16" t="s">
        <v>2608</v>
      </c>
    </row>
    <row r="2480" ht="15.75" customHeight="1">
      <c r="A2480" s="8"/>
      <c r="B2480" s="4" t="s">
        <v>2606</v>
      </c>
      <c r="C2480" s="5">
        <v>446099.0</v>
      </c>
      <c r="D2480" s="5">
        <v>0.0</v>
      </c>
      <c r="E2480" s="5">
        <f t="shared" si="2"/>
        <v>0</v>
      </c>
      <c r="F2480" s="4" t="s">
        <v>24</v>
      </c>
      <c r="G2480" s="4" t="s">
        <v>1787</v>
      </c>
      <c r="H2480" s="4" t="s">
        <v>4640</v>
      </c>
      <c r="I2480" s="16" t="s">
        <v>2608</v>
      </c>
    </row>
    <row r="2481" ht="15.75" customHeight="1">
      <c r="A2481" s="8">
        <v>46272.0</v>
      </c>
      <c r="B2481" s="4" t="s">
        <v>4655</v>
      </c>
      <c r="C2481" s="5">
        <v>0.0</v>
      </c>
      <c r="D2481" s="5">
        <v>6.60377899E8</v>
      </c>
      <c r="E2481" s="5">
        <f t="shared" si="2"/>
        <v>660377899</v>
      </c>
      <c r="F2481" s="4" t="s">
        <v>24</v>
      </c>
      <c r="G2481" s="4" t="s">
        <v>1787</v>
      </c>
      <c r="H2481" s="4" t="s">
        <v>4656</v>
      </c>
      <c r="I2481" s="16"/>
    </row>
    <row r="2482" ht="15.75" customHeight="1">
      <c r="A2482" s="8"/>
      <c r="B2482" s="4" t="s">
        <v>4655</v>
      </c>
      <c r="C2482" s="5">
        <v>6.60377899E8</v>
      </c>
      <c r="D2482" s="5">
        <v>0.0</v>
      </c>
      <c r="E2482" s="5">
        <f t="shared" si="2"/>
        <v>0</v>
      </c>
      <c r="F2482" s="4" t="s">
        <v>18</v>
      </c>
      <c r="G2482" s="4" t="s">
        <v>194</v>
      </c>
      <c r="H2482" s="4" t="s">
        <v>4657</v>
      </c>
      <c r="I2482" s="16"/>
    </row>
    <row r="2483" ht="15.75" customHeight="1">
      <c r="A2483" s="8">
        <v>46126.0</v>
      </c>
      <c r="B2483" s="14" t="s">
        <v>4658</v>
      </c>
      <c r="C2483" s="5">
        <v>0.0</v>
      </c>
      <c r="D2483" s="5">
        <v>1516305.0</v>
      </c>
      <c r="E2483" s="5">
        <f t="shared" si="2"/>
        <v>1516305</v>
      </c>
      <c r="F2483" s="14" t="s">
        <v>93</v>
      </c>
      <c r="G2483" s="14" t="s">
        <v>93</v>
      </c>
      <c r="H2483" s="14" t="s">
        <v>4641</v>
      </c>
      <c r="I2483" s="14" t="s">
        <v>4659</v>
      </c>
      <c r="J2483" s="14"/>
      <c r="K2483" s="14"/>
      <c r="L2483" s="14"/>
    </row>
    <row r="2484" ht="15.75" customHeight="1">
      <c r="A2484" s="8"/>
      <c r="B2484" s="4" t="s">
        <v>4658</v>
      </c>
      <c r="C2484" s="5">
        <v>1516305.0</v>
      </c>
      <c r="D2484" s="5">
        <v>0.0</v>
      </c>
      <c r="E2484" s="5">
        <f t="shared" si="2"/>
        <v>0</v>
      </c>
      <c r="F2484" s="4" t="s">
        <v>1201</v>
      </c>
      <c r="G2484" s="4" t="s">
        <v>243</v>
      </c>
      <c r="I2484" s="16"/>
    </row>
    <row r="2485" ht="15.75" customHeight="1">
      <c r="A2485" s="8">
        <v>46185.0</v>
      </c>
      <c r="B2485" s="14" t="s">
        <v>4660</v>
      </c>
      <c r="C2485" s="5">
        <v>0.0</v>
      </c>
      <c r="D2485" s="5">
        <v>758153.0</v>
      </c>
      <c r="E2485" s="5">
        <f t="shared" si="2"/>
        <v>758153</v>
      </c>
      <c r="F2485" s="14" t="s">
        <v>93</v>
      </c>
      <c r="G2485" s="14" t="s">
        <v>93</v>
      </c>
      <c r="H2485" s="14" t="s">
        <v>4641</v>
      </c>
      <c r="I2485" s="14" t="s">
        <v>4659</v>
      </c>
      <c r="J2485" s="14"/>
      <c r="K2485" s="14"/>
      <c r="L2485" s="14"/>
    </row>
    <row r="2486" ht="15.75" customHeight="1">
      <c r="A2486" s="8"/>
      <c r="B2486" s="4" t="s">
        <v>4660</v>
      </c>
      <c r="C2486" s="5">
        <v>758153.0</v>
      </c>
      <c r="D2486" s="5">
        <v>0.0</v>
      </c>
      <c r="E2486" s="5">
        <f t="shared" si="2"/>
        <v>0</v>
      </c>
      <c r="F2486" s="4" t="s">
        <v>1201</v>
      </c>
      <c r="G2486" s="4" t="s">
        <v>243</v>
      </c>
      <c r="I2486" s="16"/>
    </row>
    <row r="2487" ht="15.75" customHeight="1">
      <c r="A2487" s="8"/>
      <c r="B2487" s="4" t="s">
        <v>331</v>
      </c>
      <c r="C2487" s="5">
        <v>0.0</v>
      </c>
      <c r="D2487" s="5">
        <v>3.4684685E7</v>
      </c>
      <c r="E2487" s="5">
        <f t="shared" si="2"/>
        <v>34684685</v>
      </c>
      <c r="F2487" s="4" t="s">
        <v>93</v>
      </c>
      <c r="G2487" s="4" t="s">
        <v>93</v>
      </c>
      <c r="H2487" s="4" t="s">
        <v>4645</v>
      </c>
      <c r="I2487" s="4" t="s">
        <v>331</v>
      </c>
    </row>
    <row r="2488" ht="15.75" customHeight="1">
      <c r="A2488" s="8"/>
      <c r="B2488" s="4" t="s">
        <v>681</v>
      </c>
      <c r="C2488" s="5">
        <v>0.0</v>
      </c>
      <c r="D2488" s="5">
        <v>3583341.0</v>
      </c>
      <c r="E2488" s="5">
        <f t="shared" si="2"/>
        <v>38268026</v>
      </c>
      <c r="F2488" s="4" t="s">
        <v>93</v>
      </c>
      <c r="G2488" s="4" t="s">
        <v>93</v>
      </c>
      <c r="H2488" s="4" t="s">
        <v>4645</v>
      </c>
      <c r="I2488" s="4" t="s">
        <v>681</v>
      </c>
    </row>
    <row r="2489" ht="15.75" customHeight="1">
      <c r="A2489" s="8"/>
      <c r="B2489" s="4" t="s">
        <v>810</v>
      </c>
      <c r="C2489" s="5">
        <v>0.0</v>
      </c>
      <c r="D2489" s="5">
        <v>9960718.0</v>
      </c>
      <c r="E2489" s="5">
        <f t="shared" si="2"/>
        <v>48228744</v>
      </c>
      <c r="F2489" s="4" t="s">
        <v>93</v>
      </c>
      <c r="G2489" s="4" t="s">
        <v>93</v>
      </c>
      <c r="H2489" s="4" t="s">
        <v>4645</v>
      </c>
      <c r="I2489" s="4" t="s">
        <v>810</v>
      </c>
    </row>
    <row r="2490" ht="15.75" customHeight="1">
      <c r="A2490" s="8"/>
      <c r="B2490" s="4" t="s">
        <v>78</v>
      </c>
      <c r="C2490" s="5">
        <v>0.0</v>
      </c>
      <c r="D2490" s="5">
        <v>6.2927928E7</v>
      </c>
      <c r="E2490" s="5">
        <f t="shared" si="2"/>
        <v>111156672</v>
      </c>
      <c r="F2490" s="4" t="s">
        <v>93</v>
      </c>
      <c r="G2490" s="4" t="s">
        <v>93</v>
      </c>
      <c r="H2490" s="4" t="s">
        <v>4645</v>
      </c>
      <c r="I2490" s="4" t="s">
        <v>78</v>
      </c>
    </row>
    <row r="2491" ht="15.75" customHeight="1">
      <c r="A2491" s="8"/>
      <c r="B2491" s="4" t="s">
        <v>86</v>
      </c>
      <c r="C2491" s="5">
        <v>0.0</v>
      </c>
      <c r="D2491" s="5">
        <v>6.2927928E7</v>
      </c>
      <c r="E2491" s="5">
        <f t="shared" si="2"/>
        <v>174084600</v>
      </c>
      <c r="F2491" s="4" t="s">
        <v>93</v>
      </c>
      <c r="G2491" s="4" t="s">
        <v>93</v>
      </c>
      <c r="H2491" s="4" t="s">
        <v>4645</v>
      </c>
      <c r="I2491" s="4" t="s">
        <v>86</v>
      </c>
    </row>
    <row r="2492" ht="15.75" customHeight="1">
      <c r="A2492" s="8"/>
      <c r="B2492" s="4" t="s">
        <v>872</v>
      </c>
      <c r="C2492" s="5">
        <v>0.0</v>
      </c>
      <c r="D2492" s="5">
        <v>3560400.0</v>
      </c>
      <c r="E2492" s="5">
        <f t="shared" si="2"/>
        <v>177645000</v>
      </c>
      <c r="F2492" s="4" t="s">
        <v>93</v>
      </c>
      <c r="G2492" s="4" t="s">
        <v>93</v>
      </c>
      <c r="H2492" s="4" t="s">
        <v>4645</v>
      </c>
      <c r="I2492" s="4" t="s">
        <v>872</v>
      </c>
    </row>
    <row r="2493" ht="15.75" customHeight="1">
      <c r="A2493" s="8"/>
      <c r="B2493" s="4" t="s">
        <v>852</v>
      </c>
      <c r="C2493" s="5">
        <v>0.0</v>
      </c>
      <c r="D2493" s="5">
        <v>2501563.0</v>
      </c>
      <c r="E2493" s="5">
        <f t="shared" si="2"/>
        <v>180146563</v>
      </c>
      <c r="F2493" s="4" t="s">
        <v>93</v>
      </c>
      <c r="G2493" s="4" t="s">
        <v>93</v>
      </c>
      <c r="H2493" s="4" t="s">
        <v>4645</v>
      </c>
      <c r="I2493" s="4" t="s">
        <v>852</v>
      </c>
    </row>
    <row r="2494" ht="15.75" customHeight="1">
      <c r="A2494" s="8"/>
      <c r="B2494" s="4" t="s">
        <v>856</v>
      </c>
      <c r="C2494" s="5">
        <v>0.0</v>
      </c>
      <c r="D2494" s="5">
        <v>3704886.0</v>
      </c>
      <c r="E2494" s="5">
        <f t="shared" si="2"/>
        <v>183851449</v>
      </c>
      <c r="F2494" s="4" t="s">
        <v>93</v>
      </c>
      <c r="G2494" s="4" t="s">
        <v>93</v>
      </c>
      <c r="H2494" s="4" t="s">
        <v>4645</v>
      </c>
      <c r="I2494" s="4" t="s">
        <v>856</v>
      </c>
    </row>
    <row r="2495" ht="15.75" customHeight="1">
      <c r="A2495" s="8"/>
      <c r="B2495" s="4" t="s">
        <v>861</v>
      </c>
      <c r="C2495" s="5">
        <v>0.0</v>
      </c>
      <c r="D2495" s="5">
        <v>8851605.0</v>
      </c>
      <c r="E2495" s="5">
        <f t="shared" si="2"/>
        <v>192703054</v>
      </c>
      <c r="F2495" s="4" t="s">
        <v>93</v>
      </c>
      <c r="G2495" s="4" t="s">
        <v>93</v>
      </c>
      <c r="H2495" s="4" t="s">
        <v>4645</v>
      </c>
      <c r="I2495" s="4" t="s">
        <v>861</v>
      </c>
    </row>
    <row r="2496" ht="15.75" customHeight="1">
      <c r="A2496" s="8"/>
      <c r="B2496" s="4" t="s">
        <v>1542</v>
      </c>
      <c r="C2496" s="5">
        <v>0.0</v>
      </c>
      <c r="D2496" s="5">
        <v>309755.0</v>
      </c>
      <c r="E2496" s="5">
        <f t="shared" si="2"/>
        <v>193012809</v>
      </c>
      <c r="F2496" s="4" t="s">
        <v>93</v>
      </c>
      <c r="G2496" s="4" t="s">
        <v>93</v>
      </c>
      <c r="H2496" s="4" t="s">
        <v>4661</v>
      </c>
      <c r="I2496" s="4" t="s">
        <v>1542</v>
      </c>
    </row>
    <row r="2497" ht="15.75" customHeight="1">
      <c r="A2497" s="8"/>
      <c r="B2497" s="4" t="s">
        <v>1052</v>
      </c>
      <c r="C2497" s="5">
        <v>0.0</v>
      </c>
      <c r="D2497" s="5">
        <v>6038306.0</v>
      </c>
      <c r="E2497" s="5">
        <f t="shared" si="2"/>
        <v>199051115</v>
      </c>
      <c r="F2497" s="4" t="s">
        <v>93</v>
      </c>
      <c r="G2497" s="4" t="s">
        <v>93</v>
      </c>
      <c r="H2497" s="4" t="s">
        <v>4645</v>
      </c>
      <c r="I2497" s="4" t="s">
        <v>1052</v>
      </c>
    </row>
    <row r="2498" ht="15.75" customHeight="1">
      <c r="A2498" s="8"/>
      <c r="B2498" s="4" t="s">
        <v>1056</v>
      </c>
      <c r="C2498" s="5">
        <v>0.0</v>
      </c>
      <c r="D2498" s="5">
        <v>3320248.0</v>
      </c>
      <c r="E2498" s="5">
        <f t="shared" si="2"/>
        <v>202371363</v>
      </c>
      <c r="F2498" s="4" t="s">
        <v>93</v>
      </c>
      <c r="G2498" s="4" t="s">
        <v>93</v>
      </c>
      <c r="H2498" s="4" t="s">
        <v>4645</v>
      </c>
      <c r="I2498" s="4" t="s">
        <v>1056</v>
      </c>
    </row>
    <row r="2499" ht="15.75" customHeight="1">
      <c r="A2499" s="8"/>
      <c r="B2499" s="4" t="s">
        <v>1196</v>
      </c>
      <c r="C2499" s="5">
        <v>0.0</v>
      </c>
      <c r="D2499" s="5">
        <v>5.945946E7</v>
      </c>
      <c r="E2499" s="5">
        <f t="shared" si="2"/>
        <v>261830823</v>
      </c>
      <c r="F2499" s="4" t="s">
        <v>93</v>
      </c>
      <c r="G2499" s="4" t="s">
        <v>93</v>
      </c>
      <c r="H2499" s="4" t="s">
        <v>4645</v>
      </c>
      <c r="I2499" s="4" t="s">
        <v>1196</v>
      </c>
    </row>
    <row r="2500" ht="15.75" customHeight="1">
      <c r="A2500" s="8"/>
      <c r="B2500" s="4" t="s">
        <v>1674</v>
      </c>
      <c r="C2500" s="5">
        <v>0.0</v>
      </c>
      <c r="D2500" s="5">
        <v>5433185.0</v>
      </c>
      <c r="E2500" s="5">
        <f t="shared" si="2"/>
        <v>267264008</v>
      </c>
      <c r="F2500" s="4" t="s">
        <v>93</v>
      </c>
      <c r="G2500" s="4" t="s">
        <v>93</v>
      </c>
      <c r="H2500" s="4" t="s">
        <v>4645</v>
      </c>
      <c r="I2500" s="4" t="s">
        <v>1674</v>
      </c>
    </row>
    <row r="2501" ht="15.75" customHeight="1">
      <c r="A2501" s="8"/>
      <c r="B2501" s="4" t="s">
        <v>1887</v>
      </c>
      <c r="C2501" s="5">
        <v>0.0</v>
      </c>
      <c r="D2501" s="5">
        <v>3539474.0</v>
      </c>
      <c r="E2501" s="5">
        <f t="shared" si="2"/>
        <v>270803482</v>
      </c>
      <c r="F2501" s="4" t="s">
        <v>93</v>
      </c>
      <c r="G2501" s="4" t="s">
        <v>93</v>
      </c>
      <c r="H2501" s="4" t="s">
        <v>4645</v>
      </c>
      <c r="I2501" s="4" t="s">
        <v>1887</v>
      </c>
    </row>
    <row r="2502" ht="15.75" customHeight="1">
      <c r="A2502" s="8"/>
      <c r="B2502" s="4" t="s">
        <v>4662</v>
      </c>
      <c r="C2502" s="5">
        <v>0.0</v>
      </c>
      <c r="D2502" s="5">
        <v>1.5288084E7</v>
      </c>
      <c r="E2502" s="5">
        <f t="shared" si="2"/>
        <v>286091566</v>
      </c>
      <c r="F2502" s="4" t="s">
        <v>18</v>
      </c>
      <c r="G2502" s="4" t="s">
        <v>194</v>
      </c>
      <c r="H2502" s="4" t="s">
        <v>4663</v>
      </c>
      <c r="I2502" s="4" t="s">
        <v>6</v>
      </c>
    </row>
    <row r="2503" ht="15.75" customHeight="1">
      <c r="A2503" s="8"/>
      <c r="B2503" s="4" t="s">
        <v>1898</v>
      </c>
      <c r="C2503" s="5">
        <v>0.0</v>
      </c>
      <c r="D2503" s="5">
        <v>1.5004256E7</v>
      </c>
      <c r="E2503" s="5">
        <f t="shared" si="2"/>
        <v>301095822</v>
      </c>
      <c r="F2503" s="4" t="s">
        <v>93</v>
      </c>
      <c r="G2503" s="4" t="s">
        <v>93</v>
      </c>
      <c r="H2503" s="4" t="s">
        <v>4645</v>
      </c>
      <c r="I2503" s="4" t="s">
        <v>1898</v>
      </c>
    </row>
    <row r="2504" ht="15.75" customHeight="1">
      <c r="A2504" s="8"/>
      <c r="B2504" s="4" t="s">
        <v>1889</v>
      </c>
      <c r="C2504" s="5">
        <v>0.0</v>
      </c>
      <c r="D2504" s="5">
        <v>5241487.0</v>
      </c>
      <c r="E2504" s="5">
        <f t="shared" si="2"/>
        <v>306337309</v>
      </c>
      <c r="F2504" s="4" t="s">
        <v>93</v>
      </c>
      <c r="G2504" s="4" t="s">
        <v>93</v>
      </c>
      <c r="H2504" s="4" t="s">
        <v>4645</v>
      </c>
      <c r="I2504" s="4" t="s">
        <v>1889</v>
      </c>
    </row>
    <row r="2505" ht="15.75" customHeight="1">
      <c r="A2505" s="8"/>
      <c r="B2505" s="4" t="s">
        <v>1891</v>
      </c>
      <c r="C2505" s="5">
        <v>0.0</v>
      </c>
      <c r="D2505" s="5">
        <v>7040187.0</v>
      </c>
      <c r="E2505" s="5">
        <f t="shared" si="2"/>
        <v>313377496</v>
      </c>
      <c r="F2505" s="4" t="s">
        <v>93</v>
      </c>
      <c r="G2505" s="4" t="s">
        <v>93</v>
      </c>
      <c r="H2505" s="4" t="s">
        <v>4645</v>
      </c>
      <c r="I2505" s="4" t="s">
        <v>1891</v>
      </c>
    </row>
    <row r="2506" ht="15.75" customHeight="1">
      <c r="A2506" s="8"/>
      <c r="B2506" s="4" t="s">
        <v>1895</v>
      </c>
      <c r="C2506" s="5">
        <v>0.0</v>
      </c>
      <c r="D2506" s="5">
        <v>1.6818095E7</v>
      </c>
      <c r="E2506" s="5">
        <f t="shared" si="2"/>
        <v>330195591</v>
      </c>
      <c r="F2506" s="4" t="s">
        <v>93</v>
      </c>
      <c r="G2506" s="4" t="s">
        <v>93</v>
      </c>
      <c r="H2506" s="4" t="s">
        <v>4645</v>
      </c>
      <c r="I2506" s="4" t="s">
        <v>1895</v>
      </c>
    </row>
    <row r="2507" ht="15.75" customHeight="1">
      <c r="A2507" s="8"/>
      <c r="B2507" s="4" t="s">
        <v>1620</v>
      </c>
      <c r="C2507" s="5">
        <v>0.0</v>
      </c>
      <c r="D2507" s="5">
        <v>2270714.0</v>
      </c>
      <c r="E2507" s="5">
        <f t="shared" si="2"/>
        <v>332466305</v>
      </c>
      <c r="F2507" s="4" t="s">
        <v>93</v>
      </c>
      <c r="G2507" s="4" t="s">
        <v>93</v>
      </c>
      <c r="H2507" s="4" t="s">
        <v>4645</v>
      </c>
      <c r="I2507" s="4" t="s">
        <v>1620</v>
      </c>
    </row>
    <row r="2508" ht="15.75" customHeight="1">
      <c r="A2508" s="8"/>
      <c r="B2508" s="4" t="s">
        <v>4664</v>
      </c>
      <c r="C2508" s="5">
        <v>0.0</v>
      </c>
      <c r="D2508" s="5">
        <v>3761231.0</v>
      </c>
      <c r="E2508" s="5">
        <f t="shared" si="2"/>
        <v>336227536</v>
      </c>
      <c r="F2508" s="4" t="s">
        <v>18</v>
      </c>
      <c r="G2508" s="4" t="s">
        <v>194</v>
      </c>
      <c r="H2508" s="4" t="s">
        <v>4663</v>
      </c>
      <c r="I2508" s="4" t="s">
        <v>6</v>
      </c>
    </row>
    <row r="2509" ht="15.75" customHeight="1">
      <c r="A2509" s="8"/>
      <c r="B2509" s="4" t="s">
        <v>2235</v>
      </c>
      <c r="C2509" s="5">
        <v>0.0</v>
      </c>
      <c r="D2509" s="5">
        <v>3.0098839E7</v>
      </c>
      <c r="E2509" s="5">
        <f t="shared" si="2"/>
        <v>366326375</v>
      </c>
      <c r="F2509" s="4" t="s">
        <v>93</v>
      </c>
      <c r="G2509" s="4" t="s">
        <v>93</v>
      </c>
      <c r="H2509" s="4" t="s">
        <v>4645</v>
      </c>
      <c r="I2509" s="4" t="s">
        <v>2235</v>
      </c>
    </row>
    <row r="2510" ht="15.75" customHeight="1">
      <c r="A2510" s="8"/>
      <c r="B2510" s="4" t="s">
        <v>2181</v>
      </c>
      <c r="C2510" s="5">
        <v>0.0</v>
      </c>
      <c r="D2510" s="5">
        <v>2377115.0</v>
      </c>
      <c r="E2510" s="5">
        <f t="shared" si="2"/>
        <v>368703490</v>
      </c>
      <c r="F2510" s="4" t="s">
        <v>93</v>
      </c>
      <c r="G2510" s="4" t="s">
        <v>93</v>
      </c>
      <c r="H2510" s="4" t="s">
        <v>4645</v>
      </c>
      <c r="I2510" s="4" t="s">
        <v>2181</v>
      </c>
    </row>
    <row r="2511" ht="15.75" customHeight="1">
      <c r="A2511" s="8"/>
      <c r="B2511" s="4" t="s">
        <v>2185</v>
      </c>
      <c r="C2511" s="5">
        <v>0.0</v>
      </c>
      <c r="D2511" s="5">
        <v>7465842.0</v>
      </c>
      <c r="E2511" s="5">
        <f t="shared" si="2"/>
        <v>376169332</v>
      </c>
      <c r="F2511" s="4" t="s">
        <v>93</v>
      </c>
      <c r="G2511" s="4" t="s">
        <v>93</v>
      </c>
      <c r="H2511" s="4" t="s">
        <v>4645</v>
      </c>
      <c r="I2511" s="4" t="s">
        <v>2185</v>
      </c>
    </row>
    <row r="2512" ht="15.75" customHeight="1">
      <c r="A2512" s="8"/>
      <c r="B2512" s="16" t="s">
        <v>4665</v>
      </c>
      <c r="C2512" s="5">
        <v>0.0</v>
      </c>
      <c r="D2512" s="5">
        <v>2712325.0</v>
      </c>
      <c r="E2512" s="5">
        <f t="shared" si="2"/>
        <v>378881657</v>
      </c>
      <c r="F2512" s="4" t="s">
        <v>18</v>
      </c>
      <c r="G2512" s="4" t="s">
        <v>194</v>
      </c>
      <c r="H2512" s="4" t="s">
        <v>4645</v>
      </c>
      <c r="I2512" s="16" t="s">
        <v>4665</v>
      </c>
    </row>
    <row r="2513" ht="15.75" customHeight="1">
      <c r="A2513" s="8"/>
      <c r="B2513" s="4" t="s">
        <v>1621</v>
      </c>
      <c r="C2513" s="5">
        <v>0.0</v>
      </c>
      <c r="D2513" s="5">
        <v>8824562.0</v>
      </c>
      <c r="E2513" s="5">
        <f>E2511-C2513+D2513</f>
        <v>384993894</v>
      </c>
      <c r="F2513" s="4" t="s">
        <v>93</v>
      </c>
      <c r="G2513" s="4" t="s">
        <v>93</v>
      </c>
      <c r="H2513" s="4" t="s">
        <v>4645</v>
      </c>
      <c r="I2513" s="4" t="s">
        <v>1621</v>
      </c>
    </row>
    <row r="2514" ht="15.75" customHeight="1">
      <c r="A2514" s="8"/>
      <c r="B2514" s="4" t="s">
        <v>2386</v>
      </c>
      <c r="C2514" s="5">
        <v>0.0</v>
      </c>
      <c r="D2514" s="5">
        <v>2482197.0</v>
      </c>
      <c r="E2514" s="5">
        <f t="shared" ref="E2514:E2764" si="3">E2513-C2514+D2514</f>
        <v>387476091</v>
      </c>
      <c r="F2514" s="4" t="s">
        <v>93</v>
      </c>
      <c r="G2514" s="4" t="s">
        <v>93</v>
      </c>
      <c r="H2514" s="4" t="s">
        <v>4645</v>
      </c>
      <c r="I2514" s="4" t="s">
        <v>2386</v>
      </c>
    </row>
    <row r="2515" ht="15.75" customHeight="1">
      <c r="A2515" s="8"/>
      <c r="B2515" s="4" t="s">
        <v>2242</v>
      </c>
      <c r="C2515" s="5">
        <v>0.0</v>
      </c>
      <c r="D2515" s="5">
        <v>9.3835722E7</v>
      </c>
      <c r="E2515" s="5">
        <f t="shared" si="3"/>
        <v>481311813</v>
      </c>
      <c r="F2515" s="4" t="s">
        <v>93</v>
      </c>
      <c r="G2515" s="4" t="s">
        <v>93</v>
      </c>
      <c r="H2515" s="4" t="s">
        <v>4645</v>
      </c>
      <c r="I2515" s="4" t="s">
        <v>2242</v>
      </c>
    </row>
    <row r="2516" ht="15.75" customHeight="1">
      <c r="A2516" s="8"/>
      <c r="B2516" s="4" t="s">
        <v>4666</v>
      </c>
      <c r="C2516" s="5">
        <v>0.0</v>
      </c>
      <c r="D2516" s="5">
        <v>1.5873144E7</v>
      </c>
      <c r="E2516" s="5">
        <f t="shared" si="3"/>
        <v>497184957</v>
      </c>
      <c r="F2516" s="4" t="s">
        <v>18</v>
      </c>
      <c r="G2516" s="4" t="s">
        <v>194</v>
      </c>
      <c r="H2516" s="4" t="s">
        <v>4663</v>
      </c>
    </row>
    <row r="2517" ht="15.75" customHeight="1">
      <c r="A2517" s="8"/>
      <c r="B2517" s="4" t="s">
        <v>4667</v>
      </c>
      <c r="C2517" s="5">
        <v>0.0</v>
      </c>
      <c r="D2517" s="5">
        <v>7.218288E7</v>
      </c>
      <c r="E2517" s="5">
        <f t="shared" si="3"/>
        <v>569367837</v>
      </c>
      <c r="F2517" s="4" t="s">
        <v>18</v>
      </c>
      <c r="G2517" s="4" t="s">
        <v>194</v>
      </c>
      <c r="H2517" s="4" t="s">
        <v>4663</v>
      </c>
    </row>
    <row r="2518" ht="15.75" customHeight="1">
      <c r="A2518" s="8"/>
      <c r="B2518" s="4" t="s">
        <v>1310</v>
      </c>
      <c r="C2518" s="5">
        <v>0.0</v>
      </c>
      <c r="D2518" s="5">
        <v>1563176.0</v>
      </c>
      <c r="E2518" s="5">
        <f t="shared" si="3"/>
        <v>570931013</v>
      </c>
      <c r="F2518" s="4" t="s">
        <v>93</v>
      </c>
      <c r="G2518" s="4" t="s">
        <v>93</v>
      </c>
      <c r="H2518" s="4" t="s">
        <v>4661</v>
      </c>
      <c r="I2518" s="4" t="s">
        <v>1310</v>
      </c>
    </row>
    <row r="2519" ht="15.75" customHeight="1">
      <c r="A2519" s="8"/>
      <c r="B2519" s="4" t="s">
        <v>1877</v>
      </c>
      <c r="C2519" s="5">
        <v>0.0</v>
      </c>
      <c r="D2519" s="5">
        <v>3843125.0</v>
      </c>
      <c r="E2519" s="5">
        <f t="shared" si="3"/>
        <v>574774138</v>
      </c>
      <c r="F2519" s="4" t="s">
        <v>93</v>
      </c>
      <c r="G2519" s="4" t="s">
        <v>93</v>
      </c>
      <c r="H2519" s="4" t="s">
        <v>4645</v>
      </c>
      <c r="I2519" s="4" t="s">
        <v>1877</v>
      </c>
    </row>
    <row r="2520" ht="15.75" customHeight="1">
      <c r="A2520" s="8"/>
      <c r="B2520" s="4" t="s">
        <v>2377</v>
      </c>
      <c r="C2520" s="5">
        <v>0.0</v>
      </c>
      <c r="D2520" s="5">
        <v>3342350.0</v>
      </c>
      <c r="E2520" s="5">
        <f t="shared" si="3"/>
        <v>578116488</v>
      </c>
      <c r="F2520" s="4" t="s">
        <v>93</v>
      </c>
      <c r="G2520" s="4" t="s">
        <v>93</v>
      </c>
      <c r="H2520" s="4" t="s">
        <v>4645</v>
      </c>
      <c r="I2520" s="4" t="s">
        <v>2377</v>
      </c>
    </row>
    <row r="2521" ht="15.75" customHeight="1">
      <c r="A2521" s="8"/>
      <c r="B2521" s="4" t="s">
        <v>4653</v>
      </c>
      <c r="C2521" s="5">
        <v>0.0</v>
      </c>
      <c r="D2521" s="5">
        <v>6.32781356E8</v>
      </c>
      <c r="E2521" s="5">
        <f t="shared" si="3"/>
        <v>1210897844</v>
      </c>
      <c r="F2521" s="4" t="s">
        <v>93</v>
      </c>
      <c r="G2521" s="4" t="s">
        <v>93</v>
      </c>
      <c r="H2521" s="4" t="s">
        <v>4645</v>
      </c>
      <c r="I2521" s="4" t="s">
        <v>4653</v>
      </c>
    </row>
    <row r="2522" ht="15.75" customHeight="1">
      <c r="A2522" s="8"/>
      <c r="B2522" s="4" t="s">
        <v>1544</v>
      </c>
      <c r="C2522" s="5">
        <v>0.0</v>
      </c>
      <c r="D2522" s="5">
        <v>1305124.0</v>
      </c>
      <c r="E2522" s="5">
        <f t="shared" si="3"/>
        <v>1212202968</v>
      </c>
      <c r="F2522" s="4" t="s">
        <v>93</v>
      </c>
      <c r="G2522" s="4" t="s">
        <v>93</v>
      </c>
      <c r="H2522" s="4" t="s">
        <v>4661</v>
      </c>
      <c r="I2522" s="4" t="s">
        <v>1544</v>
      </c>
    </row>
    <row r="2523" ht="15.75" customHeight="1">
      <c r="A2523" s="8"/>
      <c r="B2523" s="4" t="s">
        <v>2379</v>
      </c>
      <c r="C2523" s="5">
        <v>0.0</v>
      </c>
      <c r="D2523" s="5">
        <v>2650536.0</v>
      </c>
      <c r="E2523" s="5">
        <f t="shared" si="3"/>
        <v>1214853504</v>
      </c>
      <c r="F2523" s="4" t="s">
        <v>93</v>
      </c>
      <c r="G2523" s="4" t="s">
        <v>93</v>
      </c>
      <c r="H2523" s="4" t="s">
        <v>4645</v>
      </c>
      <c r="I2523" s="4" t="s">
        <v>2379</v>
      </c>
    </row>
    <row r="2524" ht="15.75" customHeight="1">
      <c r="A2524" s="8"/>
      <c r="B2524" s="4" t="s">
        <v>2390</v>
      </c>
      <c r="C2524" s="5">
        <v>0.0</v>
      </c>
      <c r="D2524" s="5">
        <v>9248269.0</v>
      </c>
      <c r="E2524" s="5">
        <f t="shared" si="3"/>
        <v>1224101773</v>
      </c>
      <c r="F2524" s="4" t="s">
        <v>93</v>
      </c>
      <c r="G2524" s="4" t="s">
        <v>93</v>
      </c>
      <c r="H2524" s="4" t="s">
        <v>4661</v>
      </c>
      <c r="I2524" s="4" t="s">
        <v>2390</v>
      </c>
    </row>
    <row r="2525" ht="15.75" customHeight="1">
      <c r="A2525" s="8"/>
      <c r="B2525" s="4" t="s">
        <v>261</v>
      </c>
      <c r="C2525" s="5">
        <v>0.0</v>
      </c>
      <c r="D2525" s="5">
        <v>1.9734556E7</v>
      </c>
      <c r="E2525" s="5">
        <f t="shared" si="3"/>
        <v>1243836329</v>
      </c>
      <c r="F2525" s="4" t="s">
        <v>93</v>
      </c>
      <c r="G2525" s="4" t="s">
        <v>93</v>
      </c>
      <c r="H2525" s="4" t="s">
        <v>4645</v>
      </c>
      <c r="I2525" s="4" t="s">
        <v>261</v>
      </c>
    </row>
    <row r="2526" ht="15.75" customHeight="1">
      <c r="A2526" s="8"/>
      <c r="B2526" s="4" t="s">
        <v>4668</v>
      </c>
      <c r="C2526" s="5">
        <v>0.0</v>
      </c>
      <c r="D2526" s="5">
        <v>2506900.0</v>
      </c>
      <c r="E2526" s="5">
        <f t="shared" si="3"/>
        <v>1246343229</v>
      </c>
      <c r="F2526" s="4" t="s">
        <v>18</v>
      </c>
      <c r="G2526" s="4" t="s">
        <v>194</v>
      </c>
      <c r="H2526" s="4" t="s">
        <v>4663</v>
      </c>
    </row>
    <row r="2527" ht="15.75" customHeight="1">
      <c r="A2527" s="8"/>
      <c r="B2527" s="4" t="s">
        <v>1811</v>
      </c>
      <c r="C2527" s="5">
        <v>0.0</v>
      </c>
      <c r="D2527" s="5">
        <v>8.1105641E7</v>
      </c>
      <c r="E2527" s="5">
        <f t="shared" si="3"/>
        <v>1327448870</v>
      </c>
      <c r="F2527" s="4" t="s">
        <v>93</v>
      </c>
      <c r="G2527" s="4" t="s">
        <v>93</v>
      </c>
      <c r="H2527" s="4" t="s">
        <v>4645</v>
      </c>
      <c r="I2527" s="4" t="s">
        <v>1811</v>
      </c>
    </row>
    <row r="2528" ht="15.75" customHeight="1">
      <c r="A2528" s="8"/>
      <c r="B2528" s="4" t="s">
        <v>1332</v>
      </c>
      <c r="C2528" s="5">
        <v>0.0</v>
      </c>
      <c r="D2528" s="5">
        <v>5251400.0</v>
      </c>
      <c r="E2528" s="5">
        <f t="shared" si="3"/>
        <v>1332700270</v>
      </c>
      <c r="F2528" s="4" t="s">
        <v>93</v>
      </c>
      <c r="G2528" s="4" t="s">
        <v>93</v>
      </c>
      <c r="H2528" s="4" t="s">
        <v>4645</v>
      </c>
      <c r="I2528" s="4" t="s">
        <v>1332</v>
      </c>
    </row>
    <row r="2529" ht="15.75" customHeight="1">
      <c r="A2529" s="8"/>
      <c r="B2529" s="4" t="s">
        <v>1547</v>
      </c>
      <c r="C2529" s="5">
        <v>0.0</v>
      </c>
      <c r="D2529" s="5">
        <v>1114122.0</v>
      </c>
      <c r="E2529" s="5">
        <f t="shared" si="3"/>
        <v>1333814392</v>
      </c>
      <c r="F2529" s="4" t="s">
        <v>93</v>
      </c>
      <c r="G2529" s="4" t="s">
        <v>93</v>
      </c>
      <c r="H2529" s="4" t="s">
        <v>4661</v>
      </c>
      <c r="I2529" s="4" t="s">
        <v>1547</v>
      </c>
    </row>
    <row r="2530" ht="15.75" customHeight="1">
      <c r="A2530" s="8"/>
      <c r="B2530" s="4" t="s">
        <v>603</v>
      </c>
      <c r="C2530" s="5">
        <v>0.0</v>
      </c>
      <c r="D2530" s="5">
        <v>6.4571861E7</v>
      </c>
      <c r="E2530" s="5">
        <f t="shared" si="3"/>
        <v>1398386253</v>
      </c>
      <c r="F2530" s="4" t="s">
        <v>93</v>
      </c>
      <c r="G2530" s="4" t="s">
        <v>93</v>
      </c>
      <c r="H2530" s="4" t="s">
        <v>4645</v>
      </c>
      <c r="I2530" s="4" t="s">
        <v>603</v>
      </c>
    </row>
    <row r="2531" ht="15.75" customHeight="1">
      <c r="A2531" s="8"/>
      <c r="B2531" s="4" t="s">
        <v>1552</v>
      </c>
      <c r="C2531" s="5">
        <v>0.0</v>
      </c>
      <c r="D2531" s="5">
        <v>736530.0</v>
      </c>
      <c r="E2531" s="5">
        <f t="shared" si="3"/>
        <v>1399122783</v>
      </c>
      <c r="F2531" s="4" t="s">
        <v>93</v>
      </c>
      <c r="G2531" s="4" t="s">
        <v>93</v>
      </c>
      <c r="H2531" s="4" t="s">
        <v>4661</v>
      </c>
      <c r="I2531" s="4" t="s">
        <v>1552</v>
      </c>
    </row>
    <row r="2532" ht="15.75" customHeight="1">
      <c r="A2532" s="8"/>
      <c r="B2532" s="4" t="s">
        <v>582</v>
      </c>
      <c r="C2532" s="5">
        <v>0.0</v>
      </c>
      <c r="D2532" s="5">
        <v>6270000.0</v>
      </c>
      <c r="E2532" s="5">
        <f t="shared" si="3"/>
        <v>1405392783</v>
      </c>
      <c r="F2532" s="4" t="s">
        <v>93</v>
      </c>
      <c r="G2532" s="4" t="s">
        <v>93</v>
      </c>
      <c r="H2532" s="4" t="s">
        <v>4661</v>
      </c>
      <c r="I2532" s="4" t="s">
        <v>582</v>
      </c>
    </row>
    <row r="2533" ht="15.75" customHeight="1">
      <c r="A2533" s="8"/>
      <c r="B2533" s="4" t="s">
        <v>1299</v>
      </c>
      <c r="C2533" s="5">
        <v>0.0</v>
      </c>
      <c r="D2533" s="5">
        <v>3025000.0</v>
      </c>
      <c r="E2533" s="5">
        <f t="shared" si="3"/>
        <v>1408417783</v>
      </c>
      <c r="F2533" s="4" t="s">
        <v>93</v>
      </c>
      <c r="G2533" s="4" t="s">
        <v>93</v>
      </c>
      <c r="H2533" s="4" t="s">
        <v>4661</v>
      </c>
      <c r="I2533" s="4" t="s">
        <v>1299</v>
      </c>
    </row>
    <row r="2534" ht="15.75" customHeight="1">
      <c r="A2534" s="8"/>
      <c r="B2534" s="4" t="s">
        <v>386</v>
      </c>
      <c r="C2534" s="5">
        <v>0.0</v>
      </c>
      <c r="D2534" s="5">
        <v>8470718.0</v>
      </c>
      <c r="E2534" s="5">
        <f t="shared" si="3"/>
        <v>1416888501</v>
      </c>
      <c r="F2534" s="4" t="s">
        <v>93</v>
      </c>
      <c r="G2534" s="4" t="s">
        <v>93</v>
      </c>
      <c r="H2534" s="4" t="s">
        <v>4645</v>
      </c>
      <c r="I2534" s="4" t="s">
        <v>386</v>
      </c>
    </row>
    <row r="2535" ht="15.75" customHeight="1">
      <c r="A2535" s="8"/>
      <c r="B2535" s="4" t="s">
        <v>477</v>
      </c>
      <c r="C2535" s="5">
        <v>0.0</v>
      </c>
      <c r="D2535" s="5">
        <v>6.9369369E7</v>
      </c>
      <c r="E2535" s="5">
        <f t="shared" si="3"/>
        <v>1486257870</v>
      </c>
      <c r="F2535" s="4" t="s">
        <v>93</v>
      </c>
      <c r="G2535" s="4" t="s">
        <v>93</v>
      </c>
      <c r="H2535" s="4" t="s">
        <v>4645</v>
      </c>
      <c r="I2535" s="4" t="s">
        <v>477</v>
      </c>
    </row>
    <row r="2536" ht="15.75" customHeight="1">
      <c r="A2536" s="8"/>
      <c r="B2536" s="4" t="s">
        <v>1180</v>
      </c>
      <c r="C2536" s="5">
        <v>0.0</v>
      </c>
      <c r="D2536" s="5">
        <v>2145000.0</v>
      </c>
      <c r="E2536" s="5">
        <f t="shared" si="3"/>
        <v>1488402870</v>
      </c>
      <c r="F2536" s="4" t="s">
        <v>93</v>
      </c>
      <c r="G2536" s="4" t="s">
        <v>93</v>
      </c>
      <c r="H2536" s="4" t="s">
        <v>4661</v>
      </c>
      <c r="I2536" s="4" t="s">
        <v>1180</v>
      </c>
    </row>
    <row r="2537" ht="15.75" customHeight="1">
      <c r="A2537" s="8"/>
      <c r="B2537" s="4" t="s">
        <v>799</v>
      </c>
      <c r="C2537" s="5">
        <v>0.0</v>
      </c>
      <c r="D2537" s="5">
        <v>660000.0</v>
      </c>
      <c r="E2537" s="5">
        <f t="shared" si="3"/>
        <v>1489062870</v>
      </c>
      <c r="F2537" s="4" t="s">
        <v>93</v>
      </c>
      <c r="G2537" s="4" t="s">
        <v>93</v>
      </c>
      <c r="H2537" s="4" t="s">
        <v>4661</v>
      </c>
      <c r="I2537" s="4" t="s">
        <v>799</v>
      </c>
    </row>
    <row r="2538" ht="15.75" customHeight="1">
      <c r="A2538" s="8"/>
      <c r="B2538" s="4" t="s">
        <v>1313</v>
      </c>
      <c r="C2538" s="5">
        <v>0.0</v>
      </c>
      <c r="D2538" s="5">
        <v>3025000.0</v>
      </c>
      <c r="E2538" s="5">
        <f t="shared" si="3"/>
        <v>1492087870</v>
      </c>
      <c r="F2538" s="4" t="s">
        <v>93</v>
      </c>
      <c r="G2538" s="4" t="s">
        <v>93</v>
      </c>
      <c r="H2538" s="4" t="s">
        <v>4645</v>
      </c>
      <c r="I2538" s="4" t="s">
        <v>1313</v>
      </c>
    </row>
    <row r="2539" ht="15.75" customHeight="1">
      <c r="A2539" s="8"/>
      <c r="B2539" s="4" t="s">
        <v>792</v>
      </c>
      <c r="C2539" s="5">
        <v>0.0</v>
      </c>
      <c r="D2539" s="5">
        <v>660000.0</v>
      </c>
      <c r="E2539" s="5">
        <f t="shared" si="3"/>
        <v>1492747870</v>
      </c>
      <c r="F2539" s="4" t="s">
        <v>93</v>
      </c>
      <c r="G2539" s="4" t="s">
        <v>93</v>
      </c>
      <c r="H2539" s="4" t="s">
        <v>4661</v>
      </c>
      <c r="I2539" s="4" t="s">
        <v>792</v>
      </c>
    </row>
    <row r="2540" ht="15.75" customHeight="1">
      <c r="A2540" s="8"/>
      <c r="B2540" s="4" t="s">
        <v>1217</v>
      </c>
      <c r="C2540" s="5">
        <v>0.0</v>
      </c>
      <c r="D2540" s="5">
        <v>6.4414414E7</v>
      </c>
      <c r="E2540" s="5">
        <f t="shared" si="3"/>
        <v>1557162284</v>
      </c>
      <c r="F2540" s="4" t="s">
        <v>93</v>
      </c>
      <c r="G2540" s="4" t="s">
        <v>93</v>
      </c>
      <c r="H2540" s="4" t="s">
        <v>4645</v>
      </c>
      <c r="I2540" s="4" t="s">
        <v>1217</v>
      </c>
    </row>
    <row r="2541" ht="15.75" customHeight="1">
      <c r="A2541" s="8"/>
      <c r="B2541" s="4" t="s">
        <v>280</v>
      </c>
      <c r="C2541" s="5">
        <v>0.0</v>
      </c>
      <c r="D2541" s="5">
        <v>6.4414414E7</v>
      </c>
      <c r="E2541" s="5">
        <f t="shared" si="3"/>
        <v>1621576698</v>
      </c>
      <c r="F2541" s="4" t="s">
        <v>93</v>
      </c>
      <c r="G2541" s="4" t="s">
        <v>93</v>
      </c>
      <c r="H2541" s="4" t="s">
        <v>4645</v>
      </c>
      <c r="I2541" s="4" t="s">
        <v>280</v>
      </c>
    </row>
    <row r="2542" ht="15.75" customHeight="1">
      <c r="A2542" s="8"/>
      <c r="B2542" s="14" t="s">
        <v>1323</v>
      </c>
      <c r="C2542" s="5">
        <v>0.0</v>
      </c>
      <c r="D2542" s="5">
        <v>766298.0</v>
      </c>
      <c r="E2542" s="5">
        <f t="shared" si="3"/>
        <v>1622342996</v>
      </c>
      <c r="F2542" s="14" t="s">
        <v>93</v>
      </c>
      <c r="G2542" s="14" t="s">
        <v>93</v>
      </c>
      <c r="H2542" s="14" t="s">
        <v>4645</v>
      </c>
      <c r="I2542" s="14" t="s">
        <v>1323</v>
      </c>
      <c r="J2542" s="14"/>
      <c r="K2542" s="14"/>
      <c r="L2542" s="14"/>
    </row>
    <row r="2543" ht="15.75" customHeight="1">
      <c r="A2543" s="8"/>
      <c r="B2543" s="4" t="s">
        <v>1087</v>
      </c>
      <c r="C2543" s="5">
        <v>0.0</v>
      </c>
      <c r="D2543" s="5">
        <v>1563176.0</v>
      </c>
      <c r="E2543" s="5">
        <f t="shared" si="3"/>
        <v>1623906172</v>
      </c>
      <c r="F2543" s="4" t="s">
        <v>93</v>
      </c>
      <c r="G2543" s="4" t="s">
        <v>93</v>
      </c>
      <c r="H2543" s="4" t="s">
        <v>4661</v>
      </c>
      <c r="I2543" s="4" t="s">
        <v>1087</v>
      </c>
    </row>
    <row r="2544" ht="15.75" customHeight="1">
      <c r="A2544" s="8"/>
      <c r="B2544" s="4" t="s">
        <v>1193</v>
      </c>
      <c r="C2544" s="5">
        <v>0.0</v>
      </c>
      <c r="D2544" s="5">
        <v>3410000.0</v>
      </c>
      <c r="E2544" s="5">
        <f t="shared" si="3"/>
        <v>1627316172</v>
      </c>
      <c r="F2544" s="4" t="s">
        <v>93</v>
      </c>
      <c r="G2544" s="4" t="s">
        <v>93</v>
      </c>
      <c r="H2544" s="4" t="s">
        <v>4661</v>
      </c>
      <c r="I2544" s="4" t="s">
        <v>1193</v>
      </c>
    </row>
    <row r="2545" ht="15.75" customHeight="1">
      <c r="A2545" s="8"/>
      <c r="B2545" s="4" t="s">
        <v>392</v>
      </c>
      <c r="C2545" s="5">
        <v>0.0</v>
      </c>
      <c r="D2545" s="5">
        <v>9329100.0</v>
      </c>
      <c r="E2545" s="5">
        <f t="shared" si="3"/>
        <v>1636645272</v>
      </c>
      <c r="F2545" s="4" t="s">
        <v>93</v>
      </c>
      <c r="G2545" s="4" t="s">
        <v>93</v>
      </c>
      <c r="H2545" s="4" t="s">
        <v>4645</v>
      </c>
      <c r="I2545" s="4" t="s">
        <v>392</v>
      </c>
    </row>
    <row r="2546" ht="15.75" customHeight="1">
      <c r="A2546" s="8"/>
      <c r="B2546" s="4" t="s">
        <v>1420</v>
      </c>
      <c r="C2546" s="5">
        <v>0.0</v>
      </c>
      <c r="D2546" s="5">
        <v>460726.0</v>
      </c>
      <c r="E2546" s="5">
        <f t="shared" si="3"/>
        <v>1637105998</v>
      </c>
      <c r="F2546" s="4" t="s">
        <v>93</v>
      </c>
      <c r="G2546" s="4" t="s">
        <v>93</v>
      </c>
      <c r="H2546" s="4" t="s">
        <v>4661</v>
      </c>
      <c r="I2546" s="4" t="s">
        <v>1420</v>
      </c>
    </row>
    <row r="2547" ht="15.75" customHeight="1">
      <c r="A2547" s="8"/>
      <c r="B2547" s="4" t="s">
        <v>1422</v>
      </c>
      <c r="C2547" s="5">
        <v>0.0</v>
      </c>
      <c r="D2547" s="5">
        <v>249839.0</v>
      </c>
      <c r="E2547" s="5">
        <f t="shared" si="3"/>
        <v>1637355837</v>
      </c>
      <c r="F2547" s="4" t="s">
        <v>93</v>
      </c>
      <c r="G2547" s="4" t="s">
        <v>93</v>
      </c>
      <c r="H2547" s="4" t="s">
        <v>4661</v>
      </c>
      <c r="I2547" s="4" t="s">
        <v>1422</v>
      </c>
    </row>
    <row r="2548" ht="15.75" customHeight="1">
      <c r="A2548" s="8"/>
      <c r="B2548" s="4" t="s">
        <v>1426</v>
      </c>
      <c r="C2548" s="5">
        <v>0.0</v>
      </c>
      <c r="D2548" s="5">
        <v>377342.0</v>
      </c>
      <c r="E2548" s="5">
        <f t="shared" si="3"/>
        <v>1637733179</v>
      </c>
      <c r="F2548" s="4" t="s">
        <v>93</v>
      </c>
      <c r="G2548" s="4" t="s">
        <v>93</v>
      </c>
      <c r="H2548" s="4" t="s">
        <v>4661</v>
      </c>
      <c r="I2548" s="4" t="s">
        <v>1426</v>
      </c>
    </row>
    <row r="2549" ht="15.75" customHeight="1">
      <c r="A2549" s="8"/>
      <c r="B2549" s="4" t="s">
        <v>1963</v>
      </c>
      <c r="C2549" s="5">
        <v>0.0</v>
      </c>
      <c r="D2549" s="5">
        <v>7.0391662E7</v>
      </c>
      <c r="E2549" s="5">
        <f t="shared" si="3"/>
        <v>1708124841</v>
      </c>
      <c r="F2549" s="4" t="s">
        <v>93</v>
      </c>
      <c r="G2549" s="4" t="s">
        <v>93</v>
      </c>
      <c r="H2549" s="4" t="s">
        <v>4645</v>
      </c>
      <c r="I2549" s="4" t="s">
        <v>1963</v>
      </c>
    </row>
    <row r="2550" ht="15.75" customHeight="1">
      <c r="A2550" s="8"/>
      <c r="B2550" s="4" t="s">
        <v>1327</v>
      </c>
      <c r="C2550" s="5">
        <v>0.0</v>
      </c>
      <c r="D2550" s="5">
        <v>633608.0</v>
      </c>
      <c r="E2550" s="5">
        <f t="shared" si="3"/>
        <v>1708758449</v>
      </c>
      <c r="F2550" s="4" t="s">
        <v>93</v>
      </c>
      <c r="G2550" s="4" t="s">
        <v>93</v>
      </c>
      <c r="H2550" s="4" t="s">
        <v>4661</v>
      </c>
      <c r="I2550" s="4" t="s">
        <v>1327</v>
      </c>
    </row>
    <row r="2551" ht="15.75" customHeight="1">
      <c r="A2551" s="8"/>
      <c r="B2551" s="4" t="s">
        <v>528</v>
      </c>
      <c r="C2551" s="5">
        <v>0.0</v>
      </c>
      <c r="D2551" s="5">
        <v>8.9189189E7</v>
      </c>
      <c r="E2551" s="5">
        <f t="shared" si="3"/>
        <v>1797947638</v>
      </c>
      <c r="F2551" s="4" t="s">
        <v>93</v>
      </c>
      <c r="G2551" s="4" t="s">
        <v>93</v>
      </c>
      <c r="H2551" s="4" t="s">
        <v>4645</v>
      </c>
      <c r="I2551" s="4" t="s">
        <v>528</v>
      </c>
    </row>
    <row r="2552" ht="15.75" customHeight="1">
      <c r="A2552" s="8"/>
      <c r="B2552" s="4" t="s">
        <v>2499</v>
      </c>
      <c r="C2552" s="5">
        <v>0.0</v>
      </c>
      <c r="D2552" s="5">
        <v>2979005.0</v>
      </c>
      <c r="E2552" s="5">
        <f t="shared" si="3"/>
        <v>1800926643</v>
      </c>
      <c r="F2552" s="4" t="s">
        <v>93</v>
      </c>
      <c r="G2552" s="4" t="s">
        <v>93</v>
      </c>
      <c r="H2552" s="4" t="s">
        <v>4661</v>
      </c>
      <c r="I2552" s="4" t="s">
        <v>2499</v>
      </c>
    </row>
    <row r="2553" ht="15.75" customHeight="1">
      <c r="A2553" s="8"/>
      <c r="B2553" s="4" t="s">
        <v>415</v>
      </c>
      <c r="C2553" s="5">
        <v>0.0</v>
      </c>
      <c r="D2553" s="5">
        <v>1.7073057E7</v>
      </c>
      <c r="E2553" s="5">
        <f t="shared" si="3"/>
        <v>1817999700</v>
      </c>
      <c r="F2553" s="4" t="s">
        <v>93</v>
      </c>
      <c r="G2553" s="4" t="s">
        <v>93</v>
      </c>
      <c r="H2553" s="4" t="s">
        <v>4645</v>
      </c>
      <c r="I2553" s="4" t="s">
        <v>415</v>
      </c>
    </row>
    <row r="2554" ht="15.75" customHeight="1">
      <c r="A2554" s="8"/>
      <c r="B2554" s="4" t="s">
        <v>4669</v>
      </c>
      <c r="C2554" s="5">
        <v>0.0</v>
      </c>
      <c r="D2554" s="5">
        <v>3.42672E7</v>
      </c>
      <c r="E2554" s="5">
        <f t="shared" si="3"/>
        <v>1852266900</v>
      </c>
      <c r="F2554" s="4" t="s">
        <v>18</v>
      </c>
      <c r="G2554" s="4" t="s">
        <v>194</v>
      </c>
      <c r="H2554" s="4" t="s">
        <v>4663</v>
      </c>
    </row>
    <row r="2555" ht="15.75" customHeight="1">
      <c r="A2555" s="8"/>
      <c r="B2555" s="4" t="s">
        <v>1921</v>
      </c>
      <c r="C2555" s="5">
        <v>0.0</v>
      </c>
      <c r="D2555" s="5">
        <v>3080000.0</v>
      </c>
      <c r="E2555" s="5">
        <f t="shared" si="3"/>
        <v>1855346900</v>
      </c>
      <c r="F2555" s="4" t="s">
        <v>93</v>
      </c>
      <c r="G2555" s="4" t="s">
        <v>93</v>
      </c>
      <c r="H2555" s="4" t="s">
        <v>4645</v>
      </c>
      <c r="I2555" s="4" t="s">
        <v>1921</v>
      </c>
    </row>
    <row r="2556" ht="15.75" customHeight="1">
      <c r="A2556" s="8"/>
      <c r="B2556" s="4" t="s">
        <v>1624</v>
      </c>
      <c r="C2556" s="5">
        <v>0.0</v>
      </c>
      <c r="D2556" s="5">
        <v>1452832.0</v>
      </c>
      <c r="E2556" s="5">
        <f t="shared" si="3"/>
        <v>1856799732</v>
      </c>
      <c r="F2556" s="4" t="s">
        <v>93</v>
      </c>
      <c r="G2556" s="4" t="s">
        <v>93</v>
      </c>
      <c r="H2556" s="4" t="s">
        <v>4645</v>
      </c>
      <c r="I2556" s="4" t="s">
        <v>1624</v>
      </c>
    </row>
    <row r="2557" ht="15.75" customHeight="1">
      <c r="A2557" s="8"/>
      <c r="B2557" s="4" t="s">
        <v>1482</v>
      </c>
      <c r="C2557" s="5">
        <v>0.0</v>
      </c>
      <c r="D2557" s="5">
        <v>1695759.0</v>
      </c>
      <c r="E2557" s="5">
        <f t="shared" si="3"/>
        <v>1858495491</v>
      </c>
      <c r="F2557" s="4" t="s">
        <v>93</v>
      </c>
      <c r="G2557" s="4" t="s">
        <v>93</v>
      </c>
      <c r="H2557" s="4" t="s">
        <v>4661</v>
      </c>
      <c r="I2557" s="4" t="s">
        <v>1482</v>
      </c>
    </row>
    <row r="2558" ht="15.75" customHeight="1">
      <c r="A2558" s="8"/>
      <c r="B2558" s="4" t="s">
        <v>4670</v>
      </c>
      <c r="C2558" s="5">
        <v>0.0</v>
      </c>
      <c r="D2558" s="5">
        <v>1309263.0</v>
      </c>
      <c r="E2558" s="5">
        <f t="shared" si="3"/>
        <v>1859804754</v>
      </c>
      <c r="F2558" s="4" t="s">
        <v>93</v>
      </c>
      <c r="G2558" s="4" t="s">
        <v>93</v>
      </c>
      <c r="H2558" s="4" t="s">
        <v>4661</v>
      </c>
      <c r="I2558" s="4" t="s">
        <v>4670</v>
      </c>
    </row>
    <row r="2559" ht="15.75" customHeight="1">
      <c r="A2559" s="8"/>
      <c r="B2559" s="4" t="s">
        <v>1949</v>
      </c>
      <c r="C2559" s="5">
        <v>0.0</v>
      </c>
      <c r="D2559" s="5">
        <v>1097462.0</v>
      </c>
      <c r="E2559" s="5">
        <f t="shared" si="3"/>
        <v>1860902216</v>
      </c>
      <c r="F2559" s="4" t="s">
        <v>93</v>
      </c>
      <c r="G2559" s="4" t="s">
        <v>93</v>
      </c>
      <c r="H2559" s="4" t="s">
        <v>4661</v>
      </c>
      <c r="I2559" s="4" t="s">
        <v>1949</v>
      </c>
    </row>
    <row r="2560" ht="15.75" customHeight="1">
      <c r="A2560" s="8"/>
      <c r="B2560" s="4" t="s">
        <v>4671</v>
      </c>
      <c r="C2560" s="5">
        <v>0.0</v>
      </c>
      <c r="D2560" s="5">
        <v>995500.0</v>
      </c>
      <c r="E2560" s="5">
        <f t="shared" si="3"/>
        <v>1861897716</v>
      </c>
      <c r="F2560" s="4" t="s">
        <v>93</v>
      </c>
      <c r="G2560" s="4" t="s">
        <v>93</v>
      </c>
      <c r="H2560" s="4" t="s">
        <v>4661</v>
      </c>
      <c r="I2560" s="4" t="s">
        <v>4671</v>
      </c>
    </row>
    <row r="2561" ht="15.75" customHeight="1">
      <c r="A2561" s="8"/>
      <c r="B2561" s="4" t="s">
        <v>1719</v>
      </c>
      <c r="C2561" s="5">
        <v>0.0</v>
      </c>
      <c r="D2561" s="5">
        <v>907500.0</v>
      </c>
      <c r="E2561" s="5">
        <f t="shared" si="3"/>
        <v>1862805216</v>
      </c>
      <c r="F2561" s="4" t="s">
        <v>93</v>
      </c>
      <c r="G2561" s="4" t="s">
        <v>93</v>
      </c>
      <c r="H2561" s="4" t="s">
        <v>4661</v>
      </c>
      <c r="I2561" s="4" t="s">
        <v>1719</v>
      </c>
    </row>
    <row r="2562" ht="15.75" customHeight="1">
      <c r="A2562" s="8"/>
      <c r="B2562" s="4" t="s">
        <v>1976</v>
      </c>
      <c r="C2562" s="5">
        <v>0.0</v>
      </c>
      <c r="D2562" s="5">
        <v>8688958.0</v>
      </c>
      <c r="E2562" s="5">
        <f t="shared" si="3"/>
        <v>1871494174</v>
      </c>
      <c r="F2562" s="4" t="s">
        <v>93</v>
      </c>
      <c r="G2562" s="4" t="s">
        <v>93</v>
      </c>
      <c r="H2562" s="4" t="s">
        <v>4645</v>
      </c>
      <c r="I2562" s="4" t="s">
        <v>1976</v>
      </c>
    </row>
    <row r="2563" ht="15.75" customHeight="1">
      <c r="A2563" s="8"/>
      <c r="B2563" s="4" t="s">
        <v>1376</v>
      </c>
      <c r="C2563" s="5">
        <v>0.0</v>
      </c>
      <c r="D2563" s="5">
        <v>2145000.0</v>
      </c>
      <c r="E2563" s="5">
        <f t="shared" si="3"/>
        <v>1873639174</v>
      </c>
      <c r="F2563" s="4" t="s">
        <v>93</v>
      </c>
      <c r="G2563" s="4" t="s">
        <v>93</v>
      </c>
      <c r="H2563" s="4" t="s">
        <v>4661</v>
      </c>
      <c r="I2563" s="4" t="s">
        <v>1376</v>
      </c>
    </row>
    <row r="2564" ht="15.75" customHeight="1">
      <c r="A2564" s="8"/>
      <c r="B2564" s="4" t="s">
        <v>1450</v>
      </c>
      <c r="C2564" s="5">
        <v>0.0</v>
      </c>
      <c r="D2564" s="5">
        <v>5.8567568E7</v>
      </c>
      <c r="E2564" s="5">
        <f t="shared" si="3"/>
        <v>1932206742</v>
      </c>
      <c r="F2564" s="4" t="s">
        <v>93</v>
      </c>
      <c r="G2564" s="4" t="s">
        <v>93</v>
      </c>
      <c r="H2564" s="4" t="s">
        <v>4645</v>
      </c>
      <c r="I2564" s="4" t="s">
        <v>1450</v>
      </c>
    </row>
    <row r="2565" ht="15.75" customHeight="1">
      <c r="A2565" s="8"/>
      <c r="B2565" s="4" t="s">
        <v>1246</v>
      </c>
      <c r="C2565" s="5">
        <v>0.0</v>
      </c>
      <c r="D2565" s="5">
        <v>8.4234234E7</v>
      </c>
      <c r="E2565" s="5">
        <f t="shared" si="3"/>
        <v>2016440976</v>
      </c>
      <c r="F2565" s="4" t="s">
        <v>93</v>
      </c>
      <c r="G2565" s="4" t="s">
        <v>93</v>
      </c>
      <c r="H2565" s="4" t="s">
        <v>4645</v>
      </c>
      <c r="I2565" s="4" t="s">
        <v>1246</v>
      </c>
    </row>
    <row r="2566" ht="15.75" customHeight="1">
      <c r="A2566" s="8"/>
      <c r="B2566" s="4" t="s">
        <v>2197</v>
      </c>
      <c r="C2566" s="5">
        <v>0.0</v>
      </c>
      <c r="D2566" s="5">
        <v>7.4324324E7</v>
      </c>
      <c r="E2566" s="5">
        <f t="shared" si="3"/>
        <v>2090765300</v>
      </c>
      <c r="F2566" s="4" t="s">
        <v>93</v>
      </c>
      <c r="G2566" s="4" t="s">
        <v>93</v>
      </c>
      <c r="H2566" s="4" t="s">
        <v>4645</v>
      </c>
      <c r="I2566" s="4" t="s">
        <v>2197</v>
      </c>
    </row>
    <row r="2567" ht="15.75" customHeight="1">
      <c r="A2567" s="8"/>
      <c r="B2567" s="4" t="s">
        <v>4672</v>
      </c>
      <c r="C2567" s="5">
        <v>0.0</v>
      </c>
      <c r="D2567" s="5">
        <v>660000.0</v>
      </c>
      <c r="E2567" s="5">
        <f t="shared" si="3"/>
        <v>2091425300</v>
      </c>
      <c r="F2567" s="4" t="s">
        <v>93</v>
      </c>
      <c r="G2567" s="4" t="s">
        <v>93</v>
      </c>
      <c r="H2567" s="4" t="s">
        <v>4661</v>
      </c>
      <c r="I2567" s="4" t="s">
        <v>4672</v>
      </c>
    </row>
    <row r="2568" ht="15.75" customHeight="1">
      <c r="A2568" s="8"/>
      <c r="B2568" s="4" t="s">
        <v>444</v>
      </c>
      <c r="C2568" s="5">
        <v>0.0</v>
      </c>
      <c r="D2568" s="5">
        <v>1.1740608E7</v>
      </c>
      <c r="E2568" s="5">
        <f t="shared" si="3"/>
        <v>2103165908</v>
      </c>
      <c r="F2568" s="4" t="s">
        <v>93</v>
      </c>
      <c r="G2568" s="4" t="s">
        <v>93</v>
      </c>
      <c r="H2568" s="4" t="s">
        <v>4645</v>
      </c>
      <c r="I2568" s="4" t="s">
        <v>444</v>
      </c>
    </row>
    <row r="2569" ht="15.75" customHeight="1">
      <c r="A2569" s="8"/>
      <c r="B2569" s="4" t="s">
        <v>2190</v>
      </c>
      <c r="C2569" s="5">
        <v>0.0</v>
      </c>
      <c r="D2569" s="5">
        <v>4545524.0</v>
      </c>
      <c r="E2569" s="5">
        <f t="shared" si="3"/>
        <v>2107711432</v>
      </c>
      <c r="F2569" s="4" t="s">
        <v>93</v>
      </c>
      <c r="G2569" s="4" t="s">
        <v>93</v>
      </c>
      <c r="H2569" s="4" t="s">
        <v>4645</v>
      </c>
      <c r="I2569" s="4" t="s">
        <v>2190</v>
      </c>
    </row>
    <row r="2570" ht="15.75" customHeight="1">
      <c r="A2570" s="8"/>
      <c r="B2570" s="4" t="s">
        <v>1571</v>
      </c>
      <c r="C2570" s="5">
        <v>0.0</v>
      </c>
      <c r="D2570" s="5">
        <v>4341013.0</v>
      </c>
      <c r="E2570" s="5">
        <f t="shared" si="3"/>
        <v>2112052445</v>
      </c>
      <c r="F2570" s="4" t="s">
        <v>93</v>
      </c>
      <c r="G2570" s="4" t="s">
        <v>93</v>
      </c>
      <c r="H2570" s="4" t="s">
        <v>4661</v>
      </c>
      <c r="I2570" s="4" t="s">
        <v>1571</v>
      </c>
    </row>
    <row r="2571" ht="15.75" customHeight="1">
      <c r="A2571" s="8"/>
      <c r="B2571" s="4" t="s">
        <v>1258</v>
      </c>
      <c r="C2571" s="5">
        <v>0.0</v>
      </c>
      <c r="D2571" s="5">
        <v>5.4504505E7</v>
      </c>
      <c r="E2571" s="5">
        <f t="shared" si="3"/>
        <v>2166556950</v>
      </c>
      <c r="F2571" s="4" t="s">
        <v>93</v>
      </c>
      <c r="G2571" s="4" t="s">
        <v>93</v>
      </c>
      <c r="H2571" s="4" t="s">
        <v>4645</v>
      </c>
      <c r="I2571" s="4" t="s">
        <v>1258</v>
      </c>
    </row>
    <row r="2572" ht="15.75" customHeight="1">
      <c r="A2572" s="8"/>
      <c r="B2572" s="4" t="s">
        <v>1559</v>
      </c>
      <c r="C2572" s="5">
        <v>0.0</v>
      </c>
      <c r="D2572" s="5">
        <v>563750.0</v>
      </c>
      <c r="E2572" s="5">
        <f t="shared" si="3"/>
        <v>2167120700</v>
      </c>
      <c r="F2572" s="4" t="s">
        <v>93</v>
      </c>
      <c r="G2572" s="4" t="s">
        <v>93</v>
      </c>
      <c r="H2572" s="4" t="s">
        <v>4661</v>
      </c>
      <c r="I2572" s="4" t="s">
        <v>1559</v>
      </c>
    </row>
    <row r="2573" ht="15.75" customHeight="1">
      <c r="A2573" s="8"/>
      <c r="B2573" s="4" t="s">
        <v>1380</v>
      </c>
      <c r="C2573" s="5">
        <v>0.0</v>
      </c>
      <c r="D2573" s="5">
        <v>563750.0</v>
      </c>
      <c r="E2573" s="5">
        <f t="shared" si="3"/>
        <v>2167684450</v>
      </c>
      <c r="F2573" s="4" t="s">
        <v>93</v>
      </c>
      <c r="G2573" s="4" t="s">
        <v>93</v>
      </c>
      <c r="H2573" s="4" t="s">
        <v>4661</v>
      </c>
      <c r="I2573" s="4" t="s">
        <v>1380</v>
      </c>
    </row>
    <row r="2574" ht="15.75" customHeight="1">
      <c r="A2574" s="8"/>
      <c r="B2574" s="4" t="s">
        <v>1382</v>
      </c>
      <c r="C2574" s="5">
        <v>0.0</v>
      </c>
      <c r="D2574" s="5">
        <v>563750.0</v>
      </c>
      <c r="E2574" s="5">
        <f t="shared" si="3"/>
        <v>2168248200</v>
      </c>
      <c r="F2574" s="4" t="s">
        <v>93</v>
      </c>
      <c r="G2574" s="4" t="s">
        <v>93</v>
      </c>
      <c r="H2574" s="4" t="s">
        <v>4661</v>
      </c>
      <c r="I2574" s="4" t="s">
        <v>1382</v>
      </c>
    </row>
    <row r="2575" ht="15.75" customHeight="1">
      <c r="A2575" s="8"/>
      <c r="B2575" s="4" t="s">
        <v>1387</v>
      </c>
      <c r="C2575" s="5">
        <v>0.0</v>
      </c>
      <c r="D2575" s="5">
        <v>563750.0</v>
      </c>
      <c r="E2575" s="5">
        <f t="shared" si="3"/>
        <v>2168811950</v>
      </c>
      <c r="F2575" s="4" t="s">
        <v>93</v>
      </c>
      <c r="G2575" s="4" t="s">
        <v>93</v>
      </c>
      <c r="H2575" s="4" t="s">
        <v>4661</v>
      </c>
      <c r="I2575" s="4" t="s">
        <v>1387</v>
      </c>
    </row>
    <row r="2576" ht="15.75" customHeight="1">
      <c r="A2576" s="8"/>
      <c r="B2576" s="4" t="s">
        <v>1400</v>
      </c>
      <c r="C2576" s="5">
        <v>0.0</v>
      </c>
      <c r="D2576" s="5">
        <v>563750.0</v>
      </c>
      <c r="E2576" s="5">
        <f t="shared" si="3"/>
        <v>2169375700</v>
      </c>
      <c r="F2576" s="4" t="s">
        <v>93</v>
      </c>
      <c r="G2576" s="4" t="s">
        <v>93</v>
      </c>
      <c r="H2576" s="4" t="s">
        <v>4661</v>
      </c>
      <c r="I2576" s="4" t="s">
        <v>1400</v>
      </c>
    </row>
    <row r="2577" ht="15.75" customHeight="1">
      <c r="A2577" s="8"/>
      <c r="B2577" s="4" t="s">
        <v>1405</v>
      </c>
      <c r="C2577" s="5">
        <v>0.0</v>
      </c>
      <c r="D2577" s="5">
        <v>563750.0</v>
      </c>
      <c r="E2577" s="5">
        <f t="shared" si="3"/>
        <v>2169939450</v>
      </c>
      <c r="F2577" s="4" t="s">
        <v>93</v>
      </c>
      <c r="G2577" s="4" t="s">
        <v>93</v>
      </c>
      <c r="H2577" s="4" t="s">
        <v>4661</v>
      </c>
      <c r="I2577" s="4" t="s">
        <v>1405</v>
      </c>
    </row>
    <row r="2578" ht="15.75" customHeight="1">
      <c r="A2578" s="8"/>
      <c r="B2578" s="4" t="s">
        <v>1488</v>
      </c>
      <c r="C2578" s="5">
        <v>0.0</v>
      </c>
      <c r="D2578" s="5">
        <v>1127500.0</v>
      </c>
      <c r="E2578" s="5">
        <f t="shared" si="3"/>
        <v>2171066950</v>
      </c>
      <c r="F2578" s="4" t="s">
        <v>93</v>
      </c>
      <c r="G2578" s="4" t="s">
        <v>93</v>
      </c>
      <c r="H2578" s="4" t="s">
        <v>4661</v>
      </c>
      <c r="I2578" s="4" t="s">
        <v>1488</v>
      </c>
    </row>
    <row r="2579" ht="15.75" customHeight="1">
      <c r="A2579" s="8"/>
      <c r="B2579" s="4" t="s">
        <v>1525</v>
      </c>
      <c r="C2579" s="5">
        <v>0.0</v>
      </c>
      <c r="D2579" s="5">
        <v>4207110.0</v>
      </c>
      <c r="E2579" s="5">
        <f t="shared" si="3"/>
        <v>2175274060</v>
      </c>
      <c r="F2579" s="4" t="s">
        <v>93</v>
      </c>
      <c r="G2579" s="4" t="s">
        <v>93</v>
      </c>
      <c r="H2579" s="4" t="s">
        <v>4661</v>
      </c>
      <c r="I2579" s="4" t="s">
        <v>1525</v>
      </c>
    </row>
    <row r="2580" ht="15.75" customHeight="1">
      <c r="A2580" s="8"/>
      <c r="B2580" s="4" t="s">
        <v>1526</v>
      </c>
      <c r="C2580" s="5">
        <v>0.0</v>
      </c>
      <c r="D2580" s="5">
        <v>299914.0</v>
      </c>
      <c r="E2580" s="5">
        <f t="shared" si="3"/>
        <v>2175573974</v>
      </c>
      <c r="F2580" s="4" t="s">
        <v>93</v>
      </c>
      <c r="G2580" s="4" t="s">
        <v>93</v>
      </c>
      <c r="H2580" s="4" t="s">
        <v>4661</v>
      </c>
      <c r="I2580" s="4" t="s">
        <v>1526</v>
      </c>
    </row>
    <row r="2581" ht="15.75" customHeight="1">
      <c r="A2581" s="8"/>
      <c r="B2581" s="4" t="s">
        <v>1527</v>
      </c>
      <c r="C2581" s="5">
        <v>0.0</v>
      </c>
      <c r="D2581" s="5">
        <v>174341.0</v>
      </c>
      <c r="E2581" s="5">
        <f t="shared" si="3"/>
        <v>2175748315</v>
      </c>
      <c r="F2581" s="4" t="s">
        <v>93</v>
      </c>
      <c r="G2581" s="4" t="s">
        <v>93</v>
      </c>
      <c r="H2581" s="4" t="s">
        <v>4661</v>
      </c>
      <c r="I2581" s="4" t="s">
        <v>1527</v>
      </c>
    </row>
    <row r="2582" ht="15.75" customHeight="1">
      <c r="A2582" s="8"/>
      <c r="B2582" s="4" t="s">
        <v>1528</v>
      </c>
      <c r="C2582" s="5">
        <v>0.0</v>
      </c>
      <c r="D2582" s="5">
        <v>104869.0</v>
      </c>
      <c r="E2582" s="5">
        <f t="shared" si="3"/>
        <v>2175853184</v>
      </c>
      <c r="F2582" s="4" t="s">
        <v>93</v>
      </c>
      <c r="G2582" s="4" t="s">
        <v>93</v>
      </c>
      <c r="H2582" s="4" t="s">
        <v>4661</v>
      </c>
      <c r="I2582" s="4" t="s">
        <v>1528</v>
      </c>
    </row>
    <row r="2583" ht="15.75" customHeight="1">
      <c r="A2583" s="8"/>
      <c r="B2583" s="4" t="s">
        <v>1529</v>
      </c>
      <c r="C2583" s="5">
        <v>0.0</v>
      </c>
      <c r="D2583" s="5">
        <v>175460.0</v>
      </c>
      <c r="E2583" s="5">
        <f t="shared" si="3"/>
        <v>2176028644</v>
      </c>
      <c r="F2583" s="4" t="s">
        <v>93</v>
      </c>
      <c r="G2583" s="4" t="s">
        <v>93</v>
      </c>
      <c r="H2583" s="4" t="s">
        <v>4661</v>
      </c>
      <c r="I2583" s="4" t="s">
        <v>1529</v>
      </c>
    </row>
    <row r="2584" ht="15.75" customHeight="1">
      <c r="A2584" s="8"/>
      <c r="B2584" s="4" t="s">
        <v>560</v>
      </c>
      <c r="C2584" s="5">
        <v>0.0</v>
      </c>
      <c r="D2584" s="5">
        <v>7.9279279E7</v>
      </c>
      <c r="E2584" s="5">
        <f t="shared" si="3"/>
        <v>2255307923</v>
      </c>
      <c r="F2584" s="4" t="s">
        <v>93</v>
      </c>
      <c r="G2584" s="4" t="s">
        <v>93</v>
      </c>
      <c r="H2584" s="4" t="s">
        <v>4645</v>
      </c>
      <c r="I2584" s="4" t="s">
        <v>560</v>
      </c>
    </row>
    <row r="2585" ht="15.75" customHeight="1">
      <c r="A2585" s="8"/>
      <c r="B2585" s="4" t="s">
        <v>4673</v>
      </c>
      <c r="C2585" s="5">
        <v>0.0</v>
      </c>
      <c r="D2585" s="5">
        <v>4.74012E7</v>
      </c>
      <c r="E2585" s="5">
        <f t="shared" si="3"/>
        <v>2302709123</v>
      </c>
      <c r="F2585" s="4" t="s">
        <v>18</v>
      </c>
      <c r="G2585" s="4" t="s">
        <v>194</v>
      </c>
      <c r="H2585" s="4" t="s">
        <v>4663</v>
      </c>
    </row>
    <row r="2586" ht="15.75" customHeight="1">
      <c r="A2586" s="8"/>
      <c r="B2586" s="4" t="s">
        <v>1762</v>
      </c>
      <c r="C2586" s="5">
        <v>0.0</v>
      </c>
      <c r="D2586" s="5">
        <v>2087342.0</v>
      </c>
      <c r="E2586" s="5">
        <f t="shared" si="3"/>
        <v>2304796465</v>
      </c>
      <c r="F2586" s="4" t="s">
        <v>93</v>
      </c>
      <c r="G2586" s="4" t="s">
        <v>93</v>
      </c>
      <c r="H2586" s="4" t="s">
        <v>4645</v>
      </c>
      <c r="I2586" s="4" t="s">
        <v>1762</v>
      </c>
    </row>
    <row r="2587" ht="15.75" customHeight="1">
      <c r="A2587" s="8"/>
      <c r="B2587" s="4" t="s">
        <v>1627</v>
      </c>
      <c r="C2587" s="5">
        <v>0.0</v>
      </c>
      <c r="D2587" s="5">
        <v>1803047.0</v>
      </c>
      <c r="E2587" s="5">
        <f t="shared" si="3"/>
        <v>2306599512</v>
      </c>
      <c r="F2587" s="4" t="s">
        <v>93</v>
      </c>
      <c r="G2587" s="4" t="s">
        <v>93</v>
      </c>
      <c r="H2587" s="4" t="s">
        <v>4661</v>
      </c>
      <c r="I2587" s="4" t="s">
        <v>1627</v>
      </c>
    </row>
    <row r="2588" ht="15.75" customHeight="1">
      <c r="A2588" s="8"/>
      <c r="B2588" s="4" t="s">
        <v>1676</v>
      </c>
      <c r="C2588" s="5">
        <v>0.0</v>
      </c>
      <c r="D2588" s="5">
        <v>3463656.0</v>
      </c>
      <c r="E2588" s="5">
        <f t="shared" si="3"/>
        <v>2310063168</v>
      </c>
      <c r="F2588" s="4" t="s">
        <v>93</v>
      </c>
      <c r="G2588" s="4" t="s">
        <v>93</v>
      </c>
      <c r="H2588" s="4" t="s">
        <v>4661</v>
      </c>
      <c r="I2588" s="4" t="s">
        <v>1676</v>
      </c>
    </row>
    <row r="2589" ht="15.75" customHeight="1">
      <c r="A2589" s="8"/>
      <c r="B2589" s="4" t="s">
        <v>1678</v>
      </c>
      <c r="C2589" s="5">
        <v>0.0</v>
      </c>
      <c r="D2589" s="5">
        <v>2565579.0</v>
      </c>
      <c r="E2589" s="5">
        <f t="shared" si="3"/>
        <v>2312628747</v>
      </c>
      <c r="F2589" s="4" t="s">
        <v>93</v>
      </c>
      <c r="G2589" s="4" t="s">
        <v>93</v>
      </c>
      <c r="H2589" s="4" t="s">
        <v>4661</v>
      </c>
      <c r="I2589" s="4" t="s">
        <v>1678</v>
      </c>
    </row>
    <row r="2590" ht="15.75" customHeight="1">
      <c r="A2590" s="8"/>
      <c r="B2590" s="4" t="s">
        <v>1267</v>
      </c>
      <c r="C2590" s="5">
        <v>0.0</v>
      </c>
      <c r="D2590" s="5">
        <v>6.9369369E7</v>
      </c>
      <c r="E2590" s="5">
        <f t="shared" si="3"/>
        <v>2381998116</v>
      </c>
      <c r="F2590" s="4" t="s">
        <v>93</v>
      </c>
      <c r="G2590" s="4" t="s">
        <v>93</v>
      </c>
      <c r="H2590" s="4" t="s">
        <v>4645</v>
      </c>
      <c r="I2590" s="4" t="s">
        <v>1267</v>
      </c>
    </row>
    <row r="2591" ht="15.75" customHeight="1">
      <c r="A2591" s="8"/>
      <c r="B2591" s="4" t="s">
        <v>4674</v>
      </c>
      <c r="C2591" s="5">
        <v>0.0</v>
      </c>
      <c r="D2591" s="5">
        <v>4.060584E7</v>
      </c>
      <c r="E2591" s="5">
        <f t="shared" si="3"/>
        <v>2422603956</v>
      </c>
      <c r="F2591" s="4" t="s">
        <v>18</v>
      </c>
      <c r="G2591" s="4" t="s">
        <v>194</v>
      </c>
      <c r="H2591" s="4" t="s">
        <v>4663</v>
      </c>
    </row>
    <row r="2592" ht="15.75" customHeight="1">
      <c r="A2592" s="8"/>
      <c r="B2592" s="4" t="s">
        <v>2203</v>
      </c>
      <c r="C2592" s="5">
        <v>0.0</v>
      </c>
      <c r="D2592" s="5">
        <v>969260.0</v>
      </c>
      <c r="E2592" s="5">
        <f t="shared" si="3"/>
        <v>2423573216</v>
      </c>
      <c r="F2592" s="4" t="s">
        <v>93</v>
      </c>
      <c r="G2592" s="4" t="s">
        <v>93</v>
      </c>
      <c r="H2592" s="4" t="s">
        <v>4661</v>
      </c>
      <c r="I2592" s="4" t="s">
        <v>2203</v>
      </c>
    </row>
    <row r="2593" ht="15.75" customHeight="1">
      <c r="A2593" s="8"/>
      <c r="B2593" s="4" t="s">
        <v>4675</v>
      </c>
      <c r="C2593" s="5">
        <v>0.0</v>
      </c>
      <c r="D2593" s="5">
        <v>2.1660525E7</v>
      </c>
      <c r="E2593" s="5">
        <f t="shared" si="3"/>
        <v>2445233741</v>
      </c>
      <c r="F2593" s="4" t="s">
        <v>18</v>
      </c>
      <c r="G2593" s="4" t="s">
        <v>194</v>
      </c>
      <c r="H2593" s="4" t="s">
        <v>4663</v>
      </c>
    </row>
    <row r="2594" ht="15.75" customHeight="1">
      <c r="A2594" s="8"/>
      <c r="B2594" s="4" t="s">
        <v>593</v>
      </c>
      <c r="C2594" s="5">
        <v>0.0</v>
      </c>
      <c r="D2594" s="5">
        <v>7.9279279E7</v>
      </c>
      <c r="E2594" s="5">
        <f t="shared" si="3"/>
        <v>2524513020</v>
      </c>
      <c r="F2594" s="4" t="s">
        <v>93</v>
      </c>
      <c r="G2594" s="4" t="s">
        <v>93</v>
      </c>
      <c r="H2594" s="4" t="s">
        <v>4645</v>
      </c>
      <c r="I2594" s="4" t="s">
        <v>593</v>
      </c>
    </row>
    <row r="2595" ht="15.75" customHeight="1">
      <c r="A2595" s="8"/>
      <c r="B2595" s="4" t="s">
        <v>4676</v>
      </c>
      <c r="C2595" s="5">
        <v>0.0</v>
      </c>
      <c r="D2595" s="5">
        <v>3.4684685E7</v>
      </c>
      <c r="E2595" s="5">
        <f t="shared" si="3"/>
        <v>2559197705</v>
      </c>
      <c r="F2595" s="4" t="s">
        <v>18</v>
      </c>
      <c r="G2595" s="4" t="s">
        <v>194</v>
      </c>
      <c r="H2595" s="4" t="s">
        <v>4663</v>
      </c>
    </row>
    <row r="2596" ht="15.75" customHeight="1">
      <c r="A2596" s="8"/>
      <c r="B2596" s="4" t="s">
        <v>1971</v>
      </c>
      <c r="C2596" s="5">
        <v>0.0</v>
      </c>
      <c r="D2596" s="5">
        <v>4.3197065E7</v>
      </c>
      <c r="E2596" s="5">
        <f t="shared" si="3"/>
        <v>2602394770</v>
      </c>
      <c r="F2596" s="4" t="s">
        <v>93</v>
      </c>
      <c r="G2596" s="4" t="s">
        <v>93</v>
      </c>
      <c r="H2596" s="4" t="s">
        <v>4645</v>
      </c>
      <c r="I2596" s="4" t="s">
        <v>1971</v>
      </c>
    </row>
    <row r="2597" ht="15.75" customHeight="1">
      <c r="A2597" s="8"/>
      <c r="B2597" s="4" t="s">
        <v>2106</v>
      </c>
      <c r="C2597" s="5">
        <v>0.0</v>
      </c>
      <c r="D2597" s="5">
        <v>4341013.0</v>
      </c>
      <c r="E2597" s="5">
        <f t="shared" si="3"/>
        <v>2606735783</v>
      </c>
      <c r="F2597" s="4" t="s">
        <v>93</v>
      </c>
      <c r="G2597" s="4" t="s">
        <v>93</v>
      </c>
      <c r="H2597" s="4" t="s">
        <v>4661</v>
      </c>
      <c r="I2597" s="4" t="s">
        <v>2106</v>
      </c>
    </row>
    <row r="2598" ht="15.75" customHeight="1">
      <c r="A2598" s="8"/>
      <c r="B2598" s="4" t="s">
        <v>2245</v>
      </c>
      <c r="C2598" s="5">
        <v>0.0</v>
      </c>
      <c r="D2598" s="5">
        <v>3463656.0</v>
      </c>
      <c r="E2598" s="5">
        <f t="shared" si="3"/>
        <v>2610199439</v>
      </c>
      <c r="F2598" s="4" t="s">
        <v>93</v>
      </c>
      <c r="G2598" s="4" t="s">
        <v>93</v>
      </c>
      <c r="H2598" s="4" t="s">
        <v>4661</v>
      </c>
      <c r="I2598" s="4" t="s">
        <v>2245</v>
      </c>
    </row>
    <row r="2599" ht="15.75" customHeight="1">
      <c r="A2599" s="8"/>
      <c r="B2599" s="4" t="s">
        <v>2109</v>
      </c>
      <c r="C2599" s="5">
        <v>0.0</v>
      </c>
      <c r="D2599" s="5">
        <v>2544841.0</v>
      </c>
      <c r="E2599" s="5">
        <f t="shared" si="3"/>
        <v>2612744280</v>
      </c>
      <c r="F2599" s="4" t="s">
        <v>93</v>
      </c>
      <c r="G2599" s="4" t="s">
        <v>93</v>
      </c>
      <c r="H2599" s="4" t="s">
        <v>4661</v>
      </c>
      <c r="I2599" s="4" t="s">
        <v>2109</v>
      </c>
    </row>
    <row r="2600" ht="15.75" customHeight="1">
      <c r="A2600" s="8"/>
      <c r="B2600" s="4" t="s">
        <v>2113</v>
      </c>
      <c r="C2600" s="5">
        <v>0.0</v>
      </c>
      <c r="D2600" s="5">
        <v>261768.0</v>
      </c>
      <c r="E2600" s="5">
        <f t="shared" si="3"/>
        <v>2613006048</v>
      </c>
      <c r="F2600" s="4" t="s">
        <v>93</v>
      </c>
      <c r="G2600" s="4" t="s">
        <v>93</v>
      </c>
      <c r="H2600" s="4" t="s">
        <v>4661</v>
      </c>
      <c r="I2600" s="4" t="s">
        <v>2113</v>
      </c>
    </row>
    <row r="2601" ht="15.75" customHeight="1">
      <c r="A2601" s="8"/>
      <c r="B2601" s="4" t="s">
        <v>2248</v>
      </c>
      <c r="C2601" s="5">
        <v>0.0</v>
      </c>
      <c r="D2601" s="5">
        <v>512114.0</v>
      </c>
      <c r="E2601" s="5">
        <f t="shared" si="3"/>
        <v>2613518162</v>
      </c>
      <c r="F2601" s="4" t="s">
        <v>93</v>
      </c>
      <c r="G2601" s="4" t="s">
        <v>93</v>
      </c>
      <c r="H2601" s="4" t="s">
        <v>4661</v>
      </c>
      <c r="I2601" s="4" t="s">
        <v>2248</v>
      </c>
    </row>
    <row r="2602" ht="15.75" customHeight="1">
      <c r="A2602" s="8"/>
      <c r="B2602" s="4" t="s">
        <v>4677</v>
      </c>
      <c r="C2602" s="5">
        <v>0.0</v>
      </c>
      <c r="D2602" s="5">
        <v>9.9099099E7</v>
      </c>
      <c r="E2602" s="5">
        <f t="shared" si="3"/>
        <v>2712617261</v>
      </c>
      <c r="F2602" s="4" t="s">
        <v>18</v>
      </c>
      <c r="G2602" s="4" t="s">
        <v>194</v>
      </c>
      <c r="H2602" s="4" t="s">
        <v>4663</v>
      </c>
    </row>
    <row r="2603" ht="15.75" customHeight="1">
      <c r="A2603" s="8"/>
      <c r="B2603" s="4" t="s">
        <v>1281</v>
      </c>
      <c r="C2603" s="5">
        <v>0.0</v>
      </c>
      <c r="D2603" s="5">
        <v>8509710.0</v>
      </c>
      <c r="E2603" s="5">
        <f t="shared" si="3"/>
        <v>2721126971</v>
      </c>
      <c r="F2603" s="4" t="s">
        <v>93</v>
      </c>
      <c r="G2603" s="4" t="s">
        <v>93</v>
      </c>
      <c r="H2603" s="4" t="s">
        <v>4645</v>
      </c>
      <c r="I2603" s="4" t="s">
        <v>1281</v>
      </c>
    </row>
    <row r="2604" ht="15.75" customHeight="1">
      <c r="A2604" s="8"/>
      <c r="B2604" s="4" t="s">
        <v>2252</v>
      </c>
      <c r="C2604" s="5">
        <v>0.0</v>
      </c>
      <c r="D2604" s="5">
        <v>855193.0</v>
      </c>
      <c r="E2604" s="5">
        <f t="shared" si="3"/>
        <v>2721982164</v>
      </c>
      <c r="F2604" s="4" t="s">
        <v>93</v>
      </c>
      <c r="G2604" s="4" t="s">
        <v>93</v>
      </c>
      <c r="H2604" s="4" t="s">
        <v>4661</v>
      </c>
      <c r="I2604" s="4" t="s">
        <v>2252</v>
      </c>
    </row>
    <row r="2605" ht="15.75" customHeight="1">
      <c r="A2605" s="8"/>
      <c r="B2605" s="4" t="s">
        <v>2337</v>
      </c>
      <c r="C2605" s="5">
        <v>0.0</v>
      </c>
      <c r="D2605" s="5">
        <v>855193.0</v>
      </c>
      <c r="E2605" s="5">
        <f t="shared" si="3"/>
        <v>2722837357</v>
      </c>
      <c r="F2605" s="4" t="s">
        <v>93</v>
      </c>
      <c r="G2605" s="4" t="s">
        <v>93</v>
      </c>
      <c r="H2605" s="4" t="s">
        <v>4661</v>
      </c>
      <c r="I2605" s="4" t="s">
        <v>2337</v>
      </c>
    </row>
    <row r="2606" ht="15.75" customHeight="1">
      <c r="A2606" s="8"/>
      <c r="B2606" s="4" t="s">
        <v>4678</v>
      </c>
      <c r="C2606" s="5">
        <v>0.0</v>
      </c>
      <c r="D2606" s="5">
        <v>2.972973E7</v>
      </c>
      <c r="E2606" s="5">
        <f t="shared" si="3"/>
        <v>2752567087</v>
      </c>
      <c r="F2606" s="4" t="s">
        <v>18</v>
      </c>
      <c r="G2606" s="4" t="s">
        <v>194</v>
      </c>
      <c r="H2606" s="4" t="s">
        <v>4663</v>
      </c>
    </row>
    <row r="2607" ht="15.75" customHeight="1">
      <c r="A2607" s="8"/>
      <c r="B2607" s="4" t="s">
        <v>4679</v>
      </c>
      <c r="C2607" s="5">
        <v>0.0</v>
      </c>
      <c r="D2607" s="5">
        <v>9.1260184E7</v>
      </c>
      <c r="E2607" s="5">
        <f t="shared" si="3"/>
        <v>2843827271</v>
      </c>
      <c r="F2607" s="4" t="s">
        <v>18</v>
      </c>
      <c r="G2607" s="4" t="s">
        <v>194</v>
      </c>
      <c r="H2607" s="4" t="s">
        <v>4663</v>
      </c>
    </row>
    <row r="2608" ht="15.75" customHeight="1">
      <c r="A2608" s="8"/>
      <c r="B2608" s="4" t="s">
        <v>4680</v>
      </c>
      <c r="C2608" s="5">
        <v>0.0</v>
      </c>
      <c r="D2608" s="5">
        <v>1.0821132E7</v>
      </c>
      <c r="E2608" s="5">
        <f t="shared" si="3"/>
        <v>2854648403</v>
      </c>
      <c r="F2608" s="4" t="s">
        <v>18</v>
      </c>
      <c r="G2608" s="4" t="s">
        <v>194</v>
      </c>
      <c r="H2608" s="4" t="s">
        <v>4663</v>
      </c>
    </row>
    <row r="2609" ht="15.75" customHeight="1">
      <c r="A2609" s="8"/>
      <c r="B2609" s="4" t="s">
        <v>4681</v>
      </c>
      <c r="C2609" s="5">
        <v>0.0</v>
      </c>
      <c r="D2609" s="5">
        <v>4840751.0</v>
      </c>
      <c r="E2609" s="5">
        <f t="shared" si="3"/>
        <v>2859489154</v>
      </c>
      <c r="F2609" s="4" t="s">
        <v>18</v>
      </c>
      <c r="G2609" s="4" t="s">
        <v>194</v>
      </c>
      <c r="H2609" s="4" t="s">
        <v>4663</v>
      </c>
    </row>
    <row r="2610" ht="15.75" customHeight="1">
      <c r="A2610" s="8"/>
      <c r="B2610" s="4" t="s">
        <v>4682</v>
      </c>
      <c r="C2610" s="5">
        <v>0.0</v>
      </c>
      <c r="D2610" s="5">
        <v>1.4544882E7</v>
      </c>
      <c r="E2610" s="5">
        <f t="shared" si="3"/>
        <v>2874034036</v>
      </c>
      <c r="F2610" s="4" t="s">
        <v>18</v>
      </c>
      <c r="G2610" s="4" t="s">
        <v>194</v>
      </c>
      <c r="H2610" s="4" t="s">
        <v>4663</v>
      </c>
    </row>
    <row r="2611" ht="15.75" customHeight="1">
      <c r="A2611" s="8"/>
      <c r="B2611" s="4" t="s">
        <v>4683</v>
      </c>
      <c r="C2611" s="5">
        <v>0.0</v>
      </c>
      <c r="D2611" s="5">
        <v>1.1673632E7</v>
      </c>
      <c r="E2611" s="5">
        <f t="shared" si="3"/>
        <v>2885707668</v>
      </c>
      <c r="F2611" s="4" t="s">
        <v>18</v>
      </c>
      <c r="G2611" s="4" t="s">
        <v>194</v>
      </c>
      <c r="H2611" s="4" t="s">
        <v>4663</v>
      </c>
    </row>
    <row r="2612" ht="15.75" customHeight="1">
      <c r="A2612" s="8"/>
      <c r="B2612" s="4" t="s">
        <v>2608</v>
      </c>
      <c r="C2612" s="5">
        <v>0.0</v>
      </c>
      <c r="D2612" s="5">
        <v>2698899.0</v>
      </c>
      <c r="E2612" s="5">
        <f t="shared" si="3"/>
        <v>2888406567</v>
      </c>
      <c r="F2612" s="4" t="s">
        <v>18</v>
      </c>
      <c r="G2612" s="4" t="s">
        <v>194</v>
      </c>
      <c r="H2612" s="4" t="s">
        <v>4661</v>
      </c>
    </row>
    <row r="2613" ht="15.75" customHeight="1">
      <c r="A2613" s="8"/>
      <c r="B2613" s="4" t="s">
        <v>4684</v>
      </c>
      <c r="C2613" s="5">
        <v>0.0</v>
      </c>
      <c r="D2613" s="5">
        <v>1072863.0</v>
      </c>
      <c r="E2613" s="5">
        <f t="shared" si="3"/>
        <v>2889479430</v>
      </c>
      <c r="F2613" s="4" t="s">
        <v>18</v>
      </c>
      <c r="G2613" s="4" t="s">
        <v>194</v>
      </c>
      <c r="H2613" s="4" t="s">
        <v>4661</v>
      </c>
    </row>
    <row r="2614" ht="15.75" customHeight="1">
      <c r="A2614" s="8"/>
      <c r="B2614" s="4" t="s">
        <v>4685</v>
      </c>
      <c r="C2614" s="5">
        <v>0.0</v>
      </c>
      <c r="D2614" s="5">
        <v>1039971.0</v>
      </c>
      <c r="E2614" s="5">
        <f t="shared" si="3"/>
        <v>2890519401</v>
      </c>
      <c r="F2614" s="4" t="s">
        <v>18</v>
      </c>
      <c r="G2614" s="4" t="s">
        <v>194</v>
      </c>
      <c r="H2614" s="4" t="s">
        <v>4661</v>
      </c>
    </row>
    <row r="2615" ht="15.75" customHeight="1">
      <c r="A2615" s="8"/>
      <c r="B2615" s="4" t="s">
        <v>4686</v>
      </c>
      <c r="C2615" s="5">
        <v>2.890519401E9</v>
      </c>
      <c r="D2615" s="5">
        <v>0.0</v>
      </c>
      <c r="E2615" s="5">
        <f t="shared" si="3"/>
        <v>0</v>
      </c>
      <c r="F2615" s="4" t="s">
        <v>6</v>
      </c>
      <c r="G2615" s="4" t="s">
        <v>6</v>
      </c>
      <c r="H2615" s="4" t="s">
        <v>6</v>
      </c>
    </row>
    <row r="2616" ht="15.75" customHeight="1">
      <c r="A2616" s="30"/>
      <c r="B2616" s="31" t="s">
        <v>4659</v>
      </c>
      <c r="C2616" s="32">
        <v>1516305.0</v>
      </c>
      <c r="D2616" s="32">
        <v>0.0</v>
      </c>
      <c r="E2616" s="5">
        <f t="shared" si="3"/>
        <v>-1516305</v>
      </c>
      <c r="F2616" s="31" t="s">
        <v>93</v>
      </c>
      <c r="G2616" s="31" t="s">
        <v>93</v>
      </c>
      <c r="H2616" s="31" t="s">
        <v>4641</v>
      </c>
      <c r="I2616" s="31" t="s">
        <v>4659</v>
      </c>
      <c r="J2616" s="31"/>
      <c r="K2616" s="31"/>
      <c r="L2616" s="31"/>
    </row>
    <row r="2617" ht="15.75" customHeight="1">
      <c r="A2617" s="30"/>
      <c r="B2617" s="31" t="s">
        <v>4687</v>
      </c>
      <c r="C2617" s="32">
        <v>758153.0</v>
      </c>
      <c r="D2617" s="32">
        <v>0.0</v>
      </c>
      <c r="E2617" s="5">
        <f t="shared" si="3"/>
        <v>-2274458</v>
      </c>
      <c r="F2617" s="31" t="s">
        <v>93</v>
      </c>
      <c r="G2617" s="31" t="s">
        <v>93</v>
      </c>
      <c r="H2617" s="31" t="s">
        <v>4641</v>
      </c>
      <c r="I2617" s="31" t="s">
        <v>4687</v>
      </c>
      <c r="J2617" s="31"/>
      <c r="K2617" s="31"/>
      <c r="L2617" s="31"/>
    </row>
    <row r="2618" ht="15.75" customHeight="1">
      <c r="A2618" s="8"/>
      <c r="B2618" s="4" t="s">
        <v>4688</v>
      </c>
      <c r="C2618" s="5">
        <v>0.0</v>
      </c>
      <c r="D2618" s="5">
        <v>74324.0</v>
      </c>
      <c r="E2618" s="5">
        <f t="shared" si="3"/>
        <v>-2200134</v>
      </c>
      <c r="F2618" s="4" t="s">
        <v>21</v>
      </c>
      <c r="G2618" s="4" t="s">
        <v>184</v>
      </c>
      <c r="H2618" s="4" t="s">
        <v>185</v>
      </c>
    </row>
    <row r="2619" ht="15.75" customHeight="1">
      <c r="A2619" s="8"/>
      <c r="B2619" s="4" t="s">
        <v>4689</v>
      </c>
      <c r="C2619" s="5">
        <v>0.0</v>
      </c>
      <c r="D2619" s="5">
        <v>770000.0</v>
      </c>
      <c r="E2619" s="5">
        <f t="shared" si="3"/>
        <v>-1430134</v>
      </c>
      <c r="F2619" s="14" t="s">
        <v>93</v>
      </c>
      <c r="G2619" s="14" t="s">
        <v>93</v>
      </c>
      <c r="H2619" s="14" t="s">
        <v>1788</v>
      </c>
      <c r="I2619" s="14" t="s">
        <v>185</v>
      </c>
    </row>
    <row r="2620" ht="15.75" customHeight="1">
      <c r="A2620" s="8"/>
      <c r="B2620" s="4" t="s">
        <v>4690</v>
      </c>
      <c r="C2620" s="5">
        <v>0.0</v>
      </c>
      <c r="D2620" s="5">
        <v>39677.0</v>
      </c>
      <c r="E2620" s="5">
        <f t="shared" si="3"/>
        <v>-1390457</v>
      </c>
      <c r="F2620" s="4" t="s">
        <v>21</v>
      </c>
      <c r="G2620" s="4" t="s">
        <v>184</v>
      </c>
      <c r="H2620" s="4" t="s">
        <v>185</v>
      </c>
    </row>
    <row r="2621" ht="15.75" customHeight="1">
      <c r="A2621" s="8"/>
      <c r="B2621" s="4" t="s">
        <v>385</v>
      </c>
      <c r="C2621" s="5">
        <v>0.0</v>
      </c>
      <c r="D2621" s="5">
        <v>94875.0</v>
      </c>
      <c r="E2621" s="5">
        <f t="shared" si="3"/>
        <v>-1295582</v>
      </c>
      <c r="F2621" s="4" t="s">
        <v>21</v>
      </c>
      <c r="G2621" s="4" t="s">
        <v>184</v>
      </c>
      <c r="H2621" s="4" t="s">
        <v>185</v>
      </c>
    </row>
    <row r="2622" ht="15.75" customHeight="1">
      <c r="A2622" s="8"/>
      <c r="B2622" s="4" t="s">
        <v>4691</v>
      </c>
      <c r="C2622" s="5">
        <v>0.0</v>
      </c>
      <c r="D2622" s="5">
        <v>1981982.0</v>
      </c>
      <c r="E2622" s="5">
        <f t="shared" si="3"/>
        <v>686400</v>
      </c>
      <c r="F2622" s="4" t="s">
        <v>21</v>
      </c>
      <c r="G2622" s="4" t="s">
        <v>448</v>
      </c>
      <c r="H2622" s="4" t="s">
        <v>185</v>
      </c>
    </row>
    <row r="2623" ht="15.75" customHeight="1">
      <c r="A2623" s="8"/>
      <c r="B2623" s="4" t="s">
        <v>4692</v>
      </c>
      <c r="C2623" s="5">
        <v>0.0</v>
      </c>
      <c r="D2623" s="5">
        <v>506000.0</v>
      </c>
      <c r="E2623" s="5">
        <f t="shared" si="3"/>
        <v>1192400</v>
      </c>
      <c r="F2623" s="4" t="s">
        <v>21</v>
      </c>
      <c r="G2623" s="4" t="s">
        <v>184</v>
      </c>
      <c r="H2623" s="4" t="s">
        <v>185</v>
      </c>
    </row>
    <row r="2624" ht="15.75" customHeight="1">
      <c r="A2624" s="8"/>
      <c r="B2624" s="4" t="s">
        <v>4693</v>
      </c>
      <c r="C2624" s="5">
        <v>0.0</v>
      </c>
      <c r="D2624" s="5">
        <v>385000.0</v>
      </c>
      <c r="E2624" s="5">
        <f t="shared" si="3"/>
        <v>1577400</v>
      </c>
      <c r="F2624" s="4" t="s">
        <v>21</v>
      </c>
      <c r="G2624" s="4" t="s">
        <v>184</v>
      </c>
      <c r="H2624" s="4" t="s">
        <v>185</v>
      </c>
    </row>
    <row r="2625" ht="15.75" customHeight="1">
      <c r="A2625" s="8"/>
      <c r="B2625" s="4" t="s">
        <v>4694</v>
      </c>
      <c r="C2625" s="5">
        <v>1577400.0</v>
      </c>
      <c r="D2625" s="5">
        <v>0.0</v>
      </c>
      <c r="E2625" s="5">
        <f t="shared" si="3"/>
        <v>0</v>
      </c>
      <c r="F2625" s="4" t="s">
        <v>93</v>
      </c>
      <c r="G2625" s="4" t="s">
        <v>93</v>
      </c>
      <c r="H2625" s="4" t="s">
        <v>185</v>
      </c>
      <c r="I2625" s="4" t="s">
        <v>4695</v>
      </c>
    </row>
    <row r="2626" ht="15.75" customHeight="1">
      <c r="A2626" s="8"/>
      <c r="B2626" s="4" t="s">
        <v>4694</v>
      </c>
      <c r="C2626" s="5">
        <v>0.0</v>
      </c>
      <c r="D2626" s="5">
        <v>1577400.0</v>
      </c>
      <c r="E2626" s="5">
        <f t="shared" si="3"/>
        <v>1577400</v>
      </c>
      <c r="F2626" s="4" t="s">
        <v>93</v>
      </c>
      <c r="G2626" s="4" t="s">
        <v>93</v>
      </c>
      <c r="H2626" s="4" t="s">
        <v>185</v>
      </c>
      <c r="I2626" s="4" t="s">
        <v>4695</v>
      </c>
    </row>
    <row r="2627" ht="15.75" customHeight="1">
      <c r="A2627" s="8"/>
      <c r="B2627" s="4" t="s">
        <v>1180</v>
      </c>
      <c r="C2627" s="5">
        <v>2145000.0</v>
      </c>
      <c r="D2627" s="5">
        <v>0.0</v>
      </c>
      <c r="E2627" s="5">
        <f t="shared" si="3"/>
        <v>-567600</v>
      </c>
      <c r="F2627" s="4" t="s">
        <v>93</v>
      </c>
      <c r="G2627" s="4" t="s">
        <v>93</v>
      </c>
      <c r="H2627" s="4" t="s">
        <v>4661</v>
      </c>
      <c r="I2627" s="4" t="s">
        <v>1180</v>
      </c>
    </row>
    <row r="2628" ht="15.75" customHeight="1">
      <c r="A2628" s="8"/>
      <c r="B2628" s="4" t="s">
        <v>799</v>
      </c>
      <c r="C2628" s="5">
        <v>660000.0</v>
      </c>
      <c r="D2628" s="5">
        <v>0.0</v>
      </c>
      <c r="E2628" s="5">
        <f t="shared" si="3"/>
        <v>-1227600</v>
      </c>
      <c r="F2628" s="4" t="s">
        <v>93</v>
      </c>
      <c r="G2628" s="4" t="s">
        <v>93</v>
      </c>
      <c r="H2628" s="4" t="s">
        <v>4661</v>
      </c>
      <c r="I2628" s="4" t="s">
        <v>799</v>
      </c>
    </row>
    <row r="2629" ht="15.75" customHeight="1">
      <c r="A2629" s="8"/>
      <c r="B2629" s="4" t="s">
        <v>1544</v>
      </c>
      <c r="C2629" s="5">
        <v>1305124.0</v>
      </c>
      <c r="D2629" s="5">
        <v>0.0</v>
      </c>
      <c r="E2629" s="5">
        <f t="shared" si="3"/>
        <v>-2532724</v>
      </c>
      <c r="F2629" s="4" t="s">
        <v>93</v>
      </c>
      <c r="G2629" s="4" t="s">
        <v>93</v>
      </c>
      <c r="H2629" s="4" t="s">
        <v>4661</v>
      </c>
      <c r="I2629" s="4" t="s">
        <v>1544</v>
      </c>
    </row>
    <row r="2630" ht="15.75" customHeight="1">
      <c r="A2630" s="8"/>
      <c r="B2630" s="4" t="s">
        <v>1299</v>
      </c>
      <c r="C2630" s="5">
        <v>3025000.0</v>
      </c>
      <c r="D2630" s="5">
        <v>0.0</v>
      </c>
      <c r="E2630" s="5">
        <f t="shared" si="3"/>
        <v>-5557724</v>
      </c>
      <c r="F2630" s="4" t="s">
        <v>93</v>
      </c>
      <c r="G2630" s="4" t="s">
        <v>93</v>
      </c>
      <c r="H2630" s="4" t="s">
        <v>4661</v>
      </c>
      <c r="I2630" s="4" t="s">
        <v>1299</v>
      </c>
    </row>
    <row r="2631" ht="15.75" customHeight="1">
      <c r="A2631" s="8"/>
      <c r="B2631" s="4" t="s">
        <v>582</v>
      </c>
      <c r="C2631" s="5">
        <v>6270000.0</v>
      </c>
      <c r="D2631" s="5">
        <v>0.0</v>
      </c>
      <c r="E2631" s="5">
        <f t="shared" si="3"/>
        <v>-11827724</v>
      </c>
      <c r="F2631" s="4" t="s">
        <v>93</v>
      </c>
      <c r="G2631" s="4" t="s">
        <v>93</v>
      </c>
      <c r="H2631" s="4" t="s">
        <v>4661</v>
      </c>
      <c r="I2631" s="4" t="s">
        <v>582</v>
      </c>
    </row>
    <row r="2632" ht="15.75" customHeight="1">
      <c r="A2632" s="8"/>
      <c r="B2632" s="4" t="s">
        <v>792</v>
      </c>
      <c r="C2632" s="5">
        <v>660000.0</v>
      </c>
      <c r="D2632" s="5">
        <v>0.0</v>
      </c>
      <c r="E2632" s="5">
        <f t="shared" si="3"/>
        <v>-12487724</v>
      </c>
      <c r="F2632" s="4" t="s">
        <v>93</v>
      </c>
      <c r="G2632" s="4" t="s">
        <v>93</v>
      </c>
      <c r="H2632" s="4" t="s">
        <v>4661</v>
      </c>
      <c r="I2632" s="4" t="s">
        <v>792</v>
      </c>
    </row>
    <row r="2633" ht="15.75" customHeight="1">
      <c r="A2633" s="8"/>
      <c r="B2633" s="4" t="s">
        <v>1547</v>
      </c>
      <c r="C2633" s="5">
        <v>1114122.0</v>
      </c>
      <c r="D2633" s="5">
        <v>0.0</v>
      </c>
      <c r="E2633" s="5">
        <f t="shared" si="3"/>
        <v>-13601846</v>
      </c>
      <c r="F2633" s="4" t="s">
        <v>93</v>
      </c>
      <c r="G2633" s="4" t="s">
        <v>93</v>
      </c>
      <c r="H2633" s="4" t="s">
        <v>4661</v>
      </c>
      <c r="I2633" s="4" t="s">
        <v>1547</v>
      </c>
    </row>
    <row r="2634" ht="15.75" customHeight="1">
      <c r="A2634" s="8"/>
      <c r="B2634" s="4" t="s">
        <v>4696</v>
      </c>
      <c r="C2634" s="5">
        <v>0.0</v>
      </c>
      <c r="D2634" s="5">
        <v>2.1725E7</v>
      </c>
      <c r="E2634" s="5">
        <f t="shared" si="3"/>
        <v>8123154</v>
      </c>
      <c r="F2634" s="4" t="s">
        <v>21</v>
      </c>
      <c r="G2634" s="4" t="s">
        <v>448</v>
      </c>
      <c r="H2634" s="4" t="s">
        <v>613</v>
      </c>
    </row>
    <row r="2635" ht="15.75" customHeight="1">
      <c r="A2635" s="8"/>
      <c r="B2635" s="4" t="s">
        <v>4692</v>
      </c>
      <c r="C2635" s="5">
        <v>0.0</v>
      </c>
      <c r="D2635" s="5">
        <v>506000.0</v>
      </c>
      <c r="E2635" s="5">
        <f t="shared" si="3"/>
        <v>8629154</v>
      </c>
      <c r="F2635" s="4" t="s">
        <v>21</v>
      </c>
      <c r="G2635" s="4" t="s">
        <v>184</v>
      </c>
      <c r="H2635" s="4" t="s">
        <v>613</v>
      </c>
    </row>
    <row r="2636" ht="15.75" customHeight="1">
      <c r="A2636" s="8"/>
      <c r="B2636" s="4" t="s">
        <v>4697</v>
      </c>
      <c r="C2636" s="5">
        <v>0.0</v>
      </c>
      <c r="D2636" s="5">
        <v>22000.0</v>
      </c>
      <c r="E2636" s="5">
        <f t="shared" si="3"/>
        <v>8651154</v>
      </c>
      <c r="F2636" s="4" t="s">
        <v>21</v>
      </c>
      <c r="G2636" s="4" t="s">
        <v>2142</v>
      </c>
      <c r="H2636" s="4" t="s">
        <v>613</v>
      </c>
    </row>
    <row r="2637" ht="15.75" customHeight="1">
      <c r="A2637" s="8"/>
      <c r="B2637" s="4" t="s">
        <v>4696</v>
      </c>
      <c r="C2637" s="5">
        <v>0.0</v>
      </c>
      <c r="D2637" s="5">
        <v>2.1725E7</v>
      </c>
      <c r="E2637" s="5">
        <f t="shared" si="3"/>
        <v>30376154</v>
      </c>
      <c r="F2637" s="4" t="s">
        <v>21</v>
      </c>
      <c r="G2637" s="4" t="s">
        <v>448</v>
      </c>
      <c r="H2637" s="4" t="s">
        <v>613</v>
      </c>
    </row>
    <row r="2638" ht="15.75" customHeight="1">
      <c r="A2638" s="8"/>
      <c r="B2638" s="4" t="s">
        <v>4688</v>
      </c>
      <c r="C2638" s="5">
        <v>0.0</v>
      </c>
      <c r="D2638" s="5">
        <v>74324.0</v>
      </c>
      <c r="E2638" s="5">
        <f t="shared" si="3"/>
        <v>30450478</v>
      </c>
      <c r="F2638" s="4" t="s">
        <v>21</v>
      </c>
      <c r="G2638" s="4" t="s">
        <v>184</v>
      </c>
      <c r="H2638" s="4" t="s">
        <v>613</v>
      </c>
    </row>
    <row r="2639" ht="15.75" customHeight="1">
      <c r="A2639" s="8"/>
      <c r="B2639" s="4" t="s">
        <v>953</v>
      </c>
      <c r="C2639" s="5">
        <v>0.0</v>
      </c>
      <c r="D2639" s="5">
        <v>22000.0</v>
      </c>
      <c r="E2639" s="5">
        <f t="shared" si="3"/>
        <v>30472478</v>
      </c>
      <c r="F2639" s="4" t="s">
        <v>21</v>
      </c>
      <c r="G2639" s="4" t="s">
        <v>448</v>
      </c>
      <c r="H2639" s="4" t="s">
        <v>613</v>
      </c>
    </row>
    <row r="2640" ht="15.75" customHeight="1">
      <c r="A2640" s="8"/>
      <c r="B2640" s="4" t="s">
        <v>712</v>
      </c>
      <c r="C2640" s="5">
        <v>0.0</v>
      </c>
      <c r="D2640" s="5">
        <v>1981982.0</v>
      </c>
      <c r="E2640" s="5">
        <f t="shared" si="3"/>
        <v>32454460</v>
      </c>
      <c r="F2640" s="4" t="s">
        <v>21</v>
      </c>
      <c r="G2640" s="4" t="s">
        <v>448</v>
      </c>
      <c r="H2640" s="4" t="s">
        <v>613</v>
      </c>
    </row>
    <row r="2641" ht="15.75" customHeight="1">
      <c r="A2641" s="8"/>
      <c r="B2641" s="4" t="s">
        <v>953</v>
      </c>
      <c r="C2641" s="5">
        <v>0.0</v>
      </c>
      <c r="D2641" s="5">
        <v>41195.0</v>
      </c>
      <c r="E2641" s="5">
        <f t="shared" si="3"/>
        <v>32495655</v>
      </c>
      <c r="F2641" s="4" t="s">
        <v>21</v>
      </c>
      <c r="G2641" s="4" t="s">
        <v>448</v>
      </c>
      <c r="H2641" s="4" t="s">
        <v>613</v>
      </c>
    </row>
    <row r="2642" ht="15.75" customHeight="1">
      <c r="A2642" s="8"/>
      <c r="B2642" s="4" t="s">
        <v>953</v>
      </c>
      <c r="C2642" s="5">
        <v>0.0</v>
      </c>
      <c r="D2642" s="5">
        <v>591910.0</v>
      </c>
      <c r="E2642" s="5">
        <f t="shared" si="3"/>
        <v>33087565</v>
      </c>
      <c r="F2642" s="4" t="s">
        <v>21</v>
      </c>
      <c r="G2642" s="4" t="s">
        <v>448</v>
      </c>
      <c r="H2642" s="4" t="s">
        <v>613</v>
      </c>
    </row>
    <row r="2643" ht="15.75" customHeight="1">
      <c r="A2643" s="8"/>
      <c r="B2643" s="4" t="s">
        <v>953</v>
      </c>
      <c r="C2643" s="5">
        <v>0.0</v>
      </c>
      <c r="D2643" s="5">
        <v>528726.0</v>
      </c>
      <c r="E2643" s="5">
        <f t="shared" si="3"/>
        <v>33616291</v>
      </c>
      <c r="F2643" s="4" t="s">
        <v>21</v>
      </c>
      <c r="G2643" s="4" t="s">
        <v>448</v>
      </c>
      <c r="H2643" s="4" t="s">
        <v>613</v>
      </c>
    </row>
    <row r="2644" ht="15.75" customHeight="1">
      <c r="A2644" s="8"/>
      <c r="B2644" s="4" t="s">
        <v>953</v>
      </c>
      <c r="C2644" s="5">
        <v>0.0</v>
      </c>
      <c r="D2644" s="5">
        <v>127600.0</v>
      </c>
      <c r="E2644" s="5">
        <f t="shared" si="3"/>
        <v>33743891</v>
      </c>
      <c r="F2644" s="4" t="s">
        <v>21</v>
      </c>
      <c r="G2644" s="4" t="s">
        <v>448</v>
      </c>
      <c r="H2644" s="4" t="s">
        <v>613</v>
      </c>
    </row>
    <row r="2645" ht="15.75" customHeight="1">
      <c r="A2645" s="8"/>
      <c r="B2645" s="4" t="s">
        <v>4693</v>
      </c>
      <c r="C2645" s="5">
        <v>0.0</v>
      </c>
      <c r="D2645" s="5">
        <v>385000.0</v>
      </c>
      <c r="E2645" s="5">
        <f t="shared" si="3"/>
        <v>34128891</v>
      </c>
      <c r="F2645" s="4" t="s">
        <v>21</v>
      </c>
      <c r="G2645" s="4" t="s">
        <v>184</v>
      </c>
      <c r="H2645" s="4" t="s">
        <v>613</v>
      </c>
    </row>
    <row r="2646" ht="15.75" customHeight="1">
      <c r="A2646" s="8"/>
      <c r="B2646" s="4" t="s">
        <v>4690</v>
      </c>
      <c r="C2646" s="5">
        <v>0.0</v>
      </c>
      <c r="D2646" s="5">
        <v>232320.0</v>
      </c>
      <c r="E2646" s="5">
        <f t="shared" si="3"/>
        <v>34361211</v>
      </c>
      <c r="F2646" s="4" t="s">
        <v>21</v>
      </c>
      <c r="G2646" s="4" t="s">
        <v>184</v>
      </c>
      <c r="H2646" s="4" t="s">
        <v>613</v>
      </c>
    </row>
    <row r="2647" ht="15.75" customHeight="1">
      <c r="A2647" s="8"/>
      <c r="B2647" s="4" t="s">
        <v>4698</v>
      </c>
      <c r="C2647" s="5">
        <v>3.4361211E7</v>
      </c>
      <c r="D2647" s="5">
        <v>0.0</v>
      </c>
      <c r="E2647" s="5">
        <f t="shared" si="3"/>
        <v>0</v>
      </c>
      <c r="F2647" s="4" t="s">
        <v>93</v>
      </c>
      <c r="G2647" s="4" t="s">
        <v>93</v>
      </c>
      <c r="H2647" s="4" t="s">
        <v>613</v>
      </c>
      <c r="I2647" s="4" t="s">
        <v>4699</v>
      </c>
    </row>
    <row r="2648" ht="15.75" customHeight="1">
      <c r="A2648" s="8"/>
      <c r="B2648" s="4" t="s">
        <v>4698</v>
      </c>
      <c r="C2648" s="5">
        <v>0.0</v>
      </c>
      <c r="D2648" s="5">
        <v>3.4361211E7</v>
      </c>
      <c r="E2648" s="5">
        <f t="shared" si="3"/>
        <v>34361211</v>
      </c>
      <c r="F2648" s="4" t="s">
        <v>93</v>
      </c>
      <c r="G2648" s="4" t="s">
        <v>93</v>
      </c>
      <c r="H2648" s="4" t="s">
        <v>613</v>
      </c>
      <c r="I2648" s="4" t="s">
        <v>4699</v>
      </c>
    </row>
    <row r="2649" ht="15.75" customHeight="1">
      <c r="A2649" s="8"/>
      <c r="B2649" s="4" t="s">
        <v>1193</v>
      </c>
      <c r="C2649" s="5">
        <v>3410000.0</v>
      </c>
      <c r="D2649" s="5">
        <v>0.0</v>
      </c>
      <c r="E2649" s="5">
        <f t="shared" si="3"/>
        <v>30951211</v>
      </c>
      <c r="F2649" s="4" t="s">
        <v>93</v>
      </c>
      <c r="G2649" s="4" t="s">
        <v>93</v>
      </c>
      <c r="H2649" s="4" t="s">
        <v>4661</v>
      </c>
      <c r="I2649" s="4" t="s">
        <v>1193</v>
      </c>
    </row>
    <row r="2650" ht="15.75" customHeight="1">
      <c r="A2650" s="8"/>
      <c r="B2650" s="4" t="s">
        <v>1087</v>
      </c>
      <c r="C2650" s="5">
        <v>1563176.0</v>
      </c>
      <c r="D2650" s="5">
        <v>0.0</v>
      </c>
      <c r="E2650" s="5">
        <f t="shared" si="3"/>
        <v>29388035</v>
      </c>
      <c r="F2650" s="4" t="s">
        <v>93</v>
      </c>
      <c r="G2650" s="4" t="s">
        <v>93</v>
      </c>
      <c r="H2650" s="4" t="s">
        <v>4661</v>
      </c>
      <c r="I2650" s="4" t="s">
        <v>1087</v>
      </c>
    </row>
    <row r="2651" ht="15.75" customHeight="1">
      <c r="A2651" s="8"/>
      <c r="B2651" s="4" t="s">
        <v>4692</v>
      </c>
      <c r="C2651" s="5">
        <v>0.0</v>
      </c>
      <c r="D2651" s="5">
        <v>506000.0</v>
      </c>
      <c r="E2651" s="5">
        <f t="shared" si="3"/>
        <v>29894035</v>
      </c>
      <c r="F2651" s="4" t="s">
        <v>21</v>
      </c>
      <c r="G2651" s="4" t="s">
        <v>184</v>
      </c>
      <c r="H2651" s="4" t="s">
        <v>859</v>
      </c>
    </row>
    <row r="2652" ht="15.75" customHeight="1">
      <c r="A2652" s="8"/>
      <c r="B2652" s="4" t="s">
        <v>712</v>
      </c>
      <c r="C2652" s="5">
        <v>0.0</v>
      </c>
      <c r="D2652" s="5">
        <v>1981982.0</v>
      </c>
      <c r="E2652" s="5">
        <f t="shared" si="3"/>
        <v>31876017</v>
      </c>
      <c r="F2652" s="4" t="s">
        <v>21</v>
      </c>
      <c r="G2652" s="4" t="s">
        <v>448</v>
      </c>
      <c r="H2652" s="4" t="s">
        <v>859</v>
      </c>
    </row>
    <row r="2653" ht="15.75" customHeight="1">
      <c r="A2653" s="8"/>
      <c r="B2653" s="4" t="s">
        <v>4700</v>
      </c>
      <c r="C2653" s="5">
        <v>0.0</v>
      </c>
      <c r="D2653" s="5">
        <v>1663134.0</v>
      </c>
      <c r="E2653" s="5">
        <f t="shared" si="3"/>
        <v>33539151</v>
      </c>
      <c r="F2653" s="4" t="s">
        <v>21</v>
      </c>
      <c r="G2653" s="4" t="s">
        <v>448</v>
      </c>
      <c r="H2653" s="4" t="s">
        <v>859</v>
      </c>
    </row>
    <row r="2654" ht="15.75" customHeight="1">
      <c r="A2654" s="8"/>
      <c r="B2654" s="4" t="s">
        <v>4701</v>
      </c>
      <c r="C2654" s="5">
        <v>0.0</v>
      </c>
      <c r="D2654" s="5">
        <v>2.31E7</v>
      </c>
      <c r="E2654" s="5">
        <f t="shared" si="3"/>
        <v>56639151</v>
      </c>
      <c r="F2654" s="4" t="s">
        <v>21</v>
      </c>
      <c r="G2654" s="4" t="s">
        <v>448</v>
      </c>
      <c r="H2654" s="4" t="s">
        <v>859</v>
      </c>
    </row>
    <row r="2655" ht="15.75" customHeight="1">
      <c r="A2655" s="8"/>
      <c r="B2655" s="4" t="s">
        <v>4688</v>
      </c>
      <c r="C2655" s="5">
        <v>0.0</v>
      </c>
      <c r="D2655" s="5">
        <v>78288.0</v>
      </c>
      <c r="E2655" s="5">
        <f t="shared" si="3"/>
        <v>56717439</v>
      </c>
      <c r="F2655" s="4" t="s">
        <v>21</v>
      </c>
      <c r="G2655" s="4" t="s">
        <v>184</v>
      </c>
      <c r="H2655" s="4" t="s">
        <v>859</v>
      </c>
    </row>
    <row r="2656" ht="15.75" customHeight="1">
      <c r="A2656" s="8"/>
      <c r="B2656" s="4" t="s">
        <v>953</v>
      </c>
      <c r="C2656" s="5">
        <v>0.0</v>
      </c>
      <c r="D2656" s="5">
        <v>10450.0</v>
      </c>
      <c r="E2656" s="5">
        <f t="shared" si="3"/>
        <v>56727889</v>
      </c>
      <c r="F2656" s="4" t="s">
        <v>21</v>
      </c>
      <c r="G2656" s="4" t="s">
        <v>448</v>
      </c>
      <c r="H2656" s="4" t="s">
        <v>859</v>
      </c>
    </row>
    <row r="2657" ht="15.75" customHeight="1">
      <c r="A2657" s="8"/>
      <c r="B2657" s="4" t="s">
        <v>4693</v>
      </c>
      <c r="C2657" s="5">
        <v>0.0</v>
      </c>
      <c r="D2657" s="5">
        <v>385000.0</v>
      </c>
      <c r="E2657" s="5">
        <f t="shared" si="3"/>
        <v>57112889</v>
      </c>
      <c r="F2657" s="4" t="s">
        <v>21</v>
      </c>
      <c r="G2657" s="4" t="s">
        <v>184</v>
      </c>
      <c r="H2657" s="4" t="s">
        <v>859</v>
      </c>
    </row>
    <row r="2658" ht="15.75" customHeight="1">
      <c r="A2658" s="8"/>
      <c r="B2658" s="4" t="s">
        <v>4702</v>
      </c>
      <c r="C2658" s="5">
        <v>5.7112889E7</v>
      </c>
      <c r="D2658" s="5">
        <v>0.0</v>
      </c>
      <c r="E2658" s="5">
        <f t="shared" si="3"/>
        <v>0</v>
      </c>
      <c r="F2658" s="4" t="s">
        <v>93</v>
      </c>
      <c r="G2658" s="4" t="s">
        <v>93</v>
      </c>
      <c r="H2658" s="4" t="s">
        <v>859</v>
      </c>
      <c r="I2658" s="4" t="s">
        <v>4703</v>
      </c>
    </row>
    <row r="2659" ht="15.75" customHeight="1">
      <c r="A2659" s="8"/>
      <c r="B2659" s="4" t="s">
        <v>4702</v>
      </c>
      <c r="C2659" s="5">
        <v>0.0</v>
      </c>
      <c r="D2659" s="5">
        <v>5.7112889E7</v>
      </c>
      <c r="E2659" s="5">
        <f t="shared" si="3"/>
        <v>57112889</v>
      </c>
      <c r="F2659" s="4" t="s">
        <v>93</v>
      </c>
      <c r="G2659" s="4" t="s">
        <v>93</v>
      </c>
      <c r="H2659" s="4" t="s">
        <v>859</v>
      </c>
      <c r="I2659" s="4" t="s">
        <v>4703</v>
      </c>
    </row>
    <row r="2660" ht="15.75" customHeight="1">
      <c r="A2660" s="8"/>
      <c r="B2660" s="4" t="s">
        <v>1529</v>
      </c>
      <c r="C2660" s="5">
        <v>175460.0</v>
      </c>
      <c r="D2660" s="5">
        <v>0.0</v>
      </c>
      <c r="E2660" s="5">
        <f t="shared" si="3"/>
        <v>56937429</v>
      </c>
      <c r="F2660" s="4" t="s">
        <v>93</v>
      </c>
      <c r="G2660" s="4" t="s">
        <v>93</v>
      </c>
      <c r="H2660" s="4" t="s">
        <v>4661</v>
      </c>
      <c r="I2660" s="4" t="s">
        <v>1529</v>
      </c>
    </row>
    <row r="2661" ht="15.75" customHeight="1">
      <c r="A2661" s="8"/>
      <c r="B2661" s="4" t="s">
        <v>1528</v>
      </c>
      <c r="C2661" s="5">
        <v>104869.0</v>
      </c>
      <c r="D2661" s="5">
        <v>0.0</v>
      </c>
      <c r="E2661" s="5">
        <f t="shared" si="3"/>
        <v>56832560</v>
      </c>
      <c r="F2661" s="4" t="s">
        <v>93</v>
      </c>
      <c r="G2661" s="4" t="s">
        <v>93</v>
      </c>
      <c r="H2661" s="4" t="s">
        <v>4661</v>
      </c>
      <c r="I2661" s="4" t="s">
        <v>1528</v>
      </c>
    </row>
    <row r="2662" ht="15.75" customHeight="1">
      <c r="A2662" s="8"/>
      <c r="B2662" s="4" t="s">
        <v>1527</v>
      </c>
      <c r="C2662" s="5">
        <v>174341.0</v>
      </c>
      <c r="D2662" s="5">
        <v>0.0</v>
      </c>
      <c r="E2662" s="5">
        <f t="shared" si="3"/>
        <v>56658219</v>
      </c>
      <c r="F2662" s="4" t="s">
        <v>93</v>
      </c>
      <c r="G2662" s="4" t="s">
        <v>93</v>
      </c>
      <c r="H2662" s="4" t="s">
        <v>4661</v>
      </c>
      <c r="I2662" s="4" t="s">
        <v>1527</v>
      </c>
    </row>
    <row r="2663" ht="15.75" customHeight="1">
      <c r="A2663" s="8"/>
      <c r="B2663" s="4" t="s">
        <v>1526</v>
      </c>
      <c r="C2663" s="5">
        <v>299914.0</v>
      </c>
      <c r="D2663" s="5">
        <v>0.0</v>
      </c>
      <c r="E2663" s="5">
        <f t="shared" si="3"/>
        <v>56358305</v>
      </c>
      <c r="F2663" s="4" t="s">
        <v>93</v>
      </c>
      <c r="G2663" s="4" t="s">
        <v>93</v>
      </c>
      <c r="H2663" s="4" t="s">
        <v>4661</v>
      </c>
      <c r="I2663" s="4" t="s">
        <v>1526</v>
      </c>
    </row>
    <row r="2664" ht="15.75" customHeight="1">
      <c r="A2664" s="8"/>
      <c r="B2664" s="4" t="s">
        <v>1376</v>
      </c>
      <c r="C2664" s="5">
        <v>2145000.0</v>
      </c>
      <c r="D2664" s="5">
        <v>0.0</v>
      </c>
      <c r="E2664" s="5">
        <f t="shared" si="3"/>
        <v>54213305</v>
      </c>
      <c r="F2664" s="4" t="s">
        <v>93</v>
      </c>
      <c r="G2664" s="4" t="s">
        <v>93</v>
      </c>
      <c r="H2664" s="4" t="s">
        <v>4661</v>
      </c>
      <c r="I2664" s="4" t="s">
        <v>1376</v>
      </c>
    </row>
    <row r="2665" ht="15.75" customHeight="1">
      <c r="A2665" s="8"/>
      <c r="B2665" s="4" t="s">
        <v>1525</v>
      </c>
      <c r="C2665" s="5">
        <v>4207110.0</v>
      </c>
      <c r="D2665" s="5">
        <v>0.0</v>
      </c>
      <c r="E2665" s="5">
        <f t="shared" si="3"/>
        <v>50006195</v>
      </c>
      <c r="F2665" s="4" t="s">
        <v>93</v>
      </c>
      <c r="G2665" s="4" t="s">
        <v>93</v>
      </c>
      <c r="H2665" s="4" t="s">
        <v>4661</v>
      </c>
      <c r="I2665" s="4" t="s">
        <v>1525</v>
      </c>
    </row>
    <row r="2666" ht="15.75" customHeight="1">
      <c r="A2666" s="8"/>
      <c r="B2666" s="4" t="s">
        <v>1482</v>
      </c>
      <c r="C2666" s="5">
        <v>1695759.0</v>
      </c>
      <c r="D2666" s="5">
        <v>0.0</v>
      </c>
      <c r="E2666" s="5">
        <f t="shared" si="3"/>
        <v>48310436</v>
      </c>
      <c r="F2666" s="4" t="s">
        <v>93</v>
      </c>
      <c r="G2666" s="4" t="s">
        <v>93</v>
      </c>
      <c r="H2666" s="4" t="s">
        <v>4661</v>
      </c>
      <c r="I2666" s="4" t="s">
        <v>1482</v>
      </c>
    </row>
    <row r="2667" ht="15.75" customHeight="1">
      <c r="A2667" s="8"/>
      <c r="B2667" s="4" t="s">
        <v>2390</v>
      </c>
      <c r="C2667" s="5">
        <v>9248269.0</v>
      </c>
      <c r="D2667" s="5">
        <v>0.0</v>
      </c>
      <c r="E2667" s="5">
        <f t="shared" si="3"/>
        <v>39062167</v>
      </c>
      <c r="F2667" s="4" t="s">
        <v>93</v>
      </c>
      <c r="G2667" s="4" t="s">
        <v>93</v>
      </c>
      <c r="H2667" s="4" t="s">
        <v>4661</v>
      </c>
      <c r="I2667" s="4" t="s">
        <v>2390</v>
      </c>
    </row>
    <row r="2668" ht="15.75" customHeight="1">
      <c r="A2668" s="8"/>
      <c r="B2668" s="4" t="s">
        <v>1488</v>
      </c>
      <c r="C2668" s="5">
        <v>1127500.0</v>
      </c>
      <c r="D2668" s="5">
        <v>0.0</v>
      </c>
      <c r="E2668" s="5">
        <f t="shared" si="3"/>
        <v>37934667</v>
      </c>
      <c r="F2668" s="4" t="s">
        <v>93</v>
      </c>
      <c r="G2668" s="4" t="s">
        <v>93</v>
      </c>
      <c r="H2668" s="4" t="s">
        <v>4661</v>
      </c>
      <c r="I2668" s="4" t="s">
        <v>1488</v>
      </c>
    </row>
    <row r="2669" ht="15.75" customHeight="1">
      <c r="A2669" s="8"/>
      <c r="B2669" s="4" t="s">
        <v>1405</v>
      </c>
      <c r="C2669" s="5">
        <v>563750.0</v>
      </c>
      <c r="D2669" s="5">
        <v>0.0</v>
      </c>
      <c r="E2669" s="5">
        <f t="shared" si="3"/>
        <v>37370917</v>
      </c>
      <c r="F2669" s="4" t="s">
        <v>93</v>
      </c>
      <c r="G2669" s="4" t="s">
        <v>93</v>
      </c>
      <c r="H2669" s="4" t="s">
        <v>4661</v>
      </c>
      <c r="I2669" s="4" t="s">
        <v>1405</v>
      </c>
    </row>
    <row r="2670" ht="15.75" customHeight="1">
      <c r="A2670" s="8"/>
      <c r="B2670" s="4" t="s">
        <v>1400</v>
      </c>
      <c r="C2670" s="5">
        <v>563750.0</v>
      </c>
      <c r="D2670" s="5">
        <v>0.0</v>
      </c>
      <c r="E2670" s="5">
        <f t="shared" si="3"/>
        <v>36807167</v>
      </c>
      <c r="F2670" s="4" t="s">
        <v>93</v>
      </c>
      <c r="G2670" s="4" t="s">
        <v>93</v>
      </c>
      <c r="H2670" s="4" t="s">
        <v>4661</v>
      </c>
      <c r="I2670" s="4" t="s">
        <v>1400</v>
      </c>
    </row>
    <row r="2671" ht="15.75" customHeight="1">
      <c r="A2671" s="8"/>
      <c r="B2671" s="4" t="s">
        <v>1387</v>
      </c>
      <c r="C2671" s="5">
        <v>563750.0</v>
      </c>
      <c r="D2671" s="5">
        <v>0.0</v>
      </c>
      <c r="E2671" s="5">
        <f t="shared" si="3"/>
        <v>36243417</v>
      </c>
      <c r="F2671" s="4" t="s">
        <v>93</v>
      </c>
      <c r="G2671" s="4" t="s">
        <v>93</v>
      </c>
      <c r="H2671" s="4" t="s">
        <v>4661</v>
      </c>
      <c r="I2671" s="4" t="s">
        <v>1387</v>
      </c>
    </row>
    <row r="2672" ht="15.75" customHeight="1">
      <c r="A2672" s="8"/>
      <c r="B2672" s="4" t="s">
        <v>1382</v>
      </c>
      <c r="C2672" s="5">
        <v>563750.0</v>
      </c>
      <c r="D2672" s="5">
        <v>0.0</v>
      </c>
      <c r="E2672" s="5">
        <f t="shared" si="3"/>
        <v>35679667</v>
      </c>
      <c r="F2672" s="4" t="s">
        <v>93</v>
      </c>
      <c r="G2672" s="4" t="s">
        <v>93</v>
      </c>
      <c r="H2672" s="4" t="s">
        <v>4661</v>
      </c>
      <c r="I2672" s="4" t="s">
        <v>1382</v>
      </c>
    </row>
    <row r="2673" ht="15.75" customHeight="1">
      <c r="A2673" s="8"/>
      <c r="B2673" s="4" t="s">
        <v>1380</v>
      </c>
      <c r="C2673" s="5">
        <v>563750.0</v>
      </c>
      <c r="D2673" s="5">
        <v>0.0</v>
      </c>
      <c r="E2673" s="5">
        <f t="shared" si="3"/>
        <v>35115917</v>
      </c>
      <c r="F2673" s="4" t="s">
        <v>93</v>
      </c>
      <c r="G2673" s="4" t="s">
        <v>93</v>
      </c>
      <c r="H2673" s="4" t="s">
        <v>4661</v>
      </c>
      <c r="I2673" s="4" t="s">
        <v>1380</v>
      </c>
    </row>
    <row r="2674" ht="15.75" customHeight="1">
      <c r="A2674" s="8"/>
      <c r="B2674" s="4" t="s">
        <v>1559</v>
      </c>
      <c r="C2674" s="5">
        <v>563750.0</v>
      </c>
      <c r="D2674" s="5">
        <v>0.0</v>
      </c>
      <c r="E2674" s="5">
        <f t="shared" si="3"/>
        <v>34552167</v>
      </c>
      <c r="F2674" s="4" t="s">
        <v>93</v>
      </c>
      <c r="G2674" s="4" t="s">
        <v>93</v>
      </c>
      <c r="H2674" s="4" t="s">
        <v>4661</v>
      </c>
      <c r="I2674" s="4" t="s">
        <v>1559</v>
      </c>
    </row>
    <row r="2675" ht="15.75" customHeight="1">
      <c r="A2675" s="8"/>
      <c r="B2675" s="4" t="s">
        <v>4672</v>
      </c>
      <c r="C2675" s="5">
        <v>660000.0</v>
      </c>
      <c r="D2675" s="5">
        <v>0.0</v>
      </c>
      <c r="E2675" s="5">
        <f t="shared" si="3"/>
        <v>33892167</v>
      </c>
      <c r="F2675" s="4" t="s">
        <v>93</v>
      </c>
      <c r="G2675" s="4" t="s">
        <v>93</v>
      </c>
      <c r="H2675" s="4" t="s">
        <v>4661</v>
      </c>
      <c r="I2675" s="4" t="s">
        <v>4672</v>
      </c>
    </row>
    <row r="2676" ht="15.75" customHeight="1">
      <c r="A2676" s="8"/>
      <c r="B2676" s="4" t="s">
        <v>1719</v>
      </c>
      <c r="C2676" s="5">
        <v>907500.0</v>
      </c>
      <c r="D2676" s="5">
        <v>0.0</v>
      </c>
      <c r="E2676" s="5">
        <f t="shared" si="3"/>
        <v>32984667</v>
      </c>
      <c r="F2676" s="4" t="s">
        <v>93</v>
      </c>
      <c r="G2676" s="4" t="s">
        <v>93</v>
      </c>
      <c r="H2676" s="4" t="s">
        <v>4661</v>
      </c>
      <c r="I2676" s="4" t="s">
        <v>1719</v>
      </c>
    </row>
    <row r="2677" ht="15.75" customHeight="1">
      <c r="A2677" s="8"/>
      <c r="B2677" s="4" t="s">
        <v>4671</v>
      </c>
      <c r="C2677" s="5">
        <v>995500.0</v>
      </c>
      <c r="D2677" s="5">
        <v>0.0</v>
      </c>
      <c r="E2677" s="5">
        <f t="shared" si="3"/>
        <v>31989167</v>
      </c>
      <c r="F2677" s="4" t="s">
        <v>93</v>
      </c>
      <c r="G2677" s="4" t="s">
        <v>93</v>
      </c>
      <c r="H2677" s="4" t="s">
        <v>4661</v>
      </c>
      <c r="I2677" s="4" t="s">
        <v>4671</v>
      </c>
    </row>
    <row r="2678" ht="15.75" customHeight="1">
      <c r="A2678" s="8"/>
      <c r="B2678" s="4" t="s">
        <v>1949</v>
      </c>
      <c r="C2678" s="5">
        <v>1097462.0</v>
      </c>
      <c r="D2678" s="5">
        <v>0.0</v>
      </c>
      <c r="E2678" s="5">
        <f t="shared" si="3"/>
        <v>30891705</v>
      </c>
      <c r="F2678" s="4" t="s">
        <v>93</v>
      </c>
      <c r="G2678" s="4" t="s">
        <v>93</v>
      </c>
      <c r="H2678" s="4" t="s">
        <v>4661</v>
      </c>
      <c r="I2678" s="4" t="s">
        <v>1949</v>
      </c>
    </row>
    <row r="2679" ht="15.75" customHeight="1">
      <c r="A2679" s="8"/>
      <c r="B2679" s="4" t="s">
        <v>4670</v>
      </c>
      <c r="C2679" s="5">
        <v>1309263.0</v>
      </c>
      <c r="D2679" s="5">
        <v>0.0</v>
      </c>
      <c r="E2679" s="5">
        <f t="shared" si="3"/>
        <v>29582442</v>
      </c>
      <c r="F2679" s="4" t="s">
        <v>93</v>
      </c>
      <c r="G2679" s="4" t="s">
        <v>93</v>
      </c>
      <c r="H2679" s="4" t="s">
        <v>4661</v>
      </c>
      <c r="I2679" s="4" t="s">
        <v>4670</v>
      </c>
    </row>
    <row r="2680" ht="15.75" customHeight="1">
      <c r="A2680" s="8"/>
      <c r="B2680" s="4" t="s">
        <v>1327</v>
      </c>
      <c r="C2680" s="5">
        <v>633608.0</v>
      </c>
      <c r="D2680" s="5">
        <v>0.0</v>
      </c>
      <c r="E2680" s="5">
        <f t="shared" si="3"/>
        <v>28948834</v>
      </c>
      <c r="F2680" s="4" t="s">
        <v>93</v>
      </c>
      <c r="G2680" s="4" t="s">
        <v>93</v>
      </c>
      <c r="H2680" s="4" t="s">
        <v>4661</v>
      </c>
      <c r="I2680" s="4" t="s">
        <v>1327</v>
      </c>
    </row>
    <row r="2681" ht="15.75" customHeight="1">
      <c r="A2681" s="8"/>
      <c r="B2681" s="4" t="s">
        <v>1426</v>
      </c>
      <c r="C2681" s="5">
        <v>377342.0</v>
      </c>
      <c r="D2681" s="5">
        <v>0.0</v>
      </c>
      <c r="E2681" s="5">
        <f t="shared" si="3"/>
        <v>28571492</v>
      </c>
      <c r="F2681" s="4" t="s">
        <v>93</v>
      </c>
      <c r="G2681" s="4" t="s">
        <v>93</v>
      </c>
      <c r="H2681" s="4" t="s">
        <v>4661</v>
      </c>
      <c r="I2681" s="4" t="s">
        <v>1426</v>
      </c>
    </row>
    <row r="2682" ht="15.75" customHeight="1">
      <c r="A2682" s="8"/>
      <c r="B2682" s="4" t="s">
        <v>1422</v>
      </c>
      <c r="C2682" s="5">
        <v>249839.0</v>
      </c>
      <c r="D2682" s="5">
        <v>0.0</v>
      </c>
      <c r="E2682" s="5">
        <f t="shared" si="3"/>
        <v>28321653</v>
      </c>
      <c r="F2682" s="4" t="s">
        <v>93</v>
      </c>
      <c r="G2682" s="4" t="s">
        <v>93</v>
      </c>
      <c r="H2682" s="4" t="s">
        <v>4661</v>
      </c>
      <c r="I2682" s="4" t="s">
        <v>1422</v>
      </c>
    </row>
    <row r="2683" ht="15.75" customHeight="1">
      <c r="A2683" s="8"/>
      <c r="B2683" s="4" t="s">
        <v>1420</v>
      </c>
      <c r="C2683" s="5">
        <v>460726.0</v>
      </c>
      <c r="D2683" s="5">
        <v>0.0</v>
      </c>
      <c r="E2683" s="5">
        <f t="shared" si="3"/>
        <v>27860927</v>
      </c>
      <c r="F2683" s="4" t="s">
        <v>93</v>
      </c>
      <c r="G2683" s="4" t="s">
        <v>93</v>
      </c>
      <c r="H2683" s="4" t="s">
        <v>4661</v>
      </c>
      <c r="I2683" s="4" t="s">
        <v>1420</v>
      </c>
    </row>
    <row r="2684" ht="15.75" customHeight="1">
      <c r="A2684" s="8"/>
      <c r="B2684" s="4" t="s">
        <v>1542</v>
      </c>
      <c r="C2684" s="5">
        <v>309755.0</v>
      </c>
      <c r="D2684" s="5">
        <v>0.0</v>
      </c>
      <c r="E2684" s="5">
        <f t="shared" si="3"/>
        <v>27551172</v>
      </c>
      <c r="F2684" s="4" t="s">
        <v>93</v>
      </c>
      <c r="G2684" s="4" t="s">
        <v>93</v>
      </c>
      <c r="H2684" s="4" t="s">
        <v>4661</v>
      </c>
      <c r="I2684" s="4" t="s">
        <v>1542</v>
      </c>
    </row>
    <row r="2685" ht="15.75" customHeight="1">
      <c r="A2685" s="8"/>
      <c r="B2685" s="4" t="s">
        <v>1310</v>
      </c>
      <c r="C2685" s="5">
        <v>1563176.0</v>
      </c>
      <c r="D2685" s="5">
        <v>0.0</v>
      </c>
      <c r="E2685" s="5">
        <f t="shared" si="3"/>
        <v>25987996</v>
      </c>
      <c r="F2685" s="4" t="s">
        <v>93</v>
      </c>
      <c r="G2685" s="4" t="s">
        <v>93</v>
      </c>
      <c r="H2685" s="4" t="s">
        <v>4661</v>
      </c>
      <c r="I2685" s="4" t="s">
        <v>1310</v>
      </c>
    </row>
    <row r="2686" ht="15.75" customHeight="1">
      <c r="A2686" s="8"/>
      <c r="B2686" s="4" t="s">
        <v>1552</v>
      </c>
      <c r="C2686" s="5">
        <v>736530.0</v>
      </c>
      <c r="D2686" s="5">
        <v>0.0</v>
      </c>
      <c r="E2686" s="5">
        <f t="shared" si="3"/>
        <v>25251466</v>
      </c>
      <c r="F2686" s="4" t="s">
        <v>93</v>
      </c>
      <c r="G2686" s="4" t="s">
        <v>93</v>
      </c>
      <c r="H2686" s="4" t="s">
        <v>4661</v>
      </c>
      <c r="I2686" s="4" t="s">
        <v>1552</v>
      </c>
    </row>
    <row r="2687" ht="15.75" customHeight="1">
      <c r="A2687" s="8"/>
      <c r="B2687" s="4" t="s">
        <v>4692</v>
      </c>
      <c r="C2687" s="5">
        <v>0.0</v>
      </c>
      <c r="D2687" s="5">
        <v>506000.0</v>
      </c>
      <c r="E2687" s="5">
        <f t="shared" si="3"/>
        <v>25757466</v>
      </c>
      <c r="F2687" s="4" t="s">
        <v>21</v>
      </c>
      <c r="G2687" s="4" t="s">
        <v>184</v>
      </c>
      <c r="H2687" s="4" t="s">
        <v>1121</v>
      </c>
    </row>
    <row r="2688" ht="15.75" customHeight="1">
      <c r="A2688" s="8"/>
      <c r="B2688" s="4" t="s">
        <v>4700</v>
      </c>
      <c r="C2688" s="5">
        <v>0.0</v>
      </c>
      <c r="D2688" s="5">
        <v>589193.0</v>
      </c>
      <c r="E2688" s="5">
        <f t="shared" si="3"/>
        <v>26346659</v>
      </c>
      <c r="F2688" s="4" t="s">
        <v>21</v>
      </c>
      <c r="G2688" s="4" t="s">
        <v>448</v>
      </c>
      <c r="H2688" s="4" t="s">
        <v>1121</v>
      </c>
    </row>
    <row r="2689" ht="15.75" customHeight="1">
      <c r="A2689" s="8"/>
      <c r="B2689" s="4" t="s">
        <v>1122</v>
      </c>
      <c r="C2689" s="5">
        <v>0.0</v>
      </c>
      <c r="D2689" s="5">
        <v>329560.0</v>
      </c>
      <c r="E2689" s="5">
        <f t="shared" si="3"/>
        <v>26676219</v>
      </c>
      <c r="F2689" s="4" t="s">
        <v>21</v>
      </c>
      <c r="G2689" s="4" t="s">
        <v>184</v>
      </c>
      <c r="H2689" s="4" t="s">
        <v>1121</v>
      </c>
    </row>
    <row r="2690" ht="15.75" customHeight="1">
      <c r="A2690" s="8"/>
      <c r="B2690" s="4" t="s">
        <v>4700</v>
      </c>
      <c r="C2690" s="5">
        <v>0.0</v>
      </c>
      <c r="D2690" s="5">
        <v>186945.0</v>
      </c>
      <c r="E2690" s="5">
        <f t="shared" si="3"/>
        <v>26863164</v>
      </c>
      <c r="F2690" s="4" t="s">
        <v>21</v>
      </c>
      <c r="G2690" s="4" t="s">
        <v>448</v>
      </c>
      <c r="H2690" s="4" t="s">
        <v>1121</v>
      </c>
    </row>
    <row r="2691" ht="15.75" customHeight="1">
      <c r="A2691" s="8"/>
      <c r="B2691" s="4" t="s">
        <v>4700</v>
      </c>
      <c r="C2691" s="5">
        <v>0.0</v>
      </c>
      <c r="D2691" s="5">
        <v>31900.0</v>
      </c>
      <c r="E2691" s="5">
        <f t="shared" si="3"/>
        <v>26895064</v>
      </c>
      <c r="F2691" s="4" t="s">
        <v>21</v>
      </c>
      <c r="G2691" s="4" t="s">
        <v>448</v>
      </c>
      <c r="H2691" s="4" t="s">
        <v>1121</v>
      </c>
    </row>
    <row r="2692" ht="15.75" customHeight="1">
      <c r="A2692" s="8"/>
      <c r="B2692" s="4" t="s">
        <v>4700</v>
      </c>
      <c r="C2692" s="5">
        <v>0.0</v>
      </c>
      <c r="D2692" s="5">
        <v>186945.0</v>
      </c>
      <c r="E2692" s="5">
        <f t="shared" si="3"/>
        <v>27082009</v>
      </c>
      <c r="F2692" s="4" t="s">
        <v>21</v>
      </c>
      <c r="G2692" s="4" t="s">
        <v>448</v>
      </c>
      <c r="H2692" s="4" t="s">
        <v>1121</v>
      </c>
    </row>
    <row r="2693" ht="15.75" customHeight="1">
      <c r="A2693" s="8"/>
      <c r="B2693" s="4" t="s">
        <v>4700</v>
      </c>
      <c r="C2693" s="5">
        <v>0.0</v>
      </c>
      <c r="D2693" s="5">
        <v>31900.0</v>
      </c>
      <c r="E2693" s="5">
        <f t="shared" si="3"/>
        <v>27113909</v>
      </c>
      <c r="F2693" s="4" t="s">
        <v>21</v>
      </c>
      <c r="G2693" s="4" t="s">
        <v>448</v>
      </c>
      <c r="H2693" s="4" t="s">
        <v>1121</v>
      </c>
    </row>
    <row r="2694" ht="15.75" customHeight="1">
      <c r="A2694" s="8"/>
      <c r="B2694" s="4" t="s">
        <v>4700</v>
      </c>
      <c r="C2694" s="5">
        <v>0.0</v>
      </c>
      <c r="D2694" s="5">
        <v>31900.0</v>
      </c>
      <c r="E2694" s="5">
        <f t="shared" si="3"/>
        <v>27145809</v>
      </c>
      <c r="F2694" s="4" t="s">
        <v>21</v>
      </c>
      <c r="G2694" s="4" t="s">
        <v>448</v>
      </c>
      <c r="H2694" s="4" t="s">
        <v>1121</v>
      </c>
    </row>
    <row r="2695" ht="15.75" customHeight="1">
      <c r="A2695" s="8"/>
      <c r="B2695" s="4" t="s">
        <v>4700</v>
      </c>
      <c r="C2695" s="5">
        <v>0.0</v>
      </c>
      <c r="D2695" s="5">
        <v>186945.0</v>
      </c>
      <c r="E2695" s="5">
        <f t="shared" si="3"/>
        <v>27332754</v>
      </c>
      <c r="F2695" s="4" t="s">
        <v>21</v>
      </c>
      <c r="G2695" s="4" t="s">
        <v>448</v>
      </c>
      <c r="H2695" s="4" t="s">
        <v>1121</v>
      </c>
    </row>
    <row r="2696" ht="15.75" customHeight="1">
      <c r="A2696" s="8"/>
      <c r="B2696" s="4" t="s">
        <v>4700</v>
      </c>
      <c r="C2696" s="5">
        <v>0.0</v>
      </c>
      <c r="D2696" s="5">
        <v>31900.0</v>
      </c>
      <c r="E2696" s="5">
        <f t="shared" si="3"/>
        <v>27364654</v>
      </c>
      <c r="F2696" s="4" t="s">
        <v>21</v>
      </c>
      <c r="G2696" s="4" t="s">
        <v>448</v>
      </c>
      <c r="H2696" s="4" t="s">
        <v>1121</v>
      </c>
    </row>
    <row r="2697" ht="15.75" customHeight="1">
      <c r="A2697" s="8"/>
      <c r="B2697" s="4" t="s">
        <v>4700</v>
      </c>
      <c r="C2697" s="5">
        <v>0.0</v>
      </c>
      <c r="D2697" s="5">
        <v>202950.0</v>
      </c>
      <c r="E2697" s="5">
        <f t="shared" si="3"/>
        <v>27567604</v>
      </c>
      <c r="F2697" s="4" t="s">
        <v>21</v>
      </c>
      <c r="G2697" s="4" t="s">
        <v>448</v>
      </c>
      <c r="H2697" s="4" t="s">
        <v>1121</v>
      </c>
    </row>
    <row r="2698" ht="15.75" customHeight="1">
      <c r="A2698" s="8"/>
      <c r="B2698" s="4" t="s">
        <v>4700</v>
      </c>
      <c r="C2698" s="5">
        <v>0.0</v>
      </c>
      <c r="D2698" s="5">
        <v>31900.0</v>
      </c>
      <c r="E2698" s="5">
        <f t="shared" si="3"/>
        <v>27599504</v>
      </c>
      <c r="F2698" s="4" t="s">
        <v>21</v>
      </c>
      <c r="G2698" s="4" t="s">
        <v>448</v>
      </c>
      <c r="H2698" s="4" t="s">
        <v>1121</v>
      </c>
    </row>
    <row r="2699" ht="15.75" customHeight="1">
      <c r="A2699" s="8"/>
      <c r="B2699" s="4" t="s">
        <v>4700</v>
      </c>
      <c r="C2699" s="5">
        <v>0.0</v>
      </c>
      <c r="D2699" s="5">
        <v>186945.0</v>
      </c>
      <c r="E2699" s="5">
        <f t="shared" si="3"/>
        <v>27786449</v>
      </c>
      <c r="F2699" s="4" t="s">
        <v>21</v>
      </c>
      <c r="G2699" s="4" t="s">
        <v>448</v>
      </c>
      <c r="H2699" s="4" t="s">
        <v>1121</v>
      </c>
    </row>
    <row r="2700" ht="15.75" customHeight="1">
      <c r="A2700" s="8"/>
      <c r="B2700" s="4" t="s">
        <v>4700</v>
      </c>
      <c r="C2700" s="5">
        <v>0.0</v>
      </c>
      <c r="D2700" s="5">
        <v>186945.0</v>
      </c>
      <c r="E2700" s="5">
        <f t="shared" si="3"/>
        <v>27973394</v>
      </c>
      <c r="F2700" s="4" t="s">
        <v>21</v>
      </c>
      <c r="G2700" s="4" t="s">
        <v>448</v>
      </c>
      <c r="H2700" s="4" t="s">
        <v>1121</v>
      </c>
    </row>
    <row r="2701" ht="15.75" customHeight="1">
      <c r="A2701" s="8"/>
      <c r="B2701" s="4" t="s">
        <v>4700</v>
      </c>
      <c r="C2701" s="5">
        <v>0.0</v>
      </c>
      <c r="D2701" s="5">
        <v>31900.0</v>
      </c>
      <c r="E2701" s="5">
        <f t="shared" si="3"/>
        <v>28005294</v>
      </c>
      <c r="F2701" s="4" t="s">
        <v>21</v>
      </c>
      <c r="G2701" s="4" t="s">
        <v>448</v>
      </c>
      <c r="H2701" s="4" t="s">
        <v>1121</v>
      </c>
    </row>
    <row r="2702" ht="15.75" customHeight="1">
      <c r="A2702" s="8"/>
      <c r="B2702" s="4" t="s">
        <v>4690</v>
      </c>
      <c r="C2702" s="5">
        <v>0.0</v>
      </c>
      <c r="D2702" s="5">
        <v>51150.0</v>
      </c>
      <c r="E2702" s="5">
        <f t="shared" si="3"/>
        <v>28056444</v>
      </c>
      <c r="F2702" s="4" t="s">
        <v>21</v>
      </c>
      <c r="G2702" s="4" t="s">
        <v>184</v>
      </c>
      <c r="H2702" s="4" t="s">
        <v>1121</v>
      </c>
    </row>
    <row r="2703" ht="15.75" customHeight="1">
      <c r="A2703" s="8"/>
      <c r="B2703" s="4" t="s">
        <v>4690</v>
      </c>
      <c r="C2703" s="5">
        <v>0.0</v>
      </c>
      <c r="D2703" s="5">
        <v>153560.0</v>
      </c>
      <c r="E2703" s="5">
        <f t="shared" si="3"/>
        <v>28210004</v>
      </c>
      <c r="F2703" s="4" t="s">
        <v>21</v>
      </c>
      <c r="G2703" s="4" t="s">
        <v>184</v>
      </c>
      <c r="H2703" s="4" t="s">
        <v>1121</v>
      </c>
    </row>
    <row r="2704" ht="15.75" customHeight="1">
      <c r="A2704" s="8"/>
      <c r="B2704" s="4" t="s">
        <v>4690</v>
      </c>
      <c r="C2704" s="5">
        <v>0.0</v>
      </c>
      <c r="D2704" s="5">
        <v>634315.0</v>
      </c>
      <c r="E2704" s="5">
        <f t="shared" si="3"/>
        <v>28844319</v>
      </c>
      <c r="F2704" s="4" t="s">
        <v>21</v>
      </c>
      <c r="G2704" s="4" t="s">
        <v>184</v>
      </c>
      <c r="H2704" s="4" t="s">
        <v>1121</v>
      </c>
    </row>
    <row r="2705" ht="15.75" customHeight="1">
      <c r="A2705" s="8"/>
      <c r="B2705" s="4" t="s">
        <v>4689</v>
      </c>
      <c r="C2705" s="5">
        <v>0.0</v>
      </c>
      <c r="D2705" s="5">
        <v>440000.0</v>
      </c>
      <c r="E2705" s="5">
        <f t="shared" si="3"/>
        <v>29284319</v>
      </c>
      <c r="F2705" s="4" t="s">
        <v>21</v>
      </c>
      <c r="G2705" s="4" t="s">
        <v>184</v>
      </c>
      <c r="H2705" s="4" t="s">
        <v>1121</v>
      </c>
    </row>
    <row r="2706" ht="15.75" customHeight="1">
      <c r="A2706" s="8"/>
      <c r="B2706" s="4" t="s">
        <v>4688</v>
      </c>
      <c r="C2706" s="5">
        <v>0.0</v>
      </c>
      <c r="D2706" s="5">
        <v>78288.0</v>
      </c>
      <c r="E2706" s="5">
        <f t="shared" si="3"/>
        <v>29362607</v>
      </c>
      <c r="F2706" s="4" t="s">
        <v>21</v>
      </c>
      <c r="G2706" s="4" t="s">
        <v>184</v>
      </c>
      <c r="H2706" s="4" t="s">
        <v>1121</v>
      </c>
    </row>
    <row r="2707" ht="15.75" customHeight="1">
      <c r="A2707" s="8"/>
      <c r="B2707" s="4" t="s">
        <v>953</v>
      </c>
      <c r="C2707" s="5">
        <v>0.0</v>
      </c>
      <c r="D2707" s="5">
        <v>17600.0</v>
      </c>
      <c r="E2707" s="5">
        <f t="shared" si="3"/>
        <v>29380207</v>
      </c>
      <c r="F2707" s="4" t="s">
        <v>21</v>
      </c>
      <c r="G2707" s="4" t="s">
        <v>448</v>
      </c>
      <c r="H2707" s="4" t="s">
        <v>1121</v>
      </c>
    </row>
    <row r="2708" ht="15.75" customHeight="1">
      <c r="A2708" s="8"/>
      <c r="B2708" s="4" t="s">
        <v>953</v>
      </c>
      <c r="C2708" s="5">
        <v>0.0</v>
      </c>
      <c r="D2708" s="5">
        <v>88000.0</v>
      </c>
      <c r="E2708" s="5">
        <f t="shared" si="3"/>
        <v>29468207</v>
      </c>
      <c r="F2708" s="4" t="s">
        <v>21</v>
      </c>
      <c r="G2708" s="4" t="s">
        <v>448</v>
      </c>
      <c r="H2708" s="4" t="s">
        <v>1121</v>
      </c>
    </row>
    <row r="2709" ht="15.75" customHeight="1">
      <c r="A2709" s="8"/>
      <c r="B2709" s="4" t="s">
        <v>4693</v>
      </c>
      <c r="C2709" s="5">
        <v>0.0</v>
      </c>
      <c r="D2709" s="5">
        <v>385000.0</v>
      </c>
      <c r="E2709" s="5">
        <f t="shared" si="3"/>
        <v>29853207</v>
      </c>
      <c r="F2709" s="4" t="s">
        <v>21</v>
      </c>
      <c r="G2709" s="4" t="s">
        <v>184</v>
      </c>
      <c r="H2709" s="4" t="s">
        <v>1121</v>
      </c>
    </row>
    <row r="2710" ht="15.75" customHeight="1">
      <c r="A2710" s="8"/>
      <c r="B2710" s="4" t="s">
        <v>4704</v>
      </c>
      <c r="C2710" s="5">
        <v>2.9853207E7</v>
      </c>
      <c r="D2710" s="5">
        <v>0.0</v>
      </c>
      <c r="E2710" s="5">
        <f t="shared" si="3"/>
        <v>0</v>
      </c>
      <c r="F2710" s="4" t="s">
        <v>93</v>
      </c>
      <c r="G2710" s="4" t="s">
        <v>93</v>
      </c>
      <c r="H2710" s="4" t="s">
        <v>1121</v>
      </c>
      <c r="I2710" s="4" t="s">
        <v>4705</v>
      </c>
    </row>
    <row r="2711" ht="15.75" customHeight="1">
      <c r="A2711" s="8"/>
      <c r="B2711" s="4" t="s">
        <v>4704</v>
      </c>
      <c r="C2711" s="5">
        <v>0.0</v>
      </c>
      <c r="D2711" s="5">
        <v>2.9853207E7</v>
      </c>
      <c r="E2711" s="5">
        <f t="shared" si="3"/>
        <v>29853207</v>
      </c>
      <c r="F2711" s="4" t="s">
        <v>93</v>
      </c>
      <c r="G2711" s="4" t="s">
        <v>93</v>
      </c>
      <c r="H2711" s="4" t="s">
        <v>1121</v>
      </c>
      <c r="I2711" s="4" t="s">
        <v>4705</v>
      </c>
    </row>
    <row r="2712" ht="15.75" customHeight="1">
      <c r="A2712" s="8"/>
      <c r="B2712" s="4" t="s">
        <v>1627</v>
      </c>
      <c r="C2712" s="5">
        <v>1803047.0</v>
      </c>
      <c r="D2712" s="5">
        <v>0.0</v>
      </c>
      <c r="E2712" s="5">
        <f t="shared" si="3"/>
        <v>28050160</v>
      </c>
      <c r="F2712" s="4" t="s">
        <v>93</v>
      </c>
      <c r="G2712" s="4" t="s">
        <v>93</v>
      </c>
      <c r="H2712" s="4" t="s">
        <v>4661</v>
      </c>
      <c r="I2712" s="4" t="s">
        <v>1627</v>
      </c>
    </row>
    <row r="2713" ht="15.75" customHeight="1">
      <c r="A2713" s="8"/>
      <c r="B2713" s="4" t="s">
        <v>1571</v>
      </c>
      <c r="C2713" s="5">
        <v>4341013.0</v>
      </c>
      <c r="D2713" s="5">
        <v>0.0</v>
      </c>
      <c r="E2713" s="5">
        <f t="shared" si="3"/>
        <v>23709147</v>
      </c>
      <c r="F2713" s="4" t="s">
        <v>93</v>
      </c>
      <c r="G2713" s="4" t="s">
        <v>93</v>
      </c>
      <c r="H2713" s="4" t="s">
        <v>4661</v>
      </c>
      <c r="I2713" s="4" t="s">
        <v>1571</v>
      </c>
    </row>
    <row r="2714" ht="15.75" customHeight="1">
      <c r="A2714" s="8"/>
      <c r="B2714" s="4" t="s">
        <v>1676</v>
      </c>
      <c r="C2714" s="5">
        <v>3463656.0</v>
      </c>
      <c r="D2714" s="5">
        <v>0.0</v>
      </c>
      <c r="E2714" s="5">
        <f t="shared" si="3"/>
        <v>20245491</v>
      </c>
      <c r="F2714" s="4" t="s">
        <v>93</v>
      </c>
      <c r="G2714" s="4" t="s">
        <v>93</v>
      </c>
      <c r="H2714" s="4" t="s">
        <v>4661</v>
      </c>
      <c r="I2714" s="4" t="s">
        <v>1676</v>
      </c>
    </row>
    <row r="2715" ht="15.75" customHeight="1">
      <c r="A2715" s="8"/>
      <c r="B2715" s="4" t="s">
        <v>1678</v>
      </c>
      <c r="C2715" s="5">
        <v>2565579.0</v>
      </c>
      <c r="D2715" s="5">
        <v>0.0</v>
      </c>
      <c r="E2715" s="5">
        <f t="shared" si="3"/>
        <v>17679912</v>
      </c>
      <c r="F2715" s="4" t="s">
        <v>93</v>
      </c>
      <c r="G2715" s="4" t="s">
        <v>93</v>
      </c>
      <c r="H2715" s="4" t="s">
        <v>4661</v>
      </c>
      <c r="I2715" s="4" t="s">
        <v>1678</v>
      </c>
    </row>
    <row r="2716" ht="15.75" customHeight="1">
      <c r="A2716" s="8"/>
      <c r="B2716" s="4" t="s">
        <v>4692</v>
      </c>
      <c r="C2716" s="5">
        <v>0.0</v>
      </c>
      <c r="D2716" s="5">
        <v>506000.0</v>
      </c>
      <c r="E2716" s="5">
        <f t="shared" si="3"/>
        <v>18185912</v>
      </c>
      <c r="F2716" s="4" t="s">
        <v>21</v>
      </c>
      <c r="G2716" s="4" t="s">
        <v>184</v>
      </c>
      <c r="H2716" s="4" t="s">
        <v>1430</v>
      </c>
    </row>
    <row r="2717" ht="15.75" customHeight="1">
      <c r="A2717" s="8"/>
      <c r="B2717" s="4" t="s">
        <v>4706</v>
      </c>
      <c r="C2717" s="5">
        <v>0.0</v>
      </c>
      <c r="D2717" s="5">
        <v>1288189.0</v>
      </c>
      <c r="E2717" s="5">
        <f t="shared" si="3"/>
        <v>19474101</v>
      </c>
      <c r="F2717" s="4" t="s">
        <v>93</v>
      </c>
      <c r="G2717" s="4" t="s">
        <v>93</v>
      </c>
      <c r="H2717" s="4" t="s">
        <v>1430</v>
      </c>
    </row>
    <row r="2718" ht="15.75" customHeight="1">
      <c r="A2718" s="8"/>
      <c r="B2718" s="4" t="s">
        <v>4706</v>
      </c>
      <c r="C2718" s="5">
        <v>0.0</v>
      </c>
      <c r="D2718" s="5">
        <v>1129631.0</v>
      </c>
      <c r="E2718" s="5">
        <f t="shared" si="3"/>
        <v>20603732</v>
      </c>
      <c r="F2718" s="4" t="s">
        <v>21</v>
      </c>
      <c r="G2718" s="4" t="s">
        <v>184</v>
      </c>
      <c r="H2718" s="4" t="s">
        <v>1430</v>
      </c>
    </row>
    <row r="2719" ht="15.75" customHeight="1">
      <c r="A2719" s="8"/>
      <c r="B2719" s="14" t="s">
        <v>4707</v>
      </c>
      <c r="C2719" s="5">
        <v>0.0</v>
      </c>
      <c r="D2719" s="5">
        <v>7107633.0</v>
      </c>
      <c r="E2719" s="5">
        <f t="shared" si="3"/>
        <v>27711365</v>
      </c>
      <c r="F2719" s="14" t="s">
        <v>24</v>
      </c>
      <c r="G2719" s="14" t="s">
        <v>1787</v>
      </c>
      <c r="H2719" s="14" t="s">
        <v>1430</v>
      </c>
      <c r="I2719" s="14" t="s">
        <v>4708</v>
      </c>
      <c r="J2719" s="14"/>
      <c r="K2719" s="14"/>
      <c r="L2719" s="14"/>
    </row>
    <row r="2720" ht="15.75" customHeight="1">
      <c r="A2720" s="8"/>
      <c r="B2720" s="4" t="s">
        <v>712</v>
      </c>
      <c r="C2720" s="5">
        <v>0.0</v>
      </c>
      <c r="D2720" s="5">
        <v>1981982.0</v>
      </c>
      <c r="E2720" s="5">
        <f t="shared" si="3"/>
        <v>29693347</v>
      </c>
      <c r="F2720" s="4" t="s">
        <v>21</v>
      </c>
      <c r="G2720" s="4" t="s">
        <v>448</v>
      </c>
      <c r="H2720" s="4" t="s">
        <v>1430</v>
      </c>
    </row>
    <row r="2721" ht="15.75" customHeight="1">
      <c r="A2721" s="8"/>
      <c r="B2721" s="4" t="s">
        <v>1122</v>
      </c>
      <c r="C2721" s="5">
        <v>0.0</v>
      </c>
      <c r="D2721" s="5">
        <v>877936.0</v>
      </c>
      <c r="E2721" s="5">
        <f t="shared" si="3"/>
        <v>30571283</v>
      </c>
      <c r="F2721" s="4" t="s">
        <v>21</v>
      </c>
      <c r="G2721" s="4" t="s">
        <v>184</v>
      </c>
      <c r="H2721" s="4" t="s">
        <v>1430</v>
      </c>
    </row>
    <row r="2722" ht="15.75" customHeight="1">
      <c r="A2722" s="8"/>
      <c r="B2722" s="4" t="s">
        <v>4688</v>
      </c>
      <c r="C2722" s="5">
        <v>0.0</v>
      </c>
      <c r="D2722" s="5">
        <v>913000.0</v>
      </c>
      <c r="E2722" s="5">
        <f t="shared" si="3"/>
        <v>31484283</v>
      </c>
      <c r="F2722" s="4" t="s">
        <v>21</v>
      </c>
      <c r="G2722" s="4" t="s">
        <v>184</v>
      </c>
      <c r="H2722" s="4" t="s">
        <v>1430</v>
      </c>
    </row>
    <row r="2723" ht="15.75" customHeight="1">
      <c r="A2723" s="8"/>
      <c r="B2723" s="4" t="s">
        <v>4688</v>
      </c>
      <c r="C2723" s="5">
        <v>0.0</v>
      </c>
      <c r="D2723" s="5">
        <v>78288.0</v>
      </c>
      <c r="E2723" s="5">
        <f t="shared" si="3"/>
        <v>31562571</v>
      </c>
      <c r="F2723" s="4" t="s">
        <v>21</v>
      </c>
      <c r="G2723" s="4" t="s">
        <v>184</v>
      </c>
      <c r="H2723" s="4" t="s">
        <v>1430</v>
      </c>
    </row>
    <row r="2724" ht="15.75" customHeight="1">
      <c r="A2724" s="8"/>
      <c r="B2724" s="4" t="s">
        <v>953</v>
      </c>
      <c r="C2724" s="5">
        <v>0.0</v>
      </c>
      <c r="D2724" s="5">
        <v>3833066.0</v>
      </c>
      <c r="E2724" s="5">
        <f t="shared" si="3"/>
        <v>35395637</v>
      </c>
      <c r="F2724" s="4" t="s">
        <v>21</v>
      </c>
      <c r="G2724" s="4" t="s">
        <v>448</v>
      </c>
      <c r="H2724" s="4" t="s">
        <v>1430</v>
      </c>
    </row>
    <row r="2725" ht="15.75" customHeight="1">
      <c r="A2725" s="8"/>
      <c r="B2725" s="4" t="s">
        <v>4709</v>
      </c>
      <c r="C2725" s="5">
        <v>0.0</v>
      </c>
      <c r="D2725" s="5">
        <v>385000.0</v>
      </c>
      <c r="E2725" s="5">
        <f t="shared" si="3"/>
        <v>35780637</v>
      </c>
      <c r="F2725" s="4" t="s">
        <v>21</v>
      </c>
      <c r="G2725" s="4" t="s">
        <v>184</v>
      </c>
      <c r="H2725" s="4" t="s">
        <v>1430</v>
      </c>
    </row>
    <row r="2726" ht="15.75" customHeight="1">
      <c r="A2726" s="8"/>
      <c r="B2726" s="4" t="s">
        <v>4710</v>
      </c>
      <c r="C2726" s="5">
        <v>3.5780637E7</v>
      </c>
      <c r="D2726" s="5">
        <v>0.0</v>
      </c>
      <c r="E2726" s="5">
        <f t="shared" si="3"/>
        <v>0</v>
      </c>
      <c r="F2726" s="4" t="s">
        <v>93</v>
      </c>
      <c r="G2726" s="4" t="s">
        <v>93</v>
      </c>
      <c r="H2726" s="4" t="s">
        <v>1430</v>
      </c>
      <c r="I2726" s="4" t="s">
        <v>4711</v>
      </c>
    </row>
    <row r="2727" ht="15.75" customHeight="1">
      <c r="A2727" s="8"/>
      <c r="B2727" s="4" t="s">
        <v>4710</v>
      </c>
      <c r="C2727" s="5">
        <v>0.0</v>
      </c>
      <c r="D2727" s="5">
        <v>3.5780637E7</v>
      </c>
      <c r="E2727" s="5">
        <f t="shared" si="3"/>
        <v>35780637</v>
      </c>
      <c r="F2727" s="4" t="s">
        <v>93</v>
      </c>
      <c r="G2727" s="4" t="s">
        <v>93</v>
      </c>
      <c r="H2727" s="4" t="s">
        <v>1430</v>
      </c>
      <c r="I2727" s="4" t="s">
        <v>4711</v>
      </c>
    </row>
    <row r="2728" ht="15.75" customHeight="1">
      <c r="A2728" s="8"/>
      <c r="B2728" s="4" t="s">
        <v>2499</v>
      </c>
      <c r="C2728" s="5">
        <v>2979005.0</v>
      </c>
      <c r="D2728" s="5">
        <v>0.0</v>
      </c>
      <c r="E2728" s="5">
        <f t="shared" si="3"/>
        <v>32801632</v>
      </c>
      <c r="F2728" s="4" t="s">
        <v>93</v>
      </c>
      <c r="G2728" s="4" t="s">
        <v>93</v>
      </c>
      <c r="H2728" s="4" t="s">
        <v>4661</v>
      </c>
      <c r="I2728" s="4" t="s">
        <v>2499</v>
      </c>
    </row>
    <row r="2729" ht="15.75" customHeight="1">
      <c r="A2729" s="8"/>
      <c r="B2729" s="4" t="s">
        <v>4692</v>
      </c>
      <c r="C2729" s="5">
        <v>0.0</v>
      </c>
      <c r="D2729" s="5">
        <v>506000.0</v>
      </c>
      <c r="E2729" s="5">
        <f t="shared" si="3"/>
        <v>33307632</v>
      </c>
      <c r="F2729" s="4" t="s">
        <v>21</v>
      </c>
      <c r="G2729" s="4" t="s">
        <v>184</v>
      </c>
      <c r="H2729" s="4" t="s">
        <v>1638</v>
      </c>
    </row>
    <row r="2730" ht="15.75" customHeight="1">
      <c r="A2730" s="8"/>
      <c r="B2730" s="4" t="s">
        <v>712</v>
      </c>
      <c r="C2730" s="5">
        <v>0.0</v>
      </c>
      <c r="D2730" s="5">
        <v>1981982.0</v>
      </c>
      <c r="E2730" s="5">
        <f t="shared" si="3"/>
        <v>35289614</v>
      </c>
      <c r="F2730" s="4" t="s">
        <v>21</v>
      </c>
      <c r="G2730" s="4" t="s">
        <v>448</v>
      </c>
      <c r="H2730" s="4" t="s">
        <v>1638</v>
      </c>
    </row>
    <row r="2731" ht="15.75" customHeight="1">
      <c r="A2731" s="8"/>
      <c r="B2731" s="4" t="s">
        <v>4690</v>
      </c>
      <c r="C2731" s="5">
        <v>0.0</v>
      </c>
      <c r="D2731" s="5">
        <v>72050.0</v>
      </c>
      <c r="E2731" s="5">
        <f t="shared" si="3"/>
        <v>35361664</v>
      </c>
      <c r="F2731" s="4" t="s">
        <v>24</v>
      </c>
      <c r="G2731" s="4" t="s">
        <v>1787</v>
      </c>
      <c r="H2731" s="4" t="s">
        <v>1638</v>
      </c>
      <c r="I2731" s="33" t="s">
        <v>4712</v>
      </c>
    </row>
    <row r="2732" ht="15.75" customHeight="1">
      <c r="A2732" s="8"/>
      <c r="B2732" s="4" t="s">
        <v>4690</v>
      </c>
      <c r="C2732" s="5">
        <v>0.0</v>
      </c>
      <c r="D2732" s="5">
        <v>542388.0</v>
      </c>
      <c r="E2732" s="5">
        <f t="shared" si="3"/>
        <v>35904052</v>
      </c>
      <c r="F2732" s="4" t="s">
        <v>21</v>
      </c>
      <c r="G2732" s="4" t="s">
        <v>184</v>
      </c>
      <c r="H2732" s="4" t="s">
        <v>1638</v>
      </c>
    </row>
    <row r="2733" ht="15.75" customHeight="1">
      <c r="A2733" s="8"/>
      <c r="B2733" s="4" t="s">
        <v>4690</v>
      </c>
      <c r="C2733" s="5">
        <v>0.0</v>
      </c>
      <c r="D2733" s="5">
        <v>12100.0</v>
      </c>
      <c r="E2733" s="5">
        <f t="shared" si="3"/>
        <v>35916152</v>
      </c>
      <c r="F2733" s="4" t="s">
        <v>24</v>
      </c>
      <c r="G2733" s="4" t="s">
        <v>1787</v>
      </c>
      <c r="H2733" s="4" t="s">
        <v>1638</v>
      </c>
      <c r="I2733" s="33" t="s">
        <v>4712</v>
      </c>
    </row>
    <row r="2734" ht="15.75" customHeight="1">
      <c r="A2734" s="8"/>
      <c r="B2734" s="4" t="s">
        <v>953</v>
      </c>
      <c r="C2734" s="5">
        <v>0.0</v>
      </c>
      <c r="D2734" s="5">
        <v>145200.0</v>
      </c>
      <c r="E2734" s="5">
        <f t="shared" si="3"/>
        <v>36061352</v>
      </c>
      <c r="F2734" s="4" t="s">
        <v>24</v>
      </c>
      <c r="G2734" s="4" t="s">
        <v>1787</v>
      </c>
      <c r="H2734" s="4" t="s">
        <v>1638</v>
      </c>
      <c r="I2734" s="33" t="s">
        <v>4712</v>
      </c>
    </row>
    <row r="2735" ht="15.75" customHeight="1">
      <c r="A2735" s="8"/>
      <c r="B2735" s="4" t="s">
        <v>953</v>
      </c>
      <c r="C2735" s="5">
        <v>0.0</v>
      </c>
      <c r="D2735" s="5">
        <v>37400.0</v>
      </c>
      <c r="E2735" s="5">
        <f t="shared" si="3"/>
        <v>36098752</v>
      </c>
      <c r="F2735" s="4" t="s">
        <v>24</v>
      </c>
      <c r="G2735" s="4" t="s">
        <v>1787</v>
      </c>
      <c r="H2735" s="4" t="s">
        <v>1638</v>
      </c>
      <c r="I2735" s="33" t="s">
        <v>4712</v>
      </c>
    </row>
    <row r="2736" ht="15.75" customHeight="1">
      <c r="A2736" s="8"/>
      <c r="B2736" s="4" t="s">
        <v>4688</v>
      </c>
      <c r="C2736" s="5">
        <v>0.0</v>
      </c>
      <c r="D2736" s="5">
        <v>78288.0</v>
      </c>
      <c r="E2736" s="5">
        <f t="shared" si="3"/>
        <v>36177040</v>
      </c>
      <c r="F2736" s="4" t="s">
        <v>21</v>
      </c>
      <c r="G2736" s="4" t="s">
        <v>184</v>
      </c>
      <c r="H2736" s="4" t="s">
        <v>1638</v>
      </c>
    </row>
    <row r="2737" ht="15.75" customHeight="1">
      <c r="A2737" s="8"/>
      <c r="B2737" s="4" t="s">
        <v>4709</v>
      </c>
      <c r="C2737" s="5">
        <v>0.0</v>
      </c>
      <c r="D2737" s="5">
        <v>385000.0</v>
      </c>
      <c r="E2737" s="5">
        <f t="shared" si="3"/>
        <v>36562040</v>
      </c>
      <c r="F2737" s="4" t="s">
        <v>21</v>
      </c>
      <c r="G2737" s="4" t="s">
        <v>184</v>
      </c>
      <c r="H2737" s="4" t="s">
        <v>1638</v>
      </c>
    </row>
    <row r="2738" ht="15.75" customHeight="1">
      <c r="A2738" s="8"/>
      <c r="B2738" s="4" t="s">
        <v>4713</v>
      </c>
      <c r="C2738" s="5">
        <v>0.0</v>
      </c>
      <c r="D2738" s="5">
        <v>0.0</v>
      </c>
      <c r="E2738" s="5">
        <f t="shared" si="3"/>
        <v>36562040</v>
      </c>
      <c r="F2738" s="4" t="s">
        <v>24</v>
      </c>
      <c r="G2738" s="4" t="s">
        <v>1787</v>
      </c>
      <c r="H2738" s="4" t="s">
        <v>1638</v>
      </c>
    </row>
    <row r="2739" ht="15.75" customHeight="1">
      <c r="A2739" s="8"/>
      <c r="B2739" s="4" t="s">
        <v>4714</v>
      </c>
      <c r="C2739" s="5">
        <v>3.656204E7</v>
      </c>
      <c r="D2739" s="5">
        <v>0.0</v>
      </c>
      <c r="E2739" s="5">
        <f t="shared" si="3"/>
        <v>0</v>
      </c>
      <c r="F2739" s="4" t="s">
        <v>93</v>
      </c>
      <c r="G2739" s="4" t="s">
        <v>93</v>
      </c>
      <c r="H2739" s="4" t="s">
        <v>1638</v>
      </c>
      <c r="I2739" s="4" t="s">
        <v>4715</v>
      </c>
    </row>
    <row r="2740" ht="15.75" customHeight="1">
      <c r="A2740" s="8"/>
      <c r="B2740" s="4" t="s">
        <v>4714</v>
      </c>
      <c r="C2740" s="5">
        <v>0.0</v>
      </c>
      <c r="D2740" s="5">
        <v>3.656204E7</v>
      </c>
      <c r="E2740" s="5">
        <f t="shared" si="3"/>
        <v>36562040</v>
      </c>
      <c r="F2740" s="4" t="s">
        <v>93</v>
      </c>
      <c r="G2740" s="4" t="s">
        <v>93</v>
      </c>
      <c r="H2740" s="4" t="s">
        <v>1638</v>
      </c>
      <c r="I2740" s="4" t="s">
        <v>4715</v>
      </c>
    </row>
    <row r="2741" ht="15.75" customHeight="1">
      <c r="A2741" s="8"/>
      <c r="B2741" s="4" t="s">
        <v>2337</v>
      </c>
      <c r="C2741" s="5">
        <v>855193.0</v>
      </c>
      <c r="D2741" s="5">
        <v>0.0</v>
      </c>
      <c r="E2741" s="5">
        <f t="shared" si="3"/>
        <v>35706847</v>
      </c>
      <c r="F2741" s="4" t="s">
        <v>93</v>
      </c>
      <c r="G2741" s="4" t="s">
        <v>93</v>
      </c>
      <c r="H2741" s="4" t="s">
        <v>4661</v>
      </c>
      <c r="I2741" s="4" t="s">
        <v>2337</v>
      </c>
    </row>
    <row r="2742" ht="15.75" customHeight="1">
      <c r="A2742" s="8"/>
      <c r="B2742" s="4" t="s">
        <v>2252</v>
      </c>
      <c r="C2742" s="5">
        <v>855193.0</v>
      </c>
      <c r="D2742" s="5">
        <v>0.0</v>
      </c>
      <c r="E2742" s="5">
        <f t="shared" si="3"/>
        <v>34851654</v>
      </c>
      <c r="F2742" s="4" t="s">
        <v>93</v>
      </c>
      <c r="G2742" s="4" t="s">
        <v>93</v>
      </c>
      <c r="H2742" s="4" t="s">
        <v>4661</v>
      </c>
      <c r="I2742" s="4" t="s">
        <v>2252</v>
      </c>
    </row>
    <row r="2743" ht="15.75" customHeight="1">
      <c r="A2743" s="8"/>
      <c r="B2743" s="4" t="s">
        <v>2203</v>
      </c>
      <c r="C2743" s="5">
        <v>969260.0</v>
      </c>
      <c r="D2743" s="5">
        <v>0.0</v>
      </c>
      <c r="E2743" s="5">
        <f t="shared" si="3"/>
        <v>33882394</v>
      </c>
      <c r="F2743" s="4" t="s">
        <v>93</v>
      </c>
      <c r="G2743" s="4" t="s">
        <v>93</v>
      </c>
      <c r="H2743" s="4" t="s">
        <v>4661</v>
      </c>
      <c r="I2743" s="4" t="s">
        <v>2203</v>
      </c>
    </row>
    <row r="2744" ht="15.75" customHeight="1">
      <c r="A2744" s="8"/>
      <c r="B2744" s="4" t="s">
        <v>2248</v>
      </c>
      <c r="C2744" s="5">
        <v>512114.0</v>
      </c>
      <c r="D2744" s="5">
        <v>0.0</v>
      </c>
      <c r="E2744" s="5">
        <f t="shared" si="3"/>
        <v>33370280</v>
      </c>
      <c r="F2744" s="4" t="s">
        <v>93</v>
      </c>
      <c r="G2744" s="4" t="s">
        <v>93</v>
      </c>
      <c r="H2744" s="4" t="s">
        <v>4661</v>
      </c>
      <c r="I2744" s="4" t="s">
        <v>2248</v>
      </c>
    </row>
    <row r="2745" ht="15.75" customHeight="1">
      <c r="A2745" s="8"/>
      <c r="B2745" s="4" t="s">
        <v>2113</v>
      </c>
      <c r="C2745" s="5">
        <v>261768.0</v>
      </c>
      <c r="D2745" s="5">
        <v>0.0</v>
      </c>
      <c r="E2745" s="5">
        <f t="shared" si="3"/>
        <v>33108512</v>
      </c>
      <c r="F2745" s="4" t="s">
        <v>93</v>
      </c>
      <c r="G2745" s="4" t="s">
        <v>93</v>
      </c>
      <c r="H2745" s="4" t="s">
        <v>4661</v>
      </c>
      <c r="I2745" s="4" t="s">
        <v>2113</v>
      </c>
    </row>
    <row r="2746" ht="15.75" customHeight="1">
      <c r="A2746" s="8"/>
      <c r="B2746" s="4" t="s">
        <v>2109</v>
      </c>
      <c r="C2746" s="5">
        <v>2544841.0</v>
      </c>
      <c r="D2746" s="5">
        <v>0.0</v>
      </c>
      <c r="E2746" s="5">
        <f t="shared" si="3"/>
        <v>30563671</v>
      </c>
      <c r="F2746" s="4" t="s">
        <v>93</v>
      </c>
      <c r="G2746" s="4" t="s">
        <v>93</v>
      </c>
      <c r="H2746" s="4" t="s">
        <v>4661</v>
      </c>
      <c r="I2746" s="4" t="s">
        <v>2109</v>
      </c>
    </row>
    <row r="2747" ht="15.75" customHeight="1">
      <c r="A2747" s="8"/>
      <c r="B2747" s="4" t="s">
        <v>2245</v>
      </c>
      <c r="C2747" s="5">
        <v>3463656.0</v>
      </c>
      <c r="D2747" s="5">
        <v>0.0</v>
      </c>
      <c r="E2747" s="5">
        <f t="shared" si="3"/>
        <v>27100015</v>
      </c>
      <c r="F2747" s="4" t="s">
        <v>93</v>
      </c>
      <c r="G2747" s="4" t="s">
        <v>93</v>
      </c>
      <c r="H2747" s="4" t="s">
        <v>4661</v>
      </c>
      <c r="I2747" s="4" t="s">
        <v>2245</v>
      </c>
    </row>
    <row r="2748" ht="15.75" customHeight="1">
      <c r="A2748" s="8"/>
      <c r="B2748" s="4" t="s">
        <v>2106</v>
      </c>
      <c r="C2748" s="5">
        <v>4341013.0</v>
      </c>
      <c r="D2748" s="5">
        <v>0.0</v>
      </c>
      <c r="E2748" s="5">
        <f t="shared" si="3"/>
        <v>22759002</v>
      </c>
      <c r="F2748" s="4" t="s">
        <v>93</v>
      </c>
      <c r="G2748" s="4" t="s">
        <v>93</v>
      </c>
      <c r="H2748" s="4" t="s">
        <v>4661</v>
      </c>
      <c r="I2748" s="4" t="s">
        <v>2106</v>
      </c>
    </row>
    <row r="2749" ht="15.75" customHeight="1">
      <c r="A2749" s="8"/>
      <c r="B2749" s="4" t="s">
        <v>4716</v>
      </c>
      <c r="C2749" s="5">
        <v>0.0</v>
      </c>
      <c r="D2749" s="5">
        <v>2850366.0</v>
      </c>
      <c r="E2749" s="5">
        <f t="shared" si="3"/>
        <v>25609368</v>
      </c>
      <c r="F2749" s="4" t="s">
        <v>24</v>
      </c>
      <c r="G2749" s="4" t="s">
        <v>1787</v>
      </c>
      <c r="H2749" s="4" t="s">
        <v>1808</v>
      </c>
      <c r="I2749" s="33" t="s">
        <v>4717</v>
      </c>
    </row>
    <row r="2750" ht="15.75" customHeight="1">
      <c r="A2750" s="8"/>
      <c r="B2750" s="4" t="s">
        <v>4718</v>
      </c>
      <c r="C2750" s="5">
        <v>0.0</v>
      </c>
      <c r="D2750" s="5">
        <v>1981982.0</v>
      </c>
      <c r="E2750" s="5">
        <f t="shared" si="3"/>
        <v>27591350</v>
      </c>
      <c r="F2750" s="4" t="s">
        <v>21</v>
      </c>
      <c r="G2750" s="4" t="s">
        <v>448</v>
      </c>
      <c r="H2750" s="4" t="s">
        <v>1808</v>
      </c>
    </row>
    <row r="2751" ht="15.75" customHeight="1">
      <c r="A2751" s="8"/>
      <c r="B2751" s="4" t="s">
        <v>4719</v>
      </c>
      <c r="C2751" s="5">
        <v>0.0</v>
      </c>
      <c r="D2751" s="5">
        <v>385000.0</v>
      </c>
      <c r="E2751" s="5">
        <f t="shared" si="3"/>
        <v>27976350</v>
      </c>
      <c r="F2751" s="4" t="s">
        <v>21</v>
      </c>
      <c r="G2751" s="4" t="s">
        <v>184</v>
      </c>
      <c r="H2751" s="4" t="s">
        <v>1808</v>
      </c>
    </row>
    <row r="2752" ht="15.75" customHeight="1">
      <c r="A2752" s="8"/>
      <c r="B2752" s="4" t="s">
        <v>4720</v>
      </c>
      <c r="C2752" s="5">
        <v>0.0</v>
      </c>
      <c r="D2752" s="5">
        <v>75763.0</v>
      </c>
      <c r="E2752" s="5">
        <f t="shared" si="3"/>
        <v>28052113</v>
      </c>
      <c r="F2752" s="4" t="s">
        <v>21</v>
      </c>
      <c r="G2752" s="4" t="s">
        <v>184</v>
      </c>
      <c r="H2752" s="4" t="s">
        <v>1808</v>
      </c>
    </row>
    <row r="2753" ht="15.75" customHeight="1">
      <c r="A2753" s="8"/>
      <c r="B2753" s="4" t="s">
        <v>4721</v>
      </c>
      <c r="C2753" s="5">
        <v>0.0</v>
      </c>
      <c r="D2753" s="5">
        <v>506000.0</v>
      </c>
      <c r="E2753" s="5">
        <f t="shared" si="3"/>
        <v>28558113</v>
      </c>
      <c r="F2753" s="4" t="s">
        <v>21</v>
      </c>
      <c r="G2753" s="4" t="s">
        <v>184</v>
      </c>
      <c r="H2753" s="4" t="s">
        <v>1808</v>
      </c>
    </row>
    <row r="2754" ht="15.75" customHeight="1">
      <c r="A2754" s="8"/>
      <c r="B2754" s="4" t="s">
        <v>4722</v>
      </c>
      <c r="C2754" s="5">
        <v>0.0</v>
      </c>
      <c r="D2754" s="5">
        <v>78288.0</v>
      </c>
      <c r="E2754" s="5">
        <f t="shared" si="3"/>
        <v>28636401</v>
      </c>
      <c r="F2754" s="4" t="s">
        <v>21</v>
      </c>
      <c r="G2754" s="4" t="s">
        <v>184</v>
      </c>
      <c r="H2754" s="4" t="s">
        <v>1808</v>
      </c>
    </row>
    <row r="2755" ht="15.75" customHeight="1">
      <c r="A2755" s="8"/>
      <c r="B2755" s="4" t="s">
        <v>4723</v>
      </c>
      <c r="C2755" s="5">
        <v>2.8636401E7</v>
      </c>
      <c r="D2755" s="5">
        <v>0.0</v>
      </c>
      <c r="E2755" s="5">
        <f t="shared" si="3"/>
        <v>0</v>
      </c>
      <c r="F2755" s="4" t="s">
        <v>93</v>
      </c>
      <c r="G2755" s="4" t="s">
        <v>93</v>
      </c>
      <c r="H2755" s="4" t="s">
        <v>1808</v>
      </c>
      <c r="I2755" s="4" t="s">
        <v>4724</v>
      </c>
    </row>
    <row r="2756" ht="15.75" customHeight="1">
      <c r="A2756" s="8"/>
      <c r="B2756" s="4" t="s">
        <v>4723</v>
      </c>
      <c r="C2756" s="5">
        <v>0.0</v>
      </c>
      <c r="D2756" s="5">
        <v>2.8636401E7</v>
      </c>
      <c r="E2756" s="5">
        <f t="shared" si="3"/>
        <v>28636401</v>
      </c>
      <c r="F2756" s="4" t="s">
        <v>93</v>
      </c>
      <c r="G2756" s="4" t="s">
        <v>93</v>
      </c>
      <c r="H2756" s="4" t="s">
        <v>1808</v>
      </c>
      <c r="I2756" s="4" t="s">
        <v>4724</v>
      </c>
    </row>
    <row r="2757" ht="15.75" customHeight="1">
      <c r="A2757" s="8"/>
      <c r="B2757" s="4" t="s">
        <v>4721</v>
      </c>
      <c r="C2757" s="5">
        <v>0.0</v>
      </c>
      <c r="D2757" s="5">
        <v>506000.0</v>
      </c>
      <c r="E2757" s="5">
        <f t="shared" si="3"/>
        <v>29142401</v>
      </c>
      <c r="F2757" s="4" t="s">
        <v>24</v>
      </c>
      <c r="G2757" s="4" t="s">
        <v>1787</v>
      </c>
      <c r="H2757" s="4" t="s">
        <v>2115</v>
      </c>
      <c r="I2757" s="33" t="s">
        <v>4712</v>
      </c>
    </row>
    <row r="2758" ht="15.75" customHeight="1">
      <c r="A2758" s="8"/>
      <c r="B2758" s="4" t="s">
        <v>4725</v>
      </c>
      <c r="C2758" s="5">
        <v>0.0</v>
      </c>
      <c r="D2758" s="5">
        <v>1.0175E7</v>
      </c>
      <c r="E2758" s="5">
        <f t="shared" si="3"/>
        <v>39317401</v>
      </c>
      <c r="F2758" s="4" t="s">
        <v>21</v>
      </c>
      <c r="G2758" s="4" t="s">
        <v>184</v>
      </c>
      <c r="H2758" s="4" t="s">
        <v>2115</v>
      </c>
    </row>
    <row r="2759" ht="15.75" customHeight="1">
      <c r="A2759" s="8"/>
      <c r="B2759" s="4" t="s">
        <v>4722</v>
      </c>
      <c r="C2759" s="5">
        <v>0.0</v>
      </c>
      <c r="D2759" s="5">
        <v>78288.0</v>
      </c>
      <c r="E2759" s="5">
        <f t="shared" si="3"/>
        <v>39395689</v>
      </c>
      <c r="F2759" s="4" t="s">
        <v>24</v>
      </c>
      <c r="G2759" s="4" t="s">
        <v>1787</v>
      </c>
      <c r="H2759" s="4" t="s">
        <v>2115</v>
      </c>
      <c r="I2759" s="33" t="s">
        <v>4712</v>
      </c>
    </row>
    <row r="2760" ht="15.75" customHeight="1">
      <c r="A2760" s="8"/>
      <c r="B2760" s="4" t="s">
        <v>4719</v>
      </c>
      <c r="C2760" s="5">
        <v>0.0</v>
      </c>
      <c r="D2760" s="5">
        <v>385000.0</v>
      </c>
      <c r="E2760" s="5">
        <f t="shared" si="3"/>
        <v>39780689</v>
      </c>
      <c r="F2760" s="4" t="s">
        <v>24</v>
      </c>
      <c r="G2760" s="4" t="s">
        <v>1787</v>
      </c>
      <c r="H2760" s="4" t="s">
        <v>2115</v>
      </c>
      <c r="I2760" s="33" t="s">
        <v>4712</v>
      </c>
    </row>
    <row r="2761" ht="15.75" customHeight="1">
      <c r="A2761" s="8"/>
      <c r="B2761" s="4" t="s">
        <v>4725</v>
      </c>
      <c r="C2761" s="5">
        <v>0.0</v>
      </c>
      <c r="D2761" s="5">
        <v>1.0175E7</v>
      </c>
      <c r="E2761" s="5">
        <f t="shared" si="3"/>
        <v>49955689</v>
      </c>
      <c r="F2761" s="4" t="s">
        <v>21</v>
      </c>
      <c r="G2761" s="4" t="s">
        <v>184</v>
      </c>
      <c r="H2761" s="4" t="s">
        <v>2115</v>
      </c>
    </row>
    <row r="2762" ht="15.75" customHeight="1">
      <c r="A2762" s="8"/>
      <c r="B2762" s="4" t="s">
        <v>4718</v>
      </c>
      <c r="C2762" s="5">
        <v>0.0</v>
      </c>
      <c r="D2762" s="5">
        <v>1981982.0</v>
      </c>
      <c r="E2762" s="5">
        <f t="shared" si="3"/>
        <v>51937671</v>
      </c>
      <c r="F2762" s="4" t="s">
        <v>24</v>
      </c>
      <c r="G2762" s="4" t="s">
        <v>1787</v>
      </c>
      <c r="H2762" s="4" t="s">
        <v>2115</v>
      </c>
      <c r="I2762" s="33" t="s">
        <v>4712</v>
      </c>
    </row>
    <row r="2763" ht="15.75" customHeight="1">
      <c r="A2763" s="8"/>
      <c r="B2763" s="4" t="s">
        <v>4726</v>
      </c>
      <c r="C2763" s="5">
        <v>0.0</v>
      </c>
      <c r="D2763" s="5">
        <v>189750.0</v>
      </c>
      <c r="E2763" s="5">
        <f t="shared" si="3"/>
        <v>52127421</v>
      </c>
      <c r="F2763" s="4" t="s">
        <v>21</v>
      </c>
      <c r="G2763" s="4" t="s">
        <v>184</v>
      </c>
      <c r="H2763" s="4" t="s">
        <v>2115</v>
      </c>
    </row>
    <row r="2764" ht="15.75" customHeight="1">
      <c r="A2764" s="8"/>
      <c r="B2764" s="4" t="s">
        <v>4727</v>
      </c>
      <c r="C2764" s="5">
        <v>5.2127421E7</v>
      </c>
      <c r="D2764" s="5">
        <v>0.0</v>
      </c>
      <c r="E2764" s="5">
        <f t="shared" si="3"/>
        <v>0</v>
      </c>
      <c r="F2764" s="4" t="s">
        <v>24</v>
      </c>
      <c r="G2764" s="4" t="s">
        <v>1787</v>
      </c>
      <c r="H2764" s="4" t="s">
        <v>4728</v>
      </c>
    </row>
    <row r="2765" ht="15.75" customHeight="1">
      <c r="A2765" s="8"/>
      <c r="C2765" s="5"/>
      <c r="D2765" s="5"/>
      <c r="E2765" s="5"/>
    </row>
    <row r="2766" ht="15.75" customHeight="1">
      <c r="A2766" s="8"/>
      <c r="C2766" s="5">
        <f t="shared" ref="C2766:D2766" si="4">SUBTOTAL(9,C5:C2765)</f>
        <v>22500104792</v>
      </c>
      <c r="D2766" s="5">
        <f t="shared" si="4"/>
        <v>22502817117</v>
      </c>
      <c r="E2766" s="5"/>
    </row>
    <row r="2767" ht="15.75" customHeight="1">
      <c r="A2767" s="8"/>
      <c r="C2767" s="5"/>
      <c r="D2767" s="5">
        <f>D2766-C2766</f>
        <v>2712325</v>
      </c>
      <c r="E2767" s="5"/>
    </row>
  </sheetData>
  <autoFilter ref="$A$4:$I$2764"/>
  <printOptions/>
  <pageMargins bottom="0.75" footer="0.0" header="0.0" left="0.7" right="0.7" top="0.75"/>
  <pageSetup paperSize="9" orientation="portrait"/>
  <drawing r:id="rId1"/>
</worksheet>
</file>