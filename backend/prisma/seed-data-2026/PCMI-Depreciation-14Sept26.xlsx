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rec 2026" sheetId="1" r:id="rId5"/>
  </sheets>
  <definedNames/>
  <calcPr/>
</workbook>
</file>

<file path=xl/sharedStrings.xml><?xml version="1.0" encoding="utf-8"?>
<sst xmlns="http://schemas.openxmlformats.org/spreadsheetml/2006/main" count="271" uniqueCount="110">
  <si>
    <t>DAFTAR AKTIVA &amp; PENYUSUTAN</t>
  </si>
  <si>
    <t>Harga Beli</t>
  </si>
  <si>
    <t>Bulan</t>
  </si>
  <si>
    <t>s/d 2025</t>
  </si>
  <si>
    <t>2 0 2 6</t>
  </si>
  <si>
    <t>S/D 2026</t>
  </si>
  <si>
    <t>Nilai Buku</t>
  </si>
  <si>
    <t xml:space="preserve"> </t>
  </si>
  <si>
    <t>OFFICE EQUIPMENT</t>
  </si>
  <si>
    <t>Furniture : meja operation : 120x60x73</t>
  </si>
  <si>
    <t xml:space="preserve">Furniture : almari crezenda 100x40x84 </t>
  </si>
  <si>
    <t>Furniture : almari crezenda 122x28x110</t>
  </si>
  <si>
    <t>Lensa camera canon</t>
  </si>
  <si>
    <t>Furniture : Ruang Winda</t>
  </si>
  <si>
    <t>PC Desk top : Patrice</t>
  </si>
  <si>
    <t>Camera</t>
  </si>
  <si>
    <t>Perlengkapan printer photo</t>
  </si>
  <si>
    <t xml:space="preserve">Perlengkapan camera </t>
  </si>
  <si>
    <t>PC Team Operation</t>
  </si>
  <si>
    <t>1 unit Personal Computer u/Alex</t>
  </si>
  <si>
    <t>Cash IDR</t>
  </si>
  <si>
    <t>Camera for AH</t>
  </si>
  <si>
    <t>Non CB</t>
  </si>
  <si>
    <t>External Hard Disk Storage</t>
  </si>
  <si>
    <t>BCA</t>
  </si>
  <si>
    <t>AC Daikin 2PK - Ruang AH</t>
  </si>
  <si>
    <t>Bose Soundlink : AUD 223.81</t>
  </si>
  <si>
    <t>MacBook Air : Ibu Anne</t>
  </si>
  <si>
    <t>PC Inu</t>
  </si>
  <si>
    <t>Bose Desk Speaker</t>
  </si>
  <si>
    <t>Mandiri</t>
  </si>
  <si>
    <t>PC Fabio</t>
  </si>
  <si>
    <t>Samsung Tab - Sales</t>
  </si>
  <si>
    <t>Mesin Absensi</t>
  </si>
  <si>
    <t>Carpet lantai 2</t>
  </si>
  <si>
    <t>Portable Soundsystem</t>
  </si>
  <si>
    <t>LED TV Ruang Operation</t>
  </si>
  <si>
    <t>PC Upgrade</t>
  </si>
  <si>
    <t>i-Pad Pro</t>
  </si>
  <si>
    <t>Apple Key-board for iPad</t>
  </si>
  <si>
    <t>PC Meery          180629972         JULIATI</t>
  </si>
  <si>
    <t>MacBookPro Ibu Anne       MCM Outw CN  RD Hidianitje</t>
  </si>
  <si>
    <t>INFORMA-CINERE Depok : Gamma Chair</t>
  </si>
  <si>
    <t xml:space="preserve">VS Monitor AH     190211511  </t>
  </si>
  <si>
    <t xml:space="preserve">RouterHuawei B315 </t>
  </si>
  <si>
    <t xml:space="preserve">1PC + Pswt Telp   IV-191113272  </t>
  </si>
  <si>
    <t>Sincere Musik Jak Pus : Mixing MG10XU</t>
  </si>
  <si>
    <t>Apple earPods     RD HIDIANITJE</t>
  </si>
  <si>
    <t>Laptop ROG Event  IV-200910643      JULIATI</t>
  </si>
  <si>
    <t>Infonet Ambassador : Laptop Yogi</t>
  </si>
  <si>
    <t>Sandisk SSD Extreme Portable External 1TB</t>
  </si>
  <si>
    <t>Laptop Hewlett Peckard Omen</t>
  </si>
  <si>
    <t>Charger Mac Book Pro AH</t>
  </si>
  <si>
    <t>R2 COMP-HO Kenzo Computer : PC Fifi Hasanah</t>
  </si>
  <si>
    <t>Monitor Samsung 24" + LG 24"</t>
  </si>
  <si>
    <t>Hector Dimpos Computer Jak Pus - Beli VGA RTS Asus u/ PC Desiner (Supriatno)</t>
  </si>
  <si>
    <t>Des-22</t>
  </si>
  <si>
    <t>Andro It Surabaya - Asus Rog X16 - Atno</t>
  </si>
  <si>
    <t>PC Streaming</t>
  </si>
  <si>
    <t>AC Daikin Ruang Meeting</t>
  </si>
  <si>
    <t>2 0 2 3</t>
  </si>
  <si>
    <t>Laptop HP Victus  Rizky Designer</t>
  </si>
  <si>
    <t>BCA Biz</t>
  </si>
  <si>
    <t xml:space="preserve">LaptopAcer Patrice RD HIDIANITJE DRA  </t>
  </si>
  <si>
    <t>PV-Admin Web Application</t>
  </si>
  <si>
    <t>ORBITZ Admin System</t>
  </si>
  <si>
    <t>MID*Tokopedia - Pembelian digital signage magnustek 43 Inch Touch screen 4 unit</t>
  </si>
  <si>
    <t>APPLE.COM : USD. 3.374,04 Mac Book Pro DH</t>
  </si>
  <si>
    <t>2 0 2 4</t>
  </si>
  <si>
    <t xml:space="preserve">8 Clear Comm Fixed Asset DEKA BAHANA  </t>
  </si>
  <si>
    <t xml:space="preserve">HR System : DP HR System ANDIKA MULIA  </t>
  </si>
  <si>
    <t>DP Apps Reg+DoorP    00274 MCM InhouseTrf  KE ANDIKA MULIA - Internal Needs</t>
  </si>
  <si>
    <t>Lunas SysReg-DoorPrz 01108 MCM InhouseTrf  KE ANDIKA MULIA</t>
  </si>
  <si>
    <t>APPLE STORE R736 SINGAPORE SG : MacBook Pro AH</t>
  </si>
  <si>
    <t>BLIBLI - pembelian ASUS ROG STRIX SCAR 15 G533ZX</t>
  </si>
  <si>
    <t>R2 Comp-Ho - Pembelian Laptop Untuk Clara</t>
  </si>
  <si>
    <t>Tokopedia.Com Jakarta Baratid - Pembelian air purifier ruangan AH</t>
  </si>
  <si>
    <t>R2 Comp-Ho Jakarta Pusatid - Pembelian NVME SSD 2TB, SSD 512GB utk PC PV admin dan Keyboard untuk sales</t>
  </si>
  <si>
    <t>2 0 2 5</t>
  </si>
  <si>
    <t>iPad for AH</t>
  </si>
  <si>
    <t>HR System</t>
  </si>
  <si>
    <t>Laptop Asus : Atno</t>
  </si>
  <si>
    <t>Laptop HP : Frieda</t>
  </si>
  <si>
    <t xml:space="preserve">  </t>
  </si>
  <si>
    <t>Laptop HP : Reviana</t>
  </si>
  <si>
    <t>Laptop HP : Odhey</t>
  </si>
  <si>
    <t>Laptop HP : Rizky</t>
  </si>
  <si>
    <t>QR MOBLE SCANNER ZEBRA TC26 (3 Unit)</t>
  </si>
  <si>
    <t>QR MOBLE SCANNER ZEBRA TC26 (5 Unit)</t>
  </si>
  <si>
    <t>Roof Top Lounge</t>
  </si>
  <si>
    <t>AC Daikin 8 Unit</t>
  </si>
  <si>
    <t>Battery Charger</t>
  </si>
  <si>
    <t>Lap Top : Omen Alex</t>
  </si>
  <si>
    <t>Lap Top : Patrice</t>
  </si>
  <si>
    <t>SSD Hard Disk</t>
  </si>
  <si>
    <t>Air Purifier</t>
  </si>
  <si>
    <t>i-Phone Ibu Anne</t>
  </si>
  <si>
    <t>Lap Top : HP Reza</t>
  </si>
  <si>
    <t>Legran Down Light</t>
  </si>
  <si>
    <t>Legran Lantai</t>
  </si>
  <si>
    <t>Meja Pingpong</t>
  </si>
  <si>
    <t>Monitor Lenovo Legion 24"</t>
  </si>
  <si>
    <t>Office Hanmac Lamp</t>
  </si>
  <si>
    <t xml:space="preserve">PABX Panasonic </t>
  </si>
  <si>
    <t>Router and Switch Hub</t>
  </si>
  <si>
    <t>VEHICLE</t>
  </si>
  <si>
    <t>Mercy GLE250D - DH</t>
  </si>
  <si>
    <t>BCA Juanda</t>
  </si>
  <si>
    <t>Denza</t>
  </si>
  <si>
    <t>INTANGIBLE ASSET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</si>
</sst>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_);_(@_)"/>
    <numFmt numFmtId="165" formatCode="_(* #,##0.00_);_(* \(#,##0.00\);_(* &quot;-&quot;_);_(@_)"/>
    <numFmt numFmtId="166" formatCode="_(* #,##0_);_(* \(#,##0\);_(* &quot;-&quot;??_);_(@_)"/>
  </numFmts>
  <fonts count="4">
    <font>
      <sz val="12.0"/>
      <color theme="1"/>
      <name val="Times New Roman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theme="1"/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17" xfId="0" applyAlignment="1" applyFont="1" applyNumberFormat="1">
      <alignment horizontal="center"/>
    </xf>
    <xf borderId="0" fillId="0" fontId="1" numFmtId="17" xfId="0" applyFont="1" applyNumberFormat="1"/>
    <xf borderId="0" fillId="0" fontId="3" numFmtId="17" xfId="0" applyAlignment="1" applyFont="1" applyNumberFormat="1">
      <alignment horizontal="center"/>
    </xf>
    <xf borderId="0" fillId="0" fontId="2" numFmtId="0" xfId="0" applyFont="1"/>
    <xf borderId="0" fillId="0" fontId="1" numFmtId="15" xfId="0" applyAlignment="1" applyFont="1" applyNumberFormat="1">
      <alignment horizontal="center"/>
    </xf>
    <xf borderId="0" fillId="0" fontId="1" numFmtId="164" xfId="0" applyFont="1" applyNumberFormat="1"/>
    <xf borderId="0" fillId="0" fontId="1" numFmtId="164" xfId="0" applyAlignment="1" applyFont="1" applyNumberFormat="1">
      <alignment horizontal="center"/>
    </xf>
    <xf borderId="0" fillId="0" fontId="1" numFmtId="165" xfId="0" applyFont="1" applyNumberFormat="1"/>
    <xf quotePrefix="1" borderId="0" fillId="0" fontId="1" numFmtId="0" xfId="0" applyFont="1"/>
    <xf borderId="0" fillId="0" fontId="1" numFmtId="166" xfId="0" applyFont="1" applyNumberFormat="1"/>
    <xf borderId="0" fillId="0" fontId="2" numFmtId="166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" width="11.33"/>
    <col customWidth="1" min="3" max="3" width="69.0"/>
    <col customWidth="1" min="4" max="4" width="14.33"/>
    <col customWidth="1" min="5" max="5" width="6.67"/>
    <col customWidth="1" min="6" max="6" width="13.78"/>
    <col customWidth="1" min="7" max="7" width="12.67"/>
    <col customWidth="1" min="8" max="8" width="11.67"/>
    <col customWidth="1" min="9" max="9" width="12.44"/>
    <col customWidth="1" min="10" max="10" width="12.67"/>
    <col customWidth="1" min="11" max="11" width="12.44"/>
    <col customWidth="1" min="12" max="12" width="12.78"/>
    <col customWidth="1" min="13" max="13" width="13.11"/>
    <col customWidth="1" min="14" max="14" width="13.0"/>
    <col customWidth="1" min="15" max="15" width="13.11"/>
    <col customWidth="1" min="16" max="16" width="12.78"/>
    <col customWidth="1" min="17" max="17" width="13.33"/>
    <col customWidth="1" min="18" max="18" width="13.11"/>
    <col customWidth="1" min="19" max="20" width="16.33"/>
    <col customWidth="1" min="21" max="21" width="15.78"/>
    <col customWidth="1" min="22" max="22" width="10.78"/>
    <col customWidth="1" min="23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0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/>
      <c r="B3" s="3"/>
      <c r="C3" s="1"/>
      <c r="D3" s="3" t="s">
        <v>1</v>
      </c>
      <c r="E3" s="1" t="s">
        <v>2</v>
      </c>
      <c r="F3" s="3" t="s">
        <v>3</v>
      </c>
      <c r="G3" s="4">
        <v>46023.0</v>
      </c>
      <c r="H3" s="4">
        <v>46054.0</v>
      </c>
      <c r="I3" s="4">
        <v>46082.0</v>
      </c>
      <c r="J3" s="4">
        <v>46113.0</v>
      </c>
      <c r="K3" s="4">
        <v>46143.0</v>
      </c>
      <c r="L3" s="4">
        <v>46174.0</v>
      </c>
      <c r="M3" s="4">
        <v>46204.0</v>
      </c>
      <c r="N3" s="4">
        <v>46235.0</v>
      </c>
      <c r="O3" s="4">
        <v>46266.0</v>
      </c>
      <c r="P3" s="4">
        <v>46296.0</v>
      </c>
      <c r="Q3" s="4">
        <v>46327.0</v>
      </c>
      <c r="R3" s="4">
        <v>46357.0</v>
      </c>
      <c r="S3" s="4" t="s">
        <v>4</v>
      </c>
      <c r="T3" s="4" t="s">
        <v>5</v>
      </c>
      <c r="U3" s="4" t="s">
        <v>6</v>
      </c>
      <c r="V3" s="5" t="s">
        <v>7</v>
      </c>
      <c r="W3" s="1"/>
      <c r="X3" s="1"/>
      <c r="Y3" s="1"/>
      <c r="Z3" s="1"/>
    </row>
    <row r="4" ht="15.75" customHeight="1">
      <c r="A4" s="3"/>
      <c r="B4" s="3"/>
      <c r="C4" s="1"/>
      <c r="D4" s="3"/>
      <c r="E4" s="1"/>
      <c r="F4" s="1" t="s">
        <v>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5"/>
      <c r="W4" s="1"/>
      <c r="X4" s="1"/>
      <c r="Y4" s="1"/>
      <c r="Z4" s="1"/>
    </row>
    <row r="5" ht="15.75" customHeight="1">
      <c r="A5" s="3"/>
      <c r="B5" s="3"/>
      <c r="C5" s="7" t="s">
        <v>8</v>
      </c>
      <c r="D5" s="3"/>
      <c r="E5" s="3" t="s">
        <v>7</v>
      </c>
      <c r="F5" s="1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5"/>
      <c r="W5" s="1"/>
      <c r="X5" s="1"/>
      <c r="Y5" s="1"/>
      <c r="Z5" s="1"/>
    </row>
    <row r="6" ht="15.75" customHeight="1">
      <c r="A6" s="8">
        <v>40191.0</v>
      </c>
      <c r="B6" s="8"/>
      <c r="C6" s="1" t="s">
        <v>9</v>
      </c>
      <c r="D6" s="9">
        <v>2050000.0</v>
      </c>
      <c r="E6" s="3">
        <v>36.0</v>
      </c>
      <c r="F6" s="10">
        <v>2050000.0000000005</v>
      </c>
      <c r="G6" s="11">
        <v>0.0</v>
      </c>
      <c r="H6" s="11">
        <v>0.0</v>
      </c>
      <c r="I6" s="11">
        <v>0.0</v>
      </c>
      <c r="J6" s="11">
        <v>0.0</v>
      </c>
      <c r="K6" s="11">
        <v>0.0</v>
      </c>
      <c r="L6" s="11">
        <v>0.0</v>
      </c>
      <c r="M6" s="11">
        <v>0.0</v>
      </c>
      <c r="N6" s="11">
        <v>0.0</v>
      </c>
      <c r="O6" s="11">
        <v>0.0</v>
      </c>
      <c r="P6" s="11">
        <v>0.0</v>
      </c>
      <c r="Q6" s="11">
        <v>0.0</v>
      </c>
      <c r="R6" s="11">
        <v>0.0</v>
      </c>
      <c r="S6" s="9">
        <f t="shared" ref="S6:S101" si="1">SUM(G6:R6)</f>
        <v>0</v>
      </c>
      <c r="T6" s="9">
        <f t="shared" ref="T6:T101" si="2">+F6+S6</f>
        <v>2050000</v>
      </c>
      <c r="U6" s="9">
        <f t="shared" ref="U6:U101" si="3">+D6-T6</f>
        <v>-0.0000000004656612873</v>
      </c>
      <c r="V6" s="5"/>
      <c r="W6" s="1"/>
      <c r="X6" s="1"/>
      <c r="Y6" s="1"/>
      <c r="Z6" s="1"/>
    </row>
    <row r="7" ht="15.75" customHeight="1">
      <c r="A7" s="8">
        <v>40191.0</v>
      </c>
      <c r="B7" s="8"/>
      <c r="C7" s="1" t="s">
        <v>10</v>
      </c>
      <c r="D7" s="9">
        <v>7200000.0</v>
      </c>
      <c r="E7" s="3">
        <v>36.0</v>
      </c>
      <c r="F7" s="10">
        <v>7200000.0</v>
      </c>
      <c r="G7" s="11">
        <v>0.0</v>
      </c>
      <c r="H7" s="11">
        <v>0.0</v>
      </c>
      <c r="I7" s="11">
        <v>0.0</v>
      </c>
      <c r="J7" s="11">
        <v>0.0</v>
      </c>
      <c r="K7" s="11">
        <v>0.0</v>
      </c>
      <c r="L7" s="11">
        <v>0.0</v>
      </c>
      <c r="M7" s="11">
        <v>0.0</v>
      </c>
      <c r="N7" s="11">
        <v>0.0</v>
      </c>
      <c r="O7" s="11">
        <v>0.0</v>
      </c>
      <c r="P7" s="11">
        <v>0.0</v>
      </c>
      <c r="Q7" s="11">
        <v>0.0</v>
      </c>
      <c r="R7" s="11">
        <v>0.0</v>
      </c>
      <c r="S7" s="9">
        <f t="shared" si="1"/>
        <v>0</v>
      </c>
      <c r="T7" s="9">
        <f t="shared" si="2"/>
        <v>7200000</v>
      </c>
      <c r="U7" s="9">
        <f t="shared" si="3"/>
        <v>0</v>
      </c>
      <c r="V7" s="5"/>
      <c r="W7" s="1"/>
      <c r="X7" s="1"/>
      <c r="Y7" s="1"/>
      <c r="Z7" s="1"/>
    </row>
    <row r="8" ht="15.75" customHeight="1">
      <c r="A8" s="8">
        <v>40191.0</v>
      </c>
      <c r="B8" s="8"/>
      <c r="C8" s="1" t="s">
        <v>11</v>
      </c>
      <c r="D8" s="9">
        <v>3100000.0</v>
      </c>
      <c r="E8" s="3">
        <v>36.0</v>
      </c>
      <c r="F8" s="10">
        <v>3100000.0</v>
      </c>
      <c r="G8" s="11">
        <v>0.0</v>
      </c>
      <c r="H8" s="11">
        <v>0.0</v>
      </c>
      <c r="I8" s="11">
        <v>0.0</v>
      </c>
      <c r="J8" s="11">
        <v>0.0</v>
      </c>
      <c r="K8" s="11">
        <v>0.0</v>
      </c>
      <c r="L8" s="11">
        <v>0.0</v>
      </c>
      <c r="M8" s="11">
        <v>0.0</v>
      </c>
      <c r="N8" s="11">
        <v>0.0</v>
      </c>
      <c r="O8" s="11">
        <v>0.0</v>
      </c>
      <c r="P8" s="11">
        <v>0.0</v>
      </c>
      <c r="Q8" s="11">
        <v>0.0</v>
      </c>
      <c r="R8" s="11">
        <v>0.0</v>
      </c>
      <c r="S8" s="9">
        <f t="shared" si="1"/>
        <v>0</v>
      </c>
      <c r="T8" s="9">
        <f t="shared" si="2"/>
        <v>3100000</v>
      </c>
      <c r="U8" s="9">
        <f t="shared" si="3"/>
        <v>0</v>
      </c>
      <c r="V8" s="5"/>
      <c r="W8" s="1"/>
      <c r="X8" s="1"/>
      <c r="Y8" s="1"/>
      <c r="Z8" s="1"/>
    </row>
    <row r="9" ht="15.75" customHeight="1">
      <c r="A9" s="8">
        <v>40753.0</v>
      </c>
      <c r="B9" s="8"/>
      <c r="C9" s="1" t="s">
        <v>12</v>
      </c>
      <c r="D9" s="9">
        <v>2.0601681E7</v>
      </c>
      <c r="E9" s="3">
        <v>36.0</v>
      </c>
      <c r="F9" s="10">
        <v>2.0601681E7</v>
      </c>
      <c r="G9" s="9">
        <v>0.0</v>
      </c>
      <c r="H9" s="9">
        <v>0.0</v>
      </c>
      <c r="I9" s="9">
        <v>0.0</v>
      </c>
      <c r="J9" s="9">
        <v>0.0</v>
      </c>
      <c r="K9" s="9">
        <v>0.0</v>
      </c>
      <c r="L9" s="9">
        <v>0.0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f t="shared" si="1"/>
        <v>0</v>
      </c>
      <c r="T9" s="9">
        <f t="shared" si="2"/>
        <v>20601681</v>
      </c>
      <c r="U9" s="9">
        <f t="shared" si="3"/>
        <v>0</v>
      </c>
      <c r="V9" s="1"/>
      <c r="W9" s="1"/>
      <c r="X9" s="1"/>
      <c r="Y9" s="1"/>
      <c r="Z9" s="1"/>
    </row>
    <row r="10" ht="15.75" customHeight="1">
      <c r="A10" s="8">
        <v>40871.0</v>
      </c>
      <c r="B10" s="8"/>
      <c r="C10" s="1" t="s">
        <v>12</v>
      </c>
      <c r="D10" s="9">
        <v>1.27E7</v>
      </c>
      <c r="E10" s="3">
        <v>36.0</v>
      </c>
      <c r="F10" s="10">
        <v>1.2700000000000002E7</v>
      </c>
      <c r="G10" s="9">
        <v>0.0</v>
      </c>
      <c r="H10" s="9">
        <v>0.0</v>
      </c>
      <c r="I10" s="9">
        <v>0.0</v>
      </c>
      <c r="J10" s="9">
        <v>0.0</v>
      </c>
      <c r="K10" s="9">
        <v>0.0</v>
      </c>
      <c r="L10" s="9">
        <v>0.0</v>
      </c>
      <c r="M10" s="9">
        <v>0.0</v>
      </c>
      <c r="N10" s="9">
        <v>0.0</v>
      </c>
      <c r="O10" s="9">
        <v>0.0</v>
      </c>
      <c r="P10" s="9">
        <v>0.0</v>
      </c>
      <c r="Q10" s="9">
        <v>0.0</v>
      </c>
      <c r="R10" s="9">
        <v>0.0</v>
      </c>
      <c r="S10" s="9">
        <f t="shared" si="1"/>
        <v>0</v>
      </c>
      <c r="T10" s="9">
        <f t="shared" si="2"/>
        <v>12700000</v>
      </c>
      <c r="U10" s="9">
        <f t="shared" si="3"/>
        <v>-0.000000001862645149</v>
      </c>
      <c r="V10" s="1"/>
      <c r="W10" s="1"/>
      <c r="X10" s="1"/>
      <c r="Y10" s="1"/>
      <c r="Z10" s="1"/>
    </row>
    <row r="11" ht="15.75" customHeight="1">
      <c r="A11" s="8">
        <v>40896.0</v>
      </c>
      <c r="B11" s="8"/>
      <c r="C11" s="1" t="s">
        <v>13</v>
      </c>
      <c r="D11" s="9">
        <v>6435000.0</v>
      </c>
      <c r="E11" s="3">
        <v>36.0</v>
      </c>
      <c r="F11" s="10">
        <v>6435000.0</v>
      </c>
      <c r="G11" s="9">
        <v>0.0</v>
      </c>
      <c r="H11" s="9">
        <v>0.0</v>
      </c>
      <c r="I11" s="9">
        <v>0.0</v>
      </c>
      <c r="J11" s="9">
        <v>0.0</v>
      </c>
      <c r="K11" s="9">
        <v>0.0</v>
      </c>
      <c r="L11" s="9">
        <v>0.0</v>
      </c>
      <c r="M11" s="9">
        <v>0.0</v>
      </c>
      <c r="N11" s="9">
        <v>0.0</v>
      </c>
      <c r="O11" s="9">
        <v>0.0</v>
      </c>
      <c r="P11" s="9">
        <v>0.0</v>
      </c>
      <c r="Q11" s="9">
        <v>0.0</v>
      </c>
      <c r="R11" s="9">
        <v>0.0</v>
      </c>
      <c r="S11" s="9">
        <f t="shared" si="1"/>
        <v>0</v>
      </c>
      <c r="T11" s="9">
        <f t="shared" si="2"/>
        <v>6435000</v>
      </c>
      <c r="U11" s="9">
        <f t="shared" si="3"/>
        <v>0</v>
      </c>
      <c r="V11" s="1"/>
      <c r="W11" s="1"/>
      <c r="X11" s="1"/>
      <c r="Y11" s="1"/>
      <c r="Z11" s="1"/>
    </row>
    <row r="12" ht="15.75" customHeight="1">
      <c r="A12" s="8">
        <v>40896.0</v>
      </c>
      <c r="B12" s="8"/>
      <c r="C12" s="1" t="s">
        <v>14</v>
      </c>
      <c r="D12" s="9">
        <v>6000000.0</v>
      </c>
      <c r="E12" s="3">
        <v>36.0</v>
      </c>
      <c r="F12" s="10">
        <v>6000000.0</v>
      </c>
      <c r="G12" s="9">
        <v>0.0</v>
      </c>
      <c r="H12" s="9">
        <v>0.0</v>
      </c>
      <c r="I12" s="9">
        <v>0.0</v>
      </c>
      <c r="J12" s="9">
        <v>0.0</v>
      </c>
      <c r="K12" s="9">
        <v>0.0</v>
      </c>
      <c r="L12" s="9">
        <v>0.0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f t="shared" si="1"/>
        <v>0</v>
      </c>
      <c r="T12" s="9">
        <f t="shared" si="2"/>
        <v>6000000</v>
      </c>
      <c r="U12" s="9">
        <f t="shared" si="3"/>
        <v>0</v>
      </c>
      <c r="V12" s="1"/>
      <c r="W12" s="1"/>
      <c r="X12" s="1"/>
      <c r="Y12" s="1"/>
      <c r="Z12" s="1"/>
    </row>
    <row r="13" ht="15.75" customHeight="1">
      <c r="A13" s="8">
        <v>40911.0</v>
      </c>
      <c r="B13" s="8"/>
      <c r="C13" s="1" t="s">
        <v>15</v>
      </c>
      <c r="D13" s="9">
        <v>9400000.0</v>
      </c>
      <c r="E13" s="3">
        <v>36.0</v>
      </c>
      <c r="F13" s="10">
        <v>9399999.999999998</v>
      </c>
      <c r="G13" s="9">
        <v>0.0</v>
      </c>
      <c r="H13" s="9">
        <v>0.0</v>
      </c>
      <c r="I13" s="9">
        <v>0.0</v>
      </c>
      <c r="J13" s="9">
        <v>0.0</v>
      </c>
      <c r="K13" s="9">
        <v>0.0</v>
      </c>
      <c r="L13" s="9">
        <v>0.0</v>
      </c>
      <c r="M13" s="9">
        <v>0.0</v>
      </c>
      <c r="N13" s="9">
        <v>0.0</v>
      </c>
      <c r="O13" s="9">
        <v>0.0</v>
      </c>
      <c r="P13" s="9">
        <v>0.0</v>
      </c>
      <c r="Q13" s="9">
        <v>0.0</v>
      </c>
      <c r="R13" s="9">
        <v>0.0</v>
      </c>
      <c r="S13" s="9">
        <f t="shared" si="1"/>
        <v>0</v>
      </c>
      <c r="T13" s="9">
        <f t="shared" si="2"/>
        <v>9400000</v>
      </c>
      <c r="U13" s="9">
        <f t="shared" si="3"/>
        <v>0.000000001862645149</v>
      </c>
      <c r="V13" s="1"/>
      <c r="W13" s="1"/>
      <c r="X13" s="1"/>
      <c r="Y13" s="1"/>
      <c r="Z13" s="1"/>
    </row>
    <row r="14" ht="15.75" customHeight="1">
      <c r="A14" s="8">
        <v>40973.0</v>
      </c>
      <c r="B14" s="8"/>
      <c r="C14" s="1" t="s">
        <v>16</v>
      </c>
      <c r="D14" s="9">
        <v>1.025E7</v>
      </c>
      <c r="E14" s="3">
        <v>36.0</v>
      </c>
      <c r="F14" s="10">
        <v>1.0249999999999998E7</v>
      </c>
      <c r="G14" s="9">
        <v>0.0</v>
      </c>
      <c r="H14" s="9">
        <v>0.0</v>
      </c>
      <c r="I14" s="9">
        <v>0.0</v>
      </c>
      <c r="J14" s="9">
        <v>0.0</v>
      </c>
      <c r="K14" s="9">
        <v>0.0</v>
      </c>
      <c r="L14" s="9">
        <v>0.0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f t="shared" si="1"/>
        <v>0</v>
      </c>
      <c r="T14" s="9">
        <f t="shared" si="2"/>
        <v>10250000</v>
      </c>
      <c r="U14" s="9">
        <f t="shared" si="3"/>
        <v>0.000000001862645149</v>
      </c>
      <c r="V14" s="1"/>
      <c r="W14" s="1"/>
      <c r="X14" s="1"/>
      <c r="Y14" s="1"/>
      <c r="Z14" s="1"/>
    </row>
    <row r="15" ht="15.75" customHeight="1">
      <c r="A15" s="8">
        <v>40973.0</v>
      </c>
      <c r="B15" s="8"/>
      <c r="C15" s="1" t="s">
        <v>17</v>
      </c>
      <c r="D15" s="9">
        <v>1217000.0</v>
      </c>
      <c r="E15" s="3">
        <v>36.0</v>
      </c>
      <c r="F15" s="10">
        <v>1217000.0</v>
      </c>
      <c r="G15" s="9">
        <v>0.0</v>
      </c>
      <c r="H15" s="9">
        <v>0.0</v>
      </c>
      <c r="I15" s="9">
        <v>0.0</v>
      </c>
      <c r="J15" s="9">
        <v>0.0</v>
      </c>
      <c r="K15" s="9">
        <v>0.0</v>
      </c>
      <c r="L15" s="9">
        <v>0.0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f t="shared" si="1"/>
        <v>0</v>
      </c>
      <c r="T15" s="9">
        <f t="shared" si="2"/>
        <v>1217000</v>
      </c>
      <c r="U15" s="9">
        <f t="shared" si="3"/>
        <v>0</v>
      </c>
      <c r="V15" s="1"/>
      <c r="W15" s="1"/>
      <c r="X15" s="1"/>
      <c r="Y15" s="1"/>
      <c r="Z15" s="1"/>
    </row>
    <row r="16" ht="15.75" customHeight="1">
      <c r="A16" s="8">
        <v>41262.0</v>
      </c>
      <c r="B16" s="8"/>
      <c r="C16" s="1" t="s">
        <v>18</v>
      </c>
      <c r="D16" s="9">
        <v>1.0E7</v>
      </c>
      <c r="E16" s="3">
        <v>36.0</v>
      </c>
      <c r="F16" s="10">
        <v>1.0000000000000002E7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f t="shared" si="1"/>
        <v>0</v>
      </c>
      <c r="T16" s="9">
        <f t="shared" si="2"/>
        <v>10000000</v>
      </c>
      <c r="U16" s="9">
        <f t="shared" si="3"/>
        <v>-0.000000001862645149</v>
      </c>
      <c r="V16" s="1"/>
      <c r="W16" s="1"/>
      <c r="X16" s="1"/>
      <c r="Y16" s="1"/>
      <c r="Z16" s="1"/>
    </row>
    <row r="17" ht="15.75" customHeight="1">
      <c r="A17" s="8">
        <v>41262.0</v>
      </c>
      <c r="B17" s="8"/>
      <c r="C17" s="1" t="s">
        <v>18</v>
      </c>
      <c r="D17" s="9">
        <v>228000.0</v>
      </c>
      <c r="E17" s="3">
        <v>36.0</v>
      </c>
      <c r="F17" s="10">
        <v>228000.0</v>
      </c>
      <c r="G17" s="9">
        <v>0.0</v>
      </c>
      <c r="H17" s="9">
        <v>0.0</v>
      </c>
      <c r="I17" s="9">
        <v>0.0</v>
      </c>
      <c r="J17" s="9">
        <v>0.0</v>
      </c>
      <c r="K17" s="9">
        <v>0.0</v>
      </c>
      <c r="L17" s="9">
        <v>0.0</v>
      </c>
      <c r="M17" s="9">
        <v>0.0</v>
      </c>
      <c r="N17" s="9">
        <v>0.0</v>
      </c>
      <c r="O17" s="9">
        <v>0.0</v>
      </c>
      <c r="P17" s="9">
        <v>0.0</v>
      </c>
      <c r="Q17" s="9">
        <v>0.0</v>
      </c>
      <c r="R17" s="9">
        <v>0.0</v>
      </c>
      <c r="S17" s="9">
        <f t="shared" si="1"/>
        <v>0</v>
      </c>
      <c r="T17" s="9">
        <f t="shared" si="2"/>
        <v>228000</v>
      </c>
      <c r="U17" s="9">
        <f t="shared" si="3"/>
        <v>0</v>
      </c>
      <c r="V17" s="1"/>
      <c r="W17" s="1"/>
      <c r="X17" s="1"/>
      <c r="Y17" s="1"/>
      <c r="Z17" s="1"/>
    </row>
    <row r="18" ht="15.75" customHeight="1">
      <c r="A18" s="8">
        <v>40935.0</v>
      </c>
      <c r="B18" s="8"/>
      <c r="C18" s="1" t="s">
        <v>19</v>
      </c>
      <c r="D18" s="9">
        <v>7000000.0</v>
      </c>
      <c r="E18" s="3">
        <v>36.0</v>
      </c>
      <c r="F18" s="10">
        <v>7000000.0</v>
      </c>
      <c r="G18" s="9">
        <v>0.0</v>
      </c>
      <c r="H18" s="9">
        <v>0.0</v>
      </c>
      <c r="I18" s="9">
        <v>0.0</v>
      </c>
      <c r="J18" s="9">
        <v>0.0</v>
      </c>
      <c r="K18" s="9">
        <v>0.0</v>
      </c>
      <c r="L18" s="9">
        <v>0.0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f t="shared" si="1"/>
        <v>0</v>
      </c>
      <c r="T18" s="9">
        <f t="shared" si="2"/>
        <v>7000000</v>
      </c>
      <c r="U18" s="9">
        <f t="shared" si="3"/>
        <v>0</v>
      </c>
      <c r="V18" s="1"/>
      <c r="W18" s="1"/>
      <c r="X18" s="1"/>
      <c r="Y18" s="1"/>
      <c r="Z18" s="1"/>
    </row>
    <row r="19" ht="15.75" customHeight="1">
      <c r="A19" s="8">
        <v>41348.0</v>
      </c>
      <c r="B19" s="8" t="s">
        <v>20</v>
      </c>
      <c r="C19" s="1" t="s">
        <v>21</v>
      </c>
      <c r="D19" s="9">
        <v>6500000.0</v>
      </c>
      <c r="E19" s="3">
        <v>36.0</v>
      </c>
      <c r="F19" s="10">
        <v>6499999.999999999</v>
      </c>
      <c r="G19" s="9">
        <v>0.0</v>
      </c>
      <c r="H19" s="9">
        <v>0.0</v>
      </c>
      <c r="I19" s="9">
        <v>0.0</v>
      </c>
      <c r="J19" s="9">
        <v>0.0</v>
      </c>
      <c r="K19" s="9">
        <v>0.0</v>
      </c>
      <c r="L19" s="9">
        <v>0.0</v>
      </c>
      <c r="M19" s="9">
        <v>0.0</v>
      </c>
      <c r="N19" s="9">
        <v>0.0</v>
      </c>
      <c r="O19" s="9">
        <v>0.0</v>
      </c>
      <c r="P19" s="9">
        <v>0.0</v>
      </c>
      <c r="Q19" s="9">
        <v>0.0</v>
      </c>
      <c r="R19" s="9">
        <v>0.0</v>
      </c>
      <c r="S19" s="9">
        <f t="shared" si="1"/>
        <v>0</v>
      </c>
      <c r="T19" s="9">
        <f t="shared" si="2"/>
        <v>6500000</v>
      </c>
      <c r="U19" s="9">
        <f t="shared" si="3"/>
        <v>0.0000000009313225746</v>
      </c>
      <c r="V19" s="1"/>
      <c r="W19" s="1"/>
      <c r="X19" s="1"/>
      <c r="Y19" s="1"/>
      <c r="Z19" s="1"/>
    </row>
    <row r="20" ht="15.75" customHeight="1">
      <c r="A20" s="8">
        <v>41820.0</v>
      </c>
      <c r="B20" s="8" t="s">
        <v>22</v>
      </c>
      <c r="C20" s="1" t="s">
        <v>23</v>
      </c>
      <c r="D20" s="9">
        <v>8563249.0</v>
      </c>
      <c r="E20" s="3">
        <v>36.0</v>
      </c>
      <c r="F20" s="10">
        <v>8563249.0</v>
      </c>
      <c r="G20" s="9">
        <v>0.0</v>
      </c>
      <c r="H20" s="9">
        <v>0.0</v>
      </c>
      <c r="I20" s="9">
        <v>0.0</v>
      </c>
      <c r="J20" s="9">
        <v>0.0</v>
      </c>
      <c r="K20" s="9">
        <v>0.0</v>
      </c>
      <c r="L20" s="9">
        <v>0.0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f t="shared" si="1"/>
        <v>0</v>
      </c>
      <c r="T20" s="9">
        <f t="shared" si="2"/>
        <v>8563249</v>
      </c>
      <c r="U20" s="9">
        <f t="shared" si="3"/>
        <v>0</v>
      </c>
      <c r="V20" s="1"/>
      <c r="W20" s="1"/>
      <c r="X20" s="1"/>
      <c r="Y20" s="1"/>
      <c r="Z20" s="1"/>
    </row>
    <row r="21" ht="15.75" customHeight="1">
      <c r="A21" s="8">
        <v>42010.0</v>
      </c>
      <c r="B21" s="8" t="s">
        <v>24</v>
      </c>
      <c r="C21" s="1" t="s">
        <v>25</v>
      </c>
      <c r="D21" s="9">
        <v>1.522E7</v>
      </c>
      <c r="E21" s="3">
        <v>36.0</v>
      </c>
      <c r="F21" s="10">
        <v>1.5220000000000004E7</v>
      </c>
      <c r="G21" s="9">
        <v>0.0</v>
      </c>
      <c r="H21" s="9">
        <v>0.0</v>
      </c>
      <c r="I21" s="9">
        <v>0.0</v>
      </c>
      <c r="J21" s="9">
        <v>0.0</v>
      </c>
      <c r="K21" s="9">
        <v>0.0</v>
      </c>
      <c r="L21" s="9">
        <v>0.0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f t="shared" si="1"/>
        <v>0</v>
      </c>
      <c r="T21" s="9">
        <f t="shared" si="2"/>
        <v>15220000</v>
      </c>
      <c r="U21" s="9">
        <f t="shared" si="3"/>
        <v>-0.000000003725290298</v>
      </c>
      <c r="V21" s="1"/>
      <c r="W21" s="1"/>
      <c r="X21" s="1"/>
      <c r="Y21" s="1"/>
      <c r="Z21" s="1"/>
    </row>
    <row r="22" ht="15.75" customHeight="1">
      <c r="A22" s="8">
        <v>42209.0</v>
      </c>
      <c r="B22" s="8" t="s">
        <v>22</v>
      </c>
      <c r="C22" s="1" t="s">
        <v>26</v>
      </c>
      <c r="D22" s="9">
        <v>2344203.0</v>
      </c>
      <c r="E22" s="3">
        <v>36.0</v>
      </c>
      <c r="F22" s="10">
        <v>2344203.0</v>
      </c>
      <c r="G22" s="9">
        <v>0.0</v>
      </c>
      <c r="H22" s="9">
        <v>0.0</v>
      </c>
      <c r="I22" s="9">
        <v>0.0</v>
      </c>
      <c r="J22" s="9">
        <v>0.0</v>
      </c>
      <c r="K22" s="9">
        <v>0.0</v>
      </c>
      <c r="L22" s="9">
        <v>0.0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f t="shared" si="1"/>
        <v>0</v>
      </c>
      <c r="T22" s="9">
        <f t="shared" si="2"/>
        <v>2344203</v>
      </c>
      <c r="U22" s="9">
        <f t="shared" si="3"/>
        <v>0</v>
      </c>
      <c r="V22" s="1"/>
      <c r="W22" s="1"/>
      <c r="X22" s="1"/>
      <c r="Y22" s="1"/>
      <c r="Z22" s="1"/>
    </row>
    <row r="23" ht="15.75" customHeight="1">
      <c r="A23" s="8">
        <v>42250.0</v>
      </c>
      <c r="B23" s="8" t="s">
        <v>24</v>
      </c>
      <c r="C23" s="1" t="s">
        <v>27</v>
      </c>
      <c r="D23" s="9">
        <v>1.527518E7</v>
      </c>
      <c r="E23" s="3">
        <v>36.0</v>
      </c>
      <c r="F23" s="10">
        <v>1.5275180000000004E7</v>
      </c>
      <c r="G23" s="9">
        <v>0.0</v>
      </c>
      <c r="H23" s="9">
        <v>0.0</v>
      </c>
      <c r="I23" s="9">
        <v>0.0</v>
      </c>
      <c r="J23" s="9">
        <v>0.0</v>
      </c>
      <c r="K23" s="9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f t="shared" si="1"/>
        <v>0</v>
      </c>
      <c r="T23" s="9">
        <f t="shared" si="2"/>
        <v>15275180</v>
      </c>
      <c r="U23" s="9">
        <f t="shared" si="3"/>
        <v>-0.000000003725290298</v>
      </c>
      <c r="V23" s="1"/>
      <c r="W23" s="1"/>
      <c r="X23" s="1"/>
      <c r="Y23" s="1"/>
      <c r="Z23" s="1"/>
    </row>
    <row r="24" ht="15.75" customHeight="1">
      <c r="A24" s="8">
        <v>42265.0</v>
      </c>
      <c r="B24" s="8" t="s">
        <v>22</v>
      </c>
      <c r="C24" s="1" t="s">
        <v>28</v>
      </c>
      <c r="D24" s="9">
        <v>5920000.0</v>
      </c>
      <c r="E24" s="3">
        <v>36.0</v>
      </c>
      <c r="F24" s="10">
        <v>5920000.000000001</v>
      </c>
      <c r="G24" s="9">
        <v>0.0</v>
      </c>
      <c r="H24" s="9">
        <v>0.0</v>
      </c>
      <c r="I24" s="9">
        <v>0.0</v>
      </c>
      <c r="J24" s="9">
        <v>0.0</v>
      </c>
      <c r="K24" s="9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f t="shared" si="1"/>
        <v>0</v>
      </c>
      <c r="T24" s="9">
        <f t="shared" si="2"/>
        <v>5920000</v>
      </c>
      <c r="U24" s="9">
        <f t="shared" si="3"/>
        <v>-0.0000000009313225746</v>
      </c>
      <c r="V24" s="1"/>
      <c r="W24" s="1"/>
      <c r="X24" s="1"/>
      <c r="Y24" s="1"/>
      <c r="Z24" s="1"/>
    </row>
    <row r="25" ht="15.75" customHeight="1">
      <c r="A25" s="8">
        <v>42370.0</v>
      </c>
      <c r="B25" s="8" t="s">
        <v>22</v>
      </c>
      <c r="C25" s="1" t="s">
        <v>23</v>
      </c>
      <c r="D25" s="9">
        <f>6549530-2223586</f>
        <v>4325944</v>
      </c>
      <c r="E25" s="3">
        <v>36.0</v>
      </c>
      <c r="F25" s="10">
        <v>4325943.999999999</v>
      </c>
      <c r="G25" s="9">
        <v>0.0</v>
      </c>
      <c r="H25" s="9">
        <v>0.0</v>
      </c>
      <c r="I25" s="9">
        <v>0.0</v>
      </c>
      <c r="J25" s="9">
        <v>0.0</v>
      </c>
      <c r="K25" s="9">
        <v>0.0</v>
      </c>
      <c r="L25" s="9">
        <v>0.0</v>
      </c>
      <c r="M25" s="9">
        <v>0.0</v>
      </c>
      <c r="N25" s="9">
        <v>0.0</v>
      </c>
      <c r="O25" s="9">
        <v>0.0</v>
      </c>
      <c r="P25" s="9">
        <v>0.0</v>
      </c>
      <c r="Q25" s="9">
        <v>0.0</v>
      </c>
      <c r="R25" s="9">
        <v>0.0</v>
      </c>
      <c r="S25" s="9">
        <f t="shared" si="1"/>
        <v>0</v>
      </c>
      <c r="T25" s="9">
        <f t="shared" si="2"/>
        <v>4325944</v>
      </c>
      <c r="U25" s="9">
        <f t="shared" si="3"/>
        <v>0.0000000009313225746</v>
      </c>
      <c r="V25" s="1"/>
      <c r="W25" s="1"/>
      <c r="X25" s="1"/>
      <c r="Y25" s="1"/>
      <c r="Z25" s="1"/>
    </row>
    <row r="26" ht="15.75" customHeight="1">
      <c r="A26" s="8">
        <v>42506.0</v>
      </c>
      <c r="B26" s="8" t="s">
        <v>22</v>
      </c>
      <c r="C26" s="1" t="s">
        <v>29</v>
      </c>
      <c r="D26" s="9">
        <v>3285722.0</v>
      </c>
      <c r="E26" s="3">
        <v>36.0</v>
      </c>
      <c r="F26" s="10">
        <v>3285722.0</v>
      </c>
      <c r="G26" s="9">
        <v>0.0</v>
      </c>
      <c r="H26" s="9">
        <v>0.0</v>
      </c>
      <c r="I26" s="9">
        <v>0.0</v>
      </c>
      <c r="J26" s="9">
        <v>0.0</v>
      </c>
      <c r="K26" s="9">
        <v>0.0</v>
      </c>
      <c r="L26" s="9">
        <v>0.0</v>
      </c>
      <c r="M26" s="9">
        <v>0.0</v>
      </c>
      <c r="N26" s="9">
        <v>0.0</v>
      </c>
      <c r="O26" s="9">
        <v>0.0</v>
      </c>
      <c r="P26" s="9">
        <v>0.0</v>
      </c>
      <c r="Q26" s="9">
        <v>0.0</v>
      </c>
      <c r="R26" s="9">
        <v>0.0</v>
      </c>
      <c r="S26" s="9">
        <f t="shared" si="1"/>
        <v>0</v>
      </c>
      <c r="T26" s="9">
        <f t="shared" si="2"/>
        <v>3285722</v>
      </c>
      <c r="U26" s="9">
        <f t="shared" si="3"/>
        <v>0</v>
      </c>
      <c r="V26" s="1"/>
      <c r="W26" s="1"/>
      <c r="X26" s="1"/>
      <c r="Y26" s="1"/>
      <c r="Z26" s="1"/>
    </row>
    <row r="27" ht="15.75" customHeight="1">
      <c r="A27" s="8">
        <v>42523.0</v>
      </c>
      <c r="B27" s="8" t="s">
        <v>30</v>
      </c>
      <c r="C27" s="1" t="s">
        <v>31</v>
      </c>
      <c r="D27" s="9">
        <v>2.505E7</v>
      </c>
      <c r="E27" s="3">
        <v>36.0</v>
      </c>
      <c r="F27" s="10">
        <v>2.505E7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f t="shared" si="1"/>
        <v>0</v>
      </c>
      <c r="T27" s="9">
        <f t="shared" si="2"/>
        <v>25050000</v>
      </c>
      <c r="U27" s="9">
        <f t="shared" si="3"/>
        <v>0</v>
      </c>
      <c r="V27" s="1"/>
      <c r="W27" s="1"/>
      <c r="X27" s="1"/>
      <c r="Y27" s="1"/>
      <c r="Z27" s="1"/>
    </row>
    <row r="28" ht="15.75" customHeight="1">
      <c r="A28" s="8">
        <v>42447.0</v>
      </c>
      <c r="B28" s="8" t="s">
        <v>24</v>
      </c>
      <c r="C28" s="1" t="s">
        <v>32</v>
      </c>
      <c r="D28" s="9">
        <v>5850000.0</v>
      </c>
      <c r="E28" s="3">
        <v>36.0</v>
      </c>
      <c r="F28" s="10">
        <v>5850000.0</v>
      </c>
      <c r="G28" s="9">
        <v>0.0</v>
      </c>
      <c r="H28" s="9">
        <v>0.0</v>
      </c>
      <c r="I28" s="9">
        <v>0.0</v>
      </c>
      <c r="J28" s="9">
        <v>0.0</v>
      </c>
      <c r="K28" s="9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f t="shared" si="1"/>
        <v>0</v>
      </c>
      <c r="T28" s="9">
        <f t="shared" si="2"/>
        <v>5850000</v>
      </c>
      <c r="U28" s="9">
        <f t="shared" si="3"/>
        <v>0</v>
      </c>
      <c r="V28" s="1"/>
      <c r="W28" s="1"/>
      <c r="X28" s="1"/>
      <c r="Y28" s="1"/>
      <c r="Z28" s="1"/>
    </row>
    <row r="29" ht="15.75" customHeight="1">
      <c r="A29" s="8">
        <v>42592.0</v>
      </c>
      <c r="B29" s="8" t="s">
        <v>24</v>
      </c>
      <c r="C29" s="1" t="s">
        <v>33</v>
      </c>
      <c r="D29" s="9">
        <v>1600000.0</v>
      </c>
      <c r="E29" s="3">
        <v>36.0</v>
      </c>
      <c r="F29" s="10">
        <v>1600000.0</v>
      </c>
      <c r="G29" s="9">
        <v>0.0</v>
      </c>
      <c r="H29" s="9">
        <v>0.0</v>
      </c>
      <c r="I29" s="9">
        <v>0.0</v>
      </c>
      <c r="J29" s="9">
        <v>0.0</v>
      </c>
      <c r="K29" s="9">
        <v>0.0</v>
      </c>
      <c r="L29" s="9">
        <v>0.0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f t="shared" si="1"/>
        <v>0</v>
      </c>
      <c r="T29" s="9">
        <f t="shared" si="2"/>
        <v>1600000</v>
      </c>
      <c r="U29" s="9">
        <f t="shared" si="3"/>
        <v>0</v>
      </c>
      <c r="V29" s="1"/>
      <c r="W29" s="1"/>
      <c r="X29" s="1"/>
      <c r="Y29" s="1"/>
      <c r="Z29" s="1"/>
    </row>
    <row r="30" ht="15.75" customHeight="1">
      <c r="A30" s="8">
        <v>42606.0</v>
      </c>
      <c r="B30" s="8" t="s">
        <v>24</v>
      </c>
      <c r="C30" s="1" t="s">
        <v>34</v>
      </c>
      <c r="D30" s="9">
        <v>6500000.0</v>
      </c>
      <c r="E30" s="3">
        <v>36.0</v>
      </c>
      <c r="F30" s="10">
        <v>6499999.999999999</v>
      </c>
      <c r="G30" s="9">
        <v>0.0</v>
      </c>
      <c r="H30" s="9">
        <v>0.0</v>
      </c>
      <c r="I30" s="9">
        <v>0.0</v>
      </c>
      <c r="J30" s="9">
        <v>0.0</v>
      </c>
      <c r="K30" s="9">
        <v>0.0</v>
      </c>
      <c r="L30" s="9">
        <v>0.0</v>
      </c>
      <c r="M30" s="9">
        <v>0.0</v>
      </c>
      <c r="N30" s="9">
        <v>0.0</v>
      </c>
      <c r="O30" s="9">
        <v>0.0</v>
      </c>
      <c r="P30" s="9">
        <v>0.0</v>
      </c>
      <c r="Q30" s="9">
        <v>0.0</v>
      </c>
      <c r="R30" s="9">
        <v>0.0</v>
      </c>
      <c r="S30" s="9">
        <f t="shared" si="1"/>
        <v>0</v>
      </c>
      <c r="T30" s="9">
        <f t="shared" si="2"/>
        <v>6500000</v>
      </c>
      <c r="U30" s="9">
        <f t="shared" si="3"/>
        <v>0.0000000009313225746</v>
      </c>
      <c r="V30" s="1"/>
      <c r="W30" s="1"/>
      <c r="X30" s="1"/>
      <c r="Y30" s="1"/>
      <c r="Z30" s="1"/>
    </row>
    <row r="31" ht="15.75" customHeight="1">
      <c r="A31" s="8">
        <v>42623.0</v>
      </c>
      <c r="B31" s="8" t="s">
        <v>22</v>
      </c>
      <c r="C31" s="1" t="s">
        <v>35</v>
      </c>
      <c r="D31" s="9">
        <v>3657500.0</v>
      </c>
      <c r="E31" s="3">
        <v>36.0</v>
      </c>
      <c r="F31" s="9">
        <v>3657500.0000000005</v>
      </c>
      <c r="G31" s="9">
        <v>0.0</v>
      </c>
      <c r="H31" s="9">
        <v>0.0</v>
      </c>
      <c r="I31" s="9">
        <v>0.0</v>
      </c>
      <c r="J31" s="9">
        <v>0.0</v>
      </c>
      <c r="K31" s="9">
        <v>0.0</v>
      </c>
      <c r="L31" s="9">
        <v>0.0</v>
      </c>
      <c r="M31" s="9">
        <v>0.0</v>
      </c>
      <c r="N31" s="9">
        <v>0.0</v>
      </c>
      <c r="O31" s="9">
        <v>0.0</v>
      </c>
      <c r="P31" s="9">
        <v>0.0</v>
      </c>
      <c r="Q31" s="9">
        <v>0.0</v>
      </c>
      <c r="R31" s="9">
        <v>0.0</v>
      </c>
      <c r="S31" s="9">
        <f t="shared" si="1"/>
        <v>0</v>
      </c>
      <c r="T31" s="9">
        <f t="shared" si="2"/>
        <v>3657500</v>
      </c>
      <c r="U31" s="9">
        <f t="shared" si="3"/>
        <v>-0.0000000004656612873</v>
      </c>
      <c r="V31" s="1"/>
      <c r="W31" s="1"/>
      <c r="X31" s="1"/>
      <c r="Y31" s="1"/>
      <c r="Z31" s="1"/>
    </row>
    <row r="32" ht="15.75" customHeight="1">
      <c r="A32" s="8">
        <v>42623.0</v>
      </c>
      <c r="B32" s="8" t="s">
        <v>22</v>
      </c>
      <c r="C32" s="1" t="s">
        <v>34</v>
      </c>
      <c r="D32" s="9">
        <v>5500000.0</v>
      </c>
      <c r="E32" s="3">
        <v>36.0</v>
      </c>
      <c r="F32" s="9">
        <v>5500000.0</v>
      </c>
      <c r="G32" s="9">
        <v>0.0</v>
      </c>
      <c r="H32" s="9">
        <v>0.0</v>
      </c>
      <c r="I32" s="9">
        <v>0.0</v>
      </c>
      <c r="J32" s="9">
        <v>0.0</v>
      </c>
      <c r="K32" s="9">
        <v>0.0</v>
      </c>
      <c r="L32" s="9">
        <v>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f t="shared" si="1"/>
        <v>0</v>
      </c>
      <c r="T32" s="9">
        <f t="shared" si="2"/>
        <v>5500000</v>
      </c>
      <c r="U32" s="9">
        <f t="shared" si="3"/>
        <v>0</v>
      </c>
      <c r="V32" s="1"/>
      <c r="W32" s="1"/>
      <c r="X32" s="1"/>
      <c r="Y32" s="1"/>
      <c r="Z32" s="1"/>
    </row>
    <row r="33" ht="15.75" customHeight="1">
      <c r="A33" s="8">
        <v>42655.0</v>
      </c>
      <c r="B33" s="8" t="s">
        <v>24</v>
      </c>
      <c r="C33" s="1" t="s">
        <v>36</v>
      </c>
      <c r="D33" s="9">
        <v>8550000.0</v>
      </c>
      <c r="E33" s="3">
        <v>36.0</v>
      </c>
      <c r="F33" s="9">
        <v>8550000.0</v>
      </c>
      <c r="G33" s="9">
        <v>0.0</v>
      </c>
      <c r="H33" s="9">
        <v>0.0</v>
      </c>
      <c r="I33" s="9">
        <v>0.0</v>
      </c>
      <c r="J33" s="9">
        <v>0.0</v>
      </c>
      <c r="K33" s="9">
        <v>0.0</v>
      </c>
      <c r="L33" s="9">
        <v>0.0</v>
      </c>
      <c r="M33" s="9">
        <v>0.0</v>
      </c>
      <c r="N33" s="9">
        <v>0.0</v>
      </c>
      <c r="O33" s="9">
        <v>0.0</v>
      </c>
      <c r="P33" s="9">
        <v>0.0</v>
      </c>
      <c r="Q33" s="9">
        <v>0.0</v>
      </c>
      <c r="R33" s="9">
        <v>0.0</v>
      </c>
      <c r="S33" s="9">
        <f t="shared" si="1"/>
        <v>0</v>
      </c>
      <c r="T33" s="9">
        <f t="shared" si="2"/>
        <v>8550000</v>
      </c>
      <c r="U33" s="9">
        <f t="shared" si="3"/>
        <v>0</v>
      </c>
      <c r="V33" s="1"/>
      <c r="W33" s="1"/>
      <c r="X33" s="1"/>
      <c r="Y33" s="1"/>
      <c r="Z33" s="1"/>
    </row>
    <row r="34" ht="15.75" customHeight="1">
      <c r="A34" s="8">
        <v>42773.0</v>
      </c>
      <c r="B34" s="8" t="s">
        <v>30</v>
      </c>
      <c r="C34" s="1" t="s">
        <v>37</v>
      </c>
      <c r="D34" s="9">
        <v>2.115E7</v>
      </c>
      <c r="E34" s="3">
        <v>36.0</v>
      </c>
      <c r="F34" s="9">
        <v>2.115E7</v>
      </c>
      <c r="G34" s="9">
        <v>0.0</v>
      </c>
      <c r="H34" s="9">
        <v>0.0</v>
      </c>
      <c r="I34" s="9">
        <v>0.0</v>
      </c>
      <c r="J34" s="9">
        <v>0.0</v>
      </c>
      <c r="K34" s="9">
        <v>0.0</v>
      </c>
      <c r="L34" s="9">
        <v>0.0</v>
      </c>
      <c r="M34" s="9">
        <v>0.0</v>
      </c>
      <c r="N34" s="9">
        <v>0.0</v>
      </c>
      <c r="O34" s="9">
        <v>0.0</v>
      </c>
      <c r="P34" s="9">
        <v>0.0</v>
      </c>
      <c r="Q34" s="9">
        <v>0.0</v>
      </c>
      <c r="R34" s="9">
        <v>0.0</v>
      </c>
      <c r="S34" s="9">
        <f t="shared" si="1"/>
        <v>0</v>
      </c>
      <c r="T34" s="9">
        <f t="shared" si="2"/>
        <v>21150000</v>
      </c>
      <c r="U34" s="9">
        <f t="shared" si="3"/>
        <v>0</v>
      </c>
      <c r="V34" s="1"/>
      <c r="W34" s="1"/>
      <c r="X34" s="1"/>
      <c r="Y34" s="1"/>
      <c r="Z34" s="1"/>
    </row>
    <row r="35" ht="15.75" customHeight="1">
      <c r="A35" s="8">
        <v>42842.0</v>
      </c>
      <c r="B35" s="8" t="s">
        <v>24</v>
      </c>
      <c r="C35" s="1" t="s">
        <v>38</v>
      </c>
      <c r="D35" s="9">
        <v>1.385E7</v>
      </c>
      <c r="E35" s="3">
        <v>36.0</v>
      </c>
      <c r="F35" s="9">
        <v>1.3849999999999998E7</v>
      </c>
      <c r="G35" s="9">
        <v>0.0</v>
      </c>
      <c r="H35" s="9">
        <v>0.0</v>
      </c>
      <c r="I35" s="9">
        <v>0.0</v>
      </c>
      <c r="J35" s="9">
        <v>0.0</v>
      </c>
      <c r="K35" s="9">
        <v>0.0</v>
      </c>
      <c r="L35" s="9">
        <v>0.0</v>
      </c>
      <c r="M35" s="9">
        <v>0.0</v>
      </c>
      <c r="N35" s="9">
        <v>0.0</v>
      </c>
      <c r="O35" s="9">
        <v>0.0</v>
      </c>
      <c r="P35" s="9">
        <v>0.0</v>
      </c>
      <c r="Q35" s="9">
        <v>0.0</v>
      </c>
      <c r="R35" s="9">
        <v>0.0</v>
      </c>
      <c r="S35" s="9">
        <f t="shared" si="1"/>
        <v>0</v>
      </c>
      <c r="T35" s="9">
        <f t="shared" si="2"/>
        <v>13850000</v>
      </c>
      <c r="U35" s="9">
        <f t="shared" si="3"/>
        <v>0.000000001862645149</v>
      </c>
      <c r="V35" s="1"/>
      <c r="W35" s="1"/>
      <c r="X35" s="1"/>
      <c r="Y35" s="1"/>
      <c r="Z35" s="1"/>
    </row>
    <row r="36" ht="15.75" customHeight="1">
      <c r="A36" s="8">
        <v>42850.0</v>
      </c>
      <c r="B36" s="8" t="s">
        <v>24</v>
      </c>
      <c r="C36" s="1" t="s">
        <v>39</v>
      </c>
      <c r="D36" s="9">
        <v>3100000.0</v>
      </c>
      <c r="E36" s="3">
        <v>36.0</v>
      </c>
      <c r="F36" s="9">
        <v>3100000.0000000005</v>
      </c>
      <c r="G36" s="9">
        <v>0.0</v>
      </c>
      <c r="H36" s="9">
        <v>0.0</v>
      </c>
      <c r="I36" s="9">
        <v>0.0</v>
      </c>
      <c r="J36" s="9">
        <v>0.0</v>
      </c>
      <c r="K36" s="9">
        <v>0.0</v>
      </c>
      <c r="L36" s="9">
        <v>0.0</v>
      </c>
      <c r="M36" s="9">
        <v>0.0</v>
      </c>
      <c r="N36" s="9">
        <v>0.0</v>
      </c>
      <c r="O36" s="9">
        <v>0.0</v>
      </c>
      <c r="P36" s="9">
        <v>0.0</v>
      </c>
      <c r="Q36" s="9">
        <v>0.0</v>
      </c>
      <c r="R36" s="9">
        <v>0.0</v>
      </c>
      <c r="S36" s="9">
        <f t="shared" si="1"/>
        <v>0</v>
      </c>
      <c r="T36" s="9">
        <f t="shared" si="2"/>
        <v>3100000</v>
      </c>
      <c r="U36" s="9">
        <f t="shared" si="3"/>
        <v>-0.0000000004656612873</v>
      </c>
      <c r="V36" s="1"/>
      <c r="W36" s="1"/>
      <c r="X36" s="1"/>
      <c r="Y36" s="1"/>
      <c r="Z36" s="1"/>
    </row>
    <row r="37" ht="15.75" customHeight="1">
      <c r="A37" s="8">
        <v>43305.0</v>
      </c>
      <c r="B37" s="8" t="s">
        <v>24</v>
      </c>
      <c r="C37" s="1" t="s">
        <v>40</v>
      </c>
      <c r="D37" s="9">
        <v>4600000.0</v>
      </c>
      <c r="E37" s="3">
        <v>36.0</v>
      </c>
      <c r="F37" s="9">
        <v>4600000.0</v>
      </c>
      <c r="G37" s="9">
        <v>0.0</v>
      </c>
      <c r="H37" s="9">
        <v>0.0</v>
      </c>
      <c r="I37" s="9">
        <v>0.0</v>
      </c>
      <c r="J37" s="9">
        <v>0.0</v>
      </c>
      <c r="K37" s="9">
        <v>0.0</v>
      </c>
      <c r="L37" s="9">
        <v>0.0</v>
      </c>
      <c r="M37" s="9">
        <v>0.0</v>
      </c>
      <c r="N37" s="9">
        <v>0.0</v>
      </c>
      <c r="O37" s="9">
        <v>0.0</v>
      </c>
      <c r="P37" s="9">
        <v>0.0</v>
      </c>
      <c r="Q37" s="9">
        <v>0.0</v>
      </c>
      <c r="R37" s="9">
        <v>0.0</v>
      </c>
      <c r="S37" s="9">
        <f t="shared" si="1"/>
        <v>0</v>
      </c>
      <c r="T37" s="9">
        <f t="shared" si="2"/>
        <v>4600000</v>
      </c>
      <c r="U37" s="9">
        <f t="shared" si="3"/>
        <v>0</v>
      </c>
      <c r="V37" s="1"/>
      <c r="W37" s="1"/>
      <c r="X37" s="1"/>
      <c r="Y37" s="1"/>
      <c r="Z37" s="1"/>
    </row>
    <row r="38" ht="15.75" customHeight="1">
      <c r="A38" s="8">
        <v>43467.0</v>
      </c>
      <c r="B38" s="8" t="s">
        <v>22</v>
      </c>
      <c r="C38" s="1" t="s">
        <v>41</v>
      </c>
      <c r="D38" s="9">
        <v>2.8873216E7</v>
      </c>
      <c r="E38" s="3">
        <v>36.0</v>
      </c>
      <c r="F38" s="9">
        <v>2.8873216E7</v>
      </c>
      <c r="G38" s="9">
        <v>0.0</v>
      </c>
      <c r="H38" s="9">
        <v>0.0</v>
      </c>
      <c r="I38" s="9">
        <v>0.0</v>
      </c>
      <c r="J38" s="9">
        <v>0.0</v>
      </c>
      <c r="K38" s="9">
        <v>0.0</v>
      </c>
      <c r="L38" s="9">
        <v>0.0</v>
      </c>
      <c r="M38" s="9">
        <v>0.0</v>
      </c>
      <c r="N38" s="9">
        <v>0.0</v>
      </c>
      <c r="O38" s="9">
        <v>0.0</v>
      </c>
      <c r="P38" s="9">
        <v>0.0</v>
      </c>
      <c r="Q38" s="9">
        <v>0.0</v>
      </c>
      <c r="R38" s="9">
        <v>0.0</v>
      </c>
      <c r="S38" s="9">
        <f t="shared" si="1"/>
        <v>0</v>
      </c>
      <c r="T38" s="9">
        <f t="shared" si="2"/>
        <v>28873216</v>
      </c>
      <c r="U38" s="9">
        <f t="shared" si="3"/>
        <v>0</v>
      </c>
      <c r="V38" s="1"/>
      <c r="W38" s="1"/>
      <c r="X38" s="1"/>
      <c r="Y38" s="1"/>
      <c r="Z38" s="1"/>
    </row>
    <row r="39" ht="15.75" customHeight="1">
      <c r="A39" s="8">
        <v>43501.0</v>
      </c>
      <c r="B39" s="8" t="s">
        <v>22</v>
      </c>
      <c r="C39" s="12" t="s">
        <v>42</v>
      </c>
      <c r="D39" s="9">
        <v>3599000.0</v>
      </c>
      <c r="E39" s="3">
        <v>36.0</v>
      </c>
      <c r="F39" s="9">
        <v>3599000.0</v>
      </c>
      <c r="G39" s="9">
        <v>0.0</v>
      </c>
      <c r="H39" s="9">
        <v>0.0</v>
      </c>
      <c r="I39" s="9">
        <v>0.0</v>
      </c>
      <c r="J39" s="9">
        <v>0.0</v>
      </c>
      <c r="K39" s="9">
        <v>0.0</v>
      </c>
      <c r="L39" s="9">
        <v>0.0</v>
      </c>
      <c r="M39" s="9">
        <v>0.0</v>
      </c>
      <c r="N39" s="9">
        <v>0.0</v>
      </c>
      <c r="O39" s="9">
        <v>0.0</v>
      </c>
      <c r="P39" s="9">
        <v>0.0</v>
      </c>
      <c r="Q39" s="9">
        <v>0.0</v>
      </c>
      <c r="R39" s="9">
        <v>0.0</v>
      </c>
      <c r="S39" s="9">
        <f t="shared" si="1"/>
        <v>0</v>
      </c>
      <c r="T39" s="9">
        <f t="shared" si="2"/>
        <v>3599000</v>
      </c>
      <c r="U39" s="9">
        <f t="shared" si="3"/>
        <v>0</v>
      </c>
      <c r="V39" s="1"/>
      <c r="W39" s="1"/>
      <c r="X39" s="1"/>
      <c r="Y39" s="1"/>
      <c r="Z39" s="1"/>
    </row>
    <row r="40" ht="15.75" customHeight="1">
      <c r="A40" s="8">
        <v>43524.0</v>
      </c>
      <c r="B40" s="8" t="s">
        <v>24</v>
      </c>
      <c r="C40" s="1" t="s">
        <v>43</v>
      </c>
      <c r="D40" s="9">
        <v>2025000.0</v>
      </c>
      <c r="E40" s="3">
        <v>36.0</v>
      </c>
      <c r="F40" s="9">
        <v>2025000.0</v>
      </c>
      <c r="G40" s="9">
        <v>0.0</v>
      </c>
      <c r="H40" s="9">
        <v>0.0</v>
      </c>
      <c r="I40" s="9">
        <v>0.0</v>
      </c>
      <c r="J40" s="9">
        <v>0.0</v>
      </c>
      <c r="K40" s="9">
        <v>0.0</v>
      </c>
      <c r="L40" s="9">
        <v>0.0</v>
      </c>
      <c r="M40" s="9">
        <v>0.0</v>
      </c>
      <c r="N40" s="9">
        <v>0.0</v>
      </c>
      <c r="O40" s="9">
        <v>0.0</v>
      </c>
      <c r="P40" s="9">
        <v>0.0</v>
      </c>
      <c r="Q40" s="9">
        <v>0.0</v>
      </c>
      <c r="R40" s="9">
        <v>0.0</v>
      </c>
      <c r="S40" s="9">
        <f t="shared" si="1"/>
        <v>0</v>
      </c>
      <c r="T40" s="9">
        <f t="shared" si="2"/>
        <v>2025000</v>
      </c>
      <c r="U40" s="9">
        <f t="shared" si="3"/>
        <v>0</v>
      </c>
      <c r="V40" s="1"/>
      <c r="W40" s="1"/>
      <c r="X40" s="1"/>
      <c r="Y40" s="1"/>
      <c r="Z40" s="1"/>
    </row>
    <row r="41" ht="15.75" customHeight="1">
      <c r="A41" s="8">
        <v>43705.0</v>
      </c>
      <c r="B41" s="8" t="s">
        <v>24</v>
      </c>
      <c r="C41" s="1" t="s">
        <v>44</v>
      </c>
      <c r="D41" s="9">
        <v>6000000.0</v>
      </c>
      <c r="E41" s="3">
        <v>36.0</v>
      </c>
      <c r="F41" s="9">
        <v>6000000.000000001</v>
      </c>
      <c r="G41" s="9">
        <v>0.0</v>
      </c>
      <c r="H41" s="9">
        <v>0.0</v>
      </c>
      <c r="I41" s="9">
        <v>0.0</v>
      </c>
      <c r="J41" s="9">
        <v>0.0</v>
      </c>
      <c r="K41" s="9">
        <v>0.0</v>
      </c>
      <c r="L41" s="9">
        <v>0.0</v>
      </c>
      <c r="M41" s="9">
        <v>0.0</v>
      </c>
      <c r="N41" s="9">
        <v>0.0</v>
      </c>
      <c r="O41" s="9">
        <v>0.0</v>
      </c>
      <c r="P41" s="9">
        <v>0.0</v>
      </c>
      <c r="Q41" s="9">
        <v>0.0</v>
      </c>
      <c r="R41" s="9">
        <v>0.0</v>
      </c>
      <c r="S41" s="9">
        <f t="shared" si="1"/>
        <v>0</v>
      </c>
      <c r="T41" s="9">
        <f t="shared" si="2"/>
        <v>6000000</v>
      </c>
      <c r="U41" s="9">
        <f t="shared" si="3"/>
        <v>-0.0000000009313225746</v>
      </c>
      <c r="V41" s="1"/>
      <c r="W41" s="1"/>
      <c r="X41" s="1"/>
      <c r="Y41" s="1"/>
      <c r="Z41" s="1"/>
    </row>
    <row r="42" ht="15.75" customHeight="1">
      <c r="A42" s="8">
        <v>43826.0</v>
      </c>
      <c r="B42" s="8" t="s">
        <v>24</v>
      </c>
      <c r="C42" s="1" t="s">
        <v>45</v>
      </c>
      <c r="D42" s="9">
        <v>5025000.0</v>
      </c>
      <c r="E42" s="3">
        <v>36.0</v>
      </c>
      <c r="F42" s="9">
        <v>5024999.999999999</v>
      </c>
      <c r="G42" s="9">
        <v>0.0</v>
      </c>
      <c r="H42" s="9">
        <v>0.0</v>
      </c>
      <c r="I42" s="9">
        <v>0.0</v>
      </c>
      <c r="J42" s="9">
        <v>0.0</v>
      </c>
      <c r="K42" s="9">
        <v>0.0</v>
      </c>
      <c r="L42" s="9">
        <v>0.0</v>
      </c>
      <c r="M42" s="9">
        <v>0.0</v>
      </c>
      <c r="N42" s="9">
        <v>0.0</v>
      </c>
      <c r="O42" s="9">
        <v>0.0</v>
      </c>
      <c r="P42" s="9">
        <v>0.0</v>
      </c>
      <c r="Q42" s="9">
        <v>0.0</v>
      </c>
      <c r="R42" s="9">
        <v>0.0</v>
      </c>
      <c r="S42" s="9">
        <f t="shared" si="1"/>
        <v>0</v>
      </c>
      <c r="T42" s="9">
        <f t="shared" si="2"/>
        <v>5025000</v>
      </c>
      <c r="U42" s="9">
        <f t="shared" si="3"/>
        <v>0.0000000009313225746</v>
      </c>
      <c r="V42" s="1"/>
      <c r="W42" s="1"/>
      <c r="X42" s="1"/>
      <c r="Y42" s="1"/>
      <c r="Z42" s="1"/>
    </row>
    <row r="43" ht="15.75" customHeight="1">
      <c r="A43" s="8">
        <v>43675.0</v>
      </c>
      <c r="B43" s="8" t="s">
        <v>22</v>
      </c>
      <c r="C43" s="1" t="s">
        <v>46</v>
      </c>
      <c r="D43" s="9">
        <v>2601000.0</v>
      </c>
      <c r="E43" s="3">
        <v>36.0</v>
      </c>
      <c r="F43" s="10">
        <v>2601000.0</v>
      </c>
      <c r="G43" s="9">
        <v>0.0</v>
      </c>
      <c r="H43" s="9">
        <v>0.0</v>
      </c>
      <c r="I43" s="9">
        <v>0.0</v>
      </c>
      <c r="J43" s="9">
        <v>0.0</v>
      </c>
      <c r="K43" s="9">
        <v>0.0</v>
      </c>
      <c r="L43" s="9">
        <v>0.0</v>
      </c>
      <c r="M43" s="9">
        <v>0.0</v>
      </c>
      <c r="N43" s="9">
        <v>0.0</v>
      </c>
      <c r="O43" s="9">
        <v>0.0</v>
      </c>
      <c r="P43" s="9">
        <v>0.0</v>
      </c>
      <c r="Q43" s="9">
        <v>0.0</v>
      </c>
      <c r="R43" s="9">
        <v>0.0</v>
      </c>
      <c r="S43" s="9">
        <f t="shared" si="1"/>
        <v>0</v>
      </c>
      <c r="T43" s="9">
        <f t="shared" si="2"/>
        <v>2601000</v>
      </c>
      <c r="U43" s="9">
        <f t="shared" si="3"/>
        <v>0</v>
      </c>
      <c r="V43" s="1"/>
      <c r="W43" s="1"/>
      <c r="X43" s="1"/>
      <c r="Y43" s="1"/>
      <c r="Z43" s="1"/>
    </row>
    <row r="44" ht="15.75" customHeight="1">
      <c r="A44" s="8">
        <v>44095.0</v>
      </c>
      <c r="B44" s="8" t="s">
        <v>24</v>
      </c>
      <c r="C44" s="1" t="s">
        <v>47</v>
      </c>
      <c r="D44" s="9">
        <v>2499000.0</v>
      </c>
      <c r="E44" s="3">
        <v>36.0</v>
      </c>
      <c r="F44" s="10">
        <v>2499000.0</v>
      </c>
      <c r="G44" s="9">
        <v>0.0</v>
      </c>
      <c r="H44" s="9">
        <v>0.0</v>
      </c>
      <c r="I44" s="9">
        <v>0.0</v>
      </c>
      <c r="J44" s="9">
        <v>0.0</v>
      </c>
      <c r="K44" s="9">
        <v>0.0</v>
      </c>
      <c r="L44" s="9">
        <v>0.0</v>
      </c>
      <c r="M44" s="9">
        <v>0.0</v>
      </c>
      <c r="N44" s="9">
        <v>0.0</v>
      </c>
      <c r="O44" s="9">
        <v>0.0</v>
      </c>
      <c r="P44" s="9">
        <v>0.0</v>
      </c>
      <c r="Q44" s="9">
        <v>0.0</v>
      </c>
      <c r="R44" s="9">
        <v>0.0</v>
      </c>
      <c r="S44" s="9">
        <f t="shared" si="1"/>
        <v>0</v>
      </c>
      <c r="T44" s="9">
        <f t="shared" si="2"/>
        <v>2499000</v>
      </c>
      <c r="U44" s="9">
        <f t="shared" si="3"/>
        <v>0</v>
      </c>
      <c r="V44" s="1"/>
      <c r="W44" s="1"/>
      <c r="X44" s="1"/>
      <c r="Y44" s="1"/>
      <c r="Z44" s="1"/>
    </row>
    <row r="45" ht="15.75" customHeight="1">
      <c r="A45" s="8">
        <v>44117.0</v>
      </c>
      <c r="B45" s="8" t="s">
        <v>24</v>
      </c>
      <c r="C45" s="1" t="s">
        <v>48</v>
      </c>
      <c r="D45" s="9">
        <v>1.951E7</v>
      </c>
      <c r="E45" s="3">
        <v>36.0</v>
      </c>
      <c r="F45" s="10">
        <v>1.951E7</v>
      </c>
      <c r="G45" s="9">
        <v>0.0</v>
      </c>
      <c r="H45" s="9">
        <v>0.0</v>
      </c>
      <c r="I45" s="9">
        <v>0.0</v>
      </c>
      <c r="J45" s="9">
        <v>0.0</v>
      </c>
      <c r="K45" s="9">
        <v>0.0</v>
      </c>
      <c r="L45" s="9">
        <v>0.0</v>
      </c>
      <c r="M45" s="9">
        <v>0.0</v>
      </c>
      <c r="N45" s="9">
        <v>0.0</v>
      </c>
      <c r="O45" s="9">
        <v>0.0</v>
      </c>
      <c r="P45" s="9">
        <v>0.0</v>
      </c>
      <c r="Q45" s="9">
        <v>0.0</v>
      </c>
      <c r="R45" s="9">
        <v>0.0</v>
      </c>
      <c r="S45" s="9">
        <f t="shared" si="1"/>
        <v>0</v>
      </c>
      <c r="T45" s="9">
        <f t="shared" si="2"/>
        <v>19510000</v>
      </c>
      <c r="U45" s="9">
        <f t="shared" si="3"/>
        <v>0</v>
      </c>
      <c r="V45" s="1"/>
      <c r="W45" s="1"/>
      <c r="X45" s="1"/>
      <c r="Y45" s="1"/>
      <c r="Z45" s="1"/>
    </row>
    <row r="46" ht="15.75" customHeight="1">
      <c r="A46" s="8">
        <v>43894.0</v>
      </c>
      <c r="B46" s="8" t="s">
        <v>22</v>
      </c>
      <c r="C46" s="1" t="s">
        <v>49</v>
      </c>
      <c r="D46" s="9">
        <v>1.1832E7</v>
      </c>
      <c r="E46" s="3">
        <v>36.0</v>
      </c>
      <c r="F46" s="10">
        <v>1.1832E7</v>
      </c>
      <c r="G46" s="9">
        <v>0.0</v>
      </c>
      <c r="H46" s="9">
        <v>0.0</v>
      </c>
      <c r="I46" s="9">
        <v>0.0</v>
      </c>
      <c r="J46" s="9">
        <v>0.0</v>
      </c>
      <c r="K46" s="9">
        <v>0.0</v>
      </c>
      <c r="L46" s="9">
        <v>0.0</v>
      </c>
      <c r="M46" s="9">
        <v>0.0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  <c r="S46" s="9">
        <f t="shared" si="1"/>
        <v>0</v>
      </c>
      <c r="T46" s="9">
        <f t="shared" si="2"/>
        <v>11832000</v>
      </c>
      <c r="U46" s="9">
        <f t="shared" si="3"/>
        <v>0</v>
      </c>
      <c r="V46" s="1"/>
      <c r="W46" s="1"/>
      <c r="X46" s="1"/>
      <c r="Y46" s="1"/>
      <c r="Z46" s="1"/>
    </row>
    <row r="47" ht="15.75" customHeight="1">
      <c r="A47" s="8">
        <v>44223.0</v>
      </c>
      <c r="B47" s="8" t="s">
        <v>22</v>
      </c>
      <c r="C47" s="1" t="s">
        <v>50</v>
      </c>
      <c r="D47" s="9">
        <v>2904600.0</v>
      </c>
      <c r="E47" s="3">
        <v>36.0</v>
      </c>
      <c r="F47" s="10">
        <v>2904600.0000000005</v>
      </c>
      <c r="G47" s="9">
        <v>0.0</v>
      </c>
      <c r="H47" s="9">
        <v>0.0</v>
      </c>
      <c r="I47" s="9">
        <v>0.0</v>
      </c>
      <c r="J47" s="9">
        <v>0.0</v>
      </c>
      <c r="K47" s="9">
        <v>0.0</v>
      </c>
      <c r="L47" s="9">
        <v>0.0</v>
      </c>
      <c r="M47" s="9">
        <v>0.0</v>
      </c>
      <c r="N47" s="9">
        <v>0.0</v>
      </c>
      <c r="O47" s="9">
        <v>0.0</v>
      </c>
      <c r="P47" s="9">
        <v>0.0</v>
      </c>
      <c r="Q47" s="9">
        <v>0.0</v>
      </c>
      <c r="R47" s="9">
        <v>0.0</v>
      </c>
      <c r="S47" s="9">
        <f t="shared" si="1"/>
        <v>0</v>
      </c>
      <c r="T47" s="9">
        <f t="shared" si="2"/>
        <v>2904600</v>
      </c>
      <c r="U47" s="9">
        <f t="shared" si="3"/>
        <v>-0.0000000004656612873</v>
      </c>
      <c r="V47" s="1"/>
      <c r="W47" s="1"/>
      <c r="X47" s="1"/>
      <c r="Y47" s="1"/>
      <c r="Z47" s="1"/>
    </row>
    <row r="48" ht="15.75" customHeight="1">
      <c r="A48" s="8">
        <v>44242.0</v>
      </c>
      <c r="B48" s="8" t="s">
        <v>30</v>
      </c>
      <c r="C48" s="1" t="s">
        <v>51</v>
      </c>
      <c r="D48" s="9">
        <v>2.01E7</v>
      </c>
      <c r="E48" s="3">
        <v>36.0</v>
      </c>
      <c r="F48" s="10">
        <v>2.0099999666666664E7</v>
      </c>
      <c r="G48" s="9">
        <v>0.0</v>
      </c>
      <c r="H48" s="9">
        <v>0.0</v>
      </c>
      <c r="I48" s="9">
        <v>0.0</v>
      </c>
      <c r="J48" s="9">
        <v>0.0</v>
      </c>
      <c r="K48" s="9">
        <v>0.0</v>
      </c>
      <c r="L48" s="9">
        <v>0.0</v>
      </c>
      <c r="M48" s="9">
        <v>0.0</v>
      </c>
      <c r="N48" s="9">
        <v>0.0</v>
      </c>
      <c r="O48" s="9">
        <v>0.0</v>
      </c>
      <c r="P48" s="9">
        <v>0.0</v>
      </c>
      <c r="Q48" s="9">
        <v>0.0</v>
      </c>
      <c r="R48" s="9">
        <v>0.0</v>
      </c>
      <c r="S48" s="9">
        <f t="shared" si="1"/>
        <v>0</v>
      </c>
      <c r="T48" s="9">
        <f t="shared" si="2"/>
        <v>20099999.67</v>
      </c>
      <c r="U48" s="9">
        <f t="shared" si="3"/>
        <v>0.3333333358</v>
      </c>
      <c r="V48" s="1"/>
      <c r="W48" s="1"/>
      <c r="X48" s="1"/>
      <c r="Y48" s="1"/>
      <c r="Z48" s="1"/>
    </row>
    <row r="49" ht="15.75" customHeight="1">
      <c r="A49" s="8">
        <v>44254.0</v>
      </c>
      <c r="B49" s="8" t="s">
        <v>30</v>
      </c>
      <c r="C49" s="1" t="s">
        <v>52</v>
      </c>
      <c r="D49" s="9">
        <v>1249000.0</v>
      </c>
      <c r="E49" s="3">
        <v>36.0</v>
      </c>
      <c r="F49" s="10">
        <v>1249000.0</v>
      </c>
      <c r="G49" s="9">
        <v>0.0</v>
      </c>
      <c r="H49" s="9">
        <v>0.0</v>
      </c>
      <c r="I49" s="9">
        <v>0.0</v>
      </c>
      <c r="J49" s="9">
        <v>0.0</v>
      </c>
      <c r="K49" s="9">
        <v>0.0</v>
      </c>
      <c r="L49" s="9">
        <v>0.0</v>
      </c>
      <c r="M49" s="9">
        <v>0.0</v>
      </c>
      <c r="N49" s="9">
        <v>0.0</v>
      </c>
      <c r="O49" s="9">
        <v>0.0</v>
      </c>
      <c r="P49" s="9">
        <v>0.0</v>
      </c>
      <c r="Q49" s="9">
        <v>0.0</v>
      </c>
      <c r="R49" s="9">
        <v>0.0</v>
      </c>
      <c r="S49" s="9">
        <f t="shared" si="1"/>
        <v>0</v>
      </c>
      <c r="T49" s="9">
        <f t="shared" si="2"/>
        <v>1249000</v>
      </c>
      <c r="U49" s="9">
        <f t="shared" si="3"/>
        <v>0</v>
      </c>
      <c r="V49" s="1"/>
      <c r="W49" s="1"/>
      <c r="X49" s="1"/>
      <c r="Y49" s="1"/>
      <c r="Z49" s="1"/>
    </row>
    <row r="50" ht="15.75" customHeight="1">
      <c r="A50" s="8">
        <v>44616.0</v>
      </c>
      <c r="B50" s="8" t="s">
        <v>22</v>
      </c>
      <c r="C50" s="1" t="s">
        <v>53</v>
      </c>
      <c r="D50" s="9">
        <v>3944900.0</v>
      </c>
      <c r="E50" s="3">
        <v>36.0</v>
      </c>
      <c r="F50" s="10">
        <v>3944899.999999999</v>
      </c>
      <c r="G50" s="10">
        <v>0.0</v>
      </c>
      <c r="H50" s="10">
        <v>0.0</v>
      </c>
      <c r="I50" s="10">
        <v>0.0</v>
      </c>
      <c r="J50" s="10">
        <v>0.0</v>
      </c>
      <c r="K50" s="10">
        <v>0.0</v>
      </c>
      <c r="L50" s="10">
        <v>0.0</v>
      </c>
      <c r="M50" s="10">
        <v>0.0</v>
      </c>
      <c r="N50" s="10">
        <v>0.0</v>
      </c>
      <c r="O50" s="10">
        <v>0.0</v>
      </c>
      <c r="P50" s="10">
        <v>0.0</v>
      </c>
      <c r="Q50" s="10">
        <v>0.0</v>
      </c>
      <c r="R50" s="10">
        <v>0.0</v>
      </c>
      <c r="S50" s="9">
        <f t="shared" si="1"/>
        <v>0</v>
      </c>
      <c r="T50" s="9">
        <f t="shared" si="2"/>
        <v>3944900</v>
      </c>
      <c r="U50" s="9">
        <f t="shared" si="3"/>
        <v>0.0000000009313225746</v>
      </c>
      <c r="V50" s="1"/>
      <c r="W50" s="1"/>
      <c r="X50" s="1"/>
      <c r="Y50" s="1"/>
      <c r="Z50" s="1"/>
    </row>
    <row r="51" ht="15.75" customHeight="1">
      <c r="A51" s="8" t="s">
        <v>7</v>
      </c>
      <c r="B51" s="8" t="s">
        <v>22</v>
      </c>
      <c r="C51" s="1" t="s">
        <v>54</v>
      </c>
      <c r="D51" s="9">
        <v>3767880.0</v>
      </c>
      <c r="E51" s="3">
        <v>36.0</v>
      </c>
      <c r="F51" s="10">
        <v>3767880.0</v>
      </c>
      <c r="G51" s="10">
        <v>0.0</v>
      </c>
      <c r="H51" s="10">
        <v>0.0</v>
      </c>
      <c r="I51" s="10">
        <v>0.0</v>
      </c>
      <c r="J51" s="10">
        <v>0.0</v>
      </c>
      <c r="K51" s="10">
        <v>0.0</v>
      </c>
      <c r="L51" s="10">
        <v>0.0</v>
      </c>
      <c r="M51" s="10">
        <v>0.0</v>
      </c>
      <c r="N51" s="10">
        <v>0.0</v>
      </c>
      <c r="O51" s="10">
        <v>0.0</v>
      </c>
      <c r="P51" s="10">
        <v>0.0</v>
      </c>
      <c r="Q51" s="10">
        <v>0.0</v>
      </c>
      <c r="R51" s="10">
        <v>0.0</v>
      </c>
      <c r="S51" s="9">
        <f t="shared" si="1"/>
        <v>0</v>
      </c>
      <c r="T51" s="9">
        <f t="shared" si="2"/>
        <v>3767880</v>
      </c>
      <c r="U51" s="9">
        <f t="shared" si="3"/>
        <v>0</v>
      </c>
      <c r="V51" s="1"/>
      <c r="W51" s="1"/>
      <c r="X51" s="1"/>
      <c r="Y51" s="1"/>
      <c r="Z51" s="1"/>
    </row>
    <row r="52" ht="15.75" customHeight="1">
      <c r="A52" s="8" t="s">
        <v>7</v>
      </c>
      <c r="B52" s="8" t="s">
        <v>22</v>
      </c>
      <c r="C52" s="1" t="s">
        <v>55</v>
      </c>
      <c r="D52" s="9">
        <v>8918000.0</v>
      </c>
      <c r="E52" s="3">
        <v>36.0</v>
      </c>
      <c r="F52" s="10">
        <v>8917999.555555554</v>
      </c>
      <c r="G52" s="10">
        <v>0.0</v>
      </c>
      <c r="H52" s="10">
        <v>0.0</v>
      </c>
      <c r="I52" s="10">
        <v>0.0</v>
      </c>
      <c r="J52" s="10">
        <v>0.0</v>
      </c>
      <c r="K52" s="10">
        <v>0.0</v>
      </c>
      <c r="L52" s="10">
        <v>0.0</v>
      </c>
      <c r="M52" s="10">
        <v>0.0</v>
      </c>
      <c r="N52" s="10">
        <v>0.0</v>
      </c>
      <c r="O52" s="10">
        <v>0.0</v>
      </c>
      <c r="P52" s="10">
        <v>0.0</v>
      </c>
      <c r="Q52" s="10">
        <v>0.0</v>
      </c>
      <c r="R52" s="10">
        <v>0.0</v>
      </c>
      <c r="S52" s="9">
        <f t="shared" si="1"/>
        <v>0</v>
      </c>
      <c r="T52" s="9">
        <f t="shared" si="2"/>
        <v>8917999.556</v>
      </c>
      <c r="U52" s="9">
        <f t="shared" si="3"/>
        <v>0.4444444459</v>
      </c>
      <c r="V52" s="1"/>
      <c r="W52" s="1"/>
      <c r="X52" s="1"/>
      <c r="Y52" s="1"/>
      <c r="Z52" s="1"/>
    </row>
    <row r="53" ht="15.75" customHeight="1">
      <c r="A53" s="8" t="s">
        <v>56</v>
      </c>
      <c r="B53" s="8" t="s">
        <v>22</v>
      </c>
      <c r="C53" s="1" t="s">
        <v>57</v>
      </c>
      <c r="D53" s="9">
        <v>3.7767E7</v>
      </c>
      <c r="E53" s="3">
        <v>36.0</v>
      </c>
      <c r="F53" s="10">
        <v>3.7767000333333336E7</v>
      </c>
      <c r="G53" s="10">
        <v>0.0</v>
      </c>
      <c r="H53" s="10">
        <v>0.0</v>
      </c>
      <c r="I53" s="10">
        <v>0.0</v>
      </c>
      <c r="J53" s="10">
        <v>0.0</v>
      </c>
      <c r="K53" s="10">
        <v>0.0</v>
      </c>
      <c r="L53" s="10">
        <v>0.0</v>
      </c>
      <c r="M53" s="10">
        <v>0.0</v>
      </c>
      <c r="N53" s="10">
        <v>0.0</v>
      </c>
      <c r="O53" s="10">
        <v>0.0</v>
      </c>
      <c r="P53" s="10">
        <v>0.0</v>
      </c>
      <c r="Q53" s="10">
        <v>0.0</v>
      </c>
      <c r="R53" s="10">
        <v>0.0</v>
      </c>
      <c r="S53" s="9">
        <f t="shared" si="1"/>
        <v>0</v>
      </c>
      <c r="T53" s="9">
        <f t="shared" si="2"/>
        <v>37767000.33</v>
      </c>
      <c r="U53" s="9">
        <f t="shared" si="3"/>
        <v>-0.3333333358</v>
      </c>
      <c r="V53" s="1"/>
      <c r="W53" s="1"/>
      <c r="X53" s="1"/>
      <c r="Y53" s="1"/>
      <c r="Z53" s="1"/>
    </row>
    <row r="54" ht="15.75" customHeight="1">
      <c r="A54" s="8">
        <v>44644.0</v>
      </c>
      <c r="B54" s="8" t="s">
        <v>24</v>
      </c>
      <c r="C54" s="1" t="s">
        <v>58</v>
      </c>
      <c r="D54" s="9">
        <v>4.4E7</v>
      </c>
      <c r="E54" s="3">
        <v>36.0</v>
      </c>
      <c r="F54" s="10">
        <v>4.4E7</v>
      </c>
      <c r="G54" s="9">
        <v>0.0</v>
      </c>
      <c r="H54" s="9">
        <v>0.0</v>
      </c>
      <c r="I54" s="9">
        <v>0.0</v>
      </c>
      <c r="J54" s="9">
        <v>0.0</v>
      </c>
      <c r="K54" s="9">
        <v>0.0</v>
      </c>
      <c r="L54" s="9">
        <v>0.0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f t="shared" si="1"/>
        <v>0</v>
      </c>
      <c r="T54" s="9">
        <f t="shared" si="2"/>
        <v>44000000</v>
      </c>
      <c r="U54" s="9">
        <f t="shared" si="3"/>
        <v>0</v>
      </c>
      <c r="V54" s="1"/>
      <c r="W54" s="1"/>
      <c r="X54" s="1"/>
      <c r="Y54" s="1"/>
      <c r="Z54" s="1"/>
    </row>
    <row r="55" ht="15.75" customHeight="1">
      <c r="A55" s="8">
        <v>44678.0</v>
      </c>
      <c r="B55" s="8" t="s">
        <v>24</v>
      </c>
      <c r="C55" s="1" t="s">
        <v>59</v>
      </c>
      <c r="D55" s="9">
        <v>1.1713177E7</v>
      </c>
      <c r="E55" s="3">
        <v>36.0</v>
      </c>
      <c r="F55" s="10">
        <v>1.1713177000000002E7</v>
      </c>
      <c r="G55" s="9">
        <v>0.0</v>
      </c>
      <c r="H55" s="9">
        <v>0.0</v>
      </c>
      <c r="I55" s="9">
        <v>0.0</v>
      </c>
      <c r="J55" s="9">
        <v>0.0</v>
      </c>
      <c r="K55" s="9">
        <v>0.0</v>
      </c>
      <c r="L55" s="9">
        <v>0.0</v>
      </c>
      <c r="M55" s="9">
        <v>0.0</v>
      </c>
      <c r="N55" s="9">
        <v>0.0</v>
      </c>
      <c r="O55" s="9">
        <v>0.0</v>
      </c>
      <c r="P55" s="9">
        <v>0.0</v>
      </c>
      <c r="Q55" s="9">
        <v>0.0</v>
      </c>
      <c r="R55" s="9">
        <v>0.0</v>
      </c>
      <c r="S55" s="9">
        <f t="shared" si="1"/>
        <v>0</v>
      </c>
      <c r="T55" s="9">
        <f t="shared" si="2"/>
        <v>11713177</v>
      </c>
      <c r="U55" s="9">
        <f t="shared" si="3"/>
        <v>-0.000000001862645149</v>
      </c>
      <c r="V55" s="1"/>
      <c r="W55" s="1"/>
      <c r="X55" s="1"/>
      <c r="Y55" s="1"/>
      <c r="Z55" s="1"/>
    </row>
    <row r="56" ht="15.75" customHeight="1">
      <c r="A56" s="8" t="s">
        <v>60</v>
      </c>
      <c r="B56" s="8" t="s">
        <v>24</v>
      </c>
      <c r="C56" s="1" t="s">
        <v>61</v>
      </c>
      <c r="D56" s="9">
        <v>1.2949E7</v>
      </c>
      <c r="E56" s="3">
        <v>36.0</v>
      </c>
      <c r="F56" s="10">
        <v>1.2949E7</v>
      </c>
      <c r="G56" s="9">
        <v>0.0</v>
      </c>
      <c r="H56" s="9">
        <v>0.0</v>
      </c>
      <c r="I56" s="9">
        <v>0.0</v>
      </c>
      <c r="J56" s="9">
        <v>0.0</v>
      </c>
      <c r="K56" s="9">
        <v>0.0</v>
      </c>
      <c r="L56" s="9">
        <v>0.0</v>
      </c>
      <c r="M56" s="9">
        <v>0.0</v>
      </c>
      <c r="N56" s="9">
        <v>0.0</v>
      </c>
      <c r="O56" s="9">
        <v>0.0</v>
      </c>
      <c r="P56" s="9">
        <v>0.0</v>
      </c>
      <c r="Q56" s="9">
        <v>0.0</v>
      </c>
      <c r="R56" s="9">
        <v>0.0</v>
      </c>
      <c r="S56" s="9">
        <f t="shared" si="1"/>
        <v>0</v>
      </c>
      <c r="T56" s="9">
        <f t="shared" si="2"/>
        <v>12949000</v>
      </c>
      <c r="U56" s="9">
        <f t="shared" si="3"/>
        <v>0</v>
      </c>
      <c r="V56" s="1"/>
      <c r="W56" s="1"/>
      <c r="X56" s="1"/>
      <c r="Y56" s="1"/>
      <c r="Z56" s="1"/>
    </row>
    <row r="57" ht="15.75" customHeight="1">
      <c r="A57" s="8" t="s">
        <v>60</v>
      </c>
      <c r="B57" s="8" t="s">
        <v>62</v>
      </c>
      <c r="C57" s="1" t="s">
        <v>63</v>
      </c>
      <c r="D57" s="9">
        <v>6799000.0</v>
      </c>
      <c r="E57" s="3">
        <v>36.0</v>
      </c>
      <c r="F57" s="10">
        <v>6798999.999999999</v>
      </c>
      <c r="G57" s="9">
        <v>0.0</v>
      </c>
      <c r="H57" s="9">
        <v>0.0</v>
      </c>
      <c r="I57" s="9">
        <v>0.0</v>
      </c>
      <c r="J57" s="9">
        <v>0.0</v>
      </c>
      <c r="K57" s="9">
        <v>0.0</v>
      </c>
      <c r="L57" s="9">
        <v>0.0</v>
      </c>
      <c r="M57" s="9">
        <v>0.0</v>
      </c>
      <c r="N57" s="9">
        <v>0.0</v>
      </c>
      <c r="O57" s="9">
        <v>0.0</v>
      </c>
      <c r="P57" s="9">
        <v>0.0</v>
      </c>
      <c r="Q57" s="9">
        <v>0.0</v>
      </c>
      <c r="R57" s="9">
        <v>0.0</v>
      </c>
      <c r="S57" s="9">
        <f t="shared" si="1"/>
        <v>0</v>
      </c>
      <c r="T57" s="9">
        <f t="shared" si="2"/>
        <v>6799000</v>
      </c>
      <c r="U57" s="9">
        <f t="shared" si="3"/>
        <v>0.0000000009313225746</v>
      </c>
      <c r="V57" s="1"/>
      <c r="W57" s="1"/>
      <c r="X57" s="1"/>
      <c r="Y57" s="1"/>
      <c r="Z57" s="1"/>
    </row>
    <row r="58" ht="15.75" customHeight="1">
      <c r="A58" s="8" t="s">
        <v>60</v>
      </c>
      <c r="B58" s="8" t="s">
        <v>62</v>
      </c>
      <c r="C58" s="1" t="s">
        <v>64</v>
      </c>
      <c r="D58" s="9">
        <f>6250000*2</f>
        <v>12500000</v>
      </c>
      <c r="E58" s="3">
        <v>36.0</v>
      </c>
      <c r="F58" s="10">
        <v>1.2499999999999998E7</v>
      </c>
      <c r="G58" s="9">
        <v>0.0</v>
      </c>
      <c r="H58" s="9">
        <v>0.0</v>
      </c>
      <c r="I58" s="9">
        <v>0.0</v>
      </c>
      <c r="J58" s="9">
        <v>0.0</v>
      </c>
      <c r="K58" s="9">
        <v>0.0</v>
      </c>
      <c r="L58" s="9">
        <v>0.0</v>
      </c>
      <c r="M58" s="9">
        <v>0.0</v>
      </c>
      <c r="N58" s="9">
        <v>0.0</v>
      </c>
      <c r="O58" s="9">
        <v>0.0</v>
      </c>
      <c r="P58" s="9">
        <v>0.0</v>
      </c>
      <c r="Q58" s="9">
        <v>0.0</v>
      </c>
      <c r="R58" s="9">
        <v>0.0</v>
      </c>
      <c r="S58" s="9">
        <f t="shared" si="1"/>
        <v>0</v>
      </c>
      <c r="T58" s="9">
        <f t="shared" si="2"/>
        <v>12500000</v>
      </c>
      <c r="U58" s="9">
        <f t="shared" si="3"/>
        <v>0.000000001862645149</v>
      </c>
      <c r="V58" s="1"/>
      <c r="W58" s="1"/>
      <c r="X58" s="1"/>
      <c r="Y58" s="1"/>
      <c r="Z58" s="1"/>
    </row>
    <row r="59" ht="15.75" customHeight="1">
      <c r="A59" s="8" t="s">
        <v>60</v>
      </c>
      <c r="B59" s="8" t="s">
        <v>30</v>
      </c>
      <c r="C59" s="1" t="s">
        <v>65</v>
      </c>
      <c r="D59" s="9">
        <f>15937500+15937599</f>
        <v>31875099</v>
      </c>
      <c r="E59" s="3">
        <v>36.0</v>
      </c>
      <c r="F59" s="10">
        <v>3.1875099E7</v>
      </c>
      <c r="G59" s="9">
        <v>0.0</v>
      </c>
      <c r="H59" s="9">
        <v>0.0</v>
      </c>
      <c r="I59" s="9">
        <v>0.0</v>
      </c>
      <c r="J59" s="9">
        <v>0.0</v>
      </c>
      <c r="K59" s="9">
        <v>0.0</v>
      </c>
      <c r="L59" s="9">
        <v>0.0</v>
      </c>
      <c r="M59" s="9">
        <v>0.0</v>
      </c>
      <c r="N59" s="9">
        <v>0.0</v>
      </c>
      <c r="O59" s="9">
        <v>0.0</v>
      </c>
      <c r="P59" s="9">
        <v>0.0</v>
      </c>
      <c r="Q59" s="9">
        <v>0.0</v>
      </c>
      <c r="R59" s="9">
        <v>0.0</v>
      </c>
      <c r="S59" s="9">
        <f t="shared" si="1"/>
        <v>0</v>
      </c>
      <c r="T59" s="9">
        <f t="shared" si="2"/>
        <v>31875099</v>
      </c>
      <c r="U59" s="9">
        <f t="shared" si="3"/>
        <v>0</v>
      </c>
      <c r="V59" s="1"/>
      <c r="W59" s="1"/>
      <c r="X59" s="1"/>
      <c r="Y59" s="1"/>
      <c r="Z59" s="1"/>
    </row>
    <row r="60" ht="15.75" customHeight="1">
      <c r="A60" s="8" t="s">
        <v>60</v>
      </c>
      <c r="B60" s="8" t="s">
        <v>22</v>
      </c>
      <c r="C60" s="1" t="s">
        <v>66</v>
      </c>
      <c r="D60" s="9">
        <v>1.42709E7</v>
      </c>
      <c r="E60" s="3">
        <v>36.0</v>
      </c>
      <c r="F60" s="10">
        <v>1.42709E7</v>
      </c>
      <c r="G60" s="9">
        <v>0.0</v>
      </c>
      <c r="H60" s="9">
        <v>0.0</v>
      </c>
      <c r="I60" s="9">
        <v>0.0</v>
      </c>
      <c r="J60" s="9">
        <v>0.0</v>
      </c>
      <c r="K60" s="9">
        <v>0.0</v>
      </c>
      <c r="L60" s="9">
        <v>0.0</v>
      </c>
      <c r="M60" s="9">
        <v>0.0</v>
      </c>
      <c r="N60" s="9">
        <v>0.0</v>
      </c>
      <c r="O60" s="9">
        <v>0.0</v>
      </c>
      <c r="P60" s="9">
        <v>0.0</v>
      </c>
      <c r="Q60" s="9">
        <v>0.0</v>
      </c>
      <c r="R60" s="9">
        <v>0.0</v>
      </c>
      <c r="S60" s="9">
        <f t="shared" si="1"/>
        <v>0</v>
      </c>
      <c r="T60" s="9">
        <f t="shared" si="2"/>
        <v>14270900</v>
      </c>
      <c r="U60" s="9">
        <f t="shared" si="3"/>
        <v>0</v>
      </c>
      <c r="V60" s="1"/>
      <c r="W60" s="1"/>
      <c r="X60" s="1"/>
      <c r="Y60" s="1"/>
      <c r="Z60" s="1"/>
    </row>
    <row r="61" ht="15.75" customHeight="1">
      <c r="A61" s="8" t="s">
        <v>60</v>
      </c>
      <c r="B61" s="8" t="s">
        <v>22</v>
      </c>
      <c r="C61" s="1" t="s">
        <v>66</v>
      </c>
      <c r="D61" s="9">
        <v>1.45589E7</v>
      </c>
      <c r="E61" s="3">
        <v>36.0</v>
      </c>
      <c r="F61" s="10">
        <v>1.45589E7</v>
      </c>
      <c r="G61" s="9">
        <v>0.0</v>
      </c>
      <c r="H61" s="9">
        <v>0.0</v>
      </c>
      <c r="I61" s="9">
        <v>0.0</v>
      </c>
      <c r="J61" s="9">
        <v>0.0</v>
      </c>
      <c r="K61" s="9">
        <v>0.0</v>
      </c>
      <c r="L61" s="9">
        <v>0.0</v>
      </c>
      <c r="M61" s="9">
        <v>0.0</v>
      </c>
      <c r="N61" s="9">
        <v>0.0</v>
      </c>
      <c r="O61" s="9">
        <v>0.0</v>
      </c>
      <c r="P61" s="9">
        <v>0.0</v>
      </c>
      <c r="Q61" s="9">
        <v>0.0</v>
      </c>
      <c r="R61" s="9">
        <v>0.0</v>
      </c>
      <c r="S61" s="9">
        <f t="shared" si="1"/>
        <v>0</v>
      </c>
      <c r="T61" s="9">
        <f t="shared" si="2"/>
        <v>14558900</v>
      </c>
      <c r="U61" s="9">
        <f t="shared" si="3"/>
        <v>0</v>
      </c>
      <c r="V61" s="1"/>
      <c r="W61" s="1"/>
      <c r="X61" s="1"/>
      <c r="Y61" s="1"/>
      <c r="Z61" s="1"/>
    </row>
    <row r="62" ht="15.75" customHeight="1">
      <c r="A62" s="8" t="s">
        <v>60</v>
      </c>
      <c r="B62" s="8" t="s">
        <v>22</v>
      </c>
      <c r="C62" s="1" t="s">
        <v>66</v>
      </c>
      <c r="D62" s="9">
        <v>1.45589E7</v>
      </c>
      <c r="E62" s="3">
        <v>36.0</v>
      </c>
      <c r="F62" s="10">
        <v>1.45589E7</v>
      </c>
      <c r="G62" s="9">
        <v>0.0</v>
      </c>
      <c r="H62" s="9">
        <v>0.0</v>
      </c>
      <c r="I62" s="9">
        <v>0.0</v>
      </c>
      <c r="J62" s="9">
        <v>0.0</v>
      </c>
      <c r="K62" s="9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f t="shared" si="1"/>
        <v>0</v>
      </c>
      <c r="T62" s="9">
        <f t="shared" si="2"/>
        <v>14558900</v>
      </c>
      <c r="U62" s="9">
        <f t="shared" si="3"/>
        <v>0</v>
      </c>
      <c r="V62" s="1"/>
      <c r="W62" s="1"/>
      <c r="X62" s="1"/>
      <c r="Y62" s="1"/>
      <c r="Z62" s="1"/>
    </row>
    <row r="63" ht="15.75" customHeight="1">
      <c r="A63" s="8" t="s">
        <v>60</v>
      </c>
      <c r="B63" s="8" t="s">
        <v>22</v>
      </c>
      <c r="C63" s="1" t="s">
        <v>66</v>
      </c>
      <c r="D63" s="9">
        <v>1.45589E7</v>
      </c>
      <c r="E63" s="3">
        <v>36.0</v>
      </c>
      <c r="F63" s="10">
        <v>1.45589E7</v>
      </c>
      <c r="G63" s="9">
        <v>0.0</v>
      </c>
      <c r="H63" s="9">
        <v>0.0</v>
      </c>
      <c r="I63" s="9">
        <v>0.0</v>
      </c>
      <c r="J63" s="9">
        <v>0.0</v>
      </c>
      <c r="K63" s="9">
        <v>0.0</v>
      </c>
      <c r="L63" s="9">
        <v>0.0</v>
      </c>
      <c r="M63" s="9">
        <v>0.0</v>
      </c>
      <c r="N63" s="9">
        <v>0.0</v>
      </c>
      <c r="O63" s="9">
        <v>0.0</v>
      </c>
      <c r="P63" s="9">
        <v>0.0</v>
      </c>
      <c r="Q63" s="9">
        <v>0.0</v>
      </c>
      <c r="R63" s="9">
        <v>0.0</v>
      </c>
      <c r="S63" s="9">
        <f t="shared" si="1"/>
        <v>0</v>
      </c>
      <c r="T63" s="9">
        <f t="shared" si="2"/>
        <v>14558900</v>
      </c>
      <c r="U63" s="9">
        <f t="shared" si="3"/>
        <v>0</v>
      </c>
      <c r="V63" s="1"/>
      <c r="W63" s="1"/>
      <c r="X63" s="1"/>
      <c r="Y63" s="1"/>
      <c r="Z63" s="1"/>
    </row>
    <row r="64" ht="15.75" customHeight="1">
      <c r="A64" s="8" t="s">
        <v>60</v>
      </c>
      <c r="B64" s="8" t="s">
        <v>22</v>
      </c>
      <c r="C64" s="1" t="s">
        <v>67</v>
      </c>
      <c r="D64" s="9">
        <v>5.1019771E7</v>
      </c>
      <c r="E64" s="3">
        <v>36.0</v>
      </c>
      <c r="F64" s="10">
        <v>5.101977100000001E7</v>
      </c>
      <c r="G64" s="9">
        <v>0.0</v>
      </c>
      <c r="H64" s="9">
        <v>0.0</v>
      </c>
      <c r="I64" s="9">
        <v>0.0</v>
      </c>
      <c r="J64" s="9">
        <v>0.0</v>
      </c>
      <c r="K64" s="9">
        <v>0.0</v>
      </c>
      <c r="L64" s="9">
        <v>0.0</v>
      </c>
      <c r="M64" s="9">
        <v>0.0</v>
      </c>
      <c r="N64" s="9">
        <v>0.0</v>
      </c>
      <c r="O64" s="9">
        <v>0.0</v>
      </c>
      <c r="P64" s="9">
        <v>0.0</v>
      </c>
      <c r="Q64" s="9">
        <v>0.0</v>
      </c>
      <c r="R64" s="9">
        <v>0.0</v>
      </c>
      <c r="S64" s="9">
        <f t="shared" si="1"/>
        <v>0</v>
      </c>
      <c r="T64" s="9">
        <f t="shared" si="2"/>
        <v>51019771</v>
      </c>
      <c r="U64" s="9">
        <f t="shared" si="3"/>
        <v>-0.000000007450580597</v>
      </c>
      <c r="V64" s="1"/>
      <c r="W64" s="1"/>
      <c r="X64" s="1"/>
      <c r="Y64" s="1"/>
      <c r="Z64" s="1"/>
    </row>
    <row r="65" ht="15.75" customHeight="1">
      <c r="A65" s="8" t="s">
        <v>68</v>
      </c>
      <c r="B65" s="8" t="s">
        <v>7</v>
      </c>
      <c r="C65" s="1" t="s">
        <v>65</v>
      </c>
      <c r="D65" s="9">
        <f>6000000+2500000+3000000</f>
        <v>11500000</v>
      </c>
      <c r="E65" s="3">
        <v>36.0</v>
      </c>
      <c r="F65" s="10">
        <v>7666666.333333334</v>
      </c>
      <c r="G65" s="9">
        <f t="shared" ref="G65:R65" si="4">$D$65/$E$65</f>
        <v>319444.4444</v>
      </c>
      <c r="H65" s="9">
        <f t="shared" si="4"/>
        <v>319444.4444</v>
      </c>
      <c r="I65" s="9">
        <f t="shared" si="4"/>
        <v>319444.4444</v>
      </c>
      <c r="J65" s="9">
        <f t="shared" si="4"/>
        <v>319444.4444</v>
      </c>
      <c r="K65" s="9">
        <f t="shared" si="4"/>
        <v>319444.4444</v>
      </c>
      <c r="L65" s="9">
        <f t="shared" si="4"/>
        <v>319444.4444</v>
      </c>
      <c r="M65" s="9">
        <f t="shared" si="4"/>
        <v>319444.4444</v>
      </c>
      <c r="N65" s="9">
        <f t="shared" si="4"/>
        <v>319444.4444</v>
      </c>
      <c r="O65" s="9">
        <f t="shared" si="4"/>
        <v>319444.4444</v>
      </c>
      <c r="P65" s="9">
        <f t="shared" si="4"/>
        <v>319444.4444</v>
      </c>
      <c r="Q65" s="9">
        <f t="shared" si="4"/>
        <v>319444.4444</v>
      </c>
      <c r="R65" s="9">
        <f t="shared" si="4"/>
        <v>319444.4444</v>
      </c>
      <c r="S65" s="9">
        <f t="shared" si="1"/>
        <v>3833333.333</v>
      </c>
      <c r="T65" s="9">
        <f t="shared" si="2"/>
        <v>11499999.67</v>
      </c>
      <c r="U65" s="9">
        <f t="shared" si="3"/>
        <v>0.3333333321</v>
      </c>
      <c r="V65" s="1"/>
      <c r="W65" s="1"/>
      <c r="X65" s="1"/>
      <c r="Y65" s="1"/>
      <c r="Z65" s="1"/>
    </row>
    <row r="66" ht="15.75" customHeight="1">
      <c r="A66" s="8">
        <v>45500.0</v>
      </c>
      <c r="B66" s="8" t="s">
        <v>7</v>
      </c>
      <c r="C66" s="1" t="s">
        <v>69</v>
      </c>
      <c r="D66" s="9">
        <v>2.05E7</v>
      </c>
      <c r="E66" s="3">
        <v>36.0</v>
      </c>
      <c r="F66" s="10">
        <v>1.198611111111111E7</v>
      </c>
      <c r="G66" s="9">
        <f t="shared" ref="G66:R66" si="5">$D$66/$E$66</f>
        <v>569444.4444</v>
      </c>
      <c r="H66" s="9">
        <f t="shared" si="5"/>
        <v>569444.4444</v>
      </c>
      <c r="I66" s="9">
        <f t="shared" si="5"/>
        <v>569444.4444</v>
      </c>
      <c r="J66" s="9">
        <f t="shared" si="5"/>
        <v>569444.4444</v>
      </c>
      <c r="K66" s="9">
        <f t="shared" si="5"/>
        <v>569444.4444</v>
      </c>
      <c r="L66" s="9">
        <f t="shared" si="5"/>
        <v>569444.4444</v>
      </c>
      <c r="M66" s="9">
        <f t="shared" si="5"/>
        <v>569444.4444</v>
      </c>
      <c r="N66" s="9">
        <f t="shared" si="5"/>
        <v>569444.4444</v>
      </c>
      <c r="O66" s="9">
        <f t="shared" si="5"/>
        <v>569444.4444</v>
      </c>
      <c r="P66" s="9">
        <f t="shared" si="5"/>
        <v>569444.4444</v>
      </c>
      <c r="Q66" s="9">
        <f t="shared" si="5"/>
        <v>569444.4444</v>
      </c>
      <c r="R66" s="9">
        <f t="shared" si="5"/>
        <v>569444.4444</v>
      </c>
      <c r="S66" s="9">
        <f t="shared" si="1"/>
        <v>6833333.333</v>
      </c>
      <c r="T66" s="9">
        <f t="shared" si="2"/>
        <v>18819444.44</v>
      </c>
      <c r="U66" s="9">
        <f t="shared" si="3"/>
        <v>1680555.556</v>
      </c>
      <c r="V66" s="1"/>
      <c r="W66" s="1"/>
      <c r="X66" s="1"/>
      <c r="Y66" s="1"/>
      <c r="Z66" s="1"/>
    </row>
    <row r="67" ht="15.75" customHeight="1">
      <c r="A67" s="8">
        <v>45629.0</v>
      </c>
      <c r="B67" s="8" t="s">
        <v>7</v>
      </c>
      <c r="C67" s="1" t="s">
        <v>70</v>
      </c>
      <c r="D67" s="9">
        <v>1.5E7</v>
      </c>
      <c r="E67" s="3">
        <v>36.0</v>
      </c>
      <c r="F67" s="10">
        <v>1.0E7</v>
      </c>
      <c r="G67" s="9">
        <f t="shared" ref="G67:R67" si="6">$D$67/$E$67</f>
        <v>416666.6667</v>
      </c>
      <c r="H67" s="9">
        <f t="shared" si="6"/>
        <v>416666.6667</v>
      </c>
      <c r="I67" s="9">
        <f t="shared" si="6"/>
        <v>416666.6667</v>
      </c>
      <c r="J67" s="9">
        <f t="shared" si="6"/>
        <v>416666.6667</v>
      </c>
      <c r="K67" s="9">
        <f t="shared" si="6"/>
        <v>416666.6667</v>
      </c>
      <c r="L67" s="9">
        <f t="shared" si="6"/>
        <v>416666.6667</v>
      </c>
      <c r="M67" s="9">
        <f t="shared" si="6"/>
        <v>416666.6667</v>
      </c>
      <c r="N67" s="9">
        <f t="shared" si="6"/>
        <v>416666.6667</v>
      </c>
      <c r="O67" s="9">
        <f t="shared" si="6"/>
        <v>416666.6667</v>
      </c>
      <c r="P67" s="9">
        <f t="shared" si="6"/>
        <v>416666.6667</v>
      </c>
      <c r="Q67" s="9">
        <f t="shared" si="6"/>
        <v>416666.6667</v>
      </c>
      <c r="R67" s="9">
        <f t="shared" si="6"/>
        <v>416666.6667</v>
      </c>
      <c r="S67" s="9">
        <f t="shared" si="1"/>
        <v>5000000</v>
      </c>
      <c r="T67" s="9">
        <f t="shared" si="2"/>
        <v>15000000</v>
      </c>
      <c r="U67" s="9">
        <f t="shared" si="3"/>
        <v>0</v>
      </c>
      <c r="V67" s="1"/>
      <c r="W67" s="1"/>
      <c r="X67" s="1"/>
      <c r="Y67" s="1"/>
      <c r="Z67" s="1"/>
    </row>
    <row r="68" ht="15.75" customHeight="1">
      <c r="A68" s="8">
        <v>45316.0</v>
      </c>
      <c r="B68" s="8" t="s">
        <v>7</v>
      </c>
      <c r="C68" s="1" t="s">
        <v>71</v>
      </c>
      <c r="D68" s="9">
        <v>2.125E7</v>
      </c>
      <c r="E68" s="3">
        <v>36.0</v>
      </c>
      <c r="F68" s="10">
        <v>1.416666666666667E7</v>
      </c>
      <c r="G68" s="9">
        <f t="shared" ref="G68:R68" si="7">$D$68/$E$68</f>
        <v>590277.7778</v>
      </c>
      <c r="H68" s="9">
        <f t="shared" si="7"/>
        <v>590277.7778</v>
      </c>
      <c r="I68" s="9">
        <f t="shared" si="7"/>
        <v>590277.7778</v>
      </c>
      <c r="J68" s="9">
        <f t="shared" si="7"/>
        <v>590277.7778</v>
      </c>
      <c r="K68" s="9">
        <f t="shared" si="7"/>
        <v>590277.7778</v>
      </c>
      <c r="L68" s="9">
        <f t="shared" si="7"/>
        <v>590277.7778</v>
      </c>
      <c r="M68" s="9">
        <f t="shared" si="7"/>
        <v>590277.7778</v>
      </c>
      <c r="N68" s="9">
        <f t="shared" si="7"/>
        <v>590277.7778</v>
      </c>
      <c r="O68" s="9">
        <f t="shared" si="7"/>
        <v>590277.7778</v>
      </c>
      <c r="P68" s="9">
        <f t="shared" si="7"/>
        <v>590277.7778</v>
      </c>
      <c r="Q68" s="9">
        <f t="shared" si="7"/>
        <v>590277.7778</v>
      </c>
      <c r="R68" s="9">
        <f t="shared" si="7"/>
        <v>590277.7778</v>
      </c>
      <c r="S68" s="9">
        <f t="shared" si="1"/>
        <v>7083333.333</v>
      </c>
      <c r="T68" s="9">
        <f t="shared" si="2"/>
        <v>21250000</v>
      </c>
      <c r="U68" s="9">
        <f t="shared" si="3"/>
        <v>-0.000000003725290298</v>
      </c>
      <c r="V68" s="1"/>
      <c r="W68" s="1"/>
      <c r="X68" s="1"/>
      <c r="Y68" s="1"/>
      <c r="Z68" s="1"/>
    </row>
    <row r="69" ht="15.75" customHeight="1">
      <c r="A69" s="8">
        <v>45386.0</v>
      </c>
      <c r="B69" s="8" t="s">
        <v>7</v>
      </c>
      <c r="C69" s="1" t="s">
        <v>72</v>
      </c>
      <c r="D69" s="9">
        <v>2.125E7</v>
      </c>
      <c r="E69" s="3">
        <v>36.0</v>
      </c>
      <c r="F69" s="10">
        <v>1.416666666666667E7</v>
      </c>
      <c r="G69" s="9">
        <f t="shared" ref="G69:R69" si="8">$D$69/$E$69</f>
        <v>590277.7778</v>
      </c>
      <c r="H69" s="9">
        <f t="shared" si="8"/>
        <v>590277.7778</v>
      </c>
      <c r="I69" s="9">
        <f t="shared" si="8"/>
        <v>590277.7778</v>
      </c>
      <c r="J69" s="9">
        <f t="shared" si="8"/>
        <v>590277.7778</v>
      </c>
      <c r="K69" s="9">
        <f t="shared" si="8"/>
        <v>590277.7778</v>
      </c>
      <c r="L69" s="9">
        <f t="shared" si="8"/>
        <v>590277.7778</v>
      </c>
      <c r="M69" s="9">
        <f t="shared" si="8"/>
        <v>590277.7778</v>
      </c>
      <c r="N69" s="9">
        <f t="shared" si="8"/>
        <v>590277.7778</v>
      </c>
      <c r="O69" s="9">
        <f t="shared" si="8"/>
        <v>590277.7778</v>
      </c>
      <c r="P69" s="9">
        <f t="shared" si="8"/>
        <v>590277.7778</v>
      </c>
      <c r="Q69" s="9">
        <f t="shared" si="8"/>
        <v>590277.7778</v>
      </c>
      <c r="R69" s="9">
        <f t="shared" si="8"/>
        <v>590277.7778</v>
      </c>
      <c r="S69" s="9">
        <f t="shared" si="1"/>
        <v>7083333.333</v>
      </c>
      <c r="T69" s="9">
        <f t="shared" si="2"/>
        <v>21250000</v>
      </c>
      <c r="U69" s="9">
        <f t="shared" si="3"/>
        <v>-0.000000003725290298</v>
      </c>
      <c r="V69" s="1"/>
      <c r="W69" s="1"/>
      <c r="X69" s="1"/>
      <c r="Y69" s="1"/>
      <c r="Z69" s="1"/>
    </row>
    <row r="70" ht="15.75" customHeight="1">
      <c r="A70" s="8" t="s">
        <v>7</v>
      </c>
      <c r="B70" s="8" t="s">
        <v>7</v>
      </c>
      <c r="C70" s="1" t="s">
        <v>73</v>
      </c>
      <c r="D70" s="11">
        <v>4.237254E7</v>
      </c>
      <c r="E70" s="3">
        <v>36.0</v>
      </c>
      <c r="F70" s="10">
        <v>2.824836E7</v>
      </c>
      <c r="G70" s="9">
        <f t="shared" ref="G70:R70" si="9">$D$70/$E$70</f>
        <v>1177015</v>
      </c>
      <c r="H70" s="9">
        <f t="shared" si="9"/>
        <v>1177015</v>
      </c>
      <c r="I70" s="9">
        <f t="shared" si="9"/>
        <v>1177015</v>
      </c>
      <c r="J70" s="9">
        <f t="shared" si="9"/>
        <v>1177015</v>
      </c>
      <c r="K70" s="9">
        <f t="shared" si="9"/>
        <v>1177015</v>
      </c>
      <c r="L70" s="9">
        <f t="shared" si="9"/>
        <v>1177015</v>
      </c>
      <c r="M70" s="9">
        <f t="shared" si="9"/>
        <v>1177015</v>
      </c>
      <c r="N70" s="9">
        <f t="shared" si="9"/>
        <v>1177015</v>
      </c>
      <c r="O70" s="9">
        <f t="shared" si="9"/>
        <v>1177015</v>
      </c>
      <c r="P70" s="9">
        <f t="shared" si="9"/>
        <v>1177015</v>
      </c>
      <c r="Q70" s="9">
        <f t="shared" si="9"/>
        <v>1177015</v>
      </c>
      <c r="R70" s="9">
        <f t="shared" si="9"/>
        <v>1177015</v>
      </c>
      <c r="S70" s="9">
        <f t="shared" si="1"/>
        <v>14124180</v>
      </c>
      <c r="T70" s="9">
        <f t="shared" si="2"/>
        <v>42372540</v>
      </c>
      <c r="U70" s="9">
        <f t="shared" si="3"/>
        <v>0</v>
      </c>
      <c r="V70" s="1"/>
      <c r="W70" s="1"/>
      <c r="X70" s="1"/>
      <c r="Y70" s="1"/>
      <c r="Z70" s="1"/>
    </row>
    <row r="71" ht="15.75" customHeight="1">
      <c r="A71" s="8" t="s">
        <v>7</v>
      </c>
      <c r="B71" s="8" t="s">
        <v>7</v>
      </c>
      <c r="C71" s="1" t="s">
        <v>74</v>
      </c>
      <c r="D71" s="11">
        <v>3.4448722E7</v>
      </c>
      <c r="E71" s="3">
        <v>36.0</v>
      </c>
      <c r="F71" s="10">
        <v>2.296581466666666E7</v>
      </c>
      <c r="G71" s="9">
        <f t="shared" ref="G71:R71" si="10">$D$71/$E$71</f>
        <v>956908.9444</v>
      </c>
      <c r="H71" s="9">
        <f t="shared" si="10"/>
        <v>956908.9444</v>
      </c>
      <c r="I71" s="9">
        <f t="shared" si="10"/>
        <v>956908.9444</v>
      </c>
      <c r="J71" s="9">
        <f t="shared" si="10"/>
        <v>956908.9444</v>
      </c>
      <c r="K71" s="9">
        <f t="shared" si="10"/>
        <v>956908.9444</v>
      </c>
      <c r="L71" s="9">
        <f t="shared" si="10"/>
        <v>956908.9444</v>
      </c>
      <c r="M71" s="9">
        <f t="shared" si="10"/>
        <v>956908.9444</v>
      </c>
      <c r="N71" s="9">
        <f t="shared" si="10"/>
        <v>956908.9444</v>
      </c>
      <c r="O71" s="9">
        <f t="shared" si="10"/>
        <v>956908.9444</v>
      </c>
      <c r="P71" s="9">
        <f t="shared" si="10"/>
        <v>956908.9444</v>
      </c>
      <c r="Q71" s="9">
        <f t="shared" si="10"/>
        <v>956908.9444</v>
      </c>
      <c r="R71" s="9">
        <f t="shared" si="10"/>
        <v>956908.9444</v>
      </c>
      <c r="S71" s="9">
        <f t="shared" si="1"/>
        <v>11482907.33</v>
      </c>
      <c r="T71" s="9">
        <f t="shared" si="2"/>
        <v>34448722</v>
      </c>
      <c r="U71" s="9">
        <f t="shared" si="3"/>
        <v>0.000000007450580597</v>
      </c>
      <c r="V71" s="1"/>
      <c r="W71" s="1"/>
      <c r="X71" s="1"/>
      <c r="Y71" s="1"/>
      <c r="Z71" s="1"/>
    </row>
    <row r="72" ht="15.75" customHeight="1">
      <c r="A72" s="8" t="s">
        <v>7</v>
      </c>
      <c r="B72" s="8" t="s">
        <v>7</v>
      </c>
      <c r="C72" s="1" t="s">
        <v>75</v>
      </c>
      <c r="D72" s="11">
        <v>7107000.0</v>
      </c>
      <c r="E72" s="3">
        <v>36.0</v>
      </c>
      <c r="F72" s="10">
        <v>4738000.0</v>
      </c>
      <c r="G72" s="9">
        <f t="shared" ref="G72:R72" si="11">$D$72/$E$72</f>
        <v>197416.6667</v>
      </c>
      <c r="H72" s="9">
        <f t="shared" si="11"/>
        <v>197416.6667</v>
      </c>
      <c r="I72" s="9">
        <f t="shared" si="11"/>
        <v>197416.6667</v>
      </c>
      <c r="J72" s="9">
        <f t="shared" si="11"/>
        <v>197416.6667</v>
      </c>
      <c r="K72" s="9">
        <f t="shared" si="11"/>
        <v>197416.6667</v>
      </c>
      <c r="L72" s="9">
        <f t="shared" si="11"/>
        <v>197416.6667</v>
      </c>
      <c r="M72" s="9">
        <f t="shared" si="11"/>
        <v>197416.6667</v>
      </c>
      <c r="N72" s="9">
        <f t="shared" si="11"/>
        <v>197416.6667</v>
      </c>
      <c r="O72" s="9">
        <f t="shared" si="11"/>
        <v>197416.6667</v>
      </c>
      <c r="P72" s="9">
        <f t="shared" si="11"/>
        <v>197416.6667</v>
      </c>
      <c r="Q72" s="9">
        <f t="shared" si="11"/>
        <v>197416.6667</v>
      </c>
      <c r="R72" s="9">
        <f t="shared" si="11"/>
        <v>197416.6667</v>
      </c>
      <c r="S72" s="9">
        <f t="shared" si="1"/>
        <v>2369000</v>
      </c>
      <c r="T72" s="9">
        <f t="shared" si="2"/>
        <v>7107000</v>
      </c>
      <c r="U72" s="9">
        <f t="shared" si="3"/>
        <v>0</v>
      </c>
      <c r="V72" s="1"/>
      <c r="W72" s="1"/>
      <c r="X72" s="1"/>
      <c r="Y72" s="1"/>
      <c r="Z72" s="1"/>
    </row>
    <row r="73" ht="15.75" customHeight="1">
      <c r="A73" s="8" t="s">
        <v>7</v>
      </c>
      <c r="B73" s="8" t="s">
        <v>7</v>
      </c>
      <c r="C73" s="1" t="s">
        <v>76</v>
      </c>
      <c r="D73" s="11">
        <v>2120400.0</v>
      </c>
      <c r="E73" s="3">
        <v>36.0</v>
      </c>
      <c r="F73" s="10">
        <v>1413600.0</v>
      </c>
      <c r="G73" s="9">
        <f t="shared" ref="G73:R73" si="12">$D$73/$E$73</f>
        <v>58900</v>
      </c>
      <c r="H73" s="9">
        <f t="shared" si="12"/>
        <v>58900</v>
      </c>
      <c r="I73" s="9">
        <f t="shared" si="12"/>
        <v>58900</v>
      </c>
      <c r="J73" s="9">
        <f t="shared" si="12"/>
        <v>58900</v>
      </c>
      <c r="K73" s="9">
        <f t="shared" si="12"/>
        <v>58900</v>
      </c>
      <c r="L73" s="9">
        <f t="shared" si="12"/>
        <v>58900</v>
      </c>
      <c r="M73" s="9">
        <f t="shared" si="12"/>
        <v>58900</v>
      </c>
      <c r="N73" s="9">
        <f t="shared" si="12"/>
        <v>58900</v>
      </c>
      <c r="O73" s="9">
        <f t="shared" si="12"/>
        <v>58900</v>
      </c>
      <c r="P73" s="9">
        <f t="shared" si="12"/>
        <v>58900</v>
      </c>
      <c r="Q73" s="9">
        <f t="shared" si="12"/>
        <v>58900</v>
      </c>
      <c r="R73" s="9">
        <f t="shared" si="12"/>
        <v>58900</v>
      </c>
      <c r="S73" s="9">
        <f t="shared" si="1"/>
        <v>706800</v>
      </c>
      <c r="T73" s="9">
        <f t="shared" si="2"/>
        <v>2120400</v>
      </c>
      <c r="U73" s="9">
        <f t="shared" si="3"/>
        <v>0</v>
      </c>
      <c r="V73" s="1"/>
      <c r="W73" s="1"/>
      <c r="X73" s="1"/>
      <c r="Y73" s="1"/>
      <c r="Z73" s="1"/>
    </row>
    <row r="74" ht="15.75" customHeight="1">
      <c r="A74" s="8" t="s">
        <v>7</v>
      </c>
      <c r="B74" s="8" t="s">
        <v>7</v>
      </c>
      <c r="C74" s="1" t="s">
        <v>77</v>
      </c>
      <c r="D74" s="11">
        <v>4001550.0</v>
      </c>
      <c r="E74" s="3">
        <v>36.0</v>
      </c>
      <c r="F74" s="10">
        <v>2667700.0</v>
      </c>
      <c r="G74" s="9">
        <f t="shared" ref="G74:R74" si="13">$D$74/$E$74</f>
        <v>111154.1667</v>
      </c>
      <c r="H74" s="9">
        <f t="shared" si="13"/>
        <v>111154.1667</v>
      </c>
      <c r="I74" s="9">
        <f t="shared" si="13"/>
        <v>111154.1667</v>
      </c>
      <c r="J74" s="9">
        <f t="shared" si="13"/>
        <v>111154.1667</v>
      </c>
      <c r="K74" s="9">
        <f t="shared" si="13"/>
        <v>111154.1667</v>
      </c>
      <c r="L74" s="9">
        <f t="shared" si="13"/>
        <v>111154.1667</v>
      </c>
      <c r="M74" s="9">
        <f t="shared" si="13"/>
        <v>111154.1667</v>
      </c>
      <c r="N74" s="9">
        <f t="shared" si="13"/>
        <v>111154.1667</v>
      </c>
      <c r="O74" s="9">
        <f t="shared" si="13"/>
        <v>111154.1667</v>
      </c>
      <c r="P74" s="9">
        <f t="shared" si="13"/>
        <v>111154.1667</v>
      </c>
      <c r="Q74" s="9">
        <f t="shared" si="13"/>
        <v>111154.1667</v>
      </c>
      <c r="R74" s="9">
        <f t="shared" si="13"/>
        <v>111154.1667</v>
      </c>
      <c r="S74" s="9">
        <f t="shared" si="1"/>
        <v>1333850</v>
      </c>
      <c r="T74" s="9">
        <f t="shared" si="2"/>
        <v>4001550</v>
      </c>
      <c r="U74" s="9">
        <f t="shared" si="3"/>
        <v>0</v>
      </c>
      <c r="V74" s="1"/>
      <c r="W74" s="1"/>
      <c r="X74" s="1"/>
      <c r="Y74" s="1"/>
      <c r="Z74" s="1"/>
    </row>
    <row r="75" ht="15.75" customHeight="1">
      <c r="A75" s="8" t="s">
        <v>78</v>
      </c>
      <c r="B75" s="8" t="s">
        <v>7</v>
      </c>
      <c r="C75" s="1" t="s">
        <v>79</v>
      </c>
      <c r="D75" s="9">
        <v>1.3530726E7</v>
      </c>
      <c r="E75" s="3">
        <v>36.0</v>
      </c>
      <c r="F75" s="10">
        <v>4510242.0</v>
      </c>
      <c r="G75" s="10">
        <f t="shared" ref="G75:R75" si="14">$D$75/$E$75</f>
        <v>375853.5</v>
      </c>
      <c r="H75" s="10">
        <f t="shared" si="14"/>
        <v>375853.5</v>
      </c>
      <c r="I75" s="10">
        <f t="shared" si="14"/>
        <v>375853.5</v>
      </c>
      <c r="J75" s="10">
        <f t="shared" si="14"/>
        <v>375853.5</v>
      </c>
      <c r="K75" s="10">
        <f t="shared" si="14"/>
        <v>375853.5</v>
      </c>
      <c r="L75" s="10">
        <f t="shared" si="14"/>
        <v>375853.5</v>
      </c>
      <c r="M75" s="10">
        <f t="shared" si="14"/>
        <v>375853.5</v>
      </c>
      <c r="N75" s="10">
        <f t="shared" si="14"/>
        <v>375853.5</v>
      </c>
      <c r="O75" s="10">
        <f t="shared" si="14"/>
        <v>375853.5</v>
      </c>
      <c r="P75" s="10">
        <f t="shared" si="14"/>
        <v>375853.5</v>
      </c>
      <c r="Q75" s="10">
        <f t="shared" si="14"/>
        <v>375853.5</v>
      </c>
      <c r="R75" s="10">
        <f t="shared" si="14"/>
        <v>375853.5</v>
      </c>
      <c r="S75" s="9">
        <f t="shared" si="1"/>
        <v>4510242</v>
      </c>
      <c r="T75" s="9">
        <f t="shared" si="2"/>
        <v>9020484</v>
      </c>
      <c r="U75" s="9">
        <f t="shared" si="3"/>
        <v>4510242</v>
      </c>
      <c r="V75" s="1"/>
      <c r="W75" s="1"/>
      <c r="X75" s="1"/>
      <c r="Y75" s="1"/>
      <c r="Z75" s="1"/>
    </row>
    <row r="76" ht="15.75" customHeight="1">
      <c r="A76" s="8" t="s">
        <v>78</v>
      </c>
      <c r="B76" s="8" t="s">
        <v>7</v>
      </c>
      <c r="C76" s="1" t="s">
        <v>80</v>
      </c>
      <c r="D76" s="9">
        <v>1.5E7</v>
      </c>
      <c r="E76" s="3">
        <v>36.0</v>
      </c>
      <c r="F76" s="10">
        <v>5000000.0</v>
      </c>
      <c r="G76" s="10">
        <f t="shared" ref="G76:R76" si="15">$D$76/$E$76</f>
        <v>416666.6667</v>
      </c>
      <c r="H76" s="10">
        <f t="shared" si="15"/>
        <v>416666.6667</v>
      </c>
      <c r="I76" s="10">
        <f t="shared" si="15"/>
        <v>416666.6667</v>
      </c>
      <c r="J76" s="10">
        <f t="shared" si="15"/>
        <v>416666.6667</v>
      </c>
      <c r="K76" s="10">
        <f t="shared" si="15"/>
        <v>416666.6667</v>
      </c>
      <c r="L76" s="10">
        <f t="shared" si="15"/>
        <v>416666.6667</v>
      </c>
      <c r="M76" s="10">
        <f t="shared" si="15"/>
        <v>416666.6667</v>
      </c>
      <c r="N76" s="10">
        <f t="shared" si="15"/>
        <v>416666.6667</v>
      </c>
      <c r="O76" s="10">
        <f t="shared" si="15"/>
        <v>416666.6667</v>
      </c>
      <c r="P76" s="10">
        <f t="shared" si="15"/>
        <v>416666.6667</v>
      </c>
      <c r="Q76" s="10">
        <f t="shared" si="15"/>
        <v>416666.6667</v>
      </c>
      <c r="R76" s="10">
        <f t="shared" si="15"/>
        <v>416666.6667</v>
      </c>
      <c r="S76" s="9">
        <f t="shared" si="1"/>
        <v>5000000</v>
      </c>
      <c r="T76" s="9">
        <f t="shared" si="2"/>
        <v>10000000</v>
      </c>
      <c r="U76" s="9">
        <f t="shared" si="3"/>
        <v>5000000</v>
      </c>
      <c r="V76" s="1"/>
      <c r="W76" s="1"/>
      <c r="X76" s="1"/>
      <c r="Y76" s="1"/>
      <c r="Z76" s="1"/>
    </row>
    <row r="77" ht="15.75" customHeight="1">
      <c r="A77" s="8" t="s">
        <v>78</v>
      </c>
      <c r="B77" s="8" t="s">
        <v>7</v>
      </c>
      <c r="C77" s="1" t="s">
        <v>81</v>
      </c>
      <c r="D77" s="9">
        <v>4.1529E7</v>
      </c>
      <c r="E77" s="3">
        <v>36.0</v>
      </c>
      <c r="F77" s="10">
        <v>1.3843000000000002E7</v>
      </c>
      <c r="G77" s="10">
        <f t="shared" ref="G77:R77" si="16">$D$77/$E$77</f>
        <v>1153583.333</v>
      </c>
      <c r="H77" s="10">
        <f t="shared" si="16"/>
        <v>1153583.333</v>
      </c>
      <c r="I77" s="10">
        <f t="shared" si="16"/>
        <v>1153583.333</v>
      </c>
      <c r="J77" s="10">
        <f t="shared" si="16"/>
        <v>1153583.333</v>
      </c>
      <c r="K77" s="10">
        <f t="shared" si="16"/>
        <v>1153583.333</v>
      </c>
      <c r="L77" s="10">
        <f t="shared" si="16"/>
        <v>1153583.333</v>
      </c>
      <c r="M77" s="10">
        <f t="shared" si="16"/>
        <v>1153583.333</v>
      </c>
      <c r="N77" s="10">
        <f t="shared" si="16"/>
        <v>1153583.333</v>
      </c>
      <c r="O77" s="10">
        <f t="shared" si="16"/>
        <v>1153583.333</v>
      </c>
      <c r="P77" s="10">
        <f t="shared" si="16"/>
        <v>1153583.333</v>
      </c>
      <c r="Q77" s="10">
        <f t="shared" si="16"/>
        <v>1153583.333</v>
      </c>
      <c r="R77" s="10">
        <f t="shared" si="16"/>
        <v>1153583.333</v>
      </c>
      <c r="S77" s="9">
        <f t="shared" si="1"/>
        <v>13843000</v>
      </c>
      <c r="T77" s="9">
        <f t="shared" si="2"/>
        <v>27686000</v>
      </c>
      <c r="U77" s="9">
        <f t="shared" si="3"/>
        <v>13843000</v>
      </c>
      <c r="V77" s="1"/>
      <c r="W77" s="1"/>
      <c r="X77" s="1"/>
      <c r="Y77" s="1"/>
      <c r="Z77" s="1"/>
    </row>
    <row r="78" ht="15.75" customHeight="1">
      <c r="A78" s="8" t="s">
        <v>78</v>
      </c>
      <c r="B78" s="8" t="s">
        <v>7</v>
      </c>
      <c r="C78" s="1" t="s">
        <v>82</v>
      </c>
      <c r="D78" s="9">
        <v>1.0071171E7</v>
      </c>
      <c r="E78" s="3">
        <v>36.0</v>
      </c>
      <c r="F78" s="10">
        <v>3357057.0</v>
      </c>
      <c r="G78" s="10">
        <f t="shared" ref="G78:R78" si="17">$D$78/$E$78</f>
        <v>279754.75</v>
      </c>
      <c r="H78" s="10">
        <f t="shared" si="17"/>
        <v>279754.75</v>
      </c>
      <c r="I78" s="10">
        <f t="shared" si="17"/>
        <v>279754.75</v>
      </c>
      <c r="J78" s="10">
        <f t="shared" si="17"/>
        <v>279754.75</v>
      </c>
      <c r="K78" s="10">
        <f t="shared" si="17"/>
        <v>279754.75</v>
      </c>
      <c r="L78" s="10">
        <f t="shared" si="17"/>
        <v>279754.75</v>
      </c>
      <c r="M78" s="10">
        <f t="shared" si="17"/>
        <v>279754.75</v>
      </c>
      <c r="N78" s="10">
        <f t="shared" si="17"/>
        <v>279754.75</v>
      </c>
      <c r="O78" s="10">
        <f t="shared" si="17"/>
        <v>279754.75</v>
      </c>
      <c r="P78" s="10">
        <f t="shared" si="17"/>
        <v>279754.75</v>
      </c>
      <c r="Q78" s="10">
        <f t="shared" si="17"/>
        <v>279754.75</v>
      </c>
      <c r="R78" s="10">
        <f t="shared" si="17"/>
        <v>279754.75</v>
      </c>
      <c r="S78" s="9">
        <f t="shared" si="1"/>
        <v>3357057</v>
      </c>
      <c r="T78" s="9">
        <f t="shared" si="2"/>
        <v>6714114</v>
      </c>
      <c r="U78" s="9">
        <f t="shared" si="3"/>
        <v>3357057</v>
      </c>
      <c r="V78" s="1"/>
      <c r="W78" s="1"/>
      <c r="X78" s="1"/>
      <c r="Y78" s="1"/>
      <c r="Z78" s="1"/>
    </row>
    <row r="79" ht="15.75" customHeight="1">
      <c r="A79" s="8" t="s">
        <v>78</v>
      </c>
      <c r="B79" s="8" t="s">
        <v>83</v>
      </c>
      <c r="C79" s="1" t="s">
        <v>84</v>
      </c>
      <c r="D79" s="9">
        <v>9260360.0</v>
      </c>
      <c r="E79" s="3">
        <v>36.0</v>
      </c>
      <c r="F79" s="10">
        <v>3086786.666666666</v>
      </c>
      <c r="G79" s="10">
        <f t="shared" ref="G79:R79" si="18">$D$79/$E$79</f>
        <v>257232.2222</v>
      </c>
      <c r="H79" s="10">
        <f t="shared" si="18"/>
        <v>257232.2222</v>
      </c>
      <c r="I79" s="10">
        <f t="shared" si="18"/>
        <v>257232.2222</v>
      </c>
      <c r="J79" s="10">
        <f t="shared" si="18"/>
        <v>257232.2222</v>
      </c>
      <c r="K79" s="10">
        <f t="shared" si="18"/>
        <v>257232.2222</v>
      </c>
      <c r="L79" s="10">
        <f t="shared" si="18"/>
        <v>257232.2222</v>
      </c>
      <c r="M79" s="10">
        <f t="shared" si="18"/>
        <v>257232.2222</v>
      </c>
      <c r="N79" s="10">
        <f t="shared" si="18"/>
        <v>257232.2222</v>
      </c>
      <c r="O79" s="10">
        <f t="shared" si="18"/>
        <v>257232.2222</v>
      </c>
      <c r="P79" s="10">
        <f t="shared" si="18"/>
        <v>257232.2222</v>
      </c>
      <c r="Q79" s="10">
        <f t="shared" si="18"/>
        <v>257232.2222</v>
      </c>
      <c r="R79" s="10">
        <f t="shared" si="18"/>
        <v>257232.2222</v>
      </c>
      <c r="S79" s="9">
        <f t="shared" si="1"/>
        <v>3086786.667</v>
      </c>
      <c r="T79" s="9">
        <f t="shared" si="2"/>
        <v>6173573.333</v>
      </c>
      <c r="U79" s="9">
        <f t="shared" si="3"/>
        <v>3086786.667</v>
      </c>
      <c r="V79" s="1"/>
      <c r="W79" s="1"/>
      <c r="X79" s="1"/>
      <c r="Y79" s="1"/>
      <c r="Z79" s="1"/>
    </row>
    <row r="80" ht="15.75" customHeight="1">
      <c r="A80" s="8" t="s">
        <v>78</v>
      </c>
      <c r="B80" s="8" t="s">
        <v>7</v>
      </c>
      <c r="C80" s="1" t="s">
        <v>85</v>
      </c>
      <c r="D80" s="9">
        <v>1.2255035E7</v>
      </c>
      <c r="E80" s="3">
        <v>36.0</v>
      </c>
      <c r="F80" s="10">
        <v>4085011.6666666674</v>
      </c>
      <c r="G80" s="10">
        <f t="shared" ref="G80:R80" si="19">$D$80/$E$80</f>
        <v>340417.6389</v>
      </c>
      <c r="H80" s="10">
        <f t="shared" si="19"/>
        <v>340417.6389</v>
      </c>
      <c r="I80" s="10">
        <f t="shared" si="19"/>
        <v>340417.6389</v>
      </c>
      <c r="J80" s="10">
        <f t="shared" si="19"/>
        <v>340417.6389</v>
      </c>
      <c r="K80" s="10">
        <f t="shared" si="19"/>
        <v>340417.6389</v>
      </c>
      <c r="L80" s="10">
        <f t="shared" si="19"/>
        <v>340417.6389</v>
      </c>
      <c r="M80" s="10">
        <f t="shared" si="19"/>
        <v>340417.6389</v>
      </c>
      <c r="N80" s="10">
        <f t="shared" si="19"/>
        <v>340417.6389</v>
      </c>
      <c r="O80" s="10">
        <f t="shared" si="19"/>
        <v>340417.6389</v>
      </c>
      <c r="P80" s="10">
        <f t="shared" si="19"/>
        <v>340417.6389</v>
      </c>
      <c r="Q80" s="10">
        <f t="shared" si="19"/>
        <v>340417.6389</v>
      </c>
      <c r="R80" s="10">
        <f t="shared" si="19"/>
        <v>340417.6389</v>
      </c>
      <c r="S80" s="9">
        <f t="shared" si="1"/>
        <v>4085011.667</v>
      </c>
      <c r="T80" s="9">
        <f t="shared" si="2"/>
        <v>8170023.333</v>
      </c>
      <c r="U80" s="9">
        <f t="shared" si="3"/>
        <v>4085011.667</v>
      </c>
      <c r="V80" s="1"/>
      <c r="W80" s="1"/>
      <c r="X80" s="1"/>
      <c r="Y80" s="1"/>
      <c r="Z80" s="1"/>
    </row>
    <row r="81" ht="15.75" customHeight="1">
      <c r="A81" s="8" t="s">
        <v>78</v>
      </c>
      <c r="B81" s="8" t="s">
        <v>7</v>
      </c>
      <c r="C81" s="1" t="s">
        <v>86</v>
      </c>
      <c r="D81" s="9">
        <v>1.2255035E7</v>
      </c>
      <c r="E81" s="3">
        <v>36.0</v>
      </c>
      <c r="F81" s="10">
        <v>4085011.6666666674</v>
      </c>
      <c r="G81" s="10">
        <f t="shared" ref="G81:R81" si="20">$D$81/$E$81</f>
        <v>340417.6389</v>
      </c>
      <c r="H81" s="10">
        <f t="shared" si="20"/>
        <v>340417.6389</v>
      </c>
      <c r="I81" s="10">
        <f t="shared" si="20"/>
        <v>340417.6389</v>
      </c>
      <c r="J81" s="10">
        <f t="shared" si="20"/>
        <v>340417.6389</v>
      </c>
      <c r="K81" s="10">
        <f t="shared" si="20"/>
        <v>340417.6389</v>
      </c>
      <c r="L81" s="10">
        <f t="shared" si="20"/>
        <v>340417.6389</v>
      </c>
      <c r="M81" s="10">
        <f t="shared" si="20"/>
        <v>340417.6389</v>
      </c>
      <c r="N81" s="10">
        <f t="shared" si="20"/>
        <v>340417.6389</v>
      </c>
      <c r="O81" s="10">
        <f t="shared" si="20"/>
        <v>340417.6389</v>
      </c>
      <c r="P81" s="10">
        <f t="shared" si="20"/>
        <v>340417.6389</v>
      </c>
      <c r="Q81" s="10">
        <f t="shared" si="20"/>
        <v>340417.6389</v>
      </c>
      <c r="R81" s="10">
        <f t="shared" si="20"/>
        <v>340417.6389</v>
      </c>
      <c r="S81" s="9">
        <f t="shared" si="1"/>
        <v>4085011.667</v>
      </c>
      <c r="T81" s="9">
        <f t="shared" si="2"/>
        <v>8170023.333</v>
      </c>
      <c r="U81" s="9">
        <f t="shared" si="3"/>
        <v>4085011.667</v>
      </c>
      <c r="V81" s="1"/>
      <c r="W81" s="1"/>
      <c r="X81" s="1"/>
      <c r="Y81" s="1"/>
      <c r="Z81" s="1"/>
    </row>
    <row r="82" ht="15.75" customHeight="1">
      <c r="A82" s="8" t="s">
        <v>78</v>
      </c>
      <c r="B82" s="8" t="s">
        <v>7</v>
      </c>
      <c r="C82" s="1" t="s">
        <v>87</v>
      </c>
      <c r="D82" s="9">
        <v>1.18733E7</v>
      </c>
      <c r="E82" s="3">
        <v>36.0</v>
      </c>
      <c r="F82" s="10">
        <v>3957766.6666666674</v>
      </c>
      <c r="G82" s="10">
        <f t="shared" ref="G82:R82" si="21">$D$82/$E$82</f>
        <v>329813.8889</v>
      </c>
      <c r="H82" s="10">
        <f t="shared" si="21"/>
        <v>329813.8889</v>
      </c>
      <c r="I82" s="10">
        <f t="shared" si="21"/>
        <v>329813.8889</v>
      </c>
      <c r="J82" s="10">
        <f t="shared" si="21"/>
        <v>329813.8889</v>
      </c>
      <c r="K82" s="10">
        <f t="shared" si="21"/>
        <v>329813.8889</v>
      </c>
      <c r="L82" s="10">
        <f t="shared" si="21"/>
        <v>329813.8889</v>
      </c>
      <c r="M82" s="10">
        <f t="shared" si="21"/>
        <v>329813.8889</v>
      </c>
      <c r="N82" s="10">
        <f t="shared" si="21"/>
        <v>329813.8889</v>
      </c>
      <c r="O82" s="10">
        <f t="shared" si="21"/>
        <v>329813.8889</v>
      </c>
      <c r="P82" s="10">
        <f t="shared" si="21"/>
        <v>329813.8889</v>
      </c>
      <c r="Q82" s="10">
        <f t="shared" si="21"/>
        <v>329813.8889</v>
      </c>
      <c r="R82" s="10">
        <f t="shared" si="21"/>
        <v>329813.8889</v>
      </c>
      <c r="S82" s="9">
        <f t="shared" si="1"/>
        <v>3957766.667</v>
      </c>
      <c r="T82" s="9">
        <f t="shared" si="2"/>
        <v>7915533.333</v>
      </c>
      <c r="U82" s="9">
        <f t="shared" si="3"/>
        <v>3957766.667</v>
      </c>
      <c r="V82" s="1"/>
      <c r="W82" s="1"/>
      <c r="X82" s="1"/>
      <c r="Y82" s="1"/>
      <c r="Z82" s="1"/>
    </row>
    <row r="83" ht="15.75" customHeight="1">
      <c r="A83" s="8" t="s">
        <v>78</v>
      </c>
      <c r="B83" s="8" t="s">
        <v>7</v>
      </c>
      <c r="C83" s="1" t="s">
        <v>88</v>
      </c>
      <c r="D83" s="9">
        <v>1.19512E7</v>
      </c>
      <c r="E83" s="3">
        <v>36.0</v>
      </c>
      <c r="F83" s="10">
        <v>3983733.333333334</v>
      </c>
      <c r="G83" s="10">
        <f t="shared" ref="G83:R83" si="22">$D$83/$E$83</f>
        <v>331977.7778</v>
      </c>
      <c r="H83" s="10">
        <f t="shared" si="22"/>
        <v>331977.7778</v>
      </c>
      <c r="I83" s="10">
        <f t="shared" si="22"/>
        <v>331977.7778</v>
      </c>
      <c r="J83" s="10">
        <f t="shared" si="22"/>
        <v>331977.7778</v>
      </c>
      <c r="K83" s="10">
        <f t="shared" si="22"/>
        <v>331977.7778</v>
      </c>
      <c r="L83" s="10">
        <f t="shared" si="22"/>
        <v>331977.7778</v>
      </c>
      <c r="M83" s="10">
        <f t="shared" si="22"/>
        <v>331977.7778</v>
      </c>
      <c r="N83" s="10">
        <f t="shared" si="22"/>
        <v>331977.7778</v>
      </c>
      <c r="O83" s="10">
        <f t="shared" si="22"/>
        <v>331977.7778</v>
      </c>
      <c r="P83" s="10">
        <f t="shared" si="22"/>
        <v>331977.7778</v>
      </c>
      <c r="Q83" s="10">
        <f t="shared" si="22"/>
        <v>331977.7778</v>
      </c>
      <c r="R83" s="10">
        <f t="shared" si="22"/>
        <v>331977.7778</v>
      </c>
      <c r="S83" s="9">
        <f t="shared" si="1"/>
        <v>3983733.333</v>
      </c>
      <c r="T83" s="9">
        <f t="shared" si="2"/>
        <v>7967466.667</v>
      </c>
      <c r="U83" s="9">
        <f t="shared" si="3"/>
        <v>3983733.333</v>
      </c>
      <c r="V83" s="1"/>
      <c r="W83" s="1"/>
      <c r="X83" s="1"/>
      <c r="Y83" s="1"/>
      <c r="Z83" s="1"/>
    </row>
    <row r="84" ht="15.75" customHeight="1">
      <c r="A84" s="8" t="s">
        <v>78</v>
      </c>
      <c r="B84" s="8" t="s">
        <v>7</v>
      </c>
      <c r="C84" s="1" t="s">
        <v>89</v>
      </c>
      <c r="D84" s="9">
        <f>96360700+5000000+10000000+16096335</f>
        <v>127457035</v>
      </c>
      <c r="E84" s="3">
        <v>36.0</v>
      </c>
      <c r="F84" s="10">
        <v>4.248567833333334E7</v>
      </c>
      <c r="G84" s="10">
        <f t="shared" ref="G84:R84" si="23">$D$84/$E$84</f>
        <v>3540473.194</v>
      </c>
      <c r="H84" s="10">
        <f t="shared" si="23"/>
        <v>3540473.194</v>
      </c>
      <c r="I84" s="10">
        <f t="shared" si="23"/>
        <v>3540473.194</v>
      </c>
      <c r="J84" s="10">
        <f t="shared" si="23"/>
        <v>3540473.194</v>
      </c>
      <c r="K84" s="10">
        <f t="shared" si="23"/>
        <v>3540473.194</v>
      </c>
      <c r="L84" s="10">
        <f t="shared" si="23"/>
        <v>3540473.194</v>
      </c>
      <c r="M84" s="10">
        <f t="shared" si="23"/>
        <v>3540473.194</v>
      </c>
      <c r="N84" s="10">
        <f t="shared" si="23"/>
        <v>3540473.194</v>
      </c>
      <c r="O84" s="10">
        <f t="shared" si="23"/>
        <v>3540473.194</v>
      </c>
      <c r="P84" s="10">
        <f t="shared" si="23"/>
        <v>3540473.194</v>
      </c>
      <c r="Q84" s="10">
        <f t="shared" si="23"/>
        <v>3540473.194</v>
      </c>
      <c r="R84" s="10">
        <f t="shared" si="23"/>
        <v>3540473.194</v>
      </c>
      <c r="S84" s="9">
        <f t="shared" si="1"/>
        <v>42485678.33</v>
      </c>
      <c r="T84" s="9">
        <f t="shared" si="2"/>
        <v>84971356.67</v>
      </c>
      <c r="U84" s="9">
        <f t="shared" si="3"/>
        <v>42485678.33</v>
      </c>
      <c r="V84" s="1"/>
      <c r="W84" s="1"/>
      <c r="X84" s="1"/>
      <c r="Y84" s="1"/>
      <c r="Z84" s="1"/>
    </row>
    <row r="85" ht="15.75" customHeight="1">
      <c r="A85" s="8" t="s">
        <v>4</v>
      </c>
      <c r="B85" s="8" t="s">
        <v>7</v>
      </c>
      <c r="C85" s="1" t="s">
        <v>90</v>
      </c>
      <c r="D85" s="9">
        <v>8.3079E7</v>
      </c>
      <c r="E85" s="3">
        <v>36.0</v>
      </c>
      <c r="F85" s="10">
        <v>0.0</v>
      </c>
      <c r="G85" s="10">
        <f t="shared" ref="G85:R85" si="24">$D$85/$E$85</f>
        <v>2307750</v>
      </c>
      <c r="H85" s="10">
        <f t="shared" si="24"/>
        <v>2307750</v>
      </c>
      <c r="I85" s="10">
        <f t="shared" si="24"/>
        <v>2307750</v>
      </c>
      <c r="J85" s="10">
        <f t="shared" si="24"/>
        <v>2307750</v>
      </c>
      <c r="K85" s="10">
        <f t="shared" si="24"/>
        <v>2307750</v>
      </c>
      <c r="L85" s="10">
        <f t="shared" si="24"/>
        <v>2307750</v>
      </c>
      <c r="M85" s="10">
        <f t="shared" si="24"/>
        <v>2307750</v>
      </c>
      <c r="N85" s="10">
        <f t="shared" si="24"/>
        <v>2307750</v>
      </c>
      <c r="O85" s="10">
        <f t="shared" si="24"/>
        <v>2307750</v>
      </c>
      <c r="P85" s="10">
        <f t="shared" si="24"/>
        <v>2307750</v>
      </c>
      <c r="Q85" s="10">
        <f t="shared" si="24"/>
        <v>2307750</v>
      </c>
      <c r="R85" s="10">
        <f t="shared" si="24"/>
        <v>2307750</v>
      </c>
      <c r="S85" s="9">
        <f t="shared" si="1"/>
        <v>27693000</v>
      </c>
      <c r="T85" s="9">
        <f t="shared" si="2"/>
        <v>27693000</v>
      </c>
      <c r="U85" s="9">
        <f t="shared" si="3"/>
        <v>55386000</v>
      </c>
      <c r="V85" s="1"/>
      <c r="W85" s="1"/>
      <c r="X85" s="1"/>
      <c r="Y85" s="1"/>
      <c r="Z85" s="1"/>
    </row>
    <row r="86" ht="15.75" customHeight="1">
      <c r="A86" s="8" t="s">
        <v>4</v>
      </c>
      <c r="B86" s="8" t="s">
        <v>7</v>
      </c>
      <c r="C86" s="1" t="s">
        <v>91</v>
      </c>
      <c r="D86" s="9">
        <v>8600000.0</v>
      </c>
      <c r="E86" s="3">
        <v>36.0</v>
      </c>
      <c r="F86" s="10">
        <v>0.0</v>
      </c>
      <c r="G86" s="10">
        <f t="shared" ref="G86:R86" si="25">$D$86/$E$86</f>
        <v>238888.8889</v>
      </c>
      <c r="H86" s="10">
        <f t="shared" si="25"/>
        <v>238888.8889</v>
      </c>
      <c r="I86" s="10">
        <f t="shared" si="25"/>
        <v>238888.8889</v>
      </c>
      <c r="J86" s="10">
        <f t="shared" si="25"/>
        <v>238888.8889</v>
      </c>
      <c r="K86" s="10">
        <f t="shared" si="25"/>
        <v>238888.8889</v>
      </c>
      <c r="L86" s="10">
        <f t="shared" si="25"/>
        <v>238888.8889</v>
      </c>
      <c r="M86" s="10">
        <f t="shared" si="25"/>
        <v>238888.8889</v>
      </c>
      <c r="N86" s="10">
        <f t="shared" si="25"/>
        <v>238888.8889</v>
      </c>
      <c r="O86" s="10">
        <f t="shared" si="25"/>
        <v>238888.8889</v>
      </c>
      <c r="P86" s="10">
        <f t="shared" si="25"/>
        <v>238888.8889</v>
      </c>
      <c r="Q86" s="10">
        <f t="shared" si="25"/>
        <v>238888.8889</v>
      </c>
      <c r="R86" s="10">
        <f t="shared" si="25"/>
        <v>238888.8889</v>
      </c>
      <c r="S86" s="9">
        <f t="shared" si="1"/>
        <v>2866666.667</v>
      </c>
      <c r="T86" s="9">
        <f t="shared" si="2"/>
        <v>2866666.667</v>
      </c>
      <c r="U86" s="9">
        <f t="shared" si="3"/>
        <v>5733333.333</v>
      </c>
      <c r="V86" s="1"/>
      <c r="W86" s="1"/>
      <c r="X86" s="1"/>
      <c r="Y86" s="1"/>
      <c r="Z86" s="1"/>
    </row>
    <row r="87" ht="15.75" customHeight="1">
      <c r="A87" s="8" t="s">
        <v>4</v>
      </c>
      <c r="B87" s="8" t="s">
        <v>7</v>
      </c>
      <c r="C87" s="1" t="s">
        <v>80</v>
      </c>
      <c r="D87" s="9">
        <v>3.2E7</v>
      </c>
      <c r="E87" s="3">
        <v>36.0</v>
      </c>
      <c r="F87" s="10">
        <v>0.0</v>
      </c>
      <c r="G87" s="10">
        <f t="shared" ref="G87:R87" si="26">$D$87/$E$87</f>
        <v>888888.8889</v>
      </c>
      <c r="H87" s="10">
        <f t="shared" si="26"/>
        <v>888888.8889</v>
      </c>
      <c r="I87" s="10">
        <f t="shared" si="26"/>
        <v>888888.8889</v>
      </c>
      <c r="J87" s="10">
        <f t="shared" si="26"/>
        <v>888888.8889</v>
      </c>
      <c r="K87" s="10">
        <f t="shared" si="26"/>
        <v>888888.8889</v>
      </c>
      <c r="L87" s="10">
        <f t="shared" si="26"/>
        <v>888888.8889</v>
      </c>
      <c r="M87" s="10">
        <f t="shared" si="26"/>
        <v>888888.8889</v>
      </c>
      <c r="N87" s="10">
        <f t="shared" si="26"/>
        <v>888888.8889</v>
      </c>
      <c r="O87" s="10">
        <f t="shared" si="26"/>
        <v>888888.8889</v>
      </c>
      <c r="P87" s="10">
        <f t="shared" si="26"/>
        <v>888888.8889</v>
      </c>
      <c r="Q87" s="10">
        <f t="shared" si="26"/>
        <v>888888.8889</v>
      </c>
      <c r="R87" s="10">
        <f t="shared" si="26"/>
        <v>888888.8889</v>
      </c>
      <c r="S87" s="9">
        <f t="shared" si="1"/>
        <v>10666666.67</v>
      </c>
      <c r="T87" s="9">
        <f t="shared" si="2"/>
        <v>10666666.67</v>
      </c>
      <c r="U87" s="9">
        <f t="shared" si="3"/>
        <v>21333333.33</v>
      </c>
      <c r="V87" s="1"/>
      <c r="W87" s="1"/>
      <c r="X87" s="1"/>
      <c r="Y87" s="1"/>
      <c r="Z87" s="1"/>
    </row>
    <row r="88" ht="15.75" customHeight="1">
      <c r="A88" s="8" t="s">
        <v>4</v>
      </c>
      <c r="B88" s="8" t="s">
        <v>7</v>
      </c>
      <c r="C88" s="1" t="s">
        <v>92</v>
      </c>
      <c r="D88" s="9">
        <v>1.02E7</v>
      </c>
      <c r="E88" s="3">
        <v>36.0</v>
      </c>
      <c r="F88" s="10">
        <v>0.0</v>
      </c>
      <c r="G88" s="10">
        <f t="shared" ref="G88:R88" si="27">$D$88/$E$88</f>
        <v>283333.3333</v>
      </c>
      <c r="H88" s="10">
        <f t="shared" si="27"/>
        <v>283333.3333</v>
      </c>
      <c r="I88" s="10">
        <f t="shared" si="27"/>
        <v>283333.3333</v>
      </c>
      <c r="J88" s="10">
        <f t="shared" si="27"/>
        <v>283333.3333</v>
      </c>
      <c r="K88" s="10">
        <f t="shared" si="27"/>
        <v>283333.3333</v>
      </c>
      <c r="L88" s="10">
        <f t="shared" si="27"/>
        <v>283333.3333</v>
      </c>
      <c r="M88" s="10">
        <f t="shared" si="27"/>
        <v>283333.3333</v>
      </c>
      <c r="N88" s="10">
        <f t="shared" si="27"/>
        <v>283333.3333</v>
      </c>
      <c r="O88" s="10">
        <f t="shared" si="27"/>
        <v>283333.3333</v>
      </c>
      <c r="P88" s="10">
        <f t="shared" si="27"/>
        <v>283333.3333</v>
      </c>
      <c r="Q88" s="10">
        <f t="shared" si="27"/>
        <v>283333.3333</v>
      </c>
      <c r="R88" s="10">
        <f t="shared" si="27"/>
        <v>283333.3333</v>
      </c>
      <c r="S88" s="9">
        <f t="shared" si="1"/>
        <v>3400000</v>
      </c>
      <c r="T88" s="9">
        <f t="shared" si="2"/>
        <v>3400000</v>
      </c>
      <c r="U88" s="9">
        <f t="shared" si="3"/>
        <v>6800000</v>
      </c>
      <c r="V88" s="1"/>
      <c r="W88" s="1"/>
      <c r="X88" s="1"/>
      <c r="Y88" s="1"/>
      <c r="Z88" s="1"/>
    </row>
    <row r="89" ht="15.75" customHeight="1">
      <c r="A89" s="8" t="s">
        <v>4</v>
      </c>
      <c r="B89" s="8" t="s">
        <v>7</v>
      </c>
      <c r="C89" s="1" t="s">
        <v>93</v>
      </c>
      <c r="D89" s="9">
        <v>9872404.0</v>
      </c>
      <c r="E89" s="3">
        <v>36.0</v>
      </c>
      <c r="F89" s="10">
        <v>0.0</v>
      </c>
      <c r="G89" s="10">
        <f t="shared" ref="G89:R89" si="28">$D$89/$E$89</f>
        <v>274233.4444</v>
      </c>
      <c r="H89" s="10">
        <f t="shared" si="28"/>
        <v>274233.4444</v>
      </c>
      <c r="I89" s="10">
        <f t="shared" si="28"/>
        <v>274233.4444</v>
      </c>
      <c r="J89" s="10">
        <f t="shared" si="28"/>
        <v>274233.4444</v>
      </c>
      <c r="K89" s="10">
        <f t="shared" si="28"/>
        <v>274233.4444</v>
      </c>
      <c r="L89" s="10">
        <f t="shared" si="28"/>
        <v>274233.4444</v>
      </c>
      <c r="M89" s="10">
        <f t="shared" si="28"/>
        <v>274233.4444</v>
      </c>
      <c r="N89" s="10">
        <f t="shared" si="28"/>
        <v>274233.4444</v>
      </c>
      <c r="O89" s="10">
        <f t="shared" si="28"/>
        <v>274233.4444</v>
      </c>
      <c r="P89" s="10">
        <f t="shared" si="28"/>
        <v>274233.4444</v>
      </c>
      <c r="Q89" s="10">
        <f t="shared" si="28"/>
        <v>274233.4444</v>
      </c>
      <c r="R89" s="10">
        <f t="shared" si="28"/>
        <v>274233.4444</v>
      </c>
      <c r="S89" s="9">
        <f t="shared" si="1"/>
        <v>3290801.333</v>
      </c>
      <c r="T89" s="9">
        <f t="shared" si="2"/>
        <v>3290801.333</v>
      </c>
      <c r="U89" s="9">
        <f t="shared" si="3"/>
        <v>6581602.667</v>
      </c>
      <c r="V89" s="1"/>
      <c r="W89" s="1"/>
      <c r="X89" s="1"/>
      <c r="Y89" s="1"/>
      <c r="Z89" s="1"/>
    </row>
    <row r="90" ht="15.75" customHeight="1">
      <c r="A90" s="8" t="s">
        <v>4</v>
      </c>
      <c r="B90" s="8" t="s">
        <v>7</v>
      </c>
      <c r="C90" s="1" t="s">
        <v>65</v>
      </c>
      <c r="D90" s="9">
        <f>(8250000+9000000+8000000+8250000+8000000+9000000)+7500000+2100000</f>
        <v>60100000</v>
      </c>
      <c r="E90" s="3">
        <v>36.0</v>
      </c>
      <c r="F90" s="10">
        <v>0.0</v>
      </c>
      <c r="G90" s="10">
        <f t="shared" ref="G90:R90" si="29">$D$90/$E$90</f>
        <v>1669444.444</v>
      </c>
      <c r="H90" s="10">
        <f t="shared" si="29"/>
        <v>1669444.444</v>
      </c>
      <c r="I90" s="10">
        <f t="shared" si="29"/>
        <v>1669444.444</v>
      </c>
      <c r="J90" s="10">
        <f t="shared" si="29"/>
        <v>1669444.444</v>
      </c>
      <c r="K90" s="10">
        <f t="shared" si="29"/>
        <v>1669444.444</v>
      </c>
      <c r="L90" s="10">
        <f t="shared" si="29"/>
        <v>1669444.444</v>
      </c>
      <c r="M90" s="10">
        <f t="shared" si="29"/>
        <v>1669444.444</v>
      </c>
      <c r="N90" s="10">
        <f t="shared" si="29"/>
        <v>1669444.444</v>
      </c>
      <c r="O90" s="10">
        <f t="shared" si="29"/>
        <v>1669444.444</v>
      </c>
      <c r="P90" s="10">
        <f t="shared" si="29"/>
        <v>1669444.444</v>
      </c>
      <c r="Q90" s="10">
        <f t="shared" si="29"/>
        <v>1669444.444</v>
      </c>
      <c r="R90" s="10">
        <f t="shared" si="29"/>
        <v>1669444.444</v>
      </c>
      <c r="S90" s="9">
        <f t="shared" si="1"/>
        <v>20033333.33</v>
      </c>
      <c r="T90" s="9">
        <f t="shared" si="2"/>
        <v>20033333.33</v>
      </c>
      <c r="U90" s="9">
        <f t="shared" si="3"/>
        <v>40066666.67</v>
      </c>
      <c r="V90" s="1"/>
      <c r="W90" s="1"/>
      <c r="X90" s="1"/>
      <c r="Y90" s="1"/>
      <c r="Z90" s="1"/>
    </row>
    <row r="91" ht="15.75" customHeight="1">
      <c r="A91" s="8" t="s">
        <v>4</v>
      </c>
      <c r="B91" s="8" t="s">
        <v>7</v>
      </c>
      <c r="C91" s="1" t="s">
        <v>94</v>
      </c>
      <c r="D91" s="9">
        <v>3900000.0</v>
      </c>
      <c r="E91" s="3">
        <v>36.0</v>
      </c>
      <c r="F91" s="10">
        <v>0.0</v>
      </c>
      <c r="G91" s="10">
        <f t="shared" ref="G91:R91" si="30">$D$91/$E$91</f>
        <v>108333.3333</v>
      </c>
      <c r="H91" s="10">
        <f t="shared" si="30"/>
        <v>108333.3333</v>
      </c>
      <c r="I91" s="10">
        <f t="shared" si="30"/>
        <v>108333.3333</v>
      </c>
      <c r="J91" s="10">
        <f t="shared" si="30"/>
        <v>108333.3333</v>
      </c>
      <c r="K91" s="10">
        <f t="shared" si="30"/>
        <v>108333.3333</v>
      </c>
      <c r="L91" s="10">
        <f t="shared" si="30"/>
        <v>108333.3333</v>
      </c>
      <c r="M91" s="10">
        <f t="shared" si="30"/>
        <v>108333.3333</v>
      </c>
      <c r="N91" s="10">
        <f t="shared" si="30"/>
        <v>108333.3333</v>
      </c>
      <c r="O91" s="10">
        <f t="shared" si="30"/>
        <v>108333.3333</v>
      </c>
      <c r="P91" s="10">
        <f t="shared" si="30"/>
        <v>108333.3333</v>
      </c>
      <c r="Q91" s="10">
        <f t="shared" si="30"/>
        <v>108333.3333</v>
      </c>
      <c r="R91" s="10">
        <f t="shared" si="30"/>
        <v>108333.3333</v>
      </c>
      <c r="S91" s="9">
        <f t="shared" si="1"/>
        <v>1300000</v>
      </c>
      <c r="T91" s="9">
        <f t="shared" si="2"/>
        <v>1300000</v>
      </c>
      <c r="U91" s="9">
        <f t="shared" si="3"/>
        <v>2600000</v>
      </c>
      <c r="V91" s="1"/>
      <c r="W91" s="1"/>
      <c r="X91" s="1"/>
      <c r="Y91" s="1"/>
      <c r="Z91" s="1"/>
    </row>
    <row r="92" ht="15.75" customHeight="1">
      <c r="A92" s="8" t="s">
        <v>4</v>
      </c>
      <c r="B92" s="8" t="s">
        <v>7</v>
      </c>
      <c r="C92" s="1" t="s">
        <v>95</v>
      </c>
      <c r="D92" s="9">
        <v>1349054.0</v>
      </c>
      <c r="E92" s="3">
        <v>36.0</v>
      </c>
      <c r="F92" s="10">
        <v>0.0</v>
      </c>
      <c r="G92" s="10">
        <f t="shared" ref="G92:R92" si="31">$D$92/$E$92</f>
        <v>37473.72222</v>
      </c>
      <c r="H92" s="10">
        <f t="shared" si="31"/>
        <v>37473.72222</v>
      </c>
      <c r="I92" s="10">
        <f t="shared" si="31"/>
        <v>37473.72222</v>
      </c>
      <c r="J92" s="10">
        <f t="shared" si="31"/>
        <v>37473.72222</v>
      </c>
      <c r="K92" s="10">
        <f t="shared" si="31"/>
        <v>37473.72222</v>
      </c>
      <c r="L92" s="10">
        <f t="shared" si="31"/>
        <v>37473.72222</v>
      </c>
      <c r="M92" s="10">
        <f t="shared" si="31"/>
        <v>37473.72222</v>
      </c>
      <c r="N92" s="10">
        <f t="shared" si="31"/>
        <v>37473.72222</v>
      </c>
      <c r="O92" s="10">
        <f t="shared" si="31"/>
        <v>37473.72222</v>
      </c>
      <c r="P92" s="10">
        <f t="shared" si="31"/>
        <v>37473.72222</v>
      </c>
      <c r="Q92" s="10">
        <f t="shared" si="31"/>
        <v>37473.72222</v>
      </c>
      <c r="R92" s="10">
        <f t="shared" si="31"/>
        <v>37473.72222</v>
      </c>
      <c r="S92" s="9">
        <f t="shared" si="1"/>
        <v>449684.6667</v>
      </c>
      <c r="T92" s="9">
        <f t="shared" si="2"/>
        <v>449684.6667</v>
      </c>
      <c r="U92" s="9">
        <f t="shared" si="3"/>
        <v>899369.3333</v>
      </c>
      <c r="V92" s="1"/>
      <c r="W92" s="1"/>
      <c r="X92" s="1"/>
      <c r="Y92" s="1"/>
      <c r="Z92" s="1"/>
    </row>
    <row r="93" ht="15.75" customHeight="1">
      <c r="A93" s="8" t="s">
        <v>4</v>
      </c>
      <c r="B93" s="8" t="s">
        <v>7</v>
      </c>
      <c r="C93" s="1" t="s">
        <v>96</v>
      </c>
      <c r="D93" s="9">
        <v>2.4999E7</v>
      </c>
      <c r="E93" s="3">
        <v>36.0</v>
      </c>
      <c r="F93" s="10">
        <v>0.0</v>
      </c>
      <c r="G93" s="10">
        <f t="shared" ref="G93:R93" si="32">$D$93/$E$93</f>
        <v>694416.6667</v>
      </c>
      <c r="H93" s="10">
        <f t="shared" si="32"/>
        <v>694416.6667</v>
      </c>
      <c r="I93" s="10">
        <f t="shared" si="32"/>
        <v>694416.6667</v>
      </c>
      <c r="J93" s="10">
        <f t="shared" si="32"/>
        <v>694416.6667</v>
      </c>
      <c r="K93" s="10">
        <f t="shared" si="32"/>
        <v>694416.6667</v>
      </c>
      <c r="L93" s="10">
        <f t="shared" si="32"/>
        <v>694416.6667</v>
      </c>
      <c r="M93" s="10">
        <f t="shared" si="32"/>
        <v>694416.6667</v>
      </c>
      <c r="N93" s="10">
        <f t="shared" si="32"/>
        <v>694416.6667</v>
      </c>
      <c r="O93" s="10">
        <f t="shared" si="32"/>
        <v>694416.6667</v>
      </c>
      <c r="P93" s="10">
        <f t="shared" si="32"/>
        <v>694416.6667</v>
      </c>
      <c r="Q93" s="10">
        <f t="shared" si="32"/>
        <v>694416.6667</v>
      </c>
      <c r="R93" s="10">
        <f t="shared" si="32"/>
        <v>694416.6667</v>
      </c>
      <c r="S93" s="9">
        <f t="shared" si="1"/>
        <v>8333000</v>
      </c>
      <c r="T93" s="9">
        <f t="shared" si="2"/>
        <v>8333000</v>
      </c>
      <c r="U93" s="9">
        <f t="shared" si="3"/>
        <v>16666000</v>
      </c>
      <c r="V93" s="1"/>
      <c r="W93" s="1"/>
      <c r="X93" s="1"/>
      <c r="Y93" s="1"/>
      <c r="Z93" s="1"/>
    </row>
    <row r="94" ht="15.75" customHeight="1">
      <c r="A94" s="8" t="s">
        <v>4</v>
      </c>
      <c r="B94" s="8" t="s">
        <v>7</v>
      </c>
      <c r="C94" s="1" t="s">
        <v>97</v>
      </c>
      <c r="D94" s="9">
        <f>11710811-452965</f>
        <v>11257846</v>
      </c>
      <c r="E94" s="3">
        <v>36.0</v>
      </c>
      <c r="F94" s="10">
        <v>0.0</v>
      </c>
      <c r="G94" s="10">
        <f t="shared" ref="G94:R94" si="33">$D$94/$E$94</f>
        <v>312717.9444</v>
      </c>
      <c r="H94" s="10">
        <f t="shared" si="33"/>
        <v>312717.9444</v>
      </c>
      <c r="I94" s="10">
        <f t="shared" si="33"/>
        <v>312717.9444</v>
      </c>
      <c r="J94" s="10">
        <f t="shared" si="33"/>
        <v>312717.9444</v>
      </c>
      <c r="K94" s="10">
        <f t="shared" si="33"/>
        <v>312717.9444</v>
      </c>
      <c r="L94" s="10">
        <f t="shared" si="33"/>
        <v>312717.9444</v>
      </c>
      <c r="M94" s="10">
        <f t="shared" si="33"/>
        <v>312717.9444</v>
      </c>
      <c r="N94" s="10">
        <f t="shared" si="33"/>
        <v>312717.9444</v>
      </c>
      <c r="O94" s="10">
        <f t="shared" si="33"/>
        <v>312717.9444</v>
      </c>
      <c r="P94" s="10">
        <f t="shared" si="33"/>
        <v>312717.9444</v>
      </c>
      <c r="Q94" s="10">
        <f t="shared" si="33"/>
        <v>312717.9444</v>
      </c>
      <c r="R94" s="10">
        <f t="shared" si="33"/>
        <v>312717.9444</v>
      </c>
      <c r="S94" s="9">
        <f t="shared" si="1"/>
        <v>3752615.333</v>
      </c>
      <c r="T94" s="9">
        <f t="shared" si="2"/>
        <v>3752615.333</v>
      </c>
      <c r="U94" s="9">
        <f t="shared" si="3"/>
        <v>7505230.667</v>
      </c>
      <c r="V94" s="1"/>
      <c r="W94" s="1"/>
      <c r="X94" s="1"/>
      <c r="Y94" s="1"/>
      <c r="Z94" s="1"/>
    </row>
    <row r="95" ht="15.75" customHeight="1">
      <c r="A95" s="8" t="s">
        <v>4</v>
      </c>
      <c r="B95" s="8" t="s">
        <v>7</v>
      </c>
      <c r="C95" s="1" t="s">
        <v>98</v>
      </c>
      <c r="D95" s="9">
        <v>3210000.0</v>
      </c>
      <c r="E95" s="3">
        <v>36.0</v>
      </c>
      <c r="F95" s="10">
        <v>0.0</v>
      </c>
      <c r="G95" s="10">
        <f t="shared" ref="G95:R95" si="34">$D$95/$E$95</f>
        <v>89166.66667</v>
      </c>
      <c r="H95" s="10">
        <f t="shared" si="34"/>
        <v>89166.66667</v>
      </c>
      <c r="I95" s="10">
        <f t="shared" si="34"/>
        <v>89166.66667</v>
      </c>
      <c r="J95" s="10">
        <f t="shared" si="34"/>
        <v>89166.66667</v>
      </c>
      <c r="K95" s="10">
        <f t="shared" si="34"/>
        <v>89166.66667</v>
      </c>
      <c r="L95" s="10">
        <f t="shared" si="34"/>
        <v>89166.66667</v>
      </c>
      <c r="M95" s="10">
        <f t="shared" si="34"/>
        <v>89166.66667</v>
      </c>
      <c r="N95" s="10">
        <f t="shared" si="34"/>
        <v>89166.66667</v>
      </c>
      <c r="O95" s="10">
        <f t="shared" si="34"/>
        <v>89166.66667</v>
      </c>
      <c r="P95" s="10">
        <f t="shared" si="34"/>
        <v>89166.66667</v>
      </c>
      <c r="Q95" s="10">
        <f t="shared" si="34"/>
        <v>89166.66667</v>
      </c>
      <c r="R95" s="10">
        <f t="shared" si="34"/>
        <v>89166.66667</v>
      </c>
      <c r="S95" s="9">
        <f t="shared" si="1"/>
        <v>1070000</v>
      </c>
      <c r="T95" s="9">
        <f t="shared" si="2"/>
        <v>1070000</v>
      </c>
      <c r="U95" s="9">
        <f t="shared" si="3"/>
        <v>2140000</v>
      </c>
      <c r="V95" s="1"/>
      <c r="W95" s="1"/>
      <c r="X95" s="1"/>
      <c r="Y95" s="1"/>
      <c r="Z95" s="1"/>
    </row>
    <row r="96" ht="15.75" customHeight="1">
      <c r="A96" s="8" t="s">
        <v>4</v>
      </c>
      <c r="B96" s="8" t="s">
        <v>7</v>
      </c>
      <c r="C96" s="1" t="s">
        <v>99</v>
      </c>
      <c r="D96" s="9">
        <v>3.42E7</v>
      </c>
      <c r="E96" s="3">
        <v>36.0</v>
      </c>
      <c r="F96" s="10">
        <v>0.0</v>
      </c>
      <c r="G96" s="10">
        <f t="shared" ref="G96:R96" si="35">$D$96/$E$96</f>
        <v>950000</v>
      </c>
      <c r="H96" s="10">
        <f t="shared" si="35"/>
        <v>950000</v>
      </c>
      <c r="I96" s="10">
        <f t="shared" si="35"/>
        <v>950000</v>
      </c>
      <c r="J96" s="10">
        <f t="shared" si="35"/>
        <v>950000</v>
      </c>
      <c r="K96" s="10">
        <f t="shared" si="35"/>
        <v>950000</v>
      </c>
      <c r="L96" s="10">
        <f t="shared" si="35"/>
        <v>950000</v>
      </c>
      <c r="M96" s="10">
        <f t="shared" si="35"/>
        <v>950000</v>
      </c>
      <c r="N96" s="10">
        <f t="shared" si="35"/>
        <v>950000</v>
      </c>
      <c r="O96" s="10">
        <f t="shared" si="35"/>
        <v>950000</v>
      </c>
      <c r="P96" s="10">
        <f t="shared" si="35"/>
        <v>950000</v>
      </c>
      <c r="Q96" s="10">
        <f t="shared" si="35"/>
        <v>950000</v>
      </c>
      <c r="R96" s="10">
        <f t="shared" si="35"/>
        <v>950000</v>
      </c>
      <c r="S96" s="9">
        <f t="shared" si="1"/>
        <v>11400000</v>
      </c>
      <c r="T96" s="9">
        <f t="shared" si="2"/>
        <v>11400000</v>
      </c>
      <c r="U96" s="9">
        <f t="shared" si="3"/>
        <v>22800000</v>
      </c>
      <c r="V96" s="1"/>
      <c r="W96" s="1"/>
      <c r="X96" s="1"/>
      <c r="Y96" s="1"/>
      <c r="Z96" s="1"/>
    </row>
    <row r="97" ht="15.75" customHeight="1">
      <c r="A97" s="8" t="s">
        <v>4</v>
      </c>
      <c r="B97" s="8" t="s">
        <v>7</v>
      </c>
      <c r="C97" s="1" t="s">
        <v>100</v>
      </c>
      <c r="D97" s="9">
        <v>1791900.0</v>
      </c>
      <c r="E97" s="3">
        <v>36.0</v>
      </c>
      <c r="F97" s="10">
        <v>0.0</v>
      </c>
      <c r="G97" s="10">
        <f t="shared" ref="G97:R97" si="36">$D$97/$E$97</f>
        <v>49775</v>
      </c>
      <c r="H97" s="10">
        <f t="shared" si="36"/>
        <v>49775</v>
      </c>
      <c r="I97" s="10">
        <f t="shared" si="36"/>
        <v>49775</v>
      </c>
      <c r="J97" s="10">
        <f t="shared" si="36"/>
        <v>49775</v>
      </c>
      <c r="K97" s="10">
        <f t="shared" si="36"/>
        <v>49775</v>
      </c>
      <c r="L97" s="10">
        <f t="shared" si="36"/>
        <v>49775</v>
      </c>
      <c r="M97" s="10">
        <f t="shared" si="36"/>
        <v>49775</v>
      </c>
      <c r="N97" s="10">
        <f t="shared" si="36"/>
        <v>49775</v>
      </c>
      <c r="O97" s="10">
        <f t="shared" si="36"/>
        <v>49775</v>
      </c>
      <c r="P97" s="10">
        <f t="shared" si="36"/>
        <v>49775</v>
      </c>
      <c r="Q97" s="10">
        <f t="shared" si="36"/>
        <v>49775</v>
      </c>
      <c r="R97" s="10">
        <f t="shared" si="36"/>
        <v>49775</v>
      </c>
      <c r="S97" s="9">
        <f t="shared" si="1"/>
        <v>597300</v>
      </c>
      <c r="T97" s="9">
        <f t="shared" si="2"/>
        <v>597300</v>
      </c>
      <c r="U97" s="9">
        <f t="shared" si="3"/>
        <v>1194600</v>
      </c>
      <c r="V97" s="1"/>
      <c r="W97" s="1"/>
      <c r="X97" s="1"/>
      <c r="Y97" s="1"/>
      <c r="Z97" s="1"/>
    </row>
    <row r="98" ht="15.75" customHeight="1">
      <c r="A98" s="8" t="s">
        <v>4</v>
      </c>
      <c r="B98" s="8" t="s">
        <v>7</v>
      </c>
      <c r="C98" s="1" t="s">
        <v>101</v>
      </c>
      <c r="D98" s="9">
        <v>3051500.0</v>
      </c>
      <c r="E98" s="3">
        <v>36.0</v>
      </c>
      <c r="F98" s="10">
        <v>0.0</v>
      </c>
      <c r="G98" s="10">
        <f t="shared" ref="G98:R98" si="37">$D$98/$E$98</f>
        <v>84763.88889</v>
      </c>
      <c r="H98" s="10">
        <f t="shared" si="37"/>
        <v>84763.88889</v>
      </c>
      <c r="I98" s="10">
        <f t="shared" si="37"/>
        <v>84763.88889</v>
      </c>
      <c r="J98" s="10">
        <f t="shared" si="37"/>
        <v>84763.88889</v>
      </c>
      <c r="K98" s="10">
        <f t="shared" si="37"/>
        <v>84763.88889</v>
      </c>
      <c r="L98" s="10">
        <f t="shared" si="37"/>
        <v>84763.88889</v>
      </c>
      <c r="M98" s="10">
        <f t="shared" si="37"/>
        <v>84763.88889</v>
      </c>
      <c r="N98" s="10">
        <f t="shared" si="37"/>
        <v>84763.88889</v>
      </c>
      <c r="O98" s="10">
        <f t="shared" si="37"/>
        <v>84763.88889</v>
      </c>
      <c r="P98" s="10">
        <f t="shared" si="37"/>
        <v>84763.88889</v>
      </c>
      <c r="Q98" s="10">
        <f t="shared" si="37"/>
        <v>84763.88889</v>
      </c>
      <c r="R98" s="10">
        <f t="shared" si="37"/>
        <v>84763.88889</v>
      </c>
      <c r="S98" s="9">
        <f t="shared" si="1"/>
        <v>1017166.667</v>
      </c>
      <c r="T98" s="9">
        <f t="shared" si="2"/>
        <v>1017166.667</v>
      </c>
      <c r="U98" s="9">
        <f t="shared" si="3"/>
        <v>2034333.333</v>
      </c>
      <c r="V98" s="1"/>
      <c r="W98" s="1"/>
      <c r="X98" s="1"/>
      <c r="Y98" s="1"/>
      <c r="Z98" s="1"/>
    </row>
    <row r="99" ht="15.75" customHeight="1">
      <c r="A99" s="8" t="s">
        <v>4</v>
      </c>
      <c r="B99" s="8" t="s">
        <v>7</v>
      </c>
      <c r="C99" s="1" t="s">
        <v>102</v>
      </c>
      <c r="D99" s="9">
        <v>4800000.0</v>
      </c>
      <c r="E99" s="3">
        <v>36.0</v>
      </c>
      <c r="F99" s="10">
        <v>0.0</v>
      </c>
      <c r="G99" s="10">
        <f t="shared" ref="G99:R99" si="38">$D$99/$E$99</f>
        <v>133333.3333</v>
      </c>
      <c r="H99" s="10">
        <f t="shared" si="38"/>
        <v>133333.3333</v>
      </c>
      <c r="I99" s="10">
        <f t="shared" si="38"/>
        <v>133333.3333</v>
      </c>
      <c r="J99" s="10">
        <f t="shared" si="38"/>
        <v>133333.3333</v>
      </c>
      <c r="K99" s="10">
        <f t="shared" si="38"/>
        <v>133333.3333</v>
      </c>
      <c r="L99" s="10">
        <f t="shared" si="38"/>
        <v>133333.3333</v>
      </c>
      <c r="M99" s="10">
        <f t="shared" si="38"/>
        <v>133333.3333</v>
      </c>
      <c r="N99" s="10">
        <f t="shared" si="38"/>
        <v>133333.3333</v>
      </c>
      <c r="O99" s="10">
        <f t="shared" si="38"/>
        <v>133333.3333</v>
      </c>
      <c r="P99" s="10">
        <f t="shared" si="38"/>
        <v>133333.3333</v>
      </c>
      <c r="Q99" s="10">
        <f t="shared" si="38"/>
        <v>133333.3333</v>
      </c>
      <c r="R99" s="10">
        <f t="shared" si="38"/>
        <v>133333.3333</v>
      </c>
      <c r="S99" s="9">
        <f t="shared" si="1"/>
        <v>1600000</v>
      </c>
      <c r="T99" s="9">
        <f t="shared" si="2"/>
        <v>1600000</v>
      </c>
      <c r="U99" s="9">
        <f t="shared" si="3"/>
        <v>3200000</v>
      </c>
      <c r="V99" s="1"/>
      <c r="W99" s="1"/>
      <c r="X99" s="1"/>
      <c r="Y99" s="1"/>
      <c r="Z99" s="1"/>
    </row>
    <row r="100" ht="15.75" customHeight="1">
      <c r="A100" s="8" t="s">
        <v>4</v>
      </c>
      <c r="B100" s="8" t="s">
        <v>7</v>
      </c>
      <c r="C100" s="1" t="s">
        <v>103</v>
      </c>
      <c r="D100" s="9">
        <v>8296400.0</v>
      </c>
      <c r="E100" s="3">
        <v>36.0</v>
      </c>
      <c r="F100" s="10">
        <v>0.0</v>
      </c>
      <c r="G100" s="10">
        <f t="shared" ref="G100:R100" si="39">$D$100/$E$100</f>
        <v>230455.5556</v>
      </c>
      <c r="H100" s="10">
        <f t="shared" si="39"/>
        <v>230455.5556</v>
      </c>
      <c r="I100" s="10">
        <f t="shared" si="39"/>
        <v>230455.5556</v>
      </c>
      <c r="J100" s="10">
        <f t="shared" si="39"/>
        <v>230455.5556</v>
      </c>
      <c r="K100" s="10">
        <f t="shared" si="39"/>
        <v>230455.5556</v>
      </c>
      <c r="L100" s="10">
        <f t="shared" si="39"/>
        <v>230455.5556</v>
      </c>
      <c r="M100" s="10">
        <f t="shared" si="39"/>
        <v>230455.5556</v>
      </c>
      <c r="N100" s="10">
        <f t="shared" si="39"/>
        <v>230455.5556</v>
      </c>
      <c r="O100" s="10">
        <f t="shared" si="39"/>
        <v>230455.5556</v>
      </c>
      <c r="P100" s="10">
        <f t="shared" si="39"/>
        <v>230455.5556</v>
      </c>
      <c r="Q100" s="10">
        <f t="shared" si="39"/>
        <v>230455.5556</v>
      </c>
      <c r="R100" s="10">
        <f t="shared" si="39"/>
        <v>230455.5556</v>
      </c>
      <c r="S100" s="9">
        <f t="shared" si="1"/>
        <v>2765466.667</v>
      </c>
      <c r="T100" s="9">
        <f t="shared" si="2"/>
        <v>2765466.667</v>
      </c>
      <c r="U100" s="9">
        <f t="shared" si="3"/>
        <v>5530933.333</v>
      </c>
      <c r="V100" s="1"/>
      <c r="W100" s="1"/>
      <c r="X100" s="1"/>
      <c r="Y100" s="1"/>
      <c r="Z100" s="1"/>
    </row>
    <row r="101" ht="15.75" customHeight="1">
      <c r="A101" s="8" t="s">
        <v>4</v>
      </c>
      <c r="B101" s="8" t="s">
        <v>7</v>
      </c>
      <c r="C101" s="1" t="s">
        <v>104</v>
      </c>
      <c r="D101" s="9">
        <v>8072900.0</v>
      </c>
      <c r="E101" s="3">
        <v>36.0</v>
      </c>
      <c r="F101" s="10">
        <v>0.0</v>
      </c>
      <c r="G101" s="10">
        <f t="shared" ref="G101:R101" si="40">$D$101/$E$101</f>
        <v>224247.2222</v>
      </c>
      <c r="H101" s="10">
        <f t="shared" si="40"/>
        <v>224247.2222</v>
      </c>
      <c r="I101" s="10">
        <f t="shared" si="40"/>
        <v>224247.2222</v>
      </c>
      <c r="J101" s="10">
        <f t="shared" si="40"/>
        <v>224247.2222</v>
      </c>
      <c r="K101" s="10">
        <f t="shared" si="40"/>
        <v>224247.2222</v>
      </c>
      <c r="L101" s="10">
        <f t="shared" si="40"/>
        <v>224247.2222</v>
      </c>
      <c r="M101" s="10">
        <f t="shared" si="40"/>
        <v>224247.2222</v>
      </c>
      <c r="N101" s="10">
        <f t="shared" si="40"/>
        <v>224247.2222</v>
      </c>
      <c r="O101" s="10">
        <f t="shared" si="40"/>
        <v>224247.2222</v>
      </c>
      <c r="P101" s="10">
        <f t="shared" si="40"/>
        <v>224247.2222</v>
      </c>
      <c r="Q101" s="10">
        <f t="shared" si="40"/>
        <v>224247.2222</v>
      </c>
      <c r="R101" s="10">
        <f t="shared" si="40"/>
        <v>224247.2222</v>
      </c>
      <c r="S101" s="9">
        <f t="shared" si="1"/>
        <v>2690966.667</v>
      </c>
      <c r="T101" s="9">
        <f t="shared" si="2"/>
        <v>2690966.667</v>
      </c>
      <c r="U101" s="9">
        <f t="shared" si="3"/>
        <v>5381933.333</v>
      </c>
      <c r="V101" s="1"/>
      <c r="W101" s="1"/>
      <c r="X101" s="1"/>
      <c r="Y101" s="1"/>
      <c r="Z101" s="1"/>
    </row>
    <row r="102" ht="15.75" customHeight="1">
      <c r="A102" s="8"/>
      <c r="B102" s="8"/>
      <c r="C102" s="1"/>
      <c r="D102" s="13"/>
      <c r="E102" s="3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4">
        <f>SUM(D6:D102)</f>
        <v>1399955800</v>
      </c>
      <c r="E103" s="1" t="s">
        <v>7</v>
      </c>
      <c r="F103" s="14">
        <f t="shared" ref="F103:U103" si="41">SUM(F6:F102)</f>
        <v>852856594.3</v>
      </c>
      <c r="G103" s="14">
        <f t="shared" si="41"/>
        <v>20930918.83</v>
      </c>
      <c r="H103" s="14">
        <f t="shared" si="41"/>
        <v>20930918.83</v>
      </c>
      <c r="I103" s="14">
        <f t="shared" si="41"/>
        <v>20930918.83</v>
      </c>
      <c r="J103" s="14">
        <f t="shared" si="41"/>
        <v>20930918.83</v>
      </c>
      <c r="K103" s="14">
        <f t="shared" si="41"/>
        <v>20930918.83</v>
      </c>
      <c r="L103" s="14">
        <f t="shared" si="41"/>
        <v>20930918.83</v>
      </c>
      <c r="M103" s="14">
        <f t="shared" si="41"/>
        <v>20930918.83</v>
      </c>
      <c r="N103" s="14">
        <f t="shared" si="41"/>
        <v>20930918.83</v>
      </c>
      <c r="O103" s="14">
        <f t="shared" si="41"/>
        <v>20930918.83</v>
      </c>
      <c r="P103" s="14">
        <f t="shared" si="41"/>
        <v>20930918.83</v>
      </c>
      <c r="Q103" s="14">
        <f t="shared" si="41"/>
        <v>20930918.83</v>
      </c>
      <c r="R103" s="14">
        <f t="shared" si="41"/>
        <v>20930918.83</v>
      </c>
      <c r="S103" s="14">
        <f t="shared" si="41"/>
        <v>251171026</v>
      </c>
      <c r="T103" s="14">
        <f t="shared" si="41"/>
        <v>1104027620</v>
      </c>
      <c r="U103" s="14">
        <f t="shared" si="41"/>
        <v>295928179.7</v>
      </c>
      <c r="V103" s="1"/>
      <c r="W103" s="1"/>
      <c r="X103" s="1"/>
      <c r="Y103" s="1"/>
      <c r="Z103" s="1"/>
    </row>
    <row r="104" ht="15.75" customHeight="1">
      <c r="A104" s="1"/>
      <c r="B104" s="1"/>
      <c r="C104" s="1" t="s">
        <v>7</v>
      </c>
      <c r="D104" s="13"/>
      <c r="E104" s="1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1"/>
      <c r="W104" s="1"/>
      <c r="X104" s="1"/>
      <c r="Y104" s="1"/>
      <c r="Z104" s="1"/>
    </row>
    <row r="105" ht="15.75" customHeight="1">
      <c r="A105" s="1"/>
      <c r="B105" s="1"/>
      <c r="C105" s="7" t="s">
        <v>105</v>
      </c>
      <c r="D105" s="13" t="s">
        <v>7</v>
      </c>
      <c r="E105" s="3" t="s">
        <v>7</v>
      </c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1"/>
      <c r="W105" s="1"/>
      <c r="X105" s="1"/>
      <c r="Y105" s="1"/>
      <c r="Z105" s="1"/>
    </row>
    <row r="106" ht="15.75" customHeight="1">
      <c r="A106" s="8">
        <v>42864.0</v>
      </c>
      <c r="B106" s="8" t="s">
        <v>30</v>
      </c>
      <c r="C106" s="1" t="s">
        <v>106</v>
      </c>
      <c r="D106" s="13">
        <v>1.1875E8</v>
      </c>
      <c r="E106" s="3">
        <v>48.0</v>
      </c>
      <c r="F106" s="10">
        <v>1.1874999999999999E8</v>
      </c>
      <c r="G106" s="9">
        <v>0.0</v>
      </c>
      <c r="H106" s="9">
        <v>0.0</v>
      </c>
      <c r="I106" s="9">
        <v>0.0</v>
      </c>
      <c r="J106" s="9">
        <v>0.0</v>
      </c>
      <c r="K106" s="9">
        <v>0.0</v>
      </c>
      <c r="L106" s="9">
        <v>0.0</v>
      </c>
      <c r="M106" s="9">
        <v>0.0</v>
      </c>
      <c r="N106" s="9">
        <v>0.0</v>
      </c>
      <c r="O106" s="9">
        <v>0.0</v>
      </c>
      <c r="P106" s="9">
        <v>0.0</v>
      </c>
      <c r="Q106" s="9">
        <v>0.0</v>
      </c>
      <c r="R106" s="9">
        <v>0.0</v>
      </c>
      <c r="S106" s="9">
        <f t="shared" ref="S106:S107" si="43">SUM(G106:R106)</f>
        <v>0</v>
      </c>
      <c r="T106" s="9">
        <f t="shared" ref="T106:T107" si="44">+F106+S106</f>
        <v>118750000</v>
      </c>
      <c r="U106" s="9">
        <f t="shared" ref="U106:U107" si="45">+D106-T106</f>
        <v>0.00000001490116119</v>
      </c>
      <c r="V106" s="1"/>
      <c r="W106" s="1"/>
      <c r="X106" s="1"/>
      <c r="Y106" s="1"/>
      <c r="Z106" s="1"/>
    </row>
    <row r="107" ht="15.75" customHeight="1">
      <c r="A107" s="8">
        <v>45839.0</v>
      </c>
      <c r="B107" s="8" t="s">
        <v>107</v>
      </c>
      <c r="C107" s="1" t="s">
        <v>108</v>
      </c>
      <c r="D107" s="13">
        <v>8.49151036E8</v>
      </c>
      <c r="E107" s="3">
        <v>48.0</v>
      </c>
      <c r="F107" s="10">
        <v>2.1228775900000003E8</v>
      </c>
      <c r="G107" s="9">
        <f t="shared" ref="G107:R107" si="42">$D$107/$E$107</f>
        <v>17690646.58</v>
      </c>
      <c r="H107" s="9">
        <f t="shared" si="42"/>
        <v>17690646.58</v>
      </c>
      <c r="I107" s="9">
        <f t="shared" si="42"/>
        <v>17690646.58</v>
      </c>
      <c r="J107" s="9">
        <f t="shared" si="42"/>
        <v>17690646.58</v>
      </c>
      <c r="K107" s="9">
        <f t="shared" si="42"/>
        <v>17690646.58</v>
      </c>
      <c r="L107" s="9">
        <f t="shared" si="42"/>
        <v>17690646.58</v>
      </c>
      <c r="M107" s="9">
        <f t="shared" si="42"/>
        <v>17690646.58</v>
      </c>
      <c r="N107" s="9">
        <f t="shared" si="42"/>
        <v>17690646.58</v>
      </c>
      <c r="O107" s="9">
        <f t="shared" si="42"/>
        <v>17690646.58</v>
      </c>
      <c r="P107" s="9">
        <f t="shared" si="42"/>
        <v>17690646.58</v>
      </c>
      <c r="Q107" s="9">
        <f t="shared" si="42"/>
        <v>17690646.58</v>
      </c>
      <c r="R107" s="9">
        <f t="shared" si="42"/>
        <v>17690646.58</v>
      </c>
      <c r="S107" s="9">
        <f t="shared" si="43"/>
        <v>212287759</v>
      </c>
      <c r="T107" s="9">
        <f t="shared" si="44"/>
        <v>424575518</v>
      </c>
      <c r="U107" s="9">
        <f t="shared" si="45"/>
        <v>424575518</v>
      </c>
      <c r="V107" s="1"/>
      <c r="W107" s="1"/>
      <c r="X107" s="1"/>
      <c r="Y107" s="1"/>
      <c r="Z107" s="1"/>
    </row>
    <row r="108" ht="15.75" customHeight="1">
      <c r="A108" s="8"/>
      <c r="B108" s="8"/>
      <c r="C108" s="1"/>
      <c r="D108" s="13"/>
      <c r="E108" s="3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1"/>
      <c r="W108" s="1"/>
      <c r="X108" s="1"/>
      <c r="Y108" s="1"/>
      <c r="Z108" s="1"/>
    </row>
    <row r="109" ht="15.75" customHeight="1">
      <c r="A109" s="4"/>
      <c r="B109" s="4"/>
      <c r="C109" s="1" t="s">
        <v>7</v>
      </c>
      <c r="D109" s="14">
        <f>SUM(D106:D108)</f>
        <v>967901036</v>
      </c>
      <c r="E109" s="3"/>
      <c r="F109" s="14">
        <f t="shared" ref="F109:U109" si="46">SUM(F106:F108)</f>
        <v>331037759</v>
      </c>
      <c r="G109" s="14">
        <f t="shared" si="46"/>
        <v>17690646.58</v>
      </c>
      <c r="H109" s="14">
        <f t="shared" si="46"/>
        <v>17690646.58</v>
      </c>
      <c r="I109" s="14">
        <f t="shared" si="46"/>
        <v>17690646.58</v>
      </c>
      <c r="J109" s="14">
        <f t="shared" si="46"/>
        <v>17690646.58</v>
      </c>
      <c r="K109" s="14">
        <f t="shared" si="46"/>
        <v>17690646.58</v>
      </c>
      <c r="L109" s="14">
        <f t="shared" si="46"/>
        <v>17690646.58</v>
      </c>
      <c r="M109" s="14">
        <f t="shared" si="46"/>
        <v>17690646.58</v>
      </c>
      <c r="N109" s="14">
        <f t="shared" si="46"/>
        <v>17690646.58</v>
      </c>
      <c r="O109" s="14">
        <f t="shared" si="46"/>
        <v>17690646.58</v>
      </c>
      <c r="P109" s="14">
        <f t="shared" si="46"/>
        <v>17690646.58</v>
      </c>
      <c r="Q109" s="14">
        <f t="shared" si="46"/>
        <v>17690646.58</v>
      </c>
      <c r="R109" s="14">
        <f t="shared" si="46"/>
        <v>17690646.58</v>
      </c>
      <c r="S109" s="14">
        <f t="shared" si="46"/>
        <v>212287759</v>
      </c>
      <c r="T109" s="14">
        <f t="shared" si="46"/>
        <v>543325518</v>
      </c>
      <c r="U109" s="14">
        <f t="shared" si="46"/>
        <v>424575518</v>
      </c>
      <c r="V109" s="1"/>
      <c r="W109" s="1"/>
      <c r="X109" s="1"/>
      <c r="Y109" s="1"/>
      <c r="Z109" s="1"/>
    </row>
    <row r="110" ht="15.75" customHeight="1">
      <c r="A110" s="1"/>
      <c r="B110" s="1"/>
      <c r="C110" s="7"/>
      <c r="D110" s="13"/>
      <c r="E110" s="1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1"/>
      <c r="W110" s="1"/>
      <c r="X110" s="1"/>
      <c r="Y110" s="1"/>
      <c r="Z110" s="1"/>
    </row>
    <row r="111" ht="15.75" customHeight="1">
      <c r="A111" s="1"/>
      <c r="B111" s="1"/>
      <c r="C111" s="7" t="s">
        <v>109</v>
      </c>
      <c r="D111" s="13">
        <v>0.0</v>
      </c>
      <c r="E111" s="1"/>
      <c r="F111" s="9">
        <v>0.0</v>
      </c>
      <c r="G111" s="9">
        <v>0.0</v>
      </c>
      <c r="H111" s="9">
        <v>0.0</v>
      </c>
      <c r="I111" s="9">
        <v>0.0</v>
      </c>
      <c r="J111" s="9">
        <v>0.0</v>
      </c>
      <c r="K111" s="9">
        <v>0.0</v>
      </c>
      <c r="L111" s="9">
        <v>0.0</v>
      </c>
      <c r="M111" s="9">
        <v>0.0</v>
      </c>
      <c r="N111" s="9">
        <v>0.0</v>
      </c>
      <c r="O111" s="9">
        <v>0.0</v>
      </c>
      <c r="P111" s="9">
        <v>0.0</v>
      </c>
      <c r="Q111" s="9">
        <v>0.0</v>
      </c>
      <c r="R111" s="9">
        <v>0.0</v>
      </c>
      <c r="S111" s="9">
        <f>SUM(G111:R111)</f>
        <v>0</v>
      </c>
      <c r="T111" s="9">
        <f>+F111+S111</f>
        <v>0</v>
      </c>
      <c r="U111" s="9">
        <f>+D111-F111-S111</f>
        <v>0</v>
      </c>
      <c r="V111" s="1"/>
      <c r="W111" s="1"/>
      <c r="X111" s="1"/>
      <c r="Y111" s="1"/>
      <c r="Z111" s="1"/>
    </row>
    <row r="112" ht="15.75" customHeight="1">
      <c r="A112" s="8"/>
      <c r="B112" s="8"/>
      <c r="C112" s="1"/>
      <c r="D112" s="14"/>
      <c r="E112" s="3"/>
      <c r="F112" s="9" t="s">
        <v>7</v>
      </c>
      <c r="G112" s="9" t="s">
        <v>7</v>
      </c>
      <c r="H112" s="9" t="s">
        <v>7</v>
      </c>
      <c r="I112" s="9" t="s">
        <v>7</v>
      </c>
      <c r="J112" s="9" t="s">
        <v>7</v>
      </c>
      <c r="K112" s="9" t="s">
        <v>7</v>
      </c>
      <c r="L112" s="9" t="s">
        <v>7</v>
      </c>
      <c r="M112" s="9" t="s">
        <v>7</v>
      </c>
      <c r="N112" s="9" t="s">
        <v>7</v>
      </c>
      <c r="O112" s="9" t="s">
        <v>7</v>
      </c>
      <c r="P112" s="9" t="s">
        <v>7</v>
      </c>
      <c r="Q112" s="9" t="s">
        <v>7</v>
      </c>
      <c r="R112" s="9" t="s">
        <v>7</v>
      </c>
      <c r="S112" s="9" t="s">
        <v>7</v>
      </c>
      <c r="T112" s="9" t="s">
        <v>7</v>
      </c>
      <c r="U112" s="9" t="s">
        <v>7</v>
      </c>
      <c r="V112" s="1"/>
      <c r="W112" s="1"/>
      <c r="X112" s="1"/>
      <c r="Y112" s="1"/>
      <c r="Z112" s="1"/>
    </row>
    <row r="113" ht="15.75" customHeight="1">
      <c r="A113" s="8"/>
      <c r="B113" s="8"/>
      <c r="C113" s="1"/>
      <c r="D113" s="15">
        <f>+D103+D109+D111</f>
        <v>2367856836</v>
      </c>
      <c r="E113" s="3"/>
      <c r="F113" s="15">
        <f t="shared" ref="F113:U113" si="47">+F103+F109+F111</f>
        <v>1183894353</v>
      </c>
      <c r="G113" s="15">
        <f t="shared" si="47"/>
        <v>38621565.42</v>
      </c>
      <c r="H113" s="15">
        <f t="shared" si="47"/>
        <v>38621565.42</v>
      </c>
      <c r="I113" s="15">
        <f t="shared" si="47"/>
        <v>38621565.42</v>
      </c>
      <c r="J113" s="15">
        <f t="shared" si="47"/>
        <v>38621565.42</v>
      </c>
      <c r="K113" s="15">
        <f t="shared" si="47"/>
        <v>38621565.42</v>
      </c>
      <c r="L113" s="15">
        <f t="shared" si="47"/>
        <v>38621565.42</v>
      </c>
      <c r="M113" s="15">
        <f t="shared" si="47"/>
        <v>38621565.42</v>
      </c>
      <c r="N113" s="15">
        <f t="shared" si="47"/>
        <v>38621565.42</v>
      </c>
      <c r="O113" s="15">
        <f t="shared" si="47"/>
        <v>38621565.42</v>
      </c>
      <c r="P113" s="15">
        <f t="shared" si="47"/>
        <v>38621565.42</v>
      </c>
      <c r="Q113" s="15">
        <f t="shared" si="47"/>
        <v>38621565.42</v>
      </c>
      <c r="R113" s="15">
        <f t="shared" si="47"/>
        <v>38621565.42</v>
      </c>
      <c r="S113" s="15">
        <f t="shared" si="47"/>
        <v>463458785</v>
      </c>
      <c r="T113" s="15">
        <f t="shared" si="47"/>
        <v>1647353138</v>
      </c>
      <c r="U113" s="15">
        <f t="shared" si="47"/>
        <v>720503697.7</v>
      </c>
      <c r="V113" s="1"/>
      <c r="W113" s="1"/>
      <c r="X113" s="1"/>
      <c r="Y113" s="1"/>
      <c r="Z113" s="1"/>
    </row>
    <row r="114" ht="15.75" customHeight="1">
      <c r="A114" s="8"/>
      <c r="B114" s="8"/>
      <c r="C114" s="1"/>
      <c r="D114" s="15"/>
      <c r="E114" s="3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"/>
      <c r="W114" s="1"/>
      <c r="X114" s="1"/>
      <c r="Y114" s="1"/>
      <c r="Z114" s="1"/>
    </row>
    <row r="115" ht="15.75" customHeight="1">
      <c r="A115" s="8"/>
      <c r="B115" s="8"/>
      <c r="C115" s="1"/>
      <c r="D115" s="15" t="s">
        <v>7</v>
      </c>
      <c r="E115" s="3"/>
      <c r="F115" s="15"/>
      <c r="G115" s="15">
        <f>+G113</f>
        <v>38621565.42</v>
      </c>
      <c r="H115" s="15">
        <f t="shared" ref="H115:R115" si="48">+G115+H113</f>
        <v>77243130.83</v>
      </c>
      <c r="I115" s="15">
        <f t="shared" si="48"/>
        <v>115864696.3</v>
      </c>
      <c r="J115" s="15">
        <f t="shared" si="48"/>
        <v>154486261.7</v>
      </c>
      <c r="K115" s="15">
        <f t="shared" si="48"/>
        <v>193107827.1</v>
      </c>
      <c r="L115" s="15">
        <f t="shared" si="48"/>
        <v>231729392.5</v>
      </c>
      <c r="M115" s="15">
        <f t="shared" si="48"/>
        <v>270350957.9</v>
      </c>
      <c r="N115" s="15">
        <f t="shared" si="48"/>
        <v>308972523.3</v>
      </c>
      <c r="O115" s="15">
        <f t="shared" si="48"/>
        <v>347594088.8</v>
      </c>
      <c r="P115" s="15">
        <f t="shared" si="48"/>
        <v>386215654.2</v>
      </c>
      <c r="Q115" s="15">
        <f t="shared" si="48"/>
        <v>424837219.6</v>
      </c>
      <c r="R115" s="15">
        <f t="shared" si="48"/>
        <v>463458785</v>
      </c>
      <c r="S115" s="15"/>
      <c r="T115" s="15"/>
      <c r="U115" s="15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4" t="s">
        <v>7</v>
      </c>
      <c r="E116" s="3"/>
      <c r="F116" s="10"/>
      <c r="G116" s="9"/>
      <c r="H116" s="9"/>
      <c r="I116" s="9"/>
      <c r="J116" s="9"/>
      <c r="K116" s="9"/>
      <c r="L116" s="9"/>
      <c r="M116" s="15" t="s">
        <v>7</v>
      </c>
      <c r="N116" s="9"/>
      <c r="O116" s="9"/>
      <c r="P116" s="9"/>
      <c r="Q116" s="9"/>
      <c r="R116" s="9" t="s">
        <v>7</v>
      </c>
      <c r="S116" s="15" t="s">
        <v>7</v>
      </c>
      <c r="T116" s="15" t="s">
        <v>7</v>
      </c>
      <c r="U116" s="15" t="s">
        <v>7</v>
      </c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9" t="s">
        <v>7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3" t="s">
        <v>7</v>
      </c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5"/>
      <c r="B133" s="5"/>
      <c r="C133" s="1"/>
      <c r="D133" s="13"/>
      <c r="E133" s="1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1"/>
      <c r="W133" s="1"/>
      <c r="X133" s="1"/>
      <c r="Y133" s="1"/>
      <c r="Z133" s="1"/>
    </row>
    <row r="134" ht="15.75" customHeight="1">
      <c r="A134" s="5"/>
      <c r="B134" s="5"/>
      <c r="C134" s="1"/>
      <c r="D134" s="13"/>
      <c r="E134" s="1"/>
      <c r="F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5"/>
      <c r="B135" s="5"/>
      <c r="C135" s="1"/>
      <c r="D135" s="13"/>
      <c r="E135" s="1"/>
      <c r="F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3"/>
      <c r="E136" s="1"/>
      <c r="F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3"/>
      <c r="E137" s="1"/>
      <c r="F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3"/>
      <c r="E138" s="1"/>
      <c r="F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3"/>
      <c r="E139" s="1"/>
      <c r="F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3"/>
      <c r="E140" s="1"/>
      <c r="F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1"/>
      <c r="E141" s="1"/>
      <c r="F141" s="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1"/>
      <c r="E142" s="1"/>
      <c r="F142" s="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1"/>
      <c r="E143" s="1"/>
      <c r="F143" s="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1"/>
      <c r="E144" s="1"/>
      <c r="F144" s="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1"/>
      <c r="E145" s="1"/>
      <c r="F145" s="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1"/>
      <c r="E146" s="1"/>
      <c r="F146" s="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1"/>
      <c r="E147" s="1"/>
      <c r="F147" s="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1"/>
      <c r="E148" s="1"/>
      <c r="F148" s="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 horizontalCentered="1" verticalCentered="1"/>
  <pageMargins bottom="1.0" footer="0.0" header="0.0" left="0.7500000000000001" right="0.7500000000000001" top="1.0"/>
  <pageSetup paperSize="9" orientation="landscape"/>
  <drawing r:id="rId1"/>
</worksheet>
</file>