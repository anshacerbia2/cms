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fadilla/Downloads/"/>
    </mc:Choice>
  </mc:AlternateContent>
  <xr:revisionPtr revIDLastSave="0" documentId="13_ncr:1_{FB9D8B12-2F63-D94C-9D53-BD7169C92B57}" xr6:coauthVersionLast="47" xr6:coauthVersionMax="47" xr10:uidLastSave="{00000000-0000-0000-0000-000000000000}"/>
  <bookViews>
    <workbookView xWindow="0" yWindow="0" windowWidth="38400" windowHeight="24000" xr2:uid="{C49568A5-158C-924F-8878-5D75329F86B5}"/>
  </bookViews>
  <sheets>
    <sheet name="Deprec 2025" sheetId="10" r:id="rId1"/>
  </sheets>
  <definedNames>
    <definedName name="_xlnm.Print_Area" localSheetId="0">'Deprec 2025'!$A$2:$U$107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00" i="10" l="1"/>
  <c r="Q100" i="10"/>
  <c r="P100" i="10"/>
  <c r="O100" i="10"/>
  <c r="N100" i="10"/>
  <c r="M100" i="10"/>
  <c r="L100" i="10"/>
  <c r="K100" i="10"/>
  <c r="J100" i="10"/>
  <c r="I100" i="10"/>
  <c r="H100" i="10"/>
  <c r="G100" i="10"/>
  <c r="R86" i="10"/>
  <c r="R85" i="10"/>
  <c r="R84" i="10"/>
  <c r="R83" i="10"/>
  <c r="R82" i="10"/>
  <c r="R81" i="10"/>
  <c r="R80" i="10"/>
  <c r="R79" i="10"/>
  <c r="R78" i="10"/>
  <c r="Q86" i="10"/>
  <c r="Q85" i="10"/>
  <c r="Q84" i="10"/>
  <c r="Q83" i="10"/>
  <c r="Q82" i="10"/>
  <c r="Q81" i="10"/>
  <c r="Q80" i="10"/>
  <c r="Q79" i="10"/>
  <c r="Q78" i="10"/>
  <c r="P86" i="10"/>
  <c r="P85" i="10"/>
  <c r="P84" i="10"/>
  <c r="P83" i="10"/>
  <c r="P82" i="10"/>
  <c r="P81" i="10"/>
  <c r="P80" i="10"/>
  <c r="P79" i="10"/>
  <c r="P78" i="10"/>
  <c r="O86" i="10"/>
  <c r="O85" i="10"/>
  <c r="O84" i="10"/>
  <c r="O83" i="10"/>
  <c r="O82" i="10"/>
  <c r="O81" i="10"/>
  <c r="O80" i="10"/>
  <c r="O79" i="10"/>
  <c r="O78" i="10"/>
  <c r="N86" i="10"/>
  <c r="N85" i="10"/>
  <c r="N84" i="10"/>
  <c r="N83" i="10"/>
  <c r="N82" i="10"/>
  <c r="N81" i="10"/>
  <c r="N80" i="10"/>
  <c r="N79" i="10"/>
  <c r="N78" i="10"/>
  <c r="M86" i="10"/>
  <c r="M85" i="10"/>
  <c r="M84" i="10"/>
  <c r="M83" i="10"/>
  <c r="M82" i="10"/>
  <c r="M81" i="10"/>
  <c r="M80" i="10"/>
  <c r="M79" i="10"/>
  <c r="M78" i="10"/>
  <c r="L86" i="10"/>
  <c r="L85" i="10"/>
  <c r="L84" i="10"/>
  <c r="L83" i="10"/>
  <c r="L82" i="10"/>
  <c r="L81" i="10"/>
  <c r="L80" i="10"/>
  <c r="L79" i="10"/>
  <c r="L78" i="10"/>
  <c r="K86" i="10"/>
  <c r="K85" i="10"/>
  <c r="K84" i="10"/>
  <c r="K83" i="10"/>
  <c r="K82" i="10"/>
  <c r="K81" i="10"/>
  <c r="K80" i="10"/>
  <c r="K79" i="10"/>
  <c r="K78" i="10"/>
  <c r="J86" i="10"/>
  <c r="J85" i="10"/>
  <c r="J84" i="10"/>
  <c r="J83" i="10"/>
  <c r="J82" i="10"/>
  <c r="J81" i="10"/>
  <c r="J80" i="10"/>
  <c r="J79" i="10"/>
  <c r="J78" i="10"/>
  <c r="I86" i="10"/>
  <c r="I85" i="10"/>
  <c r="I84" i="10"/>
  <c r="I83" i="10"/>
  <c r="I82" i="10"/>
  <c r="I81" i="10"/>
  <c r="I80" i="10"/>
  <c r="I79" i="10"/>
  <c r="I78" i="10"/>
  <c r="H86" i="10"/>
  <c r="H85" i="10"/>
  <c r="H84" i="10"/>
  <c r="H83" i="10"/>
  <c r="H82" i="10"/>
  <c r="H81" i="10"/>
  <c r="H80" i="10"/>
  <c r="H79" i="10"/>
  <c r="H78" i="10"/>
  <c r="G86" i="10"/>
  <c r="G85" i="10"/>
  <c r="G84" i="10"/>
  <c r="G83" i="10"/>
  <c r="G82" i="10"/>
  <c r="G81" i="10"/>
  <c r="G80" i="10"/>
  <c r="G79" i="10"/>
  <c r="G78" i="10"/>
  <c r="R77" i="10"/>
  <c r="R76" i="10"/>
  <c r="R75" i="10"/>
  <c r="R74" i="10"/>
  <c r="R73" i="10"/>
  <c r="R72" i="10"/>
  <c r="R71" i="10"/>
  <c r="R70" i="10"/>
  <c r="R69" i="10"/>
  <c r="R68" i="10"/>
  <c r="R67" i="10"/>
  <c r="R66" i="10"/>
  <c r="Q77" i="10"/>
  <c r="Q76" i="10"/>
  <c r="Q75" i="10"/>
  <c r="Q74" i="10"/>
  <c r="Q73" i="10"/>
  <c r="Q72" i="10"/>
  <c r="Q71" i="10"/>
  <c r="Q70" i="10"/>
  <c r="Q69" i="10"/>
  <c r="Q68" i="10"/>
  <c r="Q67" i="10"/>
  <c r="Q66" i="10"/>
  <c r="P77" i="10"/>
  <c r="P76" i="10"/>
  <c r="P75" i="10"/>
  <c r="P74" i="10"/>
  <c r="P73" i="10"/>
  <c r="P72" i="10"/>
  <c r="P71" i="10"/>
  <c r="P70" i="10"/>
  <c r="P69" i="10"/>
  <c r="P68" i="10"/>
  <c r="P67" i="10"/>
  <c r="P66" i="10"/>
  <c r="O77" i="10"/>
  <c r="O76" i="10"/>
  <c r="O75" i="10"/>
  <c r="O74" i="10"/>
  <c r="O73" i="10"/>
  <c r="O72" i="10"/>
  <c r="O71" i="10"/>
  <c r="O70" i="10"/>
  <c r="O69" i="10"/>
  <c r="O68" i="10"/>
  <c r="O67" i="10"/>
  <c r="O66" i="10"/>
  <c r="N77" i="10"/>
  <c r="N76" i="10"/>
  <c r="N75" i="10"/>
  <c r="N74" i="10"/>
  <c r="N73" i="10"/>
  <c r="N72" i="10"/>
  <c r="N71" i="10"/>
  <c r="N70" i="10"/>
  <c r="N69" i="10"/>
  <c r="N68" i="10"/>
  <c r="N67" i="10"/>
  <c r="N66" i="10"/>
  <c r="M77" i="10"/>
  <c r="M76" i="10"/>
  <c r="M75" i="10"/>
  <c r="M74" i="10"/>
  <c r="M73" i="10"/>
  <c r="M72" i="10"/>
  <c r="M71" i="10"/>
  <c r="M70" i="10"/>
  <c r="M69" i="10"/>
  <c r="M68" i="10"/>
  <c r="M67" i="10"/>
  <c r="M66" i="10"/>
  <c r="L77" i="10"/>
  <c r="L76" i="10"/>
  <c r="L75" i="10"/>
  <c r="L74" i="10"/>
  <c r="L73" i="10"/>
  <c r="L72" i="10"/>
  <c r="L71" i="10"/>
  <c r="L70" i="10"/>
  <c r="L69" i="10"/>
  <c r="L68" i="10"/>
  <c r="L67" i="10"/>
  <c r="L66" i="10"/>
  <c r="K77" i="10"/>
  <c r="K76" i="10"/>
  <c r="K75" i="10"/>
  <c r="K74" i="10"/>
  <c r="K73" i="10"/>
  <c r="K72" i="10"/>
  <c r="K71" i="10"/>
  <c r="K70" i="10"/>
  <c r="K69" i="10"/>
  <c r="K68" i="10"/>
  <c r="K67" i="10"/>
  <c r="K66" i="10"/>
  <c r="J77" i="10"/>
  <c r="J76" i="10"/>
  <c r="J75" i="10"/>
  <c r="J74" i="10"/>
  <c r="J73" i="10"/>
  <c r="J72" i="10"/>
  <c r="J71" i="10"/>
  <c r="J70" i="10"/>
  <c r="J69" i="10"/>
  <c r="J68" i="10"/>
  <c r="J67" i="10"/>
  <c r="J66" i="10"/>
  <c r="I77" i="10"/>
  <c r="I76" i="10"/>
  <c r="I75" i="10"/>
  <c r="I74" i="10"/>
  <c r="I73" i="10"/>
  <c r="I72" i="10"/>
  <c r="I71" i="10"/>
  <c r="I70" i="10"/>
  <c r="I69" i="10"/>
  <c r="I68" i="10"/>
  <c r="I67" i="10"/>
  <c r="I66" i="10"/>
  <c r="H77" i="10"/>
  <c r="H76" i="10"/>
  <c r="H75" i="10"/>
  <c r="H74" i="10"/>
  <c r="H73" i="10"/>
  <c r="H72" i="10"/>
  <c r="H71" i="10"/>
  <c r="H70" i="10"/>
  <c r="H69" i="10"/>
  <c r="H68" i="10"/>
  <c r="H67" i="10"/>
  <c r="H66" i="10"/>
  <c r="G77" i="10"/>
  <c r="S77" i="10" s="1"/>
  <c r="T77" i="10" s="1"/>
  <c r="U77" i="10" s="1"/>
  <c r="G76" i="10"/>
  <c r="S76" i="10" s="1"/>
  <c r="T76" i="10" s="1"/>
  <c r="U76" i="10" s="1"/>
  <c r="G75" i="10"/>
  <c r="S75" i="10" s="1"/>
  <c r="T75" i="10" s="1"/>
  <c r="U75" i="10" s="1"/>
  <c r="G74" i="10"/>
  <c r="G73" i="10"/>
  <c r="G72" i="10"/>
  <c r="G71" i="10"/>
  <c r="G70" i="10"/>
  <c r="G69" i="10"/>
  <c r="G68" i="10"/>
  <c r="G67" i="10"/>
  <c r="S67" i="10" s="1"/>
  <c r="T67" i="10" s="1"/>
  <c r="U67" i="10" s="1"/>
  <c r="G66" i="10"/>
  <c r="S66" i="10" s="1"/>
  <c r="T66" i="10" s="1"/>
  <c r="U66" i="10" s="1"/>
  <c r="S48" i="10"/>
  <c r="S47" i="10"/>
  <c r="S49" i="10"/>
  <c r="S50" i="10"/>
  <c r="S51" i="10"/>
  <c r="S52" i="10"/>
  <c r="S53" i="10"/>
  <c r="S54" i="10"/>
  <c r="S55" i="10"/>
  <c r="R65" i="10"/>
  <c r="R64" i="10"/>
  <c r="R63" i="10"/>
  <c r="R62" i="10"/>
  <c r="R61" i="10"/>
  <c r="R60" i="10"/>
  <c r="R59" i="10"/>
  <c r="R57" i="10"/>
  <c r="R56" i="10"/>
  <c r="Q65" i="10"/>
  <c r="Q64" i="10"/>
  <c r="Q63" i="10"/>
  <c r="Q62" i="10"/>
  <c r="Q61" i="10"/>
  <c r="Q60" i="10"/>
  <c r="Q59" i="10"/>
  <c r="Q57" i="10"/>
  <c r="Q56" i="10"/>
  <c r="P65" i="10"/>
  <c r="P64" i="10"/>
  <c r="P63" i="10"/>
  <c r="P62" i="10"/>
  <c r="P61" i="10"/>
  <c r="P60" i="10"/>
  <c r="P59" i="10"/>
  <c r="P57" i="10"/>
  <c r="P56" i="10"/>
  <c r="O65" i="10"/>
  <c r="O64" i="10"/>
  <c r="O63" i="10"/>
  <c r="O62" i="10"/>
  <c r="O61" i="10"/>
  <c r="O60" i="10"/>
  <c r="O59" i="10"/>
  <c r="O57" i="10"/>
  <c r="O56" i="10"/>
  <c r="N65" i="10"/>
  <c r="N64" i="10"/>
  <c r="N63" i="10"/>
  <c r="N62" i="10"/>
  <c r="N61" i="10"/>
  <c r="N60" i="10"/>
  <c r="N59" i="10"/>
  <c r="N57" i="10"/>
  <c r="N56" i="10"/>
  <c r="M65" i="10"/>
  <c r="M64" i="10"/>
  <c r="M63" i="10"/>
  <c r="M62" i="10"/>
  <c r="M61" i="10"/>
  <c r="M60" i="10"/>
  <c r="M59" i="10"/>
  <c r="M57" i="10"/>
  <c r="M56" i="10"/>
  <c r="L65" i="10"/>
  <c r="L64" i="10"/>
  <c r="L63" i="10"/>
  <c r="L62" i="10"/>
  <c r="L61" i="10"/>
  <c r="L60" i="10"/>
  <c r="L59" i="10"/>
  <c r="L57" i="10"/>
  <c r="L56" i="10"/>
  <c r="K65" i="10"/>
  <c r="K64" i="10"/>
  <c r="K63" i="10"/>
  <c r="K62" i="10"/>
  <c r="K61" i="10"/>
  <c r="K60" i="10"/>
  <c r="K59" i="10"/>
  <c r="K57" i="10"/>
  <c r="K56" i="10"/>
  <c r="J65" i="10"/>
  <c r="J64" i="10"/>
  <c r="J63" i="10"/>
  <c r="J62" i="10"/>
  <c r="J61" i="10"/>
  <c r="J60" i="10"/>
  <c r="J59" i="10"/>
  <c r="J57" i="10"/>
  <c r="J56" i="10"/>
  <c r="I65" i="10"/>
  <c r="I64" i="10"/>
  <c r="I63" i="10"/>
  <c r="I62" i="10"/>
  <c r="I61" i="10"/>
  <c r="I60" i="10"/>
  <c r="I59" i="10"/>
  <c r="I57" i="10"/>
  <c r="I56" i="10"/>
  <c r="H65" i="10"/>
  <c r="H64" i="10"/>
  <c r="H63" i="10"/>
  <c r="H62" i="10"/>
  <c r="H61" i="10"/>
  <c r="H60" i="10"/>
  <c r="H59" i="10"/>
  <c r="H57" i="10"/>
  <c r="H56" i="10"/>
  <c r="G60" i="10"/>
  <c r="D58" i="10"/>
  <c r="Q58" i="10" s="1"/>
  <c r="F89" i="10"/>
  <c r="G65" i="10"/>
  <c r="S69" i="10" l="1"/>
  <c r="T69" i="10" s="1"/>
  <c r="U69" i="10" s="1"/>
  <c r="S74" i="10"/>
  <c r="T74" i="10" s="1"/>
  <c r="U74" i="10" s="1"/>
  <c r="S72" i="10"/>
  <c r="T72" i="10" s="1"/>
  <c r="U72" i="10" s="1"/>
  <c r="S73" i="10"/>
  <c r="T73" i="10" s="1"/>
  <c r="U73" i="10" s="1"/>
  <c r="S71" i="10"/>
  <c r="T71" i="10" s="1"/>
  <c r="U71" i="10" s="1"/>
  <c r="S68" i="10"/>
  <c r="T68" i="10" s="1"/>
  <c r="U68" i="10" s="1"/>
  <c r="S70" i="10"/>
  <c r="T70" i="10" s="1"/>
  <c r="U70" i="10" s="1"/>
  <c r="S65" i="10"/>
  <c r="L58" i="10"/>
  <c r="R58" i="10"/>
  <c r="I58" i="10"/>
  <c r="H58" i="10"/>
  <c r="M58" i="10"/>
  <c r="S60" i="10"/>
  <c r="T60" i="10" s="1"/>
  <c r="U60" i="10" s="1"/>
  <c r="J58" i="10"/>
  <c r="P58" i="10"/>
  <c r="O58" i="10"/>
  <c r="N58" i="10"/>
  <c r="K58" i="10"/>
  <c r="S86" i="10" l="1"/>
  <c r="T86" i="10" s="1"/>
  <c r="U86" i="10" s="1"/>
  <c r="S85" i="10"/>
  <c r="T85" i="10" s="1"/>
  <c r="U85" i="10" s="1"/>
  <c r="S83" i="10" l="1"/>
  <c r="T83" i="10" s="1"/>
  <c r="U83" i="10" s="1"/>
  <c r="S84" i="10" l="1"/>
  <c r="T84" i="10" s="1"/>
  <c r="U84" i="10" s="1"/>
  <c r="S82" i="10"/>
  <c r="T82" i="10" s="1"/>
  <c r="U82" i="10" s="1"/>
  <c r="S81" i="10"/>
  <c r="T81" i="10" s="1"/>
  <c r="U81" i="10" s="1"/>
  <c r="S80" i="10"/>
  <c r="T80" i="10" s="1"/>
  <c r="U80" i="10" s="1"/>
  <c r="D87" i="10"/>
  <c r="S99" i="10"/>
  <c r="T99" i="10" s="1"/>
  <c r="U99" i="10" s="1"/>
  <c r="S79" i="10"/>
  <c r="T79" i="10" s="1"/>
  <c r="U79" i="10" s="1"/>
  <c r="S78" i="10"/>
  <c r="T78" i="10" s="1"/>
  <c r="U78" i="10" s="1"/>
  <c r="R87" i="10" l="1"/>
  <c r="L87" i="10"/>
  <c r="M87" i="10"/>
  <c r="G87" i="10"/>
  <c r="N87" i="10"/>
  <c r="H87" i="10"/>
  <c r="J87" i="10"/>
  <c r="Q87" i="10"/>
  <c r="O87" i="10"/>
  <c r="I87" i="10"/>
  <c r="P87" i="10"/>
  <c r="K87" i="10"/>
  <c r="T65" i="10" l="1"/>
  <c r="U65" i="10" s="1"/>
  <c r="G64" i="10" l="1"/>
  <c r="S64" i="10" s="1"/>
  <c r="G63" i="10"/>
  <c r="S63" i="10" s="1"/>
  <c r="G62" i="10"/>
  <c r="S62" i="10" s="1"/>
  <c r="G61" i="10"/>
  <c r="S61" i="10" s="1"/>
  <c r="T62" i="10" l="1"/>
  <c r="U62" i="10" s="1"/>
  <c r="T63" i="10"/>
  <c r="U63" i="10" s="1"/>
  <c r="T64" i="10"/>
  <c r="U64" i="10" s="1"/>
  <c r="T61" i="10"/>
  <c r="U61" i="10" s="1"/>
  <c r="T53" i="10"/>
  <c r="U53" i="10" s="1"/>
  <c r="T52" i="10"/>
  <c r="U52" i="10" s="1"/>
  <c r="S87" i="10"/>
  <c r="T87" i="10" s="1"/>
  <c r="U87" i="10" s="1"/>
  <c r="G59" i="10" l="1"/>
  <c r="S59" i="10" s="1"/>
  <c r="G57" i="10"/>
  <c r="S57" i="10" s="1"/>
  <c r="G56" i="10"/>
  <c r="S56" i="10" s="1"/>
  <c r="T59" i="10" l="1"/>
  <c r="U59" i="10" s="1"/>
  <c r="T57" i="10"/>
  <c r="U57" i="10" s="1"/>
  <c r="T56" i="10"/>
  <c r="U56" i="10" s="1"/>
  <c r="G58" i="10" l="1"/>
  <c r="S58" i="10" s="1"/>
  <c r="T58" i="10" l="1"/>
  <c r="U58" i="10" s="1"/>
  <c r="I89" i="10" l="1"/>
  <c r="T55" i="10"/>
  <c r="U55" i="10" s="1"/>
  <c r="S104" i="10"/>
  <c r="U104" i="10" s="1"/>
  <c r="F102" i="10"/>
  <c r="S100" i="10"/>
  <c r="T100" i="10" s="1"/>
  <c r="U100" i="10" s="1"/>
  <c r="S98" i="10"/>
  <c r="T98" i="10" s="1"/>
  <c r="I102" i="10"/>
  <c r="E97" i="10"/>
  <c r="M102" i="10"/>
  <c r="S96" i="10"/>
  <c r="T96" i="10" s="1"/>
  <c r="S95" i="10"/>
  <c r="T95" i="10" s="1"/>
  <c r="U95" i="10" s="1"/>
  <c r="S94" i="10"/>
  <c r="T94" i="10" s="1"/>
  <c r="U94" i="10" s="1"/>
  <c r="S93" i="10"/>
  <c r="T93" i="10" s="1"/>
  <c r="U93" i="10" s="1"/>
  <c r="S92" i="10"/>
  <c r="T92" i="10" s="1"/>
  <c r="U92" i="10" s="1"/>
  <c r="T49" i="10"/>
  <c r="U49" i="10" s="1"/>
  <c r="N89" i="10"/>
  <c r="T47" i="10"/>
  <c r="U47" i="10" s="1"/>
  <c r="S46" i="10"/>
  <c r="T46" i="10" s="1"/>
  <c r="U46" i="10" s="1"/>
  <c r="S45" i="10"/>
  <c r="T45" i="10" s="1"/>
  <c r="U45" i="10" s="1"/>
  <c r="S44" i="10"/>
  <c r="T44" i="10"/>
  <c r="U44" i="10" s="1"/>
  <c r="S42" i="10"/>
  <c r="T42" i="10" s="1"/>
  <c r="U42" i="10" s="1"/>
  <c r="R89" i="10"/>
  <c r="S41" i="10"/>
  <c r="T41" i="10" s="1"/>
  <c r="U41" i="10" s="1"/>
  <c r="S38" i="10"/>
  <c r="T38" i="10" s="1"/>
  <c r="U38" i="10" s="1"/>
  <c r="S37" i="10"/>
  <c r="T37" i="10" s="1"/>
  <c r="U37" i="10" s="1"/>
  <c r="S36" i="10"/>
  <c r="T36" i="10" s="1"/>
  <c r="U36" i="10" s="1"/>
  <c r="S35" i="10"/>
  <c r="T35" i="10" s="1"/>
  <c r="U35" i="10" s="1"/>
  <c r="S34" i="10"/>
  <c r="T34" i="10" s="1"/>
  <c r="U34" i="10" s="1"/>
  <c r="S33" i="10"/>
  <c r="T33" i="10" s="1"/>
  <c r="U33" i="10" s="1"/>
  <c r="S32" i="10"/>
  <c r="T32" i="10" s="1"/>
  <c r="U32" i="10" s="1"/>
  <c r="S31" i="10"/>
  <c r="T31" i="10" s="1"/>
  <c r="U31" i="10" s="1"/>
  <c r="S30" i="10"/>
  <c r="T30" i="10" s="1"/>
  <c r="U30" i="10" s="1"/>
  <c r="S29" i="10"/>
  <c r="T29" i="10" s="1"/>
  <c r="U29" i="10" s="1"/>
  <c r="S28" i="10"/>
  <c r="T28" i="10" s="1"/>
  <c r="U28" i="10" s="1"/>
  <c r="S27" i="10"/>
  <c r="T27" i="10" s="1"/>
  <c r="U27" i="10" s="1"/>
  <c r="S26" i="10"/>
  <c r="T26" i="10" s="1"/>
  <c r="U26" i="10" s="1"/>
  <c r="S25" i="10"/>
  <c r="T25" i="10" s="1"/>
  <c r="D25" i="10"/>
  <c r="S24" i="10"/>
  <c r="T24" i="10" s="1"/>
  <c r="U24" i="10" s="1"/>
  <c r="S23" i="10"/>
  <c r="T23" i="10" s="1"/>
  <c r="U23" i="10" s="1"/>
  <c r="S22" i="10"/>
  <c r="T22" i="10" s="1"/>
  <c r="U22" i="10" s="1"/>
  <c r="S21" i="10"/>
  <c r="T21" i="10" s="1"/>
  <c r="U21" i="10" s="1"/>
  <c r="S20" i="10"/>
  <c r="T20" i="10" s="1"/>
  <c r="U20" i="10" s="1"/>
  <c r="S19" i="10"/>
  <c r="T19" i="10" s="1"/>
  <c r="U19" i="10" s="1"/>
  <c r="S18" i="10"/>
  <c r="T18" i="10" s="1"/>
  <c r="U18" i="10" s="1"/>
  <c r="S17" i="10"/>
  <c r="T17" i="10" s="1"/>
  <c r="U17" i="10" s="1"/>
  <c r="S16" i="10"/>
  <c r="T16" i="10" s="1"/>
  <c r="U16" i="10" s="1"/>
  <c r="S15" i="10"/>
  <c r="T15" i="10" s="1"/>
  <c r="U15" i="10" s="1"/>
  <c r="S14" i="10"/>
  <c r="T14" i="10" s="1"/>
  <c r="U14" i="10" s="1"/>
  <c r="S13" i="10"/>
  <c r="T13" i="10" s="1"/>
  <c r="U13" i="10" s="1"/>
  <c r="S12" i="10"/>
  <c r="T12" i="10" s="1"/>
  <c r="U12" i="10" s="1"/>
  <c r="S11" i="10"/>
  <c r="T11" i="10" s="1"/>
  <c r="U11" i="10" s="1"/>
  <c r="S10" i="10"/>
  <c r="T10" i="10" s="1"/>
  <c r="U10" i="10" s="1"/>
  <c r="S9" i="10"/>
  <c r="T9" i="10" s="1"/>
  <c r="U9" i="10" s="1"/>
  <c r="S8" i="10"/>
  <c r="T8" i="10" s="1"/>
  <c r="U8" i="10" s="1"/>
  <c r="S7" i="10"/>
  <c r="T7" i="10" s="1"/>
  <c r="U7" i="10" s="1"/>
  <c r="S6" i="10"/>
  <c r="T6" i="10" s="1"/>
  <c r="U6" i="10" s="1"/>
  <c r="O89" i="10"/>
  <c r="P89" i="10"/>
  <c r="S39" i="10"/>
  <c r="T39" i="10" s="1"/>
  <c r="U39" i="10" s="1"/>
  <c r="S43" i="10"/>
  <c r="T43" i="10" s="1"/>
  <c r="U43" i="10" s="1"/>
  <c r="T48" i="10"/>
  <c r="U48" i="10" s="1"/>
  <c r="Q89" i="10"/>
  <c r="S40" i="10"/>
  <c r="T40" i="10" s="1"/>
  <c r="U40" i="10" s="1"/>
  <c r="P102" i="10"/>
  <c r="L102" i="10"/>
  <c r="H102" i="10"/>
  <c r="J102" i="10"/>
  <c r="O102" i="10"/>
  <c r="K102" i="10"/>
  <c r="R102" i="10"/>
  <c r="N102" i="10"/>
  <c r="Q102" i="10"/>
  <c r="S97" i="10"/>
  <c r="T97" i="10" s="1"/>
  <c r="G102" i="10"/>
  <c r="F106" i="10" l="1"/>
  <c r="G89" i="10"/>
  <c r="G106" i="10" s="1"/>
  <c r="G108" i="10" s="1"/>
  <c r="S102" i="10"/>
  <c r="U97" i="10"/>
  <c r="P106" i="10"/>
  <c r="Q106" i="10"/>
  <c r="T50" i="10"/>
  <c r="U50" i="10" s="1"/>
  <c r="U96" i="10"/>
  <c r="T51" i="10"/>
  <c r="U51" i="10" s="1"/>
  <c r="U25" i="10"/>
  <c r="I106" i="10"/>
  <c r="T104" i="10"/>
  <c r="J89" i="10"/>
  <c r="J106" i="10" s="1"/>
  <c r="N106" i="10"/>
  <c r="M89" i="10"/>
  <c r="M106" i="10" s="1"/>
  <c r="R106" i="10"/>
  <c r="O106" i="10"/>
  <c r="D89" i="10"/>
  <c r="T102" i="10"/>
  <c r="K89" i="10"/>
  <c r="K106" i="10" s="1"/>
  <c r="L89" i="10"/>
  <c r="L106" i="10" s="1"/>
  <c r="T54" i="10"/>
  <c r="U54" i="10" s="1"/>
  <c r="U98" i="10"/>
  <c r="D102" i="10"/>
  <c r="H89" i="10"/>
  <c r="H106" i="10" s="1"/>
  <c r="H108" i="10" l="1"/>
  <c r="I108" i="10" s="1"/>
  <c r="J108" i="10" s="1"/>
  <c r="K108" i="10" s="1"/>
  <c r="L108" i="10" s="1"/>
  <c r="M108" i="10" s="1"/>
  <c r="N108" i="10" s="1"/>
  <c r="O108" i="10" s="1"/>
  <c r="P108" i="10" s="1"/>
  <c r="Q108" i="10" s="1"/>
  <c r="R108" i="10" s="1"/>
  <c r="U102" i="10"/>
  <c r="D106" i="10"/>
  <c r="S89" i="10"/>
  <c r="S106" i="10" s="1"/>
  <c r="U89" i="10"/>
  <c r="T89" i="10"/>
  <c r="T106" i="10" s="1"/>
  <c r="U106" i="10" l="1"/>
</calcChain>
</file>

<file path=xl/sharedStrings.xml><?xml version="1.0" encoding="utf-8"?>
<sst xmlns="http://schemas.openxmlformats.org/spreadsheetml/2006/main" count="231" uniqueCount="105">
  <si>
    <t>BCA</t>
  </si>
  <si>
    <t>Mandiri</t>
  </si>
  <si>
    <t xml:space="preserve"> </t>
  </si>
  <si>
    <t>Cash IDR</t>
  </si>
  <si>
    <t>Non CB</t>
  </si>
  <si>
    <t>Jan</t>
  </si>
  <si>
    <t>DAFTAR AKTIVA &amp; PENYUSUTAN</t>
    <phoneticPr fontId="8" type="noConversion"/>
  </si>
  <si>
    <t>Harga Beli</t>
    <phoneticPr fontId="8" type="noConversion"/>
  </si>
  <si>
    <t>Bulan</t>
    <phoneticPr fontId="8" type="noConversion"/>
  </si>
  <si>
    <t>Nilai Buku</t>
    <phoneticPr fontId="8" type="noConversion"/>
  </si>
  <si>
    <t xml:space="preserve"> </t>
    <phoneticPr fontId="8" type="noConversion"/>
  </si>
  <si>
    <t>OFFICE EQUIPMENT</t>
    <phoneticPr fontId="8" type="noConversion"/>
  </si>
  <si>
    <t>Furniture : meja operation : 120x60x73</t>
    <phoneticPr fontId="8" type="noConversion"/>
  </si>
  <si>
    <t xml:space="preserve">Furniture : almari crezenda 100x40x84 </t>
    <phoneticPr fontId="8" type="noConversion"/>
  </si>
  <si>
    <t>Furniture : almari crezenda 122x28x110</t>
    <phoneticPr fontId="8" type="noConversion"/>
  </si>
  <si>
    <t>Lensa camera canon</t>
    <phoneticPr fontId="8" type="noConversion"/>
  </si>
  <si>
    <t>Furniture : Ruang Winda</t>
    <phoneticPr fontId="8" type="noConversion"/>
  </si>
  <si>
    <t>PC Desk top : Patrice</t>
    <phoneticPr fontId="8" type="noConversion"/>
  </si>
  <si>
    <t>Camera</t>
  </si>
  <si>
    <t>Perlengkapan printer photo</t>
  </si>
  <si>
    <t xml:space="preserve">Perlengkapan camera </t>
  </si>
  <si>
    <t>PC Team Operation</t>
  </si>
  <si>
    <t>1 unit Personal Computer u/Alex</t>
  </si>
  <si>
    <t>iPad for AH</t>
  </si>
  <si>
    <t>Camera for AH</t>
  </si>
  <si>
    <t>Bose Desk Speaker</t>
  </si>
  <si>
    <t>External Hard Disk Storage</t>
  </si>
  <si>
    <t>AC Daikin 2PK - Ruang AH</t>
  </si>
  <si>
    <t>Bose Soundlink : AUD 223.81</t>
  </si>
  <si>
    <t>MacBook Air : Ibu Anne</t>
  </si>
  <si>
    <t>PC Inu</t>
  </si>
  <si>
    <t>PC Fabio</t>
  </si>
  <si>
    <t>Samsung Tab - Sales</t>
  </si>
  <si>
    <t>Mesin Absensi</t>
  </si>
  <si>
    <t>Carpet lantai 2</t>
  </si>
  <si>
    <t>Portable Soundsystem</t>
  </si>
  <si>
    <t>LED TV Ruang Operation</t>
  </si>
  <si>
    <t>PC Upgrade</t>
  </si>
  <si>
    <t>i-Pad Pro</t>
  </si>
  <si>
    <t>Apple Key-board for iPad</t>
  </si>
  <si>
    <t>PC Meery          180629972         JULIATI</t>
  </si>
  <si>
    <t>MacBookPro Ibu Anne       MCM Outw CN  RD Hidianitje</t>
  </si>
  <si>
    <t>INFORMA-CINERE Depok : Gamma Chair</t>
  </si>
  <si>
    <t xml:space="preserve">VS Monitor AH     190211511  </t>
  </si>
  <si>
    <t xml:space="preserve">RouterHuawei B315 </t>
  </si>
  <si>
    <t xml:space="preserve">1PC + Pswt Telp   IV-191113272  </t>
  </si>
  <si>
    <t>Sincere Musik Jak Pus : Mixing MG10XU</t>
  </si>
  <si>
    <t>Apple earPods     RD HIDIANITJE</t>
  </si>
  <si>
    <t>Laptop ROG Event  IV-200910643      JULIATI</t>
  </si>
  <si>
    <t>Infonet Ambassador : Laptop Yogi</t>
  </si>
  <si>
    <t>Sandisk SSD Extreme Portable External 1TB</t>
  </si>
  <si>
    <t>Laptop Hewlett Peckard Omen</t>
  </si>
  <si>
    <t>Charger Mac Book Pro AH</t>
  </si>
  <si>
    <t>VEHICLE</t>
    <phoneticPr fontId="8" type="noConversion"/>
  </si>
  <si>
    <t>Avansa Type G 1300 Manual</t>
    <phoneticPr fontId="8" type="noConversion"/>
  </si>
  <si>
    <t>Motor cycle : Honda SupraX  F1</t>
    <phoneticPr fontId="8" type="noConversion"/>
  </si>
  <si>
    <t>Mercy E300</t>
  </si>
  <si>
    <t>Grand Livina</t>
    <phoneticPr fontId="8" type="noConversion"/>
  </si>
  <si>
    <t>BCA-NCB</t>
  </si>
  <si>
    <t>Avansa</t>
  </si>
  <si>
    <t>Mercy S Class : Rp. 2.050.000.000 (PCMI=1.741.026.555 - AH=308.973.445)</t>
  </si>
  <si>
    <t>Avansa Veloz - B 2850 SOO</t>
  </si>
  <si>
    <t>Mercy GLE250D - DH</t>
  </si>
  <si>
    <t>INTANGIBLE ASSET</t>
    <phoneticPr fontId="8" type="noConversion"/>
  </si>
  <si>
    <t>AC Daikin Ruang Meeting</t>
  </si>
  <si>
    <t>PC Streaming</t>
  </si>
  <si>
    <t>R2 COMP-HO Kenzo Computer : PC Fifi Hasanah</t>
  </si>
  <si>
    <t>APPLE.COM : USD. 3.374,04 Mac Book Pro DH</t>
  </si>
  <si>
    <t>BCA Biz</t>
  </si>
  <si>
    <t xml:space="preserve">LaptopAcer Patrice RD HIDIANITJE DRA  </t>
  </si>
  <si>
    <t>MID*Tokopedia - Pembelian digital signage magnustek 43 Inch Touch screen 4 unit</t>
  </si>
  <si>
    <t>Laptop HP Victus  Rizky Designer</t>
  </si>
  <si>
    <t>DP BizOps Software 24407 ANDIKA MULIA</t>
  </si>
  <si>
    <t>Hector Dimpos Computer Jak Pus - Beli VGA RTS Asus u/ PC Desiner (Supriatno)</t>
  </si>
  <si>
    <t>Des-22</t>
  </si>
  <si>
    <t>Andro It Surabaya - Asus Rog X16 - Atno</t>
  </si>
  <si>
    <t>PV-Admin Web Application</t>
  </si>
  <si>
    <t xml:space="preserve">Lunas Sys PCMI RD HIDIANITJE DRA  </t>
  </si>
  <si>
    <t>BCA Juanda</t>
  </si>
  <si>
    <t>Roof Top Lounge</t>
  </si>
  <si>
    <t>Denza</t>
  </si>
  <si>
    <t>2 0 2 5</t>
  </si>
  <si>
    <t>HRD System</t>
  </si>
  <si>
    <t>Laptop Asus : Atno</t>
  </si>
  <si>
    <t>Laptop HP : Frieda</t>
  </si>
  <si>
    <t>Laptop HP : Reviana</t>
  </si>
  <si>
    <t>Laptop HP : Odhey</t>
  </si>
  <si>
    <t>Laptop HP : Rizky</t>
  </si>
  <si>
    <t>Monitor Samsung 24" + LG 24"</t>
  </si>
  <si>
    <t>QR MOBLE SCANNER ZEBRA TC26 (3 Unit)</t>
  </si>
  <si>
    <t>QR MOBLE SCANNER ZEBRA TC26 (5 Unit)</t>
  </si>
  <si>
    <t xml:space="preserve">PV Admin Apps +an Menu CA ANDIKA MULIA  </t>
  </si>
  <si>
    <t xml:space="preserve">8 Clear Comm Fixed Asset DEKA BAHANA  </t>
  </si>
  <si>
    <t xml:space="preserve">DP HR System ANDIKA MULIA  </t>
  </si>
  <si>
    <t>DP Apps Reg+DoorP    00274 MCM InhouseTrf  KE ANDIKA MULIA - Internal Needs</t>
  </si>
  <si>
    <t>Lunas SysReg-DoorPrz 01108 MCM InhouseTrf  KE ANDIKA MULIA</t>
  </si>
  <si>
    <t>Add Cost Orbits Syst 01311 MCM InhouseTrf  KE ANDIKA MULIA</t>
  </si>
  <si>
    <t>Orbits System        01922  MCM InhouseTrf  KE ANDIKA MULIA</t>
  </si>
  <si>
    <t>APPLE STORE R736 SINGAPORE SG : MacBook Pro AH</t>
  </si>
  <si>
    <t>BLIBLI - pembelian ASUS ROG STRIX SCAR 15 G533ZX</t>
  </si>
  <si>
    <t>R2 Comp-Ho - Pembelian Laptop Untuk Clara</t>
  </si>
  <si>
    <t>Tokopedia.Com Jakarta Baratid - Pembelian air purifier ruangan AH</t>
  </si>
  <si>
    <t>R2 Comp-Ho Jakarta Pusatid - Pembelian NVME SSD 2TB, SSD 512GB utk PC PV admin dan Keyboard untuk sales</t>
  </si>
  <si>
    <t>s/d 2024</t>
  </si>
  <si>
    <t>S/D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</si>
</sst>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(* #,##0_);_(* \(#,##0\);_(* &quot;-&quot;_);_(@_)"/>
    <numFmt numFmtId="43" formatCode="_(* #,##0.00_);_(* \(#,##0.00\);_(* &quot;-&quot;??_);_(@_)"/>
    <numFmt numFmtId="165" formatCode="_(* #,##0.00_);_(* \(#,##0.00\);_(* &quot;-&quot;_);_(@_)"/>
    <numFmt numFmtId="167" formatCode="_-* #,##0.00_-;\-* #,##0.00_-;_-* &quot;-&quot;??_-;_-@_-"/>
    <numFmt numFmtId="168" formatCode="_(* #,##0_);_(* \(#,##0\);_(* &quot;-&quot;??_);_(@_)"/>
    <numFmt numFmtId="169" formatCode="_-* #,##0_-;\-* #,##0_-;_-* &quot;-&quot;_-;_-@_-"/>
  </numFmts>
  <fonts count="12">
    <font>
      <sz val="12"/>
      <color theme="1"/>
      <name val="TimesNewRomanPSMT"/>
      <family val="2"/>
    </font>
    <font>
      <sz val="12"/>
      <color theme="1"/>
      <name val="TimesNewRomanPSMT"/>
      <family val="2"/>
    </font>
    <font>
      <sz val="12"/>
      <name val="TimesNewRomanPSMT"/>
    </font>
    <font>
      <sz val="12"/>
      <name val="TimesNewRomanPSMT"/>
      <family val="2"/>
    </font>
    <font>
      <sz val="12"/>
      <color theme="1"/>
      <name val="TimesNewRomanPSMT"/>
    </font>
    <font>
      <sz val="11"/>
      <color theme="1"/>
      <name val="Calibri"/>
      <family val="2"/>
      <charset val="1"/>
      <scheme val="minor"/>
    </font>
    <font>
      <sz val="12"/>
      <name val="Times New Roman"/>
      <family val="1"/>
    </font>
    <font>
      <b/>
      <sz val="12"/>
      <name val="Times New Roman"/>
      <family val="1"/>
    </font>
    <font>
      <b/>
      <sz val="12"/>
      <name val="Arial"/>
      <family val="2"/>
    </font>
    <font>
      <sz val="12"/>
      <name val="Verdana"/>
      <family val="2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/>
    <xf numFmtId="41" fontId="1" fillId="0" borderId="0" applyFont="0" applyFill="0" applyBorder="0" applyAlignment="0" applyProtection="0"/>
    <xf numFmtId="0" fontId="5" fillId="0" borderId="0"/>
    <xf numFmtId="0" fontId="6" fillId="0" borderId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1" fontId="5" fillId="0" borderId="0" applyFont="0" applyFill="0" applyBorder="0" applyAlignment="0" applyProtection="0"/>
    <xf numFmtId="169" fontId="6" fillId="0" borderId="0" applyFont="0" applyFill="0" applyBorder="0" applyAlignment="0" applyProtection="0"/>
    <xf numFmtId="0" fontId="10" fillId="0" borderId="0"/>
    <xf numFmtId="41" fontId="5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169" fontId="6" fillId="0" borderId="0" applyFont="0" applyFill="0" applyBorder="0" applyAlignment="0" applyProtection="0"/>
    <xf numFmtId="0" fontId="6" fillId="0" borderId="0"/>
    <xf numFmtId="0" fontId="1" fillId="0" borderId="0"/>
  </cellStyleXfs>
  <cellXfs count="32">
    <xf numFmtId="0" fontId="0" fillId="0" borderId="0" xfId="0"/>
    <xf numFmtId="0" fontId="2" fillId="0" borderId="0" xfId="0" applyFont="1"/>
    <xf numFmtId="0" fontId="3" fillId="0" borderId="0" xfId="0" quotePrefix="1" applyFont="1"/>
    <xf numFmtId="165" fontId="2" fillId="0" borderId="0" xfId="1" applyNumberFormat="1" applyFont="1"/>
    <xf numFmtId="0" fontId="6" fillId="0" borderId="0" xfId="3"/>
    <xf numFmtId="0" fontId="6" fillId="0" borderId="0" xfId="3" applyAlignment="1">
      <alignment horizontal="center"/>
    </xf>
    <xf numFmtId="0" fontId="6" fillId="0" borderId="0" xfId="0" applyFont="1"/>
    <xf numFmtId="41" fontId="3" fillId="0" borderId="0" xfId="1" applyFont="1" applyFill="1"/>
    <xf numFmtId="165" fontId="2" fillId="0" borderId="0" xfId="1" applyNumberFormat="1" applyFont="1" applyFill="1"/>
    <xf numFmtId="165" fontId="0" fillId="0" borderId="0" xfId="4" applyNumberFormat="1" applyFont="1"/>
    <xf numFmtId="41" fontId="0" fillId="0" borderId="0" xfId="4" applyFont="1" applyAlignment="1">
      <alignment horizontal="center"/>
    </xf>
    <xf numFmtId="0" fontId="7" fillId="0" borderId="0" xfId="3" applyFont="1" applyAlignment="1">
      <alignment horizontal="left"/>
    </xf>
    <xf numFmtId="17" fontId="6" fillId="0" borderId="0" xfId="3" applyNumberFormat="1" applyAlignment="1">
      <alignment horizontal="center"/>
    </xf>
    <xf numFmtId="17" fontId="6" fillId="0" borderId="0" xfId="3" applyNumberFormat="1"/>
    <xf numFmtId="17" fontId="9" fillId="0" borderId="0" xfId="3" applyNumberFormat="1" applyFont="1" applyAlignment="1">
      <alignment horizontal="center"/>
    </xf>
    <xf numFmtId="0" fontId="7" fillId="0" borderId="0" xfId="3" applyFont="1"/>
    <xf numFmtId="168" fontId="6" fillId="0" borderId="0" xfId="4" applyNumberFormat="1" applyFont="1"/>
    <xf numFmtId="41" fontId="6" fillId="0" borderId="0" xfId="4" applyFont="1" applyAlignment="1">
      <alignment horizontal="center"/>
    </xf>
    <xf numFmtId="41" fontId="0" fillId="0" borderId="0" xfId="4" applyFont="1"/>
    <xf numFmtId="41" fontId="6" fillId="0" borderId="0" xfId="3" applyNumberFormat="1"/>
    <xf numFmtId="168" fontId="6" fillId="0" borderId="0" xfId="3" applyNumberFormat="1"/>
    <xf numFmtId="15" fontId="6" fillId="0" borderId="0" xfId="3" applyNumberFormat="1" applyAlignment="1">
      <alignment horizontal="center"/>
    </xf>
    <xf numFmtId="168" fontId="0" fillId="0" borderId="0" xfId="4" applyNumberFormat="1" applyFont="1"/>
    <xf numFmtId="168" fontId="7" fillId="0" borderId="0" xfId="4" applyNumberFormat="1" applyFont="1"/>
    <xf numFmtId="41" fontId="6" fillId="0" borderId="0" xfId="4" applyFont="1"/>
    <xf numFmtId="41" fontId="7" fillId="0" borderId="0" xfId="4" applyFont="1"/>
    <xf numFmtId="168" fontId="7" fillId="0" borderId="0" xfId="3" applyNumberFormat="1" applyFont="1"/>
    <xf numFmtId="41" fontId="7" fillId="0" borderId="0" xfId="3" applyNumberFormat="1" applyFont="1"/>
    <xf numFmtId="165" fontId="6" fillId="0" borderId="0" xfId="1" applyNumberFormat="1" applyFont="1" applyFill="1"/>
    <xf numFmtId="41" fontId="0" fillId="0" borderId="0" xfId="1" applyFont="1"/>
    <xf numFmtId="41" fontId="6" fillId="0" borderId="0" xfId="1" applyFont="1"/>
    <xf numFmtId="0" fontId="4" fillId="0" borderId="0" xfId="0" applyFont="1" applyAlignment="1">
      <alignment horizontal="left"/>
    </xf>
  </cellXfs>
  <cellStyles count="20">
    <cellStyle name="Comma [0]" xfId="1" builtinId="6"/>
    <cellStyle name="Comma [0] 2" xfId="4" xr:uid="{E206625D-CE92-B946-878E-6AA0829E898C}"/>
    <cellStyle name="Comma [0] 2 2" xfId="12" xr:uid="{2A804006-5001-5049-84D3-FB258FE2E1AB}"/>
    <cellStyle name="Comma [0] 2 3" xfId="5" xr:uid="{20A799B3-BE5A-964F-BE1E-1391E29E7052}"/>
    <cellStyle name="Comma [0] 2 3 2" xfId="10" xr:uid="{6B5DF09C-6668-004E-832C-859692394773}"/>
    <cellStyle name="Comma [0] 2 3 2 2" xfId="17" xr:uid="{2EC272E1-F154-DE4D-8FFC-1738E0F2B485}"/>
    <cellStyle name="Comma [0] 3" xfId="9" xr:uid="{DCC47050-EC02-4040-8ED8-306B64C985B1}"/>
    <cellStyle name="Comma [0] 4" xfId="16" xr:uid="{5B145FB2-4D0A-B249-B369-54ABF0C38C9B}"/>
    <cellStyle name="Comma 2" xfId="6" xr:uid="{EAAE8118-4A1E-3049-ADC2-FB2BB5557A52}"/>
    <cellStyle name="Comma 2 2" xfId="7" xr:uid="{B0896BE0-35A1-2F49-8BC0-6D90093B48F4}"/>
    <cellStyle name="Comma 3" xfId="13" xr:uid="{D01750FA-08E4-0C47-9357-0F62E9D605A3}"/>
    <cellStyle name="Comma 4" xfId="15" xr:uid="{A2EC2101-5781-AC44-BED5-F1BDBB670F1A}"/>
    <cellStyle name="Normal" xfId="0" builtinId="0"/>
    <cellStyle name="Normal 2" xfId="2" xr:uid="{3B5401B9-DE75-EB48-9DE0-B2B7DAD183EC}"/>
    <cellStyle name="Normal 2 2" xfId="8" xr:uid="{54DAEB53-87F6-084C-A87B-7176E7EB83C2}"/>
    <cellStyle name="Normal 2 3" xfId="19" xr:uid="{FA86753D-0FFC-1948-8EF3-B2B2A5BEC3D7}"/>
    <cellStyle name="Normal 3" xfId="14" xr:uid="{8B874317-EAD8-D042-9017-3A3DD28E4B28}"/>
    <cellStyle name="Normal 3 4 2" xfId="11" xr:uid="{B424239B-ED7C-D142-AC4A-5D267E1997FC}"/>
    <cellStyle name="Normal 3 6" xfId="3" xr:uid="{0DE30895-D5B6-4F42-8773-FC3E05E857CB}"/>
    <cellStyle name="Normal 3 6 2" xfId="18" xr:uid="{8ECA74BB-2D76-474D-9277-CB573693B10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2EEDF-8A16-3C46-A7B3-857B99C3D466}">
  <sheetPr>
    <pageSetUpPr fitToPage="1"/>
  </sheetPr>
  <dimension ref="A2:V147"/>
  <sheetViews>
    <sheetView tabSelected="1" workbookViewId="0">
      <selection activeCell="C20" sqref="C20"/>
    </sheetView>
  </sheetViews>
  <sheetFormatPr baseColWidth="10" defaultRowHeight="16"/>
  <cols>
    <col min="1" max="2" width="11.33203125" style="4" customWidth="1"/>
    <col min="3" max="3" width="69" style="4" customWidth="1"/>
    <col min="4" max="4" width="14.33203125" style="4" customWidth="1"/>
    <col min="5" max="5" width="6.6640625" style="4" customWidth="1"/>
    <col min="6" max="6" width="13.83203125" style="4" customWidth="1"/>
    <col min="7" max="7" width="12.6640625" style="4" customWidth="1"/>
    <col min="8" max="8" width="11.6640625" style="4" customWidth="1"/>
    <col min="9" max="9" width="12.5" style="4" customWidth="1"/>
    <col min="10" max="10" width="12.6640625" style="4" customWidth="1"/>
    <col min="11" max="11" width="12.5" style="4" customWidth="1"/>
    <col min="12" max="12" width="12.83203125" style="4" customWidth="1"/>
    <col min="13" max="13" width="13.1640625" style="4" customWidth="1"/>
    <col min="14" max="14" width="13" style="4" customWidth="1"/>
    <col min="15" max="15" width="13.1640625" style="4" customWidth="1"/>
    <col min="16" max="16" width="12.83203125" style="4" customWidth="1"/>
    <col min="17" max="17" width="13.33203125" style="4" customWidth="1"/>
    <col min="18" max="18" width="13.1640625" style="4" customWidth="1"/>
    <col min="19" max="20" width="16.33203125" style="4" customWidth="1"/>
    <col min="21" max="21" width="15.83203125" style="4" customWidth="1"/>
    <col min="22" max="16384" width="10.83203125" style="4"/>
  </cols>
  <sheetData>
    <row r="2" spans="1:22">
      <c r="A2" s="11" t="s">
        <v>6</v>
      </c>
      <c r="B2" s="11"/>
    </row>
    <row r="3" spans="1:22">
      <c r="A3" s="5"/>
      <c r="B3" s="5"/>
      <c r="D3" s="5" t="s">
        <v>7</v>
      </c>
      <c r="E3" s="4" t="s">
        <v>8</v>
      </c>
      <c r="F3" s="5" t="s">
        <v>103</v>
      </c>
      <c r="G3" s="12">
        <v>45658</v>
      </c>
      <c r="H3" s="12">
        <v>45689</v>
      </c>
      <c r="I3" s="12">
        <v>45717</v>
      </c>
      <c r="J3" s="12">
        <v>45748</v>
      </c>
      <c r="K3" s="12">
        <v>45778</v>
      </c>
      <c r="L3" s="12">
        <v>45809</v>
      </c>
      <c r="M3" s="12">
        <v>45839</v>
      </c>
      <c r="N3" s="12">
        <v>45870</v>
      </c>
      <c r="O3" s="12">
        <v>45901</v>
      </c>
      <c r="P3" s="12">
        <v>45931</v>
      </c>
      <c r="Q3" s="12">
        <v>45962</v>
      </c>
      <c r="R3" s="12">
        <v>45992</v>
      </c>
      <c r="S3" s="12" t="s">
        <v>81</v>
      </c>
      <c r="T3" s="12" t="s">
        <v>104</v>
      </c>
      <c r="U3" s="12" t="s">
        <v>9</v>
      </c>
      <c r="V3" s="13" t="s">
        <v>10</v>
      </c>
    </row>
    <row r="4" spans="1:22">
      <c r="A4" s="5"/>
      <c r="B4" s="5"/>
      <c r="D4" s="5"/>
      <c r="F4" s="4" t="s">
        <v>2</v>
      </c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3"/>
    </row>
    <row r="5" spans="1:22">
      <c r="A5" s="5"/>
      <c r="B5" s="5"/>
      <c r="C5" s="15" t="s">
        <v>11</v>
      </c>
      <c r="D5" s="5"/>
      <c r="E5" s="5" t="s">
        <v>2</v>
      </c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3"/>
    </row>
    <row r="6" spans="1:22">
      <c r="A6" s="21">
        <v>40191</v>
      </c>
      <c r="B6" s="21"/>
      <c r="C6" s="4" t="s">
        <v>12</v>
      </c>
      <c r="D6" s="29">
        <v>2050000</v>
      </c>
      <c r="E6" s="5">
        <v>36</v>
      </c>
      <c r="F6" s="17">
        <v>2050000.0000000005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18">
        <f t="shared" ref="S6:S36" si="0">SUM(G6:R6)</f>
        <v>0</v>
      </c>
      <c r="T6" s="18">
        <f t="shared" ref="T6:T36" si="1">+F6+S6</f>
        <v>2050000.0000000005</v>
      </c>
      <c r="U6" s="19">
        <f t="shared" ref="U6:U36" si="2">+D6-T6</f>
        <v>0</v>
      </c>
      <c r="V6" s="13"/>
    </row>
    <row r="7" spans="1:22">
      <c r="A7" s="21">
        <v>40191</v>
      </c>
      <c r="B7" s="21"/>
      <c r="C7" s="4" t="s">
        <v>13</v>
      </c>
      <c r="D7" s="29">
        <v>7200000</v>
      </c>
      <c r="E7" s="5">
        <v>36</v>
      </c>
      <c r="F7" s="17">
        <v>7200000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18">
        <f t="shared" si="0"/>
        <v>0</v>
      </c>
      <c r="T7" s="18">
        <f t="shared" si="1"/>
        <v>7200000</v>
      </c>
      <c r="U7" s="19">
        <f t="shared" si="2"/>
        <v>0</v>
      </c>
      <c r="V7" s="13"/>
    </row>
    <row r="8" spans="1:22">
      <c r="A8" s="21">
        <v>40191</v>
      </c>
      <c r="B8" s="21"/>
      <c r="C8" s="4" t="s">
        <v>14</v>
      </c>
      <c r="D8" s="29">
        <v>3100000</v>
      </c>
      <c r="E8" s="5">
        <v>36</v>
      </c>
      <c r="F8" s="17">
        <v>3100000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18">
        <f t="shared" si="0"/>
        <v>0</v>
      </c>
      <c r="T8" s="18">
        <f t="shared" si="1"/>
        <v>3100000</v>
      </c>
      <c r="U8" s="19">
        <f t="shared" si="2"/>
        <v>0</v>
      </c>
      <c r="V8" s="13"/>
    </row>
    <row r="9" spans="1:22">
      <c r="A9" s="21">
        <v>40753</v>
      </c>
      <c r="B9" s="21"/>
      <c r="C9" s="4" t="s">
        <v>15</v>
      </c>
      <c r="D9" s="30">
        <v>20601681</v>
      </c>
      <c r="E9" s="5">
        <v>36</v>
      </c>
      <c r="F9" s="17">
        <v>20601681</v>
      </c>
      <c r="G9" s="18">
        <v>0</v>
      </c>
      <c r="H9" s="18">
        <v>0</v>
      </c>
      <c r="I9" s="18">
        <v>0</v>
      </c>
      <c r="J9" s="18">
        <v>0</v>
      </c>
      <c r="K9" s="18">
        <v>0</v>
      </c>
      <c r="L9" s="18">
        <v>0</v>
      </c>
      <c r="M9" s="18">
        <v>0</v>
      </c>
      <c r="N9" s="18">
        <v>0</v>
      </c>
      <c r="O9" s="18">
        <v>0</v>
      </c>
      <c r="P9" s="18">
        <v>0</v>
      </c>
      <c r="Q9" s="18">
        <v>0</v>
      </c>
      <c r="R9" s="18">
        <v>0</v>
      </c>
      <c r="S9" s="18">
        <f t="shared" si="0"/>
        <v>0</v>
      </c>
      <c r="T9" s="18">
        <f t="shared" si="1"/>
        <v>20601681</v>
      </c>
      <c r="U9" s="19">
        <f t="shared" si="2"/>
        <v>0</v>
      </c>
    </row>
    <row r="10" spans="1:22">
      <c r="A10" s="21">
        <v>40871</v>
      </c>
      <c r="B10" s="21"/>
      <c r="C10" s="4" t="s">
        <v>15</v>
      </c>
      <c r="D10" s="30">
        <v>12700000</v>
      </c>
      <c r="E10" s="5">
        <v>36</v>
      </c>
      <c r="F10" s="17">
        <v>12700000.000000002</v>
      </c>
      <c r="G10" s="18">
        <v>0</v>
      </c>
      <c r="H10" s="18">
        <v>0</v>
      </c>
      <c r="I10" s="18">
        <v>0</v>
      </c>
      <c r="J10" s="18">
        <v>0</v>
      </c>
      <c r="K10" s="18">
        <v>0</v>
      </c>
      <c r="L10" s="18">
        <v>0</v>
      </c>
      <c r="M10" s="18">
        <v>0</v>
      </c>
      <c r="N10" s="18">
        <v>0</v>
      </c>
      <c r="O10" s="18">
        <v>0</v>
      </c>
      <c r="P10" s="18">
        <v>0</v>
      </c>
      <c r="Q10" s="18">
        <v>0</v>
      </c>
      <c r="R10" s="18">
        <v>0</v>
      </c>
      <c r="S10" s="18">
        <f t="shared" si="0"/>
        <v>0</v>
      </c>
      <c r="T10" s="18">
        <f t="shared" si="1"/>
        <v>12700000.000000002</v>
      </c>
      <c r="U10" s="19">
        <f t="shared" si="2"/>
        <v>0</v>
      </c>
    </row>
    <row r="11" spans="1:22">
      <c r="A11" s="21">
        <v>40896</v>
      </c>
      <c r="B11" s="21"/>
      <c r="C11" s="4" t="s">
        <v>16</v>
      </c>
      <c r="D11" s="30">
        <v>6435000</v>
      </c>
      <c r="E11" s="5">
        <v>36</v>
      </c>
      <c r="F11" s="17">
        <v>6435000</v>
      </c>
      <c r="G11" s="18">
        <v>0</v>
      </c>
      <c r="H11" s="18">
        <v>0</v>
      </c>
      <c r="I11" s="18">
        <v>0</v>
      </c>
      <c r="J11" s="18">
        <v>0</v>
      </c>
      <c r="K11" s="18">
        <v>0</v>
      </c>
      <c r="L11" s="18">
        <v>0</v>
      </c>
      <c r="M11" s="18">
        <v>0</v>
      </c>
      <c r="N11" s="18">
        <v>0</v>
      </c>
      <c r="O11" s="18">
        <v>0</v>
      </c>
      <c r="P11" s="18">
        <v>0</v>
      </c>
      <c r="Q11" s="18">
        <v>0</v>
      </c>
      <c r="R11" s="18">
        <v>0</v>
      </c>
      <c r="S11" s="18">
        <f t="shared" si="0"/>
        <v>0</v>
      </c>
      <c r="T11" s="18">
        <f t="shared" si="1"/>
        <v>6435000</v>
      </c>
      <c r="U11" s="19">
        <f t="shared" si="2"/>
        <v>0</v>
      </c>
    </row>
    <row r="12" spans="1:22">
      <c r="A12" s="21">
        <v>40896</v>
      </c>
      <c r="B12" s="21"/>
      <c r="C12" s="4" t="s">
        <v>17</v>
      </c>
      <c r="D12" s="30">
        <v>6000000</v>
      </c>
      <c r="E12" s="5">
        <v>36</v>
      </c>
      <c r="F12" s="17">
        <v>6000000</v>
      </c>
      <c r="G12" s="18">
        <v>0</v>
      </c>
      <c r="H12" s="18">
        <v>0</v>
      </c>
      <c r="I12" s="18">
        <v>0</v>
      </c>
      <c r="J12" s="18">
        <v>0</v>
      </c>
      <c r="K12" s="18">
        <v>0</v>
      </c>
      <c r="L12" s="18">
        <v>0</v>
      </c>
      <c r="M12" s="18">
        <v>0</v>
      </c>
      <c r="N12" s="18">
        <v>0</v>
      </c>
      <c r="O12" s="18">
        <v>0</v>
      </c>
      <c r="P12" s="18">
        <v>0</v>
      </c>
      <c r="Q12" s="18">
        <v>0</v>
      </c>
      <c r="R12" s="18">
        <v>0</v>
      </c>
      <c r="S12" s="18">
        <f t="shared" si="0"/>
        <v>0</v>
      </c>
      <c r="T12" s="18">
        <f t="shared" si="1"/>
        <v>6000000</v>
      </c>
      <c r="U12" s="19">
        <f t="shared" si="2"/>
        <v>0</v>
      </c>
    </row>
    <row r="13" spans="1:22">
      <c r="A13" s="21">
        <v>40911</v>
      </c>
      <c r="B13" s="21"/>
      <c r="C13" s="4" t="s">
        <v>18</v>
      </c>
      <c r="D13" s="30">
        <v>9400000</v>
      </c>
      <c r="E13" s="5">
        <v>36</v>
      </c>
      <c r="F13" s="17">
        <v>9399999.9999999981</v>
      </c>
      <c r="G13" s="18">
        <v>0</v>
      </c>
      <c r="H13" s="18">
        <v>0</v>
      </c>
      <c r="I13" s="18">
        <v>0</v>
      </c>
      <c r="J13" s="18">
        <v>0</v>
      </c>
      <c r="K13" s="18">
        <v>0</v>
      </c>
      <c r="L13" s="18">
        <v>0</v>
      </c>
      <c r="M13" s="18">
        <v>0</v>
      </c>
      <c r="N13" s="18">
        <v>0</v>
      </c>
      <c r="O13" s="18">
        <v>0</v>
      </c>
      <c r="P13" s="18">
        <v>0</v>
      </c>
      <c r="Q13" s="18">
        <v>0</v>
      </c>
      <c r="R13" s="18">
        <v>0</v>
      </c>
      <c r="S13" s="18">
        <f t="shared" si="0"/>
        <v>0</v>
      </c>
      <c r="T13" s="18">
        <f t="shared" si="1"/>
        <v>9399999.9999999981</v>
      </c>
      <c r="U13" s="19">
        <f t="shared" si="2"/>
        <v>0</v>
      </c>
    </row>
    <row r="14" spans="1:22">
      <c r="A14" s="21">
        <v>40973</v>
      </c>
      <c r="B14" s="21"/>
      <c r="C14" s="4" t="s">
        <v>19</v>
      </c>
      <c r="D14" s="30">
        <v>10250000</v>
      </c>
      <c r="E14" s="5">
        <v>36</v>
      </c>
      <c r="F14" s="17">
        <v>10249999.999999998</v>
      </c>
      <c r="G14" s="18">
        <v>0</v>
      </c>
      <c r="H14" s="18">
        <v>0</v>
      </c>
      <c r="I14" s="18">
        <v>0</v>
      </c>
      <c r="J14" s="18">
        <v>0</v>
      </c>
      <c r="K14" s="18">
        <v>0</v>
      </c>
      <c r="L14" s="18">
        <v>0</v>
      </c>
      <c r="M14" s="18">
        <v>0</v>
      </c>
      <c r="N14" s="18">
        <v>0</v>
      </c>
      <c r="O14" s="18">
        <v>0</v>
      </c>
      <c r="P14" s="18">
        <v>0</v>
      </c>
      <c r="Q14" s="18">
        <v>0</v>
      </c>
      <c r="R14" s="18">
        <v>0</v>
      </c>
      <c r="S14" s="18">
        <f t="shared" si="0"/>
        <v>0</v>
      </c>
      <c r="T14" s="18">
        <f t="shared" si="1"/>
        <v>10249999.999999998</v>
      </c>
      <c r="U14" s="19">
        <f t="shared" si="2"/>
        <v>0</v>
      </c>
    </row>
    <row r="15" spans="1:22">
      <c r="A15" s="21">
        <v>40973</v>
      </c>
      <c r="B15" s="21"/>
      <c r="C15" s="4" t="s">
        <v>20</v>
      </c>
      <c r="D15" s="30">
        <v>1217000</v>
      </c>
      <c r="E15" s="5">
        <v>36</v>
      </c>
      <c r="F15" s="17">
        <v>1217000</v>
      </c>
      <c r="G15" s="18">
        <v>0</v>
      </c>
      <c r="H15" s="18">
        <v>0</v>
      </c>
      <c r="I15" s="18">
        <v>0</v>
      </c>
      <c r="J15" s="18">
        <v>0</v>
      </c>
      <c r="K15" s="18">
        <v>0</v>
      </c>
      <c r="L15" s="18">
        <v>0</v>
      </c>
      <c r="M15" s="18">
        <v>0</v>
      </c>
      <c r="N15" s="18">
        <v>0</v>
      </c>
      <c r="O15" s="18">
        <v>0</v>
      </c>
      <c r="P15" s="18">
        <v>0</v>
      </c>
      <c r="Q15" s="18">
        <v>0</v>
      </c>
      <c r="R15" s="18">
        <v>0</v>
      </c>
      <c r="S15" s="18">
        <f t="shared" si="0"/>
        <v>0</v>
      </c>
      <c r="T15" s="18">
        <f t="shared" si="1"/>
        <v>1217000</v>
      </c>
      <c r="U15" s="19">
        <f t="shared" si="2"/>
        <v>0</v>
      </c>
    </row>
    <row r="16" spans="1:22">
      <c r="A16" s="21">
        <v>41262</v>
      </c>
      <c r="B16" s="21"/>
      <c r="C16" s="4" t="s">
        <v>21</v>
      </c>
      <c r="D16" s="30">
        <v>10000000</v>
      </c>
      <c r="E16" s="5">
        <v>36</v>
      </c>
      <c r="F16" s="17">
        <v>10000000.000000002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f t="shared" si="0"/>
        <v>0</v>
      </c>
      <c r="T16" s="18">
        <f t="shared" si="1"/>
        <v>10000000.000000002</v>
      </c>
      <c r="U16" s="19">
        <f t="shared" si="2"/>
        <v>0</v>
      </c>
    </row>
    <row r="17" spans="1:21">
      <c r="A17" s="21">
        <v>41262</v>
      </c>
      <c r="B17" s="21"/>
      <c r="C17" s="4" t="s">
        <v>21</v>
      </c>
      <c r="D17" s="30">
        <v>228000</v>
      </c>
      <c r="E17" s="5">
        <v>36</v>
      </c>
      <c r="F17" s="17">
        <v>228000</v>
      </c>
      <c r="G17" s="18">
        <v>0</v>
      </c>
      <c r="H17" s="18">
        <v>0</v>
      </c>
      <c r="I17" s="18">
        <v>0</v>
      </c>
      <c r="J17" s="18">
        <v>0</v>
      </c>
      <c r="K17" s="18">
        <v>0</v>
      </c>
      <c r="L17" s="18">
        <v>0</v>
      </c>
      <c r="M17" s="18">
        <v>0</v>
      </c>
      <c r="N17" s="18">
        <v>0</v>
      </c>
      <c r="O17" s="18">
        <v>0</v>
      </c>
      <c r="P17" s="18">
        <v>0</v>
      </c>
      <c r="Q17" s="18">
        <v>0</v>
      </c>
      <c r="R17" s="18">
        <v>0</v>
      </c>
      <c r="S17" s="18">
        <f t="shared" si="0"/>
        <v>0</v>
      </c>
      <c r="T17" s="18">
        <f t="shared" si="1"/>
        <v>228000</v>
      </c>
      <c r="U17" s="19">
        <f t="shared" si="2"/>
        <v>0</v>
      </c>
    </row>
    <row r="18" spans="1:21">
      <c r="A18" s="21">
        <v>40935</v>
      </c>
      <c r="B18" s="21"/>
      <c r="C18" s="4" t="s">
        <v>22</v>
      </c>
      <c r="D18" s="30">
        <v>7000000</v>
      </c>
      <c r="E18" s="5">
        <v>36</v>
      </c>
      <c r="F18" s="17">
        <v>7000000</v>
      </c>
      <c r="G18" s="18">
        <v>0</v>
      </c>
      <c r="H18" s="18">
        <v>0</v>
      </c>
      <c r="I18" s="18">
        <v>0</v>
      </c>
      <c r="J18" s="18">
        <v>0</v>
      </c>
      <c r="K18" s="18">
        <v>0</v>
      </c>
      <c r="L18" s="18">
        <v>0</v>
      </c>
      <c r="M18" s="18">
        <v>0</v>
      </c>
      <c r="N18" s="18">
        <v>0</v>
      </c>
      <c r="O18" s="18">
        <v>0</v>
      </c>
      <c r="P18" s="18">
        <v>0</v>
      </c>
      <c r="Q18" s="18">
        <v>0</v>
      </c>
      <c r="R18" s="18">
        <v>0</v>
      </c>
      <c r="S18" s="18">
        <f t="shared" si="0"/>
        <v>0</v>
      </c>
      <c r="T18" s="18">
        <f t="shared" si="1"/>
        <v>7000000</v>
      </c>
      <c r="U18" s="19">
        <f t="shared" si="2"/>
        <v>0</v>
      </c>
    </row>
    <row r="19" spans="1:21">
      <c r="A19" s="21">
        <v>41348</v>
      </c>
      <c r="B19" s="21" t="s">
        <v>3</v>
      </c>
      <c r="C19" s="4" t="s">
        <v>24</v>
      </c>
      <c r="D19" s="30">
        <v>6500000</v>
      </c>
      <c r="E19" s="5">
        <v>36</v>
      </c>
      <c r="F19" s="17">
        <v>6499999.9999999991</v>
      </c>
      <c r="G19" s="18">
        <v>0</v>
      </c>
      <c r="H19" s="18">
        <v>0</v>
      </c>
      <c r="I19" s="18">
        <v>0</v>
      </c>
      <c r="J19" s="18">
        <v>0</v>
      </c>
      <c r="K19" s="18">
        <v>0</v>
      </c>
      <c r="L19" s="18">
        <v>0</v>
      </c>
      <c r="M19" s="18">
        <v>0</v>
      </c>
      <c r="N19" s="18">
        <v>0</v>
      </c>
      <c r="O19" s="18">
        <v>0</v>
      </c>
      <c r="P19" s="18">
        <v>0</v>
      </c>
      <c r="Q19" s="18">
        <v>0</v>
      </c>
      <c r="R19" s="18">
        <v>0</v>
      </c>
      <c r="S19" s="18">
        <f t="shared" si="0"/>
        <v>0</v>
      </c>
      <c r="T19" s="18">
        <f t="shared" si="1"/>
        <v>6499999.9999999991</v>
      </c>
      <c r="U19" s="19">
        <f t="shared" si="2"/>
        <v>0</v>
      </c>
    </row>
    <row r="20" spans="1:21">
      <c r="A20" s="21">
        <v>41820</v>
      </c>
      <c r="B20" s="21" t="s">
        <v>4</v>
      </c>
      <c r="C20" s="4" t="s">
        <v>26</v>
      </c>
      <c r="D20" s="30">
        <v>8563249</v>
      </c>
      <c r="E20" s="5">
        <v>36</v>
      </c>
      <c r="F20" s="10">
        <v>8563249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f t="shared" si="0"/>
        <v>0</v>
      </c>
      <c r="T20" s="18">
        <f t="shared" si="1"/>
        <v>8563249</v>
      </c>
      <c r="U20" s="19">
        <f t="shared" si="2"/>
        <v>0</v>
      </c>
    </row>
    <row r="21" spans="1:21">
      <c r="A21" s="21">
        <v>42010</v>
      </c>
      <c r="B21" s="21" t="s">
        <v>0</v>
      </c>
      <c r="C21" s="4" t="s">
        <v>27</v>
      </c>
      <c r="D21" s="30">
        <v>15220000</v>
      </c>
      <c r="E21" s="5">
        <v>36</v>
      </c>
      <c r="F21" s="10">
        <v>15220000.000000004</v>
      </c>
      <c r="G21" s="18">
        <v>0</v>
      </c>
      <c r="H21" s="18">
        <v>0</v>
      </c>
      <c r="I21" s="18">
        <v>0</v>
      </c>
      <c r="J21" s="18">
        <v>0</v>
      </c>
      <c r="K21" s="18">
        <v>0</v>
      </c>
      <c r="L21" s="18">
        <v>0</v>
      </c>
      <c r="M21" s="18">
        <v>0</v>
      </c>
      <c r="N21" s="18">
        <v>0</v>
      </c>
      <c r="O21" s="18">
        <v>0</v>
      </c>
      <c r="P21" s="18">
        <v>0</v>
      </c>
      <c r="Q21" s="18">
        <v>0</v>
      </c>
      <c r="R21" s="18">
        <v>0</v>
      </c>
      <c r="S21" s="18">
        <f t="shared" si="0"/>
        <v>0</v>
      </c>
      <c r="T21" s="18">
        <f t="shared" si="1"/>
        <v>15220000.000000004</v>
      </c>
      <c r="U21" s="19">
        <f t="shared" si="2"/>
        <v>0</v>
      </c>
    </row>
    <row r="22" spans="1:21">
      <c r="A22" s="21">
        <v>42209</v>
      </c>
      <c r="B22" s="21" t="s">
        <v>4</v>
      </c>
      <c r="C22" s="4" t="s">
        <v>28</v>
      </c>
      <c r="D22" s="30">
        <v>2344203</v>
      </c>
      <c r="E22" s="5">
        <v>36</v>
      </c>
      <c r="F22" s="10">
        <v>2344203</v>
      </c>
      <c r="G22" s="18">
        <v>0</v>
      </c>
      <c r="H22" s="18">
        <v>0</v>
      </c>
      <c r="I22" s="18">
        <v>0</v>
      </c>
      <c r="J22" s="18">
        <v>0</v>
      </c>
      <c r="K22" s="18">
        <v>0</v>
      </c>
      <c r="L22" s="18">
        <v>0</v>
      </c>
      <c r="M22" s="18">
        <v>0</v>
      </c>
      <c r="N22" s="18">
        <v>0</v>
      </c>
      <c r="O22" s="18">
        <v>0</v>
      </c>
      <c r="P22" s="18">
        <v>0</v>
      </c>
      <c r="Q22" s="18">
        <v>0</v>
      </c>
      <c r="R22" s="18">
        <v>0</v>
      </c>
      <c r="S22" s="18">
        <f t="shared" si="0"/>
        <v>0</v>
      </c>
      <c r="T22" s="18">
        <f t="shared" si="1"/>
        <v>2344203</v>
      </c>
      <c r="U22" s="19">
        <f t="shared" si="2"/>
        <v>0</v>
      </c>
    </row>
    <row r="23" spans="1:21">
      <c r="A23" s="21">
        <v>42250</v>
      </c>
      <c r="B23" s="21" t="s">
        <v>0</v>
      </c>
      <c r="C23" s="4" t="s">
        <v>29</v>
      </c>
      <c r="D23" s="30">
        <v>15275180</v>
      </c>
      <c r="E23" s="5">
        <v>36</v>
      </c>
      <c r="F23" s="10">
        <v>15275180.000000004</v>
      </c>
      <c r="G23" s="18">
        <v>0</v>
      </c>
      <c r="H23" s="18">
        <v>0</v>
      </c>
      <c r="I23" s="18">
        <v>0</v>
      </c>
      <c r="J23" s="18">
        <v>0</v>
      </c>
      <c r="K23" s="18">
        <v>0</v>
      </c>
      <c r="L23" s="18">
        <v>0</v>
      </c>
      <c r="M23" s="18">
        <v>0</v>
      </c>
      <c r="N23" s="18">
        <v>0</v>
      </c>
      <c r="O23" s="18">
        <v>0</v>
      </c>
      <c r="P23" s="18">
        <v>0</v>
      </c>
      <c r="Q23" s="18">
        <v>0</v>
      </c>
      <c r="R23" s="18">
        <v>0</v>
      </c>
      <c r="S23" s="18">
        <f t="shared" si="0"/>
        <v>0</v>
      </c>
      <c r="T23" s="18">
        <f t="shared" si="1"/>
        <v>15275180.000000004</v>
      </c>
      <c r="U23" s="19">
        <f t="shared" si="2"/>
        <v>0</v>
      </c>
    </row>
    <row r="24" spans="1:21">
      <c r="A24" s="21">
        <v>42265</v>
      </c>
      <c r="B24" s="21" t="s">
        <v>4</v>
      </c>
      <c r="C24" s="4" t="s">
        <v>30</v>
      </c>
      <c r="D24" s="30">
        <v>5920000</v>
      </c>
      <c r="E24" s="5">
        <v>36</v>
      </c>
      <c r="F24" s="10">
        <v>5920000.0000000009</v>
      </c>
      <c r="G24" s="18">
        <v>0</v>
      </c>
      <c r="H24" s="18">
        <v>0</v>
      </c>
      <c r="I24" s="18">
        <v>0</v>
      </c>
      <c r="J24" s="18">
        <v>0</v>
      </c>
      <c r="K24" s="18">
        <v>0</v>
      </c>
      <c r="L24" s="18">
        <v>0</v>
      </c>
      <c r="M24" s="18">
        <v>0</v>
      </c>
      <c r="N24" s="18">
        <v>0</v>
      </c>
      <c r="O24" s="18">
        <v>0</v>
      </c>
      <c r="P24" s="18">
        <v>0</v>
      </c>
      <c r="Q24" s="18">
        <v>0</v>
      </c>
      <c r="R24" s="18">
        <v>0</v>
      </c>
      <c r="S24" s="18">
        <f t="shared" si="0"/>
        <v>0</v>
      </c>
      <c r="T24" s="18">
        <f t="shared" si="1"/>
        <v>5920000.0000000009</v>
      </c>
      <c r="U24" s="19">
        <f t="shared" si="2"/>
        <v>0</v>
      </c>
    </row>
    <row r="25" spans="1:21">
      <c r="A25" s="21">
        <v>42370</v>
      </c>
      <c r="B25" s="21" t="s">
        <v>4</v>
      </c>
      <c r="C25" s="4" t="s">
        <v>26</v>
      </c>
      <c r="D25" s="30">
        <f>6549530-2223586</f>
        <v>4325944</v>
      </c>
      <c r="E25" s="5">
        <v>36</v>
      </c>
      <c r="F25" s="10">
        <v>4325943.9999999991</v>
      </c>
      <c r="G25" s="18">
        <v>0</v>
      </c>
      <c r="H25" s="18">
        <v>0</v>
      </c>
      <c r="I25" s="18">
        <v>0</v>
      </c>
      <c r="J25" s="18">
        <v>0</v>
      </c>
      <c r="K25" s="18">
        <v>0</v>
      </c>
      <c r="L25" s="18">
        <v>0</v>
      </c>
      <c r="M25" s="18">
        <v>0</v>
      </c>
      <c r="N25" s="18">
        <v>0</v>
      </c>
      <c r="O25" s="18">
        <v>0</v>
      </c>
      <c r="P25" s="18">
        <v>0</v>
      </c>
      <c r="Q25" s="18">
        <v>0</v>
      </c>
      <c r="R25" s="18">
        <v>0</v>
      </c>
      <c r="S25" s="18">
        <f t="shared" si="0"/>
        <v>0</v>
      </c>
      <c r="T25" s="18">
        <f t="shared" si="1"/>
        <v>4325943.9999999991</v>
      </c>
      <c r="U25" s="19">
        <f t="shared" si="2"/>
        <v>0</v>
      </c>
    </row>
    <row r="26" spans="1:21">
      <c r="A26" s="21">
        <v>42506</v>
      </c>
      <c r="B26" s="21" t="s">
        <v>4</v>
      </c>
      <c r="C26" s="4" t="s">
        <v>25</v>
      </c>
      <c r="D26" s="30">
        <v>3285722</v>
      </c>
      <c r="E26" s="5">
        <v>36</v>
      </c>
      <c r="F26" s="10">
        <v>3285722</v>
      </c>
      <c r="G26" s="18">
        <v>0</v>
      </c>
      <c r="H26" s="18">
        <v>0</v>
      </c>
      <c r="I26" s="18">
        <v>0</v>
      </c>
      <c r="J26" s="18">
        <v>0</v>
      </c>
      <c r="K26" s="18">
        <v>0</v>
      </c>
      <c r="L26" s="18">
        <v>0</v>
      </c>
      <c r="M26" s="18">
        <v>0</v>
      </c>
      <c r="N26" s="18">
        <v>0</v>
      </c>
      <c r="O26" s="18">
        <v>0</v>
      </c>
      <c r="P26" s="18">
        <v>0</v>
      </c>
      <c r="Q26" s="18">
        <v>0</v>
      </c>
      <c r="R26" s="18">
        <v>0</v>
      </c>
      <c r="S26" s="18">
        <f t="shared" si="0"/>
        <v>0</v>
      </c>
      <c r="T26" s="18">
        <f t="shared" si="1"/>
        <v>3285722</v>
      </c>
      <c r="U26" s="19">
        <f t="shared" si="2"/>
        <v>0</v>
      </c>
    </row>
    <row r="27" spans="1:21">
      <c r="A27" s="21">
        <v>42523</v>
      </c>
      <c r="B27" s="21" t="s">
        <v>1</v>
      </c>
      <c r="C27" s="4" t="s">
        <v>31</v>
      </c>
      <c r="D27" s="30">
        <v>25050000</v>
      </c>
      <c r="E27" s="5">
        <v>36</v>
      </c>
      <c r="F27" s="10">
        <v>25050000</v>
      </c>
      <c r="G27" s="18">
        <v>0</v>
      </c>
      <c r="H27" s="18">
        <v>0</v>
      </c>
      <c r="I27" s="18">
        <v>0</v>
      </c>
      <c r="J27" s="18">
        <v>0</v>
      </c>
      <c r="K27" s="18">
        <v>0</v>
      </c>
      <c r="L27" s="18">
        <v>0</v>
      </c>
      <c r="M27" s="18">
        <v>0</v>
      </c>
      <c r="N27" s="18">
        <v>0</v>
      </c>
      <c r="O27" s="18">
        <v>0</v>
      </c>
      <c r="P27" s="18">
        <v>0</v>
      </c>
      <c r="Q27" s="18">
        <v>0</v>
      </c>
      <c r="R27" s="18">
        <v>0</v>
      </c>
      <c r="S27" s="18">
        <f t="shared" si="0"/>
        <v>0</v>
      </c>
      <c r="T27" s="18">
        <f t="shared" si="1"/>
        <v>25050000</v>
      </c>
      <c r="U27" s="19">
        <f t="shared" si="2"/>
        <v>0</v>
      </c>
    </row>
    <row r="28" spans="1:21">
      <c r="A28" s="21">
        <v>42447</v>
      </c>
      <c r="B28" s="21" t="s">
        <v>0</v>
      </c>
      <c r="C28" s="4" t="s">
        <v>32</v>
      </c>
      <c r="D28" s="30">
        <v>5850000</v>
      </c>
      <c r="E28" s="5">
        <v>36</v>
      </c>
      <c r="F28" s="10">
        <v>5850000</v>
      </c>
      <c r="G28" s="18">
        <v>0</v>
      </c>
      <c r="H28" s="18">
        <v>0</v>
      </c>
      <c r="I28" s="18">
        <v>0</v>
      </c>
      <c r="J28" s="18">
        <v>0</v>
      </c>
      <c r="K28" s="18">
        <v>0</v>
      </c>
      <c r="L28" s="18">
        <v>0</v>
      </c>
      <c r="M28" s="18">
        <v>0</v>
      </c>
      <c r="N28" s="18">
        <v>0</v>
      </c>
      <c r="O28" s="18">
        <v>0</v>
      </c>
      <c r="P28" s="18">
        <v>0</v>
      </c>
      <c r="Q28" s="18">
        <v>0</v>
      </c>
      <c r="R28" s="18">
        <v>0</v>
      </c>
      <c r="S28" s="18">
        <f t="shared" si="0"/>
        <v>0</v>
      </c>
      <c r="T28" s="18">
        <f t="shared" si="1"/>
        <v>5850000</v>
      </c>
      <c r="U28" s="19">
        <f t="shared" si="2"/>
        <v>0</v>
      </c>
    </row>
    <row r="29" spans="1:21">
      <c r="A29" s="21">
        <v>42592</v>
      </c>
      <c r="B29" s="21" t="s">
        <v>0</v>
      </c>
      <c r="C29" s="4" t="s">
        <v>33</v>
      </c>
      <c r="D29" s="30">
        <v>1600000</v>
      </c>
      <c r="E29" s="5">
        <v>36</v>
      </c>
      <c r="F29" s="10">
        <v>1600000</v>
      </c>
      <c r="G29" s="18">
        <v>0</v>
      </c>
      <c r="H29" s="18">
        <v>0</v>
      </c>
      <c r="I29" s="18">
        <v>0</v>
      </c>
      <c r="J29" s="18">
        <v>0</v>
      </c>
      <c r="K29" s="18">
        <v>0</v>
      </c>
      <c r="L29" s="18">
        <v>0</v>
      </c>
      <c r="M29" s="18">
        <v>0</v>
      </c>
      <c r="N29" s="18">
        <v>0</v>
      </c>
      <c r="O29" s="18">
        <v>0</v>
      </c>
      <c r="P29" s="18">
        <v>0</v>
      </c>
      <c r="Q29" s="18">
        <v>0</v>
      </c>
      <c r="R29" s="18">
        <v>0</v>
      </c>
      <c r="S29" s="18">
        <f t="shared" si="0"/>
        <v>0</v>
      </c>
      <c r="T29" s="18">
        <f t="shared" si="1"/>
        <v>1600000</v>
      </c>
      <c r="U29" s="19">
        <f t="shared" si="2"/>
        <v>0</v>
      </c>
    </row>
    <row r="30" spans="1:21">
      <c r="A30" s="21">
        <v>42606</v>
      </c>
      <c r="B30" s="21" t="s">
        <v>0</v>
      </c>
      <c r="C30" s="4" t="s">
        <v>34</v>
      </c>
      <c r="D30" s="30">
        <v>6500000</v>
      </c>
      <c r="E30" s="5">
        <v>36</v>
      </c>
      <c r="F30" s="10">
        <v>6499999.9999999991</v>
      </c>
      <c r="G30" s="18">
        <v>0</v>
      </c>
      <c r="H30" s="18">
        <v>0</v>
      </c>
      <c r="I30" s="18">
        <v>0</v>
      </c>
      <c r="J30" s="18">
        <v>0</v>
      </c>
      <c r="K30" s="18">
        <v>0</v>
      </c>
      <c r="L30" s="18">
        <v>0</v>
      </c>
      <c r="M30" s="18">
        <v>0</v>
      </c>
      <c r="N30" s="18">
        <v>0</v>
      </c>
      <c r="O30" s="18">
        <v>0</v>
      </c>
      <c r="P30" s="18">
        <v>0</v>
      </c>
      <c r="Q30" s="18">
        <v>0</v>
      </c>
      <c r="R30" s="18">
        <v>0</v>
      </c>
      <c r="S30" s="18">
        <f t="shared" si="0"/>
        <v>0</v>
      </c>
      <c r="T30" s="18">
        <f t="shared" si="1"/>
        <v>6499999.9999999991</v>
      </c>
      <c r="U30" s="19">
        <f t="shared" si="2"/>
        <v>0</v>
      </c>
    </row>
    <row r="31" spans="1:21">
      <c r="A31" s="21">
        <v>42623</v>
      </c>
      <c r="B31" s="21" t="s">
        <v>4</v>
      </c>
      <c r="C31" s="4" t="s">
        <v>35</v>
      </c>
      <c r="D31" s="30">
        <v>3657500</v>
      </c>
      <c r="E31" s="5">
        <v>36</v>
      </c>
      <c r="F31" s="18">
        <v>3657500.0000000005</v>
      </c>
      <c r="G31" s="18">
        <v>0</v>
      </c>
      <c r="H31" s="18">
        <v>0</v>
      </c>
      <c r="I31" s="18">
        <v>0</v>
      </c>
      <c r="J31" s="18">
        <v>0</v>
      </c>
      <c r="K31" s="18">
        <v>0</v>
      </c>
      <c r="L31" s="18">
        <v>0</v>
      </c>
      <c r="M31" s="18">
        <v>0</v>
      </c>
      <c r="N31" s="18">
        <v>0</v>
      </c>
      <c r="O31" s="18">
        <v>0</v>
      </c>
      <c r="P31" s="18">
        <v>0</v>
      </c>
      <c r="Q31" s="18">
        <v>0</v>
      </c>
      <c r="R31" s="18">
        <v>0</v>
      </c>
      <c r="S31" s="18">
        <f t="shared" si="0"/>
        <v>0</v>
      </c>
      <c r="T31" s="18">
        <f t="shared" si="1"/>
        <v>3657500.0000000005</v>
      </c>
      <c r="U31" s="19">
        <f t="shared" si="2"/>
        <v>0</v>
      </c>
    </row>
    <row r="32" spans="1:21">
      <c r="A32" s="21">
        <v>42623</v>
      </c>
      <c r="B32" s="21" t="s">
        <v>4</v>
      </c>
      <c r="C32" s="4" t="s">
        <v>34</v>
      </c>
      <c r="D32" s="30">
        <v>5500000</v>
      </c>
      <c r="E32" s="5">
        <v>36</v>
      </c>
      <c r="F32" s="18">
        <v>5500000</v>
      </c>
      <c r="G32" s="18">
        <v>0</v>
      </c>
      <c r="H32" s="18">
        <v>0</v>
      </c>
      <c r="I32" s="18">
        <v>0</v>
      </c>
      <c r="J32" s="18">
        <v>0</v>
      </c>
      <c r="K32" s="18">
        <v>0</v>
      </c>
      <c r="L32" s="18">
        <v>0</v>
      </c>
      <c r="M32" s="18">
        <v>0</v>
      </c>
      <c r="N32" s="18">
        <v>0</v>
      </c>
      <c r="O32" s="18">
        <v>0</v>
      </c>
      <c r="P32" s="18">
        <v>0</v>
      </c>
      <c r="Q32" s="18">
        <v>0</v>
      </c>
      <c r="R32" s="18">
        <v>0</v>
      </c>
      <c r="S32" s="18">
        <f t="shared" si="0"/>
        <v>0</v>
      </c>
      <c r="T32" s="18">
        <f t="shared" si="1"/>
        <v>5500000</v>
      </c>
      <c r="U32" s="19">
        <f t="shared" si="2"/>
        <v>0</v>
      </c>
    </row>
    <row r="33" spans="1:21">
      <c r="A33" s="21">
        <v>42655</v>
      </c>
      <c r="B33" s="21" t="s">
        <v>0</v>
      </c>
      <c r="C33" s="4" t="s">
        <v>36</v>
      </c>
      <c r="D33" s="30">
        <v>8550000</v>
      </c>
      <c r="E33" s="5">
        <v>36</v>
      </c>
      <c r="F33" s="18">
        <v>8550000</v>
      </c>
      <c r="G33" s="18">
        <v>0</v>
      </c>
      <c r="H33" s="18">
        <v>0</v>
      </c>
      <c r="I33" s="18">
        <v>0</v>
      </c>
      <c r="J33" s="18">
        <v>0</v>
      </c>
      <c r="K33" s="18">
        <v>0</v>
      </c>
      <c r="L33" s="18">
        <v>0</v>
      </c>
      <c r="M33" s="18">
        <v>0</v>
      </c>
      <c r="N33" s="18">
        <v>0</v>
      </c>
      <c r="O33" s="18">
        <v>0</v>
      </c>
      <c r="P33" s="18">
        <v>0</v>
      </c>
      <c r="Q33" s="18">
        <v>0</v>
      </c>
      <c r="R33" s="18">
        <v>0</v>
      </c>
      <c r="S33" s="18">
        <f t="shared" si="0"/>
        <v>0</v>
      </c>
      <c r="T33" s="18">
        <f t="shared" si="1"/>
        <v>8550000</v>
      </c>
      <c r="U33" s="19">
        <f t="shared" si="2"/>
        <v>0</v>
      </c>
    </row>
    <row r="34" spans="1:21">
      <c r="A34" s="21">
        <v>42773</v>
      </c>
      <c r="B34" s="21" t="s">
        <v>1</v>
      </c>
      <c r="C34" s="4" t="s">
        <v>37</v>
      </c>
      <c r="D34" s="30">
        <v>21150000</v>
      </c>
      <c r="E34" s="5">
        <v>36</v>
      </c>
      <c r="F34" s="18">
        <v>21150000</v>
      </c>
      <c r="G34" s="18">
        <v>0</v>
      </c>
      <c r="H34" s="18">
        <v>0</v>
      </c>
      <c r="I34" s="18">
        <v>0</v>
      </c>
      <c r="J34" s="18">
        <v>0</v>
      </c>
      <c r="K34" s="18">
        <v>0</v>
      </c>
      <c r="L34" s="18">
        <v>0</v>
      </c>
      <c r="M34" s="18">
        <v>0</v>
      </c>
      <c r="N34" s="18">
        <v>0</v>
      </c>
      <c r="O34" s="18">
        <v>0</v>
      </c>
      <c r="P34" s="18">
        <v>0</v>
      </c>
      <c r="Q34" s="18">
        <v>0</v>
      </c>
      <c r="R34" s="18">
        <v>0</v>
      </c>
      <c r="S34" s="18">
        <f t="shared" si="0"/>
        <v>0</v>
      </c>
      <c r="T34" s="18">
        <f t="shared" si="1"/>
        <v>21150000</v>
      </c>
      <c r="U34" s="19">
        <f t="shared" si="2"/>
        <v>0</v>
      </c>
    </row>
    <row r="35" spans="1:21">
      <c r="A35" s="21">
        <v>42842</v>
      </c>
      <c r="B35" s="21" t="s">
        <v>0</v>
      </c>
      <c r="C35" s="4" t="s">
        <v>38</v>
      </c>
      <c r="D35" s="30">
        <v>13850000</v>
      </c>
      <c r="E35" s="5">
        <v>36</v>
      </c>
      <c r="F35" s="18">
        <v>13849999.999999998</v>
      </c>
      <c r="G35" s="18">
        <v>0</v>
      </c>
      <c r="H35" s="18">
        <v>0</v>
      </c>
      <c r="I35" s="18">
        <v>0</v>
      </c>
      <c r="J35" s="18">
        <v>0</v>
      </c>
      <c r="K35" s="18">
        <v>0</v>
      </c>
      <c r="L35" s="18">
        <v>0</v>
      </c>
      <c r="M35" s="18">
        <v>0</v>
      </c>
      <c r="N35" s="18">
        <v>0</v>
      </c>
      <c r="O35" s="18">
        <v>0</v>
      </c>
      <c r="P35" s="18">
        <v>0</v>
      </c>
      <c r="Q35" s="18">
        <v>0</v>
      </c>
      <c r="R35" s="18">
        <v>0</v>
      </c>
      <c r="S35" s="18">
        <f t="shared" si="0"/>
        <v>0</v>
      </c>
      <c r="T35" s="18">
        <f t="shared" si="1"/>
        <v>13849999.999999998</v>
      </c>
      <c r="U35" s="19">
        <f t="shared" si="2"/>
        <v>0</v>
      </c>
    </row>
    <row r="36" spans="1:21">
      <c r="A36" s="21">
        <v>42850</v>
      </c>
      <c r="B36" s="21" t="s">
        <v>0</v>
      </c>
      <c r="C36" s="4" t="s">
        <v>39</v>
      </c>
      <c r="D36" s="30">
        <v>3100000</v>
      </c>
      <c r="E36" s="5">
        <v>36</v>
      </c>
      <c r="F36" s="18">
        <v>3100000.0000000005</v>
      </c>
      <c r="G36" s="18">
        <v>0</v>
      </c>
      <c r="H36" s="18">
        <v>0</v>
      </c>
      <c r="I36" s="18">
        <v>0</v>
      </c>
      <c r="J36" s="18">
        <v>0</v>
      </c>
      <c r="K36" s="18">
        <v>0</v>
      </c>
      <c r="L36" s="18">
        <v>0</v>
      </c>
      <c r="M36" s="18">
        <v>0</v>
      </c>
      <c r="N36" s="18">
        <v>0</v>
      </c>
      <c r="O36" s="18">
        <v>0</v>
      </c>
      <c r="P36" s="18">
        <v>0</v>
      </c>
      <c r="Q36" s="18">
        <v>0</v>
      </c>
      <c r="R36" s="18">
        <v>0</v>
      </c>
      <c r="S36" s="18">
        <f t="shared" si="0"/>
        <v>0</v>
      </c>
      <c r="T36" s="18">
        <f t="shared" si="1"/>
        <v>3100000.0000000005</v>
      </c>
      <c r="U36" s="19">
        <f t="shared" si="2"/>
        <v>0</v>
      </c>
    </row>
    <row r="37" spans="1:21">
      <c r="A37" s="21">
        <v>43305</v>
      </c>
      <c r="B37" s="21" t="s">
        <v>0</v>
      </c>
      <c r="C37" s="4" t="s">
        <v>40</v>
      </c>
      <c r="D37" s="30">
        <v>4600000</v>
      </c>
      <c r="E37" s="5">
        <v>36</v>
      </c>
      <c r="F37" s="18">
        <v>4600000</v>
      </c>
      <c r="G37" s="18">
        <v>0</v>
      </c>
      <c r="H37" s="18">
        <v>0</v>
      </c>
      <c r="I37" s="18">
        <v>0</v>
      </c>
      <c r="J37" s="18">
        <v>0</v>
      </c>
      <c r="K37" s="18">
        <v>0</v>
      </c>
      <c r="L37" s="18">
        <v>0</v>
      </c>
      <c r="M37" s="18">
        <v>0</v>
      </c>
      <c r="N37" s="18">
        <v>0</v>
      </c>
      <c r="O37" s="18">
        <v>0</v>
      </c>
      <c r="P37" s="18">
        <v>0</v>
      </c>
      <c r="Q37" s="18">
        <v>0</v>
      </c>
      <c r="R37" s="18">
        <v>0</v>
      </c>
      <c r="S37" s="18">
        <f>SUM(G37:R37)</f>
        <v>0</v>
      </c>
      <c r="T37" s="18">
        <f t="shared" ref="T37:T49" si="3">+F37+S37</f>
        <v>4600000</v>
      </c>
      <c r="U37" s="19">
        <f t="shared" ref="U37:U87" si="4">+D37-T37</f>
        <v>0</v>
      </c>
    </row>
    <row r="38" spans="1:21">
      <c r="A38" s="21">
        <v>43467</v>
      </c>
      <c r="B38" s="21" t="s">
        <v>4</v>
      </c>
      <c r="C38" s="4" t="s">
        <v>41</v>
      </c>
      <c r="D38" s="30">
        <v>28873216</v>
      </c>
      <c r="E38" s="5">
        <v>36</v>
      </c>
      <c r="F38" s="18">
        <v>28873216</v>
      </c>
      <c r="G38" s="18">
        <v>0</v>
      </c>
      <c r="H38" s="18">
        <v>0</v>
      </c>
      <c r="I38" s="18">
        <v>0</v>
      </c>
      <c r="J38" s="18">
        <v>0</v>
      </c>
      <c r="K38" s="18">
        <v>0</v>
      </c>
      <c r="L38" s="18">
        <v>0</v>
      </c>
      <c r="M38" s="18">
        <v>0</v>
      </c>
      <c r="N38" s="18">
        <v>0</v>
      </c>
      <c r="O38" s="18">
        <v>0</v>
      </c>
      <c r="P38" s="18">
        <v>0</v>
      </c>
      <c r="Q38" s="18">
        <v>0</v>
      </c>
      <c r="R38" s="18">
        <v>0</v>
      </c>
      <c r="S38" s="18">
        <f>SUM(G38:R38)</f>
        <v>0</v>
      </c>
      <c r="T38" s="18">
        <f t="shared" si="3"/>
        <v>28873216</v>
      </c>
      <c r="U38" s="19">
        <f t="shared" si="4"/>
        <v>0</v>
      </c>
    </row>
    <row r="39" spans="1:21">
      <c r="A39" s="21">
        <v>43501</v>
      </c>
      <c r="B39" s="21" t="s">
        <v>4</v>
      </c>
      <c r="C39" s="2" t="s">
        <v>42</v>
      </c>
      <c r="D39" s="7">
        <v>3599000</v>
      </c>
      <c r="E39" s="5">
        <v>36</v>
      </c>
      <c r="F39" s="18">
        <v>3599000</v>
      </c>
      <c r="G39" s="18">
        <v>0</v>
      </c>
      <c r="H39" s="18">
        <v>0</v>
      </c>
      <c r="I39" s="18">
        <v>0</v>
      </c>
      <c r="J39" s="18">
        <v>0</v>
      </c>
      <c r="K39" s="18">
        <v>0</v>
      </c>
      <c r="L39" s="18">
        <v>0</v>
      </c>
      <c r="M39" s="18">
        <v>0</v>
      </c>
      <c r="N39" s="18">
        <v>0</v>
      </c>
      <c r="O39" s="18">
        <v>0</v>
      </c>
      <c r="P39" s="18">
        <v>0</v>
      </c>
      <c r="Q39" s="18">
        <v>0</v>
      </c>
      <c r="R39" s="18">
        <v>0</v>
      </c>
      <c r="S39" s="18">
        <f>SUM(G39:R39)</f>
        <v>0</v>
      </c>
      <c r="T39" s="18">
        <f t="shared" si="3"/>
        <v>3599000</v>
      </c>
      <c r="U39" s="19">
        <f t="shared" si="4"/>
        <v>0</v>
      </c>
    </row>
    <row r="40" spans="1:21">
      <c r="A40" s="21">
        <v>43524</v>
      </c>
      <c r="B40" s="21" t="s">
        <v>0</v>
      </c>
      <c r="C40" s="4" t="s">
        <v>43</v>
      </c>
      <c r="D40" s="30">
        <v>2025000</v>
      </c>
      <c r="E40" s="5">
        <v>36</v>
      </c>
      <c r="F40" s="18">
        <v>2025000</v>
      </c>
      <c r="G40" s="18">
        <v>0</v>
      </c>
      <c r="H40" s="18">
        <v>0</v>
      </c>
      <c r="I40" s="18">
        <v>0</v>
      </c>
      <c r="J40" s="18">
        <v>0</v>
      </c>
      <c r="K40" s="18">
        <v>0</v>
      </c>
      <c r="L40" s="18">
        <v>0</v>
      </c>
      <c r="M40" s="18">
        <v>0</v>
      </c>
      <c r="N40" s="18">
        <v>0</v>
      </c>
      <c r="O40" s="18">
        <v>0</v>
      </c>
      <c r="P40" s="18">
        <v>0</v>
      </c>
      <c r="Q40" s="18">
        <v>0</v>
      </c>
      <c r="R40" s="18">
        <v>0</v>
      </c>
      <c r="S40" s="18">
        <f t="shared" ref="S40:S77" si="5">SUM(G40:R40)</f>
        <v>0</v>
      </c>
      <c r="T40" s="18">
        <f t="shared" si="3"/>
        <v>2025000</v>
      </c>
      <c r="U40" s="19">
        <f t="shared" si="4"/>
        <v>0</v>
      </c>
    </row>
    <row r="41" spans="1:21">
      <c r="A41" s="21">
        <v>43705</v>
      </c>
      <c r="B41" s="21" t="s">
        <v>0</v>
      </c>
      <c r="C41" s="4" t="s">
        <v>44</v>
      </c>
      <c r="D41" s="30">
        <v>6000000</v>
      </c>
      <c r="E41" s="5">
        <v>36</v>
      </c>
      <c r="F41" s="18">
        <v>6000000.0000000009</v>
      </c>
      <c r="G41" s="18">
        <v>0</v>
      </c>
      <c r="H41" s="18">
        <v>0</v>
      </c>
      <c r="I41" s="18">
        <v>0</v>
      </c>
      <c r="J41" s="18">
        <v>0</v>
      </c>
      <c r="K41" s="18">
        <v>0</v>
      </c>
      <c r="L41" s="18">
        <v>0</v>
      </c>
      <c r="M41" s="18">
        <v>0</v>
      </c>
      <c r="N41" s="18">
        <v>0</v>
      </c>
      <c r="O41" s="18">
        <v>0</v>
      </c>
      <c r="P41" s="18">
        <v>0</v>
      </c>
      <c r="Q41" s="18">
        <v>0</v>
      </c>
      <c r="R41" s="18">
        <v>0</v>
      </c>
      <c r="S41" s="18">
        <f t="shared" si="5"/>
        <v>0</v>
      </c>
      <c r="T41" s="18">
        <f t="shared" si="3"/>
        <v>6000000.0000000009</v>
      </c>
      <c r="U41" s="19">
        <f t="shared" si="4"/>
        <v>0</v>
      </c>
    </row>
    <row r="42" spans="1:21">
      <c r="A42" s="21">
        <v>43826</v>
      </c>
      <c r="B42" s="21" t="s">
        <v>0</v>
      </c>
      <c r="C42" s="4" t="s">
        <v>45</v>
      </c>
      <c r="D42" s="30">
        <v>5025000</v>
      </c>
      <c r="E42" s="5">
        <v>36</v>
      </c>
      <c r="F42" s="18">
        <v>5024999.9999999991</v>
      </c>
      <c r="G42" s="18">
        <v>0</v>
      </c>
      <c r="H42" s="18">
        <v>0</v>
      </c>
      <c r="I42" s="18">
        <v>0</v>
      </c>
      <c r="J42" s="18">
        <v>0</v>
      </c>
      <c r="K42" s="18">
        <v>0</v>
      </c>
      <c r="L42" s="18">
        <v>0</v>
      </c>
      <c r="M42" s="18">
        <v>0</v>
      </c>
      <c r="N42" s="18">
        <v>0</v>
      </c>
      <c r="O42" s="18">
        <v>0</v>
      </c>
      <c r="P42" s="18">
        <v>0</v>
      </c>
      <c r="Q42" s="18">
        <v>0</v>
      </c>
      <c r="R42" s="18">
        <v>0</v>
      </c>
      <c r="S42" s="18">
        <f t="shared" si="5"/>
        <v>0</v>
      </c>
      <c r="T42" s="18">
        <f t="shared" si="3"/>
        <v>5024999.9999999991</v>
      </c>
      <c r="U42" s="19">
        <f t="shared" si="4"/>
        <v>0</v>
      </c>
    </row>
    <row r="43" spans="1:21">
      <c r="A43" s="21">
        <v>43675</v>
      </c>
      <c r="B43" s="21" t="s">
        <v>4</v>
      </c>
      <c r="C43" s="4" t="s">
        <v>46</v>
      </c>
      <c r="D43" s="30">
        <v>2601000</v>
      </c>
      <c r="E43" s="5">
        <v>36</v>
      </c>
      <c r="F43" s="17">
        <v>2601000</v>
      </c>
      <c r="G43" s="18">
        <v>0</v>
      </c>
      <c r="H43" s="18">
        <v>0</v>
      </c>
      <c r="I43" s="18">
        <v>0</v>
      </c>
      <c r="J43" s="18">
        <v>0</v>
      </c>
      <c r="K43" s="18">
        <v>0</v>
      </c>
      <c r="L43" s="18">
        <v>0</v>
      </c>
      <c r="M43" s="18">
        <v>0</v>
      </c>
      <c r="N43" s="18">
        <v>0</v>
      </c>
      <c r="O43" s="18">
        <v>0</v>
      </c>
      <c r="P43" s="18">
        <v>0</v>
      </c>
      <c r="Q43" s="18">
        <v>0</v>
      </c>
      <c r="R43" s="18">
        <v>0</v>
      </c>
      <c r="S43" s="18">
        <f t="shared" si="5"/>
        <v>0</v>
      </c>
      <c r="T43" s="18">
        <f t="shared" si="3"/>
        <v>2601000</v>
      </c>
      <c r="U43" s="19">
        <f t="shared" si="4"/>
        <v>0</v>
      </c>
    </row>
    <row r="44" spans="1:21">
      <c r="A44" s="21">
        <v>44095</v>
      </c>
      <c r="B44" s="21" t="s">
        <v>0</v>
      </c>
      <c r="C44" s="4" t="s">
        <v>47</v>
      </c>
      <c r="D44" s="30">
        <v>2499000</v>
      </c>
      <c r="E44" s="5">
        <v>36</v>
      </c>
      <c r="F44" s="17">
        <v>2499000</v>
      </c>
      <c r="G44" s="18">
        <v>0</v>
      </c>
      <c r="H44" s="18">
        <v>0</v>
      </c>
      <c r="I44" s="18">
        <v>0</v>
      </c>
      <c r="J44" s="18">
        <v>0</v>
      </c>
      <c r="K44" s="18">
        <v>0</v>
      </c>
      <c r="L44" s="18">
        <v>0</v>
      </c>
      <c r="M44" s="18">
        <v>0</v>
      </c>
      <c r="N44" s="18">
        <v>0</v>
      </c>
      <c r="O44" s="18">
        <v>0</v>
      </c>
      <c r="P44" s="18">
        <v>0</v>
      </c>
      <c r="Q44" s="18">
        <v>0</v>
      </c>
      <c r="R44" s="18">
        <v>0</v>
      </c>
      <c r="S44" s="18">
        <f t="shared" si="5"/>
        <v>0</v>
      </c>
      <c r="T44" s="18">
        <f t="shared" si="3"/>
        <v>2499000</v>
      </c>
      <c r="U44" s="19">
        <f t="shared" si="4"/>
        <v>0</v>
      </c>
    </row>
    <row r="45" spans="1:21">
      <c r="A45" s="21">
        <v>44117</v>
      </c>
      <c r="B45" s="21" t="s">
        <v>0</v>
      </c>
      <c r="C45" s="4" t="s">
        <v>48</v>
      </c>
      <c r="D45" s="30">
        <v>19510000</v>
      </c>
      <c r="E45" s="5">
        <v>36</v>
      </c>
      <c r="F45" s="17">
        <v>19510000</v>
      </c>
      <c r="G45" s="18">
        <v>0</v>
      </c>
      <c r="H45" s="18">
        <v>0</v>
      </c>
      <c r="I45" s="18">
        <v>0</v>
      </c>
      <c r="J45" s="18">
        <v>0</v>
      </c>
      <c r="K45" s="18">
        <v>0</v>
      </c>
      <c r="L45" s="18">
        <v>0</v>
      </c>
      <c r="M45" s="18">
        <v>0</v>
      </c>
      <c r="N45" s="18">
        <v>0</v>
      </c>
      <c r="O45" s="18">
        <v>0</v>
      </c>
      <c r="P45" s="18">
        <v>0</v>
      </c>
      <c r="Q45" s="18">
        <v>0</v>
      </c>
      <c r="R45" s="18">
        <v>0</v>
      </c>
      <c r="S45" s="18">
        <f t="shared" si="5"/>
        <v>0</v>
      </c>
      <c r="T45" s="18">
        <f t="shared" si="3"/>
        <v>19510000</v>
      </c>
      <c r="U45" s="19">
        <f t="shared" si="4"/>
        <v>0</v>
      </c>
    </row>
    <row r="46" spans="1:21">
      <c r="A46" s="21">
        <v>43894</v>
      </c>
      <c r="B46" s="21" t="s">
        <v>4</v>
      </c>
      <c r="C46" s="4" t="s">
        <v>49</v>
      </c>
      <c r="D46" s="30">
        <v>11832000</v>
      </c>
      <c r="E46" s="5">
        <v>36</v>
      </c>
      <c r="F46" s="17">
        <v>11832000</v>
      </c>
      <c r="G46" s="18">
        <v>0</v>
      </c>
      <c r="H46" s="18">
        <v>0</v>
      </c>
      <c r="I46" s="18">
        <v>0</v>
      </c>
      <c r="J46" s="18">
        <v>0</v>
      </c>
      <c r="K46" s="18">
        <v>0</v>
      </c>
      <c r="L46" s="18">
        <v>0</v>
      </c>
      <c r="M46" s="18">
        <v>0</v>
      </c>
      <c r="N46" s="18">
        <v>0</v>
      </c>
      <c r="O46" s="18">
        <v>0</v>
      </c>
      <c r="P46" s="18">
        <v>0</v>
      </c>
      <c r="Q46" s="18">
        <v>0</v>
      </c>
      <c r="R46" s="18">
        <v>0</v>
      </c>
      <c r="S46" s="18">
        <f t="shared" si="5"/>
        <v>0</v>
      </c>
      <c r="T46" s="18">
        <f t="shared" si="3"/>
        <v>11832000</v>
      </c>
      <c r="U46" s="19">
        <f t="shared" si="4"/>
        <v>0</v>
      </c>
    </row>
    <row r="47" spans="1:21">
      <c r="A47" s="21">
        <v>44223</v>
      </c>
      <c r="B47" s="21" t="s">
        <v>4</v>
      </c>
      <c r="C47" s="4" t="s">
        <v>50</v>
      </c>
      <c r="D47" s="30">
        <v>2904600</v>
      </c>
      <c r="E47" s="5">
        <v>36</v>
      </c>
      <c r="F47" s="17">
        <v>2904600.0000000005</v>
      </c>
      <c r="G47" s="18">
        <v>0</v>
      </c>
      <c r="H47" s="18">
        <v>0</v>
      </c>
      <c r="I47" s="18">
        <v>0</v>
      </c>
      <c r="J47" s="18">
        <v>0</v>
      </c>
      <c r="K47" s="18">
        <v>0</v>
      </c>
      <c r="L47" s="18">
        <v>0</v>
      </c>
      <c r="M47" s="18">
        <v>0</v>
      </c>
      <c r="N47" s="18">
        <v>0</v>
      </c>
      <c r="O47" s="18">
        <v>0</v>
      </c>
      <c r="P47" s="18">
        <v>0</v>
      </c>
      <c r="Q47" s="18">
        <v>0</v>
      </c>
      <c r="R47" s="18">
        <v>0</v>
      </c>
      <c r="S47" s="18">
        <f t="shared" si="5"/>
        <v>0</v>
      </c>
      <c r="T47" s="18">
        <f t="shared" si="3"/>
        <v>2904600.0000000005</v>
      </c>
      <c r="U47" s="19">
        <f t="shared" si="4"/>
        <v>0</v>
      </c>
    </row>
    <row r="48" spans="1:21">
      <c r="A48" s="21">
        <v>44242</v>
      </c>
      <c r="B48" s="21" t="s">
        <v>1</v>
      </c>
      <c r="C48" s="4" t="s">
        <v>51</v>
      </c>
      <c r="D48" s="30">
        <v>20100000</v>
      </c>
      <c r="E48" s="5">
        <v>36</v>
      </c>
      <c r="F48" s="17">
        <v>20099999.666666664</v>
      </c>
      <c r="G48" s="18">
        <v>0</v>
      </c>
      <c r="H48" s="18">
        <v>0</v>
      </c>
      <c r="I48" s="18">
        <v>0</v>
      </c>
      <c r="J48" s="18">
        <v>0</v>
      </c>
      <c r="K48" s="18">
        <v>0</v>
      </c>
      <c r="L48" s="18">
        <v>0</v>
      </c>
      <c r="M48" s="18">
        <v>0</v>
      </c>
      <c r="N48" s="18">
        <v>0</v>
      </c>
      <c r="O48" s="18">
        <v>0</v>
      </c>
      <c r="P48" s="18">
        <v>0</v>
      </c>
      <c r="Q48" s="18">
        <v>0</v>
      </c>
      <c r="R48" s="18">
        <v>0</v>
      </c>
      <c r="S48" s="18">
        <f t="shared" si="5"/>
        <v>0</v>
      </c>
      <c r="T48" s="18">
        <f t="shared" si="3"/>
        <v>20099999.666666664</v>
      </c>
      <c r="U48" s="19">
        <f t="shared" si="4"/>
        <v>0.3333333358168602</v>
      </c>
    </row>
    <row r="49" spans="1:21">
      <c r="A49" s="21">
        <v>44254</v>
      </c>
      <c r="B49" s="21" t="s">
        <v>1</v>
      </c>
      <c r="C49" s="4" t="s">
        <v>52</v>
      </c>
      <c r="D49" s="30">
        <v>1249000</v>
      </c>
      <c r="E49" s="5">
        <v>36</v>
      </c>
      <c r="F49" s="17">
        <v>1249000</v>
      </c>
      <c r="G49" s="18">
        <v>0</v>
      </c>
      <c r="H49" s="18">
        <v>0</v>
      </c>
      <c r="I49" s="18">
        <v>0</v>
      </c>
      <c r="J49" s="18">
        <v>0</v>
      </c>
      <c r="K49" s="18">
        <v>0</v>
      </c>
      <c r="L49" s="18">
        <v>0</v>
      </c>
      <c r="M49" s="18">
        <v>0</v>
      </c>
      <c r="N49" s="18">
        <v>0</v>
      </c>
      <c r="O49" s="18">
        <v>0</v>
      </c>
      <c r="P49" s="18">
        <v>0</v>
      </c>
      <c r="Q49" s="18">
        <v>0</v>
      </c>
      <c r="R49" s="18">
        <v>0</v>
      </c>
      <c r="S49" s="18">
        <f t="shared" si="5"/>
        <v>0</v>
      </c>
      <c r="T49" s="18">
        <f t="shared" si="3"/>
        <v>1249000</v>
      </c>
      <c r="U49" s="19">
        <f t="shared" si="4"/>
        <v>0</v>
      </c>
    </row>
    <row r="50" spans="1:21">
      <c r="A50" s="21">
        <v>44616</v>
      </c>
      <c r="B50" s="21" t="s">
        <v>4</v>
      </c>
      <c r="C50" s="4" t="s">
        <v>66</v>
      </c>
      <c r="D50" s="30">
        <v>3944900</v>
      </c>
      <c r="E50" s="5">
        <v>36</v>
      </c>
      <c r="F50" s="17">
        <v>3944899.9999999991</v>
      </c>
      <c r="G50" s="17">
        <v>0</v>
      </c>
      <c r="H50" s="17">
        <v>0</v>
      </c>
      <c r="I50" s="17">
        <v>0</v>
      </c>
      <c r="J50" s="17">
        <v>0</v>
      </c>
      <c r="K50" s="17">
        <v>0</v>
      </c>
      <c r="L50" s="17">
        <v>0</v>
      </c>
      <c r="M50" s="17">
        <v>0</v>
      </c>
      <c r="N50" s="17">
        <v>0</v>
      </c>
      <c r="O50" s="17">
        <v>0</v>
      </c>
      <c r="P50" s="17">
        <v>0</v>
      </c>
      <c r="Q50" s="17">
        <v>0</v>
      </c>
      <c r="R50" s="17">
        <v>0</v>
      </c>
      <c r="S50" s="18">
        <f t="shared" si="5"/>
        <v>0</v>
      </c>
      <c r="T50" s="18">
        <f t="shared" ref="T50" si="6">+F50+S50</f>
        <v>3944899.9999999991</v>
      </c>
      <c r="U50" s="19">
        <f t="shared" si="4"/>
        <v>0</v>
      </c>
    </row>
    <row r="51" spans="1:21">
      <c r="A51" s="21" t="s">
        <v>2</v>
      </c>
      <c r="B51" s="21" t="s">
        <v>4</v>
      </c>
      <c r="C51" s="4" t="s">
        <v>88</v>
      </c>
      <c r="D51" s="30">
        <v>3767880</v>
      </c>
      <c r="E51" s="5">
        <v>36</v>
      </c>
      <c r="F51" s="17">
        <v>3767880</v>
      </c>
      <c r="G51" s="17">
        <v>0</v>
      </c>
      <c r="H51" s="17">
        <v>0</v>
      </c>
      <c r="I51" s="17">
        <v>0</v>
      </c>
      <c r="J51" s="17">
        <v>0</v>
      </c>
      <c r="K51" s="17">
        <v>0</v>
      </c>
      <c r="L51" s="17">
        <v>0</v>
      </c>
      <c r="M51" s="17">
        <v>0</v>
      </c>
      <c r="N51" s="17">
        <v>0</v>
      </c>
      <c r="O51" s="17">
        <v>0</v>
      </c>
      <c r="P51" s="17">
        <v>0</v>
      </c>
      <c r="Q51" s="17">
        <v>0</v>
      </c>
      <c r="R51" s="17">
        <v>0</v>
      </c>
      <c r="S51" s="18">
        <f t="shared" si="5"/>
        <v>0</v>
      </c>
      <c r="T51" s="18">
        <f t="shared" ref="T51" si="7">+F51+S51</f>
        <v>3767880</v>
      </c>
      <c r="U51" s="19">
        <f t="shared" si="4"/>
        <v>0</v>
      </c>
    </row>
    <row r="52" spans="1:21">
      <c r="A52" s="21" t="s">
        <v>2</v>
      </c>
      <c r="B52" s="21" t="s">
        <v>4</v>
      </c>
      <c r="C52" s="4" t="s">
        <v>73</v>
      </c>
      <c r="D52" s="30">
        <v>8918000</v>
      </c>
      <c r="E52" s="5">
        <v>36</v>
      </c>
      <c r="F52" s="17">
        <v>8917999.5555555541</v>
      </c>
      <c r="G52" s="17">
        <v>0</v>
      </c>
      <c r="H52" s="17">
        <v>0</v>
      </c>
      <c r="I52" s="17">
        <v>0</v>
      </c>
      <c r="J52" s="17">
        <v>0</v>
      </c>
      <c r="K52" s="17">
        <v>0</v>
      </c>
      <c r="L52" s="17">
        <v>0</v>
      </c>
      <c r="M52" s="17">
        <v>0</v>
      </c>
      <c r="N52" s="17">
        <v>0</v>
      </c>
      <c r="O52" s="17">
        <v>0</v>
      </c>
      <c r="P52" s="17">
        <v>0</v>
      </c>
      <c r="Q52" s="17">
        <v>0</v>
      </c>
      <c r="R52" s="17">
        <v>0</v>
      </c>
      <c r="S52" s="18">
        <f t="shared" si="5"/>
        <v>0</v>
      </c>
      <c r="T52" s="18">
        <f t="shared" ref="T52:T53" si="8">+F52+S52</f>
        <v>8917999.5555555541</v>
      </c>
      <c r="U52" s="19">
        <f t="shared" si="4"/>
        <v>0.44444444589316845</v>
      </c>
    </row>
    <row r="53" spans="1:21">
      <c r="A53" s="21" t="s">
        <v>74</v>
      </c>
      <c r="B53" s="21" t="s">
        <v>4</v>
      </c>
      <c r="C53" s="4" t="s">
        <v>75</v>
      </c>
      <c r="D53" s="30">
        <v>37767000</v>
      </c>
      <c r="E53" s="5">
        <v>36</v>
      </c>
      <c r="F53" s="17">
        <v>37767000.333333336</v>
      </c>
      <c r="G53" s="17">
        <v>0</v>
      </c>
      <c r="H53" s="17">
        <v>0</v>
      </c>
      <c r="I53" s="17">
        <v>0</v>
      </c>
      <c r="J53" s="17">
        <v>0</v>
      </c>
      <c r="K53" s="17">
        <v>0</v>
      </c>
      <c r="L53" s="17">
        <v>0</v>
      </c>
      <c r="M53" s="17">
        <v>0</v>
      </c>
      <c r="N53" s="17">
        <v>0</v>
      </c>
      <c r="O53" s="17">
        <v>0</v>
      </c>
      <c r="P53" s="17">
        <v>0</v>
      </c>
      <c r="Q53" s="17">
        <v>0</v>
      </c>
      <c r="R53" s="17">
        <v>0</v>
      </c>
      <c r="S53" s="18">
        <f t="shared" si="5"/>
        <v>0</v>
      </c>
      <c r="T53" s="18">
        <f t="shared" si="8"/>
        <v>37767000.333333336</v>
      </c>
      <c r="U53" s="19">
        <f t="shared" si="4"/>
        <v>-0.3333333358168602</v>
      </c>
    </row>
    <row r="54" spans="1:21">
      <c r="A54" s="21">
        <v>44644</v>
      </c>
      <c r="B54" s="21" t="s">
        <v>0</v>
      </c>
      <c r="C54" s="4" t="s">
        <v>65</v>
      </c>
      <c r="D54" s="30">
        <v>44000000</v>
      </c>
      <c r="E54" s="5">
        <v>36</v>
      </c>
      <c r="F54" s="17">
        <v>44000000</v>
      </c>
      <c r="G54" s="18">
        <v>0</v>
      </c>
      <c r="H54" s="18">
        <v>0</v>
      </c>
      <c r="I54" s="18">
        <v>0</v>
      </c>
      <c r="J54" s="18">
        <v>0</v>
      </c>
      <c r="K54" s="18">
        <v>0</v>
      </c>
      <c r="L54" s="18">
        <v>0</v>
      </c>
      <c r="M54" s="18">
        <v>0</v>
      </c>
      <c r="N54" s="18">
        <v>0</v>
      </c>
      <c r="O54" s="18">
        <v>0</v>
      </c>
      <c r="P54" s="18">
        <v>0</v>
      </c>
      <c r="Q54" s="18">
        <v>0</v>
      </c>
      <c r="R54" s="18">
        <v>0</v>
      </c>
      <c r="S54" s="18">
        <f t="shared" si="5"/>
        <v>0</v>
      </c>
      <c r="T54" s="18">
        <f t="shared" ref="T54:T55" si="9">+F54+S54</f>
        <v>44000000</v>
      </c>
      <c r="U54" s="19">
        <f t="shared" si="4"/>
        <v>0</v>
      </c>
    </row>
    <row r="55" spans="1:21">
      <c r="A55" s="21">
        <v>44678</v>
      </c>
      <c r="B55" s="21" t="s">
        <v>0</v>
      </c>
      <c r="C55" s="4" t="s">
        <v>64</v>
      </c>
      <c r="D55" s="30">
        <v>11713177</v>
      </c>
      <c r="E55" s="5">
        <v>36</v>
      </c>
      <c r="F55" s="17">
        <v>11713177.000000002</v>
      </c>
      <c r="G55" s="18">
        <v>0</v>
      </c>
      <c r="H55" s="18">
        <v>0</v>
      </c>
      <c r="I55" s="18">
        <v>0</v>
      </c>
      <c r="J55" s="18">
        <v>0</v>
      </c>
      <c r="K55" s="18">
        <v>0</v>
      </c>
      <c r="L55" s="18">
        <v>0</v>
      </c>
      <c r="M55" s="18">
        <v>0</v>
      </c>
      <c r="N55" s="18">
        <v>0</v>
      </c>
      <c r="O55" s="18">
        <v>0</v>
      </c>
      <c r="P55" s="18">
        <v>0</v>
      </c>
      <c r="Q55" s="18">
        <v>0</v>
      </c>
      <c r="R55" s="18">
        <v>0</v>
      </c>
      <c r="S55" s="18">
        <f t="shared" si="5"/>
        <v>0</v>
      </c>
      <c r="T55" s="18">
        <f t="shared" si="9"/>
        <v>11713177.000000002</v>
      </c>
      <c r="U55" s="19">
        <f t="shared" si="4"/>
        <v>0</v>
      </c>
    </row>
    <row r="56" spans="1:21">
      <c r="A56" s="21">
        <v>44978</v>
      </c>
      <c r="B56" s="21" t="s">
        <v>0</v>
      </c>
      <c r="C56" s="4" t="s">
        <v>71</v>
      </c>
      <c r="D56" s="30">
        <v>12949000</v>
      </c>
      <c r="E56" s="5">
        <v>36</v>
      </c>
      <c r="F56" s="17">
        <v>8632666.666666666</v>
      </c>
      <c r="G56" s="18">
        <f t="shared" ref="G56:R56" si="10">$D$56/$E$56</f>
        <v>359694.44444444444</v>
      </c>
      <c r="H56" s="18">
        <f t="shared" si="10"/>
        <v>359694.44444444444</v>
      </c>
      <c r="I56" s="18">
        <f t="shared" si="10"/>
        <v>359694.44444444444</v>
      </c>
      <c r="J56" s="18">
        <f t="shared" si="10"/>
        <v>359694.44444444444</v>
      </c>
      <c r="K56" s="18">
        <f t="shared" si="10"/>
        <v>359694.44444444444</v>
      </c>
      <c r="L56" s="18">
        <f t="shared" si="10"/>
        <v>359694.44444444444</v>
      </c>
      <c r="M56" s="18">
        <f t="shared" si="10"/>
        <v>359694.44444444444</v>
      </c>
      <c r="N56" s="18">
        <f t="shared" si="10"/>
        <v>359694.44444444444</v>
      </c>
      <c r="O56" s="18">
        <f t="shared" si="10"/>
        <v>359694.44444444444</v>
      </c>
      <c r="P56" s="18">
        <f t="shared" si="10"/>
        <v>359694.44444444444</v>
      </c>
      <c r="Q56" s="18">
        <f t="shared" si="10"/>
        <v>359694.44444444444</v>
      </c>
      <c r="R56" s="18">
        <f t="shared" si="10"/>
        <v>359694.44444444444</v>
      </c>
      <c r="S56" s="18">
        <f t="shared" si="5"/>
        <v>4316333.333333333</v>
      </c>
      <c r="T56" s="18">
        <f t="shared" ref="T56:T57" si="11">+F56+S56</f>
        <v>12949000</v>
      </c>
      <c r="U56" s="19">
        <f t="shared" si="4"/>
        <v>0</v>
      </c>
    </row>
    <row r="57" spans="1:21">
      <c r="A57" s="21">
        <v>45201</v>
      </c>
      <c r="B57" s="21" t="s">
        <v>68</v>
      </c>
      <c r="C57" s="4" t="s">
        <v>69</v>
      </c>
      <c r="D57" s="30">
        <v>6799000</v>
      </c>
      <c r="E57" s="5">
        <v>36</v>
      </c>
      <c r="F57" s="17">
        <v>4532666.666666666</v>
      </c>
      <c r="G57" s="18">
        <f t="shared" ref="G57:R57" si="12">$D$57/$E$57</f>
        <v>188861.11111111112</v>
      </c>
      <c r="H57" s="18">
        <f t="shared" si="12"/>
        <v>188861.11111111112</v>
      </c>
      <c r="I57" s="18">
        <f t="shared" si="12"/>
        <v>188861.11111111112</v>
      </c>
      <c r="J57" s="18">
        <f t="shared" si="12"/>
        <v>188861.11111111112</v>
      </c>
      <c r="K57" s="18">
        <f t="shared" si="12"/>
        <v>188861.11111111112</v>
      </c>
      <c r="L57" s="18">
        <f t="shared" si="12"/>
        <v>188861.11111111112</v>
      </c>
      <c r="M57" s="18">
        <f t="shared" si="12"/>
        <v>188861.11111111112</v>
      </c>
      <c r="N57" s="18">
        <f t="shared" si="12"/>
        <v>188861.11111111112</v>
      </c>
      <c r="O57" s="18">
        <f t="shared" si="12"/>
        <v>188861.11111111112</v>
      </c>
      <c r="P57" s="18">
        <f t="shared" si="12"/>
        <v>188861.11111111112</v>
      </c>
      <c r="Q57" s="18">
        <f t="shared" si="12"/>
        <v>188861.11111111112</v>
      </c>
      <c r="R57" s="18">
        <f t="shared" si="12"/>
        <v>188861.11111111112</v>
      </c>
      <c r="S57" s="18">
        <f t="shared" si="5"/>
        <v>2266333.333333333</v>
      </c>
      <c r="T57" s="18">
        <f t="shared" si="11"/>
        <v>6798999.9999999991</v>
      </c>
      <c r="U57" s="19">
        <f t="shared" si="4"/>
        <v>0</v>
      </c>
    </row>
    <row r="58" spans="1:21">
      <c r="A58" s="21">
        <v>45241</v>
      </c>
      <c r="B58" s="21" t="s">
        <v>68</v>
      </c>
      <c r="C58" s="4" t="s">
        <v>76</v>
      </c>
      <c r="D58" s="30">
        <f>6250000*2</f>
        <v>12500000</v>
      </c>
      <c r="E58" s="5">
        <v>36</v>
      </c>
      <c r="F58" s="17">
        <v>8333333.3333333321</v>
      </c>
      <c r="G58" s="18">
        <f t="shared" ref="G58:R58" si="13">$D$58/$E$58</f>
        <v>347222.22222222225</v>
      </c>
      <c r="H58" s="18">
        <f t="shared" si="13"/>
        <v>347222.22222222225</v>
      </c>
      <c r="I58" s="18">
        <f t="shared" si="13"/>
        <v>347222.22222222225</v>
      </c>
      <c r="J58" s="18">
        <f t="shared" si="13"/>
        <v>347222.22222222225</v>
      </c>
      <c r="K58" s="18">
        <f t="shared" si="13"/>
        <v>347222.22222222225</v>
      </c>
      <c r="L58" s="18">
        <f t="shared" si="13"/>
        <v>347222.22222222225</v>
      </c>
      <c r="M58" s="18">
        <f t="shared" si="13"/>
        <v>347222.22222222225</v>
      </c>
      <c r="N58" s="18">
        <f t="shared" si="13"/>
        <v>347222.22222222225</v>
      </c>
      <c r="O58" s="18">
        <f t="shared" si="13"/>
        <v>347222.22222222225</v>
      </c>
      <c r="P58" s="18">
        <f t="shared" si="13"/>
        <v>347222.22222222225</v>
      </c>
      <c r="Q58" s="18">
        <f t="shared" si="13"/>
        <v>347222.22222222225</v>
      </c>
      <c r="R58" s="18">
        <f t="shared" si="13"/>
        <v>347222.22222222225</v>
      </c>
      <c r="S58" s="18">
        <f t="shared" si="5"/>
        <v>4166666.666666666</v>
      </c>
      <c r="T58" s="18">
        <f t="shared" ref="T58:T87" si="14">+F58+S58</f>
        <v>12499999.999999998</v>
      </c>
      <c r="U58" s="19">
        <f t="shared" si="4"/>
        <v>0</v>
      </c>
    </row>
    <row r="59" spans="1:21">
      <c r="A59" s="21">
        <v>45241</v>
      </c>
      <c r="B59" s="21" t="s">
        <v>1</v>
      </c>
      <c r="C59" s="4" t="s">
        <v>72</v>
      </c>
      <c r="D59" s="30">
        <v>15937500</v>
      </c>
      <c r="E59" s="5">
        <v>36</v>
      </c>
      <c r="F59" s="17">
        <v>10625000</v>
      </c>
      <c r="G59" s="18">
        <f t="shared" ref="G59:R59" si="15">$D$59/$E$59</f>
        <v>442708.33333333331</v>
      </c>
      <c r="H59" s="18">
        <f t="shared" si="15"/>
        <v>442708.33333333331</v>
      </c>
      <c r="I59" s="18">
        <f t="shared" si="15"/>
        <v>442708.33333333331</v>
      </c>
      <c r="J59" s="18">
        <f t="shared" si="15"/>
        <v>442708.33333333331</v>
      </c>
      <c r="K59" s="18">
        <f t="shared" si="15"/>
        <v>442708.33333333331</v>
      </c>
      <c r="L59" s="18">
        <f t="shared" si="15"/>
        <v>442708.33333333331</v>
      </c>
      <c r="M59" s="18">
        <f t="shared" si="15"/>
        <v>442708.33333333331</v>
      </c>
      <c r="N59" s="18">
        <f t="shared" si="15"/>
        <v>442708.33333333331</v>
      </c>
      <c r="O59" s="18">
        <f t="shared" si="15"/>
        <v>442708.33333333331</v>
      </c>
      <c r="P59" s="18">
        <f t="shared" si="15"/>
        <v>442708.33333333331</v>
      </c>
      <c r="Q59" s="18">
        <f t="shared" si="15"/>
        <v>442708.33333333331</v>
      </c>
      <c r="R59" s="18">
        <f t="shared" si="15"/>
        <v>442708.33333333331</v>
      </c>
      <c r="S59" s="18">
        <f t="shared" si="5"/>
        <v>5312500</v>
      </c>
      <c r="T59" s="18">
        <f t="shared" si="14"/>
        <v>15937500</v>
      </c>
      <c r="U59" s="19">
        <f t="shared" si="4"/>
        <v>0</v>
      </c>
    </row>
    <row r="60" spans="1:21">
      <c r="A60" s="21"/>
      <c r="B60" s="21" t="s">
        <v>4</v>
      </c>
      <c r="C60" s="31" t="s">
        <v>77</v>
      </c>
      <c r="D60" s="30">
        <v>15937599</v>
      </c>
      <c r="E60" s="5">
        <v>36</v>
      </c>
      <c r="F60" s="17">
        <v>10625066</v>
      </c>
      <c r="G60" s="18">
        <f t="shared" ref="G60:R60" si="16">$D$60/$E$60</f>
        <v>442711.08333333331</v>
      </c>
      <c r="H60" s="18">
        <f t="shared" si="16"/>
        <v>442711.08333333331</v>
      </c>
      <c r="I60" s="18">
        <f t="shared" si="16"/>
        <v>442711.08333333331</v>
      </c>
      <c r="J60" s="18">
        <f t="shared" si="16"/>
        <v>442711.08333333331</v>
      </c>
      <c r="K60" s="18">
        <f t="shared" si="16"/>
        <v>442711.08333333331</v>
      </c>
      <c r="L60" s="18">
        <f t="shared" si="16"/>
        <v>442711.08333333331</v>
      </c>
      <c r="M60" s="18">
        <f t="shared" si="16"/>
        <v>442711.08333333331</v>
      </c>
      <c r="N60" s="18">
        <f t="shared" si="16"/>
        <v>442711.08333333331</v>
      </c>
      <c r="O60" s="18">
        <f t="shared" si="16"/>
        <v>442711.08333333331</v>
      </c>
      <c r="P60" s="18">
        <f t="shared" si="16"/>
        <v>442711.08333333331</v>
      </c>
      <c r="Q60" s="18">
        <f t="shared" si="16"/>
        <v>442711.08333333331</v>
      </c>
      <c r="R60" s="18">
        <f t="shared" si="16"/>
        <v>442711.08333333331</v>
      </c>
      <c r="S60" s="18">
        <f t="shared" si="5"/>
        <v>5312533</v>
      </c>
      <c r="T60" s="18">
        <f t="shared" si="14"/>
        <v>15937599</v>
      </c>
      <c r="U60" s="19">
        <f t="shared" si="4"/>
        <v>0</v>
      </c>
    </row>
    <row r="61" spans="1:21">
      <c r="A61" s="21" t="s">
        <v>2</v>
      </c>
      <c r="B61" s="21" t="s">
        <v>4</v>
      </c>
      <c r="C61" s="4" t="s">
        <v>70</v>
      </c>
      <c r="D61" s="30">
        <v>14270900</v>
      </c>
      <c r="E61" s="5">
        <v>36</v>
      </c>
      <c r="F61" s="17">
        <v>9513933.333333334</v>
      </c>
      <c r="G61" s="18">
        <f t="shared" ref="G61:R61" si="17">$D$61/$E$61</f>
        <v>396413.88888888888</v>
      </c>
      <c r="H61" s="18">
        <f t="shared" si="17"/>
        <v>396413.88888888888</v>
      </c>
      <c r="I61" s="18">
        <f t="shared" si="17"/>
        <v>396413.88888888888</v>
      </c>
      <c r="J61" s="18">
        <f t="shared" si="17"/>
        <v>396413.88888888888</v>
      </c>
      <c r="K61" s="18">
        <f t="shared" si="17"/>
        <v>396413.88888888888</v>
      </c>
      <c r="L61" s="18">
        <f t="shared" si="17"/>
        <v>396413.88888888888</v>
      </c>
      <c r="M61" s="18">
        <f t="shared" si="17"/>
        <v>396413.88888888888</v>
      </c>
      <c r="N61" s="18">
        <f t="shared" si="17"/>
        <v>396413.88888888888</v>
      </c>
      <c r="O61" s="18">
        <f t="shared" si="17"/>
        <v>396413.88888888888</v>
      </c>
      <c r="P61" s="18">
        <f t="shared" si="17"/>
        <v>396413.88888888888</v>
      </c>
      <c r="Q61" s="18">
        <f t="shared" si="17"/>
        <v>396413.88888888888</v>
      </c>
      <c r="R61" s="18">
        <f t="shared" si="17"/>
        <v>396413.88888888888</v>
      </c>
      <c r="S61" s="18">
        <f t="shared" si="5"/>
        <v>4756966.666666667</v>
      </c>
      <c r="T61" s="18">
        <f t="shared" si="14"/>
        <v>14270900</v>
      </c>
      <c r="U61" s="19">
        <f t="shared" si="4"/>
        <v>0</v>
      </c>
    </row>
    <row r="62" spans="1:21">
      <c r="A62" s="21" t="s">
        <v>2</v>
      </c>
      <c r="B62" s="21" t="s">
        <v>4</v>
      </c>
      <c r="C62" s="4" t="s">
        <v>70</v>
      </c>
      <c r="D62" s="30">
        <v>14558900</v>
      </c>
      <c r="E62" s="5">
        <v>36</v>
      </c>
      <c r="F62" s="17">
        <v>9705933.333333334</v>
      </c>
      <c r="G62" s="18">
        <f t="shared" ref="G62:R62" si="18">$D$62/$E$62</f>
        <v>404413.88888888888</v>
      </c>
      <c r="H62" s="18">
        <f t="shared" si="18"/>
        <v>404413.88888888888</v>
      </c>
      <c r="I62" s="18">
        <f t="shared" si="18"/>
        <v>404413.88888888888</v>
      </c>
      <c r="J62" s="18">
        <f t="shared" si="18"/>
        <v>404413.88888888888</v>
      </c>
      <c r="K62" s="18">
        <f t="shared" si="18"/>
        <v>404413.88888888888</v>
      </c>
      <c r="L62" s="18">
        <f t="shared" si="18"/>
        <v>404413.88888888888</v>
      </c>
      <c r="M62" s="18">
        <f t="shared" si="18"/>
        <v>404413.88888888888</v>
      </c>
      <c r="N62" s="18">
        <f t="shared" si="18"/>
        <v>404413.88888888888</v>
      </c>
      <c r="O62" s="18">
        <f t="shared" si="18"/>
        <v>404413.88888888888</v>
      </c>
      <c r="P62" s="18">
        <f t="shared" si="18"/>
        <v>404413.88888888888</v>
      </c>
      <c r="Q62" s="18">
        <f t="shared" si="18"/>
        <v>404413.88888888888</v>
      </c>
      <c r="R62" s="18">
        <f t="shared" si="18"/>
        <v>404413.88888888888</v>
      </c>
      <c r="S62" s="18">
        <f t="shared" si="5"/>
        <v>4852966.666666667</v>
      </c>
      <c r="T62" s="18">
        <f t="shared" si="14"/>
        <v>14558900</v>
      </c>
      <c r="U62" s="19">
        <f t="shared" si="4"/>
        <v>0</v>
      </c>
    </row>
    <row r="63" spans="1:21">
      <c r="A63" s="21" t="s">
        <v>2</v>
      </c>
      <c r="B63" s="21" t="s">
        <v>4</v>
      </c>
      <c r="C63" s="4" t="s">
        <v>70</v>
      </c>
      <c r="D63" s="30">
        <v>14558900</v>
      </c>
      <c r="E63" s="5">
        <v>36</v>
      </c>
      <c r="F63" s="17">
        <v>9705933.333333334</v>
      </c>
      <c r="G63" s="18">
        <f t="shared" ref="G63:R63" si="19">$D$63/$E$63</f>
        <v>404413.88888888888</v>
      </c>
      <c r="H63" s="18">
        <f t="shared" si="19"/>
        <v>404413.88888888888</v>
      </c>
      <c r="I63" s="18">
        <f t="shared" si="19"/>
        <v>404413.88888888888</v>
      </c>
      <c r="J63" s="18">
        <f t="shared" si="19"/>
        <v>404413.88888888888</v>
      </c>
      <c r="K63" s="18">
        <f t="shared" si="19"/>
        <v>404413.88888888888</v>
      </c>
      <c r="L63" s="18">
        <f t="shared" si="19"/>
        <v>404413.88888888888</v>
      </c>
      <c r="M63" s="18">
        <f t="shared" si="19"/>
        <v>404413.88888888888</v>
      </c>
      <c r="N63" s="18">
        <f t="shared" si="19"/>
        <v>404413.88888888888</v>
      </c>
      <c r="O63" s="18">
        <f t="shared" si="19"/>
        <v>404413.88888888888</v>
      </c>
      <c r="P63" s="18">
        <f t="shared" si="19"/>
        <v>404413.88888888888</v>
      </c>
      <c r="Q63" s="18">
        <f t="shared" si="19"/>
        <v>404413.88888888888</v>
      </c>
      <c r="R63" s="18">
        <f t="shared" si="19"/>
        <v>404413.88888888888</v>
      </c>
      <c r="S63" s="18">
        <f t="shared" si="5"/>
        <v>4852966.666666667</v>
      </c>
      <c r="T63" s="18">
        <f t="shared" si="14"/>
        <v>14558900</v>
      </c>
      <c r="U63" s="19">
        <f t="shared" si="4"/>
        <v>0</v>
      </c>
    </row>
    <row r="64" spans="1:21">
      <c r="A64" s="21" t="s">
        <v>2</v>
      </c>
      <c r="B64" s="21" t="s">
        <v>4</v>
      </c>
      <c r="C64" s="4" t="s">
        <v>70</v>
      </c>
      <c r="D64" s="30">
        <v>14558900</v>
      </c>
      <c r="E64" s="5">
        <v>36</v>
      </c>
      <c r="F64" s="17">
        <v>9705933.333333334</v>
      </c>
      <c r="G64" s="18">
        <f t="shared" ref="G64:R64" si="20">$D$64/$E$64</f>
        <v>404413.88888888888</v>
      </c>
      <c r="H64" s="18">
        <f t="shared" si="20"/>
        <v>404413.88888888888</v>
      </c>
      <c r="I64" s="18">
        <f t="shared" si="20"/>
        <v>404413.88888888888</v>
      </c>
      <c r="J64" s="18">
        <f t="shared" si="20"/>
        <v>404413.88888888888</v>
      </c>
      <c r="K64" s="18">
        <f t="shared" si="20"/>
        <v>404413.88888888888</v>
      </c>
      <c r="L64" s="18">
        <f t="shared" si="20"/>
        <v>404413.88888888888</v>
      </c>
      <c r="M64" s="18">
        <f t="shared" si="20"/>
        <v>404413.88888888888</v>
      </c>
      <c r="N64" s="18">
        <f t="shared" si="20"/>
        <v>404413.88888888888</v>
      </c>
      <c r="O64" s="18">
        <f t="shared" si="20"/>
        <v>404413.88888888888</v>
      </c>
      <c r="P64" s="18">
        <f t="shared" si="20"/>
        <v>404413.88888888888</v>
      </c>
      <c r="Q64" s="18">
        <f t="shared" si="20"/>
        <v>404413.88888888888</v>
      </c>
      <c r="R64" s="18">
        <f t="shared" si="20"/>
        <v>404413.88888888888</v>
      </c>
      <c r="S64" s="18">
        <f t="shared" si="5"/>
        <v>4852966.666666667</v>
      </c>
      <c r="T64" s="18">
        <f t="shared" si="14"/>
        <v>14558900</v>
      </c>
      <c r="U64" s="19">
        <f t="shared" si="4"/>
        <v>0</v>
      </c>
    </row>
    <row r="65" spans="1:21">
      <c r="A65" s="21">
        <v>45241</v>
      </c>
      <c r="B65" s="21" t="s">
        <v>4</v>
      </c>
      <c r="C65" s="4" t="s">
        <v>67</v>
      </c>
      <c r="D65" s="30">
        <v>51019771</v>
      </c>
      <c r="E65" s="5">
        <v>36</v>
      </c>
      <c r="F65" s="17">
        <v>34013180.666666672</v>
      </c>
      <c r="G65" s="18">
        <f t="shared" ref="G65:R65" si="21">$D$65/$E$65</f>
        <v>1417215.861111111</v>
      </c>
      <c r="H65" s="18">
        <f t="shared" si="21"/>
        <v>1417215.861111111</v>
      </c>
      <c r="I65" s="18">
        <f t="shared" si="21"/>
        <v>1417215.861111111</v>
      </c>
      <c r="J65" s="18">
        <f t="shared" si="21"/>
        <v>1417215.861111111</v>
      </c>
      <c r="K65" s="18">
        <f t="shared" si="21"/>
        <v>1417215.861111111</v>
      </c>
      <c r="L65" s="18">
        <f t="shared" si="21"/>
        <v>1417215.861111111</v>
      </c>
      <c r="M65" s="18">
        <f t="shared" si="21"/>
        <v>1417215.861111111</v>
      </c>
      <c r="N65" s="18">
        <f t="shared" si="21"/>
        <v>1417215.861111111</v>
      </c>
      <c r="O65" s="18">
        <f t="shared" si="21"/>
        <v>1417215.861111111</v>
      </c>
      <c r="P65" s="18">
        <f t="shared" si="21"/>
        <v>1417215.861111111</v>
      </c>
      <c r="Q65" s="18">
        <f t="shared" si="21"/>
        <v>1417215.861111111</v>
      </c>
      <c r="R65" s="18">
        <f t="shared" si="21"/>
        <v>1417215.861111111</v>
      </c>
      <c r="S65" s="18">
        <f t="shared" si="5"/>
        <v>17006590.333333336</v>
      </c>
      <c r="T65" s="18">
        <f t="shared" ref="T65:T78" si="22">+F65+S65</f>
        <v>51019771.000000007</v>
      </c>
      <c r="U65" s="19">
        <f t="shared" ref="U65:U78" si="23">+D65-T65</f>
        <v>0</v>
      </c>
    </row>
    <row r="66" spans="1:21">
      <c r="A66" s="21">
        <v>45345</v>
      </c>
      <c r="B66" s="21" t="s">
        <v>78</v>
      </c>
      <c r="C66" s="4" t="s">
        <v>91</v>
      </c>
      <c r="D66" s="30">
        <v>6000000</v>
      </c>
      <c r="E66" s="5">
        <v>36</v>
      </c>
      <c r="F66" s="17">
        <v>2000000.0000000002</v>
      </c>
      <c r="G66" s="18">
        <f t="shared" ref="G66:R66" si="24">$D$66/$E$66</f>
        <v>166666.66666666666</v>
      </c>
      <c r="H66" s="18">
        <f t="shared" si="24"/>
        <v>166666.66666666666</v>
      </c>
      <c r="I66" s="18">
        <f t="shared" si="24"/>
        <v>166666.66666666666</v>
      </c>
      <c r="J66" s="18">
        <f t="shared" si="24"/>
        <v>166666.66666666666</v>
      </c>
      <c r="K66" s="18">
        <f t="shared" si="24"/>
        <v>166666.66666666666</v>
      </c>
      <c r="L66" s="18">
        <f t="shared" si="24"/>
        <v>166666.66666666666</v>
      </c>
      <c r="M66" s="18">
        <f t="shared" si="24"/>
        <v>166666.66666666666</v>
      </c>
      <c r="N66" s="18">
        <f t="shared" si="24"/>
        <v>166666.66666666666</v>
      </c>
      <c r="O66" s="18">
        <f t="shared" si="24"/>
        <v>166666.66666666666</v>
      </c>
      <c r="P66" s="18">
        <f t="shared" si="24"/>
        <v>166666.66666666666</v>
      </c>
      <c r="Q66" s="18">
        <f t="shared" si="24"/>
        <v>166666.66666666666</v>
      </c>
      <c r="R66" s="18">
        <f t="shared" si="24"/>
        <v>166666.66666666666</v>
      </c>
      <c r="S66" s="18">
        <f t="shared" si="5"/>
        <v>2000000.0000000002</v>
      </c>
      <c r="T66" s="18">
        <f t="shared" si="22"/>
        <v>4000000.0000000005</v>
      </c>
      <c r="U66" s="19">
        <f t="shared" si="23"/>
        <v>1999999.9999999995</v>
      </c>
    </row>
    <row r="67" spans="1:21">
      <c r="A67" s="21">
        <v>45500</v>
      </c>
      <c r="B67" s="21" t="s">
        <v>78</v>
      </c>
      <c r="C67" s="4" t="s">
        <v>92</v>
      </c>
      <c r="D67" s="30">
        <v>20500000</v>
      </c>
      <c r="E67" s="5">
        <v>36</v>
      </c>
      <c r="F67" s="17">
        <v>5152777.777777778</v>
      </c>
      <c r="G67" s="18">
        <f t="shared" ref="G67:R67" si="25">$D$67/$E$67</f>
        <v>569444.4444444445</v>
      </c>
      <c r="H67" s="18">
        <f t="shared" si="25"/>
        <v>569444.4444444445</v>
      </c>
      <c r="I67" s="18">
        <f t="shared" si="25"/>
        <v>569444.4444444445</v>
      </c>
      <c r="J67" s="18">
        <f t="shared" si="25"/>
        <v>569444.4444444445</v>
      </c>
      <c r="K67" s="18">
        <f t="shared" si="25"/>
        <v>569444.4444444445</v>
      </c>
      <c r="L67" s="18">
        <f t="shared" si="25"/>
        <v>569444.4444444445</v>
      </c>
      <c r="M67" s="18">
        <f t="shared" si="25"/>
        <v>569444.4444444445</v>
      </c>
      <c r="N67" s="18">
        <f t="shared" si="25"/>
        <v>569444.4444444445</v>
      </c>
      <c r="O67" s="18">
        <f t="shared" si="25"/>
        <v>569444.4444444445</v>
      </c>
      <c r="P67" s="18">
        <f t="shared" si="25"/>
        <v>569444.4444444445</v>
      </c>
      <c r="Q67" s="18">
        <f t="shared" si="25"/>
        <v>569444.4444444445</v>
      </c>
      <c r="R67" s="18">
        <f t="shared" si="25"/>
        <v>569444.4444444445</v>
      </c>
      <c r="S67" s="18">
        <f t="shared" si="5"/>
        <v>6833333.3333333321</v>
      </c>
      <c r="T67" s="18">
        <f t="shared" si="22"/>
        <v>11986111.11111111</v>
      </c>
      <c r="U67" s="19">
        <f t="shared" si="23"/>
        <v>8513888.8888888899</v>
      </c>
    </row>
    <row r="68" spans="1:21">
      <c r="A68" s="21">
        <v>45629</v>
      </c>
      <c r="B68" s="21" t="s">
        <v>78</v>
      </c>
      <c r="C68" s="4" t="s">
        <v>93</v>
      </c>
      <c r="D68" s="30">
        <v>15000000</v>
      </c>
      <c r="E68" s="5">
        <v>36</v>
      </c>
      <c r="F68" s="17">
        <v>5000000</v>
      </c>
      <c r="G68" s="18">
        <f t="shared" ref="G68:R68" si="26">$D$68/$E$68</f>
        <v>416666.66666666669</v>
      </c>
      <c r="H68" s="18">
        <f t="shared" si="26"/>
        <v>416666.66666666669</v>
      </c>
      <c r="I68" s="18">
        <f t="shared" si="26"/>
        <v>416666.66666666669</v>
      </c>
      <c r="J68" s="18">
        <f t="shared" si="26"/>
        <v>416666.66666666669</v>
      </c>
      <c r="K68" s="18">
        <f t="shared" si="26"/>
        <v>416666.66666666669</v>
      </c>
      <c r="L68" s="18">
        <f t="shared" si="26"/>
        <v>416666.66666666669</v>
      </c>
      <c r="M68" s="18">
        <f t="shared" si="26"/>
        <v>416666.66666666669</v>
      </c>
      <c r="N68" s="18">
        <f t="shared" si="26"/>
        <v>416666.66666666669</v>
      </c>
      <c r="O68" s="18">
        <f t="shared" si="26"/>
        <v>416666.66666666669</v>
      </c>
      <c r="P68" s="18">
        <f t="shared" si="26"/>
        <v>416666.66666666669</v>
      </c>
      <c r="Q68" s="18">
        <f t="shared" si="26"/>
        <v>416666.66666666669</v>
      </c>
      <c r="R68" s="18">
        <f t="shared" si="26"/>
        <v>416666.66666666669</v>
      </c>
      <c r="S68" s="18">
        <f t="shared" si="5"/>
        <v>5000000</v>
      </c>
      <c r="T68" s="18">
        <f t="shared" si="22"/>
        <v>10000000</v>
      </c>
      <c r="U68" s="19">
        <f t="shared" si="23"/>
        <v>5000000</v>
      </c>
    </row>
    <row r="69" spans="1:21">
      <c r="A69" s="21">
        <v>45316</v>
      </c>
      <c r="B69" s="21" t="s">
        <v>1</v>
      </c>
      <c r="C69" s="4" t="s">
        <v>94</v>
      </c>
      <c r="D69" s="30">
        <v>21250000</v>
      </c>
      <c r="E69" s="5">
        <v>36</v>
      </c>
      <c r="F69" s="17">
        <v>7083333.3333333349</v>
      </c>
      <c r="G69" s="18">
        <f t="shared" ref="G69:R69" si="27">$D$69/$E$69</f>
        <v>590277.77777777775</v>
      </c>
      <c r="H69" s="18">
        <f t="shared" si="27"/>
        <v>590277.77777777775</v>
      </c>
      <c r="I69" s="18">
        <f t="shared" si="27"/>
        <v>590277.77777777775</v>
      </c>
      <c r="J69" s="18">
        <f t="shared" si="27"/>
        <v>590277.77777777775</v>
      </c>
      <c r="K69" s="18">
        <f t="shared" si="27"/>
        <v>590277.77777777775</v>
      </c>
      <c r="L69" s="18">
        <f t="shared" si="27"/>
        <v>590277.77777777775</v>
      </c>
      <c r="M69" s="18">
        <f t="shared" si="27"/>
        <v>590277.77777777775</v>
      </c>
      <c r="N69" s="18">
        <f t="shared" si="27"/>
        <v>590277.77777777775</v>
      </c>
      <c r="O69" s="18">
        <f t="shared" si="27"/>
        <v>590277.77777777775</v>
      </c>
      <c r="P69" s="18">
        <f t="shared" si="27"/>
        <v>590277.77777777775</v>
      </c>
      <c r="Q69" s="18">
        <f t="shared" si="27"/>
        <v>590277.77777777775</v>
      </c>
      <c r="R69" s="18">
        <f t="shared" si="27"/>
        <v>590277.77777777775</v>
      </c>
      <c r="S69" s="18">
        <f t="shared" si="5"/>
        <v>7083333.3333333349</v>
      </c>
      <c r="T69" s="18">
        <f t="shared" si="22"/>
        <v>14166666.66666667</v>
      </c>
      <c r="U69" s="19">
        <f t="shared" si="23"/>
        <v>7083333.3333333302</v>
      </c>
    </row>
    <row r="70" spans="1:21">
      <c r="A70" s="21">
        <v>45386</v>
      </c>
      <c r="B70" s="21" t="s">
        <v>1</v>
      </c>
      <c r="C70" s="4" t="s">
        <v>95</v>
      </c>
      <c r="D70" s="30">
        <v>21250000</v>
      </c>
      <c r="E70" s="5">
        <v>36</v>
      </c>
      <c r="F70" s="17">
        <v>7083333.3333333349</v>
      </c>
      <c r="G70" s="18">
        <f t="shared" ref="G70:R70" si="28">$D$70/$E$70</f>
        <v>590277.77777777775</v>
      </c>
      <c r="H70" s="18">
        <f t="shared" si="28"/>
        <v>590277.77777777775</v>
      </c>
      <c r="I70" s="18">
        <f t="shared" si="28"/>
        <v>590277.77777777775</v>
      </c>
      <c r="J70" s="18">
        <f t="shared" si="28"/>
        <v>590277.77777777775</v>
      </c>
      <c r="K70" s="18">
        <f t="shared" si="28"/>
        <v>590277.77777777775</v>
      </c>
      <c r="L70" s="18">
        <f t="shared" si="28"/>
        <v>590277.77777777775</v>
      </c>
      <c r="M70" s="18">
        <f t="shared" si="28"/>
        <v>590277.77777777775</v>
      </c>
      <c r="N70" s="18">
        <f t="shared" si="28"/>
        <v>590277.77777777775</v>
      </c>
      <c r="O70" s="18">
        <f t="shared" si="28"/>
        <v>590277.77777777775</v>
      </c>
      <c r="P70" s="18">
        <f t="shared" si="28"/>
        <v>590277.77777777775</v>
      </c>
      <c r="Q70" s="18">
        <f t="shared" si="28"/>
        <v>590277.77777777775</v>
      </c>
      <c r="R70" s="18">
        <f t="shared" si="28"/>
        <v>590277.77777777775</v>
      </c>
      <c r="S70" s="18">
        <f t="shared" si="5"/>
        <v>7083333.3333333349</v>
      </c>
      <c r="T70" s="18">
        <f t="shared" si="22"/>
        <v>14166666.66666667</v>
      </c>
      <c r="U70" s="19">
        <f t="shared" si="23"/>
        <v>7083333.3333333302</v>
      </c>
    </row>
    <row r="71" spans="1:21">
      <c r="A71" s="21">
        <v>45408</v>
      </c>
      <c r="B71" s="21" t="s">
        <v>1</v>
      </c>
      <c r="C71" s="4" t="s">
        <v>96</v>
      </c>
      <c r="D71" s="30">
        <v>2500000</v>
      </c>
      <c r="E71" s="5">
        <v>36</v>
      </c>
      <c r="F71" s="17">
        <v>833333.33333333349</v>
      </c>
      <c r="G71" s="18">
        <f t="shared" ref="G71:R71" si="29">$D$71/$E$71</f>
        <v>69444.444444444438</v>
      </c>
      <c r="H71" s="18">
        <f t="shared" si="29"/>
        <v>69444.444444444438</v>
      </c>
      <c r="I71" s="18">
        <f t="shared" si="29"/>
        <v>69444.444444444438</v>
      </c>
      <c r="J71" s="18">
        <f t="shared" si="29"/>
        <v>69444.444444444438</v>
      </c>
      <c r="K71" s="18">
        <f t="shared" si="29"/>
        <v>69444.444444444438</v>
      </c>
      <c r="L71" s="18">
        <f t="shared" si="29"/>
        <v>69444.444444444438</v>
      </c>
      <c r="M71" s="18">
        <f t="shared" si="29"/>
        <v>69444.444444444438</v>
      </c>
      <c r="N71" s="18">
        <f t="shared" si="29"/>
        <v>69444.444444444438</v>
      </c>
      <c r="O71" s="18">
        <f t="shared" si="29"/>
        <v>69444.444444444438</v>
      </c>
      <c r="P71" s="18">
        <f t="shared" si="29"/>
        <v>69444.444444444438</v>
      </c>
      <c r="Q71" s="18">
        <f t="shared" si="29"/>
        <v>69444.444444444438</v>
      </c>
      <c r="R71" s="18">
        <f t="shared" si="29"/>
        <v>69444.444444444438</v>
      </c>
      <c r="S71" s="18">
        <f t="shared" si="5"/>
        <v>833333.33333333349</v>
      </c>
      <c r="T71" s="18">
        <f t="shared" si="22"/>
        <v>1666666.666666667</v>
      </c>
      <c r="U71" s="19">
        <f t="shared" si="23"/>
        <v>833333.33333333302</v>
      </c>
    </row>
    <row r="72" spans="1:21">
      <c r="A72" s="21">
        <v>45471</v>
      </c>
      <c r="B72" s="21" t="s">
        <v>1</v>
      </c>
      <c r="C72" s="4" t="s">
        <v>97</v>
      </c>
      <c r="D72" s="30">
        <v>3000000</v>
      </c>
      <c r="E72" s="5">
        <v>36</v>
      </c>
      <c r="F72" s="17">
        <v>1000000.0000000001</v>
      </c>
      <c r="G72" s="18">
        <f t="shared" ref="G72:R72" si="30">$D$72/$E$72</f>
        <v>83333.333333333328</v>
      </c>
      <c r="H72" s="18">
        <f t="shared" si="30"/>
        <v>83333.333333333328</v>
      </c>
      <c r="I72" s="18">
        <f t="shared" si="30"/>
        <v>83333.333333333328</v>
      </c>
      <c r="J72" s="18">
        <f t="shared" si="30"/>
        <v>83333.333333333328</v>
      </c>
      <c r="K72" s="18">
        <f t="shared" si="30"/>
        <v>83333.333333333328</v>
      </c>
      <c r="L72" s="18">
        <f t="shared" si="30"/>
        <v>83333.333333333328</v>
      </c>
      <c r="M72" s="18">
        <f t="shared" si="30"/>
        <v>83333.333333333328</v>
      </c>
      <c r="N72" s="18">
        <f t="shared" si="30"/>
        <v>83333.333333333328</v>
      </c>
      <c r="O72" s="18">
        <f t="shared" si="30"/>
        <v>83333.333333333328</v>
      </c>
      <c r="P72" s="18">
        <f t="shared" si="30"/>
        <v>83333.333333333328</v>
      </c>
      <c r="Q72" s="18">
        <f t="shared" si="30"/>
        <v>83333.333333333328</v>
      </c>
      <c r="R72" s="18">
        <f t="shared" si="30"/>
        <v>83333.333333333328</v>
      </c>
      <c r="S72" s="18">
        <f t="shared" si="5"/>
        <v>1000000.0000000001</v>
      </c>
      <c r="T72" s="18">
        <f t="shared" si="22"/>
        <v>2000000.0000000002</v>
      </c>
      <c r="U72" s="19">
        <f t="shared" si="23"/>
        <v>999999.99999999977</v>
      </c>
    </row>
    <row r="73" spans="1:21">
      <c r="A73" s="21" t="s">
        <v>2</v>
      </c>
      <c r="B73" s="21" t="s">
        <v>4</v>
      </c>
      <c r="C73" s="1" t="s">
        <v>98</v>
      </c>
      <c r="D73" s="8">
        <v>42372540</v>
      </c>
      <c r="E73" s="5">
        <v>36</v>
      </c>
      <c r="F73" s="17">
        <v>14124180</v>
      </c>
      <c r="G73" s="18">
        <f t="shared" ref="G73:R73" si="31">$D$73/$E$73</f>
        <v>1177015</v>
      </c>
      <c r="H73" s="18">
        <f t="shared" si="31"/>
        <v>1177015</v>
      </c>
      <c r="I73" s="18">
        <f t="shared" si="31"/>
        <v>1177015</v>
      </c>
      <c r="J73" s="18">
        <f t="shared" si="31"/>
        <v>1177015</v>
      </c>
      <c r="K73" s="18">
        <f t="shared" si="31"/>
        <v>1177015</v>
      </c>
      <c r="L73" s="18">
        <f t="shared" si="31"/>
        <v>1177015</v>
      </c>
      <c r="M73" s="18">
        <f t="shared" si="31"/>
        <v>1177015</v>
      </c>
      <c r="N73" s="18">
        <f t="shared" si="31"/>
        <v>1177015</v>
      </c>
      <c r="O73" s="18">
        <f t="shared" si="31"/>
        <v>1177015</v>
      </c>
      <c r="P73" s="18">
        <f t="shared" si="31"/>
        <v>1177015</v>
      </c>
      <c r="Q73" s="18">
        <f t="shared" si="31"/>
        <v>1177015</v>
      </c>
      <c r="R73" s="18">
        <f t="shared" si="31"/>
        <v>1177015</v>
      </c>
      <c r="S73" s="18">
        <f t="shared" si="5"/>
        <v>14124180</v>
      </c>
      <c r="T73" s="18">
        <f t="shared" si="22"/>
        <v>28248360</v>
      </c>
      <c r="U73" s="19">
        <f t="shared" si="23"/>
        <v>14124180</v>
      </c>
    </row>
    <row r="74" spans="1:21">
      <c r="A74" s="21" t="s">
        <v>2</v>
      </c>
      <c r="B74" s="21" t="s">
        <v>4</v>
      </c>
      <c r="C74" s="1" t="s">
        <v>99</v>
      </c>
      <c r="D74" s="8">
        <v>34448722</v>
      </c>
      <c r="E74" s="5">
        <v>36</v>
      </c>
      <c r="F74" s="17">
        <v>11482907.33333333</v>
      </c>
      <c r="G74" s="18">
        <f t="shared" ref="G74:R74" si="32">$D$74/$E$74</f>
        <v>956908.9444444445</v>
      </c>
      <c r="H74" s="18">
        <f t="shared" si="32"/>
        <v>956908.9444444445</v>
      </c>
      <c r="I74" s="18">
        <f t="shared" si="32"/>
        <v>956908.9444444445</v>
      </c>
      <c r="J74" s="18">
        <f t="shared" si="32"/>
        <v>956908.9444444445</v>
      </c>
      <c r="K74" s="18">
        <f t="shared" si="32"/>
        <v>956908.9444444445</v>
      </c>
      <c r="L74" s="18">
        <f t="shared" si="32"/>
        <v>956908.9444444445</v>
      </c>
      <c r="M74" s="18">
        <f t="shared" si="32"/>
        <v>956908.9444444445</v>
      </c>
      <c r="N74" s="18">
        <f t="shared" si="32"/>
        <v>956908.9444444445</v>
      </c>
      <c r="O74" s="18">
        <f t="shared" si="32"/>
        <v>956908.9444444445</v>
      </c>
      <c r="P74" s="18">
        <f t="shared" si="32"/>
        <v>956908.9444444445</v>
      </c>
      <c r="Q74" s="18">
        <f t="shared" si="32"/>
        <v>956908.9444444445</v>
      </c>
      <c r="R74" s="18">
        <f t="shared" si="32"/>
        <v>956908.9444444445</v>
      </c>
      <c r="S74" s="18">
        <f t="shared" si="5"/>
        <v>11482907.33333333</v>
      </c>
      <c r="T74" s="18">
        <f t="shared" si="22"/>
        <v>22965814.66666666</v>
      </c>
      <c r="U74" s="19">
        <f t="shared" si="23"/>
        <v>11482907.33333334</v>
      </c>
    </row>
    <row r="75" spans="1:21">
      <c r="A75" s="21" t="s">
        <v>2</v>
      </c>
      <c r="B75" s="21" t="s">
        <v>4</v>
      </c>
      <c r="C75" s="1" t="s">
        <v>100</v>
      </c>
      <c r="D75" s="3">
        <v>7107000</v>
      </c>
      <c r="E75" s="5">
        <v>36</v>
      </c>
      <c r="F75" s="17">
        <v>2369000</v>
      </c>
      <c r="G75" s="18">
        <f t="shared" ref="G75:R75" si="33">$D$75/$E$75</f>
        <v>197416.66666666666</v>
      </c>
      <c r="H75" s="18">
        <f t="shared" si="33"/>
        <v>197416.66666666666</v>
      </c>
      <c r="I75" s="18">
        <f t="shared" si="33"/>
        <v>197416.66666666666</v>
      </c>
      <c r="J75" s="18">
        <f t="shared" si="33"/>
        <v>197416.66666666666</v>
      </c>
      <c r="K75" s="18">
        <f t="shared" si="33"/>
        <v>197416.66666666666</v>
      </c>
      <c r="L75" s="18">
        <f t="shared" si="33"/>
        <v>197416.66666666666</v>
      </c>
      <c r="M75" s="18">
        <f t="shared" si="33"/>
        <v>197416.66666666666</v>
      </c>
      <c r="N75" s="18">
        <f t="shared" si="33"/>
        <v>197416.66666666666</v>
      </c>
      <c r="O75" s="18">
        <f t="shared" si="33"/>
        <v>197416.66666666666</v>
      </c>
      <c r="P75" s="18">
        <f t="shared" si="33"/>
        <v>197416.66666666666</v>
      </c>
      <c r="Q75" s="18">
        <f t="shared" si="33"/>
        <v>197416.66666666666</v>
      </c>
      <c r="R75" s="18">
        <f t="shared" si="33"/>
        <v>197416.66666666666</v>
      </c>
      <c r="S75" s="18">
        <f t="shared" si="5"/>
        <v>2369000</v>
      </c>
      <c r="T75" s="18">
        <f t="shared" si="22"/>
        <v>4738000</v>
      </c>
      <c r="U75" s="19">
        <f t="shared" si="23"/>
        <v>2369000</v>
      </c>
    </row>
    <row r="76" spans="1:21">
      <c r="A76" s="21" t="s">
        <v>2</v>
      </c>
      <c r="B76" s="21" t="s">
        <v>4</v>
      </c>
      <c r="C76" s="1" t="s">
        <v>101</v>
      </c>
      <c r="D76" s="3">
        <v>2120400</v>
      </c>
      <c r="E76" s="5">
        <v>36</v>
      </c>
      <c r="F76" s="17">
        <v>706800</v>
      </c>
      <c r="G76" s="18">
        <f t="shared" ref="G76:R76" si="34">$D$76/$E$76</f>
        <v>58900</v>
      </c>
      <c r="H76" s="18">
        <f t="shared" si="34"/>
        <v>58900</v>
      </c>
      <c r="I76" s="18">
        <f t="shared" si="34"/>
        <v>58900</v>
      </c>
      <c r="J76" s="18">
        <f t="shared" si="34"/>
        <v>58900</v>
      </c>
      <c r="K76" s="18">
        <f t="shared" si="34"/>
        <v>58900</v>
      </c>
      <c r="L76" s="18">
        <f t="shared" si="34"/>
        <v>58900</v>
      </c>
      <c r="M76" s="18">
        <f t="shared" si="34"/>
        <v>58900</v>
      </c>
      <c r="N76" s="18">
        <f t="shared" si="34"/>
        <v>58900</v>
      </c>
      <c r="O76" s="18">
        <f t="shared" si="34"/>
        <v>58900</v>
      </c>
      <c r="P76" s="18">
        <f t="shared" si="34"/>
        <v>58900</v>
      </c>
      <c r="Q76" s="18">
        <f t="shared" si="34"/>
        <v>58900</v>
      </c>
      <c r="R76" s="18">
        <f t="shared" si="34"/>
        <v>58900</v>
      </c>
      <c r="S76" s="18">
        <f t="shared" si="5"/>
        <v>706800</v>
      </c>
      <c r="T76" s="18">
        <f t="shared" si="22"/>
        <v>1413600</v>
      </c>
      <c r="U76" s="19">
        <f t="shared" si="23"/>
        <v>706800</v>
      </c>
    </row>
    <row r="77" spans="1:21">
      <c r="A77" s="21" t="s">
        <v>2</v>
      </c>
      <c r="B77" s="21" t="s">
        <v>4</v>
      </c>
      <c r="C77" s="6" t="s">
        <v>102</v>
      </c>
      <c r="D77" s="28">
        <v>4001550</v>
      </c>
      <c r="E77" s="5">
        <v>36</v>
      </c>
      <c r="F77" s="17">
        <v>1333850</v>
      </c>
      <c r="G77" s="18">
        <f t="shared" ref="G77:R77" si="35">$D$77/$E$77</f>
        <v>111154.16666666667</v>
      </c>
      <c r="H77" s="18">
        <f t="shared" si="35"/>
        <v>111154.16666666667</v>
      </c>
      <c r="I77" s="18">
        <f t="shared" si="35"/>
        <v>111154.16666666667</v>
      </c>
      <c r="J77" s="18">
        <f t="shared" si="35"/>
        <v>111154.16666666667</v>
      </c>
      <c r="K77" s="18">
        <f t="shared" si="35"/>
        <v>111154.16666666667</v>
      </c>
      <c r="L77" s="18">
        <f t="shared" si="35"/>
        <v>111154.16666666667</v>
      </c>
      <c r="M77" s="18">
        <f t="shared" si="35"/>
        <v>111154.16666666667</v>
      </c>
      <c r="N77" s="18">
        <f t="shared" si="35"/>
        <v>111154.16666666667</v>
      </c>
      <c r="O77" s="18">
        <f t="shared" si="35"/>
        <v>111154.16666666667</v>
      </c>
      <c r="P77" s="18">
        <f t="shared" si="35"/>
        <v>111154.16666666667</v>
      </c>
      <c r="Q77" s="18">
        <f t="shared" si="35"/>
        <v>111154.16666666667</v>
      </c>
      <c r="R77" s="18">
        <f t="shared" si="35"/>
        <v>111154.16666666667</v>
      </c>
      <c r="S77" s="18">
        <f t="shared" si="5"/>
        <v>1333850</v>
      </c>
      <c r="T77" s="18">
        <f t="shared" si="22"/>
        <v>2667700</v>
      </c>
      <c r="U77" s="19">
        <f t="shared" si="23"/>
        <v>1333850</v>
      </c>
    </row>
    <row r="78" spans="1:21">
      <c r="A78" s="21" t="s">
        <v>81</v>
      </c>
      <c r="B78" s="21" t="s">
        <v>78</v>
      </c>
      <c r="C78" s="4" t="s">
        <v>23</v>
      </c>
      <c r="D78" s="30">
        <v>13530726</v>
      </c>
      <c r="E78" s="5">
        <v>36</v>
      </c>
      <c r="F78" s="17">
        <v>0</v>
      </c>
      <c r="G78" s="17">
        <f t="shared" ref="G78:R78" si="36">$D$78/$E$78</f>
        <v>375853.5</v>
      </c>
      <c r="H78" s="17">
        <f t="shared" si="36"/>
        <v>375853.5</v>
      </c>
      <c r="I78" s="17">
        <f t="shared" si="36"/>
        <v>375853.5</v>
      </c>
      <c r="J78" s="17">
        <f t="shared" si="36"/>
        <v>375853.5</v>
      </c>
      <c r="K78" s="17">
        <f t="shared" si="36"/>
        <v>375853.5</v>
      </c>
      <c r="L78" s="17">
        <f t="shared" si="36"/>
        <v>375853.5</v>
      </c>
      <c r="M78" s="17">
        <f t="shared" si="36"/>
        <v>375853.5</v>
      </c>
      <c r="N78" s="17">
        <f t="shared" si="36"/>
        <v>375853.5</v>
      </c>
      <c r="O78" s="17">
        <f t="shared" si="36"/>
        <v>375853.5</v>
      </c>
      <c r="P78" s="17">
        <f t="shared" si="36"/>
        <v>375853.5</v>
      </c>
      <c r="Q78" s="17">
        <f t="shared" si="36"/>
        <v>375853.5</v>
      </c>
      <c r="R78" s="17">
        <f t="shared" si="36"/>
        <v>375853.5</v>
      </c>
      <c r="S78" s="18">
        <f t="shared" ref="S78" si="37">SUM(G78:R78)</f>
        <v>4510242</v>
      </c>
      <c r="T78" s="18">
        <f t="shared" si="22"/>
        <v>4510242</v>
      </c>
      <c r="U78" s="19">
        <f t="shared" si="23"/>
        <v>9020484</v>
      </c>
    </row>
    <row r="79" spans="1:21">
      <c r="A79" s="21" t="s">
        <v>81</v>
      </c>
      <c r="B79" s="21" t="s">
        <v>78</v>
      </c>
      <c r="C79" s="4" t="s">
        <v>82</v>
      </c>
      <c r="D79" s="30">
        <v>15000000</v>
      </c>
      <c r="E79" s="5">
        <v>36</v>
      </c>
      <c r="F79" s="17">
        <v>0</v>
      </c>
      <c r="G79" s="17">
        <f t="shared" ref="G79:R79" si="38">$D$79/$E$79</f>
        <v>416666.66666666669</v>
      </c>
      <c r="H79" s="17">
        <f t="shared" si="38"/>
        <v>416666.66666666669</v>
      </c>
      <c r="I79" s="17">
        <f t="shared" si="38"/>
        <v>416666.66666666669</v>
      </c>
      <c r="J79" s="17">
        <f t="shared" si="38"/>
        <v>416666.66666666669</v>
      </c>
      <c r="K79" s="17">
        <f t="shared" si="38"/>
        <v>416666.66666666669</v>
      </c>
      <c r="L79" s="17">
        <f t="shared" si="38"/>
        <v>416666.66666666669</v>
      </c>
      <c r="M79" s="17">
        <f t="shared" si="38"/>
        <v>416666.66666666669</v>
      </c>
      <c r="N79" s="17">
        <f t="shared" si="38"/>
        <v>416666.66666666669</v>
      </c>
      <c r="O79" s="17">
        <f t="shared" si="38"/>
        <v>416666.66666666669</v>
      </c>
      <c r="P79" s="17">
        <f t="shared" si="38"/>
        <v>416666.66666666669</v>
      </c>
      <c r="Q79" s="17">
        <f t="shared" si="38"/>
        <v>416666.66666666669</v>
      </c>
      <c r="R79" s="17">
        <f t="shared" si="38"/>
        <v>416666.66666666669</v>
      </c>
      <c r="S79" s="18">
        <f t="shared" ref="S79" si="39">SUM(G79:R79)</f>
        <v>5000000</v>
      </c>
      <c r="T79" s="18">
        <f t="shared" ref="T79" si="40">+F79+S79</f>
        <v>5000000</v>
      </c>
      <c r="U79" s="19">
        <f t="shared" ref="U79" si="41">+D79-T79</f>
        <v>10000000</v>
      </c>
    </row>
    <row r="80" spans="1:21">
      <c r="A80" s="21" t="s">
        <v>81</v>
      </c>
      <c r="B80" s="21" t="s">
        <v>4</v>
      </c>
      <c r="C80" s="4" t="s">
        <v>83</v>
      </c>
      <c r="D80" s="30">
        <v>41529000</v>
      </c>
      <c r="E80" s="5">
        <v>36</v>
      </c>
      <c r="F80" s="17">
        <v>0</v>
      </c>
      <c r="G80" s="17">
        <f t="shared" ref="G80:R80" si="42">$D$80/$E$80</f>
        <v>1153583.3333333333</v>
      </c>
      <c r="H80" s="17">
        <f t="shared" si="42"/>
        <v>1153583.3333333333</v>
      </c>
      <c r="I80" s="17">
        <f t="shared" si="42"/>
        <v>1153583.3333333333</v>
      </c>
      <c r="J80" s="17">
        <f t="shared" si="42"/>
        <v>1153583.3333333333</v>
      </c>
      <c r="K80" s="17">
        <f t="shared" si="42"/>
        <v>1153583.3333333333</v>
      </c>
      <c r="L80" s="17">
        <f t="shared" si="42"/>
        <v>1153583.3333333333</v>
      </c>
      <c r="M80" s="17">
        <f t="shared" si="42"/>
        <v>1153583.3333333333</v>
      </c>
      <c r="N80" s="17">
        <f t="shared" si="42"/>
        <v>1153583.3333333333</v>
      </c>
      <c r="O80" s="17">
        <f t="shared" si="42"/>
        <v>1153583.3333333333</v>
      </c>
      <c r="P80" s="17">
        <f t="shared" si="42"/>
        <v>1153583.3333333333</v>
      </c>
      <c r="Q80" s="17">
        <f t="shared" si="42"/>
        <v>1153583.3333333333</v>
      </c>
      <c r="R80" s="17">
        <f t="shared" si="42"/>
        <v>1153583.3333333333</v>
      </c>
      <c r="S80" s="18">
        <f t="shared" ref="S80" si="43">SUM(G80:R80)</f>
        <v>13843000.000000002</v>
      </c>
      <c r="T80" s="18">
        <f t="shared" ref="T80" si="44">+F80+S80</f>
        <v>13843000.000000002</v>
      </c>
      <c r="U80" s="19">
        <f t="shared" ref="U80" si="45">+D80-T80</f>
        <v>27686000</v>
      </c>
    </row>
    <row r="81" spans="1:21">
      <c r="A81" s="21" t="s">
        <v>81</v>
      </c>
      <c r="B81" s="21" t="s">
        <v>4</v>
      </c>
      <c r="C81" s="4" t="s">
        <v>84</v>
      </c>
      <c r="D81" s="30">
        <v>10071171</v>
      </c>
      <c r="E81" s="5">
        <v>36</v>
      </c>
      <c r="F81" s="17">
        <v>0</v>
      </c>
      <c r="G81" s="17">
        <f t="shared" ref="G81:R81" si="46">$D$81/$E$81</f>
        <v>279754.75</v>
      </c>
      <c r="H81" s="17">
        <f t="shared" si="46"/>
        <v>279754.75</v>
      </c>
      <c r="I81" s="17">
        <f t="shared" si="46"/>
        <v>279754.75</v>
      </c>
      <c r="J81" s="17">
        <f t="shared" si="46"/>
        <v>279754.75</v>
      </c>
      <c r="K81" s="17">
        <f t="shared" si="46"/>
        <v>279754.75</v>
      </c>
      <c r="L81" s="17">
        <f t="shared" si="46"/>
        <v>279754.75</v>
      </c>
      <c r="M81" s="17">
        <f t="shared" si="46"/>
        <v>279754.75</v>
      </c>
      <c r="N81" s="17">
        <f t="shared" si="46"/>
        <v>279754.75</v>
      </c>
      <c r="O81" s="17">
        <f t="shared" si="46"/>
        <v>279754.75</v>
      </c>
      <c r="P81" s="17">
        <f t="shared" si="46"/>
        <v>279754.75</v>
      </c>
      <c r="Q81" s="17">
        <f t="shared" si="46"/>
        <v>279754.75</v>
      </c>
      <c r="R81" s="17">
        <f t="shared" si="46"/>
        <v>279754.75</v>
      </c>
      <c r="S81" s="18">
        <f t="shared" ref="S81:S84" si="47">SUM(G81:R81)</f>
        <v>3357057</v>
      </c>
      <c r="T81" s="18">
        <f t="shared" ref="T81:T84" si="48">+F81+S81</f>
        <v>3357057</v>
      </c>
      <c r="U81" s="19">
        <f t="shared" ref="U81:U84" si="49">+D81-T81</f>
        <v>6714114</v>
      </c>
    </row>
    <row r="82" spans="1:21">
      <c r="A82" s="21" t="s">
        <v>81</v>
      </c>
      <c r="B82" s="21" t="s">
        <v>4</v>
      </c>
      <c r="C82" s="4" t="s">
        <v>85</v>
      </c>
      <c r="D82" s="30">
        <v>9260360</v>
      </c>
      <c r="E82" s="5">
        <v>36</v>
      </c>
      <c r="F82" s="17">
        <v>0</v>
      </c>
      <c r="G82" s="17">
        <f t="shared" ref="G82:R82" si="50">$D$82/$E$82</f>
        <v>257232.22222222222</v>
      </c>
      <c r="H82" s="17">
        <f t="shared" si="50"/>
        <v>257232.22222222222</v>
      </c>
      <c r="I82" s="17">
        <f t="shared" si="50"/>
        <v>257232.22222222222</v>
      </c>
      <c r="J82" s="17">
        <f t="shared" si="50"/>
        <v>257232.22222222222</v>
      </c>
      <c r="K82" s="17">
        <f t="shared" si="50"/>
        <v>257232.22222222222</v>
      </c>
      <c r="L82" s="17">
        <f t="shared" si="50"/>
        <v>257232.22222222222</v>
      </c>
      <c r="M82" s="17">
        <f t="shared" si="50"/>
        <v>257232.22222222222</v>
      </c>
      <c r="N82" s="17">
        <f t="shared" si="50"/>
        <v>257232.22222222222</v>
      </c>
      <c r="O82" s="17">
        <f t="shared" si="50"/>
        <v>257232.22222222222</v>
      </c>
      <c r="P82" s="17">
        <f t="shared" si="50"/>
        <v>257232.22222222222</v>
      </c>
      <c r="Q82" s="17">
        <f t="shared" si="50"/>
        <v>257232.22222222222</v>
      </c>
      <c r="R82" s="17">
        <f t="shared" si="50"/>
        <v>257232.22222222222</v>
      </c>
      <c r="S82" s="18">
        <f t="shared" si="47"/>
        <v>3086786.666666666</v>
      </c>
      <c r="T82" s="18">
        <f t="shared" si="48"/>
        <v>3086786.666666666</v>
      </c>
      <c r="U82" s="19">
        <f t="shared" si="49"/>
        <v>6173573.333333334</v>
      </c>
    </row>
    <row r="83" spans="1:21">
      <c r="A83" s="21" t="s">
        <v>81</v>
      </c>
      <c r="B83" s="21" t="s">
        <v>4</v>
      </c>
      <c r="C83" s="4" t="s">
        <v>86</v>
      </c>
      <c r="D83" s="30">
        <v>12255035</v>
      </c>
      <c r="E83" s="5">
        <v>36</v>
      </c>
      <c r="F83" s="17">
        <v>0</v>
      </c>
      <c r="G83" s="17">
        <f t="shared" ref="G83:R83" si="51">$D$83/$E$83</f>
        <v>340417.63888888888</v>
      </c>
      <c r="H83" s="17">
        <f t="shared" si="51"/>
        <v>340417.63888888888</v>
      </c>
      <c r="I83" s="17">
        <f t="shared" si="51"/>
        <v>340417.63888888888</v>
      </c>
      <c r="J83" s="17">
        <f t="shared" si="51"/>
        <v>340417.63888888888</v>
      </c>
      <c r="K83" s="17">
        <f t="shared" si="51"/>
        <v>340417.63888888888</v>
      </c>
      <c r="L83" s="17">
        <f t="shared" si="51"/>
        <v>340417.63888888888</v>
      </c>
      <c r="M83" s="17">
        <f t="shared" si="51"/>
        <v>340417.63888888888</v>
      </c>
      <c r="N83" s="17">
        <f t="shared" si="51"/>
        <v>340417.63888888888</v>
      </c>
      <c r="O83" s="17">
        <f t="shared" si="51"/>
        <v>340417.63888888888</v>
      </c>
      <c r="P83" s="17">
        <f t="shared" si="51"/>
        <v>340417.63888888888</v>
      </c>
      <c r="Q83" s="17">
        <f t="shared" si="51"/>
        <v>340417.63888888888</v>
      </c>
      <c r="R83" s="17">
        <f t="shared" si="51"/>
        <v>340417.63888888888</v>
      </c>
      <c r="S83" s="18">
        <f t="shared" ref="S83" si="52">SUM(G83:R83)</f>
        <v>4085011.6666666674</v>
      </c>
      <c r="T83" s="18">
        <f t="shared" ref="T83" si="53">+F83+S83</f>
        <v>4085011.6666666674</v>
      </c>
      <c r="U83" s="19">
        <f t="shared" ref="U83" si="54">+D83-T83</f>
        <v>8170023.3333333321</v>
      </c>
    </row>
    <row r="84" spans="1:21">
      <c r="A84" s="21" t="s">
        <v>81</v>
      </c>
      <c r="B84" s="21" t="s">
        <v>4</v>
      </c>
      <c r="C84" s="4" t="s">
        <v>87</v>
      </c>
      <c r="D84" s="30">
        <v>12255035</v>
      </c>
      <c r="E84" s="5">
        <v>36</v>
      </c>
      <c r="F84" s="17">
        <v>0</v>
      </c>
      <c r="G84" s="17">
        <f t="shared" ref="G84:R84" si="55">$D$84/$E$84</f>
        <v>340417.63888888888</v>
      </c>
      <c r="H84" s="17">
        <f t="shared" si="55"/>
        <v>340417.63888888888</v>
      </c>
      <c r="I84" s="17">
        <f t="shared" si="55"/>
        <v>340417.63888888888</v>
      </c>
      <c r="J84" s="17">
        <f t="shared" si="55"/>
        <v>340417.63888888888</v>
      </c>
      <c r="K84" s="17">
        <f t="shared" si="55"/>
        <v>340417.63888888888</v>
      </c>
      <c r="L84" s="17">
        <f t="shared" si="55"/>
        <v>340417.63888888888</v>
      </c>
      <c r="M84" s="17">
        <f t="shared" si="55"/>
        <v>340417.63888888888</v>
      </c>
      <c r="N84" s="17">
        <f t="shared" si="55"/>
        <v>340417.63888888888</v>
      </c>
      <c r="O84" s="17">
        <f t="shared" si="55"/>
        <v>340417.63888888888</v>
      </c>
      <c r="P84" s="17">
        <f t="shared" si="55"/>
        <v>340417.63888888888</v>
      </c>
      <c r="Q84" s="17">
        <f t="shared" si="55"/>
        <v>340417.63888888888</v>
      </c>
      <c r="R84" s="17">
        <f t="shared" si="55"/>
        <v>340417.63888888888</v>
      </c>
      <c r="S84" s="18">
        <f t="shared" si="47"/>
        <v>4085011.6666666674</v>
      </c>
      <c r="T84" s="18">
        <f t="shared" si="48"/>
        <v>4085011.6666666674</v>
      </c>
      <c r="U84" s="19">
        <f t="shared" si="49"/>
        <v>8170023.3333333321</v>
      </c>
    </row>
    <row r="85" spans="1:21">
      <c r="A85" s="21" t="s">
        <v>81</v>
      </c>
      <c r="B85" s="21" t="s">
        <v>4</v>
      </c>
      <c r="C85" s="4" t="s">
        <v>89</v>
      </c>
      <c r="D85" s="30">
        <v>11873300</v>
      </c>
      <c r="E85" s="5">
        <v>36</v>
      </c>
      <c r="F85" s="17">
        <v>0</v>
      </c>
      <c r="G85" s="17">
        <f t="shared" ref="G85:R85" si="56">$D$85/$E$85</f>
        <v>329813.88888888888</v>
      </c>
      <c r="H85" s="17">
        <f t="shared" si="56"/>
        <v>329813.88888888888</v>
      </c>
      <c r="I85" s="17">
        <f t="shared" si="56"/>
        <v>329813.88888888888</v>
      </c>
      <c r="J85" s="17">
        <f t="shared" si="56"/>
        <v>329813.88888888888</v>
      </c>
      <c r="K85" s="17">
        <f t="shared" si="56"/>
        <v>329813.88888888888</v>
      </c>
      <c r="L85" s="17">
        <f t="shared" si="56"/>
        <v>329813.88888888888</v>
      </c>
      <c r="M85" s="17">
        <f t="shared" si="56"/>
        <v>329813.88888888888</v>
      </c>
      <c r="N85" s="17">
        <f t="shared" si="56"/>
        <v>329813.88888888888</v>
      </c>
      <c r="O85" s="17">
        <f t="shared" si="56"/>
        <v>329813.88888888888</v>
      </c>
      <c r="P85" s="17">
        <f t="shared" si="56"/>
        <v>329813.88888888888</v>
      </c>
      <c r="Q85" s="17">
        <f t="shared" si="56"/>
        <v>329813.88888888888</v>
      </c>
      <c r="R85" s="17">
        <f t="shared" si="56"/>
        <v>329813.88888888888</v>
      </c>
      <c r="S85" s="18">
        <f t="shared" ref="S85:S86" si="57">SUM(G85:R85)</f>
        <v>3957766.6666666674</v>
      </c>
      <c r="T85" s="18">
        <f t="shared" ref="T85:T86" si="58">+F85+S85</f>
        <v>3957766.6666666674</v>
      </c>
      <c r="U85" s="19">
        <f t="shared" ref="U85:U86" si="59">+D85-T85</f>
        <v>7915533.3333333321</v>
      </c>
    </row>
    <row r="86" spans="1:21">
      <c r="A86" s="21" t="s">
        <v>81</v>
      </c>
      <c r="B86" s="21" t="s">
        <v>4</v>
      </c>
      <c r="C86" s="4" t="s">
        <v>90</v>
      </c>
      <c r="D86" s="30">
        <v>11951200</v>
      </c>
      <c r="E86" s="5">
        <v>36</v>
      </c>
      <c r="F86" s="17">
        <v>0</v>
      </c>
      <c r="G86" s="17">
        <f t="shared" ref="G86:R86" si="60">$D$86/$E$86</f>
        <v>331977.77777777775</v>
      </c>
      <c r="H86" s="17">
        <f t="shared" si="60"/>
        <v>331977.77777777775</v>
      </c>
      <c r="I86" s="17">
        <f t="shared" si="60"/>
        <v>331977.77777777775</v>
      </c>
      <c r="J86" s="17">
        <f t="shared" si="60"/>
        <v>331977.77777777775</v>
      </c>
      <c r="K86" s="17">
        <f t="shared" si="60"/>
        <v>331977.77777777775</v>
      </c>
      <c r="L86" s="17">
        <f t="shared" si="60"/>
        <v>331977.77777777775</v>
      </c>
      <c r="M86" s="17">
        <f t="shared" si="60"/>
        <v>331977.77777777775</v>
      </c>
      <c r="N86" s="17">
        <f t="shared" si="60"/>
        <v>331977.77777777775</v>
      </c>
      <c r="O86" s="17">
        <f t="shared" si="60"/>
        <v>331977.77777777775</v>
      </c>
      <c r="P86" s="17">
        <f t="shared" si="60"/>
        <v>331977.77777777775</v>
      </c>
      <c r="Q86" s="17">
        <f t="shared" si="60"/>
        <v>331977.77777777775</v>
      </c>
      <c r="R86" s="17">
        <f t="shared" si="60"/>
        <v>331977.77777777775</v>
      </c>
      <c r="S86" s="18">
        <f t="shared" si="57"/>
        <v>3983733.333333334</v>
      </c>
      <c r="T86" s="18">
        <f t="shared" si="58"/>
        <v>3983733.333333334</v>
      </c>
      <c r="U86" s="19">
        <f t="shared" si="59"/>
        <v>7967466.666666666</v>
      </c>
    </row>
    <row r="87" spans="1:21">
      <c r="A87" s="21" t="s">
        <v>81</v>
      </c>
      <c r="B87" s="21" t="s">
        <v>2</v>
      </c>
      <c r="C87" s="4" t="s">
        <v>79</v>
      </c>
      <c r="D87" s="30">
        <f>96360700+5000000+10000000+16096335</f>
        <v>127457035</v>
      </c>
      <c r="E87" s="5">
        <v>36</v>
      </c>
      <c r="F87" s="17">
        <v>0</v>
      </c>
      <c r="G87" s="17">
        <f t="shared" ref="G87:R87" si="61">$D$87/$E$87</f>
        <v>3540473.1944444445</v>
      </c>
      <c r="H87" s="17">
        <f t="shared" si="61"/>
        <v>3540473.1944444445</v>
      </c>
      <c r="I87" s="17">
        <f t="shared" si="61"/>
        <v>3540473.1944444445</v>
      </c>
      <c r="J87" s="17">
        <f t="shared" si="61"/>
        <v>3540473.1944444445</v>
      </c>
      <c r="K87" s="17">
        <f t="shared" si="61"/>
        <v>3540473.1944444445</v>
      </c>
      <c r="L87" s="17">
        <f t="shared" si="61"/>
        <v>3540473.1944444445</v>
      </c>
      <c r="M87" s="17">
        <f t="shared" si="61"/>
        <v>3540473.1944444445</v>
      </c>
      <c r="N87" s="17">
        <f t="shared" si="61"/>
        <v>3540473.1944444445</v>
      </c>
      <c r="O87" s="17">
        <f t="shared" si="61"/>
        <v>3540473.1944444445</v>
      </c>
      <c r="P87" s="17">
        <f t="shared" si="61"/>
        <v>3540473.1944444445</v>
      </c>
      <c r="Q87" s="17">
        <f t="shared" si="61"/>
        <v>3540473.1944444445</v>
      </c>
      <c r="R87" s="17">
        <f t="shared" si="61"/>
        <v>3540473.1944444445</v>
      </c>
      <c r="S87" s="18">
        <f t="shared" ref="S87" si="62">SUM(G87:R87)</f>
        <v>42485678.333333343</v>
      </c>
      <c r="T87" s="18">
        <f t="shared" si="14"/>
        <v>42485678.333333343</v>
      </c>
      <c r="U87" s="19">
        <f t="shared" si="4"/>
        <v>84971356.666666657</v>
      </c>
    </row>
    <row r="88" spans="1:21">
      <c r="A88" s="21"/>
      <c r="B88" s="21"/>
      <c r="D88" s="20"/>
      <c r="E88" s="5"/>
      <c r="F88" s="17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9"/>
    </row>
    <row r="89" spans="1:21">
      <c r="D89" s="23">
        <f>SUM(D6:D88)</f>
        <v>1091175796</v>
      </c>
      <c r="E89" s="4" t="s">
        <v>10</v>
      </c>
      <c r="F89" s="23">
        <f t="shared" ref="F89:U89" si="63">SUM(F6:F88)</f>
        <v>646915413.33333349</v>
      </c>
      <c r="G89" s="23">
        <f t="shared" si="63"/>
        <v>17161765.111111108</v>
      </c>
      <c r="H89" s="23">
        <f t="shared" si="63"/>
        <v>17161765.111111108</v>
      </c>
      <c r="I89" s="23">
        <f t="shared" si="63"/>
        <v>17161765.111111108</v>
      </c>
      <c r="J89" s="23">
        <f t="shared" si="63"/>
        <v>17161765.111111108</v>
      </c>
      <c r="K89" s="23">
        <f t="shared" si="63"/>
        <v>17161765.111111108</v>
      </c>
      <c r="L89" s="23">
        <f t="shared" si="63"/>
        <v>17161765.111111108</v>
      </c>
      <c r="M89" s="23">
        <f t="shared" si="63"/>
        <v>17161765.111111108</v>
      </c>
      <c r="N89" s="23">
        <f t="shared" si="63"/>
        <v>17161765.111111108</v>
      </c>
      <c r="O89" s="23">
        <f t="shared" si="63"/>
        <v>17161765.111111108</v>
      </c>
      <c r="P89" s="23">
        <f t="shared" si="63"/>
        <v>17161765.111111108</v>
      </c>
      <c r="Q89" s="23">
        <f t="shared" si="63"/>
        <v>17161765.111111108</v>
      </c>
      <c r="R89" s="23">
        <f t="shared" si="63"/>
        <v>17161765.111111108</v>
      </c>
      <c r="S89" s="23">
        <f t="shared" si="63"/>
        <v>205941181.33333331</v>
      </c>
      <c r="T89" s="23">
        <f t="shared" si="63"/>
        <v>852856594.66666651</v>
      </c>
      <c r="U89" s="23">
        <f t="shared" si="63"/>
        <v>238319201.33333331</v>
      </c>
    </row>
    <row r="90" spans="1:21">
      <c r="C90" s="4" t="s">
        <v>2</v>
      </c>
      <c r="D90" s="20"/>
      <c r="F90" s="18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</row>
    <row r="91" spans="1:21">
      <c r="C91" s="15" t="s">
        <v>53</v>
      </c>
      <c r="D91" s="20" t="s">
        <v>2</v>
      </c>
      <c r="E91" s="5" t="s">
        <v>2</v>
      </c>
      <c r="F91" s="18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</row>
    <row r="92" spans="1:21">
      <c r="A92" s="21">
        <v>40138</v>
      </c>
      <c r="B92" s="21"/>
      <c r="C92" s="4" t="s">
        <v>54</v>
      </c>
      <c r="D92" s="16">
        <v>0</v>
      </c>
      <c r="E92" s="5">
        <v>48</v>
      </c>
      <c r="F92" s="17">
        <v>0</v>
      </c>
      <c r="G92" s="18">
        <v>0</v>
      </c>
      <c r="H92" s="18">
        <v>0</v>
      </c>
      <c r="I92" s="18">
        <v>0</v>
      </c>
      <c r="J92" s="18">
        <v>0</v>
      </c>
      <c r="K92" s="18">
        <v>0</v>
      </c>
      <c r="L92" s="18">
        <v>0</v>
      </c>
      <c r="M92" s="18">
        <v>0</v>
      </c>
      <c r="N92" s="18">
        <v>0</v>
      </c>
      <c r="O92" s="18">
        <v>0</v>
      </c>
      <c r="P92" s="18">
        <v>0</v>
      </c>
      <c r="Q92" s="18">
        <v>0</v>
      </c>
      <c r="R92" s="18">
        <v>0</v>
      </c>
      <c r="S92" s="19">
        <f t="shared" ref="S92:S100" si="64">SUM(G92:R92)</f>
        <v>0</v>
      </c>
      <c r="T92" s="18">
        <f t="shared" ref="T92:T100" si="65">+F92+S92</f>
        <v>0</v>
      </c>
      <c r="U92" s="19">
        <f t="shared" ref="U92:U100" si="66">+D92-T92</f>
        <v>0</v>
      </c>
    </row>
    <row r="93" spans="1:21">
      <c r="A93" s="21">
        <v>40058</v>
      </c>
      <c r="B93" s="21"/>
      <c r="C93" s="4" t="s">
        <v>55</v>
      </c>
      <c r="D93" s="16">
        <v>0</v>
      </c>
      <c r="E93" s="5">
        <v>48</v>
      </c>
      <c r="F93" s="17">
        <v>0</v>
      </c>
      <c r="G93" s="18">
        <v>0</v>
      </c>
      <c r="H93" s="18">
        <v>0</v>
      </c>
      <c r="I93" s="18">
        <v>0</v>
      </c>
      <c r="J93" s="18">
        <v>0</v>
      </c>
      <c r="K93" s="18">
        <v>0</v>
      </c>
      <c r="L93" s="18">
        <v>0</v>
      </c>
      <c r="M93" s="18">
        <v>0</v>
      </c>
      <c r="N93" s="18">
        <v>0</v>
      </c>
      <c r="O93" s="18">
        <v>0</v>
      </c>
      <c r="P93" s="18">
        <v>0</v>
      </c>
      <c r="Q93" s="18">
        <v>0</v>
      </c>
      <c r="R93" s="18">
        <v>0</v>
      </c>
      <c r="S93" s="19">
        <f t="shared" si="64"/>
        <v>0</v>
      </c>
      <c r="T93" s="18">
        <f t="shared" si="65"/>
        <v>0</v>
      </c>
      <c r="U93" s="19">
        <f t="shared" si="66"/>
        <v>0</v>
      </c>
    </row>
    <row r="94" spans="1:21">
      <c r="A94" s="21">
        <v>40665</v>
      </c>
      <c r="B94" s="21"/>
      <c r="C94" s="4" t="s">
        <v>56</v>
      </c>
      <c r="D94" s="16">
        <v>0</v>
      </c>
      <c r="E94" s="5">
        <v>48</v>
      </c>
      <c r="F94" s="17">
        <v>0</v>
      </c>
      <c r="G94" s="18">
        <v>0</v>
      </c>
      <c r="H94" s="18">
        <v>0</v>
      </c>
      <c r="I94" s="18">
        <v>0</v>
      </c>
      <c r="J94" s="18">
        <v>0</v>
      </c>
      <c r="K94" s="18">
        <v>0</v>
      </c>
      <c r="L94" s="18">
        <v>0</v>
      </c>
      <c r="M94" s="18">
        <v>0</v>
      </c>
      <c r="N94" s="18">
        <v>0</v>
      </c>
      <c r="O94" s="18">
        <v>0</v>
      </c>
      <c r="P94" s="18">
        <v>0</v>
      </c>
      <c r="Q94" s="18">
        <v>0</v>
      </c>
      <c r="R94" s="18">
        <v>0</v>
      </c>
      <c r="S94" s="19">
        <f t="shared" si="64"/>
        <v>0</v>
      </c>
      <c r="T94" s="18">
        <f t="shared" si="65"/>
        <v>0</v>
      </c>
      <c r="U94" s="19">
        <f t="shared" si="66"/>
        <v>0</v>
      </c>
    </row>
    <row r="95" spans="1:21">
      <c r="A95" s="21">
        <v>40805</v>
      </c>
      <c r="B95" s="21"/>
      <c r="C95" s="4" t="s">
        <v>57</v>
      </c>
      <c r="D95" s="16">
        <v>0</v>
      </c>
      <c r="E95" s="5">
        <v>48</v>
      </c>
      <c r="F95" s="17">
        <v>0</v>
      </c>
      <c r="G95" s="18">
        <v>0</v>
      </c>
      <c r="H95" s="18">
        <v>0</v>
      </c>
      <c r="I95" s="18">
        <v>0</v>
      </c>
      <c r="J95" s="18">
        <v>0</v>
      </c>
      <c r="K95" s="18">
        <v>0</v>
      </c>
      <c r="L95" s="18">
        <v>0</v>
      </c>
      <c r="M95" s="18">
        <v>0</v>
      </c>
      <c r="N95" s="18">
        <v>0</v>
      </c>
      <c r="O95" s="18">
        <v>0</v>
      </c>
      <c r="P95" s="18">
        <v>0</v>
      </c>
      <c r="Q95" s="18">
        <v>0</v>
      </c>
      <c r="R95" s="18">
        <v>0</v>
      </c>
      <c r="S95" s="19">
        <f t="shared" si="64"/>
        <v>0</v>
      </c>
      <c r="T95" s="18">
        <f t="shared" si="65"/>
        <v>0</v>
      </c>
      <c r="U95" s="19">
        <f t="shared" si="66"/>
        <v>0</v>
      </c>
    </row>
    <row r="96" spans="1:21">
      <c r="A96" s="21">
        <v>42384</v>
      </c>
      <c r="B96" s="21" t="s">
        <v>58</v>
      </c>
      <c r="C96" s="4" t="s">
        <v>59</v>
      </c>
      <c r="D96" s="16">
        <v>0</v>
      </c>
      <c r="E96" s="5">
        <v>48</v>
      </c>
      <c r="F96" s="17">
        <v>0</v>
      </c>
      <c r="G96" s="18">
        <v>0</v>
      </c>
      <c r="H96" s="18">
        <v>0</v>
      </c>
      <c r="I96" s="18">
        <v>0</v>
      </c>
      <c r="J96" s="18">
        <v>0</v>
      </c>
      <c r="K96" s="18">
        <v>0</v>
      </c>
      <c r="L96" s="18">
        <v>0</v>
      </c>
      <c r="M96" s="18">
        <v>0</v>
      </c>
      <c r="N96" s="18">
        <v>0</v>
      </c>
      <c r="O96" s="18">
        <v>0</v>
      </c>
      <c r="P96" s="18">
        <v>0</v>
      </c>
      <c r="Q96" s="18">
        <v>0</v>
      </c>
      <c r="R96" s="18">
        <v>0</v>
      </c>
      <c r="S96" s="19">
        <f t="shared" si="64"/>
        <v>0</v>
      </c>
      <c r="T96" s="18">
        <f t="shared" si="65"/>
        <v>0</v>
      </c>
      <c r="U96" s="19">
        <f t="shared" si="66"/>
        <v>0</v>
      </c>
    </row>
    <row r="97" spans="1:21">
      <c r="A97" s="21" t="s">
        <v>5</v>
      </c>
      <c r="B97" s="21" t="s">
        <v>2</v>
      </c>
      <c r="C97" s="4" t="s">
        <v>60</v>
      </c>
      <c r="D97" s="22">
        <v>0</v>
      </c>
      <c r="E97" s="5">
        <f>12*5</f>
        <v>60</v>
      </c>
      <c r="F97" s="10">
        <v>0</v>
      </c>
      <c r="G97" s="18">
        <v>0</v>
      </c>
      <c r="H97" s="18">
        <v>0</v>
      </c>
      <c r="I97" s="18">
        <v>0</v>
      </c>
      <c r="J97" s="18">
        <v>0</v>
      </c>
      <c r="K97" s="18">
        <v>0</v>
      </c>
      <c r="L97" s="18">
        <v>0</v>
      </c>
      <c r="M97" s="18">
        <v>0</v>
      </c>
      <c r="N97" s="18">
        <v>0</v>
      </c>
      <c r="O97" s="18">
        <v>0</v>
      </c>
      <c r="P97" s="18">
        <v>0</v>
      </c>
      <c r="Q97" s="18">
        <v>0</v>
      </c>
      <c r="R97" s="18">
        <v>0</v>
      </c>
      <c r="S97" s="19">
        <f t="shared" si="64"/>
        <v>0</v>
      </c>
      <c r="T97" s="18">
        <f t="shared" si="65"/>
        <v>0</v>
      </c>
      <c r="U97" s="19">
        <f t="shared" si="66"/>
        <v>0</v>
      </c>
    </row>
    <row r="98" spans="1:21">
      <c r="A98" s="21">
        <v>42775</v>
      </c>
      <c r="B98" s="21" t="s">
        <v>58</v>
      </c>
      <c r="C98" s="4" t="s">
        <v>61</v>
      </c>
      <c r="D98" s="16">
        <v>0</v>
      </c>
      <c r="E98" s="5">
        <v>48</v>
      </c>
      <c r="F98" s="17">
        <v>0</v>
      </c>
      <c r="G98" s="18">
        <v>0</v>
      </c>
      <c r="H98" s="18">
        <v>0</v>
      </c>
      <c r="I98" s="18">
        <v>0</v>
      </c>
      <c r="J98" s="18">
        <v>0</v>
      </c>
      <c r="K98" s="18">
        <v>0</v>
      </c>
      <c r="L98" s="18">
        <v>0</v>
      </c>
      <c r="M98" s="18">
        <v>0</v>
      </c>
      <c r="N98" s="18">
        <v>0</v>
      </c>
      <c r="O98" s="18">
        <v>0</v>
      </c>
      <c r="P98" s="18">
        <v>0</v>
      </c>
      <c r="Q98" s="18">
        <v>0</v>
      </c>
      <c r="R98" s="18">
        <v>0</v>
      </c>
      <c r="S98" s="19">
        <f t="shared" si="64"/>
        <v>0</v>
      </c>
      <c r="T98" s="18">
        <f t="shared" si="65"/>
        <v>0</v>
      </c>
      <c r="U98" s="19">
        <f t="shared" si="66"/>
        <v>0</v>
      </c>
    </row>
    <row r="99" spans="1:21">
      <c r="A99" s="21">
        <v>42864</v>
      </c>
      <c r="B99" s="21" t="s">
        <v>1</v>
      </c>
      <c r="C99" s="4" t="s">
        <v>62</v>
      </c>
      <c r="D99" s="16">
        <v>118750000</v>
      </c>
      <c r="E99" s="5">
        <v>48</v>
      </c>
      <c r="F99" s="17">
        <v>118749999.99999999</v>
      </c>
      <c r="G99" s="18">
        <v>0</v>
      </c>
      <c r="H99" s="18">
        <v>0</v>
      </c>
      <c r="I99" s="18">
        <v>0</v>
      </c>
      <c r="J99" s="18">
        <v>0</v>
      </c>
      <c r="K99" s="18">
        <v>0</v>
      </c>
      <c r="L99" s="18">
        <v>0</v>
      </c>
      <c r="M99" s="18">
        <v>0</v>
      </c>
      <c r="N99" s="18">
        <v>0</v>
      </c>
      <c r="O99" s="18">
        <v>0</v>
      </c>
      <c r="P99" s="18">
        <v>0</v>
      </c>
      <c r="Q99" s="18">
        <v>0</v>
      </c>
      <c r="R99" s="18">
        <v>0</v>
      </c>
      <c r="S99" s="19">
        <f t="shared" ref="S99" si="67">SUM(G99:R99)</f>
        <v>0</v>
      </c>
      <c r="T99" s="18">
        <f t="shared" ref="T99" si="68">+F99+S99</f>
        <v>118749999.99999999</v>
      </c>
      <c r="U99" s="19">
        <f t="shared" ref="U99" si="69">+D99-T99</f>
        <v>0</v>
      </c>
    </row>
    <row r="100" spans="1:21">
      <c r="A100" s="21">
        <v>45839</v>
      </c>
      <c r="B100" s="21" t="s">
        <v>78</v>
      </c>
      <c r="C100" s="4" t="s">
        <v>80</v>
      </c>
      <c r="D100" s="16">
        <v>849151036</v>
      </c>
      <c r="E100" s="5">
        <v>48</v>
      </c>
      <c r="F100" s="17">
        <v>0</v>
      </c>
      <c r="G100" s="18">
        <f t="shared" ref="G100:R100" si="70">$D$100/$E$100</f>
        <v>17690646.583333332</v>
      </c>
      <c r="H100" s="18">
        <f t="shared" si="70"/>
        <v>17690646.583333332</v>
      </c>
      <c r="I100" s="18">
        <f t="shared" si="70"/>
        <v>17690646.583333332</v>
      </c>
      <c r="J100" s="18">
        <f t="shared" si="70"/>
        <v>17690646.583333332</v>
      </c>
      <c r="K100" s="18">
        <f t="shared" si="70"/>
        <v>17690646.583333332</v>
      </c>
      <c r="L100" s="18">
        <f t="shared" si="70"/>
        <v>17690646.583333332</v>
      </c>
      <c r="M100" s="18">
        <f t="shared" si="70"/>
        <v>17690646.583333332</v>
      </c>
      <c r="N100" s="18">
        <f t="shared" si="70"/>
        <v>17690646.583333332</v>
      </c>
      <c r="O100" s="18">
        <f t="shared" si="70"/>
        <v>17690646.583333332</v>
      </c>
      <c r="P100" s="18">
        <f t="shared" si="70"/>
        <v>17690646.583333332</v>
      </c>
      <c r="Q100" s="18">
        <f t="shared" si="70"/>
        <v>17690646.583333332</v>
      </c>
      <c r="R100" s="18">
        <f t="shared" si="70"/>
        <v>17690646.583333332</v>
      </c>
      <c r="S100" s="19">
        <f t="shared" si="64"/>
        <v>212287759.00000003</v>
      </c>
      <c r="T100" s="18">
        <f t="shared" si="65"/>
        <v>212287759.00000003</v>
      </c>
      <c r="U100" s="19">
        <f t="shared" si="66"/>
        <v>636863277</v>
      </c>
    </row>
    <row r="101" spans="1:21">
      <c r="A101" s="21"/>
      <c r="B101" s="21"/>
      <c r="D101" s="16"/>
      <c r="E101" s="5"/>
      <c r="F101" s="17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9"/>
      <c r="T101" s="18"/>
      <c r="U101" s="19"/>
    </row>
    <row r="102" spans="1:21">
      <c r="A102" s="12"/>
      <c r="B102" s="12"/>
      <c r="C102" s="4" t="s">
        <v>10</v>
      </c>
      <c r="D102" s="23">
        <f>SUM(D92:D101)</f>
        <v>967901036</v>
      </c>
      <c r="E102" s="5"/>
      <c r="F102" s="23">
        <f>SUM(F92:F101)</f>
        <v>118749999.99999999</v>
      </c>
      <c r="G102" s="23">
        <f>SUM(G92:G101)</f>
        <v>17690646.583333332</v>
      </c>
      <c r="H102" s="23">
        <f t="shared" ref="H102:U102" si="71">SUM(H92:H101)</f>
        <v>17690646.583333332</v>
      </c>
      <c r="I102" s="23">
        <f t="shared" si="71"/>
        <v>17690646.583333332</v>
      </c>
      <c r="J102" s="23">
        <f t="shared" si="71"/>
        <v>17690646.583333332</v>
      </c>
      <c r="K102" s="23">
        <f t="shared" si="71"/>
        <v>17690646.583333332</v>
      </c>
      <c r="L102" s="23">
        <f t="shared" si="71"/>
        <v>17690646.583333332</v>
      </c>
      <c r="M102" s="23">
        <f t="shared" si="71"/>
        <v>17690646.583333332</v>
      </c>
      <c r="N102" s="23">
        <f t="shared" si="71"/>
        <v>17690646.583333332</v>
      </c>
      <c r="O102" s="23">
        <f t="shared" si="71"/>
        <v>17690646.583333332</v>
      </c>
      <c r="P102" s="23">
        <f t="shared" si="71"/>
        <v>17690646.583333332</v>
      </c>
      <c r="Q102" s="23">
        <f t="shared" si="71"/>
        <v>17690646.583333332</v>
      </c>
      <c r="R102" s="23">
        <f t="shared" si="71"/>
        <v>17690646.583333332</v>
      </c>
      <c r="S102" s="23">
        <f t="shared" si="71"/>
        <v>212287759.00000003</v>
      </c>
      <c r="T102" s="23">
        <f t="shared" si="71"/>
        <v>331037759</v>
      </c>
      <c r="U102" s="23">
        <f t="shared" si="71"/>
        <v>636863277</v>
      </c>
    </row>
    <row r="103" spans="1:21">
      <c r="C103" s="15"/>
      <c r="D103" s="20"/>
      <c r="F103" s="24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</row>
    <row r="104" spans="1:21">
      <c r="C104" s="15" t="s">
        <v>63</v>
      </c>
      <c r="D104" s="20">
        <v>0</v>
      </c>
      <c r="F104" s="24">
        <v>0</v>
      </c>
      <c r="G104" s="19">
        <v>0</v>
      </c>
      <c r="H104" s="19">
        <v>0</v>
      </c>
      <c r="I104" s="19">
        <v>0</v>
      </c>
      <c r="J104" s="19">
        <v>0</v>
      </c>
      <c r="K104" s="19">
        <v>0</v>
      </c>
      <c r="L104" s="19">
        <v>0</v>
      </c>
      <c r="M104" s="19">
        <v>0</v>
      </c>
      <c r="N104" s="19">
        <v>0</v>
      </c>
      <c r="O104" s="19">
        <v>0</v>
      </c>
      <c r="P104" s="19">
        <v>0</v>
      </c>
      <c r="Q104" s="19">
        <v>0</v>
      </c>
      <c r="R104" s="19">
        <v>0</v>
      </c>
      <c r="S104" s="18">
        <f>SUM(G104:R104)</f>
        <v>0</v>
      </c>
      <c r="T104" s="18">
        <f>+F104+S104</f>
        <v>0</v>
      </c>
      <c r="U104" s="19">
        <f>+D104-F104-S104</f>
        <v>0</v>
      </c>
    </row>
    <row r="105" spans="1:21">
      <c r="A105" s="21"/>
      <c r="B105" s="21"/>
      <c r="D105" s="23"/>
      <c r="E105" s="5"/>
      <c r="F105" s="18" t="s">
        <v>2</v>
      </c>
      <c r="G105" s="18" t="s">
        <v>10</v>
      </c>
      <c r="H105" s="18" t="s">
        <v>10</v>
      </c>
      <c r="I105" s="18" t="s">
        <v>10</v>
      </c>
      <c r="J105" s="18" t="s">
        <v>10</v>
      </c>
      <c r="K105" s="18" t="s">
        <v>10</v>
      </c>
      <c r="L105" s="18" t="s">
        <v>10</v>
      </c>
      <c r="M105" s="18" t="s">
        <v>10</v>
      </c>
      <c r="N105" s="18" t="s">
        <v>10</v>
      </c>
      <c r="O105" s="18" t="s">
        <v>10</v>
      </c>
      <c r="P105" s="18" t="s">
        <v>10</v>
      </c>
      <c r="Q105" s="18" t="s">
        <v>10</v>
      </c>
      <c r="R105" s="18" t="s">
        <v>10</v>
      </c>
      <c r="S105" s="19" t="s">
        <v>10</v>
      </c>
      <c r="T105" s="18" t="s">
        <v>10</v>
      </c>
      <c r="U105" s="19" t="s">
        <v>10</v>
      </c>
    </row>
    <row r="106" spans="1:21">
      <c r="A106" s="21"/>
      <c r="B106" s="21"/>
      <c r="D106" s="25">
        <f>+D89+D102+D104</f>
        <v>2059076832</v>
      </c>
      <c r="E106" s="5"/>
      <c r="F106" s="25">
        <f t="shared" ref="F106:U106" si="72">+F89+F102+F104</f>
        <v>765665413.33333349</v>
      </c>
      <c r="G106" s="25">
        <f t="shared" si="72"/>
        <v>34852411.69444444</v>
      </c>
      <c r="H106" s="25">
        <f t="shared" si="72"/>
        <v>34852411.69444444</v>
      </c>
      <c r="I106" s="25">
        <f t="shared" si="72"/>
        <v>34852411.69444444</v>
      </c>
      <c r="J106" s="25">
        <f t="shared" si="72"/>
        <v>34852411.69444444</v>
      </c>
      <c r="K106" s="25">
        <f t="shared" si="72"/>
        <v>34852411.69444444</v>
      </c>
      <c r="L106" s="25">
        <f t="shared" si="72"/>
        <v>34852411.69444444</v>
      </c>
      <c r="M106" s="25">
        <f t="shared" si="72"/>
        <v>34852411.69444444</v>
      </c>
      <c r="N106" s="25">
        <f t="shared" si="72"/>
        <v>34852411.69444444</v>
      </c>
      <c r="O106" s="25">
        <f t="shared" si="72"/>
        <v>34852411.69444444</v>
      </c>
      <c r="P106" s="25">
        <f t="shared" si="72"/>
        <v>34852411.69444444</v>
      </c>
      <c r="Q106" s="25">
        <f t="shared" si="72"/>
        <v>34852411.69444444</v>
      </c>
      <c r="R106" s="25">
        <f t="shared" si="72"/>
        <v>34852411.69444444</v>
      </c>
      <c r="S106" s="25">
        <f t="shared" si="72"/>
        <v>418228940.33333337</v>
      </c>
      <c r="T106" s="25">
        <f t="shared" si="72"/>
        <v>1183894353.6666665</v>
      </c>
      <c r="U106" s="25">
        <f t="shared" si="72"/>
        <v>875182478.33333325</v>
      </c>
    </row>
    <row r="107" spans="1:21">
      <c r="A107" s="21"/>
      <c r="B107" s="21"/>
      <c r="D107" s="25"/>
      <c r="E107" s="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</row>
    <row r="108" spans="1:21">
      <c r="A108" s="21"/>
      <c r="B108" s="21"/>
      <c r="D108" s="25" t="s">
        <v>2</v>
      </c>
      <c r="E108" s="5"/>
      <c r="F108" s="25"/>
      <c r="G108" s="25">
        <f>+G106</f>
        <v>34852411.69444444</v>
      </c>
      <c r="H108" s="25">
        <f>+G108+H106</f>
        <v>69704823.388888881</v>
      </c>
      <c r="I108" s="25">
        <f t="shared" ref="I108:R108" si="73">+H108+I106</f>
        <v>104557235.08333331</v>
      </c>
      <c r="J108" s="25">
        <f t="shared" si="73"/>
        <v>139409646.77777776</v>
      </c>
      <c r="K108" s="25">
        <f t="shared" si="73"/>
        <v>174262058.47222221</v>
      </c>
      <c r="L108" s="25">
        <f t="shared" si="73"/>
        <v>209114470.16666666</v>
      </c>
      <c r="M108" s="25">
        <f t="shared" si="73"/>
        <v>243966881.8611111</v>
      </c>
      <c r="N108" s="25">
        <f t="shared" si="73"/>
        <v>278819293.55555552</v>
      </c>
      <c r="O108" s="25">
        <f t="shared" si="73"/>
        <v>313671705.24999994</v>
      </c>
      <c r="P108" s="25">
        <f t="shared" si="73"/>
        <v>348524116.94444436</v>
      </c>
      <c r="Q108" s="25">
        <f t="shared" si="73"/>
        <v>383376528.63888878</v>
      </c>
      <c r="R108" s="25">
        <f t="shared" si="73"/>
        <v>418228940.33333319</v>
      </c>
      <c r="S108" s="25"/>
      <c r="T108" s="25"/>
      <c r="U108" s="25"/>
    </row>
    <row r="109" spans="1:21">
      <c r="D109" s="26" t="s">
        <v>10</v>
      </c>
      <c r="E109" s="5"/>
      <c r="F109" s="17"/>
      <c r="G109" s="19"/>
      <c r="H109" s="19"/>
      <c r="I109" s="19"/>
      <c r="J109" s="19"/>
      <c r="K109" s="19"/>
      <c r="L109" s="19"/>
      <c r="M109" s="27" t="s">
        <v>10</v>
      </c>
      <c r="N109" s="19"/>
      <c r="O109" s="19"/>
      <c r="P109" s="19"/>
      <c r="Q109" s="19"/>
      <c r="R109" s="19" t="s">
        <v>10</v>
      </c>
      <c r="S109" s="27" t="s">
        <v>10</v>
      </c>
      <c r="T109" s="27" t="s">
        <v>10</v>
      </c>
      <c r="U109" s="27" t="s">
        <v>10</v>
      </c>
    </row>
    <row r="110" spans="1:21">
      <c r="M110" s="19" t="s">
        <v>2</v>
      </c>
    </row>
    <row r="114" spans="1:21">
      <c r="U114" s="20" t="s">
        <v>10</v>
      </c>
    </row>
    <row r="126" spans="1:21">
      <c r="A126" s="13"/>
      <c r="B126" s="13"/>
      <c r="D126" s="22"/>
      <c r="F126" s="18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</row>
    <row r="127" spans="1:21">
      <c r="A127" s="13"/>
      <c r="B127" s="13"/>
      <c r="D127" s="22"/>
      <c r="F127" s="18"/>
    </row>
    <row r="128" spans="1:21">
      <c r="A128" s="13"/>
      <c r="B128" s="13"/>
      <c r="D128" s="22"/>
      <c r="F128" s="18"/>
    </row>
    <row r="129" spans="4:6">
      <c r="D129" s="22"/>
      <c r="F129" s="18"/>
    </row>
    <row r="130" spans="4:6">
      <c r="D130" s="22"/>
      <c r="F130" s="18"/>
    </row>
    <row r="131" spans="4:6">
      <c r="D131" s="22"/>
      <c r="F131" s="18"/>
    </row>
    <row r="132" spans="4:6">
      <c r="D132" s="22"/>
      <c r="F132" s="18"/>
    </row>
    <row r="133" spans="4:6">
      <c r="D133" s="22"/>
      <c r="F133" s="18"/>
    </row>
    <row r="134" spans="4:6">
      <c r="D134" s="9"/>
      <c r="F134" s="18"/>
    </row>
    <row r="135" spans="4:6">
      <c r="D135" s="9"/>
      <c r="F135" s="18"/>
    </row>
    <row r="136" spans="4:6">
      <c r="D136" s="9"/>
      <c r="F136" s="18"/>
    </row>
    <row r="137" spans="4:6">
      <c r="D137" s="9"/>
      <c r="F137" s="18"/>
    </row>
    <row r="138" spans="4:6">
      <c r="D138" s="9"/>
      <c r="F138" s="18"/>
    </row>
    <row r="139" spans="4:6">
      <c r="D139" s="9"/>
      <c r="F139" s="18"/>
    </row>
    <row r="140" spans="4:6">
      <c r="D140" s="9"/>
      <c r="F140" s="18"/>
    </row>
    <row r="141" spans="4:6">
      <c r="D141" s="9"/>
      <c r="F141" s="18"/>
    </row>
    <row r="142" spans="4:6">
      <c r="D142" s="9"/>
    </row>
    <row r="143" spans="4:6">
      <c r="D143" s="9"/>
    </row>
    <row r="144" spans="4:6">
      <c r="D144" s="9"/>
    </row>
    <row r="145" spans="4:4">
      <c r="D145" s="9"/>
    </row>
    <row r="146" spans="4:4">
      <c r="D146" s="9"/>
    </row>
    <row r="147" spans="4:4">
      <c r="D147" s="9"/>
    </row>
  </sheetData>
  <printOptions horizontalCentered="1" verticalCentered="1"/>
  <pageMargins left="0.75000000000000011" right="0.75000000000000011" top="1" bottom="1" header="0.5" footer="0.5"/>
  <pageSetup paperSize="9" scale="45" orientation="landscape" horizontalDpi="4294967292" verticalDpi="429496729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Deprec 2025</vt:lpstr>
      <vt:lpstr>'Deprec 2025'!Print_Area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Harsamto</dc:creator>
  <cp:lastModifiedBy>RYAN FADILLA</cp:lastModifiedBy>
  <cp:lastPrinted>2026-02-11T07:29:25Z</cp:lastPrinted>
  <dcterms:created xsi:type="dcterms:W3CDTF">2022-01-08T11:05:28Z</dcterms:created>
  <dcterms:modified xsi:type="dcterms:W3CDTF">2026-04-27T04:00:01Z</dcterms:modified>
</cp:coreProperties>
</file>