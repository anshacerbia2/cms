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I-User\Downloads\"/>
    </mc:Choice>
  </mc:AlternateContent>
  <xr:revisionPtr revIDLastSave="0" documentId="13_ncr:1_{C51D8EA6-40F2-4A2B-8815-FB9EBB275B21}" xr6:coauthVersionLast="47" xr6:coauthVersionMax="47" xr10:uidLastSave="{00000000-0000-0000-0000-000000000000}"/>
  <bookViews>
    <workbookView xWindow="-103" yWindow="-103" windowWidth="24892" windowHeight="14914" firstSheet="1" activeTab="1" xr2:uid="{C49568A5-158C-924F-8878-5D75329F86B5}"/>
  </bookViews>
  <sheets>
    <sheet name="BCA Sho" sheetId="1" r:id="rId1"/>
    <sheet name="Sales" sheetId="43" r:id="rId2"/>
  </sheets>
  <definedNames>
    <definedName name="_xlnm._FilterDatabase" localSheetId="0" hidden="1">'BCA Sho'!$A$4:$I$660</definedName>
    <definedName name="_xlnm._FilterDatabase" localSheetId="1" hidden="1">Sales!$A$4:$AD$301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43" l="1"/>
  <c r="AA233" i="43"/>
  <c r="D616" i="1" l="1"/>
  <c r="D584" i="1"/>
  <c r="C585" i="1" s="1"/>
  <c r="AA283" i="43" l="1"/>
  <c r="AA197" i="43" l="1"/>
  <c r="W303" i="43"/>
  <c r="W307" i="43" s="1"/>
  <c r="V303" i="43"/>
  <c r="U303" i="43"/>
  <c r="U307" i="43" s="1"/>
  <c r="T303" i="43"/>
  <c r="T307" i="43" s="1"/>
  <c r="S303" i="43"/>
  <c r="S307" i="43" s="1"/>
  <c r="R303" i="43"/>
  <c r="R307" i="43" s="1"/>
  <c r="Q303" i="43"/>
  <c r="P303" i="43"/>
  <c r="P307" i="43" s="1"/>
  <c r="O303" i="43"/>
  <c r="O307" i="43" s="1"/>
  <c r="M303" i="43"/>
  <c r="M307" i="43" s="1"/>
  <c r="I303" i="43"/>
  <c r="H303" i="43"/>
  <c r="AA301" i="43"/>
  <c r="Z301" i="43"/>
  <c r="K301" i="43"/>
  <c r="AA300" i="43"/>
  <c r="Z300" i="43"/>
  <c r="K300" i="43"/>
  <c r="AA299" i="43"/>
  <c r="Z299" i="43"/>
  <c r="K299" i="43"/>
  <c r="AA298" i="43"/>
  <c r="Z298" i="43"/>
  <c r="K298" i="43"/>
  <c r="AA297" i="43"/>
  <c r="Z297" i="43"/>
  <c r="K297" i="43"/>
  <c r="AA296" i="43"/>
  <c r="Z296" i="43"/>
  <c r="K296" i="43"/>
  <c r="AA295" i="43"/>
  <c r="Z295" i="43"/>
  <c r="K295" i="43"/>
  <c r="X295" i="43" s="1"/>
  <c r="AA294" i="43"/>
  <c r="Z294" i="43"/>
  <c r="K294" i="43"/>
  <c r="AA293" i="43"/>
  <c r="Z293" i="43"/>
  <c r="K293" i="43"/>
  <c r="X293" i="43" s="1"/>
  <c r="AA292" i="43"/>
  <c r="Z292" i="43"/>
  <c r="K292" i="43"/>
  <c r="AA291" i="43"/>
  <c r="Z291" i="43"/>
  <c r="K291" i="43"/>
  <c r="AA290" i="43"/>
  <c r="Z290" i="43"/>
  <c r="K290" i="43"/>
  <c r="X290" i="43" s="1"/>
  <c r="AA289" i="43"/>
  <c r="Z289" i="43"/>
  <c r="K289" i="43"/>
  <c r="AA288" i="43"/>
  <c r="Z288" i="43"/>
  <c r="K288" i="43"/>
  <c r="X288" i="43" s="1"/>
  <c r="AA287" i="43"/>
  <c r="Z287" i="43"/>
  <c r="K287" i="43"/>
  <c r="AA286" i="43"/>
  <c r="Z286" i="43"/>
  <c r="K286" i="43"/>
  <c r="AA285" i="43"/>
  <c r="Z285" i="43"/>
  <c r="K285" i="43"/>
  <c r="AA284" i="43"/>
  <c r="Z284" i="43"/>
  <c r="K284" i="43"/>
  <c r="Z283" i="43"/>
  <c r="K283" i="43"/>
  <c r="AA282" i="43"/>
  <c r="Z282" i="43"/>
  <c r="K282" i="43"/>
  <c r="X282" i="43" s="1"/>
  <c r="AA281" i="43"/>
  <c r="Z281" i="43"/>
  <c r="K281" i="43"/>
  <c r="X281" i="43" s="1"/>
  <c r="AA280" i="43"/>
  <c r="Z280" i="43"/>
  <c r="K280" i="43"/>
  <c r="AA279" i="43"/>
  <c r="Z279" i="43"/>
  <c r="K279" i="43"/>
  <c r="X279" i="43" s="1"/>
  <c r="AA278" i="43"/>
  <c r="Z278" i="43"/>
  <c r="K278" i="43"/>
  <c r="X278" i="43" s="1"/>
  <c r="AA277" i="43"/>
  <c r="Z277" i="43"/>
  <c r="K277" i="43"/>
  <c r="X277" i="43" s="1"/>
  <c r="AA276" i="43"/>
  <c r="Z276" i="43"/>
  <c r="K276" i="43"/>
  <c r="AA275" i="43"/>
  <c r="Z275" i="43"/>
  <c r="K275" i="43"/>
  <c r="X275" i="43" s="1"/>
  <c r="AA274" i="43"/>
  <c r="Z274" i="43"/>
  <c r="K274" i="43"/>
  <c r="AA273" i="43"/>
  <c r="Z273" i="43"/>
  <c r="K273" i="43"/>
  <c r="AA272" i="43"/>
  <c r="Z272" i="43"/>
  <c r="K272" i="43"/>
  <c r="AA271" i="43"/>
  <c r="Z271" i="43"/>
  <c r="K271" i="43"/>
  <c r="X271" i="43" s="1"/>
  <c r="AA270" i="43"/>
  <c r="Z270" i="43"/>
  <c r="K270" i="43"/>
  <c r="AA269" i="43"/>
  <c r="Z269" i="43"/>
  <c r="K269" i="43"/>
  <c r="AA268" i="43"/>
  <c r="Z268" i="43"/>
  <c r="K268" i="43"/>
  <c r="AA267" i="43"/>
  <c r="Z267" i="43"/>
  <c r="K267" i="43"/>
  <c r="AA266" i="43"/>
  <c r="Z266" i="43"/>
  <c r="K266" i="43"/>
  <c r="X266" i="43" s="1"/>
  <c r="AA265" i="43"/>
  <c r="Z265" i="43"/>
  <c r="K265" i="43"/>
  <c r="AA264" i="43"/>
  <c r="Z264" i="43"/>
  <c r="K264" i="43"/>
  <c r="X264" i="43" s="1"/>
  <c r="AA263" i="43"/>
  <c r="Z263" i="43"/>
  <c r="K263" i="43"/>
  <c r="AA262" i="43"/>
  <c r="Z262" i="43"/>
  <c r="K262" i="43"/>
  <c r="AA261" i="43"/>
  <c r="Z261" i="43"/>
  <c r="K261" i="43"/>
  <c r="AA260" i="43"/>
  <c r="Z260" i="43"/>
  <c r="K260" i="43"/>
  <c r="X260" i="43" s="1"/>
  <c r="AA259" i="43"/>
  <c r="Z259" i="43"/>
  <c r="K259" i="43"/>
  <c r="AA258" i="43"/>
  <c r="Z258" i="43"/>
  <c r="K258" i="43"/>
  <c r="X258" i="43" s="1"/>
  <c r="AA257" i="43"/>
  <c r="Z257" i="43"/>
  <c r="K257" i="43"/>
  <c r="X257" i="43" s="1"/>
  <c r="AA256" i="43"/>
  <c r="Z256" i="43"/>
  <c r="K256" i="43"/>
  <c r="AA255" i="43"/>
  <c r="Z255" i="43"/>
  <c r="K255" i="43"/>
  <c r="X255" i="43" s="1"/>
  <c r="AA254" i="43"/>
  <c r="Z254" i="43"/>
  <c r="K254" i="43"/>
  <c r="AA253" i="43"/>
  <c r="Z253" i="43"/>
  <c r="K253" i="43"/>
  <c r="X253" i="43" s="1"/>
  <c r="AA252" i="43"/>
  <c r="Z252" i="43"/>
  <c r="K252" i="43"/>
  <c r="AA251" i="43"/>
  <c r="Z251" i="43"/>
  <c r="K251" i="43"/>
  <c r="AA250" i="43"/>
  <c r="Z250" i="43"/>
  <c r="K250" i="43"/>
  <c r="AA249" i="43"/>
  <c r="Z249" i="43"/>
  <c r="K249" i="43"/>
  <c r="AA248" i="43"/>
  <c r="Z248" i="43"/>
  <c r="K248" i="43"/>
  <c r="AA247" i="43"/>
  <c r="Z247" i="43"/>
  <c r="K247" i="43"/>
  <c r="X247" i="43" s="1"/>
  <c r="AA246" i="43"/>
  <c r="Z246" i="43"/>
  <c r="K246" i="43"/>
  <c r="AA245" i="43"/>
  <c r="Z245" i="43"/>
  <c r="K245" i="43"/>
  <c r="AA244" i="43"/>
  <c r="Z244" i="43"/>
  <c r="K244" i="43"/>
  <c r="X244" i="43" s="1"/>
  <c r="Z243" i="43"/>
  <c r="K243" i="43"/>
  <c r="X243" i="43" s="1"/>
  <c r="AA242" i="43"/>
  <c r="Z242" i="43"/>
  <c r="K242" i="43"/>
  <c r="AA241" i="43"/>
  <c r="Z241" i="43"/>
  <c r="K241" i="43"/>
  <c r="AA240" i="43"/>
  <c r="Z240" i="43"/>
  <c r="K240" i="43"/>
  <c r="X240" i="43" s="1"/>
  <c r="Z239" i="43"/>
  <c r="K239" i="43"/>
  <c r="AC239" i="43" s="1"/>
  <c r="AA238" i="43"/>
  <c r="Z238" i="43"/>
  <c r="K238" i="43"/>
  <c r="AA237" i="43"/>
  <c r="Z237" i="43"/>
  <c r="K237" i="43"/>
  <c r="AA236" i="43"/>
  <c r="Z236" i="43"/>
  <c r="K236" i="43"/>
  <c r="AA235" i="43"/>
  <c r="Z235" i="43"/>
  <c r="K235" i="43"/>
  <c r="AA234" i="43"/>
  <c r="Z234" i="43"/>
  <c r="K234" i="43"/>
  <c r="X234" i="43" s="1"/>
  <c r="Z233" i="43"/>
  <c r="K233" i="43"/>
  <c r="AC233" i="43" s="1"/>
  <c r="AA232" i="43"/>
  <c r="Z232" i="43"/>
  <c r="K232" i="43"/>
  <c r="AA231" i="43"/>
  <c r="Z231" i="43"/>
  <c r="K231" i="43"/>
  <c r="AA230" i="43"/>
  <c r="Z230" i="43"/>
  <c r="K230" i="43"/>
  <c r="AA229" i="43"/>
  <c r="Z229" i="43"/>
  <c r="K229" i="43"/>
  <c r="AA228" i="43"/>
  <c r="Z228" i="43"/>
  <c r="K228" i="43"/>
  <c r="X228" i="43" s="1"/>
  <c r="AA227" i="43"/>
  <c r="Z227" i="43"/>
  <c r="K227" i="43"/>
  <c r="AA226" i="43"/>
  <c r="Z226" i="43"/>
  <c r="K226" i="43"/>
  <c r="AA225" i="43"/>
  <c r="Z225" i="43"/>
  <c r="K225" i="43"/>
  <c r="AA224" i="43"/>
  <c r="Z224" i="43"/>
  <c r="K224" i="43"/>
  <c r="AA223" i="43"/>
  <c r="Z223" i="43"/>
  <c r="K223" i="43"/>
  <c r="AA222" i="43"/>
  <c r="Z222" i="43"/>
  <c r="K222" i="43"/>
  <c r="X222" i="43" s="1"/>
  <c r="Z221" i="43"/>
  <c r="K221" i="43"/>
  <c r="Z220" i="43"/>
  <c r="K220" i="43"/>
  <c r="X220" i="43" s="1"/>
  <c r="Z219" i="43"/>
  <c r="K219" i="43"/>
  <c r="X219" i="43" s="1"/>
  <c r="AA218" i="43"/>
  <c r="Z218" i="43"/>
  <c r="K218" i="43"/>
  <c r="AA217" i="43"/>
  <c r="Z217" i="43"/>
  <c r="K217" i="43"/>
  <c r="AA216" i="43"/>
  <c r="Z216" i="43"/>
  <c r="K216" i="43"/>
  <c r="AA215" i="43"/>
  <c r="Z215" i="43"/>
  <c r="K215" i="43"/>
  <c r="X215" i="43" s="1"/>
  <c r="AA214" i="43"/>
  <c r="Z214" i="43"/>
  <c r="N214" i="43"/>
  <c r="N303" i="43" s="1"/>
  <c r="N307" i="43" s="1"/>
  <c r="K214" i="43"/>
  <c r="AA213" i="43"/>
  <c r="Z213" i="43"/>
  <c r="K213" i="43"/>
  <c r="AA212" i="43"/>
  <c r="Z212" i="43"/>
  <c r="K212" i="43"/>
  <c r="AA211" i="43"/>
  <c r="Z211" i="43"/>
  <c r="K211" i="43"/>
  <c r="AA210" i="43"/>
  <c r="Z210" i="43"/>
  <c r="K210" i="43"/>
  <c r="X210" i="43" s="1"/>
  <c r="AA209" i="43"/>
  <c r="Z209" i="43"/>
  <c r="K209" i="43"/>
  <c r="X209" i="43" s="1"/>
  <c r="AA208" i="43"/>
  <c r="Z208" i="43"/>
  <c r="K208" i="43"/>
  <c r="AA207" i="43"/>
  <c r="Z207" i="43"/>
  <c r="K207" i="43"/>
  <c r="AA206" i="43"/>
  <c r="Z206" i="43"/>
  <c r="K206" i="43"/>
  <c r="X206" i="43" s="1"/>
  <c r="Z205" i="43"/>
  <c r="K205" i="43"/>
  <c r="AC205" i="43" s="1"/>
  <c r="AA204" i="43"/>
  <c r="Z204" i="43"/>
  <c r="K204" i="43"/>
  <c r="X204" i="43" s="1"/>
  <c r="AA203" i="43"/>
  <c r="Z203" i="43"/>
  <c r="K203" i="43"/>
  <c r="Z202" i="43"/>
  <c r="K202" i="43"/>
  <c r="X202" i="43" s="1"/>
  <c r="AA201" i="43"/>
  <c r="Z201" i="43"/>
  <c r="K201" i="43"/>
  <c r="X201" i="43" s="1"/>
  <c r="Z200" i="43"/>
  <c r="K200" i="43"/>
  <c r="X200" i="43" s="1"/>
  <c r="Z199" i="43"/>
  <c r="K199" i="43"/>
  <c r="X199" i="43" s="1"/>
  <c r="Z198" i="43"/>
  <c r="K198" i="43"/>
  <c r="AC198" i="43" s="1"/>
  <c r="Z197" i="43"/>
  <c r="K197" i="43"/>
  <c r="X197" i="43" s="1"/>
  <c r="AA196" i="43"/>
  <c r="Z196" i="43"/>
  <c r="K196" i="43"/>
  <c r="AA195" i="43"/>
  <c r="Z195" i="43"/>
  <c r="K195" i="43"/>
  <c r="X195" i="43" s="1"/>
  <c r="AA194" i="43"/>
  <c r="Z194" i="43"/>
  <c r="K194" i="43"/>
  <c r="AA193" i="43"/>
  <c r="Z193" i="43"/>
  <c r="K193" i="43"/>
  <c r="X193" i="43" s="1"/>
  <c r="AA192" i="43"/>
  <c r="Z192" i="43"/>
  <c r="K192" i="43"/>
  <c r="X192" i="43" s="1"/>
  <c r="AA191" i="43"/>
  <c r="Z191" i="43"/>
  <c r="K191" i="43"/>
  <c r="X191" i="43" s="1"/>
  <c r="AA190" i="43"/>
  <c r="Z190" i="43"/>
  <c r="K190" i="43"/>
  <c r="AA189" i="43"/>
  <c r="Z189" i="43"/>
  <c r="K189" i="43"/>
  <c r="X189" i="43" s="1"/>
  <c r="AA188" i="43"/>
  <c r="Z188" i="43"/>
  <c r="K188" i="43"/>
  <c r="X188" i="43" s="1"/>
  <c r="Z187" i="43"/>
  <c r="K187" i="43"/>
  <c r="AC187" i="43" s="1"/>
  <c r="AA186" i="43"/>
  <c r="Z186" i="43"/>
  <c r="K186" i="43"/>
  <c r="X186" i="43" s="1"/>
  <c r="Z185" i="43"/>
  <c r="K185" i="43"/>
  <c r="AC185" i="43" s="1"/>
  <c r="AA184" i="43"/>
  <c r="Z184" i="43"/>
  <c r="K184" i="43"/>
  <c r="AA183" i="43"/>
  <c r="Z183" i="43"/>
  <c r="K183" i="43"/>
  <c r="X183" i="43" s="1"/>
  <c r="AA182" i="43"/>
  <c r="Z182" i="43"/>
  <c r="K182" i="43"/>
  <c r="AA181" i="43"/>
  <c r="Z181" i="43"/>
  <c r="K181" i="43"/>
  <c r="X181" i="43" s="1"/>
  <c r="Z180" i="43"/>
  <c r="K180" i="43"/>
  <c r="X180" i="43" s="1"/>
  <c r="Z179" i="43"/>
  <c r="K179" i="43"/>
  <c r="X179" i="43" s="1"/>
  <c r="AA178" i="43"/>
  <c r="Z178" i="43"/>
  <c r="K178" i="43"/>
  <c r="X178" i="43" s="1"/>
  <c r="AA177" i="43"/>
  <c r="Z177" i="43"/>
  <c r="K177" i="43"/>
  <c r="Z176" i="43"/>
  <c r="K176" i="43"/>
  <c r="AC176" i="43" s="1"/>
  <c r="AA175" i="43"/>
  <c r="Z175" i="43"/>
  <c r="K175" i="43"/>
  <c r="Z174" i="43"/>
  <c r="K174" i="43"/>
  <c r="X174" i="43" s="1"/>
  <c r="AA173" i="43"/>
  <c r="Z173" i="43"/>
  <c r="K173" i="43"/>
  <c r="AA172" i="43"/>
  <c r="Z172" i="43"/>
  <c r="K172" i="43"/>
  <c r="AA171" i="43"/>
  <c r="Z171" i="43"/>
  <c r="K171" i="43"/>
  <c r="X171" i="43" s="1"/>
  <c r="AA170" i="43"/>
  <c r="Z170" i="43"/>
  <c r="K170" i="43"/>
  <c r="AA169" i="43"/>
  <c r="Z169" i="43"/>
  <c r="K169" i="43"/>
  <c r="X169" i="43" s="1"/>
  <c r="Z168" i="43"/>
  <c r="K168" i="43"/>
  <c r="AC168" i="43" s="1"/>
  <c r="AA167" i="43"/>
  <c r="Z167" i="43"/>
  <c r="K167" i="43"/>
  <c r="X167" i="43" s="1"/>
  <c r="AA166" i="43"/>
  <c r="Z166" i="43"/>
  <c r="K166" i="43"/>
  <c r="Z165" i="43"/>
  <c r="K165" i="43"/>
  <c r="X165" i="43" s="1"/>
  <c r="AA164" i="43"/>
  <c r="Z164" i="43"/>
  <c r="K164" i="43"/>
  <c r="AA163" i="43"/>
  <c r="Z163" i="43"/>
  <c r="K163" i="43"/>
  <c r="Z162" i="43"/>
  <c r="K162" i="43"/>
  <c r="X162" i="43" s="1"/>
  <c r="AA161" i="43"/>
  <c r="Z161" i="43"/>
  <c r="K161" i="43"/>
  <c r="X161" i="43" s="1"/>
  <c r="AA160" i="43"/>
  <c r="Z160" i="43"/>
  <c r="K160" i="43"/>
  <c r="AA159" i="43"/>
  <c r="Z159" i="43"/>
  <c r="K159" i="43"/>
  <c r="X159" i="43" s="1"/>
  <c r="Z158" i="43"/>
  <c r="K158" i="43"/>
  <c r="X158" i="43" s="1"/>
  <c r="Z157" i="43"/>
  <c r="K157" i="43"/>
  <c r="X157" i="43" s="1"/>
  <c r="Z156" i="43"/>
  <c r="K156" i="43"/>
  <c r="X156" i="43" s="1"/>
  <c r="AA155" i="43"/>
  <c r="Z155" i="43"/>
  <c r="K155" i="43"/>
  <c r="X155" i="43" s="1"/>
  <c r="Z154" i="43"/>
  <c r="K154" i="43"/>
  <c r="X154" i="43" s="1"/>
  <c r="Z153" i="43"/>
  <c r="K153" i="43"/>
  <c r="X153" i="43" s="1"/>
  <c r="Z152" i="43"/>
  <c r="K152" i="43"/>
  <c r="X152" i="43" s="1"/>
  <c r="Z151" i="43"/>
  <c r="K151" i="43"/>
  <c r="AC151" i="43" s="1"/>
  <c r="Z150" i="43"/>
  <c r="K150" i="43"/>
  <c r="AC150" i="43" s="1"/>
  <c r="Z149" i="43"/>
  <c r="K149" i="43"/>
  <c r="AC149" i="43" s="1"/>
  <c r="Z148" i="43"/>
  <c r="K148" i="43"/>
  <c r="X148" i="43" s="1"/>
  <c r="Z147" i="43"/>
  <c r="K147" i="43"/>
  <c r="AC147" i="43" s="1"/>
  <c r="Z146" i="43"/>
  <c r="K146" i="43"/>
  <c r="AC146" i="43" s="1"/>
  <c r="Z145" i="43"/>
  <c r="K145" i="43"/>
  <c r="AC145" i="43" s="1"/>
  <c r="Z144" i="43"/>
  <c r="K144" i="43"/>
  <c r="AC144" i="43" s="1"/>
  <c r="Z143" i="43"/>
  <c r="K143" i="43"/>
  <c r="Z142" i="43"/>
  <c r="K142" i="43"/>
  <c r="AC142" i="43" s="1"/>
  <c r="Z141" i="43"/>
  <c r="K141" i="43"/>
  <c r="X141" i="43" s="1"/>
  <c r="Z140" i="43"/>
  <c r="K140" i="43"/>
  <c r="AC140" i="43" s="1"/>
  <c r="Z139" i="43"/>
  <c r="K139" i="43"/>
  <c r="X139" i="43" s="1"/>
  <c r="Z138" i="43"/>
  <c r="K138" i="43"/>
  <c r="AC138" i="43" s="1"/>
  <c r="Z137" i="43"/>
  <c r="K137" i="43"/>
  <c r="AC137" i="43" s="1"/>
  <c r="Z136" i="43"/>
  <c r="K136" i="43"/>
  <c r="AC136" i="43" s="1"/>
  <c r="Z135" i="43"/>
  <c r="K135" i="43"/>
  <c r="AC135" i="43" s="1"/>
  <c r="Z134" i="43"/>
  <c r="K134" i="43"/>
  <c r="X134" i="43" s="1"/>
  <c r="Z133" i="43"/>
  <c r="K133" i="43"/>
  <c r="AC133" i="43" s="1"/>
  <c r="Z132" i="43"/>
  <c r="K132" i="43"/>
  <c r="AC132" i="43" s="1"/>
  <c r="Z131" i="43"/>
  <c r="K131" i="43"/>
  <c r="Z130" i="43"/>
  <c r="K130" i="43"/>
  <c r="X130" i="43" s="1"/>
  <c r="Z129" i="43"/>
  <c r="K129" i="43"/>
  <c r="X129" i="43" s="1"/>
  <c r="Z128" i="43"/>
  <c r="K128" i="43"/>
  <c r="AC128" i="43" s="1"/>
  <c r="Z127" i="43"/>
  <c r="K127" i="43"/>
  <c r="AC127" i="43" s="1"/>
  <c r="AA126" i="43"/>
  <c r="Z126" i="43"/>
  <c r="K126" i="43"/>
  <c r="X126" i="43" s="1"/>
  <c r="AA125" i="43"/>
  <c r="Z125" i="43"/>
  <c r="K125" i="43"/>
  <c r="AA124" i="43"/>
  <c r="Z124" i="43"/>
  <c r="K124" i="43"/>
  <c r="AA123" i="43"/>
  <c r="Z123" i="43"/>
  <c r="K123" i="43"/>
  <c r="X123" i="43" s="1"/>
  <c r="AA122" i="43"/>
  <c r="Z122" i="43"/>
  <c r="K122" i="43"/>
  <c r="AA121" i="43"/>
  <c r="Z121" i="43"/>
  <c r="K121" i="43"/>
  <c r="X121" i="43" s="1"/>
  <c r="AA120" i="43"/>
  <c r="Z120" i="43"/>
  <c r="K120" i="43"/>
  <c r="Z119" i="43"/>
  <c r="K119" i="43"/>
  <c r="X119" i="43" s="1"/>
  <c r="Z118" i="43"/>
  <c r="K118" i="43"/>
  <c r="Z117" i="43"/>
  <c r="K117" i="43"/>
  <c r="AC117" i="43" s="1"/>
  <c r="Z116" i="43"/>
  <c r="K116" i="43"/>
  <c r="X116" i="43" s="1"/>
  <c r="AA115" i="43"/>
  <c r="Z115" i="43"/>
  <c r="K115" i="43"/>
  <c r="X115" i="43" s="1"/>
  <c r="Z114" i="43"/>
  <c r="K114" i="43"/>
  <c r="X114" i="43" s="1"/>
  <c r="AA113" i="43"/>
  <c r="Z113" i="43"/>
  <c r="K113" i="43"/>
  <c r="AA112" i="43"/>
  <c r="Z112" i="43"/>
  <c r="K112" i="43"/>
  <c r="AA111" i="43"/>
  <c r="Z111" i="43"/>
  <c r="K111" i="43"/>
  <c r="X111" i="43" s="1"/>
  <c r="AA110" i="43"/>
  <c r="Z110" i="43"/>
  <c r="K110" i="43"/>
  <c r="AA109" i="43"/>
  <c r="Z109" i="43"/>
  <c r="K109" i="43"/>
  <c r="X109" i="43" s="1"/>
  <c r="AA108" i="43"/>
  <c r="Z108" i="43"/>
  <c r="K108" i="43"/>
  <c r="AA107" i="43"/>
  <c r="Z107" i="43"/>
  <c r="K107" i="43"/>
  <c r="AA106" i="43"/>
  <c r="Z106" i="43"/>
  <c r="K106" i="43"/>
  <c r="X106" i="43" s="1"/>
  <c r="AA105" i="43"/>
  <c r="Z105" i="43"/>
  <c r="K105" i="43"/>
  <c r="X105" i="43" s="1"/>
  <c r="AA104" i="43"/>
  <c r="Z104" i="43"/>
  <c r="K104" i="43"/>
  <c r="AA103" i="43"/>
  <c r="Z103" i="43"/>
  <c r="K103" i="43"/>
  <c r="AA102" i="43"/>
  <c r="Z102" i="43"/>
  <c r="K102" i="43"/>
  <c r="X102" i="43" s="1"/>
  <c r="AA101" i="43"/>
  <c r="Z101" i="43"/>
  <c r="K101" i="43"/>
  <c r="AA100" i="43"/>
  <c r="Z100" i="43"/>
  <c r="K100" i="43"/>
  <c r="X100" i="43" s="1"/>
  <c r="AA99" i="43"/>
  <c r="Z99" i="43"/>
  <c r="K99" i="43"/>
  <c r="AA98" i="43"/>
  <c r="Z98" i="43"/>
  <c r="K98" i="43"/>
  <c r="X98" i="43" s="1"/>
  <c r="AA97" i="43"/>
  <c r="Z97" i="43"/>
  <c r="K97" i="43"/>
  <c r="AA96" i="43"/>
  <c r="Z96" i="43"/>
  <c r="K96" i="43"/>
  <c r="X96" i="43" s="1"/>
  <c r="AA95" i="43"/>
  <c r="Z95" i="43"/>
  <c r="K95" i="43"/>
  <c r="X95" i="43" s="1"/>
  <c r="AA94" i="43"/>
  <c r="Z94" i="43"/>
  <c r="K94" i="43"/>
  <c r="AA93" i="43"/>
  <c r="Z93" i="43"/>
  <c r="K93" i="43"/>
  <c r="AA92" i="43"/>
  <c r="Z92" i="43"/>
  <c r="K92" i="43"/>
  <c r="AA91" i="43"/>
  <c r="Z91" i="43"/>
  <c r="K91" i="43"/>
  <c r="X91" i="43" s="1"/>
  <c r="AA90" i="43"/>
  <c r="Z90" i="43"/>
  <c r="K90" i="43"/>
  <c r="X90" i="43" s="1"/>
  <c r="AA89" i="43"/>
  <c r="Z89" i="43"/>
  <c r="K89" i="43"/>
  <c r="AA88" i="43"/>
  <c r="Z88" i="43"/>
  <c r="K88" i="43"/>
  <c r="AA87" i="43"/>
  <c r="Z87" i="43"/>
  <c r="K87" i="43"/>
  <c r="X87" i="43" s="1"/>
  <c r="AA86" i="43"/>
  <c r="Z86" i="43"/>
  <c r="K86" i="43"/>
  <c r="X86" i="43" s="1"/>
  <c r="AA85" i="43"/>
  <c r="Z85" i="43"/>
  <c r="K85" i="43"/>
  <c r="AA84" i="43"/>
  <c r="Z84" i="43"/>
  <c r="K84" i="43"/>
  <c r="AA83" i="43"/>
  <c r="Z83" i="43"/>
  <c r="K83" i="43"/>
  <c r="AA82" i="43"/>
  <c r="Z82" i="43"/>
  <c r="K82" i="43"/>
  <c r="X82" i="43" s="1"/>
  <c r="AA81" i="43"/>
  <c r="Z81" i="43"/>
  <c r="K81" i="43"/>
  <c r="X81" i="43" s="1"/>
  <c r="AA80" i="43"/>
  <c r="Z80" i="43"/>
  <c r="K80" i="43"/>
  <c r="AA79" i="43"/>
  <c r="Z79" i="43"/>
  <c r="K79" i="43"/>
  <c r="AA78" i="43"/>
  <c r="Z78" i="43"/>
  <c r="K78" i="43"/>
  <c r="X78" i="43" s="1"/>
  <c r="AA77" i="43"/>
  <c r="Z77" i="43"/>
  <c r="K77" i="43"/>
  <c r="X77" i="43" s="1"/>
  <c r="AA76" i="43"/>
  <c r="Z76" i="43"/>
  <c r="K76" i="43"/>
  <c r="X76" i="43" s="1"/>
  <c r="AA75" i="43"/>
  <c r="Z75" i="43"/>
  <c r="K75" i="43"/>
  <c r="X75" i="43" s="1"/>
  <c r="AA74" i="43"/>
  <c r="Z74" i="43"/>
  <c r="K74" i="43"/>
  <c r="X74" i="43" s="1"/>
  <c r="AA73" i="43"/>
  <c r="Z73" i="43"/>
  <c r="K73" i="43"/>
  <c r="X73" i="43" s="1"/>
  <c r="AA72" i="43"/>
  <c r="Z72" i="43"/>
  <c r="K72" i="43"/>
  <c r="X72" i="43" s="1"/>
  <c r="AA71" i="43"/>
  <c r="Z71" i="43"/>
  <c r="K71" i="43"/>
  <c r="X71" i="43" s="1"/>
  <c r="AA70" i="43"/>
  <c r="Z70" i="43"/>
  <c r="K70" i="43"/>
  <c r="AA69" i="43"/>
  <c r="Z69" i="43"/>
  <c r="K69" i="43"/>
  <c r="X69" i="43" s="1"/>
  <c r="AA68" i="43"/>
  <c r="Z68" i="43"/>
  <c r="K68" i="43"/>
  <c r="Z67" i="43"/>
  <c r="K67" i="43"/>
  <c r="X67" i="43" s="1"/>
  <c r="AA66" i="43"/>
  <c r="Z66" i="43"/>
  <c r="K66" i="43"/>
  <c r="X66" i="43" s="1"/>
  <c r="AA65" i="43"/>
  <c r="Z65" i="43"/>
  <c r="K65" i="43"/>
  <c r="X65" i="43" s="1"/>
  <c r="AA64" i="43"/>
  <c r="Z64" i="43"/>
  <c r="K64" i="43"/>
  <c r="X64" i="43" s="1"/>
  <c r="AA63" i="43"/>
  <c r="Z63" i="43"/>
  <c r="K63" i="43"/>
  <c r="AA62" i="43"/>
  <c r="Z62" i="43"/>
  <c r="K62" i="43"/>
  <c r="X62" i="43" s="1"/>
  <c r="AA61" i="43"/>
  <c r="Z61" i="43"/>
  <c r="K61" i="43"/>
  <c r="AA60" i="43"/>
  <c r="Z60" i="43"/>
  <c r="K60" i="43"/>
  <c r="X60" i="43" s="1"/>
  <c r="AA59" i="43"/>
  <c r="Z59" i="43"/>
  <c r="K59" i="43"/>
  <c r="X59" i="43" s="1"/>
  <c r="Z58" i="43"/>
  <c r="K58" i="43"/>
  <c r="X58" i="43" s="1"/>
  <c r="AA57" i="43"/>
  <c r="Z57" i="43"/>
  <c r="K57" i="43"/>
  <c r="AA56" i="43"/>
  <c r="Z56" i="43"/>
  <c r="K56" i="43"/>
  <c r="X56" i="43" s="1"/>
  <c r="Z55" i="43"/>
  <c r="K55" i="43"/>
  <c r="X55" i="43" s="1"/>
  <c r="Z54" i="43"/>
  <c r="K54" i="43"/>
  <c r="X54" i="43" s="1"/>
  <c r="AA53" i="43"/>
  <c r="Z53" i="43"/>
  <c r="K53" i="43"/>
  <c r="AA52" i="43"/>
  <c r="Z52" i="43"/>
  <c r="K52" i="43"/>
  <c r="Z51" i="43"/>
  <c r="K51" i="43"/>
  <c r="X51" i="43" s="1"/>
  <c r="AA50" i="43"/>
  <c r="Z50" i="43"/>
  <c r="K50" i="43"/>
  <c r="AA49" i="43"/>
  <c r="Z49" i="43"/>
  <c r="K49" i="43"/>
  <c r="X49" i="43" s="1"/>
  <c r="AA48" i="43"/>
  <c r="Z48" i="43"/>
  <c r="K48" i="43"/>
  <c r="X48" i="43" s="1"/>
  <c r="AA47" i="43"/>
  <c r="Z47" i="43"/>
  <c r="K47" i="43"/>
  <c r="X47" i="43" s="1"/>
  <c r="AA46" i="43"/>
  <c r="Z46" i="43"/>
  <c r="K46" i="43"/>
  <c r="AA45" i="43"/>
  <c r="Z45" i="43"/>
  <c r="K45" i="43"/>
  <c r="X45" i="43" s="1"/>
  <c r="Z44" i="43"/>
  <c r="K44" i="43"/>
  <c r="AC44" i="43" s="1"/>
  <c r="Z43" i="43"/>
  <c r="K43" i="43"/>
  <c r="AC43" i="43" s="1"/>
  <c r="Z42" i="43"/>
  <c r="K42" i="43"/>
  <c r="X42" i="43" s="1"/>
  <c r="Z41" i="43"/>
  <c r="K41" i="43"/>
  <c r="X41" i="43" s="1"/>
  <c r="AA40" i="43"/>
  <c r="Z40" i="43"/>
  <c r="K40" i="43"/>
  <c r="X40" i="43" s="1"/>
  <c r="AA39" i="43"/>
  <c r="Z39" i="43"/>
  <c r="K39" i="43"/>
  <c r="AA38" i="43"/>
  <c r="Z38" i="43"/>
  <c r="K38" i="43"/>
  <c r="X38" i="43" s="1"/>
  <c r="AA37" i="43"/>
  <c r="Z37" i="43"/>
  <c r="K37" i="43"/>
  <c r="AA36" i="43"/>
  <c r="Z36" i="43"/>
  <c r="K36" i="43"/>
  <c r="AA35" i="43"/>
  <c r="Z35" i="43"/>
  <c r="K35" i="43"/>
  <c r="AA34" i="43"/>
  <c r="Z34" i="43"/>
  <c r="K34" i="43"/>
  <c r="AA33" i="43"/>
  <c r="Z33" i="43"/>
  <c r="K33" i="43"/>
  <c r="AA32" i="43"/>
  <c r="Z32" i="43"/>
  <c r="K32" i="43"/>
  <c r="AA31" i="43"/>
  <c r="J31" i="43"/>
  <c r="K31" i="43" s="1"/>
  <c r="AA30" i="43"/>
  <c r="Z30" i="43"/>
  <c r="K30" i="43"/>
  <c r="X30" i="43" s="1"/>
  <c r="AA29" i="43"/>
  <c r="Z29" i="43"/>
  <c r="K29" i="43"/>
  <c r="AA28" i="43"/>
  <c r="Z28" i="43"/>
  <c r="K28" i="43"/>
  <c r="X28" i="43" s="1"/>
  <c r="AA27" i="43"/>
  <c r="Z27" i="43"/>
  <c r="K27" i="43"/>
  <c r="AA26" i="43"/>
  <c r="Z26" i="43"/>
  <c r="K26" i="43"/>
  <c r="X26" i="43" s="1"/>
  <c r="AA25" i="43"/>
  <c r="Z25" i="43"/>
  <c r="K25" i="43"/>
  <c r="X25" i="43" s="1"/>
  <c r="AA24" i="43"/>
  <c r="Z24" i="43"/>
  <c r="K24" i="43"/>
  <c r="X24" i="43" s="1"/>
  <c r="AA23" i="43"/>
  <c r="Z23" i="43"/>
  <c r="K23" i="43"/>
  <c r="AA22" i="43"/>
  <c r="Z22" i="43"/>
  <c r="K22" i="43"/>
  <c r="X22" i="43" s="1"/>
  <c r="AA21" i="43"/>
  <c r="Z21" i="43"/>
  <c r="K21" i="43"/>
  <c r="AA20" i="43"/>
  <c r="Z20" i="43"/>
  <c r="K20" i="43"/>
  <c r="X20" i="43" s="1"/>
  <c r="AA19" i="43"/>
  <c r="Z19" i="43"/>
  <c r="K19" i="43"/>
  <c r="AA18" i="43"/>
  <c r="Z18" i="43"/>
  <c r="K18" i="43"/>
  <c r="X18" i="43" s="1"/>
  <c r="AA17" i="43"/>
  <c r="Z17" i="43"/>
  <c r="K17" i="43"/>
  <c r="AA16" i="43"/>
  <c r="Z16" i="43"/>
  <c r="K16" i="43"/>
  <c r="X16" i="43" s="1"/>
  <c r="AA15" i="43"/>
  <c r="Z15" i="43"/>
  <c r="K15" i="43"/>
  <c r="AA14" i="43"/>
  <c r="Z14" i="43"/>
  <c r="K14" i="43"/>
  <c r="X14" i="43" s="1"/>
  <c r="Z13" i="43"/>
  <c r="K13" i="43"/>
  <c r="AC13" i="43" s="1"/>
  <c r="AA12" i="43"/>
  <c r="Z12" i="43"/>
  <c r="K12" i="43"/>
  <c r="X12" i="43" s="1"/>
  <c r="AA11" i="43"/>
  <c r="Z11" i="43"/>
  <c r="K11" i="43"/>
  <c r="AA10" i="43"/>
  <c r="Z10" i="43"/>
  <c r="K10" i="43"/>
  <c r="X10" i="43" s="1"/>
  <c r="AA9" i="43"/>
  <c r="Z9" i="43"/>
  <c r="K9" i="43"/>
  <c r="AA8" i="43"/>
  <c r="Z8" i="43"/>
  <c r="K8" i="43"/>
  <c r="AA7" i="43"/>
  <c r="Z7" i="43"/>
  <c r="K7" i="43"/>
  <c r="Z6" i="43"/>
  <c r="K6" i="43"/>
  <c r="X6" i="43" s="1"/>
  <c r="A6" i="43"/>
  <c r="A7" i="43" s="1"/>
  <c r="A8" i="43" s="1"/>
  <c r="A9" i="43" s="1"/>
  <c r="A10" i="43" s="1"/>
  <c r="A11" i="43" s="1"/>
  <c r="A12" i="43" s="1"/>
  <c r="A13" i="43" s="1"/>
  <c r="A14" i="43" s="1"/>
  <c r="A15" i="43" s="1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A38" i="43" s="1"/>
  <c r="A39" i="43" s="1"/>
  <c r="A40" i="43" s="1"/>
  <c r="A41" i="43" s="1"/>
  <c r="A42" i="43" s="1"/>
  <c r="A43" i="43" s="1"/>
  <c r="A44" i="43" s="1"/>
  <c r="A45" i="43" s="1"/>
  <c r="A46" i="43" s="1"/>
  <c r="A47" i="43" s="1"/>
  <c r="A48" i="43" s="1"/>
  <c r="A49" i="43" s="1"/>
  <c r="A50" i="43" s="1"/>
  <c r="A51" i="43" s="1"/>
  <c r="A52" i="43" s="1"/>
  <c r="A53" i="43" s="1"/>
  <c r="A54" i="43" s="1"/>
  <c r="A55" i="43" s="1"/>
  <c r="A56" i="43" s="1"/>
  <c r="A57" i="43" s="1"/>
  <c r="A58" i="43" s="1"/>
  <c r="A59" i="43" s="1"/>
  <c r="A60" i="43" s="1"/>
  <c r="A61" i="43" s="1"/>
  <c r="A62" i="43" s="1"/>
  <c r="A63" i="43" s="1"/>
  <c r="A64" i="43" s="1"/>
  <c r="A65" i="43" s="1"/>
  <c r="A66" i="43" s="1"/>
  <c r="A67" i="43" s="1"/>
  <c r="A68" i="43" s="1"/>
  <c r="A69" i="43" s="1"/>
  <c r="A70" i="43" s="1"/>
  <c r="A71" i="43" s="1"/>
  <c r="A72" i="43" s="1"/>
  <c r="A73" i="43" s="1"/>
  <c r="A74" i="43" s="1"/>
  <c r="A75" i="43" s="1"/>
  <c r="A76" i="43" s="1"/>
  <c r="A77" i="43" s="1"/>
  <c r="A78" i="43" s="1"/>
  <c r="A79" i="43" s="1"/>
  <c r="A80" i="43" s="1"/>
  <c r="A81" i="43" s="1"/>
  <c r="A82" i="43" s="1"/>
  <c r="A83" i="43" s="1"/>
  <c r="A84" i="43" s="1"/>
  <c r="A85" i="43" s="1"/>
  <c r="A86" i="43" s="1"/>
  <c r="A87" i="43" s="1"/>
  <c r="A88" i="43" s="1"/>
  <c r="A89" i="43" s="1"/>
  <c r="A90" i="43" s="1"/>
  <c r="A91" i="43" s="1"/>
  <c r="A92" i="43" s="1"/>
  <c r="A93" i="43" s="1"/>
  <c r="A94" i="43" s="1"/>
  <c r="A95" i="43" s="1"/>
  <c r="A96" i="43" s="1"/>
  <c r="A97" i="43" s="1"/>
  <c r="A98" i="43" s="1"/>
  <c r="A99" i="43" s="1"/>
  <c r="A100" i="43" s="1"/>
  <c r="A101" i="43" s="1"/>
  <c r="A102" i="43" s="1"/>
  <c r="A103" i="43" s="1"/>
  <c r="A104" i="43" s="1"/>
  <c r="A105" i="43" s="1"/>
  <c r="A106" i="43" s="1"/>
  <c r="A107" i="43" s="1"/>
  <c r="A108" i="43" s="1"/>
  <c r="A109" i="43" s="1"/>
  <c r="A110" i="43" s="1"/>
  <c r="A111" i="43" s="1"/>
  <c r="A112" i="43" s="1"/>
  <c r="A113" i="43" s="1"/>
  <c r="A114" i="43" s="1"/>
  <c r="A115" i="43" s="1"/>
  <c r="A116" i="43" s="1"/>
  <c r="A117" i="43" s="1"/>
  <c r="A118" i="43" s="1"/>
  <c r="A119" i="43" s="1"/>
  <c r="A120" i="43" s="1"/>
  <c r="A121" i="43" s="1"/>
  <c r="A122" i="43" s="1"/>
  <c r="A123" i="43" s="1"/>
  <c r="A124" i="43" s="1"/>
  <c r="A125" i="43" s="1"/>
  <c r="A126" i="43" s="1"/>
  <c r="A127" i="43" s="1"/>
  <c r="A128" i="43" s="1"/>
  <c r="A129" i="43" s="1"/>
  <c r="A130" i="43" s="1"/>
  <c r="A131" i="43" s="1"/>
  <c r="A132" i="43" s="1"/>
  <c r="A133" i="43" s="1"/>
  <c r="A134" i="43" s="1"/>
  <c r="A135" i="43" s="1"/>
  <c r="A136" i="43" s="1"/>
  <c r="A137" i="43" s="1"/>
  <c r="A138" i="43" s="1"/>
  <c r="A139" i="43" s="1"/>
  <c r="A140" i="43" s="1"/>
  <c r="A141" i="43" s="1"/>
  <c r="A142" i="43" s="1"/>
  <c r="A143" i="43" s="1"/>
  <c r="A144" i="43" s="1"/>
  <c r="A145" i="43" s="1"/>
  <c r="A146" i="43" s="1"/>
  <c r="A147" i="43" s="1"/>
  <c r="A148" i="43" s="1"/>
  <c r="A149" i="43" s="1"/>
  <c r="A150" i="43" s="1"/>
  <c r="A151" i="43" s="1"/>
  <c r="A152" i="43" s="1"/>
  <c r="A153" i="43" s="1"/>
  <c r="A154" i="43" s="1"/>
  <c r="A155" i="43" s="1"/>
  <c r="A156" i="43" s="1"/>
  <c r="A157" i="43" s="1"/>
  <c r="A158" i="43" s="1"/>
  <c r="A159" i="43" s="1"/>
  <c r="A160" i="43" s="1"/>
  <c r="A161" i="43" s="1"/>
  <c r="A162" i="43" s="1"/>
  <c r="A163" i="43" s="1"/>
  <c r="A164" i="43" s="1"/>
  <c r="A165" i="43" s="1"/>
  <c r="A166" i="43" s="1"/>
  <c r="A167" i="43" s="1"/>
  <c r="A168" i="43" s="1"/>
  <c r="A169" i="43" s="1"/>
  <c r="A170" i="43" s="1"/>
  <c r="A171" i="43" s="1"/>
  <c r="A172" i="43" s="1"/>
  <c r="A173" i="43" s="1"/>
  <c r="A174" i="43" s="1"/>
  <c r="A175" i="43" s="1"/>
  <c r="A176" i="43" s="1"/>
  <c r="A177" i="43" s="1"/>
  <c r="A178" i="43" s="1"/>
  <c r="A179" i="43" s="1"/>
  <c r="A180" i="43" s="1"/>
  <c r="A181" i="43" s="1"/>
  <c r="A182" i="43" s="1"/>
  <c r="A183" i="43" s="1"/>
  <c r="A184" i="43" s="1"/>
  <c r="A185" i="43" s="1"/>
  <c r="A186" i="43" s="1"/>
  <c r="A187" i="43" s="1"/>
  <c r="A188" i="43" s="1"/>
  <c r="A189" i="43" s="1"/>
  <c r="A190" i="43" s="1"/>
  <c r="A191" i="43" s="1"/>
  <c r="A192" i="43" s="1"/>
  <c r="A193" i="43" s="1"/>
  <c r="A194" i="43" s="1"/>
  <c r="A195" i="43" s="1"/>
  <c r="A196" i="43" s="1"/>
  <c r="A197" i="43" s="1"/>
  <c r="A198" i="43" s="1"/>
  <c r="A199" i="43" s="1"/>
  <c r="A200" i="43" s="1"/>
  <c r="A201" i="43" s="1"/>
  <c r="A202" i="43" s="1"/>
  <c r="A203" i="43" s="1"/>
  <c r="A204" i="43" s="1"/>
  <c r="A205" i="43" s="1"/>
  <c r="A206" i="43" s="1"/>
  <c r="A207" i="43" s="1"/>
  <c r="A208" i="43" s="1"/>
  <c r="A209" i="43" s="1"/>
  <c r="A210" i="43" s="1"/>
  <c r="A211" i="43" s="1"/>
  <c r="A212" i="43" s="1"/>
  <c r="A213" i="43" s="1"/>
  <c r="A214" i="43" s="1"/>
  <c r="A215" i="43" s="1"/>
  <c r="A216" i="43" s="1"/>
  <c r="A217" i="43" s="1"/>
  <c r="A218" i="43" s="1"/>
  <c r="A219" i="43" s="1"/>
  <c r="A220" i="43" s="1"/>
  <c r="A221" i="43" s="1"/>
  <c r="A222" i="43" s="1"/>
  <c r="A223" i="43" s="1"/>
  <c r="A224" i="43" s="1"/>
  <c r="A225" i="43" s="1"/>
  <c r="A226" i="43" s="1"/>
  <c r="A227" i="43" s="1"/>
  <c r="A228" i="43" s="1"/>
  <c r="A229" i="43" s="1"/>
  <c r="A230" i="43" s="1"/>
  <c r="A231" i="43" s="1"/>
  <c r="A232" i="43" s="1"/>
  <c r="A233" i="43" s="1"/>
  <c r="A234" i="43" s="1"/>
  <c r="A235" i="43" s="1"/>
  <c r="A236" i="43" s="1"/>
  <c r="A237" i="43" s="1"/>
  <c r="A238" i="43" s="1"/>
  <c r="A239" i="43" s="1"/>
  <c r="A240" i="43" s="1"/>
  <c r="A241" i="43" s="1"/>
  <c r="A242" i="43" s="1"/>
  <c r="A243" i="43" s="1"/>
  <c r="A244" i="43" s="1"/>
  <c r="A245" i="43" s="1"/>
  <c r="A246" i="43" s="1"/>
  <c r="A247" i="43" s="1"/>
  <c r="A248" i="43" s="1"/>
  <c r="A249" i="43" s="1"/>
  <c r="A250" i="43" s="1"/>
  <c r="A251" i="43" s="1"/>
  <c r="A252" i="43" s="1"/>
  <c r="A253" i="43" s="1"/>
  <c r="A254" i="43" s="1"/>
  <c r="A255" i="43" s="1"/>
  <c r="A256" i="43" s="1"/>
  <c r="A257" i="43" s="1"/>
  <c r="A258" i="43" s="1"/>
  <c r="A259" i="43" s="1"/>
  <c r="A260" i="43" s="1"/>
  <c r="A261" i="43" s="1"/>
  <c r="A262" i="43" s="1"/>
  <c r="A263" i="43" s="1"/>
  <c r="A264" i="43" s="1"/>
  <c r="A265" i="43" s="1"/>
  <c r="A266" i="43" s="1"/>
  <c r="A267" i="43" s="1"/>
  <c r="A268" i="43" s="1"/>
  <c r="A269" i="43" s="1"/>
  <c r="A270" i="43" s="1"/>
  <c r="A271" i="43" s="1"/>
  <c r="A272" i="43" s="1"/>
  <c r="A273" i="43" s="1"/>
  <c r="A274" i="43" s="1"/>
  <c r="A275" i="43" s="1"/>
  <c r="A276" i="43" s="1"/>
  <c r="A277" i="43" s="1"/>
  <c r="A278" i="43" s="1"/>
  <c r="A279" i="43" s="1"/>
  <c r="A280" i="43" s="1"/>
  <c r="A281" i="43" s="1"/>
  <c r="A282" i="43" s="1"/>
  <c r="A283" i="43" s="1"/>
  <c r="A284" i="43" s="1"/>
  <c r="A285" i="43" s="1"/>
  <c r="A286" i="43" s="1"/>
  <c r="A287" i="43" s="1"/>
  <c r="A288" i="43" s="1"/>
  <c r="A289" i="43" s="1"/>
  <c r="A290" i="43" s="1"/>
  <c r="A291" i="43" s="1"/>
  <c r="A292" i="43" s="1"/>
  <c r="A293" i="43" s="1"/>
  <c r="A294" i="43" s="1"/>
  <c r="A295" i="43" s="1"/>
  <c r="A296" i="43" s="1"/>
  <c r="A297" i="43" s="1"/>
  <c r="A298" i="43" s="1"/>
  <c r="A299" i="43" s="1"/>
  <c r="A300" i="43" s="1"/>
  <c r="A301" i="43" s="1"/>
  <c r="AA5" i="43"/>
  <c r="J5" i="43"/>
  <c r="Z5" i="43" s="1"/>
  <c r="AC166" i="43" l="1"/>
  <c r="AB299" i="43"/>
  <c r="AC41" i="43"/>
  <c r="AB170" i="43"/>
  <c r="AC125" i="43"/>
  <c r="AC175" i="43"/>
  <c r="AC184" i="43"/>
  <c r="AB284" i="43"/>
  <c r="AB245" i="43"/>
  <c r="AB249" i="43"/>
  <c r="AC173" i="43"/>
  <c r="AC81" i="43"/>
  <c r="AC70" i="43"/>
  <c r="AB53" i="43"/>
  <c r="AC177" i="43"/>
  <c r="AC182" i="43"/>
  <c r="AB228" i="43"/>
  <c r="AB19" i="43"/>
  <c r="AB96" i="43"/>
  <c r="AB229" i="43"/>
  <c r="AB241" i="43"/>
  <c r="AB85" i="43"/>
  <c r="AC89" i="43"/>
  <c r="AB97" i="43"/>
  <c r="AB101" i="43"/>
  <c r="AB209" i="43"/>
  <c r="AB217" i="43"/>
  <c r="AB79" i="43"/>
  <c r="AB207" i="43"/>
  <c r="AB83" i="43"/>
  <c r="AC103" i="43"/>
  <c r="AC107" i="43"/>
  <c r="X147" i="43"/>
  <c r="AC203" i="43"/>
  <c r="AB252" i="43"/>
  <c r="AB171" i="43"/>
  <c r="AB62" i="43"/>
  <c r="AB126" i="43"/>
  <c r="AC197" i="43"/>
  <c r="AC214" i="43"/>
  <c r="AB28" i="43"/>
  <c r="AB33" i="43"/>
  <c r="AB37" i="43"/>
  <c r="AC109" i="43"/>
  <c r="AB206" i="43"/>
  <c r="AB29" i="43"/>
  <c r="AB50" i="43"/>
  <c r="AB63" i="43"/>
  <c r="AC78" i="43"/>
  <c r="AC94" i="43"/>
  <c r="X150" i="43"/>
  <c r="AC164" i="43"/>
  <c r="AC80" i="43"/>
  <c r="AB23" i="43"/>
  <c r="AB35" i="43"/>
  <c r="AC115" i="43"/>
  <c r="AC199" i="43"/>
  <c r="AB169" i="43"/>
  <c r="AB11" i="43"/>
  <c r="AB27" i="43"/>
  <c r="AB236" i="43"/>
  <c r="AB7" i="43"/>
  <c r="AC174" i="43"/>
  <c r="AC221" i="43"/>
  <c r="AB123" i="43"/>
  <c r="AB9" i="43"/>
  <c r="AB17" i="43"/>
  <c r="AC104" i="43"/>
  <c r="AC108" i="43"/>
  <c r="AB208" i="43"/>
  <c r="AB223" i="43"/>
  <c r="AB227" i="43"/>
  <c r="AB234" i="43"/>
  <c r="AB242" i="43"/>
  <c r="AB254" i="43"/>
  <c r="AB277" i="43"/>
  <c r="AB285" i="43"/>
  <c r="AB289" i="43"/>
  <c r="AA303" i="43"/>
  <c r="AB45" i="43"/>
  <c r="AB235" i="43"/>
  <c r="AB251" i="43"/>
  <c r="AB278" i="43"/>
  <c r="AC10" i="43"/>
  <c r="AB122" i="43"/>
  <c r="AC216" i="43"/>
  <c r="AB224" i="43"/>
  <c r="AB301" i="43"/>
  <c r="AB46" i="43"/>
  <c r="AB113" i="43"/>
  <c r="AC130" i="43"/>
  <c r="AC172" i="43"/>
  <c r="AC213" i="43"/>
  <c r="AB232" i="43"/>
  <c r="AB267" i="43"/>
  <c r="AB294" i="43"/>
  <c r="AB110" i="43"/>
  <c r="AC202" i="43"/>
  <c r="AB240" i="43"/>
  <c r="AB272" i="43"/>
  <c r="AB276" i="43"/>
  <c r="AB291" i="43"/>
  <c r="Z31" i="43"/>
  <c r="AB31" i="43" s="1"/>
  <c r="AC87" i="43"/>
  <c r="AC120" i="43"/>
  <c r="X144" i="43"/>
  <c r="X170" i="43"/>
  <c r="X207" i="43"/>
  <c r="AB226" i="43"/>
  <c r="X299" i="43"/>
  <c r="AB39" i="43"/>
  <c r="AB52" i="43"/>
  <c r="AB88" i="43"/>
  <c r="AB124" i="43"/>
  <c r="AB211" i="43"/>
  <c r="AB222" i="43"/>
  <c r="AB230" i="43"/>
  <c r="AB265" i="43"/>
  <c r="AB269" i="43"/>
  <c r="AC102" i="43"/>
  <c r="AB32" i="43"/>
  <c r="AB36" i="43"/>
  <c r="AB57" i="43"/>
  <c r="AB61" i="43"/>
  <c r="AB92" i="43"/>
  <c r="AC139" i="43"/>
  <c r="AC163" i="43"/>
  <c r="AB195" i="43"/>
  <c r="AB238" i="43"/>
  <c r="AB253" i="43"/>
  <c r="AB296" i="43"/>
  <c r="X27" i="43"/>
  <c r="AB121" i="43"/>
  <c r="X146" i="43"/>
  <c r="X224" i="43"/>
  <c r="AB275" i="43"/>
  <c r="X289" i="43"/>
  <c r="AB12" i="43"/>
  <c r="AB25" i="43"/>
  <c r="AB38" i="43"/>
  <c r="AB48" i="43"/>
  <c r="AC59" i="43"/>
  <c r="AB65" i="43"/>
  <c r="AB84" i="43"/>
  <c r="AB93" i="43"/>
  <c r="AC105" i="43"/>
  <c r="AB112" i="43"/>
  <c r="AC119" i="43"/>
  <c r="AC134" i="43"/>
  <c r="AC181" i="43"/>
  <c r="AC212" i="43"/>
  <c r="AB225" i="43"/>
  <c r="AB231" i="43"/>
  <c r="AB237" i="43"/>
  <c r="AB270" i="43"/>
  <c r="AB280" i="43"/>
  <c r="AB287" i="43"/>
  <c r="AB274" i="43"/>
  <c r="X172" i="43"/>
  <c r="X182" i="43"/>
  <c r="AB298" i="43"/>
  <c r="X301" i="43"/>
  <c r="AB22" i="43"/>
  <c r="AB247" i="43"/>
  <c r="X251" i="43"/>
  <c r="X254" i="43"/>
  <c r="X284" i="43"/>
  <c r="X19" i="43"/>
  <c r="X103" i="43"/>
  <c r="X120" i="43"/>
  <c r="AC116" i="43"/>
  <c r="AC189" i="43"/>
  <c r="X226" i="43"/>
  <c r="X232" i="43"/>
  <c r="AB26" i="43"/>
  <c r="AC42" i="43"/>
  <c r="X46" i="43"/>
  <c r="X63" i="43"/>
  <c r="X79" i="43"/>
  <c r="AB100" i="43"/>
  <c r="X110" i="43"/>
  <c r="X145" i="43"/>
  <c r="X176" i="43"/>
  <c r="AC179" i="43"/>
  <c r="X216" i="43"/>
  <c r="AB261" i="43"/>
  <c r="AB271" i="43"/>
  <c r="AC56" i="43"/>
  <c r="X85" i="43"/>
  <c r="X136" i="43"/>
  <c r="AC159" i="43"/>
  <c r="AB16" i="43"/>
  <c r="X23" i="43"/>
  <c r="X36" i="43"/>
  <c r="X53" i="43"/>
  <c r="X57" i="43"/>
  <c r="AB69" i="43"/>
  <c r="AC91" i="43"/>
  <c r="X124" i="43"/>
  <c r="AC148" i="43"/>
  <c r="AB186" i="43"/>
  <c r="AC200" i="43"/>
  <c r="AB281" i="43"/>
  <c r="AB295" i="43"/>
  <c r="X29" i="43"/>
  <c r="X163" i="43"/>
  <c r="X213" i="43"/>
  <c r="X238" i="43"/>
  <c r="AC66" i="43"/>
  <c r="X128" i="43"/>
  <c r="X173" i="43"/>
  <c r="AB193" i="43"/>
  <c r="X245" i="43"/>
  <c r="X265" i="43"/>
  <c r="X32" i="43"/>
  <c r="AC106" i="43"/>
  <c r="X113" i="43"/>
  <c r="AB257" i="43"/>
  <c r="X17" i="43"/>
  <c r="X43" i="43"/>
  <c r="AB49" i="43"/>
  <c r="AB60" i="43"/>
  <c r="X142" i="43"/>
  <c r="AB20" i="43"/>
  <c r="X92" i="43"/>
  <c r="X236" i="43"/>
  <c r="X242" i="43"/>
  <c r="AB14" i="43"/>
  <c r="AB21" i="43"/>
  <c r="X61" i="43"/>
  <c r="AB95" i="43"/>
  <c r="AB98" i="43"/>
  <c r="AB255" i="43"/>
  <c r="AB259" i="43"/>
  <c r="X269" i="43"/>
  <c r="AB293" i="43"/>
  <c r="X149" i="43"/>
  <c r="AC183" i="43"/>
  <c r="AB210" i="43"/>
  <c r="X80" i="43"/>
  <c r="AB8" i="43"/>
  <c r="AB15" i="43"/>
  <c r="X21" i="43"/>
  <c r="AB30" i="43"/>
  <c r="AB34" i="43"/>
  <c r="AB99" i="43"/>
  <c r="X168" i="43"/>
  <c r="AC201" i="43"/>
  <c r="X205" i="43"/>
  <c r="AB246" i="43"/>
  <c r="AB256" i="43"/>
  <c r="X259" i="43"/>
  <c r="AB273" i="43"/>
  <c r="AB300" i="43"/>
  <c r="AB82" i="43"/>
  <c r="X89" i="43"/>
  <c r="AC204" i="43"/>
  <c r="X230" i="43"/>
  <c r="X50" i="43"/>
  <c r="X8" i="43"/>
  <c r="X15" i="43"/>
  <c r="AB18" i="43"/>
  <c r="AB24" i="43"/>
  <c r="X34" i="43"/>
  <c r="AB47" i="43"/>
  <c r="AC58" i="43"/>
  <c r="AB64" i="43"/>
  <c r="AB68" i="43"/>
  <c r="AC86" i="43"/>
  <c r="AB90" i="43"/>
  <c r="X99" i="43"/>
  <c r="AB111" i="43"/>
  <c r="AC161" i="43"/>
  <c r="AC191" i="43"/>
  <c r="AB218" i="43"/>
  <c r="AB250" i="43"/>
  <c r="AB263" i="43"/>
  <c r="AB279" i="43"/>
  <c r="AB283" i="43"/>
  <c r="AB297" i="43"/>
  <c r="AC131" i="43"/>
  <c r="X131" i="43"/>
  <c r="AB262" i="43"/>
  <c r="AB286" i="43"/>
  <c r="AC129" i="43"/>
  <c r="AC6" i="43"/>
  <c r="AC51" i="43"/>
  <c r="X83" i="43"/>
  <c r="X94" i="43"/>
  <c r="X107" i="43"/>
  <c r="X211" i="43"/>
  <c r="X249" i="43"/>
  <c r="AB260" i="43"/>
  <c r="X262" i="43"/>
  <c r="X273" i="43"/>
  <c r="X286" i="43"/>
  <c r="X297" i="43"/>
  <c r="AB258" i="43"/>
  <c r="AB282" i="43"/>
  <c r="K5" i="43"/>
  <c r="X7" i="43"/>
  <c r="X9" i="43"/>
  <c r="X11" i="43"/>
  <c r="X13" i="43"/>
  <c r="X31" i="43"/>
  <c r="X33" i="43"/>
  <c r="X35" i="43"/>
  <c r="X37" i="43"/>
  <c r="X39" i="43"/>
  <c r="X52" i="43"/>
  <c r="X88" i="43"/>
  <c r="X101" i="43"/>
  <c r="X112" i="43"/>
  <c r="X117" i="43"/>
  <c r="X122" i="43"/>
  <c r="X132" i="43"/>
  <c r="X137" i="43"/>
  <c r="X177" i="43"/>
  <c r="X184" i="43"/>
  <c r="X218" i="43"/>
  <c r="X256" i="43"/>
  <c r="X267" i="43"/>
  <c r="X280" i="43"/>
  <c r="X291" i="43"/>
  <c r="J303" i="43"/>
  <c r="X44" i="43"/>
  <c r="X70" i="43"/>
  <c r="X84" i="43"/>
  <c r="X97" i="43"/>
  <c r="X108" i="43"/>
  <c r="X135" i="43"/>
  <c r="X140" i="43"/>
  <c r="AC143" i="43"/>
  <c r="X143" i="43"/>
  <c r="X166" i="43"/>
  <c r="X175" i="43"/>
  <c r="X203" i="43"/>
  <c r="X212" i="43"/>
  <c r="X214" i="43"/>
  <c r="X221" i="43"/>
  <c r="X223" i="43"/>
  <c r="X225" i="43"/>
  <c r="X227" i="43"/>
  <c r="X229" i="43"/>
  <c r="X231" i="43"/>
  <c r="X233" i="43"/>
  <c r="X235" i="43"/>
  <c r="X237" i="43"/>
  <c r="X239" i="43"/>
  <c r="X241" i="43"/>
  <c r="X252" i="43"/>
  <c r="X263" i="43"/>
  <c r="X276" i="43"/>
  <c r="X287" i="43"/>
  <c r="X300" i="43"/>
  <c r="X68" i="43"/>
  <c r="X127" i="43"/>
  <c r="X151" i="43"/>
  <c r="X187" i="43"/>
  <c r="AB196" i="43"/>
  <c r="X198" i="43"/>
  <c r="AB248" i="43"/>
  <c r="X250" i="43"/>
  <c r="X261" i="43"/>
  <c r="X274" i="43"/>
  <c r="X285" i="43"/>
  <c r="X298" i="43"/>
  <c r="X93" i="43"/>
  <c r="X104" i="43"/>
  <c r="AC118" i="43"/>
  <c r="X118" i="43"/>
  <c r="X125" i="43"/>
  <c r="X164" i="43"/>
  <c r="AB194" i="43"/>
  <c r="X196" i="43"/>
  <c r="X208" i="43"/>
  <c r="X248" i="43"/>
  <c r="X272" i="43"/>
  <c r="X283" i="43"/>
  <c r="X296" i="43"/>
  <c r="AC40" i="43"/>
  <c r="X133" i="43"/>
  <c r="X138" i="43"/>
  <c r="X185" i="43"/>
  <c r="AC192" i="43"/>
  <c r="X194" i="43"/>
  <c r="AB244" i="43"/>
  <c r="X246" i="43"/>
  <c r="AB268" i="43"/>
  <c r="X270" i="43"/>
  <c r="AB292" i="43"/>
  <c r="X294" i="43"/>
  <c r="AB160" i="43"/>
  <c r="AB266" i="43"/>
  <c r="X268" i="43"/>
  <c r="AB290" i="43"/>
  <c r="X292" i="43"/>
  <c r="AB190" i="43"/>
  <c r="AC141" i="43"/>
  <c r="AB155" i="43"/>
  <c r="X160" i="43"/>
  <c r="AC167" i="43"/>
  <c r="AC178" i="43"/>
  <c r="AC188" i="43"/>
  <c r="X190" i="43"/>
  <c r="AB215" i="43"/>
  <c r="X217" i="43"/>
  <c r="AB264" i="43"/>
  <c r="AB288" i="43"/>
  <c r="Z303" i="43" l="1"/>
  <c r="AC303" i="43"/>
  <c r="K303" i="43"/>
  <c r="X5" i="43"/>
  <c r="X303" i="43" s="1"/>
  <c r="AB5" i="43"/>
  <c r="AB303" i="43" s="1"/>
  <c r="D288" i="1" l="1"/>
  <c r="C662" i="1" l="1"/>
  <c r="D662" i="1"/>
  <c r="E5" i="1" l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l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l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D663" i="1" l="1"/>
</calcChain>
</file>

<file path=xl/sharedStrings.xml><?xml version="1.0" encoding="utf-8"?>
<sst xmlns="http://schemas.openxmlformats.org/spreadsheetml/2006/main" count="3871" uniqueCount="1288">
  <si>
    <t>BCA</t>
  </si>
  <si>
    <t>575-0489-666</t>
  </si>
  <si>
    <t>RD HIDIANITJE</t>
  </si>
  <si>
    <t>Tanggal</t>
  </si>
  <si>
    <t>Cost of goods</t>
  </si>
  <si>
    <t>COGS</t>
  </si>
  <si>
    <t>Account Payable</t>
  </si>
  <si>
    <t>AP Trade</t>
  </si>
  <si>
    <t>Office Expense</t>
  </si>
  <si>
    <t>Account Receivable</t>
  </si>
  <si>
    <t>Odhey</t>
  </si>
  <si>
    <t>AP Expense</t>
  </si>
  <si>
    <t>Transportation</t>
  </si>
  <si>
    <t>AR Trade</t>
  </si>
  <si>
    <t>Financial Expense</t>
  </si>
  <si>
    <t>Marketing Expense</t>
  </si>
  <si>
    <t>Salary and THR</t>
  </si>
  <si>
    <t>AP Temporary Loan</t>
  </si>
  <si>
    <t>David Harsamto</t>
  </si>
  <si>
    <t xml:space="preserve"> </t>
  </si>
  <si>
    <t>Overtime</t>
  </si>
  <si>
    <t>Telephone</t>
  </si>
  <si>
    <t>IDR</t>
  </si>
  <si>
    <t>BTN</t>
  </si>
  <si>
    <t>Anne Hidayat</t>
  </si>
  <si>
    <t>AP Others</t>
  </si>
  <si>
    <t>Frieda</t>
  </si>
  <si>
    <t>Yogi</t>
  </si>
  <si>
    <t>Personnel Expense</t>
  </si>
  <si>
    <t>Meals Allowance</t>
  </si>
  <si>
    <t>Incentive and Bonus</t>
  </si>
  <si>
    <t>Other Expense</t>
  </si>
  <si>
    <t>Medical Allowance</t>
  </si>
  <si>
    <t>AR Staff Loan</t>
  </si>
  <si>
    <t>Interest Income</t>
  </si>
  <si>
    <t>Date</t>
  </si>
  <si>
    <t>Year</t>
  </si>
  <si>
    <t>Description</t>
  </si>
  <si>
    <t>Basic Price</t>
  </si>
  <si>
    <t>Management Fee</t>
  </si>
  <si>
    <t>PPN</t>
  </si>
  <si>
    <t>PPh-23</t>
  </si>
  <si>
    <t>BNI</t>
  </si>
  <si>
    <t>OUTSTANDING</t>
  </si>
  <si>
    <t>AR Others</t>
  </si>
  <si>
    <t>Praja</t>
  </si>
  <si>
    <t>Sukanda</t>
  </si>
  <si>
    <t>AP Deposit from customer</t>
  </si>
  <si>
    <t>HR Development</t>
  </si>
  <si>
    <t>Sales and Promotion</t>
  </si>
  <si>
    <t>Bank Charge</t>
  </si>
  <si>
    <t>Other Income</t>
  </si>
  <si>
    <t>Dividend</t>
  </si>
  <si>
    <t>CASH IDR</t>
  </si>
  <si>
    <t>Bank Raya</t>
  </si>
  <si>
    <t>Telkomsel Pengadaan Sales Fee Indihome Halo</t>
  </si>
  <si>
    <t>BPJS Tenaga Kerja</t>
  </si>
  <si>
    <t>Billing to</t>
  </si>
  <si>
    <t>Sales Code</t>
  </si>
  <si>
    <t>AP PPn</t>
  </si>
  <si>
    <t>REMARKS</t>
  </si>
  <si>
    <t>NON CB</t>
  </si>
  <si>
    <t>WAPU</t>
  </si>
  <si>
    <t>Non WAPU</t>
  </si>
  <si>
    <t xml:space="preserve">  </t>
  </si>
  <si>
    <t>Telkomsel Digiads Solutions Updated</t>
  </si>
  <si>
    <t>Bank Mandiri (Persero) Tbk, PT</t>
  </si>
  <si>
    <t>Pelabuhan Indonesia (Persero), PT</t>
  </si>
  <si>
    <t>Bank Rakyat Indonesia (Persero) Tbk, PT</t>
  </si>
  <si>
    <t>AH</t>
  </si>
  <si>
    <t>Telkomsel MICE Sumatra - Last Evaluation Sprint in 2023</t>
  </si>
  <si>
    <t>Telkomsel IBOS 2023 - Pembiayaan Q3</t>
  </si>
  <si>
    <t>Overtime Desember SUPRIYADI,</t>
  </si>
  <si>
    <t>BIAYA ADM ,</t>
  </si>
  <si>
    <t>Salary PCMI Jan   DAVID HARSAMTO,</t>
  </si>
  <si>
    <t>BUNGA ,</t>
  </si>
  <si>
    <t>PAJAK BUNGA ,</t>
  </si>
  <si>
    <t>Overtime Jan      ADUN SOPANDI,</t>
  </si>
  <si>
    <t>Overtime Jan      MUHAMMAD UJER AWAL,</t>
  </si>
  <si>
    <t>Overtime Jan      SUKANDA,</t>
  </si>
  <si>
    <t>Overtime Jan      SUPRIYADI,</t>
  </si>
  <si>
    <t>AR StaffLoan FridaDAVID HARSAMTO,</t>
  </si>
  <si>
    <t>Perum Jasa Tirta II</t>
  </si>
  <si>
    <t>Pertamina (Persero), PT</t>
  </si>
  <si>
    <t>Perum Percetakan Uang RI</t>
  </si>
  <si>
    <t>Pupuk Indonesia (Persero), PT</t>
  </si>
  <si>
    <t>Hutama Karya (Persero), PT</t>
  </si>
  <si>
    <t>Telkom Indonesia (Persero) Tbk, PT</t>
  </si>
  <si>
    <t>Perusahaan Listrik Negara (Persero), PT</t>
  </si>
  <si>
    <t>Bukit Asam Tbk, PT</t>
  </si>
  <si>
    <t>Danareksa (Persero), PT</t>
  </si>
  <si>
    <t>Freeport Indonesia, PT</t>
  </si>
  <si>
    <t>Perum Lembaga Penyelenggara Pelayanan Navigasi Penerbangan Indonesia</t>
  </si>
  <si>
    <t>ASDP Indonesia (Persero), PT</t>
  </si>
  <si>
    <t>Perum Perhutani</t>
  </si>
  <si>
    <t>BCA Juanda to BCA Sahardjo</t>
  </si>
  <si>
    <t>BCA Sahardjo to BCA Juanda</t>
  </si>
  <si>
    <t>AR StaffLoan PrajaDAVID HARSAMTO,</t>
  </si>
  <si>
    <t>Telekomunikasi Selular (Telkomsel), PT</t>
  </si>
  <si>
    <t>Trimegah Assets Management, PT</t>
  </si>
  <si>
    <t>Bank Negara Indonesia (Persero) Tbk, PT</t>
  </si>
  <si>
    <t>Trimegah Sekuritas Indonesia Tbk, PT</t>
  </si>
  <si>
    <t>Telkomsel Meeting Koordinasi GA Semester 1 2024</t>
  </si>
  <si>
    <t>Bank Tabungan Negara (Persero) Tbk, PT</t>
  </si>
  <si>
    <t>No</t>
  </si>
  <si>
    <t>Invoice No</t>
  </si>
  <si>
    <t>Bahana Pembinaan Usaha Indonesia (Persero), PT</t>
  </si>
  <si>
    <t>Pegadaian, PT</t>
  </si>
  <si>
    <t>Semen Indonesia (Persero) Tbk, PT</t>
  </si>
  <si>
    <t>Mineral Industri Indonesia ( Persero), PT</t>
  </si>
  <si>
    <t>Indonesia Asahan Alumunium, PT</t>
  </si>
  <si>
    <t>Taspen (Persero), PT</t>
  </si>
  <si>
    <t>Pelayaran Nasional Indonesia (Persero), PT</t>
  </si>
  <si>
    <t>Professional Telekomunikasi Indonesia, PT</t>
  </si>
  <si>
    <t>Centratama Group</t>
  </si>
  <si>
    <t>Infrastruktur Telekomunikasi Indonesia, PT</t>
  </si>
  <si>
    <t>Research,Training and Product Development</t>
  </si>
  <si>
    <t>Telkomsel Mentawai Merdeka Sinyal</t>
  </si>
  <si>
    <t>Telkomsel Signing PKS NGPP Vol.3 Sumatera</t>
  </si>
  <si>
    <t>Telkomsel JPP 2025 Sumatera Heart</t>
  </si>
  <si>
    <t>Telkomsel Safari Ramadhan Sumbagteng</t>
  </si>
  <si>
    <t>FIT Air Ticket And Others</t>
  </si>
  <si>
    <t>Telkomsel Pembahasan Vandalisme Area Sumatera Bulan Juli 2024</t>
  </si>
  <si>
    <t xml:space="preserve">PLN Indonesia Power Inpower Festival </t>
  </si>
  <si>
    <t>AR Deposit to vendor</t>
  </si>
  <si>
    <t>Atno</t>
  </si>
  <si>
    <t>Ujer</t>
  </si>
  <si>
    <t>BRI Tebet</t>
  </si>
  <si>
    <t>BRI Sahardjo</t>
  </si>
  <si>
    <t>BCA Juanda</t>
  </si>
  <si>
    <t>BCA Sahardjo</t>
  </si>
  <si>
    <t>BCA Sahardjo to BTN</t>
  </si>
  <si>
    <t>BCA Sahardjo to Non Cash Bank</t>
  </si>
  <si>
    <t>BTN to BCA Sahardjo</t>
  </si>
  <si>
    <t>BRI Tebet to BCA Sahardjo</t>
  </si>
  <si>
    <t>Cash IDR to BCA Sahardjo</t>
  </si>
  <si>
    <t>Non Cash Bank to BCA Sahardjo</t>
  </si>
  <si>
    <t>Dayamitra Telekomunikasi, PT</t>
  </si>
  <si>
    <t>Telkomsel Leadership Area Sumatera</t>
  </si>
  <si>
    <t>Saldo Akhir Tahun 2024</t>
  </si>
  <si>
    <t>FRIDA ACHMADI,</t>
  </si>
  <si>
    <t>Retur 10-Jan      Salah transfer    FRIDA ACHMADI,</t>
  </si>
  <si>
    <t>Overtime Desember ADUN SOPANDI,</t>
  </si>
  <si>
    <t>Overtime Desember MUHAMMAD UJER AWAL,</t>
  </si>
  <si>
    <t>Overtime Desember SUKANDA,</t>
  </si>
  <si>
    <t>KBUMN Natal 25    SPJ 18-20 Jan     JANUAR CAHYO SURYA,</t>
  </si>
  <si>
    <t>KBUMN Natal 25    SPJ 18-20 Jan     DEDI PURWANTO SE,</t>
  </si>
  <si>
    <t>KBUMN Natal 25    SPJ 18-20Jan      MUHAMMAD FADLI AKB,</t>
  </si>
  <si>
    <t>KBUMN Natal 25    SPJ 18-20Jan      ANALITA YULISTYA C,</t>
  </si>
  <si>
    <t>KBUMN Natal 25    SPJ 18-20 Jan     CLARA LIA RESTU SA,</t>
  </si>
  <si>
    <t>KBUMN Natal 25    SPJ 18-20 Jan     ALEXADRUS NULIADY,</t>
  </si>
  <si>
    <t>KBUMN Natal 25    SPJ 19-20 Jan     YOGI PURWO WIDODO,</t>
  </si>
  <si>
    <t>KBUMN Natal 25    SPJ 19-20 Jan     SUTARNO,</t>
  </si>
  <si>
    <t>KBUMN Natal 25    SPJ 18-20Jan      PRAJA SAPUTRA S,</t>
  </si>
  <si>
    <t>KBUMN Natal 25    SPJ 18-20Jan      HERI HERMAWAN,</t>
  </si>
  <si>
    <t>KBUMN Natal 25    SPJ 18-21 Jan     ADUN SOPANDI,</t>
  </si>
  <si>
    <t>KBUMN Natal 25    SPJ 18-20 Jan     SUPRIYADI,</t>
  </si>
  <si>
    <t>KBUMN Natal 25    SPJ 19-20 Jan     FRIDA ACHMADI,</t>
  </si>
  <si>
    <t>KBUMN Natal 25    SPJ 19-20 Jan     MUHAMMAD UJER AWAL,</t>
  </si>
  <si>
    <t>KBUMN Natal 25    SPJ 19-20Jan      ALIF FAREZA,</t>
  </si>
  <si>
    <t>KBUMN Natal 25    SPJ 18-20Jan      MARIA PATRICIA SUG,</t>
  </si>
  <si>
    <t>BTN Mini Olympic  SPJ 17Jan         MARIA PATRICIA SUG,</t>
  </si>
  <si>
    <t>BTN Mini Olympic  SPJ 17-Jan        MUHAMMAD FADLI AKB,</t>
  </si>
  <si>
    <t>BTN Mini Olympic  SPJ 17Jan         JANUAR CAHYO SURYA,</t>
  </si>
  <si>
    <t>KBUMN Natal 25    SPJ 18-19 20 Jan SUKANDA,</t>
  </si>
  <si>
    <t>BTN Mini Olympic  SPJ 16Jan         ADUN SOPANDI,</t>
  </si>
  <si>
    <t>BTN Mini Olympic  SPJ 16-17 Jan     SUPRIYADI,</t>
  </si>
  <si>
    <t>AR Staff Loan UjerDAVID HARSAMTO,</t>
  </si>
  <si>
    <t>AR Staff Loan Sukanda               DAVID HARSAMTO,</t>
  </si>
  <si>
    <t>KBUMN Natal 25    SPJ 18-20 Jan     M RIZKY AULIA,</t>
  </si>
  <si>
    <t>BTN Mini Olympic  SPJ 1D 17Jan      M RIZKY AULIA,</t>
  </si>
  <si>
    <t>BTN Mini Olympic 2025</t>
  </si>
  <si>
    <t>Salary PCMI Jan   Second Batch      DAVID HARSAMTO,</t>
  </si>
  <si>
    <t>TSel 1on1 MtgSumHQSPJ 2D + 2 Meals  CLARA LIA RESTU SA,</t>
  </si>
  <si>
    <t>Appreciation      JANUAR CAHYO SURYA,</t>
  </si>
  <si>
    <t>BTN Dekor HUT-75  SPJ 2D            JANUAR CAHYO SURYA,</t>
  </si>
  <si>
    <t>BTN Excellent Awd SPJ 2D 18-19Feb   ADUN SOPANDI,</t>
  </si>
  <si>
    <t>BTN Excellent Awd SPJ 2D 18-19Feb   SUPRIYADI,</t>
  </si>
  <si>
    <t>Salary PCMI Feb   DAVID HARSAMTO,</t>
  </si>
  <si>
    <t>AR StafLoan Odhey DAVID HARSAMTO,</t>
  </si>
  <si>
    <t>AR StaffLoan FriedDAVID HARSAMTO,</t>
  </si>
  <si>
    <t>AR StafLoan Ujer  DAVID HARSAMTO,</t>
  </si>
  <si>
    <t>AR StafLoan Praja DAVID HARSAMTO,</t>
  </si>
  <si>
    <t>10D Unpaid Leave  Jan-25            DAVID HARSAMTO,</t>
  </si>
  <si>
    <t>AR StafLoanSukandaDAVID HARSAMTO,</t>
  </si>
  <si>
    <t>Salary PCMI Feb   Kekurangan Jan+FebDAVID HARSAMTO,</t>
  </si>
  <si>
    <t>Inter Accounts</t>
  </si>
  <si>
    <t>AR Staff Loan Odhey  DAVID HARSAMTO,</t>
  </si>
  <si>
    <t>Trimegah TC LombokSPJ 4D + Meals    MARIA PATRICIA SUG,</t>
  </si>
  <si>
    <t>Shell Network PersSPJ 20Feb         M RIZKY AULIA,</t>
  </si>
  <si>
    <t>BTN Excellent And SPJ 19Feb         M RIZKY AULIA,</t>
  </si>
  <si>
    <t>TSel ANO Lampung  SPJ 4D + meals    YOGI PURWO WIDODO,</t>
  </si>
  <si>
    <t>Shell Network PersSPJ 1D + Meals    YOGI PURWO WIDODO,</t>
  </si>
  <si>
    <t>TSel ANO Lampung  SPJ 4D + meals    ANALITA YULISTYA C,</t>
  </si>
  <si>
    <t>Shell Network PersSPJ 3D + Meals    ANALITA YULISTYA C,</t>
  </si>
  <si>
    <t>Shell Network PersSPJ 2D            DEDI PURWANTO SE,</t>
  </si>
  <si>
    <t>Shell Network PersSPJ 20Feb         SUPRIYADI,</t>
  </si>
  <si>
    <t>Shell Network PersSPJ 19-20 Feb     MUHAMMAD UJER AWAL,</t>
  </si>
  <si>
    <t>Dokter+Obat Mata  YULI NURFIVA YAHYA,</t>
  </si>
  <si>
    <t>Shell Network PersSPJ 20Feb         MARIA PATRICIA SUG,</t>
  </si>
  <si>
    <t>BTN Excellent And SPJ 19Feb         MARIA PATRICIA SUG,</t>
  </si>
  <si>
    <t>TSel ANO Lampung  Survey Rafid+GaluhGALUH DUHITA HAYUN,</t>
  </si>
  <si>
    <t>Overtime Feb      SUPRIYADI,</t>
  </si>
  <si>
    <t>TSel ANO Lampung  ShowD SPJ3D+MealsM RIZKY AULIA,</t>
  </si>
  <si>
    <t>Trimegah TC LombokSPJ 4D + Meals    ALEXADRUS NULIADY,</t>
  </si>
  <si>
    <t>TSel ANO Lampung  MMOps+SPJ4D+Meals ALEXADRUS NULIADY,</t>
  </si>
  <si>
    <t>TSel ANO Lampung  SPJ ApoAsst+Meals PRAJA SAPUTRA S,</t>
  </si>
  <si>
    <t>SHL 29-Des-24     PAN CONVINCE MITRA,</t>
  </si>
  <si>
    <t>SHL 30-Des        PAN CONVINCE MITRA,</t>
  </si>
  <si>
    <t>THR PCMI 2025     DAVID HARSAMTO,</t>
  </si>
  <si>
    <t>Overtime          SUKANDA,</t>
  </si>
  <si>
    <t>Overtime          ADUN SOPANDI,</t>
  </si>
  <si>
    <t>Overtime Feb      MUHAMMAD UJER AWAL,</t>
  </si>
  <si>
    <t>Pelunasan AR StaffLoan              DAVID HARSAMTO,</t>
  </si>
  <si>
    <t>AR StaffLoan OdheyDAVID HARSAMTO,</t>
  </si>
  <si>
    <t>AR StaffLoanFriedaDAVID HARSAMTO,</t>
  </si>
  <si>
    <t>AR StaffLoanFriedaBRI CorpCard      DAVID HARSAMTO,</t>
  </si>
  <si>
    <t>AR StafLoan FriedaBRI CorpCard      DAVID HARSAMTO,</t>
  </si>
  <si>
    <t>AR StaffLoan Ujer DAVID HARSAMTO,</t>
  </si>
  <si>
    <t>AR StaffLoan KandaDAVID HARSAMTO,</t>
  </si>
  <si>
    <t>AR StaffLoan Yogi Pelunasan 2023    DAVID HARSAMTO,</t>
  </si>
  <si>
    <t>THR PCMI 2025     Kekurangan        DAVID HARSAMTO,</t>
  </si>
  <si>
    <t>Pmbyrn CC BRI FA 27 29Jan 2Feb      FRIDA ACHMADI,</t>
  </si>
  <si>
    <t>Pulsa HP Jan-Mar  FRIDA ACHMADI,</t>
  </si>
  <si>
    <t>Salary PCMI Mar   DAVID HARSAMTO,</t>
  </si>
  <si>
    <t>Kurang Gaji Jan   DAVID HARSAMTO,</t>
  </si>
  <si>
    <t>AR StafLoan FriedaDAVID HARSAMTO,</t>
  </si>
  <si>
    <t>Pot UnpaidLeave   Yulie             DAVID HARSAMTO,</t>
  </si>
  <si>
    <t>AR StaffLoan Atno DAVID HARSAMTO,</t>
  </si>
  <si>
    <t>Overtime Maret    SUKANDA,</t>
  </si>
  <si>
    <t>Overtime Maret    ADUN SOPANDI,</t>
  </si>
  <si>
    <t>Overtime Maret    SUPRIYADI,</t>
  </si>
  <si>
    <t>Overtime Maret    MUHAMMAD UJER AWAL,</t>
  </si>
  <si>
    <t>Trimegah TC LombokSPJ Survey 2D     ALEXADRUS NULIADY,</t>
  </si>
  <si>
    <t>Bonus PCMI 2024   DAVID HARSAMTO,</t>
  </si>
  <si>
    <t>Retur Bonus PCMI  15-Apr-25         DAVID HARSAMTO,</t>
  </si>
  <si>
    <t>BRI Ceremony SAR  SPJ 1D 13Apr      ADUN SOPANDI,</t>
  </si>
  <si>
    <t>Shell VisitFac BKKBeli Baht         TOM VALASINDO PT,</t>
  </si>
  <si>
    <t>BRI Ceremony SAR  SPJ 14Apr         MUHAMMAD FADLI AKB,</t>
  </si>
  <si>
    <t>Trimegah TC LombokSPJ Survey ke-2   MARIA PATRICIA SUG,</t>
  </si>
  <si>
    <t>Salary PCMI Apr   DAVID HARSAMTO,</t>
  </si>
  <si>
    <t>AR StafLoan Atno  DAVID HARSAMTO,</t>
  </si>
  <si>
    <t>PAN CONVINCE MITRA,</t>
  </si>
  <si>
    <t>Sheel VisitFac BKKSPJ 25Apr         SUPRIYADI,</t>
  </si>
  <si>
    <t>Shell VisitFac BKKSPJ Apo Hand 28AprPRAJA SAPUTRA S,</t>
  </si>
  <si>
    <t>BRI HBH Developer SPJ 1D 23Apr      MUHAMMAD FADLI AKB,</t>
  </si>
  <si>
    <t>BRI HBH Developer SPJ 23Apr         MARIA PATRICIA SUG,</t>
  </si>
  <si>
    <t>BRI Ceremony SAR  SPJ 14Apr         MUHAMMAD UJER AWAL,</t>
  </si>
  <si>
    <t>BRI Ceremony SAR  SPJ 14Apr         FRIDA ACHMADI,</t>
  </si>
  <si>
    <t>BRI Ceremony SAR  SPJ 14Apr         SUPRIYADI,</t>
  </si>
  <si>
    <t>BRI Ceremony SAR  SPJ 14Apr         M RIZKY AULIA,</t>
  </si>
  <si>
    <t>BRI Ceremony SAR  SPJ 14Apr         MARIA PATRICIA SUG,</t>
  </si>
  <si>
    <t>Other Income/Expense</t>
  </si>
  <si>
    <t xml:space="preserve"> Financial Expense </t>
  </si>
  <si>
    <t>Retained Earnings</t>
  </si>
  <si>
    <t>BRI HBH Developer SPJ 23Apr         MUHAMMAD UJER AWAL,</t>
  </si>
  <si>
    <t>BRI HBH Developer SPJ 23Apr         FRIDA ACHMADI,</t>
  </si>
  <si>
    <t>BRI HBH Developer SPJ 23-24Apr      DEDI PURWANTO SE,</t>
  </si>
  <si>
    <t>BRI HBH Developer SPJ 23Apr         SUPRIYADI,</t>
  </si>
  <si>
    <t>BRI Ceremony SAR  SPJ1D+Multimedia  ALEXADRUS NULIADY,</t>
  </si>
  <si>
    <t>AR StafLoan Lena  MARLENA NURHASANAH,</t>
  </si>
  <si>
    <t>Overtime April    ADUN SOPANDI,</t>
  </si>
  <si>
    <t>Overtime April    SUPRIYADI,</t>
  </si>
  <si>
    <t>Overtime April    SUKANDA,</t>
  </si>
  <si>
    <t>Overtime April    MUHAMMAD UJER AWAL,</t>
  </si>
  <si>
    <t>BI-FAST CR TRANSFER   DR 200 PAN CONVINCE MITRA,</t>
  </si>
  <si>
    <t>Retained Earning</t>
  </si>
  <si>
    <t>SETORAN TRSF DR 1062255336 Dana PCMI : Retur dana dari bu Frieda atas case "BRI Sponsorship", kronologi ada di email dari pak david tgl 05 Dec 2024</t>
  </si>
  <si>
    <t>PRLGNC2-4192  CONVEX  DWIDAYA NUSANTARA : INV 218/PCMI/AR/X/2024</t>
  </si>
  <si>
    <t>BI-FAST CR TRANSFER   DR 008 REZKY ELMAN PUTRA : INV 244/PCMI/AR/XII/2024</t>
  </si>
  <si>
    <t>BI-FAST CR TRANSFER   DR 008 REZKY ELMAN PUTRA : INV 245/PCMI/AR/XII/2024</t>
  </si>
  <si>
    <t>DEDI TRI HARTANTO : INV 050/PCMI/AR/II/2025</t>
  </si>
  <si>
    <t>BI-FAST CR TRANSFER   DR 008 FEBRIYANTI NASUTIO : INV 047/PCMI/AR/II/2025</t>
  </si>
  <si>
    <t>LLG-MAYBANK INDONEALIA VICTORIA LAUWCENAIDJAXXX : INV 226/PCMI/AR/XI/2024</t>
  </si>
  <si>
    <t>CR 1303/FTSCY/WS95011 ALFIA SASMITA : dana dari telkomsel untuk event Telkomsel Pengadaan Sales Fee Indiehome 2022, akan dibuatkan invoice menunggu PIC create BOQ</t>
  </si>
  <si>
    <t>BI-FAST CR TRANSFER   DR 451 AULIAAYUASYURA : dana dari telkomsel untuk event Telkomsel Delight &amp; Excellent Execution 2025, akan dibuatkan invoice menunggu PIC create BOQ</t>
  </si>
  <si>
    <t xml:space="preserve">Pengembalian lebih @AFR  Maya Roswita : INV 280/PCMI/AR/XII/2024 </t>
  </si>
  <si>
    <t>CR TRANSFER   DR 022 MAULYDIA TRIVANIA : dana dari telkomsel untuk event Telkomsel Leadership Area Sumatera, akan dibuatkan invoice menunggu PIC create BOQ</t>
  </si>
  <si>
    <t>pngemblian sisa meals allwc ICME    CLARA LIA RESTU SA : Pengembalian Sisah meal allowance event ICME, terrecord di Laporan Petty Cash tgl 21 Maret 2025</t>
  </si>
  <si>
    <t>LINKAJA202503211605120001FINTEK KARYA NUSAN : INV 284-070/PCMI/AR/III/2025</t>
  </si>
  <si>
    <t>CR TRANSFER   DR 009 HADI PRASTYA UTAMA : dana dari telkomsel untuk event Telkomsel Mentawai Merdeka Sinyal, akan dibuatkan invoice menunggu PIC create BOQ</t>
  </si>
  <si>
    <t>CR TRANSFER   DR 009 ANITA HERMAWATI : INV 279-73/PCMI/AR/III/2025</t>
  </si>
  <si>
    <t>CR TRANSFER   DR 009 ANITA HERMAWATI : INV 235-72/PCMI/AR/III/2025</t>
  </si>
  <si>
    <t>DWIDAYA           DWIDAYA WORLDWIDE : INV 054/PCMI/AR/II/2025</t>
  </si>
  <si>
    <t>BI-FAST CR TRANSFER   DR 002 TAUFIK RAHMAN : INV 051/PCMI/AR/II/2025</t>
  </si>
  <si>
    <t>TARIKAN PEMINDAHAN TRSF KE 5750270737,</t>
  </si>
  <si>
    <t>BI-FAST CR TRANSFER   DR 008 PAN CONVINCE MITRA,</t>
  </si>
  <si>
    <t>Trimegah TC LombokSPJ 23May         CLARA LIA RESTU SA,</t>
  </si>
  <si>
    <t>Trimegah TC LombokSPJ 23May         ALIF FAREZA,</t>
  </si>
  <si>
    <t>Tsel SalesTownHallSPJ 25May         ADUN SOPANDI,</t>
  </si>
  <si>
    <t>Lunch KyochonKokasAH-FA-MPS 19May   RD HIDIANITJE DRA,</t>
  </si>
  <si>
    <t>Trimegah TC LombokSPY 23May         SUPRIYADI,</t>
  </si>
  <si>
    <t>Trimegah TC LombokApo Handling 23MayPRAJA SAPUTRA S,</t>
  </si>
  <si>
    <t>Salary PCMI May   DAVID HARSAMTO,</t>
  </si>
  <si>
    <t>BI-FAST DB BIAYA TXN  KE 008 GNC               KBI,</t>
  </si>
  <si>
    <t>Equity</t>
  </si>
  <si>
    <t>KBUMN Natal 2024</t>
  </si>
  <si>
    <t>BTN Excellence Award 2025</t>
  </si>
  <si>
    <t>Shell Network Persada</t>
  </si>
  <si>
    <t>Trimegah Training Camp Lombok</t>
  </si>
  <si>
    <t>Telkomsel IPTV Product Sales Incentives Q3 2024</t>
  </si>
  <si>
    <t>Ayat Silang</t>
  </si>
  <si>
    <t>BTN Booth Hut 75</t>
  </si>
  <si>
    <t>Telkomsel Duta Budget 2025</t>
  </si>
  <si>
    <t>Telkomsel ANO Forum 2024 (Lampung)</t>
  </si>
  <si>
    <t>Shell Visit Factory Bangkok 2025</t>
  </si>
  <si>
    <t>Telkomsel Implentasi New Ways of Working</t>
  </si>
  <si>
    <t>001/PCMI/AR/I/2025</t>
  </si>
  <si>
    <t>002/PCMI/AR/I/2025</t>
  </si>
  <si>
    <t>003/PCMI/AR/I/2025</t>
  </si>
  <si>
    <t>004/PCMI/AR/I/2025</t>
  </si>
  <si>
    <t>005/PCMI/AR/I/2025</t>
  </si>
  <si>
    <t>006/PCMI/AR/I/2025</t>
  </si>
  <si>
    <t>007/PCMI/AR/II/2025</t>
  </si>
  <si>
    <t>008/PCMI/AR/II/2025</t>
  </si>
  <si>
    <t>009/PCMI/AR/II/2025</t>
  </si>
  <si>
    <t>010/PCMI/AR/II/2025</t>
  </si>
  <si>
    <t>011/PCMI/AR/II/2025</t>
  </si>
  <si>
    <t>012/PCMI/AR/II/2025</t>
  </si>
  <si>
    <t>013/PCMI/AR/II/2025</t>
  </si>
  <si>
    <t>014/PCMI/AR/II/2025</t>
  </si>
  <si>
    <t>015/PCMI/AR/II/2025</t>
  </si>
  <si>
    <t>016/PCMI/AR/II/2025</t>
  </si>
  <si>
    <t>017/PCMI/AR/II/2025</t>
  </si>
  <si>
    <t>018/PCMI/AR/II/2025</t>
  </si>
  <si>
    <t>019/PCMI/AR/II/2025</t>
  </si>
  <si>
    <t>020/PCMI/AR/II/2025</t>
  </si>
  <si>
    <t>021/PCMI/AR/II/2025</t>
  </si>
  <si>
    <t>022/PCMI/AR/II/2025</t>
  </si>
  <si>
    <t>023/PCMI/AR/II/2025</t>
  </si>
  <si>
    <t>024/PCMI/AR/II/2025</t>
  </si>
  <si>
    <t>025/PCMI/AR/II/2025</t>
  </si>
  <si>
    <t>026/PCMI/AR/II/2025</t>
  </si>
  <si>
    <t>027/PCMI/AR/II/2025</t>
  </si>
  <si>
    <t>028/PCMI/AR/II/2025</t>
  </si>
  <si>
    <t>029/PCMI/AR/II/2025</t>
  </si>
  <si>
    <t>030/PCMI/AR/II/2025</t>
  </si>
  <si>
    <t>032/PCMI/AR/II/2025</t>
  </si>
  <si>
    <t>033/PCMI/AR/II/2025</t>
  </si>
  <si>
    <t>034/PCMI/AR/II/2025</t>
  </si>
  <si>
    <t>035/PCMI/AR/II/2025</t>
  </si>
  <si>
    <t>036/PCMI/AR/II/2025</t>
  </si>
  <si>
    <t>037/PCMI/AR/II/2025</t>
  </si>
  <si>
    <t>038/PCMI/AR/II/2025</t>
  </si>
  <si>
    <t>039/PCMI/AR/II/2025</t>
  </si>
  <si>
    <t>040/PCMI/AR/II/2025</t>
  </si>
  <si>
    <t>041/PCMI/AR/II/2025</t>
  </si>
  <si>
    <t>042/PCMI/AR/II/2025</t>
  </si>
  <si>
    <t>043/PCMI/AR/II/2025</t>
  </si>
  <si>
    <t>044/PCMI/AR/II/2025</t>
  </si>
  <si>
    <t>045/PCMI/AR/II/2025</t>
  </si>
  <si>
    <t>046/PCMI/AR/II/2025</t>
  </si>
  <si>
    <t>047/PCMI/AR/II/2025</t>
  </si>
  <si>
    <t>048/PCMI/AR/II/2025</t>
  </si>
  <si>
    <t>049/PCMI/AR/II/2025</t>
  </si>
  <si>
    <t>050/PCMI/AR/II/2025</t>
  </si>
  <si>
    <t>051/PCMI/AR/II/2025</t>
  </si>
  <si>
    <t>052/PCMI/AR/II/2025</t>
  </si>
  <si>
    <t>053/PCMI/AR/II/2025</t>
  </si>
  <si>
    <t>054/PCMI/AR/II/2025</t>
  </si>
  <si>
    <t>055/PCMI/AR/II/2025</t>
  </si>
  <si>
    <t>056/PCMI/AR/III/2025</t>
  </si>
  <si>
    <t>057/PCMI/AR/III/2025</t>
  </si>
  <si>
    <t>058/PCMI/AR/III/2025</t>
  </si>
  <si>
    <t>060/PCMI/AR/III/2025</t>
  </si>
  <si>
    <t>061/PCMI/AR/III/2025</t>
  </si>
  <si>
    <t>062/PCMI/AR/III/2025</t>
  </si>
  <si>
    <t>063/PCMI/AR/III/2025</t>
  </si>
  <si>
    <t>064/PCMI/AR/III/2025</t>
  </si>
  <si>
    <t>065/PCMI/AR/III/2025</t>
  </si>
  <si>
    <t>066/PCMI/AR/III/2025</t>
  </si>
  <si>
    <t>067/PCMI/AR/III/2025</t>
  </si>
  <si>
    <t>068/PCMI/AR/III/2025</t>
  </si>
  <si>
    <t>069/PCMI/AR/III/2025</t>
  </si>
  <si>
    <t>070/PCMI/AR/III/2025</t>
  </si>
  <si>
    <t>071/PCMI/AR/III/2025</t>
  </si>
  <si>
    <t>072/PCMI/AR/III/2025</t>
  </si>
  <si>
    <t>073/PCMI/AR/III/2025</t>
  </si>
  <si>
    <t>074/PCMI/AR/III/2025</t>
  </si>
  <si>
    <t>075/PCMI/AR/IV/2025</t>
  </si>
  <si>
    <t>076/PCMI/AR/IV/2025</t>
  </si>
  <si>
    <t>077/PCMI/AR/IV/2025</t>
  </si>
  <si>
    <t>078/PCMI/AR/IV/2025</t>
  </si>
  <si>
    <t>079/PCMI/AR/IV/2025</t>
  </si>
  <si>
    <t>080/PCMI/AR/IV/2025</t>
  </si>
  <si>
    <t>082/PCMI/AR/IV/2025</t>
  </si>
  <si>
    <t>084/PCMI/AR/IV/2025</t>
  </si>
  <si>
    <t>085/PCMI/AR/IV/2025</t>
  </si>
  <si>
    <t>086/PCMI/AR/V/2025</t>
  </si>
  <si>
    <t>087/PCMI/AR/IV/2025</t>
  </si>
  <si>
    <t>088/PCMI/AR/V/2025</t>
  </si>
  <si>
    <t>089/PCMI/AR/V/2025</t>
  </si>
  <si>
    <t>090/PCMI/AR/V/2025</t>
  </si>
  <si>
    <t>091/PCMI/AR/V/2025</t>
  </si>
  <si>
    <t>092/PCMI/AR/V/2025</t>
  </si>
  <si>
    <t>093/PCMI/AR/V/2025</t>
  </si>
  <si>
    <t>094/PCMI/AR/V/2025</t>
  </si>
  <si>
    <t>095/PCMI/AR/V/2025</t>
  </si>
  <si>
    <t>096/PCMI/AR/V/2025</t>
  </si>
  <si>
    <t>097/PCMI/AR/V/2025</t>
  </si>
  <si>
    <t>098/PCMI/AR/V/2025</t>
  </si>
  <si>
    <t>099/PCMI/AR/V/2025</t>
  </si>
  <si>
    <t>100/PCMI/AR/V/2025</t>
  </si>
  <si>
    <t>101/PCMI/AR/V/2025</t>
  </si>
  <si>
    <t>102/PCMI/AR/V/2025</t>
  </si>
  <si>
    <t>103/PCMI/AR/V/2025</t>
  </si>
  <si>
    <t>104/PCMI/AR/V/2025</t>
  </si>
  <si>
    <t>Pembayaran Kegiatan Ibadah dan Perayaan Natal Kementerian BUMN dan BUMN 2024</t>
  </si>
  <si>
    <t>Pembayaran Booth UMKM event Natal Bersama KBUMN dan BUMN 2024</t>
  </si>
  <si>
    <t>Asuransi Jiwa IFG (IFG Life), PT</t>
  </si>
  <si>
    <t>Aneka Tambang Tbk, PT</t>
  </si>
  <si>
    <t>Perum Pembangunan Perumahan Nasional</t>
  </si>
  <si>
    <t>Timah Tbk, PT</t>
  </si>
  <si>
    <t>Asuransi Kerugian Jasa Raharja, PT</t>
  </si>
  <si>
    <t>Jaminan Kredit Indonesia, PT</t>
  </si>
  <si>
    <t>Asuransi Kredit Indonesia, PT</t>
  </si>
  <si>
    <t>Asuransi Jasa Indonesia, PT</t>
  </si>
  <si>
    <t>Jasa Marga (Persero) Tbk, PT</t>
  </si>
  <si>
    <t>Vale Indonesia Tbk, PT</t>
  </si>
  <si>
    <t>Paket Meeting Network Operations Area Sumatera Forum 2025</t>
  </si>
  <si>
    <t>Sumber Baru Ban, PT</t>
  </si>
  <si>
    <t>Pembelian Tiket SOC-CGK-SOC 19-21Feb 2025 Batik Air Economy Class</t>
  </si>
  <si>
    <t>Prestasi Pelumasindo Unggul, PT</t>
  </si>
  <si>
    <t>Pembelian Tiket BDJ-CGK-BDJ 19-21Feb 2025 Super Jet Airlines Economy Class</t>
  </si>
  <si>
    <t>Shell Indonesia, PT</t>
  </si>
  <si>
    <t>Network Persada 2025</t>
  </si>
  <si>
    <t>BTN Dekorasi HUT 75</t>
  </si>
  <si>
    <t>Pemasangan dan Produksi Dekorasi HUT BTN ke 75 tahun</t>
  </si>
  <si>
    <t>Dwidaya Nusantara Convex PT</t>
  </si>
  <si>
    <t>ANO Sumatera Forum 2025</t>
  </si>
  <si>
    <t>Hariff Daya Tunggal Engineering PT</t>
  </si>
  <si>
    <t>Program Area Network Operations Sumatera Forum 2025</t>
  </si>
  <si>
    <t>Event organizer pengadaan booth activation BTN di Grand Launching BTN Super App (Bale by BTN)</t>
  </si>
  <si>
    <t>Shell Network Persada 2025 RTM</t>
  </si>
  <si>
    <t>Aulia Ayu Asyura</t>
  </si>
  <si>
    <t>Tiket Pelita Air CGK - KNO 17 Maret 2025 inc Resv Seats 3D</t>
  </si>
  <si>
    <t>Telkomsel Polaris Palembang</t>
  </si>
  <si>
    <t>Pengadaan untuk Design Thinking Polaris Sumatera</t>
  </si>
  <si>
    <t>Area Network Operation Forum Sumatera 2025 Golden Tulip Spring Hill Lampung, 24 - 25 Februari 2025</t>
  </si>
  <si>
    <t>Pengadaan Workshop Duta Budget 2025</t>
  </si>
  <si>
    <t>Abhimata Citra Abadi PT</t>
  </si>
  <si>
    <t>Full day package meeting Telkomsel ANO Forum 2025, 24-25 Feb 2025 (1 package) &amp; add Dinner 3 Paxs 2 times</t>
  </si>
  <si>
    <t>BRI Ceremony Penyerahan BN Sar Lv Haji Thn 2025</t>
  </si>
  <si>
    <t>Pembayaran untuk Kegiatan Ceremony Penyerahan Banknotes SAR Living Cost Haji Tahun 2025</t>
  </si>
  <si>
    <t>Ticket Jakarta Lombok Jakarta by Garuda Indonesia dan Batik Air Training Camp Trimegah 2025</t>
  </si>
  <si>
    <t>Ticket Tambahan Jakarta Lombok Jakarta MC dan CSR Training Camp Trimegah 2025</t>
  </si>
  <si>
    <t>Pengadaan Support Operation &amp; Maintenance</t>
  </si>
  <si>
    <t>Pengadaan Support Colocation Dept.</t>
  </si>
  <si>
    <t>Pengadaan Support Costumer Relation Property</t>
  </si>
  <si>
    <t>Land Arrangement 70% Trimegah Training Camp 2025</t>
  </si>
  <si>
    <t>Full day package meeting Telkomsel ANO Forum 2025, 24-26 Feb 2025</t>
  </si>
  <si>
    <t>Ticket Jakarta Lombok Jakarta untuk Suara Kayu - Band Training Camp Trimegah 2025</t>
  </si>
  <si>
    <t>BRI Halal Bihalal Bersama Developer</t>
  </si>
  <si>
    <t>Pembayaran Event Halal BRI Bersama Developer</t>
  </si>
  <si>
    <t>Pembayaran Jasa Pendukung Acara Halal BRI bersama Developer</t>
  </si>
  <si>
    <t>Pelunasan Land Arrangement 30% Trimegah Training Camp 2025</t>
  </si>
  <si>
    <t>Pembayaran event BTN Excellence Award 2025</t>
  </si>
  <si>
    <t>Pembayaran Layanan Live Sreaming event BTN Excellence Award 2025</t>
  </si>
  <si>
    <t>Telkomsel PCM Academy &amp; Meeting Pengamanan Target Q1 2025 Area</t>
  </si>
  <si>
    <t>Pengadaan Sosialisasi PCM Academy &amp; Meeting Pengamanan Target Q1 2025 Region Sumbagsel</t>
  </si>
  <si>
    <t>Pengadaan Sosialisasi PCM Academy &amp; Meeting Pengamanan Target Q1 2025 Sumbagut dan Sumbagteng</t>
  </si>
  <si>
    <t>Pengadaan Sosialisasi PCM Academy &amp; Meeting Target Q1 2025 Area</t>
  </si>
  <si>
    <t>Lunch at Royal Avilla "Olive" for 78 person @Rp 1.025.750 - 25 May // Trimegah Training Camp 2025</t>
  </si>
  <si>
    <t>Lunch at BASK for 80 person @Rp 880.000 - 24 May // Trimegah Training Camp 2025</t>
  </si>
  <si>
    <t>Additional Cost - Suara Kayu // Trimegah Training Camp 2025</t>
  </si>
  <si>
    <t>Trimegah Prestige Bajo</t>
  </si>
  <si>
    <t>Hotel Photographer 4 Rooms 2 Nights Trimegah Prestige Clients Appreciation Trip 2025 - Labuan Bajo</t>
  </si>
  <si>
    <t>Tiket Photographer 8 pax @ Rp. 1.438.100 Trimegah Prestige Clients Appreciation Trip 2025 - Labuan Bajo</t>
  </si>
  <si>
    <t>Tiket MC 3 pax @ Rp. 5.030.480 Trimegah Prestige Clients Appreciation Trip 2025 - Labuan Bajo</t>
  </si>
  <si>
    <t>Tiket Band 5 pax @ Rp. 2.412.360 Trimegah Prestige Clients Appreciation Trip 2025 - Labuan Bajo</t>
  </si>
  <si>
    <t>Telkomsel Gamification Q4 2024</t>
  </si>
  <si>
    <t>Penyediaan Support Gamification Q4 2024</t>
  </si>
  <si>
    <t>Telkomsel Fiberisasi Target Sumatera</t>
  </si>
  <si>
    <t>Pengadaan  IPTV Product Sales Incentives Q3</t>
  </si>
  <si>
    <t>Telkomsel Delight &amp; Excellent Execution 2025</t>
  </si>
  <si>
    <t>Telkomsel Safari Ramadhan BOD Aceh - Pekanbaru  2025</t>
  </si>
  <si>
    <t>Telkomsel Securing RAFI 2025 Mitra SBP Area Sumatera</t>
  </si>
  <si>
    <t>Telkomsel GraPARI TOMO</t>
  </si>
  <si>
    <t>Pengadaan Support Evaluasi Kinerja Mitra GraPARI TOMO Tahun Pertama</t>
  </si>
  <si>
    <t>Pengadaan Support MICE Program Increase Fundamental Service to Improve Sales  Acquisition</t>
  </si>
  <si>
    <t>Telkomsel Harmoni Sumatera</t>
  </si>
  <si>
    <t>Marlena</t>
  </si>
  <si>
    <t>DAVID HARSAMTO,</t>
  </si>
  <si>
    <t>BI-FAST CR TRANSFER   DR 008 LULITA,</t>
  </si>
  <si>
    <t>Pulsa Telp Apr-JunFRIDA ACHMADI,</t>
  </si>
  <si>
    <t>Himbara KunKer BB SPJ 29-30 May     FRIDA ACHMADI,</t>
  </si>
  <si>
    <t>TSel SalesTownHallSPJ 25-26 May     DEDI PURWANTO SE,</t>
  </si>
  <si>
    <t>TSel SalesTownHallSPJ 25-26 May     CLARA LIA RESTU SA,</t>
  </si>
  <si>
    <t>TSel Implement NWWSPJ 28-April      YOGI PURWO WIDODO,</t>
  </si>
  <si>
    <t>AR StafLoan Praja Lebih Potong 1X   PRAJA SAPUTRA S,</t>
  </si>
  <si>
    <t>AR StaffLoan Ujer Lebih Potong 1X   MUHAMMAD UJER AWAL,</t>
  </si>
  <si>
    <t>TSel SalesTownHallSPJ 25-26May      SUPRIYADI,</t>
  </si>
  <si>
    <t>Overtime May      ADUN SOPANDI,</t>
  </si>
  <si>
    <t>Overtime May      SUPRIYADI,</t>
  </si>
  <si>
    <t>Overtime May      SUKANDA,</t>
  </si>
  <si>
    <t>Overtime May      MUHAMMAD UJER AWAL,</t>
  </si>
  <si>
    <t>TSel SalesTownHallSPJ 25-26 May     YOGI PURWO WIDODO,</t>
  </si>
  <si>
    <t>BRI Journalist BC SPJ 12-14Jun 3D   DEDI PURWANTO SE,</t>
  </si>
  <si>
    <t>BRI Journalist BC SPJ 13-14 Jun     MUHAMMAD UJER AWAL,</t>
  </si>
  <si>
    <t>BRI Journalist BC SPJ2D 13-14Jun    FRIDA ACHMADI,</t>
  </si>
  <si>
    <t>Trimegah PrestigeBSPJ 3D + Meals    ANALITA YULISTYA C,</t>
  </si>
  <si>
    <t>BRI Journalist BC SPJ 2D 13-14Jun   M RIZKY AULIA,</t>
  </si>
  <si>
    <t>Trimegah TC LombokSPJ 4D + Meals    M RIZKY AULIA,</t>
  </si>
  <si>
    <t>BRI Journalist BC SPJ 3D 12-14Jun   MUHAMMAD FADLI AKB,</t>
  </si>
  <si>
    <t>Himbara KunKer BB SPJ 3D + MM Oprt  ALEXADRUS NULIADY,</t>
  </si>
  <si>
    <t>Himbara KunKer BB SPJ 3D + meals    ANALITA YULISTYA C,</t>
  </si>
  <si>
    <t>Trimegah TC LombokSPJ 4D + Meals    ANALITA YULISTYA C,</t>
  </si>
  <si>
    <t>Himbara KunKer BB SPJ 3D + Meals    MARIA PATRICIA SUG,</t>
  </si>
  <si>
    <t>F1138 ABU Juni    FRIDA ACHMADI,</t>
  </si>
  <si>
    <t>NY NURLAILA HUTABA,</t>
  </si>
  <si>
    <t>Sabic Broadcast VMSPJ 17Jun 1D      ALIF FAREZA,</t>
  </si>
  <si>
    <t>Sabic Broadcast VMSPJ 1D 17Jun      MARIA PATRICIA SUG,</t>
  </si>
  <si>
    <t>Salary PCMI Jun   DAVID HARSAMTO,</t>
  </si>
  <si>
    <t>BI-FAST CR TRANSFER   DR 009 YULI HARYADI,</t>
  </si>
  <si>
    <t>Sales</t>
  </si>
  <si>
    <t>Sales Invoice</t>
  </si>
  <si>
    <t>244/PCMI/AR/XII/2024</t>
  </si>
  <si>
    <t>245/PCMI/AR/XII/2024</t>
  </si>
  <si>
    <t>218/PCMI/AR/X/2024</t>
  </si>
  <si>
    <t>226/PCMI/AR/XI/2024</t>
  </si>
  <si>
    <t>List of Invoices 2025</t>
  </si>
  <si>
    <t>Date Received</t>
  </si>
  <si>
    <t>031/PCMI/AR/VI/2025</t>
  </si>
  <si>
    <t>059/PCMI/AR/V/2025</t>
  </si>
  <si>
    <t>Pembayaran inv 76 + 77 +82 digabung dgn Total Rp 888,265,473,-</t>
  </si>
  <si>
    <t>Pembayaran inv 87 + 90 digabung dgn Total Rp 258.748.245,-</t>
  </si>
  <si>
    <t>Pembayaran inv 91 + 92 digabung dgn Total Rp 241.001.566,-, Paid 05-Jun-2025</t>
  </si>
  <si>
    <t>Pembayaran inv 95 + 96 + 97 digabung dgn Total Rp 53,654,552.00</t>
  </si>
  <si>
    <t>Pembayaran inv 98 + 99 + 100 digabung dgn Total Rp 163,365,677,-</t>
  </si>
  <si>
    <t>Pembayaran inv 101 s.d 104 digabung dgn Total Rp 47,090,390,-</t>
  </si>
  <si>
    <t>105/PCMI/AR/V/2025</t>
  </si>
  <si>
    <t>Additional Trip Visit Factory Bangkok 2025</t>
  </si>
  <si>
    <t>106/PCMI/AR/VI/2025</t>
  </si>
  <si>
    <t>107/PCMI/AR/V/2025</t>
  </si>
  <si>
    <t>Telkomsel 1 on 1 Meeting Sumatera &amp; HQ Jan 2025</t>
  </si>
  <si>
    <t>Pengadaan untuk MICE - 1on1 Meeting Target Sumatera &amp; HQ</t>
  </si>
  <si>
    <t>108/PCMI/AR/III/2025</t>
  </si>
  <si>
    <t>109/PCMI/AR/III/2025</t>
  </si>
  <si>
    <t>110/PCMI/AR/VI/2025</t>
  </si>
  <si>
    <t>Lulita Trimegah</t>
  </si>
  <si>
    <t>Pembayaran Tiket FIT Lulita Osaka - JKT by All Nippon</t>
  </si>
  <si>
    <t>111/PCMI/AR/VI/2025</t>
  </si>
  <si>
    <t>Land Arrangement 60% Trimegah Prestige Clients Appreciation Trip 2025</t>
  </si>
  <si>
    <t>112/PCMI/AR/VI/2025</t>
  </si>
  <si>
    <t>BP Jamsostek</t>
  </si>
  <si>
    <t>Lumi 2 Malam - 1 Cabin, 23 - 25 Mei 2025 Trimegah Training Camp 2025</t>
  </si>
  <si>
    <t>113/PCMI/AR/VI/2025</t>
  </si>
  <si>
    <t>Cocana 2 Malam - 1 Villa , 23 - 25 Mei 2025 Trimegah Training Camp 2025</t>
  </si>
  <si>
    <t>114/PCMI/AR/VI/2025</t>
  </si>
  <si>
    <t>115/PCMI/AR/VI/2025</t>
  </si>
  <si>
    <t>116/PCMI/AR/VI/2025</t>
  </si>
  <si>
    <t>Land Arrangement 30% Trimegah Prestige Clients Appreciation Trip 2025</t>
  </si>
  <si>
    <t>117/PCMI/AR/VI/2025</t>
  </si>
  <si>
    <t>BRI Journalist Bootcamp 2025</t>
  </si>
  <si>
    <t>Pembayaran Addcost Event BRI Journalist Bootcamp 2025</t>
  </si>
  <si>
    <t>118/PCMI/AR/VI/2025</t>
  </si>
  <si>
    <t>Telkomsel Orbit Household Q4 2024</t>
  </si>
  <si>
    <t>Pengadaan Untuk Support Sales Program Orbit Household Q4</t>
  </si>
  <si>
    <t>119/PCMI/AR/VI/2025</t>
  </si>
  <si>
    <t>Pengadaan Untuk Securing Performance RAFI 2025 Mitra SBP Area Sumatera</t>
  </si>
  <si>
    <t>120/PCMI/AR/VI/2025</t>
  </si>
  <si>
    <t>Pembayaran Event BRI Journalist Bootcamp 2025</t>
  </si>
  <si>
    <t>121/PCMI/AR/VI/2025</t>
  </si>
  <si>
    <t>Pelunasan Land Arrangement 10% Trimegah Prestige Clients Appreciation Trip 2025</t>
  </si>
  <si>
    <t>122/PCMI/AR/VII/2025</t>
  </si>
  <si>
    <t>123/PCMI/AR/VII/2025</t>
  </si>
  <si>
    <t>Additional Ticket In Favour Of Mr Thio Andrianto Mrs Joyce Dyan Indrasanty Ms Gillian Anabelle Lianto Trimegah Prestige Clients Appreciation Trip 2025</t>
  </si>
  <si>
    <t>Pembayaran inv 123 s.d 147 digabung dgn Total Rp 115.647.506,-</t>
  </si>
  <si>
    <t>124/PCMI/AR/VII/2025</t>
  </si>
  <si>
    <t>Additional Ticket In Favour Of Mrs Eliza Anggraini Mr Jaya Sejati Trimegah Prestige Clients Appreciation Trip 2025</t>
  </si>
  <si>
    <t>125/PCMI/AR/VII/2025</t>
  </si>
  <si>
    <t>Additional Ticket In Favour Of Mrs Veny Indrawati Trimegah Prestige Clients Appreciation Trip 2025</t>
  </si>
  <si>
    <t>126/PCMI/AR/VII/2025</t>
  </si>
  <si>
    <t>Additional Ticket In Favour Of Mr Johnny Hendrawan Trimegah Prestige Clients Appreciation Trip 2025</t>
  </si>
  <si>
    <t>127/PCMI/AR/VII/2025</t>
  </si>
  <si>
    <t>Additional Ticket In Favour Of Mr Adipura Sejati Mrs Daisy Putriana Santoso Trimegah Prestige Clients Appreciation Trip 2025</t>
  </si>
  <si>
    <t>128/PCMI/AR/VII/2025</t>
  </si>
  <si>
    <t>Additional Ticket In Favour Of Mrs DRA Maria Goretti Tinawati Trimegah Prestige Clients Appreciation Trip 2025</t>
  </si>
  <si>
    <t>129/PCMI/AR/VII/2025</t>
  </si>
  <si>
    <t>Additional Ticket In Favour Of Mr Yohan Kristianto Trimegah Prestige Clients Appreciation Trip 2025</t>
  </si>
  <si>
    <t>130/PCMI/AR/VII/2025</t>
  </si>
  <si>
    <t>Additional Ticket In Favour Of Mr Areey Susanto Trimegah Prestige Clients Appreciation Trip 2025</t>
  </si>
  <si>
    <t>131/PCMI/AR/VII/2025</t>
  </si>
  <si>
    <t>Additional Ticket In Favour Of Mrs Hanna Anggraini Trimegah Prestige Clients Appreciation Trip 2025</t>
  </si>
  <si>
    <t>132/PCMI/AR/VII/2025</t>
  </si>
  <si>
    <t>Additional Ticket In Favour Of Mrs Margaret Monika Tanoto Trimegah Prestige Clients Appreciation Trip 2025</t>
  </si>
  <si>
    <t>133/PCMI/AR/VII/2025</t>
  </si>
  <si>
    <t>Additional Ticket In Favour Of Mr Aditya Sejati Trimegah Prestige Clients Appreciation Trip 2025</t>
  </si>
  <si>
    <t>134/PCMI/AR/VII/2025</t>
  </si>
  <si>
    <t>Additional Ticket In Favour Of Mrs Ina Megahwati Sugihono , S.H Trimegah Prestige Clients Appreciation Trip 2025</t>
  </si>
  <si>
    <t>135/PCMI/AR/VII/2025</t>
  </si>
  <si>
    <t>Additional Ticket In Favour Of Mr Darmawan Saputro Trimegah Prestige Clients Appreciation Trip 2025</t>
  </si>
  <si>
    <t>136/PCMI/AR/VII/2025</t>
  </si>
  <si>
    <t>Additional Ticket In Favour Of Mr Sumardi Mrs Emy Tri Haryani Trimegah Prestige Clients Appreciation Trip 2025</t>
  </si>
  <si>
    <t>137/PCMI/AR/VII/2025</t>
  </si>
  <si>
    <t>Additional Ticket In Favour Of Mrs Natalia Dewi Goenadi Trimegah Prestige Clients Appreciation Trip 2025</t>
  </si>
  <si>
    <t>138/PCMI/AR/VII/2025</t>
  </si>
  <si>
    <t>Additional Ticket In Favour Of Mr Hee Renald Mamangkey Trimegah Prestige Clients Appreciation Trip 2025</t>
  </si>
  <si>
    <t>139/PCMI/AR/VII/2025</t>
  </si>
  <si>
    <t>Additional Ticket In Favour Of Mr Aloysius Primasyah Kristanto Trimegah Prestige Clients Appreciation Trip 2025</t>
  </si>
  <si>
    <t>140/PCMI/AR/VII/2025</t>
  </si>
  <si>
    <t>Additional Ticket In Favour Of Mrs Laili Ma'Muroh, SE, AK Trimegah Prestige Clients Appreciation Trip 2025</t>
  </si>
  <si>
    <t>141/PCMI/AR/VII/2025</t>
  </si>
  <si>
    <t>Additional Ticket In Favour Of Mr Benaya Kefas Kuntjoro Trimegah Prestige Clients Appreciation Trip 2025</t>
  </si>
  <si>
    <t>142/PCMI/AR/VII/2025</t>
  </si>
  <si>
    <t>Additional Ticket In Favour Of Mr Kuntjoro Handoko Mrs Sri Wahjuni Trimegah Prestige Clients Appreciation Trip 2025</t>
  </si>
  <si>
    <t>143/PCMI/AR/VII/2025</t>
  </si>
  <si>
    <t>Additional Ticket In Favour Of Mr IR.P.Sudarto - Business Class Mrs Tjhai Se Moi - Business Class Trimegah Prestige Clients Appreciation Trip 2025</t>
  </si>
  <si>
    <t>144/PCMI/AR/VII/2025</t>
  </si>
  <si>
    <t>Additional Ticket In Favour Of Ms Vincie Lim Trimegah Prestige Clients Appreciation Trip 2025</t>
  </si>
  <si>
    <t>145/PCMI/AR/VII/2025</t>
  </si>
  <si>
    <t>Additional Ticket In Favour Of Mr Joko Sutanto Fatah NG Trimegah Prestige Clients Appreciation Trip 2025</t>
  </si>
  <si>
    <t>146/PCMI/AR/VII/2025</t>
  </si>
  <si>
    <t>Additional Ticket In Favour Of Miss Gracelyn Riana Tang Trimegah Prestige Clients Appreciation Trip 2025</t>
  </si>
  <si>
    <t>147/PCMI/AR/VII/2025</t>
  </si>
  <si>
    <t>Additional Ticket In Favour Of Mr Hardi Sunjarni Trimegah Prestige Clients Appreciation Trip 2025</t>
  </si>
  <si>
    <t>148/PCMI/AR/VII/2025</t>
  </si>
  <si>
    <t>Bapak Hardy Sunjarni</t>
  </si>
  <si>
    <t>Tiket Labuan Bajo Trimegah Prestige Clients Appreciation Trip 2025</t>
  </si>
  <si>
    <t>149/PCMI/AR/VII/2025</t>
  </si>
  <si>
    <t>Bapak Michael Prasetyo</t>
  </si>
  <si>
    <t>150/PCMI/AR/VII/2025</t>
  </si>
  <si>
    <t>Bapak Joko Sutanto Fatah NG</t>
  </si>
  <si>
    <t>151/PCMI/AR/III/2025</t>
  </si>
  <si>
    <t>152/PCMI/AR/VII/2025</t>
  </si>
  <si>
    <t>Bapak Wirawan Sutiono</t>
  </si>
  <si>
    <t>153/PCMI/AR/VII/2025</t>
  </si>
  <si>
    <t>Ibu Hanna Anggraini</t>
  </si>
  <si>
    <t>154/PCMI/AR/VII/2025</t>
  </si>
  <si>
    <t>Bapak Adipura Sejati</t>
  </si>
  <si>
    <t>155/PCMI/AR/VII/2025</t>
  </si>
  <si>
    <t>Shell Shanghai Tech Private Trip 2025</t>
  </si>
  <si>
    <t>Telkomsel Visit Ringfence Mentawai dan Lampung 2025</t>
  </si>
  <si>
    <t>Insight Investments Management, PT</t>
  </si>
  <si>
    <t>Insight Goes To Vietnam</t>
  </si>
  <si>
    <t>Pembayaran Incentive Group Insight Goes to Vietnam</t>
  </si>
  <si>
    <t>Kustodian Sentral Efek Indonesia, PT</t>
  </si>
  <si>
    <t>KSEI Seminar Emiten 2025</t>
  </si>
  <si>
    <t>Telkomsel Percepatan Flush Out SA Reg. SBS</t>
  </si>
  <si>
    <t>Telkomsel Finalisasi SOP Fulfillment</t>
  </si>
  <si>
    <t>Telkomsel Sales Townhall 2025</t>
  </si>
  <si>
    <t>Telkomsel Securing Target SM 1 2025</t>
  </si>
  <si>
    <t>Himbara Kunker Bali Bajo</t>
  </si>
  <si>
    <t>Sabic Broadcast Video Maker</t>
  </si>
  <si>
    <t>Broadcast Camera With Edited Video</t>
  </si>
  <si>
    <t>Pin Buk BCA 666   PAN CONVINCE MITRA,</t>
  </si>
  <si>
    <t>Shell ShanghaiTechLandTourChina$3420TOM VALASINDO PT,</t>
  </si>
  <si>
    <t>Adjust Shared Cap RD HIDIANITJE DRA,</t>
  </si>
  <si>
    <t>Adjust Share Cap  DAVID HARSAMTO,</t>
  </si>
  <si>
    <t>Pin Buk BCA       PAN CONVINCE MITRA,</t>
  </si>
  <si>
    <t>Himbara KunKer BB Cash Helda 8-Jul  CLARA LIA RESTU SA,</t>
  </si>
  <si>
    <t>HARDY SUNJARNI,</t>
  </si>
  <si>
    <t>BI-FAST CR TRANSFER   DR 213 MICHAEL PRASETYO,</t>
  </si>
  <si>
    <t>BI-FAST CR TRANSFER   DR 022 LARIS ADINATA SEJA,</t>
  </si>
  <si>
    <t>Labuan Bajo tambahan                WIRAWAN SUTIONO,</t>
  </si>
  <si>
    <t>Himbara KunKerBajoTunai BTN Helda   CLARA LIA RESTU SA,</t>
  </si>
  <si>
    <t>Shell Shanghai TT SPJ Apo Handling  PRAJA SAPUTRA S,</t>
  </si>
  <si>
    <t>PENERIMAAN NEGARA 030210034026128,</t>
  </si>
  <si>
    <t>147/PCMI/AR/IX/2024</t>
  </si>
  <si>
    <t>224/PCMI/AR/XI/2024</t>
  </si>
  <si>
    <t>235/PCMI/AR/XI/2024</t>
  </si>
  <si>
    <t>237/PCMI/AR/II/2024</t>
  </si>
  <si>
    <t>279/PCMI/AR/XII/2024</t>
  </si>
  <si>
    <t>280/PCMI/AR/XII/2024</t>
  </si>
  <si>
    <t>284/PCMI/AR/XII/2024</t>
  </si>
  <si>
    <t>Telkomsel Winning Strenghten Mobile &amp; Expand Fixed Penetration</t>
  </si>
  <si>
    <t>BI-FAST CR TRANSFER   DR 009 KREASI TUNAS SEGAL,</t>
  </si>
  <si>
    <t>KSEI SeminarEmitenSPJ 1D 8 Jul      PRAJA SAPUTRA S,</t>
  </si>
  <si>
    <t>KSEI SeminarEmitenSPJ 1D 8 Jul      YOGI PURWO WIDODO,</t>
  </si>
  <si>
    <t>Lomba Dance PCMI  YOGI PURWO WIDODO,</t>
  </si>
  <si>
    <t>Lomba Dance PCMI  ALIF FAREZA,</t>
  </si>
  <si>
    <t>KSEI SeminarEmitenSPJ 2D 7-8Jul     MUHAMMAD UJER AWAL,</t>
  </si>
  <si>
    <t>KSEI SeminarEmitenSPJ 2D 7-8Jul     FRIDA ACHMADI,</t>
  </si>
  <si>
    <t>KSEI SeminarEmitenSPJ 2D 7-8Jul     DEDI PURWANTO SE,</t>
  </si>
  <si>
    <t>KSEI SeminarEmitenSPJ 2D 7-8Jul     MARIA PATRICIA SUG,</t>
  </si>
  <si>
    <t>KSEI SeminarEmitenSPJ 2D 7-8Jul     SUKANDA,</t>
  </si>
  <si>
    <t>KSEI SeminarEmitenSPJ 2D 7-8Jul     ALIF FAREZA,</t>
  </si>
  <si>
    <t>KSEI SeminarEmitenSPJ 2D 7-8Jul     MUHAMMAD FADLI AKB,</t>
  </si>
  <si>
    <t>KSEI SeminarEmitenSPJ 2D 7-8Jul     M RIZKY AULIA,</t>
  </si>
  <si>
    <t>KSEI SeminarEmitenSPJ 1D 6Jul       ADUN SOPANDI,</t>
  </si>
  <si>
    <t>KSEI SeminarEmitenSPJ 2D 7-8 Jul    SUPRIYADI,</t>
  </si>
  <si>
    <t>Overtime June     ADUN SOPANDI,</t>
  </si>
  <si>
    <t>Overtime June     MUHAMMAD UJER AWAL,</t>
  </si>
  <si>
    <t>Overtime June     SUPRIYADI,</t>
  </si>
  <si>
    <t>Overtime June     SUKANDA,</t>
  </si>
  <si>
    <t>Shell ShanghaiTechApo Handling 7Jul YOGI PURWO WIDODO,</t>
  </si>
  <si>
    <t>BI-FAST CR TRANSFER   DR 451 LINDAMORASIREGAR,</t>
  </si>
  <si>
    <t>BPJS TK           Reimbursement     MARLENA NURHASANAH,</t>
  </si>
  <si>
    <t>237/PCMI/AR/IX/2023</t>
  </si>
  <si>
    <t>Joko sutanto fatahng                JOGI  HUXANY FATAH,</t>
  </si>
  <si>
    <t>BTN Mini Olympic</t>
  </si>
  <si>
    <t>BRI Ceremony Penyerahan BN SAR Lv Haji Thn 2025</t>
  </si>
  <si>
    <t>Pin Buk BCA Sho   PAN CONVINCE MITRA,</t>
  </si>
  <si>
    <t>Himbara KunKer BB Tunai Andini BSI  CLARA LIA RESTU SA,</t>
  </si>
  <si>
    <t>KSEI SeminarEmitenSPJ 2D 7-8Jul     ALEXADRUS NULIADY,</t>
  </si>
  <si>
    <t>KSEI SeminarEmitenSPJ 2D 7-8 Jul    ANALITA YULISTYA C,</t>
  </si>
  <si>
    <t>inv. 158 trimegah YAMIN WIDJAJA,</t>
  </si>
  <si>
    <t>dp mercy sclas B114NNE              DODI DAULAY,</t>
  </si>
  <si>
    <t>pelunasan mercy B114NNE total380jt  DODI DAULAY,</t>
  </si>
  <si>
    <t>byr b114nne       DODI DAULAY,</t>
  </si>
  <si>
    <t>Tijet jkt lbj dps yia               ANTONY DIRGA/WINNY,</t>
  </si>
  <si>
    <t>Trimegah PrestigaBSPJ 1D 18Jul      ALIF FAREZA,</t>
  </si>
  <si>
    <t>Trimegah PrestigeBSPJ 3D 18-20Jul   PRAJA SAPUTRA S,</t>
  </si>
  <si>
    <t>Salary PCMI July  DAVID HARSAMTO,</t>
  </si>
  <si>
    <t>ARStaffLoan FriedaDAVID HARSAMTO,</t>
  </si>
  <si>
    <t>KSEI SeminarEmiteNSPJ 1D 5JUL       ADUN SOPANDI,</t>
  </si>
  <si>
    <t>TrimegahPrestigeBjSPJ 1D 18Jul      SUPRIYADI,</t>
  </si>
  <si>
    <t>TrimegahPrestigeBjSPJ 1D 18Jul      CLARA LIA RESTU SA,</t>
  </si>
  <si>
    <t>JasaPenjualanMobilMercy B114NNE     NURSYIRWAN YAHYA,</t>
  </si>
  <si>
    <t>AR StafLoan Atno  B 1240 ROO        NY NURLAILA HUTABA,</t>
  </si>
  <si>
    <t>PorsiPribadi MercyHargaJual 375Juta RD HIDIANITJE DRA,</t>
  </si>
  <si>
    <t>Insight GoesToVietApoHandling 24Jul PRAJA SAPUTRA S,</t>
  </si>
  <si>
    <t>Cirebon Power EG  SPJ 3D + Meals    PRAJA SAPUTRA S,</t>
  </si>
  <si>
    <t>BSIN Tomo Gath    SPJ 1D 4Aug       MUHAMMAD FADLI AKB,</t>
  </si>
  <si>
    <t>Overtime Jul      ADUN SOPANDI,</t>
  </si>
  <si>
    <t>Overtime Jul      SUPRIYADI,</t>
  </si>
  <si>
    <t>Overtime Jul      MUHAMMAD UJER AWAL,</t>
  </si>
  <si>
    <t>Overtime Jul      SUKANDA,</t>
  </si>
  <si>
    <t>BSIN Tomo Gath    SPJ1D 5Aug        ALEXADRUS NULIADY,</t>
  </si>
  <si>
    <t>TrimegahPrestigeBjSPJ4DMM OpsMealsALEXADRUS NULIADY,</t>
  </si>
  <si>
    <t>BSIN Tomo Gath    SPJ 2D 4-5Aug     ANALITA YULISTYA C,</t>
  </si>
  <si>
    <t>TrimegaPrestigeBj SPJ 4D + meals    ANALITA YULISTYA C,</t>
  </si>
  <si>
    <t>Cirebon Power EG  SPJ 3D + Meals    YOGI PURWO WIDODO,</t>
  </si>
  <si>
    <t>Cirebon Power EG  SPJ 1D Survey Bdg YOGI PURWO WIDODO,</t>
  </si>
  <si>
    <t>Insight GoesToVietSPJ 4D + Meals    ALEXADRUS NULIADY,</t>
  </si>
  <si>
    <t>Cirebon Power EG  SPJ 2D + Meals    CLARA LIA RESTU SA,</t>
  </si>
  <si>
    <t>Cirebon Power EG  SPJ 3D            MUHAMMAD UJER AWAL,</t>
  </si>
  <si>
    <t>Cirebon Power EG  SPJ 1D Survey Bdg MUHAMMAD UJER AWAL,</t>
  </si>
  <si>
    <t>Cirebon Power EG  SPJ 3D + Meals    FRIDA ACHMADI,</t>
  </si>
  <si>
    <t>Cirebon Power EG  SPJ 1D Survey Bdg FRIDA ACHMADI,</t>
  </si>
  <si>
    <t>AR StaffLoan PrajaKuliah Anak       PRAJA SAPUTRA S,</t>
  </si>
  <si>
    <t>BSIN Tomo Gath    SPJ 1D 4Aug       ALIF FAREZA,</t>
  </si>
  <si>
    <t>SPJ Survey BandungBRI Consumer Expo HERI HERMAWAN,</t>
  </si>
  <si>
    <t>TrimegahPrestigeBjMeals 19-20Jul    PRAJA SAPUTRA S,</t>
  </si>
  <si>
    <t>Cirebon Power EG  SPJ 3D + Meals    M RIZKY AULIA,</t>
  </si>
  <si>
    <t>Cirebon Power EG  Survey Bdg 17Jul  M RIZKY AULIA,</t>
  </si>
  <si>
    <t>BSIN Tomo Gath    SPJ 2D + Meals    M RIZKY AULIA,</t>
  </si>
  <si>
    <t>BSIN Tomo Gat     SPJ 2D            ADUN SOPANDI,</t>
  </si>
  <si>
    <t>BSIN Tomo Gath    SPJ 2D            SUPRIYADI,</t>
  </si>
  <si>
    <t>Himbara FGD BPN   SPJ Survey 1D     HERI HERMAWAN,</t>
  </si>
  <si>
    <t>Himbara FGD Bpn   SPJ Survey 1D     MARIA PATRICIA SUG,</t>
  </si>
  <si>
    <t>BSIN Tomo Gath    SPJ 2D + Meals    MARIA PATRICIA SUG,</t>
  </si>
  <si>
    <t>Cirebon Power EG  SPJ 3D + Meals    MARIA PATRICIA SUG,</t>
  </si>
  <si>
    <t>TrimegahPrestigeBjSPJ 5D + Meals    MARIA PATRICIA SUG,</t>
  </si>
  <si>
    <t>Med Allowance     Neurologist       RD HIDIANITJE DRA,</t>
  </si>
  <si>
    <t>BI-FAST CR TRANSFER   DR 008 ORENS KREASI INDON,</t>
  </si>
  <si>
    <t>Cirebon Power EG  SPJ 3D + meals    M RIZKY AULIA,</t>
  </si>
  <si>
    <t>Cirebon Power EG  SPJ 2Days         ADUN SOPANDI,</t>
  </si>
  <si>
    <t>Himbara FGD BPN   SPJ 4D + Meals    MARIA PATRICIA SUG,</t>
  </si>
  <si>
    <t>PYC IEC 2025      SPJ 2D 22-23Aug   FRIDA ACHMADI,</t>
  </si>
  <si>
    <t>PYC IEC 2025      SPJ 2D 22-23Aug   MUHAMMAD UJER AWAL,</t>
  </si>
  <si>
    <t>SPJ Survey        BRI Consumer Expo DEDI PURWANTO SE,</t>
  </si>
  <si>
    <t>PYC IEC 2025      SPJ 2D 22-23Aug   DEDI PURWANTO SE,</t>
  </si>
  <si>
    <t>PYC IEC 2025      SPJ 2D 22-23Aug   SUPRIYADI,</t>
  </si>
  <si>
    <t>PYC IEC 2025      SPJ 2D 21-22Aug   ADUN SOPANDI,</t>
  </si>
  <si>
    <t>Salary PCMI Aug   DAVID HARSAMTO,</t>
  </si>
  <si>
    <t>PYC IEC 2025      SPJ 1D 23Aug      YOGI PURWO WIDODO,</t>
  </si>
  <si>
    <t>Salary PCMI Aug   Kekurangan Dimas  DAVID HARSAMTO,</t>
  </si>
  <si>
    <t>MAG-1069 DBS VisaW008/VI/MAG/PF-PR/2NY NURLAILA HUTABA,</t>
  </si>
  <si>
    <t>MAG-1070 DBS VisaW008/VI/MAG/PF-PR/2NY NURLAILA HUTABA,</t>
  </si>
  <si>
    <t>PDOT1080 DBS VisaW026/VII/PDOT/PR/25NY NURLAILA HUTABA,</t>
  </si>
  <si>
    <t>PDOT1075-6DBSVisaW026/VII/PDOT/PR/25NY NURLAILA HUTABA,</t>
  </si>
  <si>
    <t>PDOT-1079 DBSVisaW026/VII/PDOT/PR/25NY NURLAILA HUTABA,</t>
  </si>
  <si>
    <t>PDOT-1072 DBSVisaW008/VI/MAG/PF-PR/2NY NURLAILA HUTABA,</t>
  </si>
  <si>
    <t>PDOT-1074 DBSVisaW026/VII/PDOT/PR/25NY NURLAILA HUTABA,</t>
  </si>
  <si>
    <t>MAG-1094 DBSVisaW 008/VI/MAG/PF-PR/2NY NURLAILA HUTABA,</t>
  </si>
  <si>
    <t>PDOT1084 DBSVisaW 026/VII/PDOT/PR/25NY NURLAILA HUTABA,</t>
  </si>
  <si>
    <t>PDOT1085 DBS VisaW026/VII/PDOT/PR/25NY NURLAILA HUTABA,</t>
  </si>
  <si>
    <t>PDOT-1087 DBSVisaW026/VII/PDOT/PR/25NY NURLAILA HUTABA,</t>
  </si>
  <si>
    <t>PYC IEC 2025      SPJ 2D 22-23Aug   M RIZKY AULIA,</t>
  </si>
  <si>
    <t>PYC IEC 2025      SPJ 2D 22-23Aug   MARIA PATRICIA SUG,</t>
  </si>
  <si>
    <t>PYC IEC 2025      SPJ 2D 22-23Aug   MUHAMMAD FADLI AKB,</t>
  </si>
  <si>
    <t>PYC IEC 2025      SPJ 2D 22-23Aug   ALEXADRUS NULIADY,</t>
  </si>
  <si>
    <t>Cirebon Power EG  SPJ 2D + Meals    ALEXADRUS NULIADY,</t>
  </si>
  <si>
    <t>Cirebon Power EG  SPJ 2D 31Jul+MealsALEXADRUS NULIADY,</t>
  </si>
  <si>
    <t>Himbara FGD BPN   SPJ 3D+MM+Meals   ALEXADRUS NULIADY,</t>
  </si>
  <si>
    <t>PYC IEC 2025      SPJ 2D 22-23Aug   ANALITA YULISTYA C,</t>
  </si>
  <si>
    <t>Cirebon Power EG  SPJ 2D + Meals    ANALITA YULISTYA C,</t>
  </si>
  <si>
    <t>Cirebon Power EG  SPJ 2D 31Jul+MealsANALITA YULISTYA C,</t>
  </si>
  <si>
    <t>Himbara FGD BPN   SPJ 4D + Meals    ANALITA YULISTYA C,</t>
  </si>
  <si>
    <t>BI-FAST CR TRANSFER   DR 009 M WONO WIJAYA,</t>
  </si>
  <si>
    <t>Pulsa HP Jul-Sep  FRIDA ACHMADI,</t>
  </si>
  <si>
    <t>Telkomsel Increase Fundamental Service to Improve Sales Acquisition</t>
  </si>
  <si>
    <t>Telkomsel Visit Cluster Area Sumatera</t>
  </si>
  <si>
    <t>Cirebon Power Employee Gathering Bandung 2025</t>
  </si>
  <si>
    <t>Telkomsel Event Vandalisme Palembang 2025</t>
  </si>
  <si>
    <t>Telkomsel Farewell Liwetan Sumbagteng</t>
  </si>
  <si>
    <t>Telkomsel Focus Action Paying User Sumatera Q3</t>
  </si>
  <si>
    <t>BSIN Tomo Gathering 2025</t>
  </si>
  <si>
    <t>PT Intrareps</t>
  </si>
  <si>
    <t>BI-FAST CR TRANSFER   DR 046 DAVID HARSAMTO : Rp. 126.298.001</t>
  </si>
  <si>
    <t>156/PCMI/AR/VII/2025</t>
  </si>
  <si>
    <t>Pengadaan untuk Forum Finalisasi SOP Fulfillment</t>
  </si>
  <si>
    <t>157/PCMI/AR/VII/2025</t>
  </si>
  <si>
    <t>Fireworks Trimegah Prestige Clients Appreciation Trip 2025</t>
  </si>
  <si>
    <t>Pembayaran inv 157, 159, 160 digabung dgn Total Rp 122.487.600,-</t>
  </si>
  <si>
    <t>158/PCMI/AR/VII/2025</t>
  </si>
  <si>
    <t>Bapak Yamin Widjaya</t>
  </si>
  <si>
    <t>1 Room, 1 Night -Ta'Aktana Trimegah Prestige Clients Appreciation Trip 2025</t>
  </si>
  <si>
    <t>159/PCMI/AR/VII/2025</t>
  </si>
  <si>
    <t>Flower Signage Day #1, Day #2, Day #3, Photo Booth Trimegah Prestige Clients Appreciation Trip 2025</t>
  </si>
  <si>
    <t>160/PCMI/AR/VII/2025</t>
  </si>
  <si>
    <t>Flower Arangement Day #1 : Welcome Lunch - Ta'Aktana Flower Arangement Day #2 : Market Update - Le Bajo Flower Arangement Day #3 : Special Dinner - AYANA Flower Arangement Day #4 : Farewell Lunch - Ta'Aktana Trimegah Prestige Clients Appreciation Trip 2025</t>
  </si>
  <si>
    <t>161/PCMI/AR/VII/2025</t>
  </si>
  <si>
    <t>Bapak Antony Dirga</t>
  </si>
  <si>
    <t>1 Ticket JKT - LBJ - DPS - YIA Trimegah Prestige Clients Appreciation Trip 2025</t>
  </si>
  <si>
    <t>162/PCMI/AR/VIII/2025</t>
  </si>
  <si>
    <t>Tagihan Termin I (30%) untuk Kegiatan KSEI Seminar Emiten 2025</t>
  </si>
  <si>
    <t>163/PCMI/AR/VIII/2025</t>
  </si>
  <si>
    <t>Tagihan Termin II (40%) untuk Kegiatan KSEI Seminar Emiten 2025</t>
  </si>
  <si>
    <t>164/PCMI/AR/VII/2025</t>
  </si>
  <si>
    <t>Orbitnesia Niaga Mas</t>
  </si>
  <si>
    <t>Pembayaran Additional Cost Hexindo Shanghai Trip 2025</t>
  </si>
  <si>
    <t>165/PCMI/AR/VIII/2025</t>
  </si>
  <si>
    <t>Partisipasi Kegiatan Seminar Peran Industri Perbankan dalam Mendukung Pariwisata yang Inklusif dan Berkelanjutan</t>
  </si>
  <si>
    <t>166/PCMI/AR/VIII/2025</t>
  </si>
  <si>
    <t>Partisipasi Kegiatan Seminar Peran Industri Perbankan dalam Mendukung Pariwisata yang Inklusif dan Berkelanjutan</t>
  </si>
  <si>
    <t>167/PCMI/AR/VIII/2025</t>
  </si>
  <si>
    <t>Bank Syariah Indonesia Tbk, PT</t>
  </si>
  <si>
    <t>168/PCMI/AR/VIII/2025</t>
  </si>
  <si>
    <t>Pengiriman barang phase 2 Trimegah Prestige Clients Appreciation Trip 2025</t>
  </si>
  <si>
    <t>169/PCMI/AR/VIII/2025</t>
  </si>
  <si>
    <t>Pengiriman barang phase 1 Trimegah Prestige Clients Appreciation Trip 2025</t>
  </si>
  <si>
    <t>Pembayaran inv 169 s.d 175 digabung dgn Total Rp 222.704.468,-</t>
  </si>
  <si>
    <t>170/PCMI/AR/VIII/2025</t>
  </si>
  <si>
    <t>Others - Pawang Hujan, Snack on Boat, Imperial Kitchen Trimegah Prestige Clients Appreciation Trip 2025</t>
  </si>
  <si>
    <t>171/PCMI/AR/VIII/2025</t>
  </si>
  <si>
    <t>Overtime Kendaraan Day 17 Juli, 18 Juli dan 20 Juli 2025 Trimegah Prestige Clients Appreciation Trip 2025</t>
  </si>
  <si>
    <t>172/PCMI/AR/VIII/2025</t>
  </si>
  <si>
    <t>Additional Service - Hotel Trimegah Prestige Clients Appreciation Trip 2025</t>
  </si>
  <si>
    <t>173/PCMI/AR/VIII/2025</t>
  </si>
  <si>
    <t>Venue dan Lunch day #2: Market Update Trimegah Prestige Clients Appreciation Trip 2025</t>
  </si>
  <si>
    <t>174/PCMI/AR/VIII/2025</t>
  </si>
  <si>
    <t>Additional Service - Transportation Nasabah LuarJakarta Innova Trimegah Prestige Clients Appreciation Trip 2025</t>
  </si>
  <si>
    <t>175/PCMI/AR/VIII/2025</t>
  </si>
  <si>
    <t>Additional Services - Airlines Tickets Trimegah Prestige Clients Appreciation Trip 2025</t>
  </si>
  <si>
    <t>176/PCMI/AR/VIII/2025</t>
  </si>
  <si>
    <t xml:space="preserve">tbc apakah masuk ke sales 2025 atau 2023 </t>
  </si>
  <si>
    <t>177/PCMI/AR/VIII/2025</t>
  </si>
  <si>
    <t>Trimegah Training Camp 2025 Meeting and Dinner Production</t>
  </si>
  <si>
    <t>Pembayaran inv 177, 179, 180 digabung dgn Total Rp 497.292.284,-</t>
  </si>
  <si>
    <t>178/PCMI/AR/VIII/2025</t>
  </si>
  <si>
    <t>Trimegah Training Camp 2025 Additional Tickets</t>
  </si>
  <si>
    <t>179/PCMI/AR/VIII/2025</t>
  </si>
  <si>
    <t>Trimegah Training Camp 2025 CSR</t>
  </si>
  <si>
    <t>180/PCMI/AR/VIII/2025</t>
  </si>
  <si>
    <t>Trimegah Training Camp 2025 Additional Food and Services</t>
  </si>
  <si>
    <t>181/PCMI/AR/VIII/2025</t>
  </si>
  <si>
    <t>University of Waterloo</t>
  </si>
  <si>
    <t>PYC IEC 2025</t>
  </si>
  <si>
    <t>Pembayaran Produksi Plakat Juri</t>
  </si>
  <si>
    <t>182/PCMI/AR/VIII/2025</t>
  </si>
  <si>
    <t>Pengadaan untuk Event Percepatan Flush Out SA Regional Sumbagsel</t>
  </si>
  <si>
    <t>183/PCMI/AR/VIII/2025</t>
  </si>
  <si>
    <t>Mirae Asset Sekuritas Indonesia, PT</t>
  </si>
  <si>
    <t>184/PCMI/AR/VIII/2025</t>
  </si>
  <si>
    <t>185/PCMI/AR/VIII/2025</t>
  </si>
  <si>
    <t>Additional Pembayaran Incentive Group Insight Goes to Vietnam</t>
  </si>
  <si>
    <t>186/PCMI/AR/VIII/2025</t>
  </si>
  <si>
    <t>187/PCMI/AR/VIII/2025</t>
  </si>
  <si>
    <t>SABIC Asia Pacific Pte Ltd</t>
  </si>
  <si>
    <t>188/PCMI/AR/VIII/2025</t>
  </si>
  <si>
    <t>Cirebon Electric Power (CEP), PT</t>
  </si>
  <si>
    <t>Cirebon Power Employee Gathering Trip Bandung 2025</t>
  </si>
  <si>
    <t>190/PCMI/AR/IX/2025</t>
  </si>
  <si>
    <t>191/PCMI/AR/IX/2025</t>
  </si>
  <si>
    <t>Himbara FGD Balikpapan</t>
  </si>
  <si>
    <t>Pembayaran untuk Hospitality Kegiatan HIMBARA dengan DPR Komisi XI - Balikpapan 12 Agustus 2025</t>
  </si>
  <si>
    <t>192/PCMI/AR/IX/2025</t>
  </si>
  <si>
    <t>Telkomsel Mini WS Sumbagteng Q2 2025</t>
  </si>
  <si>
    <t>Pengadaan untuk Mini WS Sumbagteng Q2 2025 Reg. Sumbagteng</t>
  </si>
  <si>
    <t>193/PCMI/AR/IX/2025</t>
  </si>
  <si>
    <t>Tagihan Termin III (30%) untuk Kegiatan KSEI Seminar Emiten 2025</t>
  </si>
  <si>
    <t>Panitia Natal Kementerian BUMN</t>
  </si>
  <si>
    <t>DP Event KBUMN Natal 2024</t>
  </si>
  <si>
    <t>PYC (Purnomo Yusgiantoro Center)</t>
  </si>
  <si>
    <t>Bridgestone Tire Indonesia, PT</t>
  </si>
  <si>
    <t>Pengadaan untuk Event Vandalisme Palembang 2025</t>
  </si>
  <si>
    <t>Addcost  Telkomsel Delight &amp; Execution 2025</t>
  </si>
  <si>
    <t>Telkomsel Pisah Sambut VP Sales A1</t>
  </si>
  <si>
    <t>Telkomsel Digital Placement Support Area Sumatera</t>
  </si>
  <si>
    <t>Overtime Agustus  ADUN SOPANDI,</t>
  </si>
  <si>
    <t>Overtime Agustus  SUPRIYADI,</t>
  </si>
  <si>
    <t>Overtime Agustus  SUKANDA,</t>
  </si>
  <si>
    <t>Overtime Agustus  MUHAMMAD UJER AWAL,</t>
  </si>
  <si>
    <t>Lunch AH          RD HIDIANITJE DRA,</t>
  </si>
  <si>
    <t>Himbara KunKer BB TunaiSisaBudHelda CLARA LIA RESTU SA,</t>
  </si>
  <si>
    <t>TSel PisahSambut  SPJ 3D+meals      YOGI PURWO WIDODO,</t>
  </si>
  <si>
    <t>TSel PisSamVPSalesSPJ 3D + Meals    M RIZKY AULIA,</t>
  </si>
  <si>
    <t>Salary PCMI Sep   DAVID HARSAMTO,</t>
  </si>
  <si>
    <t>CR KOREKSI BUNGA ,</t>
  </si>
  <si>
    <t>Mandiri PasarMurahSPJ 1D 2Oct       PRAJA SAPUTRA S,</t>
  </si>
  <si>
    <t>Mandiri PasarMurahSPJ 1D Sembako    VERAWATI,</t>
  </si>
  <si>
    <t>Mandiri PasarMurahSPJ 1D 2Oct       ALIF FAREZA,</t>
  </si>
  <si>
    <t>Pin Buk BCA Juanda29-Apr-25         PAN CONVINCE MITRA,</t>
  </si>
  <si>
    <t>BI-FAST CR TRANSFER   DR 002 PAN CONVINCE MITRA,</t>
  </si>
  <si>
    <t>BI-FAST DB TRANSFER   KE 008 PAN CONVINCE MITRAKBI,</t>
  </si>
  <si>
    <t>BI-FAST DB BIAYA TXN  KE 008 PAN CONVINCE MITRAKBI,</t>
  </si>
  <si>
    <t>Mandiri PasarMurahSPJ 2Oct          DEDI PURWANTO SE,</t>
  </si>
  <si>
    <t>PLN IP Energy BF  SPJ 5-6 Oct       DEDI PURWANTO SE,</t>
  </si>
  <si>
    <t>Overtime Sep      ADUN SOPANDI,</t>
  </si>
  <si>
    <t>Overtime Sep      SUPRIYADI,</t>
  </si>
  <si>
    <t>Overtime Sep      MUHAMMAD UJER AWAL,</t>
  </si>
  <si>
    <t>Overtime Sep      SUKANDA,</t>
  </si>
  <si>
    <t>Mandiri PasarMurahSPJ 2-Oct         YOGI PURWO WIDODO,</t>
  </si>
  <si>
    <t>Mandiri PasarMurahSPJ 3D 30Sep-02OctDIMAS DANANG JOYO,</t>
  </si>
  <si>
    <t>PLN IP Energy BF  SPJ 7Oct          MUHAMMAD FADLI AKB,</t>
  </si>
  <si>
    <t>Dipinjam PCMI BCA 666               DAVID HARSAMTO,</t>
  </si>
  <si>
    <t>Mandiri PasarMurahSPJ 2-Oct         MUHAMMAD FADLI AKB,</t>
  </si>
  <si>
    <t>Mandiri PasarMurahSPJ 2D 1-2Oct     ADUN SOPANDI,</t>
  </si>
  <si>
    <t>Mandiri PasarMurahSPJ 1D 2Oct       ANALITA YULISTYA C,</t>
  </si>
  <si>
    <t>Mandiri PasarMurahSPJ 2D + meals    MUHAMMAD UJER AWAL,</t>
  </si>
  <si>
    <t>Mandiri PasarMurahSPJ 1D 2Oct       MUHAMMAD UJER AWAL,</t>
  </si>
  <si>
    <t>Mandiri PasarMurahSPJ 2D 1-2 Oct    SUPRIYADI,</t>
  </si>
  <si>
    <t>Mandiri PasarMurahSPJ 1D 2Oct       SUTARNO,</t>
  </si>
  <si>
    <t>Mandiri PasarMurahSPJ 2D Reg BandungFRIDA ACHMADI,</t>
  </si>
  <si>
    <t>Mandiri PasarMurahSPJ 1D 2Oct RegJKTFRIDA ACHMADI,</t>
  </si>
  <si>
    <t>Mandiri PasarMurahSPJ 4D + Meals    DIMAS DANANG JOYO,</t>
  </si>
  <si>
    <t>Mandiri PasarMurahSPJ 5D + Meals    M RIZKY AULIA,</t>
  </si>
  <si>
    <t>Mandiri PasarMurahSPJ 3D 30Sep-2Oct M RIZKY AULIA,</t>
  </si>
  <si>
    <t>Mandiri PasarMurahSPJ 1D 2Oct       HERI HERMAWAN,</t>
  </si>
  <si>
    <t>Mandiri PasarMurahSPJ 4D + Meals BDGHERI HERMAWAN,</t>
  </si>
  <si>
    <t>Mandiri PasarMurahSPJ 2D 1-2 Oct    ALEXADRUS NULIADY,</t>
  </si>
  <si>
    <t>PLN IP Energy BF  SPJ 1D 4Oct       PRAJA SAPUTRA S,</t>
  </si>
  <si>
    <t>Mtg TSel ProcMedanPerpanjang KontrakYOGI PURWO WIDODO,</t>
  </si>
  <si>
    <t>Mandiri PasarMurahSPJ 4D + Meals BDGREVIANA VERONICA P,</t>
  </si>
  <si>
    <t>CR TRF               NATAL PERSEKUTUAN 002  IB BISNIS,</t>
  </si>
  <si>
    <t>Mandiri PasarMurahSPJ3D+MealsMakasarDEDI PURWANTO SE,</t>
  </si>
  <si>
    <t>Mandiri PasarMurahSPJ1D KoordDokumenYOGI PURWO WIDODO,</t>
  </si>
  <si>
    <t>Mandiri PasarMurahSPJ 4D+Meals SEM  MARIA PATRICIA SUG,</t>
  </si>
  <si>
    <t>Mandiri PasarMurahSPJ 2D            MARIA PATRICIA SUG,</t>
  </si>
  <si>
    <t>Mandiri PasarMurahSPJ 5D Palembang  ALEXADRUS NULIADY,</t>
  </si>
  <si>
    <t>Mandiri PasarMurahSPJ 5D+Meals PLM  ANALITA YULISTYA C,</t>
  </si>
  <si>
    <t>Konsul+Obat AH    Singapore Clinic  RD HIDIANITJE DRA,</t>
  </si>
  <si>
    <t>BI-FAST DB TRANSFER   KE 200 PAN CONVINCE MITRAKBI,</t>
  </si>
  <si>
    <t>BI-FAST DB BIAYA TXN  KE 200 PAN CONVINCE MITRAKBI,</t>
  </si>
  <si>
    <t>SISA CA 00106     MARIA PATRICIA SUG,</t>
  </si>
  <si>
    <t>Salary PCMI Sep   Kurang Bayar      DAVID HARSAMTO,</t>
  </si>
  <si>
    <t>Salary PCMI Oct   DAVID HARSAMTO,</t>
  </si>
  <si>
    <t>Pers Loan WA 29OctRtn 10Jt/Mth+BonusRD HIDIANITJE DRA,</t>
  </si>
  <si>
    <t>FIT TIX lulita    RD HIDIANITJE DRA,</t>
  </si>
  <si>
    <t>PYC IEC 2025      Fee Proj Officer  DEDI PURWANTO SE,</t>
  </si>
  <si>
    <t>Shell Network PersFee Proj Officer  DEDI PURWANTO SE,</t>
  </si>
  <si>
    <t>BRI HBH Developer Fee Proj Officer  DEDI PURWANTO SE,</t>
  </si>
  <si>
    <t>TSel  WS Sales A1 SPJ 3D + Meals    MARIA PATRICIA SUG,</t>
  </si>
  <si>
    <t>TSel WSSalesA1PlaySPJ 5D +Meals     DEDI PURWANTO SE,</t>
  </si>
  <si>
    <t>TSelWSSalesA1Play SPJ 5D +Meals     YOGI PURWO WIDODO,</t>
  </si>
  <si>
    <t>081/PCMI/AR/X/2025</t>
  </si>
  <si>
    <t>083/PCMI/AR/X/2025</t>
  </si>
  <si>
    <t>Pembayaran Trip Shell Visit Factory Bangkok 2025</t>
  </si>
  <si>
    <t>189/PCMI/AR/X/2025</t>
  </si>
  <si>
    <t>194/PCMI/AR/IX/2025</t>
  </si>
  <si>
    <t>Tower Bersama Group, PT</t>
  </si>
  <si>
    <t>Support Event Tsel ANO Lampung 2025 - TBG Operation Regional Lampung</t>
  </si>
  <si>
    <t>195/PCMI/AR/IX/2025</t>
  </si>
  <si>
    <t>Support Event Tsel ANO Lampung 2025 - TBG Operation Regional Sumbagsel</t>
  </si>
  <si>
    <t>196/PCMI/AR/IX/2025</t>
  </si>
  <si>
    <t>Support Event Tsel ANO Lampung 2025 - TBG Operation Regional Sumbagteng</t>
  </si>
  <si>
    <t>197/PCMI/AR/IX/2025</t>
  </si>
  <si>
    <t>Support Event Tsel ANO Lampung 2025 - TBG Operation Regional Sumbagut</t>
  </si>
  <si>
    <t>198/PCMI/AR/IX/2025</t>
  </si>
  <si>
    <t>Support Event Tsel ANO Lampung 2025 - TBG Project Regional Sumbagsel</t>
  </si>
  <si>
    <t>199/PCMI/AR/IX/2025</t>
  </si>
  <si>
    <t>Support Event Tsel ANO Lampung 2025 - TBG Project Regional Sumbagteng</t>
  </si>
  <si>
    <t>200/PCMI/AR/IX/2025</t>
  </si>
  <si>
    <t>Support Event Tsel ANO Lampung 2025 - TBG Project Regional Sumbagut</t>
  </si>
  <si>
    <t>201/PCMI/AR/IX/2025</t>
  </si>
  <si>
    <t>Support Event Tsel ANO Lampung 2025 - TBG Marketing</t>
  </si>
  <si>
    <t>202/PCMI/AR/IX/2025</t>
  </si>
  <si>
    <t>Pembayaran Partisipasi Event Economic Outlook 2025 Global and Domestic</t>
  </si>
  <si>
    <t>203/PCMI/AR/IX/2025</t>
  </si>
  <si>
    <t>204/PCMI/AR/IX/2025</t>
  </si>
  <si>
    <t>Partisipasi Kegiatan Economic Outlook 2025: Global and Domestic</t>
  </si>
  <si>
    <t>205/PCMI/AR/IX/2025</t>
  </si>
  <si>
    <t>Pembayaran inv  205 &amp; 206 digabung dgn Total Rp 139.539.868,-</t>
  </si>
  <si>
    <t>206/PCMI/AR/IX/2025</t>
  </si>
  <si>
    <t>Pengadaan Untuk Farewel Liwetan Regional Sumbagteng Agustus 2025</t>
  </si>
  <si>
    <t>207/PCMI/AR/IX/2025</t>
  </si>
  <si>
    <t>208/PCMI/AR/IX/2025</t>
  </si>
  <si>
    <t>Pembayaran Event Bridgestone TOMO Gathering 2025</t>
  </si>
  <si>
    <t>209/PCMI/AR/X/2025</t>
  </si>
  <si>
    <t>210/PCMI/AR/X/2025</t>
  </si>
  <si>
    <t>Pembayaran Event PYC IEC 2025</t>
  </si>
  <si>
    <t>client 4x transfer (3x tgl 21-10-2025 dan 1x tgl 22-10-2025)</t>
  </si>
  <si>
    <t>211/PCMI/AR/X/2025</t>
  </si>
  <si>
    <t>Pengadaan Untuk Visit Cluster Area Sumatera</t>
  </si>
  <si>
    <t>Shell MotoGP Sepang 2025</t>
  </si>
  <si>
    <t>213/PCMI/AR/IV/2025</t>
  </si>
  <si>
    <t>214/PCMI/AR/XI/2025</t>
  </si>
  <si>
    <t>Himbara FGD Semarang</t>
  </si>
  <si>
    <t>Rapat Kerja Himbara dan BSI Economic Outlook 2025</t>
  </si>
  <si>
    <t>215/PCMI/AR/X/2025</t>
  </si>
  <si>
    <t>Pembayaran Tiket FIT lulita  CGK-DPS-CGK by GARUDA Indonesia</t>
  </si>
  <si>
    <t>Telkomsel Pengawalan Event Regional Sumbagut</t>
  </si>
  <si>
    <t>Telkomsel Support Renego Backpacker BKL - LPG Q4 2025</t>
  </si>
  <si>
    <t>Telkomsel Pengamanan Target Sem II Reg. Sumbagsel</t>
  </si>
  <si>
    <t>Telkomsel FBP West Area</t>
  </si>
  <si>
    <t>Telkomsel Sosialisasi &amp; Training Billco Sumbagsel</t>
  </si>
  <si>
    <t>Telkomsel Support Evaluasi GraPARI Optimalisasi Area 1</t>
  </si>
  <si>
    <t>Telkomsel Program Market Visit (SBU &amp; SBS)</t>
  </si>
  <si>
    <t>Telkomsel WS Sales A1 Play Hard Serve Harder</t>
  </si>
  <si>
    <t>PLN IP Energy Business Forum 2025</t>
  </si>
  <si>
    <t>Mandiri Pasar Murah 2025</t>
  </si>
  <si>
    <t>Telkomsel Event Market Recovery &amp; City Fokus Q3</t>
  </si>
  <si>
    <t>Telkomsel Alignment SIFA Mobile &amp; Fixed</t>
  </si>
  <si>
    <t>Intrareps</t>
  </si>
  <si>
    <t>Himbara FGD SEM   SPJ 3D+Meals+MMOpsALEXADRUS NULIADY,</t>
  </si>
  <si>
    <t>TSel Focus Act PaySPJ 1D+Meal       YOGI PURWO WIDODO,</t>
  </si>
  <si>
    <t>Himbara FGD SEM   SPJ 3D +Meals     ANALITA YULISTYA C,</t>
  </si>
  <si>
    <t>Shell MotoGpSepangSPJ 1D ApoHandlingPRAJA SAPUTRA S,</t>
  </si>
  <si>
    <t>Salary PCMI Oct   Kurang Bayar      DAVID HARSAMTO,</t>
  </si>
  <si>
    <t>PYC Talks         SPJ 1 Day 3Nop    FRIDA ACHMADI,</t>
  </si>
  <si>
    <t>PYC Talks         SPJ 1D 3Nop       MARIA PATRICIA SUG,</t>
  </si>
  <si>
    <t>Dipinjam PCMI     NY NURLAILA HUTABA,</t>
  </si>
  <si>
    <t>Overtime Oct      ADUN SOPANDI,</t>
  </si>
  <si>
    <t>Overtime Oct      SUPRIYADI,</t>
  </si>
  <si>
    <t>Overtime Okt      SUKANDA,</t>
  </si>
  <si>
    <t>Overtime Oct      MUHAMMAD UJER AWAL,</t>
  </si>
  <si>
    <t>Himbara FGD SEM   SPJ 3D + Meals    MARIA PATRICIA SUG,</t>
  </si>
  <si>
    <t>PLN NPTKT CapBuildFee PO            ALEXADRUS NULIADY,</t>
  </si>
  <si>
    <t>PYC Talks         SPJ 1D 3Nop       MUHAMMAD FADLI AKB,</t>
  </si>
  <si>
    <t>PYC Talks         SPJ 1D 3Nop       ALEXADRUS NULIADY,</t>
  </si>
  <si>
    <t>PYC Talks         SPJ 1D 3Nop       YOGI PURWO WIDODO,</t>
  </si>
  <si>
    <t>PYC Talks         SPJ 1D 3Nop       M RIZKY AULIA,</t>
  </si>
  <si>
    <t>PYC Talks         SPJ1D 3Nop        SUPRIYADI,</t>
  </si>
  <si>
    <t>Pin Buk BCA JuandaPAN CONVINCE MITRA,</t>
  </si>
  <si>
    <t>Shell MotoGpSepangSPJ Apo handling  PRAJA SAPUTRA S,</t>
  </si>
  <si>
    <t>216/PCMI</t>
  </si>
  <si>
    <t>Mandiri Mid Plaza</t>
  </si>
  <si>
    <t>Mandiri Plasa Mandiri</t>
  </si>
  <si>
    <t>BCA Sahardjo to Mandiri Mid Plaza</t>
  </si>
  <si>
    <t>Mandiri Mid Plaza to BCA Sahardjo</t>
  </si>
  <si>
    <t>239/2023</t>
  </si>
  <si>
    <t>158/2022</t>
  </si>
  <si>
    <t>Revi</t>
  </si>
  <si>
    <t>Shell MotoGp Sepang 2025</t>
  </si>
  <si>
    <t>BI-FAST CR TRANSFER DR ADE IRMA SARTIKA T, Retur Mandiri MP 30-Sep</t>
  </si>
  <si>
    <t>BI-FAST DB TRANSFER   KE 008 GNC : Pengadaan Dana 19Pax T-II</t>
  </si>
  <si>
    <t>BI-FAST DB TRANSFER   KE 008 GNC : Pengadaan Dana 19Pax T-I</t>
  </si>
  <si>
    <t>Dipinjam PCMI     NY NURLAILA HUTABA,Mandiri Plasa</t>
  </si>
  <si>
    <t>Pembelian Obat    RD HIDIANITJE DRA,Mandiri Plasa</t>
  </si>
  <si>
    <t>BRI KunKer Bogor  SPJ 2D 16-17Nop   SUPRIYADI,Mandiri Plasa</t>
  </si>
  <si>
    <t>Dipinjam PCMI 666 NY NURLAILA HUTABA,Mandiri Plasa</t>
  </si>
  <si>
    <t>Mandiri FGD BantenSPJ 1D 7Nop       SUPRIYADI,Mandiri Plasa</t>
  </si>
  <si>
    <t>Salary PCMI Nov   DAVID HARSAMTO,Mandiri Plasa</t>
  </si>
  <si>
    <t>Retur Salah Transfer 28-Nop         DAVID HARSAMTO,Mandiri Plasa</t>
  </si>
  <si>
    <t>AR StaffLoan OdheyDAVID HARSAMTO,Mandiri Plasa</t>
  </si>
  <si>
    <t>AR StaffLoan FridaDAVID HARSAMTO,Mandiri Plasa</t>
  </si>
  <si>
    <t>AR StaffLoan PrajaDAVID HARSAMTO,Mandiri Plasa</t>
  </si>
  <si>
    <t>Salary PCMI Nov   Krg Bayar         DAVID HARSAMTO,Mandiri Plasa</t>
  </si>
  <si>
    <t>1st installent AH RD HIDIANITJE DRA,Mandiri Plasa</t>
  </si>
  <si>
    <t>RS HelsaJatirahayuRadiologi+TindakanREVIANA VERONICA P,Mandiri Plasa</t>
  </si>
  <si>
    <t>Pin Buk BCA JuandaPAN CONVINCE MITRA,Mandiri Plasa</t>
  </si>
  <si>
    <t>Retur             PAN CONVINCE MITRA,Mandiri Plasa</t>
  </si>
  <si>
    <t>Mandiri FGD Banten</t>
  </si>
  <si>
    <t>Telkomsel Event Direksi Visit Medan &amp; OM Consolidation</t>
  </si>
  <si>
    <t>CA-078/25 Patrice : Himbara KunKerBaliMEGAWATY,</t>
  </si>
  <si>
    <t>CA-078/25 Patrice</t>
  </si>
  <si>
    <t>CA-106/25 Patrice</t>
  </si>
  <si>
    <t>CA-118/25 Patrice</t>
  </si>
  <si>
    <t>PYC Talks</t>
  </si>
  <si>
    <t>BRI FGD Semarang Komisi XI</t>
  </si>
  <si>
    <t>BTN FGD Cirebon Komisi XI</t>
  </si>
  <si>
    <t>PLN National Power Up Teluk KalTim Capacity Building</t>
  </si>
  <si>
    <t>279/PCMI/AR/XI/2025</t>
  </si>
  <si>
    <t>Payment Event PYC Talks</t>
  </si>
  <si>
    <t>283/PCMI/AR/XI/2025</t>
  </si>
  <si>
    <t>286/PCMI/AR/XI/2025</t>
  </si>
  <si>
    <t>281/PCMI/AR/XI/2025</t>
  </si>
  <si>
    <t>289/PCMI/AR/XI/2025</t>
  </si>
  <si>
    <t>240/2023</t>
  </si>
  <si>
    <t>Ttelkomsel PRAYITNO : Larissa Entertainment : 285/PCMI/AR/XI/2025 : Telkomsel Program Workshop SubDir Sales Strategy Group - Add Cost 2021</t>
  </si>
  <si>
    <t>276/2025 : KBUMN NATAL 2024 Tanggal 7-Nop-2025</t>
  </si>
  <si>
    <t xml:space="preserve">249/2024 : PLN Indonesia Power Inpower Festival </t>
  </si>
  <si>
    <t>192/2024 : Telkomsel Racing – Pinjam Paket 2024.</t>
  </si>
  <si>
    <t>268/2024 : Telkomsel Pembahasan Vandalisme Area Sumatera Bulan Juli 2024</t>
  </si>
  <si>
    <t>216/2024 : Telkomsel Reward Prog Racing Sellout Goes To Bali</t>
  </si>
  <si>
    <t>236/2024 : Telkomsel Event Musik Sekolah A2</t>
  </si>
  <si>
    <t>280/2024 : Telkomsel Signing PKS NGPP Vol.3 Sumatera</t>
  </si>
  <si>
    <t>207/2024 : Telkomsel Lets Win Costumers Trust Batam</t>
  </si>
  <si>
    <t>277/2024 : Telkomsel Defend Our Dominance Socialization 2024</t>
  </si>
  <si>
    <t>284/2024 : Telkomsel Meeting Koordinasi GA Semester 1 2024</t>
  </si>
  <si>
    <t>283/2024 : Telkomsel Mentawai Merdeka Sinyal</t>
  </si>
  <si>
    <t>235/2024 : Telkomsel Winning Strenghten Mobile &amp; Expand Fixed Penetration</t>
  </si>
  <si>
    <t>279/2024 : Telkomsel Safari Ramadhan Sumbagteng</t>
  </si>
  <si>
    <t>209/2024 : Telkomsel Meeting Evaluasi Sem I 2024</t>
  </si>
  <si>
    <t>194/2024 : Telkomsel CGBA Last Quartal 2024</t>
  </si>
  <si>
    <t>276/2024 : Telkomsel Leadership Area Sumatera</t>
  </si>
  <si>
    <t xml:space="preserve">217/2023 : Telkomsel Market Visit Initiative Program Q3 </t>
  </si>
  <si>
    <t>202/2024 : Telkomsel Aquabike Toba 2024</t>
  </si>
  <si>
    <t>201/2024 : Telkomsel JPP 2025 Sumatera Heart</t>
  </si>
  <si>
    <t>224/2024 : Telkomsel Leadership Area Sumatera</t>
  </si>
  <si>
    <t>237/2024 : Telkomsel Mentawai Merdeka Sinyal</t>
  </si>
  <si>
    <t>229/2024 : Telkomsel Hari Koperasi Nasional, Batam 2024</t>
  </si>
  <si>
    <t>151/2024 : PLN Indonesia Power PIKK Festival Bazaar UMKM</t>
  </si>
  <si>
    <t>153/2024 : Telkomsel BM Recovery &amp; Fundamentals Q3</t>
  </si>
  <si>
    <t>275/2024 : Telkomsel Alignment Revenue Sumatera</t>
  </si>
  <si>
    <t>232/2024 : Telkomsel API Sales Racing Program</t>
  </si>
  <si>
    <t>213/2024 : Telkomsel Lets Win Costumers Trust Batam</t>
  </si>
  <si>
    <t>276/PCMI/AR/XI/2025</t>
  </si>
  <si>
    <t>277/PCMI/AR/XI/2025</t>
  </si>
  <si>
    <t>124/2024 : Telkomsel Town Hall Sales 2024</t>
  </si>
  <si>
    <t>278/PCMI/AR/XI/2025</t>
  </si>
  <si>
    <t>280/PCMI/AR/XI/2025</t>
  </si>
  <si>
    <t>Bank Tabungan Negara (Persero) Tbk PT</t>
  </si>
  <si>
    <t>BTN Rapat Kerja Himbara dan BSI Economic Outlook 2025</t>
  </si>
  <si>
    <t>282/PCMI/AR/XI/2025</t>
  </si>
  <si>
    <t>Bank Negara Indonesia (Persero) Tbk PT</t>
  </si>
  <si>
    <t>BNI Rapat Kerja Himbara dan BSI Economic Outlook 2025</t>
  </si>
  <si>
    <t>284/PCMI/AR/XI/2025</t>
  </si>
  <si>
    <t>285/PCMI/AR/XI/2025</t>
  </si>
  <si>
    <t>Other Income : Add Cost Proyek 2021 : Telkomsel Program Workshop SubDir Sales Strategy Group</t>
  </si>
  <si>
    <t>287/PCMI/AR/XI/2025</t>
  </si>
  <si>
    <t>231/2024 : Telkomsel Hear Me at GraPARI</t>
  </si>
  <si>
    <t>288/PCMI/AR/XI/2025</t>
  </si>
  <si>
    <t>290/PCMI/AR/XI/2025</t>
  </si>
  <si>
    <t>141/2024 : Telkomsel PON XXI Aceh Sumut 2024 (Bang Hadi)</t>
  </si>
  <si>
    <t>Bank Syariah Indonesia</t>
  </si>
  <si>
    <t>BSI Rapat Kerja Himbara dan BSI Economic Outlook 2025</t>
  </si>
  <si>
    <t>294/PCMI/AR/XI/2025</t>
  </si>
  <si>
    <t>203/2024 : Telkomsel Support and Recovery Impact FMC Migrasi Sumatera</t>
  </si>
  <si>
    <t>295/PCMI/AR/XI/2025</t>
  </si>
  <si>
    <t>238/2024 : Telkomsel Focus Action Sumatera</t>
  </si>
  <si>
    <t>296/PCMI/AR/XI/2025</t>
  </si>
  <si>
    <t>142/2024 : Telkomsel PON XXI - Sumut Aceh</t>
  </si>
  <si>
    <t>297/PCMI/AR/XI/2025</t>
  </si>
  <si>
    <t>143/2024 : Telkomsel Prestige Batam 2024</t>
  </si>
  <si>
    <t>238/PCMI/AR/XII/2025</t>
  </si>
  <si>
    <t>Linda Mora Siregar, Telkomsel Medan</t>
  </si>
  <si>
    <t>Add Cost Pengadaan untuk Meeting Vandalism Area Sumatera</t>
  </si>
  <si>
    <t>291/PCMI/AR/XI/2-25</t>
  </si>
  <si>
    <t>240/2023 : Telkomsel Pembiayaan IBOS Q3 2023</t>
  </si>
  <si>
    <t>BRI FGD Semarang</t>
  </si>
  <si>
    <t>AP Expense         DAVID HARSAMTO,</t>
  </si>
  <si>
    <t>212/PCMI/AR/X/2025</t>
  </si>
  <si>
    <t>PT. Shell Indonesia</t>
  </si>
  <si>
    <t>Private Trip Shell MotoGP Sepang (24 - 26 Oct 2025) &amp; Shell Jepang - Fukuoka (09 - 13 Nov 2025)</t>
  </si>
  <si>
    <t>223/PCMI/AR/III/2025</t>
  </si>
  <si>
    <t>225/PCMI/AR/IV/2025</t>
  </si>
  <si>
    <t>269/PCMI/AR/XII/2025</t>
  </si>
  <si>
    <t>Pengadaan Program Alignment SIFA Mobile &amp; Fixed</t>
  </si>
  <si>
    <t>292/PCMI/AR/XI/2-26</t>
  </si>
  <si>
    <t>293/PCMI/AR/XI/2-27</t>
  </si>
  <si>
    <t>Previous years</t>
  </si>
  <si>
    <t>TARIKAN TUNAI : Pajak Deviden</t>
  </si>
  <si>
    <t>286/2024 : PLN Indonesia Power PIKK Festival Bazaar UMKM</t>
  </si>
  <si>
    <t>288/2024 : PLN Indonesia Power PIKK Festival Bazaar UMKM</t>
  </si>
  <si>
    <t>223/2024 : PLN NP Up Teluk KalTim Capacity Building</t>
  </si>
  <si>
    <t>225/2024 : PLN NP Up Teluk KalTim Capacity Building</t>
  </si>
  <si>
    <t>BRI Kunjungan Kerja Bogor DPR Komisi XI</t>
  </si>
  <si>
    <t>BSI Kunjungan Kerja BAKN Pangkal Pinang</t>
  </si>
  <si>
    <t>Himbara Kunjungan Kerja Bali Bajo</t>
  </si>
  <si>
    <t>HIMBARA Kunjungan Kerja Batam BRI dan BTN</t>
  </si>
  <si>
    <t>Telkomsel Campaign Pelanggan Prestige MyAds SBT</t>
  </si>
  <si>
    <t>Support Campaign Pelanggan Prestige MyAds SBT</t>
  </si>
  <si>
    <t>BUNGA</t>
  </si>
  <si>
    <t>PAJAK BUNGA</t>
  </si>
  <si>
    <t>BTN FGD CirebonKXISPJ 3D +Meals     MARIA PATRICIA SUG,</t>
  </si>
  <si>
    <t>BSI KunKer BAKN PPSPJ 3D + Meals    MARIA PATRICIA SUG,</t>
  </si>
  <si>
    <t>BRI KunKerBogorDPRSPJ 2D +Meals     MARIA PATRICIA SUG,</t>
  </si>
  <si>
    <t>BRI FGD Semarang  SPJ 3D + Meals    MARIA PATRICIA SUG,</t>
  </si>
  <si>
    <t>MANDIRI FGD BantenSPJ 2D + Meals    MARIA PATRICIA SUG,</t>
  </si>
  <si>
    <t>BRI FGD Smg Kom XISPJ 2D+Meals      M RIZKY AULIA,</t>
  </si>
  <si>
    <t>BRI KunKerBogorDPRSPJ 2D+Meals      ALEXADRUS NULIADY,</t>
  </si>
  <si>
    <t>BRI FGD Semarang  SPJ 3+Meals       ALEXADRUS NULIADY,</t>
  </si>
  <si>
    <t>MANDIRI FGD BantenSPJ 2D+Meals      ALEXADRUS NULIADY,</t>
  </si>
  <si>
    <t>BRI KunKerBogorDPRSPJ 2D + Meals    ANALITA YULISTYA C,</t>
  </si>
  <si>
    <t>BRI FGD Smg KomXI SPJ 2D + Meals    ANALITA YULISTYA C,</t>
  </si>
  <si>
    <t>BSI KunKer BAKN PPSPJ 2D+Meals      ANALITA YULISTYA C,</t>
  </si>
  <si>
    <t>BRI FGD Semarang  SPJ 3D + Meals    ANALITA YULISTYA C,</t>
  </si>
  <si>
    <t>MANDIRI FGD BantenSPJ 2D + Meals    ANALITA YULISTYA C,</t>
  </si>
  <si>
    <t>MANDIRI FGD BantenSPJ 1D 6Nop       SUPRIYADI,</t>
  </si>
  <si>
    <t>BI-FAST CR TRANSFER   DR 008 PAN CONVINCE MITRA, 17-Oct Sembako Makasar</t>
  </si>
  <si>
    <t>Sembako Mandiri Pasar Murah</t>
  </si>
  <si>
    <t>Makasar</t>
  </si>
  <si>
    <t>BI-FAST CR TRANSFER   DR 008 PAN CONVINCE MITRA, 15-Oct Sembako Samarinda</t>
  </si>
  <si>
    <t>Samarinda</t>
  </si>
  <si>
    <t>BI-FAST CR TRANSFER   DR 008 PAN CONVINCE MITRA, Sembako Medan</t>
  </si>
  <si>
    <t>Medan</t>
  </si>
  <si>
    <t>BI-FAST CR TRANSFER   DR 008 PAN CONVINCE MITRA, 14-Oct Sembako Semarang</t>
  </si>
  <si>
    <t>BI-FAST CR TRANSFER   DR 008 PAN CONVINCE MITRA, 14-Oct Sembako Surabaya</t>
  </si>
  <si>
    <t>Surabaya</t>
  </si>
  <si>
    <t>Semarang</t>
  </si>
  <si>
    <t>BI-FAST CR TRANSFER   DR 008 PAN CONVINCE MITRA, Sembako Palembang</t>
  </si>
  <si>
    <t>Palembang</t>
  </si>
  <si>
    <t>BI-FAST CR TRANSFER   DR 008 PAN CONVINCE MITRA, Sembako Bandung</t>
  </si>
  <si>
    <t>Bandung</t>
  </si>
  <si>
    <t>BI-FAST CR TRANSFER   DR 008 PAN CONVINCE MITRA, Sembako Jayapura</t>
  </si>
  <si>
    <t>Jayapura</t>
  </si>
  <si>
    <t>Kupang</t>
  </si>
  <si>
    <t>Jakarta</t>
  </si>
  <si>
    <t>BI-FAST CR TRANSFER   DR 008 PAN CONVINCE MITRA, 14-Oct Sembako Jakarta</t>
  </si>
  <si>
    <t>Overtime Nop SUPRIYADI</t>
  </si>
  <si>
    <t>Overtime Nop MUHAMMAD UJER AWAL</t>
  </si>
  <si>
    <t>Overtime Nop SUKANDA</t>
  </si>
  <si>
    <t>Overtime Nop DUN SOPANDI</t>
  </si>
  <si>
    <t>Byr AP Loan 9-Oct DAVID HARSAMTO,</t>
  </si>
  <si>
    <t>Byr AP Loan 12-NopNY NURLAILA HUTABA,</t>
  </si>
  <si>
    <t>Byr AP Loan 20-NopNY NURLAILA HUTABA,</t>
  </si>
  <si>
    <t>Byr AP Loan 25-NopNY NURLAILA HUTABA,</t>
  </si>
  <si>
    <t>Byr AP Loan 28-NopNY NURLAILA HUTABA,</t>
  </si>
  <si>
    <t>LunasAPLoan Dec24 DAVID HARSAMTO,</t>
  </si>
  <si>
    <t>BSIN Supplier Meeting</t>
  </si>
  <si>
    <t>226/PCMI/AR/XII/2025</t>
  </si>
  <si>
    <t>BRI Support Event DWP BKN</t>
  </si>
  <si>
    <t>268/PCMI/AR/XII/2025</t>
  </si>
  <si>
    <t>Pengadaan untuk Telkomsel Event Market Recovery &amp; City Fokus Q3</t>
  </si>
  <si>
    <t>228/PCMI/AR/XII/2025</t>
  </si>
  <si>
    <t>Pengadaan untuk MICE Piala byU Q2 2025</t>
  </si>
  <si>
    <t>Telkomsel MICE Piala byU Q2 2025</t>
  </si>
  <si>
    <t>253/PCMI/AR/XII/2025</t>
  </si>
  <si>
    <t>BSIN Supplier Mtg SPJ 1D 10Des      FRIDA ACHMADI,</t>
  </si>
  <si>
    <t>BSIN Supplier Mtg SPJ 1D 10Des      MUHAMMAD UJER AWAL,</t>
  </si>
  <si>
    <t>BSIN Supplier Mtg SPJ 1D 10 Des     ADUN SOPANDI,</t>
  </si>
  <si>
    <t>BSIN Supplier Mtg SPJ 2D 10Des      SUPRIYADI,</t>
  </si>
  <si>
    <t>BI-FAST CR TRANSFER  DR 008 PAN CONVINCE MITRA, Sembako Kupang : Rp. 134.757.000</t>
  </si>
  <si>
    <t>Sisa sembako mandiri papua  M RIZKY AULIA : Rp. 4.000.000</t>
  </si>
  <si>
    <t>BRI Peringatan Puncak HUT ke-26 DWP and Hari Ibu ke-97</t>
  </si>
  <si>
    <t>Sisa sembako mandiri papua  M RIZKY AULIA : Rp. 4.000.000, Sembako Jayapura</t>
  </si>
  <si>
    <t>230/PCMI/AR/XII/2025</t>
  </si>
  <si>
    <t>Otoritas Jasa Keuangan (OJK), Kantor Pusat</t>
  </si>
  <si>
    <t>Pembayaran Produksi Kegiatan KunKer Komisi XI DPR RI ke Propinsi Banten</t>
  </si>
  <si>
    <t>231/PCMI/AR/XII/2025</t>
  </si>
  <si>
    <t>Optimalisasi Penyaluran KUR melalui Tata Kelola yang efektif dan berorientasi dampak</t>
  </si>
  <si>
    <t>232/PCMI/AR/XII/2025</t>
  </si>
  <si>
    <t>Event Sponsorship Economic Outlook 2025 dengan tema Pertumbuhan, Stabilitas dan Ketahanan Ekonomi</t>
  </si>
  <si>
    <t>234/PCMI/AR/XII/2025</t>
  </si>
  <si>
    <t>Event Sponsorship Economic Outlook 2025 dengan tema Memperkuat Ketahanan Ekonomi Domestik di Tengah Tantangan Global</t>
  </si>
  <si>
    <t>229/PCMI/AR/XII/2025</t>
  </si>
  <si>
    <t>BSIN Supplier Meeting 2025 Karawang</t>
  </si>
  <si>
    <t>BSIN Supplier Mtg SPJ 2D 9-10Dec    PRAJA SAPUTRA S,</t>
  </si>
  <si>
    <t>BRI HUT KE-26 DWP SPJ 2D            PRAJA SAPUTRA S,</t>
  </si>
  <si>
    <t>AR StafLoan Praja Pot Gaji Des 1X   PRAJA SAPUTRA S,</t>
  </si>
  <si>
    <t>Lomba Tiup Balon  YearEndDinner     FABIAN S,</t>
  </si>
  <si>
    <t>Lomba Focus       YearEndDinner     MARIA VIANNEY OSEL,</t>
  </si>
  <si>
    <t>Lomba Bola        YearEndDinner     FABIAN S,</t>
  </si>
  <si>
    <t>Lomba Bola        YearEndDinner     FRIDA ACHMADI,</t>
  </si>
  <si>
    <t>Lomba Baca Warna  YearEndDinner     ANALITA YULISTYA C,</t>
  </si>
  <si>
    <t>Lomba Bola        YearEndDinner     DEDI PURWANTO SE,</t>
  </si>
  <si>
    <t>BSIN Supplier Mtg SPJ 2D 9-10Dec    M RIZKY AULIA,</t>
  </si>
  <si>
    <t>BTN FGD CirebonKXISPJ 4D + Meals    ALEXADRUS NULIADY,</t>
  </si>
  <si>
    <t>Retur CA 00118    MARIA PATRICIA SUG,</t>
  </si>
  <si>
    <t>Salary PCMI Dec   DAVID HARSAMTO,</t>
  </si>
  <si>
    <t>MANDIRI FGD IKN   SPJ 2D + Meals    FRIDA ACHMADI,</t>
  </si>
  <si>
    <t>HimbaraKunKerBatamSPJ 4D+MMOps+MealsALEXADRUS NULIADY,</t>
  </si>
  <si>
    <t>HimbaraKunKerBatamSPJ 4D + Meals    ANALITA YULISTYA C,</t>
  </si>
  <si>
    <t>BRI HUT KE-26 DWP SPJ 2D+VMix Ops   ANALITA YULISTYA C,</t>
  </si>
  <si>
    <t>BRI HUT KE-26 DWP SPJ 2D + MM Ops   ALEXADRUS NULIADY,</t>
  </si>
  <si>
    <t>BRI HUT KE-26 DWP SPJ 1D 18Dec      MARIA PATRICIA SUG,</t>
  </si>
  <si>
    <t>HimbaraKunKerBatamSPJ 4D + Meals    MARIA PATRICIA SUG,</t>
  </si>
  <si>
    <t>BRI HUT KE-26 DWP SPJ 2D 17-18Dec   DEDI PURWANTO SE,</t>
  </si>
  <si>
    <t>BRI HUT KE-26 DWP SPJ 1D 18-Dec     SUPRIYADI,</t>
  </si>
  <si>
    <t>AR StaffLoan Praja22-Dec            DAVID HARSAMTO,</t>
  </si>
  <si>
    <t>AH - loan2        RD HIDIANITJE DRA,</t>
  </si>
  <si>
    <t>AR StafLoan Atno  Aug-Des 25 a4Jt   DAVID HARSAMTO,</t>
  </si>
  <si>
    <t>NewYearEnd Dinner PCMI+Intrareps    DAVID HARSAMTO,</t>
  </si>
  <si>
    <t>YOHAN KRISTANTO,</t>
  </si>
  <si>
    <t>CIMB NIAGA TRANSFER VIA RTGS REF NO PPU :0Q4Q  Antonius Nicolaas,</t>
  </si>
  <si>
    <t>BIAYA TRANSFER KU,</t>
  </si>
  <si>
    <t>TARIKAN TUNAI ,</t>
  </si>
  <si>
    <t>SETORAN TUNAI PEMBAYARAN MANDIRI FGD IKN,</t>
  </si>
  <si>
    <t>Mandiri FGD IKN</t>
  </si>
  <si>
    <t>Pemindahan Sementara Akhir Tahun</t>
  </si>
  <si>
    <t>CR 12/23 ZTR51 PRAJA SAPUTRA S : Retur kelebihan transfer 23-Des SPJ BRI HUT ke-26 DWP</t>
  </si>
  <si>
    <t>CR 12/22 Z27J1  TIKA RISKI ASTARI : WA Tika 2-Jan-26 - Mandiri FGD IKN dari Patrice</t>
  </si>
  <si>
    <t>BRI Peringatan Puncak HUT ke-26 DWP dan Hari Ibu ke-97 DWP BKN</t>
  </si>
  <si>
    <t xml:space="preserve">OJK Kunjungan Kerja Komisi XI DPR RI </t>
  </si>
  <si>
    <t>Pengadaan untuk Delight &amp; Excellent Execution 2025</t>
  </si>
  <si>
    <t>219/PCMI/AR/XII/2025</t>
  </si>
  <si>
    <t>254/PCMI/AR/XII/2025</t>
  </si>
  <si>
    <t>272/PCMI/AR/XII/2025</t>
  </si>
  <si>
    <t>215/2024 : Telkomsel JPP RAN Nasional Q4 2024</t>
  </si>
  <si>
    <t>261/PCMI/AR/XII/2025</t>
  </si>
  <si>
    <t>Telkomsel Pengadaan untuk visit Cluster Area Sumatera Q3</t>
  </si>
  <si>
    <t>235/PCMI/AR/XII/2025</t>
  </si>
  <si>
    <t xml:space="preserve">Add Cost </t>
  </si>
  <si>
    <t>217/PCMI/AR/XII/2025</t>
  </si>
  <si>
    <t>FIF Group</t>
  </si>
  <si>
    <t>FIF NMC ACT Handling</t>
  </si>
  <si>
    <t>Cancellation Event FIF Group Hajatan Akbar NMC ACT Handling</t>
  </si>
  <si>
    <t>YY</t>
  </si>
  <si>
    <t>D</t>
  </si>
  <si>
    <t>K</t>
  </si>
  <si>
    <t>LEDGER</t>
  </si>
  <si>
    <t>Sub Ledger 1</t>
  </si>
  <si>
    <t>Sub Ledger 2</t>
  </si>
  <si>
    <t>Sub Ledger 3</t>
  </si>
  <si>
    <t>AR I D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</si>
</sst>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5" formatCode="_(* #,##0.00_);_(* \(#,##0.00\);_(* &quot;-&quot;_);_(@_)"/>
    <numFmt numFmtId="166" formatCode="[$-409]d\-mmm\-yy;@"/>
    <numFmt numFmtId="167" formatCode="_-* #,##0.00_-;\-* #,##0.00_-;_-* &quot;-&quot;??_-;_-@_-"/>
    <numFmt numFmtId="169" formatCode="_-* #,##0_-;\-* #,##0_-;_-* &quot;-&quot;_-;_-@_-"/>
  </numFmts>
  <fonts count="18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b/>
      <sz val="12"/>
      <color theme="1"/>
      <name val="TimesNewRomanPSMT"/>
    </font>
    <font>
      <sz val="12"/>
      <color rgb="FF000000"/>
      <name val="TimesNewRomanPSMT"/>
      <family val="2"/>
    </font>
    <font>
      <sz val="12"/>
      <name val="TimesNewRomanPSMT"/>
    </font>
    <font>
      <sz val="12"/>
      <name val="TimesNewRomanPSMT"/>
      <family val="2"/>
    </font>
    <font>
      <sz val="12"/>
      <color rgb="FFFF0000"/>
      <name val="TimesNewRomanPSMT"/>
      <family val="2"/>
    </font>
    <font>
      <sz val="12"/>
      <color theme="1"/>
      <name val="TimesNewRomanPSMT"/>
    </font>
    <font>
      <sz val="11"/>
      <color theme="1"/>
      <name val="Calibri"/>
      <family val="2"/>
      <charset val="1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0070C0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0">
    <xf numFmtId="0" fontId="0" fillId="0" borderId="0"/>
    <xf numFmtId="41" fontId="1" fillId="0" borderId="0" applyFont="0" applyFill="0" applyBorder="0" applyAlignment="0" applyProtection="0"/>
    <xf numFmtId="0" fontId="8" fillId="0" borderId="0"/>
    <xf numFmtId="0" fontId="9" fillId="0" borderId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1" fontId="8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14" fillId="0" borderId="0"/>
    <xf numFmtId="41" fontId="8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" fillId="0" borderId="0"/>
    <xf numFmtId="0" fontId="1" fillId="0" borderId="0"/>
  </cellStyleXfs>
  <cellXfs count="133">
    <xf numFmtId="0" fontId="0" fillId="0" borderId="0" xfId="0"/>
    <xf numFmtId="165" fontId="0" fillId="0" borderId="0" xfId="1" applyNumberFormat="1" applyFont="1"/>
    <xf numFmtId="165" fontId="2" fillId="0" borderId="0" xfId="1" applyNumberFormat="1" applyFont="1" applyAlignment="1">
      <alignment horizontal="center"/>
    </xf>
    <xf numFmtId="0" fontId="2" fillId="0" borderId="0" xfId="0" applyFont="1" applyAlignment="1">
      <alignment horizontal="left"/>
    </xf>
    <xf numFmtId="166" fontId="2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2" fillId="0" borderId="0" xfId="0" applyNumberFormat="1" applyFont="1" applyAlignment="1">
      <alignment horizontal="left"/>
    </xf>
    <xf numFmtId="0" fontId="0" fillId="0" borderId="0" xfId="0" quotePrefix="1"/>
    <xf numFmtId="0" fontId="4" fillId="0" borderId="0" xfId="0" applyFont="1"/>
    <xf numFmtId="165" fontId="0" fillId="0" borderId="0" xfId="1" applyNumberFormat="1" applyFont="1" applyFill="1"/>
    <xf numFmtId="0" fontId="5" fillId="0" borderId="0" xfId="0" quotePrefix="1" applyFont="1"/>
    <xf numFmtId="166" fontId="4" fillId="0" borderId="0" xfId="0" applyNumberFormat="1" applyFont="1" applyAlignment="1">
      <alignment horizontal="center"/>
    </xf>
    <xf numFmtId="165" fontId="4" fillId="0" borderId="0" xfId="1" applyNumberFormat="1" applyFont="1"/>
    <xf numFmtId="0" fontId="10" fillId="0" borderId="0" xfId="3" applyFont="1" applyAlignment="1">
      <alignment horizontal="center"/>
    </xf>
    <xf numFmtId="0" fontId="9" fillId="0" borderId="0" xfId="3" applyAlignment="1">
      <alignment horizontal="center"/>
    </xf>
    <xf numFmtId="0" fontId="9" fillId="0" borderId="0" xfId="3" applyAlignment="1">
      <alignment horizontal="left"/>
    </xf>
    <xf numFmtId="0" fontId="5" fillId="0" borderId="0" xfId="0" applyFont="1"/>
    <xf numFmtId="165" fontId="5" fillId="0" borderId="0" xfId="1" applyNumberFormat="1" applyFont="1"/>
    <xf numFmtId="165" fontId="3" fillId="0" borderId="0" xfId="0" applyNumberFormat="1" applyFont="1"/>
    <xf numFmtId="0" fontId="2" fillId="0" borderId="0" xfId="0" applyFont="1" applyAlignment="1">
      <alignment horizontal="center"/>
    </xf>
    <xf numFmtId="43" fontId="0" fillId="0" borderId="0" xfId="0" applyNumberFormat="1"/>
    <xf numFmtId="165" fontId="4" fillId="0" borderId="0" xfId="1" applyNumberFormat="1" applyFont="1" applyFill="1"/>
    <xf numFmtId="15" fontId="9" fillId="0" borderId="0" xfId="3" applyNumberFormat="1" applyAlignment="1">
      <alignment horizontal="center"/>
    </xf>
    <xf numFmtId="15" fontId="9" fillId="0" borderId="0" xfId="3" applyNumberFormat="1"/>
    <xf numFmtId="0" fontId="6" fillId="0" borderId="0" xfId="0" applyFont="1"/>
    <xf numFmtId="0" fontId="3" fillId="0" borderId="0" xfId="0" applyFont="1"/>
    <xf numFmtId="166" fontId="3" fillId="0" borderId="0" xfId="0" applyNumberFormat="1" applyFont="1" applyAlignment="1">
      <alignment horizontal="center"/>
    </xf>
    <xf numFmtId="0" fontId="12" fillId="0" borderId="0" xfId="3" applyFont="1" applyAlignment="1">
      <alignment horizontal="left"/>
    </xf>
    <xf numFmtId="41" fontId="4" fillId="0" borderId="0" xfId="1" applyFont="1"/>
    <xf numFmtId="165" fontId="9" fillId="0" borderId="0" xfId="1" applyNumberFormat="1" applyFont="1" applyFill="1"/>
    <xf numFmtId="0" fontId="10" fillId="0" borderId="2" xfId="3" applyFont="1" applyBorder="1" applyAlignment="1">
      <alignment horizontal="center"/>
    </xf>
    <xf numFmtId="0" fontId="15" fillId="0" borderId="0" xfId="0" applyFont="1"/>
    <xf numFmtId="41" fontId="4" fillId="0" borderId="0" xfId="1" applyFont="1" applyFill="1"/>
    <xf numFmtId="165" fontId="10" fillId="0" borderId="0" xfId="1" applyNumberFormat="1" applyFont="1" applyFill="1" applyBorder="1" applyAlignment="1">
      <alignment horizontal="center"/>
    </xf>
    <xf numFmtId="0" fontId="10" fillId="0" borderId="1" xfId="3" applyFont="1" applyBorder="1" applyAlignment="1">
      <alignment horizontal="center"/>
    </xf>
    <xf numFmtId="165" fontId="7" fillId="0" borderId="0" xfId="1" applyNumberFormat="1" applyFont="1"/>
    <xf numFmtId="165" fontId="7" fillId="0" borderId="0" xfId="1" applyNumberFormat="1" applyFont="1" applyFill="1"/>
    <xf numFmtId="0" fontId="10" fillId="0" borderId="0" xfId="8" applyFont="1" applyAlignment="1">
      <alignment horizontal="left" vertical="center"/>
    </xf>
    <xf numFmtId="0" fontId="13" fillId="0" borderId="0" xfId="14" applyFont="1"/>
    <xf numFmtId="0" fontId="13" fillId="0" borderId="0" xfId="14" applyFont="1" applyAlignment="1">
      <alignment horizontal="center"/>
    </xf>
    <xf numFmtId="15" fontId="10" fillId="0" borderId="2" xfId="3" applyNumberFormat="1" applyFont="1" applyBorder="1" applyAlignment="1">
      <alignment horizontal="center"/>
    </xf>
    <xf numFmtId="0" fontId="10" fillId="0" borderId="10" xfId="3" applyFont="1" applyBorder="1" applyAlignment="1">
      <alignment horizontal="center"/>
    </xf>
    <xf numFmtId="0" fontId="10" fillId="0" borderId="12" xfId="3" applyFont="1" applyBorder="1" applyAlignment="1">
      <alignment horizontal="center"/>
    </xf>
    <xf numFmtId="0" fontId="9" fillId="0" borderId="0" xfId="14" applyFont="1" applyAlignment="1">
      <alignment horizontal="center"/>
    </xf>
    <xf numFmtId="0" fontId="9" fillId="0" borderId="0" xfId="14" applyFont="1"/>
    <xf numFmtId="0" fontId="9" fillId="0" borderId="0" xfId="14" applyFont="1" applyAlignment="1">
      <alignment horizontal="left"/>
    </xf>
    <xf numFmtId="0" fontId="12" fillId="0" borderId="0" xfId="14" applyFont="1"/>
    <xf numFmtId="165" fontId="9" fillId="0" borderId="0" xfId="1" applyNumberFormat="1" applyFont="1"/>
    <xf numFmtId="0" fontId="9" fillId="0" borderId="0" xfId="0" applyFont="1" applyAlignment="1">
      <alignment horizontal="center"/>
    </xf>
    <xf numFmtId="0" fontId="12" fillId="0" borderId="0" xfId="3" applyFont="1" applyAlignment="1">
      <alignment horizontal="center"/>
    </xf>
    <xf numFmtId="0" fontId="11" fillId="0" borderId="0" xfId="3" applyFont="1" applyAlignment="1">
      <alignment horizontal="left"/>
    </xf>
    <xf numFmtId="43" fontId="13" fillId="0" borderId="0" xfId="15" applyFont="1" applyFill="1" applyAlignment="1"/>
    <xf numFmtId="43" fontId="10" fillId="0" borderId="4" xfId="15" applyFont="1" applyFill="1" applyBorder="1" applyAlignment="1">
      <alignment horizontal="centerContinuous"/>
    </xf>
    <xf numFmtId="43" fontId="10" fillId="0" borderId="5" xfId="15" applyFont="1" applyFill="1" applyBorder="1" applyAlignment="1">
      <alignment horizontal="centerContinuous"/>
    </xf>
    <xf numFmtId="43" fontId="10" fillId="0" borderId="10" xfId="15" applyFont="1" applyFill="1" applyBorder="1" applyAlignment="1">
      <alignment horizontal="centerContinuous"/>
    </xf>
    <xf numFmtId="43" fontId="10" fillId="0" borderId="11" xfId="15" applyFont="1" applyFill="1" applyBorder="1" applyAlignment="1">
      <alignment horizontal="centerContinuous"/>
    </xf>
    <xf numFmtId="43" fontId="10" fillId="0" borderId="7" xfId="15" applyFont="1" applyFill="1" applyBorder="1" applyAlignment="1">
      <alignment horizontal="center" vertical="center"/>
    </xf>
    <xf numFmtId="43" fontId="10" fillId="0" borderId="8" xfId="15" applyFont="1" applyFill="1" applyBorder="1" applyAlignment="1">
      <alignment horizontal="center" vertical="center"/>
    </xf>
    <xf numFmtId="43" fontId="10" fillId="0" borderId="12" xfId="15" applyFont="1" applyFill="1" applyBorder="1" applyAlignment="1">
      <alignment horizontal="center" vertical="center"/>
    </xf>
    <xf numFmtId="43" fontId="10" fillId="0" borderId="9" xfId="15" applyFont="1" applyFill="1" applyBorder="1" applyAlignment="1">
      <alignment horizontal="center" vertical="center"/>
    </xf>
    <xf numFmtId="43" fontId="9" fillId="0" borderId="0" xfId="15" applyFont="1" applyFill="1" applyAlignment="1"/>
    <xf numFmtId="43" fontId="9" fillId="0" borderId="0" xfId="15" applyFont="1" applyFill="1" applyAlignment="1">
      <alignment horizontal="left"/>
    </xf>
    <xf numFmtId="43" fontId="9" fillId="0" borderId="0" xfId="15" applyFont="1" applyFill="1" applyBorder="1" applyAlignment="1"/>
    <xf numFmtId="0" fontId="9" fillId="0" borderId="0" xfId="8" applyFont="1"/>
    <xf numFmtId="43" fontId="9" fillId="0" borderId="0" xfId="15" applyFont="1" applyFill="1"/>
    <xf numFmtId="0" fontId="12" fillId="0" borderId="0" xfId="14" applyFont="1" applyAlignment="1">
      <alignment horizontal="center"/>
    </xf>
    <xf numFmtId="43" fontId="12" fillId="0" borderId="0" xfId="15" applyFont="1" applyFill="1" applyBorder="1" applyAlignment="1"/>
    <xf numFmtId="43" fontId="12" fillId="0" borderId="0" xfId="15" applyFont="1" applyFill="1" applyAlignment="1"/>
    <xf numFmtId="43" fontId="12" fillId="0" borderId="0" xfId="15" applyFont="1" applyFill="1" applyAlignment="1">
      <alignment horizontal="left"/>
    </xf>
    <xf numFmtId="14" fontId="9" fillId="0" borderId="0" xfId="3" applyNumberFormat="1" applyAlignment="1">
      <alignment horizontal="left"/>
    </xf>
    <xf numFmtId="0" fontId="12" fillId="0" borderId="0" xfId="14" applyFont="1" applyAlignment="1">
      <alignment horizontal="left"/>
    </xf>
    <xf numFmtId="43" fontId="16" fillId="0" borderId="0" xfId="15" applyFont="1" applyFill="1" applyAlignment="1"/>
    <xf numFmtId="166" fontId="5" fillId="0" borderId="0" xfId="0" applyNumberFormat="1" applyFont="1" applyAlignment="1">
      <alignment horizontal="center"/>
    </xf>
    <xf numFmtId="0" fontId="9" fillId="0" borderId="0" xfId="8" applyFont="1" applyAlignment="1">
      <alignment horizontal="left"/>
    </xf>
    <xf numFmtId="15" fontId="10" fillId="0" borderId="0" xfId="3" applyNumberFormat="1" applyFont="1" applyAlignment="1">
      <alignment horizontal="center"/>
    </xf>
    <xf numFmtId="15" fontId="9" fillId="0" borderId="0" xfId="14" applyNumberFormat="1" applyFont="1" applyAlignment="1">
      <alignment horizontal="center" vertical="center"/>
    </xf>
    <xf numFmtId="16" fontId="13" fillId="0" borderId="0" xfId="14" applyNumberFormat="1" applyFont="1"/>
    <xf numFmtId="0" fontId="11" fillId="0" borderId="0" xfId="14" applyFont="1"/>
    <xf numFmtId="0" fontId="4" fillId="0" borderId="0" xfId="0" quotePrefix="1" applyFont="1"/>
    <xf numFmtId="165" fontId="13" fillId="0" borderId="0" xfId="1" applyNumberFormat="1" applyFont="1" applyFill="1" applyAlignment="1"/>
    <xf numFmtId="165" fontId="16" fillId="0" borderId="3" xfId="1" applyNumberFormat="1" applyFont="1" applyFill="1" applyBorder="1" applyAlignment="1">
      <alignment horizontal="centerContinuous"/>
    </xf>
    <xf numFmtId="165" fontId="10" fillId="0" borderId="8" xfId="1" applyNumberFormat="1" applyFont="1" applyFill="1" applyBorder="1" applyAlignment="1">
      <alignment horizontal="center"/>
    </xf>
    <xf numFmtId="165" fontId="9" fillId="0" borderId="0" xfId="1" applyNumberFormat="1" applyFont="1" applyFill="1" applyBorder="1" applyAlignment="1">
      <alignment horizontal="left"/>
    </xf>
    <xf numFmtId="165" fontId="9" fillId="0" borderId="0" xfId="1" applyNumberFormat="1" applyFont="1" applyFill="1" applyAlignment="1"/>
    <xf numFmtId="165" fontId="12" fillId="0" borderId="0" xfId="1" applyNumberFormat="1" applyFont="1" applyFill="1" applyAlignment="1"/>
    <xf numFmtId="165" fontId="12" fillId="0" borderId="0" xfId="1" applyNumberFormat="1" applyFont="1" applyFill="1" applyBorder="1" applyAlignment="1">
      <alignment horizontal="left"/>
    </xf>
    <xf numFmtId="165" fontId="13" fillId="0" borderId="0" xfId="1" applyNumberFormat="1" applyFont="1"/>
    <xf numFmtId="165" fontId="13" fillId="0" borderId="0" xfId="1" applyNumberFormat="1" applyFont="1" applyFill="1"/>
    <xf numFmtId="165" fontId="10" fillId="0" borderId="6" xfId="1" applyNumberFormat="1" applyFont="1" applyFill="1" applyBorder="1" applyAlignment="1">
      <alignment horizontal="center"/>
    </xf>
    <xf numFmtId="165" fontId="10" fillId="0" borderId="4" xfId="1" applyNumberFormat="1" applyFont="1" applyBorder="1" applyAlignment="1">
      <alignment horizontal="center"/>
    </xf>
    <xf numFmtId="165" fontId="10" fillId="0" borderId="5" xfId="1" applyNumberFormat="1" applyFont="1" applyFill="1" applyBorder="1" applyAlignment="1">
      <alignment horizontal="center"/>
    </xf>
    <xf numFmtId="165" fontId="10" fillId="0" borderId="4" xfId="1" applyNumberFormat="1" applyFont="1" applyFill="1" applyBorder="1" applyAlignment="1">
      <alignment horizontal="center"/>
    </xf>
    <xf numFmtId="165" fontId="10" fillId="0" borderId="10" xfId="1" applyNumberFormat="1" applyFont="1" applyFill="1" applyBorder="1" applyAlignment="1">
      <alignment horizontal="center"/>
    </xf>
    <xf numFmtId="165" fontId="10" fillId="0" borderId="9" xfId="1" applyNumberFormat="1" applyFont="1" applyFill="1" applyBorder="1" applyAlignment="1">
      <alignment horizontal="center"/>
    </xf>
    <xf numFmtId="165" fontId="10" fillId="0" borderId="7" xfId="1" applyNumberFormat="1" applyFont="1" applyBorder="1" applyAlignment="1">
      <alignment horizontal="center"/>
    </xf>
    <xf numFmtId="165" fontId="10" fillId="0" borderId="7" xfId="1" applyNumberFormat="1" applyFont="1" applyFill="1" applyBorder="1" applyAlignment="1">
      <alignment horizontal="center"/>
    </xf>
    <xf numFmtId="165" fontId="10" fillId="0" borderId="12" xfId="1" applyNumberFormat="1" applyFont="1" applyFill="1" applyBorder="1" applyAlignment="1">
      <alignment horizontal="center"/>
    </xf>
    <xf numFmtId="165" fontId="9" fillId="0" borderId="0" xfId="1" applyNumberFormat="1" applyFont="1" applyFill="1" applyAlignment="1">
      <alignment horizontal="left"/>
    </xf>
    <xf numFmtId="165" fontId="9" fillId="0" borderId="0" xfId="1" applyNumberFormat="1" applyFont="1" applyFill="1" applyBorder="1" applyAlignment="1"/>
    <xf numFmtId="165" fontId="12" fillId="0" borderId="0" xfId="1" applyNumberFormat="1" applyFont="1"/>
    <xf numFmtId="165" fontId="12" fillId="0" borderId="0" xfId="1" applyNumberFormat="1" applyFont="1" applyFill="1" applyAlignment="1">
      <alignment horizontal="left"/>
    </xf>
    <xf numFmtId="165" fontId="12" fillId="0" borderId="0" xfId="1" applyNumberFormat="1" applyFont="1" applyFill="1" applyBorder="1" applyAlignment="1"/>
    <xf numFmtId="165" fontId="16" fillId="0" borderId="1" xfId="1" applyNumberFormat="1" applyFont="1" applyFill="1" applyBorder="1" applyAlignment="1">
      <alignment horizontal="centerContinuous"/>
    </xf>
    <xf numFmtId="165" fontId="16" fillId="0" borderId="2" xfId="1" applyNumberFormat="1" applyFont="1" applyFill="1" applyBorder="1" applyAlignment="1">
      <alignment horizontal="centerContinuous"/>
    </xf>
    <xf numFmtId="165" fontId="16" fillId="0" borderId="11" xfId="1" applyNumberFormat="1" applyFont="1" applyFill="1" applyBorder="1" applyAlignment="1">
      <alignment horizontal="centerContinuous"/>
    </xf>
    <xf numFmtId="165" fontId="11" fillId="0" borderId="0" xfId="1" applyNumberFormat="1" applyFont="1" applyFill="1" applyBorder="1" applyAlignment="1">
      <alignment horizontal="left"/>
    </xf>
    <xf numFmtId="165" fontId="12" fillId="0" borderId="0" xfId="1" applyNumberFormat="1" applyFont="1" applyFill="1"/>
    <xf numFmtId="0" fontId="11" fillId="0" borderId="0" xfId="14" applyFont="1" applyAlignment="1">
      <alignment horizontal="center"/>
    </xf>
    <xf numFmtId="43" fontId="11" fillId="0" borderId="0" xfId="15" applyFont="1" applyFill="1" applyAlignment="1"/>
    <xf numFmtId="165" fontId="11" fillId="0" borderId="0" xfId="1" applyNumberFormat="1" applyFont="1"/>
    <xf numFmtId="15" fontId="9" fillId="0" borderId="0" xfId="14" applyNumberFormat="1" applyFont="1" applyAlignment="1">
      <alignment horizontal="center"/>
    </xf>
    <xf numFmtId="15" fontId="12" fillId="0" borderId="0" xfId="14" applyNumberFormat="1" applyFont="1" applyAlignment="1">
      <alignment horizontal="center" vertical="center"/>
    </xf>
    <xf numFmtId="15" fontId="12" fillId="0" borderId="0" xfId="14" applyNumberFormat="1" applyFont="1" applyAlignment="1">
      <alignment horizontal="center"/>
    </xf>
    <xf numFmtId="15" fontId="11" fillId="0" borderId="0" xfId="14" applyNumberFormat="1" applyFont="1" applyAlignment="1">
      <alignment horizontal="center"/>
    </xf>
    <xf numFmtId="43" fontId="11" fillId="0" borderId="0" xfId="15" applyFont="1" applyFill="1" applyBorder="1" applyAlignment="1"/>
    <xf numFmtId="15" fontId="11" fillId="0" borderId="0" xfId="14" applyNumberFormat="1" applyFont="1" applyAlignment="1">
      <alignment horizontal="center" vertical="center"/>
    </xf>
    <xf numFmtId="165" fontId="11" fillId="0" borderId="0" xfId="1" applyNumberFormat="1" applyFont="1" applyFill="1" applyAlignment="1"/>
    <xf numFmtId="165" fontId="11" fillId="0" borderId="0" xfId="1" applyNumberFormat="1" applyFont="1" applyFill="1"/>
    <xf numFmtId="165" fontId="11" fillId="0" borderId="0" xfId="1" applyNumberFormat="1" applyFont="1" applyFill="1" applyAlignment="1">
      <alignment horizontal="left"/>
    </xf>
    <xf numFmtId="165" fontId="11" fillId="0" borderId="0" xfId="1" applyNumberFormat="1" applyFont="1" applyFill="1" applyBorder="1" applyAlignment="1"/>
    <xf numFmtId="0" fontId="11" fillId="0" borderId="0" xfId="14" applyFont="1" applyAlignment="1">
      <alignment horizontal="left"/>
    </xf>
    <xf numFmtId="0" fontId="11" fillId="0" borderId="0" xfId="3" quotePrefix="1" applyFont="1" applyAlignment="1">
      <alignment horizontal="left"/>
    </xf>
    <xf numFmtId="0" fontId="11" fillId="0" borderId="0" xfId="19" applyFont="1"/>
    <xf numFmtId="43" fontId="11" fillId="0" borderId="0" xfId="15" applyFont="1" applyFill="1" applyAlignment="1">
      <alignment horizontal="left"/>
    </xf>
    <xf numFmtId="15" fontId="11" fillId="0" borderId="0" xfId="3" applyNumberFormat="1" applyFont="1" applyAlignment="1">
      <alignment horizontal="center"/>
    </xf>
    <xf numFmtId="15" fontId="12" fillId="0" borderId="0" xfId="3" applyNumberFormat="1" applyFont="1" applyAlignment="1">
      <alignment horizontal="center"/>
    </xf>
    <xf numFmtId="15" fontId="13" fillId="0" borderId="0" xfId="14" applyNumberFormat="1" applyFont="1" applyAlignment="1">
      <alignment horizontal="center"/>
    </xf>
    <xf numFmtId="0" fontId="12" fillId="0" borderId="0" xfId="0" applyFont="1" applyAlignment="1">
      <alignment horizontal="center"/>
    </xf>
    <xf numFmtId="14" fontId="12" fillId="0" borderId="0" xfId="3" applyNumberFormat="1" applyFont="1" applyAlignment="1">
      <alignment horizontal="center"/>
    </xf>
    <xf numFmtId="43" fontId="9" fillId="0" borderId="0" xfId="3" applyNumberFormat="1" applyAlignment="1">
      <alignment horizontal="left"/>
    </xf>
    <xf numFmtId="41" fontId="13" fillId="0" borderId="0" xfId="1" applyFont="1" applyFill="1" applyAlignment="1"/>
    <xf numFmtId="43" fontId="9" fillId="0" borderId="0" xfId="14" applyNumberFormat="1" applyFont="1" applyAlignment="1">
      <alignment horizontal="center"/>
    </xf>
    <xf numFmtId="0" fontId="10" fillId="0" borderId="2" xfId="3" applyFont="1" applyBorder="1" applyAlignment="1">
      <alignment horizontal="left"/>
    </xf>
  </cellXfs>
  <cellStyles count="20">
    <cellStyle name="Comma [0]" xfId="1" builtinId="6"/>
    <cellStyle name="Comma [0] 2" xfId="4" xr:uid="{E206625D-CE92-B946-878E-6AA0829E898C}"/>
    <cellStyle name="Comma [0] 2 2" xfId="12" xr:uid="{2A804006-5001-5049-84D3-FB258FE2E1AB}"/>
    <cellStyle name="Comma [0] 2 3" xfId="5" xr:uid="{20A799B3-BE5A-964F-BE1E-1391E29E7052}"/>
    <cellStyle name="Comma [0] 2 3 2" xfId="10" xr:uid="{6B5DF09C-6668-004E-832C-859692394773}"/>
    <cellStyle name="Comma [0] 2 3 2 2" xfId="17" xr:uid="{2EC272E1-F154-DE4D-8FFC-1738E0F2B485}"/>
    <cellStyle name="Comma [0] 3" xfId="9" xr:uid="{DCC47050-EC02-4040-8ED8-306B64C985B1}"/>
    <cellStyle name="Comma [0] 4" xfId="16" xr:uid="{5B145FB2-4D0A-B249-B369-54ABF0C38C9B}"/>
    <cellStyle name="Comma 2" xfId="6" xr:uid="{EAAE8118-4A1E-3049-ADC2-FB2BB5557A52}"/>
    <cellStyle name="Comma 2 2" xfId="7" xr:uid="{B0896BE0-35A1-2F49-8BC0-6D90093B48F4}"/>
    <cellStyle name="Comma 3" xfId="13" xr:uid="{D01750FA-08E4-0C47-9357-0F62E9D605A3}"/>
    <cellStyle name="Comma 4" xfId="15" xr:uid="{A2EC2101-5781-AC44-BED5-F1BDBB670F1A}"/>
    <cellStyle name="Normal" xfId="0" builtinId="0"/>
    <cellStyle name="Normal 2" xfId="2" xr:uid="{3B5401B9-DE75-EB48-9DE0-B2B7DAD183EC}"/>
    <cellStyle name="Normal 2 2" xfId="8" xr:uid="{54DAEB53-87F6-084C-A87B-7176E7EB83C2}"/>
    <cellStyle name="Normal 2 3" xfId="19" xr:uid="{FA86753D-0FFC-1948-8EF3-B2B2A5BEC3D7}"/>
    <cellStyle name="Normal 3" xfId="14" xr:uid="{8B874317-EAD8-D042-9017-3A3DD28E4B28}"/>
    <cellStyle name="Normal 3 4 2" xfId="11" xr:uid="{B424239B-ED7C-D142-AC4A-5D267E1997FC}"/>
    <cellStyle name="Normal 3 6" xfId="3" xr:uid="{0DE30895-D5B6-4F42-8773-FC3E05E857CB}"/>
    <cellStyle name="Normal 3 6 2" xfId="18" xr:uid="{8ECA74BB-2D76-474D-9277-CB573693B1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16591-3D53-2B4D-A9DE-438AD102374C}">
  <sheetPr filterMode="1"/>
  <dimension ref="A1:J663"/>
  <sheetViews>
    <sheetView zoomScaleNormal="87" workbookViewId="0">
      <selection activeCell="F4" sqref="F4:I4"/>
    </sheetView>
  </sheetViews>
  <sheetFormatPr defaultColWidth="11" defaultRowHeight="15.45"/>
  <cols>
    <col min="1" max="1" width="11.3125" style="5" customWidth="1"/>
    <col min="2" max="2" width="76.6875" customWidth="1"/>
    <col min="3" max="4" width="19.6875" style="35" customWidth="1"/>
    <col min="5" max="5" width="20.6875" style="1" customWidth="1"/>
    <col min="6" max="6" width="23" customWidth="1"/>
    <col min="7" max="7" width="43.1875" customWidth="1"/>
    <col min="8" max="8" width="59.6875" customWidth="1"/>
    <col min="9" max="9" width="56.8125" customWidth="1"/>
    <col min="10" max="10" width="68" customWidth="1"/>
  </cols>
  <sheetData>
    <row r="1" spans="1:9">
      <c r="A1" s="6" t="s">
        <v>0</v>
      </c>
      <c r="B1" t="s">
        <v>1</v>
      </c>
      <c r="C1" s="35" t="s">
        <v>19</v>
      </c>
      <c r="D1" s="35" t="s">
        <v>19</v>
      </c>
      <c r="E1" s="1" t="s">
        <v>19</v>
      </c>
      <c r="F1" t="s">
        <v>19</v>
      </c>
      <c r="G1" s="20" t="s">
        <v>19</v>
      </c>
    </row>
    <row r="2" spans="1:9">
      <c r="A2" s="6" t="s">
        <v>2</v>
      </c>
    </row>
    <row r="4" spans="1:9" ht="15">
      <c r="A4" s="4" t="s">
        <v>3</v>
      </c>
      <c r="B4" s="3" t="s">
        <v>139</v>
      </c>
      <c r="C4" s="2" t="s">
        <v>1281</v>
      </c>
      <c r="D4" s="2" t="s">
        <v>1282</v>
      </c>
      <c r="E4" s="1">
        <v>39994324.360000037</v>
      </c>
      <c r="F4" s="19" t="s">
        <v>1283</v>
      </c>
      <c r="G4" s="19" t="s">
        <v>1284</v>
      </c>
      <c r="H4" s="19" t="s">
        <v>1285</v>
      </c>
      <c r="I4" s="19" t="s">
        <v>1286</v>
      </c>
    </row>
    <row r="5" spans="1:9" hidden="1">
      <c r="A5" s="5">
        <v>45659</v>
      </c>
      <c r="B5" s="7" t="s">
        <v>267</v>
      </c>
      <c r="C5" s="1">
        <v>0</v>
      </c>
      <c r="D5" s="1">
        <v>239000000</v>
      </c>
      <c r="E5" s="12">
        <f t="shared" ref="E5:E17" si="0">E4-C5+D5</f>
        <v>278994324.36000001</v>
      </c>
      <c r="F5" t="s">
        <v>252</v>
      </c>
      <c r="G5" s="8" t="s">
        <v>51</v>
      </c>
      <c r="H5" s="38"/>
    </row>
    <row r="6" spans="1:9" hidden="1">
      <c r="A6" s="5">
        <v>45665</v>
      </c>
      <c r="B6" s="7" t="s">
        <v>268</v>
      </c>
      <c r="C6" s="1">
        <v>0</v>
      </c>
      <c r="D6" s="1">
        <v>50900000</v>
      </c>
      <c r="E6" s="12">
        <f t="shared" si="0"/>
        <v>329894324.36000001</v>
      </c>
      <c r="F6" t="s">
        <v>9</v>
      </c>
      <c r="G6" s="8" t="s">
        <v>13</v>
      </c>
      <c r="H6" s="44" t="s">
        <v>119</v>
      </c>
      <c r="I6" s="44" t="s">
        <v>518</v>
      </c>
    </row>
    <row r="7" spans="1:9" hidden="1">
      <c r="A7" s="5">
        <v>45667</v>
      </c>
      <c r="B7" s="7" t="s">
        <v>140</v>
      </c>
      <c r="C7" s="1">
        <v>0</v>
      </c>
      <c r="D7" s="1">
        <v>3000000</v>
      </c>
      <c r="E7" s="12">
        <f t="shared" si="0"/>
        <v>332894324.36000001</v>
      </c>
      <c r="F7" t="s">
        <v>301</v>
      </c>
      <c r="G7" t="s">
        <v>301</v>
      </c>
      <c r="H7" s="38"/>
    </row>
    <row r="8" spans="1:9" hidden="1">
      <c r="A8" s="5">
        <v>45671</v>
      </c>
      <c r="B8" s="7" t="s">
        <v>141</v>
      </c>
      <c r="C8" s="1">
        <v>3000000</v>
      </c>
      <c r="D8" s="1">
        <v>0</v>
      </c>
      <c r="E8" s="12">
        <f t="shared" si="0"/>
        <v>329894324.36000001</v>
      </c>
      <c r="F8" t="s">
        <v>301</v>
      </c>
      <c r="G8" t="s">
        <v>301</v>
      </c>
      <c r="H8" s="38"/>
    </row>
    <row r="9" spans="1:9" hidden="1">
      <c r="A9" s="5">
        <v>45671</v>
      </c>
      <c r="B9" s="7" t="s">
        <v>142</v>
      </c>
      <c r="C9" s="1">
        <v>640000</v>
      </c>
      <c r="D9" s="1">
        <v>0</v>
      </c>
      <c r="E9" s="12">
        <f t="shared" si="0"/>
        <v>329254324.36000001</v>
      </c>
      <c r="F9" s="8" t="s">
        <v>6</v>
      </c>
      <c r="G9" s="8" t="s">
        <v>11</v>
      </c>
      <c r="H9" s="38" t="s">
        <v>20</v>
      </c>
    </row>
    <row r="10" spans="1:9" hidden="1">
      <c r="A10" s="5">
        <v>45671</v>
      </c>
      <c r="B10" s="7" t="s">
        <v>72</v>
      </c>
      <c r="C10" s="1">
        <v>480000</v>
      </c>
      <c r="D10" s="1">
        <v>0</v>
      </c>
      <c r="E10" s="12">
        <f t="shared" si="0"/>
        <v>328774324.36000001</v>
      </c>
      <c r="F10" s="8" t="s">
        <v>6</v>
      </c>
      <c r="G10" s="8" t="s">
        <v>11</v>
      </c>
      <c r="H10" s="38" t="s">
        <v>20</v>
      </c>
    </row>
    <row r="11" spans="1:9" hidden="1">
      <c r="A11" s="5">
        <v>45671</v>
      </c>
      <c r="B11" s="7" t="s">
        <v>143</v>
      </c>
      <c r="C11" s="1">
        <v>820000</v>
      </c>
      <c r="D11" s="1">
        <v>0</v>
      </c>
      <c r="E11" s="12">
        <f t="shared" si="0"/>
        <v>327954324.36000001</v>
      </c>
      <c r="F11" s="8" t="s">
        <v>6</v>
      </c>
      <c r="G11" s="8" t="s">
        <v>11</v>
      </c>
      <c r="H11" s="38" t="s">
        <v>20</v>
      </c>
    </row>
    <row r="12" spans="1:9" hidden="1">
      <c r="A12" s="5">
        <v>45671</v>
      </c>
      <c r="B12" s="7" t="s">
        <v>144</v>
      </c>
      <c r="C12" s="1">
        <v>2025000</v>
      </c>
      <c r="D12" s="1">
        <v>0</v>
      </c>
      <c r="E12" s="12">
        <f t="shared" si="0"/>
        <v>325929324.36000001</v>
      </c>
      <c r="F12" s="8" t="s">
        <v>6</v>
      </c>
      <c r="G12" s="8" t="s">
        <v>11</v>
      </c>
      <c r="H12" s="31" t="s">
        <v>20</v>
      </c>
    </row>
    <row r="13" spans="1:9" hidden="1">
      <c r="A13" s="5">
        <v>45674</v>
      </c>
      <c r="B13" s="7" t="s">
        <v>73</v>
      </c>
      <c r="C13" s="1">
        <v>20000</v>
      </c>
      <c r="D13" s="1">
        <v>0</v>
      </c>
      <c r="E13" s="12">
        <f t="shared" si="0"/>
        <v>325909324.36000001</v>
      </c>
      <c r="F13" s="8" t="s">
        <v>14</v>
      </c>
      <c r="G13" s="8" t="s">
        <v>50</v>
      </c>
      <c r="H13" s="38"/>
    </row>
    <row r="14" spans="1:9" hidden="1">
      <c r="A14" s="5">
        <v>45677</v>
      </c>
      <c r="B14" s="7" t="s">
        <v>269</v>
      </c>
      <c r="C14" s="1">
        <v>0</v>
      </c>
      <c r="D14" s="1">
        <v>32962116</v>
      </c>
      <c r="E14" s="12">
        <f t="shared" si="0"/>
        <v>358871440.36000001</v>
      </c>
      <c r="F14" t="s">
        <v>9</v>
      </c>
      <c r="G14" s="8" t="s">
        <v>13</v>
      </c>
      <c r="H14" s="44" t="s">
        <v>123</v>
      </c>
      <c r="I14" s="44" t="s">
        <v>516</v>
      </c>
    </row>
    <row r="15" spans="1:9" hidden="1">
      <c r="A15" s="5">
        <v>45680</v>
      </c>
      <c r="B15" s="7" t="s">
        <v>270</v>
      </c>
      <c r="C15" s="1">
        <v>0</v>
      </c>
      <c r="D15" s="1">
        <v>1609520</v>
      </c>
      <c r="E15" s="12">
        <f t="shared" si="0"/>
        <v>360480960.36000001</v>
      </c>
      <c r="F15" t="s">
        <v>9</v>
      </c>
      <c r="G15" s="8" t="s">
        <v>13</v>
      </c>
      <c r="H15" s="44" t="s">
        <v>123</v>
      </c>
      <c r="I15" s="44" t="s">
        <v>517</v>
      </c>
    </row>
    <row r="16" spans="1:9" hidden="1">
      <c r="A16" s="5">
        <v>45680</v>
      </c>
      <c r="B16" s="7" t="s">
        <v>270</v>
      </c>
      <c r="C16" s="1">
        <v>0</v>
      </c>
      <c r="D16" s="1">
        <v>14410000</v>
      </c>
      <c r="E16" s="12">
        <f t="shared" si="0"/>
        <v>374890960.36000001</v>
      </c>
      <c r="F16" t="s">
        <v>9</v>
      </c>
      <c r="G16" s="8" t="s">
        <v>13</v>
      </c>
      <c r="H16" s="44" t="s">
        <v>123</v>
      </c>
      <c r="I16" s="44" t="s">
        <v>517</v>
      </c>
    </row>
    <row r="17" spans="1:8" hidden="1">
      <c r="A17" s="5">
        <v>45681</v>
      </c>
      <c r="B17" s="7" t="s">
        <v>145</v>
      </c>
      <c r="C17" s="1">
        <v>1200000</v>
      </c>
      <c r="D17" s="1">
        <v>0</v>
      </c>
      <c r="E17" s="12">
        <f t="shared" si="0"/>
        <v>373690960.36000001</v>
      </c>
      <c r="F17" s="8" t="s">
        <v>4</v>
      </c>
      <c r="G17" s="8" t="s">
        <v>5</v>
      </c>
      <c r="H17" s="44" t="s">
        <v>296</v>
      </c>
    </row>
    <row r="18" spans="1:8" hidden="1">
      <c r="A18" s="5">
        <v>45681</v>
      </c>
      <c r="B18" s="7" t="s">
        <v>146</v>
      </c>
      <c r="C18" s="1">
        <v>1200000</v>
      </c>
      <c r="D18" s="1">
        <v>0</v>
      </c>
      <c r="E18" s="12">
        <f t="shared" ref="E18:E81" si="1">E17-C18+D18</f>
        <v>372490960.36000001</v>
      </c>
      <c r="F18" s="8" t="s">
        <v>4</v>
      </c>
      <c r="G18" s="8" t="s">
        <v>5</v>
      </c>
      <c r="H18" s="44" t="s">
        <v>296</v>
      </c>
    </row>
    <row r="19" spans="1:8" hidden="1">
      <c r="A19" s="5">
        <v>45681</v>
      </c>
      <c r="B19" s="7" t="s">
        <v>147</v>
      </c>
      <c r="C19" s="1">
        <v>1200000</v>
      </c>
      <c r="D19" s="1">
        <v>0</v>
      </c>
      <c r="E19" s="12">
        <f t="shared" si="1"/>
        <v>371290960.36000001</v>
      </c>
      <c r="F19" s="8" t="s">
        <v>4</v>
      </c>
      <c r="G19" s="8" t="s">
        <v>5</v>
      </c>
      <c r="H19" s="44" t="s">
        <v>296</v>
      </c>
    </row>
    <row r="20" spans="1:8" hidden="1">
      <c r="A20" s="5">
        <v>45681</v>
      </c>
      <c r="B20" s="7" t="s">
        <v>148</v>
      </c>
      <c r="C20" s="1">
        <v>1200000</v>
      </c>
      <c r="D20" s="1">
        <v>0</v>
      </c>
      <c r="E20" s="12">
        <f t="shared" si="1"/>
        <v>370090960.36000001</v>
      </c>
      <c r="F20" s="8" t="s">
        <v>4</v>
      </c>
      <c r="G20" s="8" t="s">
        <v>5</v>
      </c>
      <c r="H20" s="44" t="s">
        <v>296</v>
      </c>
    </row>
    <row r="21" spans="1:8" hidden="1">
      <c r="A21" s="5">
        <v>45681</v>
      </c>
      <c r="B21" s="7" t="s">
        <v>149</v>
      </c>
      <c r="C21" s="1">
        <v>1200000</v>
      </c>
      <c r="D21" s="1">
        <v>0</v>
      </c>
      <c r="E21" s="12">
        <f t="shared" si="1"/>
        <v>368890960.36000001</v>
      </c>
      <c r="F21" s="8" t="s">
        <v>4</v>
      </c>
      <c r="G21" s="8" t="s">
        <v>5</v>
      </c>
      <c r="H21" s="44" t="s">
        <v>296</v>
      </c>
    </row>
    <row r="22" spans="1:8" hidden="1">
      <c r="A22" s="5">
        <v>45681</v>
      </c>
      <c r="B22" s="7" t="s">
        <v>150</v>
      </c>
      <c r="C22" s="1">
        <v>1200000</v>
      </c>
      <c r="D22" s="1">
        <v>0</v>
      </c>
      <c r="E22" s="12">
        <f t="shared" si="1"/>
        <v>367690960.36000001</v>
      </c>
      <c r="F22" s="8" t="s">
        <v>4</v>
      </c>
      <c r="G22" s="8" t="s">
        <v>5</v>
      </c>
      <c r="H22" s="44" t="s">
        <v>296</v>
      </c>
    </row>
    <row r="23" spans="1:8" hidden="1">
      <c r="A23" s="5">
        <v>45681</v>
      </c>
      <c r="B23" s="7" t="s">
        <v>151</v>
      </c>
      <c r="C23" s="1">
        <v>800000</v>
      </c>
      <c r="D23" s="1">
        <v>0</v>
      </c>
      <c r="E23" s="12">
        <f t="shared" si="1"/>
        <v>366890960.36000001</v>
      </c>
      <c r="F23" s="8" t="s">
        <v>4</v>
      </c>
      <c r="G23" s="8" t="s">
        <v>5</v>
      </c>
      <c r="H23" s="44" t="s">
        <v>296</v>
      </c>
    </row>
    <row r="24" spans="1:8" hidden="1">
      <c r="A24" s="5">
        <v>45681</v>
      </c>
      <c r="B24" s="7" t="s">
        <v>152</v>
      </c>
      <c r="C24" s="1">
        <v>800000</v>
      </c>
      <c r="D24" s="1">
        <v>0</v>
      </c>
      <c r="E24" s="12">
        <f t="shared" si="1"/>
        <v>366090960.36000001</v>
      </c>
      <c r="F24" s="8" t="s">
        <v>4</v>
      </c>
      <c r="G24" s="8" t="s">
        <v>5</v>
      </c>
      <c r="H24" s="44" t="s">
        <v>296</v>
      </c>
    </row>
    <row r="25" spans="1:8" hidden="1">
      <c r="A25" s="5">
        <v>45681</v>
      </c>
      <c r="B25" s="7" t="s">
        <v>153</v>
      </c>
      <c r="C25" s="1">
        <v>1200000</v>
      </c>
      <c r="D25" s="1">
        <v>0</v>
      </c>
      <c r="E25" s="12">
        <f t="shared" si="1"/>
        <v>364890960.36000001</v>
      </c>
      <c r="F25" s="8" t="s">
        <v>4</v>
      </c>
      <c r="G25" s="8" t="s">
        <v>5</v>
      </c>
      <c r="H25" s="44" t="s">
        <v>296</v>
      </c>
    </row>
    <row r="26" spans="1:8" hidden="1">
      <c r="A26" s="5">
        <v>45681</v>
      </c>
      <c r="B26" s="7" t="s">
        <v>154</v>
      </c>
      <c r="C26" s="1">
        <v>1200000</v>
      </c>
      <c r="D26" s="1">
        <v>0</v>
      </c>
      <c r="E26" s="12">
        <f t="shared" si="1"/>
        <v>363690960.36000001</v>
      </c>
      <c r="F26" s="8" t="s">
        <v>4</v>
      </c>
      <c r="G26" s="8" t="s">
        <v>5</v>
      </c>
      <c r="H26" s="44" t="s">
        <v>296</v>
      </c>
    </row>
    <row r="27" spans="1:8" hidden="1">
      <c r="A27" s="5">
        <v>45681</v>
      </c>
      <c r="B27" s="7" t="s">
        <v>155</v>
      </c>
      <c r="C27" s="1">
        <v>1600000</v>
      </c>
      <c r="D27" s="1">
        <v>0</v>
      </c>
      <c r="E27" s="12">
        <f t="shared" si="1"/>
        <v>362090960.36000001</v>
      </c>
      <c r="F27" s="8" t="s">
        <v>4</v>
      </c>
      <c r="G27" s="8" t="s">
        <v>5</v>
      </c>
      <c r="H27" s="44" t="s">
        <v>296</v>
      </c>
    </row>
    <row r="28" spans="1:8" hidden="1">
      <c r="A28" s="5">
        <v>45681</v>
      </c>
      <c r="B28" s="7" t="s">
        <v>156</v>
      </c>
      <c r="C28" s="1">
        <v>550000</v>
      </c>
      <c r="D28" s="1">
        <v>0</v>
      </c>
      <c r="E28" s="12">
        <f t="shared" si="1"/>
        <v>361540960.36000001</v>
      </c>
      <c r="F28" s="8" t="s">
        <v>4</v>
      </c>
      <c r="G28" s="8" t="s">
        <v>5</v>
      </c>
      <c r="H28" s="44" t="s">
        <v>296</v>
      </c>
    </row>
    <row r="29" spans="1:8" hidden="1">
      <c r="A29" s="5">
        <v>45681</v>
      </c>
      <c r="B29" s="7" t="s">
        <v>157</v>
      </c>
      <c r="C29" s="1">
        <v>1000000</v>
      </c>
      <c r="D29" s="1">
        <v>0</v>
      </c>
      <c r="E29" s="12">
        <f t="shared" si="1"/>
        <v>360540960.36000001</v>
      </c>
      <c r="F29" s="8" t="s">
        <v>4</v>
      </c>
      <c r="G29" s="8" t="s">
        <v>5</v>
      </c>
      <c r="H29" s="44" t="s">
        <v>296</v>
      </c>
    </row>
    <row r="30" spans="1:8" hidden="1">
      <c r="A30" s="5">
        <v>45681</v>
      </c>
      <c r="B30" s="7" t="s">
        <v>158</v>
      </c>
      <c r="C30" s="1">
        <v>350000</v>
      </c>
      <c r="D30" s="1">
        <v>0</v>
      </c>
      <c r="E30" s="12">
        <f t="shared" si="1"/>
        <v>360190960.36000001</v>
      </c>
      <c r="F30" s="8" t="s">
        <v>4</v>
      </c>
      <c r="G30" s="8" t="s">
        <v>5</v>
      </c>
      <c r="H30" s="44" t="s">
        <v>296</v>
      </c>
    </row>
    <row r="31" spans="1:8" hidden="1">
      <c r="A31" s="5">
        <v>45681</v>
      </c>
      <c r="B31" s="7" t="s">
        <v>159</v>
      </c>
      <c r="C31" s="1">
        <v>800000</v>
      </c>
      <c r="D31" s="1">
        <v>0</v>
      </c>
      <c r="E31" s="12">
        <f t="shared" si="1"/>
        <v>359390960.36000001</v>
      </c>
      <c r="F31" s="8" t="s">
        <v>4</v>
      </c>
      <c r="G31" s="8" t="s">
        <v>5</v>
      </c>
      <c r="H31" s="44" t="s">
        <v>296</v>
      </c>
    </row>
    <row r="32" spans="1:8" hidden="1">
      <c r="A32" s="5">
        <v>45681</v>
      </c>
      <c r="B32" s="7" t="s">
        <v>160</v>
      </c>
      <c r="C32" s="18">
        <v>1200000</v>
      </c>
      <c r="D32" s="1">
        <v>0</v>
      </c>
      <c r="E32" s="12">
        <f t="shared" si="1"/>
        <v>358190960.36000001</v>
      </c>
      <c r="F32" s="8" t="s">
        <v>4</v>
      </c>
      <c r="G32" s="8" t="s">
        <v>5</v>
      </c>
      <c r="H32" s="44" t="s">
        <v>296</v>
      </c>
    </row>
    <row r="33" spans="1:10" hidden="1">
      <c r="A33" s="5">
        <v>45681</v>
      </c>
      <c r="B33" s="7" t="s">
        <v>161</v>
      </c>
      <c r="C33" s="1">
        <v>400000</v>
      </c>
      <c r="D33" s="1">
        <v>0</v>
      </c>
      <c r="E33" s="12">
        <f t="shared" si="1"/>
        <v>357790960.36000001</v>
      </c>
      <c r="F33" s="8" t="s">
        <v>4</v>
      </c>
      <c r="G33" s="8" t="s">
        <v>5</v>
      </c>
      <c r="H33" s="44" t="s">
        <v>690</v>
      </c>
    </row>
    <row r="34" spans="1:10" hidden="1">
      <c r="A34" s="5">
        <v>45681</v>
      </c>
      <c r="B34" s="7" t="s">
        <v>162</v>
      </c>
      <c r="C34" s="1">
        <v>400000</v>
      </c>
      <c r="D34" s="1">
        <v>0</v>
      </c>
      <c r="E34" s="12">
        <f t="shared" si="1"/>
        <v>357390960.36000001</v>
      </c>
      <c r="F34" s="8" t="s">
        <v>4</v>
      </c>
      <c r="G34" s="8" t="s">
        <v>5</v>
      </c>
      <c r="H34" s="44" t="s">
        <v>690</v>
      </c>
    </row>
    <row r="35" spans="1:10" hidden="1">
      <c r="A35" s="5">
        <v>45681</v>
      </c>
      <c r="B35" s="7" t="s">
        <v>163</v>
      </c>
      <c r="C35" s="1">
        <v>400000</v>
      </c>
      <c r="D35" s="1">
        <v>0</v>
      </c>
      <c r="E35" s="12">
        <f t="shared" si="1"/>
        <v>356990960.36000001</v>
      </c>
      <c r="F35" s="8" t="s">
        <v>4</v>
      </c>
      <c r="G35" s="8" t="s">
        <v>5</v>
      </c>
      <c r="H35" s="44" t="s">
        <v>690</v>
      </c>
    </row>
    <row r="36" spans="1:10" hidden="1">
      <c r="A36" s="5">
        <v>45681</v>
      </c>
      <c r="B36" s="7" t="s">
        <v>164</v>
      </c>
      <c r="C36" s="1">
        <v>550000</v>
      </c>
      <c r="D36" s="1">
        <v>0</v>
      </c>
      <c r="E36" s="12">
        <f t="shared" si="1"/>
        <v>356440960.36000001</v>
      </c>
      <c r="F36" s="8" t="s">
        <v>4</v>
      </c>
      <c r="G36" s="8" t="s">
        <v>5</v>
      </c>
      <c r="H36" s="44" t="s">
        <v>296</v>
      </c>
    </row>
    <row r="37" spans="1:10" s="8" customFormat="1" hidden="1">
      <c r="A37" s="5">
        <v>45681</v>
      </c>
      <c r="B37" s="7" t="s">
        <v>165</v>
      </c>
      <c r="C37" s="18">
        <v>400000</v>
      </c>
      <c r="D37" s="1">
        <v>0</v>
      </c>
      <c r="E37" s="12">
        <f t="shared" si="1"/>
        <v>356040960.36000001</v>
      </c>
      <c r="F37" s="8" t="s">
        <v>4</v>
      </c>
      <c r="G37" s="8" t="s">
        <v>5</v>
      </c>
      <c r="H37" s="44" t="s">
        <v>690</v>
      </c>
      <c r="J37" s="8" t="s">
        <v>19</v>
      </c>
    </row>
    <row r="38" spans="1:10" hidden="1">
      <c r="A38" s="5">
        <v>45681</v>
      </c>
      <c r="B38" s="7" t="s">
        <v>166</v>
      </c>
      <c r="C38" s="1">
        <v>300000</v>
      </c>
      <c r="D38" s="1">
        <v>0</v>
      </c>
      <c r="E38" s="12">
        <f t="shared" si="1"/>
        <v>355740960.36000001</v>
      </c>
      <c r="F38" s="8" t="s">
        <v>4</v>
      </c>
      <c r="G38" s="8" t="s">
        <v>5</v>
      </c>
      <c r="H38" s="44" t="s">
        <v>690</v>
      </c>
    </row>
    <row r="39" spans="1:10" hidden="1">
      <c r="A39" s="5">
        <v>45685</v>
      </c>
      <c r="B39" s="7" t="s">
        <v>74</v>
      </c>
      <c r="C39" s="1">
        <v>83450000</v>
      </c>
      <c r="D39" s="1">
        <v>0</v>
      </c>
      <c r="E39" s="12">
        <f t="shared" si="1"/>
        <v>272290960.36000001</v>
      </c>
      <c r="F39" s="8" t="s">
        <v>28</v>
      </c>
      <c r="G39" s="8" t="s">
        <v>16</v>
      </c>
      <c r="H39" s="38"/>
    </row>
    <row r="40" spans="1:10" hidden="1">
      <c r="A40" s="5">
        <v>45685</v>
      </c>
      <c r="B40" s="7" t="s">
        <v>187</v>
      </c>
      <c r="C40" s="1">
        <v>0</v>
      </c>
      <c r="D40" s="1">
        <v>2000000</v>
      </c>
      <c r="E40" s="12">
        <f t="shared" si="1"/>
        <v>274290960.36000001</v>
      </c>
      <c r="F40" t="s">
        <v>9</v>
      </c>
      <c r="G40" s="8" t="s">
        <v>33</v>
      </c>
      <c r="H40" s="38" t="s">
        <v>10</v>
      </c>
    </row>
    <row r="41" spans="1:10" hidden="1">
      <c r="A41" s="5">
        <v>45685</v>
      </c>
      <c r="B41" s="7" t="s">
        <v>81</v>
      </c>
      <c r="C41" s="1">
        <v>0</v>
      </c>
      <c r="D41" s="1">
        <v>2000000</v>
      </c>
      <c r="E41" s="12">
        <f t="shared" si="1"/>
        <v>276290960.36000001</v>
      </c>
      <c r="F41" t="s">
        <v>9</v>
      </c>
      <c r="G41" s="8" t="s">
        <v>33</v>
      </c>
      <c r="H41" s="38" t="s">
        <v>26</v>
      </c>
    </row>
    <row r="42" spans="1:10" hidden="1">
      <c r="A42" s="5">
        <v>45685</v>
      </c>
      <c r="B42" s="7" t="s">
        <v>167</v>
      </c>
      <c r="C42" s="1">
        <v>0</v>
      </c>
      <c r="D42" s="1">
        <v>250000</v>
      </c>
      <c r="E42" s="12">
        <f t="shared" si="1"/>
        <v>276540960.36000001</v>
      </c>
      <c r="F42" t="s">
        <v>9</v>
      </c>
      <c r="G42" s="8" t="s">
        <v>33</v>
      </c>
      <c r="H42" s="8" t="s">
        <v>126</v>
      </c>
    </row>
    <row r="43" spans="1:10" hidden="1">
      <c r="A43" s="5">
        <v>45685</v>
      </c>
      <c r="B43" s="7" t="s">
        <v>97</v>
      </c>
      <c r="C43" s="1">
        <v>0</v>
      </c>
      <c r="D43" s="1">
        <v>400000</v>
      </c>
      <c r="E43" s="12">
        <f t="shared" si="1"/>
        <v>276940960.36000001</v>
      </c>
      <c r="F43" t="s">
        <v>9</v>
      </c>
      <c r="G43" s="8" t="s">
        <v>33</v>
      </c>
      <c r="H43" s="38" t="s">
        <v>45</v>
      </c>
    </row>
    <row r="44" spans="1:10" hidden="1">
      <c r="A44" s="5">
        <v>45685</v>
      </c>
      <c r="B44" s="7" t="s">
        <v>168</v>
      </c>
      <c r="C44" s="1">
        <v>0</v>
      </c>
      <c r="D44" s="1">
        <v>1000000</v>
      </c>
      <c r="E44" s="12">
        <f t="shared" si="1"/>
        <v>277940960.36000001</v>
      </c>
      <c r="F44" t="s">
        <v>9</v>
      </c>
      <c r="G44" s="8" t="s">
        <v>33</v>
      </c>
      <c r="H44" s="38" t="s">
        <v>46</v>
      </c>
    </row>
    <row r="45" spans="1:10" hidden="1">
      <c r="A45" s="5">
        <v>45687</v>
      </c>
      <c r="B45" s="7" t="s">
        <v>169</v>
      </c>
      <c r="C45" s="1">
        <v>1200000</v>
      </c>
      <c r="D45" s="1">
        <v>0</v>
      </c>
      <c r="E45" s="12">
        <f t="shared" si="1"/>
        <v>276740960.36000001</v>
      </c>
      <c r="F45" s="8" t="s">
        <v>4</v>
      </c>
      <c r="G45" s="8" t="s">
        <v>5</v>
      </c>
      <c r="H45" s="44" t="s">
        <v>296</v>
      </c>
    </row>
    <row r="46" spans="1:10" hidden="1">
      <c r="A46" s="5">
        <v>45687</v>
      </c>
      <c r="B46" s="7" t="s">
        <v>170</v>
      </c>
      <c r="C46" s="1">
        <v>400000</v>
      </c>
      <c r="D46" s="1">
        <v>0</v>
      </c>
      <c r="E46" s="12">
        <f t="shared" si="1"/>
        <v>276340960.36000001</v>
      </c>
      <c r="F46" s="8" t="s">
        <v>4</v>
      </c>
      <c r="G46" s="8" t="s">
        <v>5</v>
      </c>
      <c r="H46" s="44" t="s">
        <v>690</v>
      </c>
    </row>
    <row r="47" spans="1:10" hidden="1">
      <c r="A47" s="5">
        <v>45688</v>
      </c>
      <c r="B47" s="7" t="s">
        <v>75</v>
      </c>
      <c r="C47" s="1">
        <v>0</v>
      </c>
      <c r="D47" s="1">
        <v>2642.42</v>
      </c>
      <c r="E47" s="12">
        <f t="shared" si="1"/>
        <v>276343602.78000003</v>
      </c>
      <c r="F47" t="s">
        <v>252</v>
      </c>
      <c r="G47" s="8" t="s">
        <v>34</v>
      </c>
      <c r="H47" s="38"/>
    </row>
    <row r="48" spans="1:10" hidden="1">
      <c r="A48" s="5">
        <v>45688</v>
      </c>
      <c r="B48" s="7" t="s">
        <v>76</v>
      </c>
      <c r="C48" s="1">
        <v>528.48</v>
      </c>
      <c r="D48" s="1">
        <v>0</v>
      </c>
      <c r="E48" s="12">
        <f t="shared" si="1"/>
        <v>276343074.30000001</v>
      </c>
      <c r="F48" s="8" t="s">
        <v>252</v>
      </c>
      <c r="G48" s="8" t="s">
        <v>34</v>
      </c>
      <c r="H48" s="38"/>
    </row>
    <row r="49" spans="1:9" hidden="1">
      <c r="A49" s="5">
        <v>45689</v>
      </c>
      <c r="B49" s="7" t="s">
        <v>172</v>
      </c>
      <c r="C49" s="1">
        <v>25106452</v>
      </c>
      <c r="D49" s="1">
        <v>0</v>
      </c>
      <c r="E49" s="12">
        <f t="shared" si="1"/>
        <v>251236622.30000001</v>
      </c>
      <c r="F49" s="8" t="s">
        <v>28</v>
      </c>
      <c r="G49" s="8" t="s">
        <v>16</v>
      </c>
      <c r="H49" s="38"/>
    </row>
    <row r="50" spans="1:9" hidden="1">
      <c r="A50" s="5">
        <v>45692</v>
      </c>
      <c r="B50" s="7" t="s">
        <v>173</v>
      </c>
      <c r="C50" s="1">
        <v>900000</v>
      </c>
      <c r="D50" s="1">
        <v>0</v>
      </c>
      <c r="E50" s="12">
        <f t="shared" si="1"/>
        <v>250336622.30000001</v>
      </c>
      <c r="F50" s="8" t="s">
        <v>4</v>
      </c>
      <c r="G50" s="8" t="s">
        <v>5</v>
      </c>
      <c r="H50" s="38" t="s">
        <v>534</v>
      </c>
    </row>
    <row r="51" spans="1:9" hidden="1">
      <c r="A51" s="5">
        <v>45694</v>
      </c>
      <c r="B51" s="7" t="s">
        <v>77</v>
      </c>
      <c r="C51" s="1">
        <v>510000</v>
      </c>
      <c r="D51" s="1">
        <v>0</v>
      </c>
      <c r="E51" s="12">
        <f t="shared" si="1"/>
        <v>249826622.30000001</v>
      </c>
      <c r="F51" s="8" t="s">
        <v>28</v>
      </c>
      <c r="G51" s="8" t="s">
        <v>20</v>
      </c>
      <c r="H51" s="38"/>
    </row>
    <row r="52" spans="1:9" hidden="1">
      <c r="A52" s="5">
        <v>45694</v>
      </c>
      <c r="B52" s="7" t="s">
        <v>80</v>
      </c>
      <c r="C52" s="1">
        <v>500000</v>
      </c>
      <c r="D52" s="1">
        <v>0</v>
      </c>
      <c r="E52" s="12">
        <f t="shared" si="1"/>
        <v>249326622.30000001</v>
      </c>
      <c r="F52" s="8" t="s">
        <v>28</v>
      </c>
      <c r="G52" s="8" t="s">
        <v>20</v>
      </c>
      <c r="H52" s="38"/>
    </row>
    <row r="53" spans="1:9" hidden="1">
      <c r="A53" s="5">
        <v>45694</v>
      </c>
      <c r="B53" s="7" t="s">
        <v>78</v>
      </c>
      <c r="C53" s="1">
        <v>815000</v>
      </c>
      <c r="D53" s="1">
        <v>0</v>
      </c>
      <c r="E53" s="12">
        <f t="shared" si="1"/>
        <v>248511622.30000001</v>
      </c>
      <c r="F53" s="8" t="s">
        <v>28</v>
      </c>
      <c r="G53" s="8" t="s">
        <v>20</v>
      </c>
      <c r="H53" s="38"/>
    </row>
    <row r="54" spans="1:9" hidden="1">
      <c r="A54" s="5">
        <v>45694</v>
      </c>
      <c r="B54" s="7" t="s">
        <v>79</v>
      </c>
      <c r="C54" s="1">
        <v>1810000</v>
      </c>
      <c r="D54" s="1">
        <v>0</v>
      </c>
      <c r="E54" s="12">
        <f t="shared" si="1"/>
        <v>246701622.30000001</v>
      </c>
      <c r="F54" s="8" t="s">
        <v>28</v>
      </c>
      <c r="G54" s="8" t="s">
        <v>20</v>
      </c>
      <c r="H54" s="38"/>
    </row>
    <row r="55" spans="1:9" hidden="1">
      <c r="A55" s="5">
        <v>45701</v>
      </c>
      <c r="B55" s="7" t="s">
        <v>174</v>
      </c>
      <c r="C55" s="1">
        <v>84700000</v>
      </c>
      <c r="D55" s="1">
        <v>0</v>
      </c>
      <c r="E55" s="12">
        <f t="shared" si="1"/>
        <v>162001622.30000001</v>
      </c>
      <c r="F55" s="8" t="s">
        <v>28</v>
      </c>
      <c r="G55" s="8" t="s">
        <v>16</v>
      </c>
      <c r="H55" s="38"/>
    </row>
    <row r="56" spans="1:9" hidden="1">
      <c r="A56" s="5">
        <v>45702</v>
      </c>
      <c r="B56" s="7" t="s">
        <v>175</v>
      </c>
      <c r="C56" s="1">
        <v>800000</v>
      </c>
      <c r="D56" s="1">
        <v>0</v>
      </c>
      <c r="E56" s="12">
        <f t="shared" si="1"/>
        <v>161201622.30000001</v>
      </c>
      <c r="F56" s="8" t="s">
        <v>4</v>
      </c>
      <c r="G56" s="8" t="s">
        <v>5</v>
      </c>
      <c r="H56" s="44" t="s">
        <v>426</v>
      </c>
    </row>
    <row r="57" spans="1:9" hidden="1">
      <c r="A57" s="5">
        <v>45705</v>
      </c>
      <c r="B57" s="7" t="s">
        <v>271</v>
      </c>
      <c r="C57" s="1">
        <v>0</v>
      </c>
      <c r="D57" s="12">
        <v>2030000</v>
      </c>
      <c r="E57" s="12">
        <f t="shared" si="1"/>
        <v>163231622.30000001</v>
      </c>
      <c r="F57" t="s">
        <v>514</v>
      </c>
      <c r="G57" s="8" t="s">
        <v>515</v>
      </c>
      <c r="H57" s="44" t="s">
        <v>298</v>
      </c>
      <c r="I57" s="38" t="s">
        <v>355</v>
      </c>
    </row>
    <row r="58" spans="1:9" hidden="1">
      <c r="A58" s="5">
        <v>45709</v>
      </c>
      <c r="B58" s="7" t="s">
        <v>73</v>
      </c>
      <c r="C58" s="1">
        <v>20000</v>
      </c>
      <c r="D58" s="1">
        <v>0</v>
      </c>
      <c r="E58" s="12">
        <f t="shared" si="1"/>
        <v>163211622.30000001</v>
      </c>
      <c r="F58" s="28" t="s">
        <v>14</v>
      </c>
      <c r="G58" s="8" t="s">
        <v>50</v>
      </c>
      <c r="H58" s="38"/>
    </row>
    <row r="59" spans="1:9" hidden="1">
      <c r="A59" s="5">
        <v>45710</v>
      </c>
      <c r="B59" s="7" t="s">
        <v>176</v>
      </c>
      <c r="C59" s="1">
        <v>800000</v>
      </c>
      <c r="D59" s="1">
        <v>0</v>
      </c>
      <c r="E59" s="12">
        <f t="shared" si="1"/>
        <v>162411622.30000001</v>
      </c>
      <c r="F59" s="8" t="s">
        <v>4</v>
      </c>
      <c r="G59" s="8" t="s">
        <v>5</v>
      </c>
      <c r="H59" s="44" t="s">
        <v>297</v>
      </c>
    </row>
    <row r="60" spans="1:9" hidden="1">
      <c r="A60" s="5">
        <v>45710</v>
      </c>
      <c r="B60" s="7" t="s">
        <v>177</v>
      </c>
      <c r="C60" s="1">
        <v>300000</v>
      </c>
      <c r="D60" s="1">
        <v>0</v>
      </c>
      <c r="E60" s="12">
        <f t="shared" si="1"/>
        <v>162111622.30000001</v>
      </c>
      <c r="F60" s="8" t="s">
        <v>4</v>
      </c>
      <c r="G60" s="8" t="s">
        <v>5</v>
      </c>
      <c r="H60" s="44" t="s">
        <v>297</v>
      </c>
    </row>
    <row r="61" spans="1:9" hidden="1">
      <c r="A61" s="5">
        <v>45710</v>
      </c>
      <c r="B61" s="7" t="s">
        <v>272</v>
      </c>
      <c r="C61" s="1">
        <v>0</v>
      </c>
      <c r="D61" s="12">
        <v>60000000</v>
      </c>
      <c r="E61" s="12">
        <f t="shared" si="1"/>
        <v>222111622.30000001</v>
      </c>
      <c r="F61" t="s">
        <v>514</v>
      </c>
      <c r="G61" s="8" t="s">
        <v>515</v>
      </c>
      <c r="H61" s="44" t="s">
        <v>304</v>
      </c>
      <c r="I61" s="38" t="s">
        <v>352</v>
      </c>
    </row>
    <row r="62" spans="1:9" hidden="1">
      <c r="A62" s="5">
        <v>45715</v>
      </c>
      <c r="B62" s="7" t="s">
        <v>178</v>
      </c>
      <c r="C62" s="1">
        <v>60650000</v>
      </c>
      <c r="D62" s="1">
        <v>0</v>
      </c>
      <c r="E62" s="12">
        <f t="shared" si="1"/>
        <v>161461622.30000001</v>
      </c>
      <c r="F62" s="28" t="s">
        <v>28</v>
      </c>
      <c r="G62" s="8" t="s">
        <v>16</v>
      </c>
      <c r="H62" s="38"/>
    </row>
    <row r="63" spans="1:9" hidden="1">
      <c r="A63" s="5">
        <v>45715</v>
      </c>
      <c r="B63" s="7" t="s">
        <v>179</v>
      </c>
      <c r="C63" s="1">
        <v>0</v>
      </c>
      <c r="D63" s="1">
        <v>2000000</v>
      </c>
      <c r="E63" s="12">
        <f t="shared" si="1"/>
        <v>163461622.30000001</v>
      </c>
      <c r="F63" t="s">
        <v>9</v>
      </c>
      <c r="G63" s="8" t="s">
        <v>33</v>
      </c>
      <c r="H63" s="38" t="s">
        <v>10</v>
      </c>
    </row>
    <row r="64" spans="1:9" hidden="1">
      <c r="A64" s="5">
        <v>45715</v>
      </c>
      <c r="B64" s="7" t="s">
        <v>180</v>
      </c>
      <c r="C64" s="1">
        <v>0</v>
      </c>
      <c r="D64" s="1">
        <v>2000000</v>
      </c>
      <c r="E64" s="12">
        <f t="shared" si="1"/>
        <v>165461622.30000001</v>
      </c>
      <c r="F64" t="s">
        <v>9</v>
      </c>
      <c r="G64" s="8" t="s">
        <v>33</v>
      </c>
      <c r="H64" s="38" t="s">
        <v>26</v>
      </c>
    </row>
    <row r="65" spans="1:8" hidden="1">
      <c r="A65" s="5">
        <v>45715</v>
      </c>
      <c r="B65" s="7" t="s">
        <v>181</v>
      </c>
      <c r="C65" s="1">
        <v>0</v>
      </c>
      <c r="D65" s="1">
        <v>250000</v>
      </c>
      <c r="E65" s="12">
        <f t="shared" si="1"/>
        <v>165711622.30000001</v>
      </c>
      <c r="F65" t="s">
        <v>9</v>
      </c>
      <c r="G65" s="8" t="s">
        <v>33</v>
      </c>
      <c r="H65" s="38" t="s">
        <v>126</v>
      </c>
    </row>
    <row r="66" spans="1:8" hidden="1">
      <c r="A66" s="5">
        <v>45715</v>
      </c>
      <c r="B66" s="7" t="s">
        <v>182</v>
      </c>
      <c r="C66" s="1">
        <v>0</v>
      </c>
      <c r="D66" s="1">
        <v>200000</v>
      </c>
      <c r="E66" s="12">
        <f t="shared" si="1"/>
        <v>165911622.30000001</v>
      </c>
      <c r="F66" t="s">
        <v>9</v>
      </c>
      <c r="G66" s="8" t="s">
        <v>33</v>
      </c>
      <c r="H66" s="38" t="s">
        <v>45</v>
      </c>
    </row>
    <row r="67" spans="1:8" hidden="1">
      <c r="A67" s="5">
        <v>45715</v>
      </c>
      <c r="B67" s="7" t="s">
        <v>183</v>
      </c>
      <c r="C67" s="1">
        <v>0</v>
      </c>
      <c r="D67" s="1">
        <v>2580645</v>
      </c>
      <c r="E67" s="12">
        <f t="shared" si="1"/>
        <v>168492267.30000001</v>
      </c>
      <c r="F67" t="s">
        <v>28</v>
      </c>
      <c r="G67" s="8" t="s">
        <v>16</v>
      </c>
      <c r="H67" s="38"/>
    </row>
    <row r="68" spans="1:8" hidden="1">
      <c r="A68" s="5">
        <v>45715</v>
      </c>
      <c r="B68" s="7" t="s">
        <v>184</v>
      </c>
      <c r="C68" s="1">
        <v>0</v>
      </c>
      <c r="D68" s="1">
        <v>1000000</v>
      </c>
      <c r="E68" s="12">
        <f t="shared" si="1"/>
        <v>169492267.30000001</v>
      </c>
      <c r="F68" t="s">
        <v>9</v>
      </c>
      <c r="G68" s="8" t="s">
        <v>33</v>
      </c>
      <c r="H68" s="38" t="s">
        <v>46</v>
      </c>
    </row>
    <row r="69" spans="1:8" hidden="1">
      <c r="A69" s="5">
        <v>45715</v>
      </c>
      <c r="B69" s="7" t="s">
        <v>185</v>
      </c>
      <c r="C69" s="1">
        <v>1000000</v>
      </c>
      <c r="D69" s="1">
        <v>0</v>
      </c>
      <c r="E69" s="12">
        <f t="shared" si="1"/>
        <v>168492267.30000001</v>
      </c>
      <c r="F69" s="8" t="s">
        <v>28</v>
      </c>
      <c r="G69" s="8" t="s">
        <v>16</v>
      </c>
      <c r="H69" s="38"/>
    </row>
    <row r="70" spans="1:8" hidden="1">
      <c r="A70" s="5">
        <v>45716</v>
      </c>
      <c r="B70" s="7" t="s">
        <v>75</v>
      </c>
      <c r="C70" s="1">
        <v>0</v>
      </c>
      <c r="D70" s="1">
        <v>1604.28</v>
      </c>
      <c r="E70" s="12">
        <f t="shared" si="1"/>
        <v>168493871.58000001</v>
      </c>
      <c r="F70" t="s">
        <v>252</v>
      </c>
      <c r="G70" s="8" t="s">
        <v>34</v>
      </c>
      <c r="H70" s="38"/>
    </row>
    <row r="71" spans="1:8" hidden="1">
      <c r="A71" s="5">
        <v>45716</v>
      </c>
      <c r="B71" s="7" t="s">
        <v>76</v>
      </c>
      <c r="C71" s="1">
        <v>320.86</v>
      </c>
      <c r="D71" s="1">
        <v>0</v>
      </c>
      <c r="E71" s="12">
        <f t="shared" si="1"/>
        <v>168493550.72</v>
      </c>
      <c r="F71" s="28" t="s">
        <v>252</v>
      </c>
      <c r="G71" s="8" t="s">
        <v>34</v>
      </c>
      <c r="H71" s="38"/>
    </row>
    <row r="72" spans="1:8" hidden="1">
      <c r="A72" s="5">
        <v>45721</v>
      </c>
      <c r="B72" s="7" t="s">
        <v>188</v>
      </c>
      <c r="C72" s="1">
        <v>1900000</v>
      </c>
      <c r="D72" s="1">
        <v>0</v>
      </c>
      <c r="E72" s="12">
        <f t="shared" si="1"/>
        <v>166593550.72</v>
      </c>
      <c r="F72" s="8" t="s">
        <v>4</v>
      </c>
      <c r="G72" s="8" t="s">
        <v>5</v>
      </c>
      <c r="H72" s="44" t="s">
        <v>299</v>
      </c>
    </row>
    <row r="73" spans="1:8" hidden="1">
      <c r="A73" s="5">
        <v>45721</v>
      </c>
      <c r="B73" s="7" t="s">
        <v>189</v>
      </c>
      <c r="C73" s="1">
        <v>400000</v>
      </c>
      <c r="D73" s="1">
        <v>0</v>
      </c>
      <c r="E73" s="12">
        <f t="shared" si="1"/>
        <v>166193550.72</v>
      </c>
      <c r="F73" s="8" t="s">
        <v>4</v>
      </c>
      <c r="G73" s="8" t="s">
        <v>5</v>
      </c>
      <c r="H73" s="44" t="s">
        <v>298</v>
      </c>
    </row>
    <row r="74" spans="1:8" hidden="1">
      <c r="A74" s="5">
        <v>45721</v>
      </c>
      <c r="B74" s="7" t="s">
        <v>190</v>
      </c>
      <c r="C74" s="1">
        <v>400000</v>
      </c>
      <c r="D74" s="1">
        <v>0</v>
      </c>
      <c r="E74" s="12">
        <f t="shared" si="1"/>
        <v>165793550.72</v>
      </c>
      <c r="F74" s="8" t="s">
        <v>4</v>
      </c>
      <c r="G74" s="8" t="s">
        <v>5</v>
      </c>
      <c r="H74" s="44" t="s">
        <v>297</v>
      </c>
    </row>
    <row r="75" spans="1:8" hidden="1">
      <c r="A75" s="5">
        <v>45721</v>
      </c>
      <c r="B75" s="7" t="s">
        <v>191</v>
      </c>
      <c r="C75" s="1">
        <v>1700000</v>
      </c>
      <c r="D75" s="1">
        <v>0</v>
      </c>
      <c r="E75" s="12">
        <f t="shared" si="1"/>
        <v>164093550.72</v>
      </c>
      <c r="F75" s="8" t="s">
        <v>4</v>
      </c>
      <c r="G75" s="8" t="s">
        <v>5</v>
      </c>
      <c r="H75" s="44" t="s">
        <v>304</v>
      </c>
    </row>
    <row r="76" spans="1:8" hidden="1">
      <c r="A76" s="5">
        <v>45721</v>
      </c>
      <c r="B76" s="7" t="s">
        <v>192</v>
      </c>
      <c r="C76" s="1">
        <v>450000</v>
      </c>
      <c r="D76" s="1">
        <v>0</v>
      </c>
      <c r="E76" s="12">
        <f t="shared" si="1"/>
        <v>163643550.72</v>
      </c>
      <c r="F76" s="8" t="s">
        <v>4</v>
      </c>
      <c r="G76" s="8" t="s">
        <v>5</v>
      </c>
      <c r="H76" s="44" t="s">
        <v>298</v>
      </c>
    </row>
    <row r="77" spans="1:8" hidden="1">
      <c r="A77" s="5">
        <v>45721</v>
      </c>
      <c r="B77" s="7" t="s">
        <v>193</v>
      </c>
      <c r="C77" s="1">
        <v>1700000</v>
      </c>
      <c r="D77" s="1">
        <v>0</v>
      </c>
      <c r="E77" s="12">
        <f t="shared" si="1"/>
        <v>161943550.72</v>
      </c>
      <c r="F77" s="8" t="s">
        <v>4</v>
      </c>
      <c r="G77" s="8" t="s">
        <v>5</v>
      </c>
      <c r="H77" s="44" t="s">
        <v>304</v>
      </c>
    </row>
    <row r="78" spans="1:8" hidden="1">
      <c r="A78" s="5">
        <v>45721</v>
      </c>
      <c r="B78" s="7" t="s">
        <v>194</v>
      </c>
      <c r="C78" s="1">
        <v>1350000</v>
      </c>
      <c r="D78" s="1">
        <v>0</v>
      </c>
      <c r="E78" s="12">
        <f t="shared" si="1"/>
        <v>160593550.72</v>
      </c>
      <c r="F78" s="8" t="s">
        <v>4</v>
      </c>
      <c r="G78" s="8" t="s">
        <v>5</v>
      </c>
      <c r="H78" s="44" t="s">
        <v>298</v>
      </c>
    </row>
    <row r="79" spans="1:8" hidden="1">
      <c r="A79" s="5">
        <v>45721</v>
      </c>
      <c r="B79" s="7" t="s">
        <v>195</v>
      </c>
      <c r="C79" s="1">
        <v>800000</v>
      </c>
      <c r="D79" s="1">
        <v>0</v>
      </c>
      <c r="E79" s="12">
        <f t="shared" si="1"/>
        <v>159793550.72</v>
      </c>
      <c r="F79" s="8" t="s">
        <v>4</v>
      </c>
      <c r="G79" s="8" t="s">
        <v>5</v>
      </c>
      <c r="H79" s="44" t="s">
        <v>298</v>
      </c>
    </row>
    <row r="80" spans="1:8" hidden="1">
      <c r="A80" s="5">
        <v>45721</v>
      </c>
      <c r="B80" s="7" t="s">
        <v>196</v>
      </c>
      <c r="C80" s="1">
        <v>150000</v>
      </c>
      <c r="D80" s="1">
        <v>0</v>
      </c>
      <c r="E80" s="12">
        <f t="shared" si="1"/>
        <v>159643550.72</v>
      </c>
      <c r="F80" s="8" t="s">
        <v>4</v>
      </c>
      <c r="G80" s="8" t="s">
        <v>5</v>
      </c>
      <c r="H80" s="44" t="s">
        <v>298</v>
      </c>
    </row>
    <row r="81" spans="1:9" hidden="1">
      <c r="A81" s="5">
        <v>45721</v>
      </c>
      <c r="B81" s="7" t="s">
        <v>197</v>
      </c>
      <c r="C81" s="1">
        <v>300000</v>
      </c>
      <c r="D81" s="1">
        <v>0</v>
      </c>
      <c r="E81" s="12">
        <f t="shared" si="1"/>
        <v>159343550.72</v>
      </c>
      <c r="F81" s="8" t="s">
        <v>4</v>
      </c>
      <c r="G81" s="8" t="s">
        <v>5</v>
      </c>
      <c r="H81" s="44" t="s">
        <v>298</v>
      </c>
    </row>
    <row r="82" spans="1:9" hidden="1">
      <c r="A82" s="5">
        <v>45721</v>
      </c>
      <c r="B82" s="7" t="s">
        <v>198</v>
      </c>
      <c r="C82" s="1">
        <v>1209200</v>
      </c>
      <c r="D82" s="1">
        <v>0</v>
      </c>
      <c r="E82" s="12">
        <f t="shared" ref="E82:E145" si="2">E81-C82+D82</f>
        <v>158134350.72</v>
      </c>
      <c r="F82" s="8" t="s">
        <v>28</v>
      </c>
      <c r="G82" s="8" t="s">
        <v>32</v>
      </c>
      <c r="H82" s="38" t="s">
        <v>1280</v>
      </c>
    </row>
    <row r="83" spans="1:9" hidden="1">
      <c r="A83" s="5">
        <v>45721</v>
      </c>
      <c r="B83" s="7" t="s">
        <v>199</v>
      </c>
      <c r="C83" s="1">
        <v>400000</v>
      </c>
      <c r="D83" s="1">
        <v>0</v>
      </c>
      <c r="E83" s="12">
        <f t="shared" si="2"/>
        <v>157734350.72</v>
      </c>
      <c r="F83" s="8" t="s">
        <v>4</v>
      </c>
      <c r="G83" s="8" t="s">
        <v>5</v>
      </c>
      <c r="H83" s="44" t="s">
        <v>298</v>
      </c>
    </row>
    <row r="84" spans="1:9" hidden="1">
      <c r="A84" s="5">
        <v>45721</v>
      </c>
      <c r="B84" s="7" t="s">
        <v>200</v>
      </c>
      <c r="C84" s="1">
        <v>400000</v>
      </c>
      <c r="D84" s="1">
        <v>0</v>
      </c>
      <c r="E84" s="12">
        <f t="shared" si="2"/>
        <v>157334350.72</v>
      </c>
      <c r="F84" s="8" t="s">
        <v>4</v>
      </c>
      <c r="G84" s="8" t="s">
        <v>5</v>
      </c>
      <c r="H84" s="44" t="s">
        <v>297</v>
      </c>
    </row>
    <row r="85" spans="1:9" hidden="1">
      <c r="A85" s="5">
        <v>45721</v>
      </c>
      <c r="B85" s="7" t="s">
        <v>201</v>
      </c>
      <c r="C85" s="1">
        <v>866000</v>
      </c>
      <c r="D85" s="1">
        <v>0</v>
      </c>
      <c r="E85" s="12">
        <f t="shared" si="2"/>
        <v>156468350.72</v>
      </c>
      <c r="F85" s="8" t="s">
        <v>4</v>
      </c>
      <c r="G85" s="8" t="s">
        <v>5</v>
      </c>
      <c r="H85" s="44" t="s">
        <v>304</v>
      </c>
    </row>
    <row r="86" spans="1:9" hidden="1">
      <c r="A86" s="5">
        <v>45722</v>
      </c>
      <c r="B86" s="7" t="s">
        <v>273</v>
      </c>
      <c r="C86" s="1">
        <v>0</v>
      </c>
      <c r="D86" s="1">
        <v>10638235</v>
      </c>
      <c r="E86" s="12">
        <f t="shared" si="2"/>
        <v>167106585.72</v>
      </c>
      <c r="F86" t="s">
        <v>9</v>
      </c>
      <c r="G86" s="8" t="s">
        <v>13</v>
      </c>
      <c r="H86" s="44" t="s">
        <v>121</v>
      </c>
      <c r="I86" s="38" t="s">
        <v>519</v>
      </c>
    </row>
    <row r="87" spans="1:9" hidden="1">
      <c r="A87" s="5">
        <v>45727</v>
      </c>
      <c r="B87" s="7" t="s">
        <v>202</v>
      </c>
      <c r="C87" s="1">
        <v>480000</v>
      </c>
      <c r="D87" s="1">
        <v>0</v>
      </c>
      <c r="E87" s="12">
        <f t="shared" si="2"/>
        <v>166626585.72</v>
      </c>
      <c r="F87" s="28" t="s">
        <v>28</v>
      </c>
      <c r="G87" s="8" t="s">
        <v>20</v>
      </c>
      <c r="H87" s="38"/>
    </row>
    <row r="88" spans="1:9" hidden="1">
      <c r="A88" s="26">
        <v>45727</v>
      </c>
      <c r="B88" s="7" t="s">
        <v>203</v>
      </c>
      <c r="C88" s="1">
        <v>2000000</v>
      </c>
      <c r="D88" s="1">
        <v>0</v>
      </c>
      <c r="E88" s="12">
        <f t="shared" si="2"/>
        <v>164626585.72</v>
      </c>
      <c r="F88" s="8" t="s">
        <v>4</v>
      </c>
      <c r="G88" s="8" t="s">
        <v>5</v>
      </c>
      <c r="H88" s="44" t="s">
        <v>304</v>
      </c>
    </row>
    <row r="89" spans="1:9" hidden="1">
      <c r="A89" s="5">
        <v>45727</v>
      </c>
      <c r="B89" s="7" t="s">
        <v>204</v>
      </c>
      <c r="C89" s="1">
        <v>1900000</v>
      </c>
      <c r="D89" s="1">
        <v>0</v>
      </c>
      <c r="E89" s="12">
        <f t="shared" si="2"/>
        <v>162726585.72</v>
      </c>
      <c r="F89" s="8" t="s">
        <v>4</v>
      </c>
      <c r="G89" s="8" t="s">
        <v>5</v>
      </c>
      <c r="H89" s="44" t="s">
        <v>299</v>
      </c>
    </row>
    <row r="90" spans="1:9" hidden="1">
      <c r="A90" s="5">
        <v>45727</v>
      </c>
      <c r="B90" s="7" t="s">
        <v>205</v>
      </c>
      <c r="C90" s="1">
        <v>2000000</v>
      </c>
      <c r="D90" s="1">
        <v>0</v>
      </c>
      <c r="E90" s="12">
        <f t="shared" si="2"/>
        <v>160726585.72</v>
      </c>
      <c r="F90" s="8" t="s">
        <v>4</v>
      </c>
      <c r="G90" s="8" t="s">
        <v>5</v>
      </c>
      <c r="H90" s="44" t="s">
        <v>304</v>
      </c>
    </row>
    <row r="91" spans="1:9" hidden="1">
      <c r="A91" s="5">
        <v>45727</v>
      </c>
      <c r="B91" s="7" t="s">
        <v>206</v>
      </c>
      <c r="C91" s="1">
        <v>450000</v>
      </c>
      <c r="D91" s="1">
        <v>0</v>
      </c>
      <c r="E91" s="12">
        <f t="shared" si="2"/>
        <v>160276585.72</v>
      </c>
      <c r="F91" s="8" t="s">
        <v>4</v>
      </c>
      <c r="G91" s="8" t="s">
        <v>5</v>
      </c>
      <c r="H91" s="44" t="s">
        <v>304</v>
      </c>
    </row>
    <row r="92" spans="1:9" hidden="1">
      <c r="A92" s="5">
        <v>45729</v>
      </c>
      <c r="B92" s="7" t="s">
        <v>274</v>
      </c>
      <c r="C92" s="1">
        <v>0</v>
      </c>
      <c r="D92" s="1">
        <v>6693495</v>
      </c>
      <c r="E92" s="12">
        <f t="shared" si="2"/>
        <v>166970080.72</v>
      </c>
      <c r="F92" t="s">
        <v>9</v>
      </c>
      <c r="G92" s="8" t="s">
        <v>13</v>
      </c>
      <c r="H92" s="38" t="s">
        <v>55</v>
      </c>
      <c r="I92" t="s">
        <v>1033</v>
      </c>
    </row>
    <row r="93" spans="1:9" hidden="1">
      <c r="A93" s="5">
        <v>45729</v>
      </c>
      <c r="B93" s="7" t="s">
        <v>207</v>
      </c>
      <c r="C93" s="1">
        <v>0</v>
      </c>
      <c r="D93" s="1">
        <v>250000000</v>
      </c>
      <c r="E93" s="12">
        <f t="shared" si="2"/>
        <v>416970080.72000003</v>
      </c>
      <c r="F93" t="s">
        <v>186</v>
      </c>
      <c r="G93" s="8" t="s">
        <v>95</v>
      </c>
      <c r="H93" s="38"/>
    </row>
    <row r="94" spans="1:9" hidden="1">
      <c r="A94" s="5">
        <v>45729</v>
      </c>
      <c r="B94" s="7" t="s">
        <v>208</v>
      </c>
      <c r="C94" s="1">
        <v>0</v>
      </c>
      <c r="D94" s="1">
        <v>150000000</v>
      </c>
      <c r="E94" s="12">
        <f t="shared" si="2"/>
        <v>566970080.72000003</v>
      </c>
      <c r="F94" t="s">
        <v>186</v>
      </c>
      <c r="G94" s="8" t="s">
        <v>95</v>
      </c>
      <c r="H94" s="38"/>
    </row>
    <row r="95" spans="1:9" hidden="1">
      <c r="A95" s="5">
        <v>45730</v>
      </c>
      <c r="B95" s="7" t="s">
        <v>209</v>
      </c>
      <c r="C95" s="1">
        <v>34316667</v>
      </c>
      <c r="D95" s="1">
        <v>0</v>
      </c>
      <c r="E95" s="12">
        <f t="shared" si="2"/>
        <v>532653413.72000003</v>
      </c>
      <c r="F95" s="28" t="s">
        <v>28</v>
      </c>
      <c r="G95" s="8" t="s">
        <v>16</v>
      </c>
      <c r="H95" s="38"/>
    </row>
    <row r="96" spans="1:9" hidden="1">
      <c r="A96" s="26">
        <v>45730</v>
      </c>
      <c r="B96" s="7" t="s">
        <v>210</v>
      </c>
      <c r="C96" s="1">
        <v>1440000</v>
      </c>
      <c r="D96" s="1">
        <v>0</v>
      </c>
      <c r="E96" s="12">
        <f t="shared" si="2"/>
        <v>531213413.72000003</v>
      </c>
      <c r="F96" s="8" t="s">
        <v>28</v>
      </c>
      <c r="G96" s="8" t="s">
        <v>20</v>
      </c>
      <c r="H96" s="38"/>
    </row>
    <row r="97" spans="1:9" hidden="1">
      <c r="A97" s="5">
        <v>45730</v>
      </c>
      <c r="B97" s="7" t="s">
        <v>211</v>
      </c>
      <c r="C97" s="1">
        <v>540000</v>
      </c>
      <c r="D97" s="1">
        <v>0</v>
      </c>
      <c r="E97" s="12">
        <f t="shared" si="2"/>
        <v>530673413.72000003</v>
      </c>
      <c r="F97" s="8" t="s">
        <v>28</v>
      </c>
      <c r="G97" s="8" t="s">
        <v>20</v>
      </c>
      <c r="H97" s="38"/>
    </row>
    <row r="98" spans="1:9" hidden="1">
      <c r="A98" s="5">
        <v>45730</v>
      </c>
      <c r="B98" s="7" t="s">
        <v>212</v>
      </c>
      <c r="C98" s="1">
        <v>870000</v>
      </c>
      <c r="D98" s="1">
        <v>0</v>
      </c>
      <c r="E98" s="12">
        <f t="shared" si="2"/>
        <v>529803413.72000003</v>
      </c>
      <c r="F98" s="8" t="s">
        <v>28</v>
      </c>
      <c r="G98" s="8" t="s">
        <v>20</v>
      </c>
      <c r="H98" s="38"/>
    </row>
    <row r="99" spans="1:9" hidden="1">
      <c r="A99" s="5">
        <v>45731</v>
      </c>
      <c r="B99" s="7" t="s">
        <v>213</v>
      </c>
      <c r="C99" s="1">
        <v>0</v>
      </c>
      <c r="D99" s="1">
        <v>3101962</v>
      </c>
      <c r="E99" s="12">
        <f t="shared" si="2"/>
        <v>532905375.72000003</v>
      </c>
      <c r="F99" t="s">
        <v>9</v>
      </c>
      <c r="G99" s="8" t="s">
        <v>33</v>
      </c>
      <c r="H99" s="38" t="s">
        <v>18</v>
      </c>
    </row>
    <row r="100" spans="1:9" hidden="1">
      <c r="A100" s="26">
        <v>45731</v>
      </c>
      <c r="B100" s="7" t="s">
        <v>214</v>
      </c>
      <c r="C100" s="1">
        <v>0</v>
      </c>
      <c r="D100" s="1">
        <v>2000000</v>
      </c>
      <c r="E100" s="12">
        <f t="shared" si="2"/>
        <v>534905375.72000003</v>
      </c>
      <c r="F100" t="s">
        <v>9</v>
      </c>
      <c r="G100" s="8" t="s">
        <v>33</v>
      </c>
      <c r="H100" s="38" t="s">
        <v>10</v>
      </c>
    </row>
    <row r="101" spans="1:9" hidden="1">
      <c r="A101" s="5">
        <v>45731</v>
      </c>
      <c r="B101" s="7" t="s">
        <v>215</v>
      </c>
      <c r="C101" s="1">
        <v>0</v>
      </c>
      <c r="D101" s="1">
        <v>2000000</v>
      </c>
      <c r="E101" s="12">
        <f t="shared" si="2"/>
        <v>536905375.72000003</v>
      </c>
      <c r="F101" t="s">
        <v>9</v>
      </c>
      <c r="G101" s="8" t="s">
        <v>33</v>
      </c>
      <c r="H101" s="38" t="s">
        <v>26</v>
      </c>
    </row>
    <row r="102" spans="1:9" hidden="1">
      <c r="A102" s="5">
        <v>45731</v>
      </c>
      <c r="B102" s="7" t="s">
        <v>216</v>
      </c>
      <c r="C102" s="1">
        <v>0</v>
      </c>
      <c r="D102" s="1">
        <v>194250</v>
      </c>
      <c r="E102" s="12">
        <f t="shared" si="2"/>
        <v>537099625.72000003</v>
      </c>
      <c r="F102" t="s">
        <v>9</v>
      </c>
      <c r="G102" s="8" t="s">
        <v>33</v>
      </c>
      <c r="H102" s="38" t="s">
        <v>26</v>
      </c>
    </row>
    <row r="103" spans="1:9" hidden="1">
      <c r="A103" s="5">
        <v>45731</v>
      </c>
      <c r="B103" s="7" t="s">
        <v>217</v>
      </c>
      <c r="C103" s="1">
        <v>0</v>
      </c>
      <c r="D103" s="1">
        <v>168200</v>
      </c>
      <c r="E103" s="12">
        <f t="shared" si="2"/>
        <v>537267825.72000003</v>
      </c>
      <c r="F103" t="s">
        <v>9</v>
      </c>
      <c r="G103" s="8" t="s">
        <v>33</v>
      </c>
      <c r="H103" s="38" t="s">
        <v>26</v>
      </c>
    </row>
    <row r="104" spans="1:9" hidden="1">
      <c r="A104" s="5">
        <v>45731</v>
      </c>
      <c r="B104" s="7" t="s">
        <v>218</v>
      </c>
      <c r="C104" s="1">
        <v>0</v>
      </c>
      <c r="D104" s="1">
        <v>250000</v>
      </c>
      <c r="E104" s="12">
        <f t="shared" si="2"/>
        <v>537517825.72000003</v>
      </c>
      <c r="F104" t="s">
        <v>9</v>
      </c>
      <c r="G104" s="8" t="s">
        <v>33</v>
      </c>
      <c r="H104" s="38" t="s">
        <v>126</v>
      </c>
    </row>
    <row r="105" spans="1:9" hidden="1">
      <c r="A105" s="5">
        <v>45731</v>
      </c>
      <c r="B105" s="7" t="s">
        <v>182</v>
      </c>
      <c r="C105" s="1">
        <v>0</v>
      </c>
      <c r="D105" s="1">
        <v>200000</v>
      </c>
      <c r="E105" s="12">
        <f t="shared" si="2"/>
        <v>537717825.72000003</v>
      </c>
      <c r="F105" t="s">
        <v>9</v>
      </c>
      <c r="G105" s="8" t="s">
        <v>33</v>
      </c>
      <c r="H105" s="38" t="s">
        <v>45</v>
      </c>
    </row>
    <row r="106" spans="1:9" hidden="1">
      <c r="A106" s="5">
        <v>45731</v>
      </c>
      <c r="B106" s="7" t="s">
        <v>219</v>
      </c>
      <c r="C106" s="1">
        <v>0</v>
      </c>
      <c r="D106" s="1">
        <v>1000000</v>
      </c>
      <c r="E106" s="12">
        <f t="shared" si="2"/>
        <v>538717825.72000003</v>
      </c>
      <c r="F106" t="s">
        <v>9</v>
      </c>
      <c r="G106" s="8" t="s">
        <v>33</v>
      </c>
      <c r="H106" s="38" t="s">
        <v>46</v>
      </c>
    </row>
    <row r="107" spans="1:9" hidden="1">
      <c r="A107" s="5">
        <v>45731</v>
      </c>
      <c r="B107" s="7" t="s">
        <v>220</v>
      </c>
      <c r="C107" s="1">
        <v>0</v>
      </c>
      <c r="D107" s="1">
        <v>355500</v>
      </c>
      <c r="E107" s="12">
        <f t="shared" si="2"/>
        <v>539073325.72000003</v>
      </c>
      <c r="F107" t="s">
        <v>9</v>
      </c>
      <c r="G107" s="8" t="s">
        <v>33</v>
      </c>
      <c r="H107" s="38" t="s">
        <v>27</v>
      </c>
    </row>
    <row r="108" spans="1:9" hidden="1">
      <c r="A108" s="5">
        <v>45731</v>
      </c>
      <c r="B108" s="7" t="s">
        <v>221</v>
      </c>
      <c r="C108" s="1">
        <v>3916667</v>
      </c>
      <c r="D108" s="1">
        <v>0</v>
      </c>
      <c r="E108" s="12">
        <f t="shared" si="2"/>
        <v>535156658.72000003</v>
      </c>
      <c r="F108" s="28" t="s">
        <v>28</v>
      </c>
      <c r="G108" s="8" t="s">
        <v>16</v>
      </c>
      <c r="H108" s="38"/>
    </row>
    <row r="109" spans="1:9" hidden="1">
      <c r="A109" s="5">
        <v>45733</v>
      </c>
      <c r="B109" s="7" t="s">
        <v>222</v>
      </c>
      <c r="C109" s="1">
        <v>0</v>
      </c>
      <c r="D109" s="1">
        <v>1165600</v>
      </c>
      <c r="E109" s="12">
        <f t="shared" si="2"/>
        <v>536322258.72000003</v>
      </c>
      <c r="F109" t="s">
        <v>9</v>
      </c>
      <c r="G109" s="8" t="s">
        <v>33</v>
      </c>
      <c r="H109" s="38" t="s">
        <v>26</v>
      </c>
    </row>
    <row r="110" spans="1:9" s="16" customFormat="1" hidden="1">
      <c r="A110" s="72">
        <v>45734</v>
      </c>
      <c r="B110" s="10" t="s">
        <v>275</v>
      </c>
      <c r="C110" s="17">
        <v>0</v>
      </c>
      <c r="D110" s="17">
        <v>3465049</v>
      </c>
      <c r="E110" s="12">
        <f t="shared" si="2"/>
        <v>539787307.72000003</v>
      </c>
      <c r="F110" s="16" t="s">
        <v>514</v>
      </c>
      <c r="G110" s="8" t="s">
        <v>515</v>
      </c>
      <c r="H110" s="44" t="s">
        <v>474</v>
      </c>
      <c r="I110" s="16" t="s">
        <v>1270</v>
      </c>
    </row>
    <row r="111" spans="1:9" hidden="1">
      <c r="A111" s="26">
        <v>45735</v>
      </c>
      <c r="B111" s="7" t="s">
        <v>276</v>
      </c>
      <c r="C111" s="1">
        <v>0</v>
      </c>
      <c r="D111" s="1">
        <v>17200355</v>
      </c>
      <c r="E111" s="12">
        <f t="shared" si="2"/>
        <v>556987662.72000003</v>
      </c>
      <c r="F111" t="s">
        <v>9</v>
      </c>
      <c r="G111" s="8" t="s">
        <v>13</v>
      </c>
      <c r="H111" s="44" t="s">
        <v>118</v>
      </c>
      <c r="I111" s="44" t="s">
        <v>663</v>
      </c>
    </row>
    <row r="112" spans="1:9" hidden="1">
      <c r="A112" s="26">
        <v>45735</v>
      </c>
      <c r="B112" s="7" t="s">
        <v>223</v>
      </c>
      <c r="C112" s="1">
        <v>900000</v>
      </c>
      <c r="D112" s="1">
        <v>0</v>
      </c>
      <c r="E112" s="12">
        <f t="shared" si="2"/>
        <v>556087662.72000003</v>
      </c>
      <c r="F112" s="28" t="s">
        <v>8</v>
      </c>
      <c r="G112" s="8" t="s">
        <v>21</v>
      </c>
      <c r="H112" s="38"/>
    </row>
    <row r="113" spans="1:9" s="16" customFormat="1" hidden="1">
      <c r="A113" s="72">
        <v>45737</v>
      </c>
      <c r="B113" s="10" t="s">
        <v>277</v>
      </c>
      <c r="C113" s="17">
        <v>0</v>
      </c>
      <c r="D113" s="17">
        <v>625000</v>
      </c>
      <c r="E113" s="12">
        <f t="shared" si="2"/>
        <v>556712662.72000003</v>
      </c>
      <c r="F113" s="16" t="s">
        <v>9</v>
      </c>
      <c r="G113" s="8" t="s">
        <v>13</v>
      </c>
      <c r="H113" s="44" t="s">
        <v>138</v>
      </c>
      <c r="I113" s="16" t="s">
        <v>659</v>
      </c>
    </row>
    <row r="114" spans="1:9" hidden="1">
      <c r="A114" s="5">
        <v>45737</v>
      </c>
      <c r="B114" s="7" t="s">
        <v>278</v>
      </c>
      <c r="C114" s="1">
        <v>0</v>
      </c>
      <c r="D114" s="1">
        <v>1090000</v>
      </c>
      <c r="E114" s="12">
        <f t="shared" si="2"/>
        <v>557802662.72000003</v>
      </c>
      <c r="F114" t="s">
        <v>186</v>
      </c>
      <c r="G114" t="s">
        <v>135</v>
      </c>
      <c r="H114" t="s">
        <v>19</v>
      </c>
    </row>
    <row r="115" spans="1:9" hidden="1">
      <c r="A115" s="5">
        <v>45737</v>
      </c>
      <c r="B115" s="7" t="s">
        <v>279</v>
      </c>
      <c r="C115" s="1">
        <v>0</v>
      </c>
      <c r="D115" s="1">
        <v>1252274</v>
      </c>
      <c r="E115" s="12">
        <f t="shared" si="2"/>
        <v>559054936.72000003</v>
      </c>
      <c r="F115" t="s">
        <v>9</v>
      </c>
      <c r="G115" s="8" t="s">
        <v>13</v>
      </c>
      <c r="H115" s="44" t="s">
        <v>102</v>
      </c>
      <c r="I115" s="44" t="s">
        <v>664</v>
      </c>
    </row>
    <row r="116" spans="1:9" hidden="1">
      <c r="A116" s="5">
        <v>45737</v>
      </c>
      <c r="B116" s="7" t="s">
        <v>73</v>
      </c>
      <c r="C116" s="1">
        <v>20000</v>
      </c>
      <c r="D116" s="1">
        <v>0</v>
      </c>
      <c r="E116" s="12">
        <f t="shared" si="2"/>
        <v>559034936.72000003</v>
      </c>
      <c r="F116" s="28" t="s">
        <v>14</v>
      </c>
      <c r="G116" s="8" t="s">
        <v>50</v>
      </c>
      <c r="H116" s="38"/>
    </row>
    <row r="117" spans="1:9" s="16" customFormat="1" hidden="1">
      <c r="A117" s="72">
        <v>45740</v>
      </c>
      <c r="B117" s="10" t="s">
        <v>280</v>
      </c>
      <c r="C117" s="17">
        <v>0</v>
      </c>
      <c r="D117" s="17">
        <v>134882</v>
      </c>
      <c r="E117" s="12">
        <f t="shared" si="2"/>
        <v>559169818.72000003</v>
      </c>
      <c r="F117" s="16" t="s">
        <v>9</v>
      </c>
      <c r="G117" s="8" t="s">
        <v>13</v>
      </c>
      <c r="H117" s="44" t="s">
        <v>117</v>
      </c>
      <c r="I117" s="16" t="s">
        <v>661</v>
      </c>
    </row>
    <row r="118" spans="1:9" hidden="1">
      <c r="A118" s="5">
        <v>45741</v>
      </c>
      <c r="B118" s="7" t="s">
        <v>281</v>
      </c>
      <c r="C118" s="1">
        <v>0</v>
      </c>
      <c r="D118" s="1">
        <v>15072555</v>
      </c>
      <c r="E118" s="12">
        <f t="shared" si="2"/>
        <v>574242373.72000003</v>
      </c>
      <c r="F118" t="s">
        <v>9</v>
      </c>
      <c r="G118" s="8" t="s">
        <v>13</v>
      </c>
      <c r="H118" s="44" t="s">
        <v>120</v>
      </c>
      <c r="I118" s="44" t="s">
        <v>662</v>
      </c>
    </row>
    <row r="119" spans="1:9" hidden="1">
      <c r="A119" s="5">
        <v>45741</v>
      </c>
      <c r="B119" s="7" t="s">
        <v>282</v>
      </c>
      <c r="C119" s="1">
        <v>0</v>
      </c>
      <c r="D119" s="1">
        <v>7043871</v>
      </c>
      <c r="E119" s="12">
        <f t="shared" si="2"/>
        <v>581286244.72000003</v>
      </c>
      <c r="F119" t="s">
        <v>9</v>
      </c>
      <c r="G119" s="8" t="s">
        <v>13</v>
      </c>
      <c r="H119" s="44" t="s">
        <v>665</v>
      </c>
      <c r="I119" s="44" t="s">
        <v>660</v>
      </c>
    </row>
    <row r="120" spans="1:9" hidden="1">
      <c r="A120" s="5">
        <v>45743</v>
      </c>
      <c r="B120" s="7" t="s">
        <v>224</v>
      </c>
      <c r="C120" s="1">
        <v>61150000</v>
      </c>
      <c r="D120" s="1">
        <v>0</v>
      </c>
      <c r="E120" s="12">
        <f t="shared" si="2"/>
        <v>520136244.72000003</v>
      </c>
      <c r="F120" s="28" t="s">
        <v>28</v>
      </c>
      <c r="G120" s="8" t="s">
        <v>16</v>
      </c>
      <c r="H120" s="38"/>
    </row>
    <row r="121" spans="1:9" hidden="1">
      <c r="A121" s="5">
        <v>45743</v>
      </c>
      <c r="B121" s="7" t="s">
        <v>225</v>
      </c>
      <c r="C121" s="1">
        <v>500000</v>
      </c>
      <c r="D121" s="1">
        <v>0</v>
      </c>
      <c r="E121" s="12">
        <f t="shared" si="2"/>
        <v>519636244.72000003</v>
      </c>
      <c r="F121" s="28" t="s">
        <v>28</v>
      </c>
      <c r="G121" s="8" t="s">
        <v>16</v>
      </c>
      <c r="H121" s="38"/>
    </row>
    <row r="122" spans="1:9" hidden="1">
      <c r="A122" s="5">
        <v>45744</v>
      </c>
      <c r="B122" s="7" t="s">
        <v>214</v>
      </c>
      <c r="C122" s="1">
        <v>0</v>
      </c>
      <c r="D122" s="1">
        <v>2000000</v>
      </c>
      <c r="E122" s="12">
        <f t="shared" si="2"/>
        <v>521636244.72000003</v>
      </c>
      <c r="F122" t="s">
        <v>9</v>
      </c>
      <c r="G122" s="8" t="s">
        <v>33</v>
      </c>
      <c r="H122" s="38" t="s">
        <v>10</v>
      </c>
    </row>
    <row r="123" spans="1:9" hidden="1">
      <c r="A123" s="5">
        <v>45744</v>
      </c>
      <c r="B123" s="7" t="s">
        <v>226</v>
      </c>
      <c r="C123" s="1">
        <v>0</v>
      </c>
      <c r="D123" s="1">
        <v>2000000</v>
      </c>
      <c r="E123" s="12">
        <f t="shared" si="2"/>
        <v>523636244.72000003</v>
      </c>
      <c r="F123" t="s">
        <v>9</v>
      </c>
      <c r="G123" s="8" t="s">
        <v>33</v>
      </c>
      <c r="H123" s="38" t="s">
        <v>26</v>
      </c>
    </row>
    <row r="124" spans="1:9" hidden="1">
      <c r="A124" s="5">
        <v>45744</v>
      </c>
      <c r="B124" s="7" t="s">
        <v>218</v>
      </c>
      <c r="C124" s="1">
        <v>0</v>
      </c>
      <c r="D124" s="1">
        <v>250000</v>
      </c>
      <c r="E124" s="12">
        <f t="shared" si="2"/>
        <v>523886244.72000003</v>
      </c>
      <c r="F124" t="s">
        <v>9</v>
      </c>
      <c r="G124" s="8" t="s">
        <v>33</v>
      </c>
      <c r="H124" s="38" t="s">
        <v>126</v>
      </c>
    </row>
    <row r="125" spans="1:9" hidden="1">
      <c r="A125" s="5">
        <v>45744</v>
      </c>
      <c r="B125" s="7" t="s">
        <v>97</v>
      </c>
      <c r="C125" s="1">
        <v>0</v>
      </c>
      <c r="D125" s="1">
        <v>200000</v>
      </c>
      <c r="E125" s="12">
        <f t="shared" si="2"/>
        <v>524086244.72000003</v>
      </c>
      <c r="F125" t="s">
        <v>9</v>
      </c>
      <c r="G125" s="8" t="s">
        <v>33</v>
      </c>
      <c r="H125" s="38" t="s">
        <v>45</v>
      </c>
    </row>
    <row r="126" spans="1:9" hidden="1">
      <c r="A126" s="5">
        <v>45744</v>
      </c>
      <c r="B126" s="7" t="s">
        <v>227</v>
      </c>
      <c r="C126" s="1">
        <v>0</v>
      </c>
      <c r="D126" s="1">
        <v>774194</v>
      </c>
      <c r="E126" s="12">
        <f t="shared" si="2"/>
        <v>524860438.72000003</v>
      </c>
      <c r="F126" t="s">
        <v>28</v>
      </c>
      <c r="G126" s="8" t="s">
        <v>16</v>
      </c>
      <c r="H126" s="38"/>
    </row>
    <row r="127" spans="1:9" hidden="1">
      <c r="A127" s="5">
        <v>45744</v>
      </c>
      <c r="B127" s="7" t="s">
        <v>228</v>
      </c>
      <c r="C127" s="1">
        <v>0</v>
      </c>
      <c r="D127" s="1">
        <v>4000000</v>
      </c>
      <c r="E127" s="12">
        <f t="shared" si="2"/>
        <v>528860438.72000003</v>
      </c>
      <c r="F127" t="s">
        <v>9</v>
      </c>
      <c r="G127" s="8" t="s">
        <v>33</v>
      </c>
      <c r="H127" s="38" t="s">
        <v>125</v>
      </c>
    </row>
    <row r="128" spans="1:9" hidden="1">
      <c r="A128" s="5">
        <v>45747</v>
      </c>
      <c r="B128" s="7" t="s">
        <v>75</v>
      </c>
      <c r="C128" s="1">
        <v>0</v>
      </c>
      <c r="D128" s="1">
        <v>3387.68</v>
      </c>
      <c r="E128" s="12">
        <f t="shared" si="2"/>
        <v>528863826.40000004</v>
      </c>
      <c r="F128" t="s">
        <v>252</v>
      </c>
      <c r="G128" s="8" t="s">
        <v>34</v>
      </c>
      <c r="H128" s="38"/>
    </row>
    <row r="129" spans="1:9" hidden="1">
      <c r="A129" s="5">
        <v>45747</v>
      </c>
      <c r="B129" s="7" t="s">
        <v>76</v>
      </c>
      <c r="C129" s="1">
        <v>677.54</v>
      </c>
      <c r="D129" s="1">
        <v>0</v>
      </c>
      <c r="E129" s="12">
        <f t="shared" si="2"/>
        <v>528863148.86000001</v>
      </c>
      <c r="F129" s="28" t="s">
        <v>252</v>
      </c>
      <c r="G129" s="8" t="s">
        <v>34</v>
      </c>
      <c r="H129" s="38"/>
    </row>
    <row r="130" spans="1:9" hidden="1">
      <c r="A130" s="5">
        <v>45761</v>
      </c>
      <c r="B130" s="7" t="s">
        <v>229</v>
      </c>
      <c r="C130" s="1">
        <v>1650000</v>
      </c>
      <c r="D130" s="1">
        <v>0</v>
      </c>
      <c r="E130" s="12">
        <f t="shared" si="2"/>
        <v>527213148.86000001</v>
      </c>
      <c r="F130" t="s">
        <v>28</v>
      </c>
      <c r="G130" s="8" t="s">
        <v>20</v>
      </c>
      <c r="H130" s="38"/>
    </row>
    <row r="131" spans="1:9" hidden="1">
      <c r="A131" s="5">
        <v>45761</v>
      </c>
      <c r="B131" s="7" t="s">
        <v>230</v>
      </c>
      <c r="C131" s="1">
        <v>505000</v>
      </c>
      <c r="D131" s="1">
        <v>0</v>
      </c>
      <c r="E131" s="12">
        <f t="shared" si="2"/>
        <v>526708148.86000001</v>
      </c>
      <c r="F131" t="s">
        <v>28</v>
      </c>
      <c r="G131" s="8" t="s">
        <v>20</v>
      </c>
      <c r="H131" s="38"/>
    </row>
    <row r="132" spans="1:9" hidden="1">
      <c r="A132" s="5">
        <v>45761</v>
      </c>
      <c r="B132" s="7" t="s">
        <v>231</v>
      </c>
      <c r="C132" s="1">
        <v>440000</v>
      </c>
      <c r="D132" s="1">
        <v>0</v>
      </c>
      <c r="E132" s="12">
        <f t="shared" si="2"/>
        <v>526268148.86000001</v>
      </c>
      <c r="F132" t="s">
        <v>28</v>
      </c>
      <c r="G132" s="8" t="s">
        <v>20</v>
      </c>
      <c r="H132" s="38"/>
    </row>
    <row r="133" spans="1:9" hidden="1">
      <c r="A133" s="5">
        <v>45761</v>
      </c>
      <c r="B133" s="7" t="s">
        <v>232</v>
      </c>
      <c r="C133" s="1">
        <v>890000</v>
      </c>
      <c r="D133" s="1">
        <v>0</v>
      </c>
      <c r="E133" s="12">
        <f t="shared" si="2"/>
        <v>525378148.86000001</v>
      </c>
      <c r="F133" t="s">
        <v>28</v>
      </c>
      <c r="G133" s="8" t="s">
        <v>20</v>
      </c>
      <c r="H133" s="38"/>
    </row>
    <row r="134" spans="1:9" hidden="1">
      <c r="A134" s="5">
        <v>45761</v>
      </c>
      <c r="B134" s="7" t="s">
        <v>233</v>
      </c>
      <c r="C134" s="1">
        <v>1550000</v>
      </c>
      <c r="D134" s="1">
        <v>0</v>
      </c>
      <c r="E134" s="12">
        <f t="shared" si="2"/>
        <v>523828148.86000001</v>
      </c>
      <c r="F134" t="s">
        <v>4</v>
      </c>
      <c r="G134" s="8" t="s">
        <v>5</v>
      </c>
      <c r="H134" s="44" t="s">
        <v>299</v>
      </c>
    </row>
    <row r="135" spans="1:9" hidden="1">
      <c r="A135" s="5">
        <v>45762</v>
      </c>
      <c r="B135" s="7" t="s">
        <v>234</v>
      </c>
      <c r="C135" s="1">
        <v>283150000</v>
      </c>
      <c r="D135" s="1">
        <v>0</v>
      </c>
      <c r="E135" s="12">
        <f t="shared" si="2"/>
        <v>240678148.86000001</v>
      </c>
      <c r="F135" t="s">
        <v>6</v>
      </c>
      <c r="G135" s="8" t="s">
        <v>11</v>
      </c>
      <c r="H135" s="38" t="s">
        <v>30</v>
      </c>
    </row>
    <row r="136" spans="1:9" hidden="1">
      <c r="A136" s="5">
        <v>45764</v>
      </c>
      <c r="B136" s="7" t="s">
        <v>235</v>
      </c>
      <c r="C136" s="1">
        <v>0</v>
      </c>
      <c r="D136" s="1">
        <v>21012500</v>
      </c>
      <c r="E136" s="12">
        <f t="shared" si="2"/>
        <v>261690648.86000001</v>
      </c>
      <c r="F136" t="s">
        <v>6</v>
      </c>
      <c r="G136" s="8" t="s">
        <v>11</v>
      </c>
      <c r="H136" s="38" t="s">
        <v>30</v>
      </c>
    </row>
    <row r="137" spans="1:9" hidden="1">
      <c r="A137" s="5">
        <v>45765</v>
      </c>
      <c r="B137" s="7" t="s">
        <v>236</v>
      </c>
      <c r="C137" s="1">
        <v>400000</v>
      </c>
      <c r="D137" s="1">
        <v>0</v>
      </c>
      <c r="E137" s="12">
        <f t="shared" si="2"/>
        <v>261290648.86000001</v>
      </c>
      <c r="F137" t="s">
        <v>4</v>
      </c>
      <c r="G137" s="8" t="s">
        <v>5</v>
      </c>
      <c r="H137" s="38" t="s">
        <v>691</v>
      </c>
    </row>
    <row r="138" spans="1:9" hidden="1">
      <c r="A138" s="5">
        <v>45765</v>
      </c>
      <c r="B138" s="7" t="s">
        <v>73</v>
      </c>
      <c r="C138" s="1">
        <v>20000</v>
      </c>
      <c r="D138" s="1">
        <v>0</v>
      </c>
      <c r="E138" s="12">
        <f t="shared" si="2"/>
        <v>261270648.86000001</v>
      </c>
      <c r="F138" t="s">
        <v>253</v>
      </c>
      <c r="G138" s="8" t="s">
        <v>50</v>
      </c>
      <c r="H138" s="38"/>
    </row>
    <row r="139" spans="1:9" hidden="1">
      <c r="A139" s="5">
        <v>45768</v>
      </c>
      <c r="B139" s="7" t="s">
        <v>283</v>
      </c>
      <c r="C139" s="1">
        <v>0</v>
      </c>
      <c r="D139" s="12">
        <v>68100000</v>
      </c>
      <c r="E139" s="12">
        <f t="shared" si="2"/>
        <v>329370648.86000001</v>
      </c>
      <c r="F139" t="s">
        <v>514</v>
      </c>
      <c r="G139" s="8" t="s">
        <v>515</v>
      </c>
      <c r="H139" s="44" t="s">
        <v>304</v>
      </c>
      <c r="I139" s="38" t="s">
        <v>359</v>
      </c>
    </row>
    <row r="140" spans="1:9" hidden="1">
      <c r="A140" s="5">
        <v>45770</v>
      </c>
      <c r="B140" s="7" t="s">
        <v>237</v>
      </c>
      <c r="C140" s="1">
        <v>10000000</v>
      </c>
      <c r="D140" s="1">
        <v>0</v>
      </c>
      <c r="E140" s="12">
        <f t="shared" si="2"/>
        <v>319370648.86000001</v>
      </c>
      <c r="F140" t="s">
        <v>4</v>
      </c>
      <c r="G140" s="8" t="s">
        <v>5</v>
      </c>
      <c r="H140" s="44" t="s">
        <v>305</v>
      </c>
    </row>
    <row r="141" spans="1:9" hidden="1">
      <c r="A141" s="5">
        <v>45770</v>
      </c>
      <c r="B141" s="7" t="s">
        <v>238</v>
      </c>
      <c r="C141" s="1">
        <v>400000</v>
      </c>
      <c r="D141" s="1">
        <v>0</v>
      </c>
      <c r="E141" s="12">
        <f t="shared" si="2"/>
        <v>318970648.86000001</v>
      </c>
      <c r="F141" t="s">
        <v>4</v>
      </c>
      <c r="G141" s="8" t="s">
        <v>5</v>
      </c>
      <c r="H141" s="38" t="s">
        <v>691</v>
      </c>
    </row>
    <row r="142" spans="1:9" hidden="1">
      <c r="A142" s="5">
        <v>45770</v>
      </c>
      <c r="B142" s="7" t="s">
        <v>239</v>
      </c>
      <c r="C142" s="1">
        <v>1550000</v>
      </c>
      <c r="D142" s="1">
        <v>0</v>
      </c>
      <c r="E142" s="12">
        <f t="shared" si="2"/>
        <v>317420648.86000001</v>
      </c>
      <c r="F142" t="s">
        <v>4</v>
      </c>
      <c r="G142" s="8" t="s">
        <v>5</v>
      </c>
      <c r="H142" s="44" t="s">
        <v>299</v>
      </c>
    </row>
    <row r="143" spans="1:9" hidden="1">
      <c r="A143" s="5">
        <v>45776</v>
      </c>
      <c r="B143" s="7" t="s">
        <v>240</v>
      </c>
      <c r="C143" s="1">
        <v>61150000</v>
      </c>
      <c r="D143" s="1">
        <v>0</v>
      </c>
      <c r="E143" s="12">
        <f t="shared" si="2"/>
        <v>256270648.86000001</v>
      </c>
      <c r="F143" t="s">
        <v>28</v>
      </c>
      <c r="G143" s="8" t="s">
        <v>16</v>
      </c>
      <c r="H143" s="38"/>
    </row>
    <row r="144" spans="1:9" hidden="1">
      <c r="A144" s="26">
        <v>45776</v>
      </c>
      <c r="B144" s="7" t="s">
        <v>214</v>
      </c>
      <c r="C144" s="1">
        <v>0</v>
      </c>
      <c r="D144" s="1">
        <v>2000000</v>
      </c>
      <c r="E144" s="12">
        <f t="shared" si="2"/>
        <v>258270648.86000001</v>
      </c>
      <c r="F144" t="s">
        <v>9</v>
      </c>
      <c r="G144" s="8" t="s">
        <v>33</v>
      </c>
      <c r="H144" s="38" t="s">
        <v>10</v>
      </c>
    </row>
    <row r="145" spans="1:8" hidden="1">
      <c r="A145" s="26">
        <v>45776</v>
      </c>
      <c r="B145" s="7" t="s">
        <v>226</v>
      </c>
      <c r="C145" s="1">
        <v>0</v>
      </c>
      <c r="D145" s="1">
        <v>2000000</v>
      </c>
      <c r="E145" s="12">
        <f t="shared" si="2"/>
        <v>260270648.86000001</v>
      </c>
      <c r="F145" t="s">
        <v>9</v>
      </c>
      <c r="G145" s="8" t="s">
        <v>33</v>
      </c>
      <c r="H145" s="38" t="s">
        <v>26</v>
      </c>
    </row>
    <row r="146" spans="1:8" hidden="1">
      <c r="A146" s="26">
        <v>45776</v>
      </c>
      <c r="B146" s="7" t="s">
        <v>181</v>
      </c>
      <c r="C146" s="1">
        <v>0</v>
      </c>
      <c r="D146" s="1">
        <v>250000</v>
      </c>
      <c r="E146" s="12">
        <f t="shared" ref="E146:E179" si="3">E145-C146+D146</f>
        <v>260520648.86000001</v>
      </c>
      <c r="F146" t="s">
        <v>9</v>
      </c>
      <c r="G146" s="8" t="s">
        <v>33</v>
      </c>
      <c r="H146" s="38" t="s">
        <v>126</v>
      </c>
    </row>
    <row r="147" spans="1:8" hidden="1">
      <c r="A147" s="26">
        <v>45776</v>
      </c>
      <c r="B147" s="7" t="s">
        <v>182</v>
      </c>
      <c r="C147" s="1">
        <v>0</v>
      </c>
      <c r="D147" s="1">
        <v>200000</v>
      </c>
      <c r="E147" s="12">
        <f t="shared" si="3"/>
        <v>260720648.86000001</v>
      </c>
      <c r="F147" t="s">
        <v>9</v>
      </c>
      <c r="G147" s="8" t="s">
        <v>33</v>
      </c>
      <c r="H147" s="38" t="s">
        <v>45</v>
      </c>
    </row>
    <row r="148" spans="1:8" hidden="1">
      <c r="A148" s="26">
        <v>45776</v>
      </c>
      <c r="B148" s="7" t="s">
        <v>241</v>
      </c>
      <c r="C148" s="1">
        <v>0</v>
      </c>
      <c r="D148" s="1">
        <v>4000000</v>
      </c>
      <c r="E148" s="12">
        <f t="shared" si="3"/>
        <v>264720648.86000001</v>
      </c>
      <c r="F148" t="s">
        <v>9</v>
      </c>
      <c r="G148" s="8" t="s">
        <v>33</v>
      </c>
      <c r="H148" s="38" t="s">
        <v>125</v>
      </c>
    </row>
    <row r="149" spans="1:8" hidden="1">
      <c r="A149" s="26">
        <v>45776</v>
      </c>
      <c r="B149" s="7" t="s">
        <v>242</v>
      </c>
      <c r="C149" s="1">
        <v>0</v>
      </c>
      <c r="D149" s="1">
        <v>150000000</v>
      </c>
      <c r="E149" s="12">
        <f t="shared" si="3"/>
        <v>414720648.86000001</v>
      </c>
      <c r="F149" t="s">
        <v>186</v>
      </c>
      <c r="G149" s="8" t="s">
        <v>95</v>
      </c>
      <c r="H149" s="38"/>
    </row>
    <row r="150" spans="1:8" hidden="1">
      <c r="A150" s="26">
        <v>45776</v>
      </c>
      <c r="B150" s="7" t="s">
        <v>1133</v>
      </c>
      <c r="C150" s="1">
        <v>317650000</v>
      </c>
      <c r="D150" s="1">
        <v>0</v>
      </c>
      <c r="E150" s="12">
        <f t="shared" si="3"/>
        <v>97070648.860000014</v>
      </c>
      <c r="F150" t="s">
        <v>6</v>
      </c>
      <c r="G150" s="8" t="s">
        <v>11</v>
      </c>
      <c r="H150" s="38"/>
    </row>
    <row r="151" spans="1:8" hidden="1">
      <c r="A151" s="26">
        <v>45776</v>
      </c>
      <c r="B151" s="7" t="s">
        <v>243</v>
      </c>
      <c r="C151" s="1">
        <v>150000</v>
      </c>
      <c r="D151" s="1">
        <v>0</v>
      </c>
      <c r="E151" s="12">
        <f t="shared" si="3"/>
        <v>96920648.860000014</v>
      </c>
      <c r="F151" t="s">
        <v>4</v>
      </c>
      <c r="G151" s="8" t="s">
        <v>5</v>
      </c>
      <c r="H151" s="44" t="s">
        <v>305</v>
      </c>
    </row>
    <row r="152" spans="1:8" hidden="1">
      <c r="A152" s="26">
        <v>45776</v>
      </c>
      <c r="B152" s="7" t="s">
        <v>244</v>
      </c>
      <c r="C152" s="1">
        <v>400000</v>
      </c>
      <c r="D152" s="1">
        <v>0</v>
      </c>
      <c r="E152" s="12">
        <f t="shared" si="3"/>
        <v>96520648.860000014</v>
      </c>
      <c r="F152" t="s">
        <v>4</v>
      </c>
      <c r="G152" s="8" t="s">
        <v>5</v>
      </c>
      <c r="H152" s="44" t="s">
        <v>305</v>
      </c>
    </row>
    <row r="153" spans="1:8" hidden="1">
      <c r="A153" s="26">
        <v>45776</v>
      </c>
      <c r="B153" s="7" t="s">
        <v>245</v>
      </c>
      <c r="C153" s="1">
        <v>400000</v>
      </c>
      <c r="D153" s="1">
        <v>0</v>
      </c>
      <c r="E153" s="12">
        <f t="shared" si="3"/>
        <v>96120648.860000014</v>
      </c>
      <c r="F153" t="s">
        <v>4</v>
      </c>
      <c r="G153" s="8" t="s">
        <v>5</v>
      </c>
      <c r="H153" s="38" t="s">
        <v>452</v>
      </c>
    </row>
    <row r="154" spans="1:8" hidden="1">
      <c r="A154" s="26">
        <v>45776</v>
      </c>
      <c r="B154" s="7" t="s">
        <v>246</v>
      </c>
      <c r="C154" s="1">
        <v>400000</v>
      </c>
      <c r="D154" s="1">
        <v>0</v>
      </c>
      <c r="E154" s="12">
        <f t="shared" si="3"/>
        <v>95720648.860000014</v>
      </c>
      <c r="F154" t="s">
        <v>4</v>
      </c>
      <c r="G154" s="8" t="s">
        <v>5</v>
      </c>
      <c r="H154" s="38" t="s">
        <v>452</v>
      </c>
    </row>
    <row r="155" spans="1:8" hidden="1">
      <c r="A155" s="26">
        <v>45776</v>
      </c>
      <c r="B155" s="7" t="s">
        <v>247</v>
      </c>
      <c r="C155" s="1">
        <v>150000</v>
      </c>
      <c r="D155" s="1">
        <v>0</v>
      </c>
      <c r="E155" s="12">
        <f t="shared" si="3"/>
        <v>95570648.860000014</v>
      </c>
      <c r="F155" t="s">
        <v>4</v>
      </c>
      <c r="G155" s="8" t="s">
        <v>5</v>
      </c>
      <c r="H155" s="38" t="s">
        <v>691</v>
      </c>
    </row>
    <row r="156" spans="1:8" hidden="1">
      <c r="A156" s="26">
        <v>45776</v>
      </c>
      <c r="B156" s="7" t="s">
        <v>248</v>
      </c>
      <c r="C156" s="1">
        <v>500000</v>
      </c>
      <c r="D156" s="1">
        <v>0</v>
      </c>
      <c r="E156" s="12">
        <f t="shared" si="3"/>
        <v>95070648.860000014</v>
      </c>
      <c r="F156" t="s">
        <v>4</v>
      </c>
      <c r="G156" s="8" t="s">
        <v>5</v>
      </c>
      <c r="H156" s="38" t="s">
        <v>691</v>
      </c>
    </row>
    <row r="157" spans="1:8" hidden="1">
      <c r="A157" s="26">
        <v>45776</v>
      </c>
      <c r="B157" s="7" t="s">
        <v>249</v>
      </c>
      <c r="C157" s="1">
        <v>150000</v>
      </c>
      <c r="D157" s="1">
        <v>0</v>
      </c>
      <c r="E157" s="12">
        <f t="shared" si="3"/>
        <v>94920648.860000014</v>
      </c>
      <c r="F157" t="s">
        <v>4</v>
      </c>
      <c r="G157" s="8" t="s">
        <v>5</v>
      </c>
      <c r="H157" s="38" t="s">
        <v>691</v>
      </c>
    </row>
    <row r="158" spans="1:8" hidden="1">
      <c r="A158" s="5">
        <v>45776</v>
      </c>
      <c r="B158" s="7" t="s">
        <v>250</v>
      </c>
      <c r="C158" s="1">
        <v>400000</v>
      </c>
      <c r="D158" s="1">
        <v>0</v>
      </c>
      <c r="E158" s="12">
        <f t="shared" si="3"/>
        <v>94520648.860000014</v>
      </c>
      <c r="F158" t="s">
        <v>4</v>
      </c>
      <c r="G158" s="8" t="s">
        <v>5</v>
      </c>
      <c r="H158" s="38" t="s">
        <v>691</v>
      </c>
    </row>
    <row r="159" spans="1:8" hidden="1">
      <c r="A159" s="5">
        <v>45776</v>
      </c>
      <c r="B159" s="7" t="s">
        <v>251</v>
      </c>
      <c r="C159" s="1">
        <v>400000</v>
      </c>
      <c r="D159" s="1">
        <v>0</v>
      </c>
      <c r="E159" s="12">
        <f t="shared" si="3"/>
        <v>94120648.860000014</v>
      </c>
      <c r="F159" t="s">
        <v>4</v>
      </c>
      <c r="G159" s="8" t="s">
        <v>5</v>
      </c>
      <c r="H159" s="38" t="s">
        <v>691</v>
      </c>
    </row>
    <row r="160" spans="1:8" hidden="1">
      <c r="A160" s="5">
        <v>45777</v>
      </c>
      <c r="B160" s="7" t="s">
        <v>75</v>
      </c>
      <c r="C160" s="1">
        <v>0</v>
      </c>
      <c r="D160" s="1">
        <v>3199.62</v>
      </c>
      <c r="E160" s="12">
        <f t="shared" si="3"/>
        <v>94123848.480000019</v>
      </c>
      <c r="F160" t="s">
        <v>252</v>
      </c>
      <c r="G160" s="8" t="s">
        <v>34</v>
      </c>
      <c r="H160" s="38"/>
    </row>
    <row r="161" spans="1:8" hidden="1">
      <c r="A161" s="5">
        <v>45777</v>
      </c>
      <c r="B161" s="7" t="s">
        <v>76</v>
      </c>
      <c r="C161" s="1">
        <v>639.91999999999996</v>
      </c>
      <c r="D161" s="1">
        <v>0</v>
      </c>
      <c r="E161" s="12">
        <f t="shared" si="3"/>
        <v>94123208.560000017</v>
      </c>
      <c r="F161" t="s">
        <v>252</v>
      </c>
      <c r="G161" s="8" t="s">
        <v>34</v>
      </c>
      <c r="H161" s="38"/>
    </row>
    <row r="162" spans="1:8" hidden="1">
      <c r="A162" s="5">
        <v>45783</v>
      </c>
      <c r="B162" s="7" t="s">
        <v>1144</v>
      </c>
      <c r="C162" s="1">
        <v>60000000</v>
      </c>
      <c r="D162" s="1">
        <v>0</v>
      </c>
      <c r="E162" s="12">
        <f t="shared" si="3"/>
        <v>34123208.560000017</v>
      </c>
      <c r="F162" s="28" t="s">
        <v>266</v>
      </c>
      <c r="G162" s="8" t="s">
        <v>52</v>
      </c>
      <c r="H162" s="38"/>
    </row>
    <row r="163" spans="1:8" hidden="1">
      <c r="A163" s="5">
        <v>45785</v>
      </c>
      <c r="B163" s="7" t="s">
        <v>255</v>
      </c>
      <c r="C163" s="1">
        <v>150000</v>
      </c>
      <c r="D163" s="1">
        <v>0</v>
      </c>
      <c r="E163" s="12">
        <f t="shared" si="3"/>
        <v>33973208.560000017</v>
      </c>
      <c r="F163" s="28" t="s">
        <v>4</v>
      </c>
      <c r="G163" s="8" t="s">
        <v>5</v>
      </c>
      <c r="H163" s="38" t="s">
        <v>452</v>
      </c>
    </row>
    <row r="164" spans="1:8" hidden="1">
      <c r="A164" s="5">
        <v>45785</v>
      </c>
      <c r="B164" s="7" t="s">
        <v>256</v>
      </c>
      <c r="C164" s="1">
        <v>500000</v>
      </c>
      <c r="D164" s="1">
        <v>0</v>
      </c>
      <c r="E164" s="12">
        <f t="shared" si="3"/>
        <v>33473208.560000017</v>
      </c>
      <c r="F164" s="28" t="s">
        <v>4</v>
      </c>
      <c r="G164" s="8" t="s">
        <v>5</v>
      </c>
      <c r="H164" s="38" t="s">
        <v>452</v>
      </c>
    </row>
    <row r="165" spans="1:8" hidden="1">
      <c r="A165" s="5">
        <v>45785</v>
      </c>
      <c r="B165" s="7" t="s">
        <v>257</v>
      </c>
      <c r="C165" s="1">
        <v>800000</v>
      </c>
      <c r="D165" s="1">
        <v>0</v>
      </c>
      <c r="E165" s="12">
        <f t="shared" si="3"/>
        <v>32673208.560000017</v>
      </c>
      <c r="F165" s="28" t="s">
        <v>4</v>
      </c>
      <c r="G165" s="8" t="s">
        <v>5</v>
      </c>
      <c r="H165" s="38" t="s">
        <v>452</v>
      </c>
    </row>
    <row r="166" spans="1:8" hidden="1">
      <c r="A166" s="5">
        <v>45785</v>
      </c>
      <c r="B166" s="7" t="s">
        <v>258</v>
      </c>
      <c r="C166" s="1">
        <v>150000</v>
      </c>
      <c r="D166" s="1">
        <v>0</v>
      </c>
      <c r="E166" s="12">
        <f t="shared" si="3"/>
        <v>32523208.560000017</v>
      </c>
      <c r="F166" s="28" t="s">
        <v>4</v>
      </c>
      <c r="G166" s="8" t="s">
        <v>5</v>
      </c>
      <c r="H166" s="38" t="s">
        <v>452</v>
      </c>
    </row>
    <row r="167" spans="1:8" hidden="1">
      <c r="A167" s="5">
        <v>45785</v>
      </c>
      <c r="B167" s="7" t="s">
        <v>259</v>
      </c>
      <c r="C167" s="1">
        <v>1000000</v>
      </c>
      <c r="D167" s="1">
        <v>0</v>
      </c>
      <c r="E167" s="12">
        <f t="shared" si="3"/>
        <v>31523208.560000017</v>
      </c>
      <c r="F167" s="28" t="s">
        <v>4</v>
      </c>
      <c r="G167" s="8" t="s">
        <v>5</v>
      </c>
      <c r="H167" s="38" t="s">
        <v>691</v>
      </c>
    </row>
    <row r="168" spans="1:8" hidden="1">
      <c r="A168" s="5">
        <v>45786</v>
      </c>
      <c r="B168" s="7" t="s">
        <v>260</v>
      </c>
      <c r="C168" s="1">
        <v>4000000</v>
      </c>
      <c r="D168" s="1">
        <v>0</v>
      </c>
      <c r="E168" s="12">
        <f t="shared" si="3"/>
        <v>27523208.560000017</v>
      </c>
      <c r="F168" s="28" t="s">
        <v>9</v>
      </c>
      <c r="G168" s="8" t="s">
        <v>33</v>
      </c>
      <c r="H168" s="38" t="s">
        <v>481</v>
      </c>
    </row>
    <row r="169" spans="1:8" hidden="1">
      <c r="A169" s="5">
        <v>45791</v>
      </c>
      <c r="B169" s="7" t="s">
        <v>261</v>
      </c>
      <c r="C169" s="1">
        <v>480000</v>
      </c>
      <c r="D169" s="1">
        <v>0</v>
      </c>
      <c r="E169" s="12">
        <f t="shared" si="3"/>
        <v>27043208.560000017</v>
      </c>
      <c r="F169" s="28" t="s">
        <v>28</v>
      </c>
      <c r="G169" s="8" t="s">
        <v>20</v>
      </c>
      <c r="H169" s="38"/>
    </row>
    <row r="170" spans="1:8" hidden="1">
      <c r="A170" s="5">
        <v>45791</v>
      </c>
      <c r="B170" s="7" t="s">
        <v>262</v>
      </c>
      <c r="C170" s="1">
        <v>320000</v>
      </c>
      <c r="D170" s="1">
        <v>0</v>
      </c>
      <c r="E170" s="12">
        <f t="shared" si="3"/>
        <v>26723208.560000017</v>
      </c>
      <c r="F170" s="28" t="s">
        <v>28</v>
      </c>
      <c r="G170" s="8" t="s">
        <v>20</v>
      </c>
      <c r="H170" s="38"/>
    </row>
    <row r="171" spans="1:8" hidden="1">
      <c r="A171" s="5">
        <v>45791</v>
      </c>
      <c r="B171" s="7" t="s">
        <v>263</v>
      </c>
      <c r="C171" s="1">
        <v>1622000</v>
      </c>
      <c r="D171" s="1">
        <v>0</v>
      </c>
      <c r="E171" s="12">
        <f t="shared" si="3"/>
        <v>25101208.560000017</v>
      </c>
      <c r="F171" s="28" t="s">
        <v>28</v>
      </c>
      <c r="G171" s="8" t="s">
        <v>20</v>
      </c>
      <c r="H171" s="38"/>
    </row>
    <row r="172" spans="1:8" hidden="1">
      <c r="A172" s="5">
        <v>45791</v>
      </c>
      <c r="B172" s="7" t="s">
        <v>264</v>
      </c>
      <c r="C172" s="1">
        <v>660000</v>
      </c>
      <c r="D172" s="1">
        <v>0</v>
      </c>
      <c r="E172" s="12">
        <f t="shared" si="3"/>
        <v>24441208.560000017</v>
      </c>
      <c r="F172" s="28" t="s">
        <v>28</v>
      </c>
      <c r="G172" s="8" t="s">
        <v>20</v>
      </c>
      <c r="H172" s="38"/>
    </row>
    <row r="173" spans="1:8" hidden="1">
      <c r="A173" s="5">
        <v>45792</v>
      </c>
      <c r="B173" s="7" t="s">
        <v>265</v>
      </c>
      <c r="C173" s="1">
        <v>0</v>
      </c>
      <c r="D173" s="1">
        <v>250000000</v>
      </c>
      <c r="E173" s="12">
        <f t="shared" si="3"/>
        <v>274441208.56</v>
      </c>
      <c r="F173" t="s">
        <v>186</v>
      </c>
      <c r="G173" s="8" t="s">
        <v>133</v>
      </c>
      <c r="H173" s="38"/>
    </row>
    <row r="174" spans="1:8" hidden="1">
      <c r="A174" s="5">
        <v>45792</v>
      </c>
      <c r="B174" s="7" t="s">
        <v>265</v>
      </c>
      <c r="C174" s="1">
        <v>0</v>
      </c>
      <c r="D174" s="1">
        <v>250000000</v>
      </c>
      <c r="E174" s="12">
        <f t="shared" si="3"/>
        <v>524441208.56</v>
      </c>
      <c r="F174" t="s">
        <v>186</v>
      </c>
      <c r="G174" s="8" t="s">
        <v>133</v>
      </c>
      <c r="H174" s="38"/>
    </row>
    <row r="175" spans="1:8" hidden="1">
      <c r="A175" s="5">
        <v>45792</v>
      </c>
      <c r="B175" s="7" t="s">
        <v>265</v>
      </c>
      <c r="C175" s="1">
        <v>0</v>
      </c>
      <c r="D175" s="1">
        <v>250000000</v>
      </c>
      <c r="E175" s="12">
        <f t="shared" si="3"/>
        <v>774441208.55999994</v>
      </c>
      <c r="F175" t="s">
        <v>186</v>
      </c>
      <c r="G175" s="8" t="s">
        <v>133</v>
      </c>
      <c r="H175" s="38"/>
    </row>
    <row r="176" spans="1:8" hidden="1">
      <c r="A176" s="5">
        <v>45792</v>
      </c>
      <c r="B176" s="7" t="s">
        <v>265</v>
      </c>
      <c r="C176" s="1">
        <v>0</v>
      </c>
      <c r="D176" s="1">
        <v>250000000</v>
      </c>
      <c r="E176" s="12">
        <f t="shared" si="3"/>
        <v>1024441208.5599999</v>
      </c>
      <c r="F176" t="s">
        <v>186</v>
      </c>
      <c r="G176" s="8" t="s">
        <v>133</v>
      </c>
      <c r="H176" s="38"/>
    </row>
    <row r="177" spans="1:9" hidden="1">
      <c r="A177" s="5">
        <v>45793</v>
      </c>
      <c r="B177" s="7" t="s">
        <v>73</v>
      </c>
      <c r="C177" s="1">
        <v>20000</v>
      </c>
      <c r="D177" s="1">
        <v>0</v>
      </c>
      <c r="E177" s="12">
        <f t="shared" si="3"/>
        <v>1024421208.5599999</v>
      </c>
      <c r="F177" s="28" t="s">
        <v>14</v>
      </c>
      <c r="G177" s="8" t="s">
        <v>50</v>
      </c>
      <c r="H177" s="38"/>
    </row>
    <row r="178" spans="1:9" hidden="1">
      <c r="A178" s="5">
        <v>45795</v>
      </c>
      <c r="B178" s="7" t="s">
        <v>284</v>
      </c>
      <c r="C178" s="1">
        <v>0</v>
      </c>
      <c r="D178" s="12">
        <v>3043010</v>
      </c>
      <c r="E178" s="12">
        <f t="shared" si="3"/>
        <v>1027464218.5599999</v>
      </c>
      <c r="F178" t="s">
        <v>514</v>
      </c>
      <c r="G178" s="8" t="s">
        <v>515</v>
      </c>
      <c r="H178" s="44" t="s">
        <v>298</v>
      </c>
      <c r="I178" s="38" t="s">
        <v>356</v>
      </c>
    </row>
    <row r="179" spans="1:9" hidden="1">
      <c r="A179" s="5">
        <v>45797</v>
      </c>
      <c r="B179" s="7" t="s">
        <v>285</v>
      </c>
      <c r="C179" s="1">
        <v>1000000000</v>
      </c>
      <c r="D179" s="1">
        <v>0</v>
      </c>
      <c r="E179" s="12">
        <f t="shared" si="3"/>
        <v>27464218.559999943</v>
      </c>
      <c r="F179" s="28" t="s">
        <v>295</v>
      </c>
      <c r="G179" s="8" t="s">
        <v>254</v>
      </c>
      <c r="H179" s="38" t="s">
        <v>1143</v>
      </c>
    </row>
    <row r="180" spans="1:9" hidden="1">
      <c r="A180" s="5">
        <v>45804</v>
      </c>
      <c r="B180" s="7" t="s">
        <v>286</v>
      </c>
      <c r="C180" s="1">
        <v>0</v>
      </c>
      <c r="D180" s="1">
        <v>250000000</v>
      </c>
      <c r="E180" s="12">
        <f t="shared" ref="E180:E201" si="4">E179-C180+D180</f>
        <v>277464218.55999994</v>
      </c>
      <c r="F180" s="25" t="s">
        <v>186</v>
      </c>
      <c r="G180" s="25" t="s">
        <v>1031</v>
      </c>
      <c r="H180" s="76">
        <v>45804</v>
      </c>
    </row>
    <row r="181" spans="1:9" hidden="1">
      <c r="A181" s="5">
        <v>45804</v>
      </c>
      <c r="B181" s="7" t="s">
        <v>286</v>
      </c>
      <c r="C181" s="1">
        <v>0</v>
      </c>
      <c r="D181" s="1">
        <v>250000000</v>
      </c>
      <c r="E181" s="12">
        <f t="shared" si="4"/>
        <v>527464218.55999994</v>
      </c>
      <c r="F181" s="25" t="s">
        <v>186</v>
      </c>
      <c r="G181" s="25" t="s">
        <v>1031</v>
      </c>
      <c r="H181" s="76">
        <v>45804</v>
      </c>
    </row>
    <row r="182" spans="1:9" hidden="1">
      <c r="A182" s="5">
        <v>45804</v>
      </c>
      <c r="B182" s="7" t="s">
        <v>1056</v>
      </c>
      <c r="C182" s="1">
        <v>330000000</v>
      </c>
      <c r="D182" s="1">
        <v>0</v>
      </c>
      <c r="E182" s="12">
        <f t="shared" si="4"/>
        <v>197464218.55999994</v>
      </c>
      <c r="F182" s="25" t="s">
        <v>186</v>
      </c>
      <c r="G182" s="8" t="s">
        <v>132</v>
      </c>
      <c r="H182" s="44" t="s">
        <v>1057</v>
      </c>
    </row>
    <row r="183" spans="1:9" hidden="1">
      <c r="A183" s="5">
        <v>45804</v>
      </c>
      <c r="B183" s="7" t="s">
        <v>287</v>
      </c>
      <c r="C183" s="1">
        <v>400000</v>
      </c>
      <c r="D183" s="1">
        <v>0</v>
      </c>
      <c r="E183" s="12">
        <f t="shared" si="4"/>
        <v>197064218.55999994</v>
      </c>
      <c r="F183" s="28" t="s">
        <v>4</v>
      </c>
      <c r="G183" s="8" t="s">
        <v>5</v>
      </c>
      <c r="H183" s="44" t="s">
        <v>299</v>
      </c>
    </row>
    <row r="184" spans="1:9" hidden="1">
      <c r="A184" s="5">
        <v>45804</v>
      </c>
      <c r="B184" s="7" t="s">
        <v>288</v>
      </c>
      <c r="C184" s="1">
        <v>400000</v>
      </c>
      <c r="D184" s="1">
        <v>0</v>
      </c>
      <c r="E184" s="12">
        <f t="shared" si="4"/>
        <v>196664218.55999994</v>
      </c>
      <c r="F184" s="28" t="s">
        <v>4</v>
      </c>
      <c r="G184" s="8" t="s">
        <v>5</v>
      </c>
      <c r="H184" s="44" t="s">
        <v>299</v>
      </c>
    </row>
    <row r="185" spans="1:9" hidden="1">
      <c r="A185" s="5">
        <v>45804</v>
      </c>
      <c r="B185" s="7" t="s">
        <v>289</v>
      </c>
      <c r="C185" s="9">
        <v>400000</v>
      </c>
      <c r="D185" s="9">
        <v>0</v>
      </c>
      <c r="E185" s="21">
        <f t="shared" si="4"/>
        <v>196264218.55999994</v>
      </c>
      <c r="F185" s="32" t="s">
        <v>9</v>
      </c>
      <c r="G185" s="8" t="s">
        <v>124</v>
      </c>
      <c r="H185" s="38" t="s">
        <v>640</v>
      </c>
      <c r="I185" t="s">
        <v>19</v>
      </c>
    </row>
    <row r="186" spans="1:9" hidden="1">
      <c r="A186" s="5">
        <v>45804</v>
      </c>
      <c r="B186" s="7" t="s">
        <v>290</v>
      </c>
      <c r="C186" s="1">
        <v>362266</v>
      </c>
      <c r="D186" s="1">
        <v>0</v>
      </c>
      <c r="E186" s="12">
        <f t="shared" si="4"/>
        <v>195901952.55999994</v>
      </c>
      <c r="F186" s="28" t="s">
        <v>28</v>
      </c>
      <c r="G186" s="8" t="s">
        <v>29</v>
      </c>
      <c r="H186" s="38"/>
    </row>
    <row r="187" spans="1:9" hidden="1">
      <c r="A187" s="5">
        <v>45804</v>
      </c>
      <c r="B187" s="7" t="s">
        <v>291</v>
      </c>
      <c r="C187" s="1">
        <v>150000</v>
      </c>
      <c r="D187" s="1">
        <v>0</v>
      </c>
      <c r="E187" s="12">
        <f t="shared" si="4"/>
        <v>195751952.55999994</v>
      </c>
      <c r="F187" s="28" t="s">
        <v>4</v>
      </c>
      <c r="G187" s="8" t="s">
        <v>5</v>
      </c>
      <c r="H187" s="44" t="s">
        <v>299</v>
      </c>
    </row>
    <row r="188" spans="1:9" hidden="1">
      <c r="A188" s="5">
        <v>45804</v>
      </c>
      <c r="B188" s="7" t="s">
        <v>292</v>
      </c>
      <c r="C188" s="1">
        <v>400000</v>
      </c>
      <c r="D188" s="1">
        <v>0</v>
      </c>
      <c r="E188" s="12">
        <f t="shared" si="4"/>
        <v>195351952.55999994</v>
      </c>
      <c r="F188" s="28" t="s">
        <v>4</v>
      </c>
      <c r="G188" s="8" t="s">
        <v>5</v>
      </c>
      <c r="H188" s="44" t="s">
        <v>299</v>
      </c>
    </row>
    <row r="189" spans="1:9" hidden="1">
      <c r="A189" s="5">
        <v>45805</v>
      </c>
      <c r="B189" s="7" t="s">
        <v>293</v>
      </c>
      <c r="C189" s="1">
        <v>61150000</v>
      </c>
      <c r="D189" s="1">
        <v>0</v>
      </c>
      <c r="E189" s="12">
        <f t="shared" si="4"/>
        <v>134201952.55999994</v>
      </c>
      <c r="F189" s="28" t="s">
        <v>28</v>
      </c>
      <c r="G189" s="8" t="s">
        <v>16</v>
      </c>
      <c r="H189" s="38"/>
    </row>
    <row r="190" spans="1:9" hidden="1">
      <c r="A190" s="5">
        <v>45805</v>
      </c>
      <c r="B190" s="7" t="s">
        <v>286</v>
      </c>
      <c r="C190" s="1">
        <v>0</v>
      </c>
      <c r="D190" s="1">
        <v>250000000</v>
      </c>
      <c r="E190" s="12">
        <f t="shared" si="4"/>
        <v>384201952.55999994</v>
      </c>
      <c r="F190" s="25" t="s">
        <v>186</v>
      </c>
      <c r="G190" s="25" t="s">
        <v>1031</v>
      </c>
      <c r="H190" s="76">
        <v>45805</v>
      </c>
    </row>
    <row r="191" spans="1:9" hidden="1">
      <c r="A191" s="5">
        <v>45805</v>
      </c>
      <c r="B191" s="7" t="s">
        <v>1038</v>
      </c>
      <c r="C191" s="1">
        <v>250000000</v>
      </c>
      <c r="D191" s="1">
        <v>0</v>
      </c>
      <c r="E191" s="12">
        <f t="shared" si="4"/>
        <v>134201952.55999994</v>
      </c>
      <c r="F191" s="28" t="s">
        <v>4</v>
      </c>
      <c r="G191" s="8" t="s">
        <v>5</v>
      </c>
      <c r="H191" s="16" t="s">
        <v>642</v>
      </c>
    </row>
    <row r="192" spans="1:9" hidden="1">
      <c r="A192" s="5">
        <v>45805</v>
      </c>
      <c r="B192" s="7" t="s">
        <v>294</v>
      </c>
      <c r="C192" s="1">
        <v>2500</v>
      </c>
      <c r="D192" s="1">
        <v>0</v>
      </c>
      <c r="E192" s="12">
        <f t="shared" si="4"/>
        <v>134199452.55999994</v>
      </c>
      <c r="F192" s="28" t="s">
        <v>14</v>
      </c>
      <c r="G192" s="8" t="s">
        <v>50</v>
      </c>
      <c r="H192" s="38"/>
    </row>
    <row r="193" spans="1:9" hidden="1">
      <c r="A193" s="5">
        <v>45805</v>
      </c>
      <c r="B193" s="7" t="s">
        <v>1037</v>
      </c>
      <c r="C193" s="1">
        <v>70000000</v>
      </c>
      <c r="D193" s="1">
        <v>0</v>
      </c>
      <c r="E193" s="12">
        <f t="shared" si="4"/>
        <v>64199452.559999943</v>
      </c>
      <c r="F193" s="28" t="s">
        <v>4</v>
      </c>
      <c r="G193" s="8" t="s">
        <v>5</v>
      </c>
      <c r="H193" s="16" t="s">
        <v>642</v>
      </c>
    </row>
    <row r="194" spans="1:9" hidden="1">
      <c r="A194" s="5">
        <v>45805</v>
      </c>
      <c r="B194" s="7" t="s">
        <v>294</v>
      </c>
      <c r="C194" s="1">
        <v>2500</v>
      </c>
      <c r="D194" s="1">
        <v>0</v>
      </c>
      <c r="E194" s="12">
        <f t="shared" si="4"/>
        <v>64196952.559999943</v>
      </c>
      <c r="F194" s="28" t="s">
        <v>14</v>
      </c>
      <c r="G194" s="8" t="s">
        <v>50</v>
      </c>
      <c r="H194" s="38"/>
    </row>
    <row r="195" spans="1:9" hidden="1">
      <c r="A195" s="5">
        <v>45806</v>
      </c>
      <c r="B195" s="7" t="s">
        <v>179</v>
      </c>
      <c r="C195" s="1">
        <v>0</v>
      </c>
      <c r="D195" s="1">
        <v>2000000</v>
      </c>
      <c r="E195" s="12">
        <f t="shared" si="4"/>
        <v>66196952.559999943</v>
      </c>
      <c r="F195" t="s">
        <v>9</v>
      </c>
      <c r="G195" s="8" t="s">
        <v>33</v>
      </c>
      <c r="H195" s="38" t="s">
        <v>10</v>
      </c>
    </row>
    <row r="196" spans="1:9" hidden="1">
      <c r="A196" s="5">
        <v>45806</v>
      </c>
      <c r="B196" s="7" t="s">
        <v>226</v>
      </c>
      <c r="C196" s="1">
        <v>0</v>
      </c>
      <c r="D196" s="1">
        <v>2000000</v>
      </c>
      <c r="E196" s="12">
        <f t="shared" si="4"/>
        <v>68196952.559999943</v>
      </c>
      <c r="F196" t="s">
        <v>9</v>
      </c>
      <c r="G196" s="8" t="s">
        <v>33</v>
      </c>
      <c r="H196" s="38" t="s">
        <v>26</v>
      </c>
    </row>
    <row r="197" spans="1:9" hidden="1">
      <c r="A197" s="5">
        <v>45806</v>
      </c>
      <c r="B197" s="7" t="s">
        <v>182</v>
      </c>
      <c r="C197" s="1">
        <v>0</v>
      </c>
      <c r="D197" s="1">
        <v>200000</v>
      </c>
      <c r="E197" s="12">
        <f t="shared" si="4"/>
        <v>68396952.559999943</v>
      </c>
      <c r="F197" t="s">
        <v>9</v>
      </c>
      <c r="G197" s="8" t="s">
        <v>33</v>
      </c>
      <c r="H197" s="38" t="s">
        <v>45</v>
      </c>
    </row>
    <row r="198" spans="1:9" hidden="1">
      <c r="A198" s="5">
        <v>45806</v>
      </c>
      <c r="B198" s="7" t="s">
        <v>241</v>
      </c>
      <c r="C198" s="1">
        <v>0</v>
      </c>
      <c r="D198" s="1">
        <v>4000000</v>
      </c>
      <c r="E198" s="12">
        <f t="shared" si="4"/>
        <v>72396952.559999943</v>
      </c>
      <c r="F198" t="s">
        <v>9</v>
      </c>
      <c r="G198" s="8" t="s">
        <v>33</v>
      </c>
      <c r="H198" s="38" t="s">
        <v>125</v>
      </c>
    </row>
    <row r="199" spans="1:9" hidden="1">
      <c r="A199" s="5">
        <v>45808</v>
      </c>
      <c r="B199" s="7" t="s">
        <v>75</v>
      </c>
      <c r="C199" s="1">
        <v>0</v>
      </c>
      <c r="D199" s="1">
        <v>1789.13</v>
      </c>
      <c r="E199" s="12">
        <f t="shared" si="4"/>
        <v>72398741.689999938</v>
      </c>
      <c r="F199" t="s">
        <v>252</v>
      </c>
      <c r="G199" s="8" t="s">
        <v>34</v>
      </c>
      <c r="H199" s="38"/>
    </row>
    <row r="200" spans="1:9" hidden="1">
      <c r="A200" s="5">
        <v>45808</v>
      </c>
      <c r="B200" s="7" t="s">
        <v>76</v>
      </c>
      <c r="C200" s="1">
        <v>357.83</v>
      </c>
      <c r="D200" s="1">
        <v>0</v>
      </c>
      <c r="E200" s="12">
        <f t="shared" si="4"/>
        <v>72398383.85999994</v>
      </c>
      <c r="F200" s="28" t="s">
        <v>252</v>
      </c>
      <c r="G200" s="8" t="s">
        <v>34</v>
      </c>
      <c r="H200" s="38"/>
    </row>
    <row r="201" spans="1:9" hidden="1">
      <c r="A201" s="5">
        <v>45810</v>
      </c>
      <c r="B201" s="7" t="s">
        <v>265</v>
      </c>
      <c r="C201" s="1">
        <v>0</v>
      </c>
      <c r="D201" s="1">
        <v>250000000</v>
      </c>
      <c r="E201" s="12">
        <f t="shared" si="4"/>
        <v>322398383.85999995</v>
      </c>
      <c r="F201" t="s">
        <v>186</v>
      </c>
      <c r="G201" t="s">
        <v>133</v>
      </c>
      <c r="H201" s="38"/>
    </row>
    <row r="202" spans="1:9" hidden="1">
      <c r="A202" s="5">
        <v>45810</v>
      </c>
      <c r="B202" s="7" t="s">
        <v>265</v>
      </c>
      <c r="C202" s="1">
        <v>0</v>
      </c>
      <c r="D202" s="1">
        <v>250000000</v>
      </c>
      <c r="E202" s="12">
        <f t="shared" ref="E202:E265" si="5">E201-C202+D202</f>
        <v>572398383.8599999</v>
      </c>
      <c r="F202" t="s">
        <v>186</v>
      </c>
      <c r="G202" t="s">
        <v>133</v>
      </c>
      <c r="H202" s="38"/>
    </row>
    <row r="203" spans="1:9" hidden="1">
      <c r="A203" s="5">
        <v>45810</v>
      </c>
      <c r="B203" s="7" t="s">
        <v>482</v>
      </c>
      <c r="C203" s="1">
        <v>500000000</v>
      </c>
      <c r="D203" s="1">
        <v>0</v>
      </c>
      <c r="E203" s="12">
        <f t="shared" si="5"/>
        <v>72398383.859999895</v>
      </c>
      <c r="F203" s="28" t="s">
        <v>295</v>
      </c>
      <c r="G203" s="8" t="s">
        <v>254</v>
      </c>
      <c r="H203" s="38" t="s">
        <v>1143</v>
      </c>
    </row>
    <row r="204" spans="1:9" hidden="1">
      <c r="A204" s="5">
        <v>45810</v>
      </c>
      <c r="B204" s="7" t="s">
        <v>483</v>
      </c>
      <c r="C204" s="1">
        <v>0</v>
      </c>
      <c r="D204" s="12">
        <v>28750953</v>
      </c>
      <c r="E204" s="12">
        <f t="shared" si="5"/>
        <v>101149336.8599999</v>
      </c>
      <c r="F204" t="s">
        <v>514</v>
      </c>
      <c r="G204" s="8" t="s">
        <v>515</v>
      </c>
      <c r="H204" s="38" t="s">
        <v>121</v>
      </c>
      <c r="I204" s="38" t="s">
        <v>538</v>
      </c>
    </row>
    <row r="205" spans="1:9" hidden="1">
      <c r="A205" s="5">
        <v>45812</v>
      </c>
      <c r="B205" s="7" t="s">
        <v>484</v>
      </c>
      <c r="C205" s="1">
        <v>900000</v>
      </c>
      <c r="D205" s="1">
        <v>0</v>
      </c>
      <c r="E205" s="12">
        <f t="shared" si="5"/>
        <v>100249336.8599999</v>
      </c>
      <c r="F205" s="28" t="s">
        <v>8</v>
      </c>
      <c r="G205" s="8" t="s">
        <v>21</v>
      </c>
      <c r="H205" s="38"/>
    </row>
    <row r="206" spans="1:9" hidden="1">
      <c r="A206" s="5">
        <v>45812</v>
      </c>
      <c r="B206" s="7" t="s">
        <v>485</v>
      </c>
      <c r="C206" s="1">
        <v>1000000</v>
      </c>
      <c r="D206" s="1">
        <v>0</v>
      </c>
      <c r="E206" s="12">
        <f t="shared" si="5"/>
        <v>99249336.859999895</v>
      </c>
      <c r="F206" s="28" t="s">
        <v>4</v>
      </c>
      <c r="G206" s="8" t="s">
        <v>5</v>
      </c>
      <c r="H206" s="44" t="s">
        <v>642</v>
      </c>
    </row>
    <row r="207" spans="1:9" hidden="1">
      <c r="A207" s="5">
        <v>45812</v>
      </c>
      <c r="B207" s="7" t="s">
        <v>486</v>
      </c>
      <c r="C207" s="9">
        <v>800000</v>
      </c>
      <c r="D207" s="9">
        <v>0</v>
      </c>
      <c r="E207" s="21">
        <f t="shared" si="5"/>
        <v>98449336.859999895</v>
      </c>
      <c r="F207" s="32" t="s">
        <v>9</v>
      </c>
      <c r="G207" s="8" t="s">
        <v>124</v>
      </c>
      <c r="H207" s="38" t="s">
        <v>640</v>
      </c>
      <c r="I207" t="s">
        <v>19</v>
      </c>
    </row>
    <row r="208" spans="1:9" hidden="1">
      <c r="A208" s="5">
        <v>45812</v>
      </c>
      <c r="B208" s="7" t="s">
        <v>487</v>
      </c>
      <c r="C208" s="9">
        <v>800000</v>
      </c>
      <c r="D208" s="9">
        <v>0</v>
      </c>
      <c r="E208" s="21">
        <f t="shared" si="5"/>
        <v>97649336.859999895</v>
      </c>
      <c r="F208" s="32" t="s">
        <v>9</v>
      </c>
      <c r="G208" s="8" t="s">
        <v>124</v>
      </c>
      <c r="H208" s="38" t="s">
        <v>640</v>
      </c>
      <c r="I208" t="s">
        <v>19</v>
      </c>
    </row>
    <row r="209" spans="1:9" hidden="1">
      <c r="A209" s="5">
        <v>45812</v>
      </c>
      <c r="B209" s="7" t="s">
        <v>488</v>
      </c>
      <c r="C209" s="9">
        <v>400000</v>
      </c>
      <c r="D209" s="9">
        <v>0</v>
      </c>
      <c r="E209" s="21">
        <f t="shared" si="5"/>
        <v>97249336.859999895</v>
      </c>
      <c r="F209" s="8" t="s">
        <v>9</v>
      </c>
      <c r="G209" s="8" t="s">
        <v>124</v>
      </c>
      <c r="H209" s="16" t="s">
        <v>306</v>
      </c>
      <c r="I209" t="s">
        <v>19</v>
      </c>
    </row>
    <row r="210" spans="1:9" hidden="1">
      <c r="A210" s="5">
        <v>45813</v>
      </c>
      <c r="B210" s="7" t="s">
        <v>489</v>
      </c>
      <c r="C210" s="1">
        <v>200000</v>
      </c>
      <c r="D210" s="1">
        <v>0</v>
      </c>
      <c r="E210" s="12">
        <f t="shared" si="5"/>
        <v>97049336.859999895</v>
      </c>
      <c r="F210" s="28" t="s">
        <v>9</v>
      </c>
      <c r="G210" s="8" t="s">
        <v>33</v>
      </c>
      <c r="H210" s="38" t="s">
        <v>45</v>
      </c>
    </row>
    <row r="211" spans="1:9" hidden="1">
      <c r="A211" s="5">
        <v>45813</v>
      </c>
      <c r="B211" s="7" t="s">
        <v>490</v>
      </c>
      <c r="C211" s="1">
        <v>250000</v>
      </c>
      <c r="D211" s="1">
        <v>0</v>
      </c>
      <c r="E211" s="12">
        <f t="shared" si="5"/>
        <v>96799336.859999895</v>
      </c>
      <c r="F211" s="28" t="s">
        <v>9</v>
      </c>
      <c r="G211" s="8" t="s">
        <v>33</v>
      </c>
      <c r="H211" s="38" t="s">
        <v>126</v>
      </c>
    </row>
    <row r="212" spans="1:9" hidden="1">
      <c r="A212" s="5">
        <v>45818</v>
      </c>
      <c r="B212" s="7" t="s">
        <v>491</v>
      </c>
      <c r="C212" s="9">
        <v>300000</v>
      </c>
      <c r="D212" s="9">
        <v>0</v>
      </c>
      <c r="E212" s="21">
        <f t="shared" si="5"/>
        <v>96499336.859999895</v>
      </c>
      <c r="F212" s="32" t="s">
        <v>9</v>
      </c>
      <c r="G212" s="8" t="s">
        <v>124</v>
      </c>
      <c r="H212" s="38" t="s">
        <v>640</v>
      </c>
      <c r="I212" t="s">
        <v>19</v>
      </c>
    </row>
    <row r="213" spans="1:9" hidden="1">
      <c r="A213" s="5">
        <v>45818</v>
      </c>
      <c r="B213" s="7" t="s">
        <v>492</v>
      </c>
      <c r="C213" s="1">
        <v>570000</v>
      </c>
      <c r="D213" s="1">
        <v>0</v>
      </c>
      <c r="E213" s="12">
        <f t="shared" si="5"/>
        <v>95929336.859999895</v>
      </c>
      <c r="F213" s="28" t="s">
        <v>28</v>
      </c>
      <c r="G213" s="8" t="s">
        <v>20</v>
      </c>
      <c r="H213" s="38"/>
    </row>
    <row r="214" spans="1:9" hidden="1">
      <c r="A214" s="5">
        <v>45818</v>
      </c>
      <c r="B214" s="7" t="s">
        <v>493</v>
      </c>
      <c r="C214" s="1">
        <v>545000</v>
      </c>
      <c r="D214" s="1">
        <v>0</v>
      </c>
      <c r="E214" s="12">
        <f t="shared" si="5"/>
        <v>95384336.859999895</v>
      </c>
      <c r="F214" s="28" t="s">
        <v>28</v>
      </c>
      <c r="G214" s="8" t="s">
        <v>20</v>
      </c>
      <c r="H214" s="38"/>
    </row>
    <row r="215" spans="1:9" hidden="1">
      <c r="A215" s="5">
        <v>45818</v>
      </c>
      <c r="B215" s="7" t="s">
        <v>494</v>
      </c>
      <c r="C215" s="1">
        <v>1758000</v>
      </c>
      <c r="D215" s="1">
        <v>0</v>
      </c>
      <c r="E215" s="12">
        <f t="shared" si="5"/>
        <v>93626336.859999895</v>
      </c>
      <c r="F215" s="28" t="s">
        <v>28</v>
      </c>
      <c r="G215" s="8" t="s">
        <v>20</v>
      </c>
      <c r="H215" s="38"/>
    </row>
    <row r="216" spans="1:9" hidden="1">
      <c r="A216" s="5">
        <v>45818</v>
      </c>
      <c r="B216" s="7" t="s">
        <v>495</v>
      </c>
      <c r="C216" s="1">
        <v>945000</v>
      </c>
      <c r="D216" s="1">
        <v>0</v>
      </c>
      <c r="E216" s="12">
        <f t="shared" si="5"/>
        <v>92681336.859999895</v>
      </c>
      <c r="F216" s="28" t="s">
        <v>28</v>
      </c>
      <c r="G216" s="8" t="s">
        <v>20</v>
      </c>
      <c r="H216" s="38"/>
    </row>
    <row r="217" spans="1:9" hidden="1">
      <c r="A217" s="5">
        <v>45818</v>
      </c>
      <c r="B217" s="7" t="s">
        <v>496</v>
      </c>
      <c r="C217" s="9">
        <v>800000</v>
      </c>
      <c r="D217" s="9">
        <v>0</v>
      </c>
      <c r="E217" s="21">
        <f t="shared" si="5"/>
        <v>91881336.859999895</v>
      </c>
      <c r="F217" s="32" t="s">
        <v>9</v>
      </c>
      <c r="G217" s="8" t="s">
        <v>124</v>
      </c>
      <c r="H217" s="38" t="s">
        <v>640</v>
      </c>
      <c r="I217" t="s">
        <v>19</v>
      </c>
    </row>
    <row r="218" spans="1:9" hidden="1">
      <c r="A218" s="5">
        <v>45826</v>
      </c>
      <c r="B218" s="7" t="s">
        <v>497</v>
      </c>
      <c r="C218" s="1">
        <v>1200000</v>
      </c>
      <c r="D218" s="1">
        <v>0</v>
      </c>
      <c r="E218" s="12">
        <f t="shared" si="5"/>
        <v>90681336.859999895</v>
      </c>
      <c r="F218" s="28" t="s">
        <v>4</v>
      </c>
      <c r="G218" s="8" t="s">
        <v>5</v>
      </c>
      <c r="H218" s="16" t="s">
        <v>553</v>
      </c>
    </row>
    <row r="219" spans="1:9" hidden="1">
      <c r="A219" s="5">
        <v>45826</v>
      </c>
      <c r="B219" s="7" t="s">
        <v>498</v>
      </c>
      <c r="C219" s="1">
        <v>350000</v>
      </c>
      <c r="D219" s="1">
        <v>0</v>
      </c>
      <c r="E219" s="12">
        <f t="shared" si="5"/>
        <v>90331336.859999895</v>
      </c>
      <c r="F219" s="28" t="s">
        <v>4</v>
      </c>
      <c r="G219" s="8" t="s">
        <v>5</v>
      </c>
      <c r="H219" s="16" t="s">
        <v>553</v>
      </c>
    </row>
    <row r="220" spans="1:9" hidden="1">
      <c r="A220" s="5">
        <v>45826</v>
      </c>
      <c r="B220" s="7" t="s">
        <v>499</v>
      </c>
      <c r="C220" s="1">
        <v>1000000</v>
      </c>
      <c r="D220" s="1">
        <v>0</v>
      </c>
      <c r="E220" s="12">
        <f t="shared" si="5"/>
        <v>89331336.859999895</v>
      </c>
      <c r="F220" s="28" t="s">
        <v>4</v>
      </c>
      <c r="G220" s="8" t="s">
        <v>5</v>
      </c>
      <c r="H220" s="16" t="s">
        <v>553</v>
      </c>
    </row>
    <row r="221" spans="1:9" hidden="1">
      <c r="A221" s="5">
        <v>45827</v>
      </c>
      <c r="B221" s="7" t="s">
        <v>500</v>
      </c>
      <c r="C221" s="1">
        <v>1500000</v>
      </c>
      <c r="D221" s="1">
        <v>0</v>
      </c>
      <c r="E221" s="12">
        <f t="shared" si="5"/>
        <v>87831336.859999895</v>
      </c>
      <c r="F221" s="28" t="s">
        <v>4</v>
      </c>
      <c r="G221" s="8" t="s">
        <v>5</v>
      </c>
      <c r="H221" s="16" t="s">
        <v>465</v>
      </c>
    </row>
    <row r="222" spans="1:9" hidden="1">
      <c r="A222" s="5">
        <v>45827</v>
      </c>
      <c r="B222" s="7" t="s">
        <v>501</v>
      </c>
      <c r="C222" s="1">
        <v>800000</v>
      </c>
      <c r="D222" s="1">
        <v>0</v>
      </c>
      <c r="E222" s="12">
        <f t="shared" si="5"/>
        <v>87031336.859999895</v>
      </c>
      <c r="F222" s="28" t="s">
        <v>4</v>
      </c>
      <c r="G222" s="8" t="s">
        <v>5</v>
      </c>
      <c r="H222" s="16" t="s">
        <v>553</v>
      </c>
    </row>
    <row r="223" spans="1:9" hidden="1">
      <c r="A223" s="5">
        <v>45827</v>
      </c>
      <c r="B223" s="7" t="s">
        <v>502</v>
      </c>
      <c r="C223" s="1">
        <v>2350000</v>
      </c>
      <c r="D223" s="1">
        <v>0</v>
      </c>
      <c r="E223" s="12">
        <f t="shared" si="5"/>
        <v>84681336.859999895</v>
      </c>
      <c r="F223" s="28" t="s">
        <v>4</v>
      </c>
      <c r="G223" s="8" t="s">
        <v>5</v>
      </c>
      <c r="H223" s="44" t="s">
        <v>299</v>
      </c>
    </row>
    <row r="224" spans="1:9" hidden="1">
      <c r="A224" s="5">
        <v>45827</v>
      </c>
      <c r="B224" s="7" t="s">
        <v>503</v>
      </c>
      <c r="C224" s="1">
        <v>1200000</v>
      </c>
      <c r="D224" s="1">
        <v>0</v>
      </c>
      <c r="E224" s="12">
        <f t="shared" si="5"/>
        <v>83481336.859999895</v>
      </c>
      <c r="F224" s="28" t="s">
        <v>4</v>
      </c>
      <c r="G224" s="8" t="s">
        <v>5</v>
      </c>
      <c r="H224" s="16" t="s">
        <v>553</v>
      </c>
    </row>
    <row r="225" spans="1:8" hidden="1">
      <c r="A225" s="5">
        <v>45827</v>
      </c>
      <c r="B225" s="7" t="s">
        <v>204</v>
      </c>
      <c r="C225" s="1">
        <v>2100000</v>
      </c>
      <c r="D225" s="1">
        <v>0</v>
      </c>
      <c r="E225" s="12">
        <f t="shared" si="5"/>
        <v>81381336.859999895</v>
      </c>
      <c r="F225" s="28" t="s">
        <v>4</v>
      </c>
      <c r="G225" s="8" t="s">
        <v>5</v>
      </c>
      <c r="H225" s="44" t="s">
        <v>299</v>
      </c>
    </row>
    <row r="226" spans="1:8" hidden="1">
      <c r="A226" s="5">
        <v>45827</v>
      </c>
      <c r="B226" s="7" t="s">
        <v>504</v>
      </c>
      <c r="C226" s="1">
        <v>2050000</v>
      </c>
      <c r="D226" s="1">
        <v>0</v>
      </c>
      <c r="E226" s="12">
        <f t="shared" si="5"/>
        <v>79331336.859999895</v>
      </c>
      <c r="F226" s="28" t="s">
        <v>4</v>
      </c>
      <c r="G226" s="8" t="s">
        <v>5</v>
      </c>
      <c r="H226" s="44" t="s">
        <v>642</v>
      </c>
    </row>
    <row r="227" spans="1:8" hidden="1">
      <c r="A227" s="5">
        <v>45827</v>
      </c>
      <c r="B227" s="7" t="s">
        <v>505</v>
      </c>
      <c r="C227" s="1">
        <v>1750000</v>
      </c>
      <c r="D227" s="1">
        <v>0</v>
      </c>
      <c r="E227" s="12">
        <f t="shared" si="5"/>
        <v>77581336.859999895</v>
      </c>
      <c r="F227" s="28" t="s">
        <v>4</v>
      </c>
      <c r="G227" s="8" t="s">
        <v>5</v>
      </c>
      <c r="H227" s="44" t="s">
        <v>642</v>
      </c>
    </row>
    <row r="228" spans="1:8" hidden="1">
      <c r="A228" s="5">
        <v>45827</v>
      </c>
      <c r="B228" s="7" t="s">
        <v>506</v>
      </c>
      <c r="C228" s="1">
        <v>1950000</v>
      </c>
      <c r="D228" s="1">
        <v>0</v>
      </c>
      <c r="E228" s="12">
        <f t="shared" si="5"/>
        <v>75631336.859999895</v>
      </c>
      <c r="F228" s="28" t="s">
        <v>4</v>
      </c>
      <c r="G228" s="8" t="s">
        <v>5</v>
      </c>
      <c r="H228" s="44" t="s">
        <v>299</v>
      </c>
    </row>
    <row r="229" spans="1:8" hidden="1">
      <c r="A229" s="5">
        <v>45827</v>
      </c>
      <c r="B229" s="7" t="s">
        <v>507</v>
      </c>
      <c r="C229" s="1">
        <v>1750000</v>
      </c>
      <c r="D229" s="1">
        <v>0</v>
      </c>
      <c r="E229" s="12">
        <f t="shared" si="5"/>
        <v>73881336.859999895</v>
      </c>
      <c r="F229" s="28" t="s">
        <v>4</v>
      </c>
      <c r="G229" s="8" t="s">
        <v>5</v>
      </c>
      <c r="H229" s="44" t="s">
        <v>642</v>
      </c>
    </row>
    <row r="230" spans="1:8" hidden="1">
      <c r="A230" s="5">
        <v>45827</v>
      </c>
      <c r="B230" s="7" t="s">
        <v>188</v>
      </c>
      <c r="C230" s="1">
        <v>1950000</v>
      </c>
      <c r="D230" s="1">
        <v>0</v>
      </c>
      <c r="E230" s="12">
        <f t="shared" si="5"/>
        <v>71931336.859999895</v>
      </c>
      <c r="F230" s="28" t="s">
        <v>4</v>
      </c>
      <c r="G230" s="8" t="s">
        <v>5</v>
      </c>
      <c r="H230" s="44" t="s">
        <v>299</v>
      </c>
    </row>
    <row r="231" spans="1:8" hidden="1">
      <c r="A231" s="5">
        <v>45827</v>
      </c>
      <c r="B231" s="7" t="s">
        <v>508</v>
      </c>
      <c r="C231" s="1">
        <v>5777000</v>
      </c>
      <c r="D231" s="1">
        <v>0</v>
      </c>
      <c r="E231" s="12">
        <f t="shared" si="5"/>
        <v>66154336.859999895</v>
      </c>
      <c r="F231" s="28" t="s">
        <v>8</v>
      </c>
      <c r="G231" s="8" t="s">
        <v>12</v>
      </c>
      <c r="H231" s="38"/>
    </row>
    <row r="232" spans="1:8" hidden="1">
      <c r="A232" s="5">
        <v>45828</v>
      </c>
      <c r="B232" s="7" t="s">
        <v>73</v>
      </c>
      <c r="C232" s="1">
        <v>20000</v>
      </c>
      <c r="D232" s="1">
        <v>0</v>
      </c>
      <c r="E232" s="12">
        <f t="shared" si="5"/>
        <v>66134336.859999895</v>
      </c>
      <c r="F232" s="28" t="s">
        <v>14</v>
      </c>
      <c r="G232" s="8" t="s">
        <v>50</v>
      </c>
      <c r="H232" s="38"/>
    </row>
    <row r="233" spans="1:8" hidden="1">
      <c r="A233" s="5">
        <v>45831</v>
      </c>
      <c r="B233" s="7" t="s">
        <v>265</v>
      </c>
      <c r="C233" s="1">
        <v>0</v>
      </c>
      <c r="D233" s="1">
        <v>250000000</v>
      </c>
      <c r="E233" s="12">
        <f t="shared" si="5"/>
        <v>316134336.8599999</v>
      </c>
      <c r="F233" t="s">
        <v>186</v>
      </c>
      <c r="G233" t="s">
        <v>133</v>
      </c>
      <c r="H233" s="38"/>
    </row>
    <row r="234" spans="1:8" hidden="1">
      <c r="A234" s="5">
        <v>45831</v>
      </c>
      <c r="B234" s="7" t="s">
        <v>265</v>
      </c>
      <c r="C234" s="1">
        <v>0</v>
      </c>
      <c r="D234" s="1">
        <v>250000000</v>
      </c>
      <c r="E234" s="12">
        <f t="shared" si="5"/>
        <v>566134336.8599999</v>
      </c>
      <c r="F234" t="s">
        <v>186</v>
      </c>
      <c r="G234" t="s">
        <v>133</v>
      </c>
      <c r="H234" s="38"/>
    </row>
    <row r="235" spans="1:8" hidden="1">
      <c r="A235" s="5">
        <v>45831</v>
      </c>
      <c r="B235" s="7" t="s">
        <v>509</v>
      </c>
      <c r="C235" s="1">
        <v>500000000</v>
      </c>
      <c r="D235" s="1">
        <v>0</v>
      </c>
      <c r="E235" s="12">
        <f t="shared" si="5"/>
        <v>66134336.859999895</v>
      </c>
      <c r="F235" s="28" t="s">
        <v>295</v>
      </c>
      <c r="G235" s="8" t="s">
        <v>254</v>
      </c>
      <c r="H235" s="38" t="s">
        <v>1143</v>
      </c>
    </row>
    <row r="236" spans="1:8" hidden="1">
      <c r="A236" s="5">
        <v>45833</v>
      </c>
      <c r="B236" s="7" t="s">
        <v>510</v>
      </c>
      <c r="C236" s="1">
        <v>400000</v>
      </c>
      <c r="D236" s="1">
        <v>0</v>
      </c>
      <c r="E236" s="12">
        <f t="shared" si="5"/>
        <v>65734336.859999895</v>
      </c>
      <c r="F236" s="28" t="s">
        <v>4</v>
      </c>
      <c r="G236" s="8" t="s">
        <v>5</v>
      </c>
      <c r="H236" s="16" t="s">
        <v>643</v>
      </c>
    </row>
    <row r="237" spans="1:8" hidden="1">
      <c r="A237" s="5">
        <v>45833</v>
      </c>
      <c r="B237" s="7" t="s">
        <v>511</v>
      </c>
      <c r="C237" s="1">
        <v>400000</v>
      </c>
      <c r="D237" s="1">
        <v>0</v>
      </c>
      <c r="E237" s="12">
        <f t="shared" si="5"/>
        <v>65334336.859999895</v>
      </c>
      <c r="F237" s="28" t="s">
        <v>4</v>
      </c>
      <c r="G237" s="8" t="s">
        <v>5</v>
      </c>
      <c r="H237" s="16" t="s">
        <v>643</v>
      </c>
    </row>
    <row r="238" spans="1:8" hidden="1">
      <c r="A238" s="5">
        <v>45838</v>
      </c>
      <c r="B238" s="7" t="s">
        <v>512</v>
      </c>
      <c r="C238" s="1">
        <v>61150000</v>
      </c>
      <c r="D238" s="1">
        <v>0</v>
      </c>
      <c r="E238" s="12">
        <f t="shared" si="5"/>
        <v>4184336.8599998951</v>
      </c>
      <c r="F238" s="28" t="s">
        <v>28</v>
      </c>
      <c r="G238" s="8" t="s">
        <v>16</v>
      </c>
      <c r="H238" s="38"/>
    </row>
    <row r="239" spans="1:8" hidden="1">
      <c r="A239" s="5">
        <v>45838</v>
      </c>
      <c r="B239" s="7" t="s">
        <v>179</v>
      </c>
      <c r="C239" s="1">
        <v>0</v>
      </c>
      <c r="D239" s="1">
        <v>2000000</v>
      </c>
      <c r="E239" s="12">
        <f t="shared" si="5"/>
        <v>6184336.8599998951</v>
      </c>
      <c r="F239" t="s">
        <v>9</v>
      </c>
      <c r="G239" s="8" t="s">
        <v>33</v>
      </c>
      <c r="H239" s="38" t="s">
        <v>10</v>
      </c>
    </row>
    <row r="240" spans="1:8" hidden="1">
      <c r="A240" s="5">
        <v>45838</v>
      </c>
      <c r="B240" s="7" t="s">
        <v>226</v>
      </c>
      <c r="C240" s="1">
        <v>0</v>
      </c>
      <c r="D240" s="1">
        <v>2000000</v>
      </c>
      <c r="E240" s="12">
        <f t="shared" si="5"/>
        <v>8184336.8599998951</v>
      </c>
      <c r="F240" t="s">
        <v>9</v>
      </c>
      <c r="G240" s="8" t="s">
        <v>33</v>
      </c>
      <c r="H240" s="38" t="s">
        <v>26</v>
      </c>
    </row>
    <row r="241" spans="1:9" hidden="1">
      <c r="A241" s="26">
        <v>45838</v>
      </c>
      <c r="B241" s="7" t="s">
        <v>241</v>
      </c>
      <c r="C241" s="1">
        <v>0</v>
      </c>
      <c r="D241" s="1">
        <v>4000000</v>
      </c>
      <c r="E241" s="12">
        <f t="shared" si="5"/>
        <v>12184336.859999895</v>
      </c>
      <c r="F241" t="s">
        <v>9</v>
      </c>
      <c r="G241" s="8" t="s">
        <v>33</v>
      </c>
      <c r="H241" s="38" t="s">
        <v>125</v>
      </c>
    </row>
    <row r="242" spans="1:9" hidden="1">
      <c r="A242" s="26">
        <v>45838</v>
      </c>
      <c r="B242" s="7" t="s">
        <v>513</v>
      </c>
      <c r="C242" s="1">
        <v>0</v>
      </c>
      <c r="D242" s="12">
        <v>1550000</v>
      </c>
      <c r="E242" s="12">
        <f t="shared" si="5"/>
        <v>13734336.859999895</v>
      </c>
      <c r="F242" t="s">
        <v>514</v>
      </c>
      <c r="G242" s="8" t="s">
        <v>515</v>
      </c>
      <c r="H242" s="38" t="s">
        <v>121</v>
      </c>
      <c r="I242" s="38" t="s">
        <v>367</v>
      </c>
    </row>
    <row r="243" spans="1:9" hidden="1">
      <c r="A243" s="26">
        <v>45838</v>
      </c>
      <c r="B243" s="7" t="s">
        <v>75</v>
      </c>
      <c r="C243" s="1">
        <v>0</v>
      </c>
      <c r="D243" s="1">
        <v>647.85</v>
      </c>
      <c r="E243" s="12">
        <f t="shared" si="5"/>
        <v>13734984.709999895</v>
      </c>
      <c r="F243" t="s">
        <v>252</v>
      </c>
      <c r="G243" s="8" t="s">
        <v>34</v>
      </c>
      <c r="H243" s="38"/>
    </row>
    <row r="244" spans="1:9" hidden="1">
      <c r="A244" s="26">
        <v>45838</v>
      </c>
      <c r="B244" t="s">
        <v>76</v>
      </c>
      <c r="C244" s="35">
        <v>129.57</v>
      </c>
      <c r="D244" s="35">
        <v>0</v>
      </c>
      <c r="E244" s="12">
        <f t="shared" si="5"/>
        <v>13734855.139999894</v>
      </c>
      <c r="F244" s="28" t="s">
        <v>252</v>
      </c>
      <c r="G244" s="8" t="s">
        <v>34</v>
      </c>
    </row>
    <row r="245" spans="1:9" hidden="1">
      <c r="A245" s="26">
        <v>45840</v>
      </c>
      <c r="B245" t="s">
        <v>645</v>
      </c>
      <c r="C245" s="35">
        <v>0</v>
      </c>
      <c r="D245" s="35">
        <v>55575000</v>
      </c>
      <c r="E245" s="12">
        <f t="shared" si="5"/>
        <v>69309855.139999896</v>
      </c>
      <c r="F245" t="s">
        <v>186</v>
      </c>
      <c r="G245" s="8" t="s">
        <v>95</v>
      </c>
    </row>
    <row r="246" spans="1:9" hidden="1">
      <c r="A246" s="26">
        <v>45840</v>
      </c>
      <c r="B246" t="s">
        <v>646</v>
      </c>
      <c r="C246" s="35">
        <v>55575000</v>
      </c>
      <c r="D246" s="12">
        <v>0</v>
      </c>
      <c r="E246" s="12">
        <f t="shared" si="5"/>
        <v>13734855.139999896</v>
      </c>
      <c r="F246" s="28" t="s">
        <v>4</v>
      </c>
      <c r="G246" s="8" t="s">
        <v>5</v>
      </c>
      <c r="H246" s="16" t="s">
        <v>631</v>
      </c>
    </row>
    <row r="247" spans="1:9" hidden="1">
      <c r="A247" s="26">
        <v>45842</v>
      </c>
      <c r="B247" t="s">
        <v>265</v>
      </c>
      <c r="C247" s="35">
        <v>0</v>
      </c>
      <c r="D247" s="35">
        <v>200000000</v>
      </c>
      <c r="E247" s="12">
        <f t="shared" si="5"/>
        <v>213734855.1399999</v>
      </c>
      <c r="F247" t="s">
        <v>186</v>
      </c>
      <c r="G247" s="8" t="s">
        <v>133</v>
      </c>
    </row>
    <row r="248" spans="1:9" hidden="1">
      <c r="A248" s="26">
        <v>45842</v>
      </c>
      <c r="B248" t="s">
        <v>647</v>
      </c>
      <c r="C248" s="35">
        <v>100000000</v>
      </c>
      <c r="D248" s="12">
        <v>0</v>
      </c>
      <c r="E248" s="12">
        <f t="shared" si="5"/>
        <v>113734855.1399999</v>
      </c>
      <c r="F248" t="s">
        <v>6</v>
      </c>
      <c r="G248" s="8" t="s">
        <v>25</v>
      </c>
    </row>
    <row r="249" spans="1:9" hidden="1">
      <c r="A249" s="26">
        <v>45842</v>
      </c>
      <c r="B249" t="s">
        <v>648</v>
      </c>
      <c r="C249" s="35">
        <v>100000000</v>
      </c>
      <c r="D249" s="12">
        <v>0</v>
      </c>
      <c r="E249" s="12">
        <f t="shared" si="5"/>
        <v>13734855.139999896</v>
      </c>
      <c r="F249" t="s">
        <v>6</v>
      </c>
      <c r="G249" s="8" t="s">
        <v>25</v>
      </c>
    </row>
    <row r="250" spans="1:9" hidden="1">
      <c r="A250" s="26">
        <v>45846</v>
      </c>
      <c r="B250" t="s">
        <v>649</v>
      </c>
      <c r="C250" s="35">
        <v>0</v>
      </c>
      <c r="D250" s="35">
        <v>82000000</v>
      </c>
      <c r="E250" s="12">
        <f t="shared" si="5"/>
        <v>95734855.139999896</v>
      </c>
      <c r="F250" s="8" t="s">
        <v>186</v>
      </c>
      <c r="G250" s="8" t="s">
        <v>95</v>
      </c>
    </row>
    <row r="251" spans="1:9" hidden="1">
      <c r="A251" s="26">
        <v>45846</v>
      </c>
      <c r="B251" t="s">
        <v>650</v>
      </c>
      <c r="C251" s="35">
        <v>82000000</v>
      </c>
      <c r="D251" s="12">
        <v>0</v>
      </c>
      <c r="E251" s="12">
        <f t="shared" si="5"/>
        <v>13734855.139999896</v>
      </c>
      <c r="F251" s="28" t="s">
        <v>4</v>
      </c>
      <c r="G251" s="8" t="s">
        <v>5</v>
      </c>
      <c r="H251" s="44" t="s">
        <v>642</v>
      </c>
    </row>
    <row r="252" spans="1:9" hidden="1">
      <c r="A252" s="26">
        <v>45846</v>
      </c>
      <c r="B252" t="s">
        <v>651</v>
      </c>
      <c r="C252" s="35">
        <v>0</v>
      </c>
      <c r="D252" s="12">
        <v>12158989</v>
      </c>
      <c r="E252" s="12">
        <f t="shared" si="5"/>
        <v>25893844.139999896</v>
      </c>
      <c r="F252" t="s">
        <v>514</v>
      </c>
      <c r="G252" s="8" t="s">
        <v>515</v>
      </c>
      <c r="H252" s="38" t="s">
        <v>465</v>
      </c>
      <c r="I252" s="15" t="s">
        <v>616</v>
      </c>
    </row>
    <row r="253" spans="1:9" hidden="1">
      <c r="A253" s="26">
        <v>45846</v>
      </c>
      <c r="B253" t="s">
        <v>652</v>
      </c>
      <c r="C253" s="35">
        <v>0</v>
      </c>
      <c r="D253" s="12">
        <v>5349022</v>
      </c>
      <c r="E253" s="12">
        <f t="shared" si="5"/>
        <v>31242866.139999896</v>
      </c>
      <c r="F253" t="s">
        <v>514</v>
      </c>
      <c r="G253" s="8" t="s">
        <v>515</v>
      </c>
      <c r="H253" s="38" t="s">
        <v>465</v>
      </c>
      <c r="I253" s="15" t="s">
        <v>619</v>
      </c>
    </row>
    <row r="254" spans="1:9" hidden="1">
      <c r="A254" s="26">
        <v>45847</v>
      </c>
      <c r="B254" t="s">
        <v>653</v>
      </c>
      <c r="C254" s="35">
        <v>0</v>
      </c>
      <c r="D254" s="12">
        <v>7775522</v>
      </c>
      <c r="E254" s="12">
        <f t="shared" si="5"/>
        <v>39018388.139999896</v>
      </c>
      <c r="F254" t="s">
        <v>514</v>
      </c>
      <c r="G254" s="8" t="s">
        <v>515</v>
      </c>
      <c r="H254" s="38" t="s">
        <v>465</v>
      </c>
      <c r="I254" s="15" t="s">
        <v>626</v>
      </c>
    </row>
    <row r="255" spans="1:9" hidden="1">
      <c r="A255" s="26">
        <v>45847</v>
      </c>
      <c r="B255" t="s">
        <v>653</v>
      </c>
      <c r="C255" s="35">
        <v>0</v>
      </c>
      <c r="D255" s="12">
        <v>7775522</v>
      </c>
      <c r="E255" s="12">
        <f t="shared" si="5"/>
        <v>46793910.139999896</v>
      </c>
      <c r="F255" t="s">
        <v>514</v>
      </c>
      <c r="G255" s="8" t="s">
        <v>515</v>
      </c>
      <c r="H255" s="38" t="s">
        <v>465</v>
      </c>
      <c r="I255" s="15" t="s">
        <v>628</v>
      </c>
    </row>
    <row r="256" spans="1:9" hidden="1">
      <c r="A256" s="26">
        <v>45847</v>
      </c>
      <c r="B256" t="s">
        <v>654</v>
      </c>
      <c r="C256" s="35">
        <v>0</v>
      </c>
      <c r="D256" s="12">
        <v>10698044</v>
      </c>
      <c r="E256" s="12">
        <f t="shared" si="5"/>
        <v>57491954.139999896</v>
      </c>
      <c r="F256" t="s">
        <v>514</v>
      </c>
      <c r="G256" s="8" t="s">
        <v>515</v>
      </c>
      <c r="H256" s="38" t="s">
        <v>465</v>
      </c>
      <c r="I256" s="15" t="s">
        <v>624</v>
      </c>
    </row>
    <row r="257" spans="1:9" hidden="1">
      <c r="A257" s="26">
        <v>45849</v>
      </c>
      <c r="B257" t="s">
        <v>649</v>
      </c>
      <c r="C257" s="35">
        <v>0</v>
      </c>
      <c r="D257" s="12">
        <v>28000000</v>
      </c>
      <c r="E257" s="12">
        <f t="shared" si="5"/>
        <v>85491954.139999896</v>
      </c>
      <c r="F257" s="8" t="s">
        <v>186</v>
      </c>
      <c r="G257" s="8" t="s">
        <v>95</v>
      </c>
    </row>
    <row r="258" spans="1:9" hidden="1">
      <c r="A258" s="26">
        <v>45849</v>
      </c>
      <c r="B258" t="s">
        <v>655</v>
      </c>
      <c r="C258" s="35">
        <v>28000000</v>
      </c>
      <c r="D258" s="12">
        <v>0</v>
      </c>
      <c r="E258" s="12">
        <f t="shared" si="5"/>
        <v>57491954.139999896</v>
      </c>
      <c r="F258" s="28" t="s">
        <v>4</v>
      </c>
      <c r="G258" s="8" t="s">
        <v>5</v>
      </c>
      <c r="H258" s="44" t="s">
        <v>642</v>
      </c>
    </row>
    <row r="259" spans="1:9" hidden="1">
      <c r="A259" s="26">
        <v>45849</v>
      </c>
      <c r="B259" t="s">
        <v>656</v>
      </c>
      <c r="C259" s="35">
        <v>400000</v>
      </c>
      <c r="D259" s="12">
        <v>0</v>
      </c>
      <c r="E259" s="12">
        <f t="shared" si="5"/>
        <v>57091954.139999896</v>
      </c>
      <c r="F259" s="28" t="s">
        <v>4</v>
      </c>
      <c r="G259" s="8" t="s">
        <v>5</v>
      </c>
      <c r="H259" s="16" t="s">
        <v>631</v>
      </c>
    </row>
    <row r="260" spans="1:9" hidden="1">
      <c r="A260" s="26">
        <v>45849</v>
      </c>
      <c r="B260" t="s">
        <v>689</v>
      </c>
      <c r="C260" s="35">
        <v>0</v>
      </c>
      <c r="D260" s="12">
        <v>5349022</v>
      </c>
      <c r="E260" s="12">
        <f t="shared" si="5"/>
        <v>62440976.139999896</v>
      </c>
      <c r="F260" t="s">
        <v>514</v>
      </c>
      <c r="G260" s="8" t="s">
        <v>515</v>
      </c>
      <c r="H260" s="38" t="s">
        <v>465</v>
      </c>
      <c r="I260" s="15" t="s">
        <v>621</v>
      </c>
    </row>
    <row r="261" spans="1:9" hidden="1">
      <c r="A261" s="26">
        <v>45852</v>
      </c>
      <c r="B261" t="s">
        <v>657</v>
      </c>
      <c r="C261" s="35">
        <v>50558850</v>
      </c>
      <c r="D261" s="12">
        <v>0</v>
      </c>
      <c r="E261" s="12">
        <f t="shared" si="5"/>
        <v>11882126.139999896</v>
      </c>
      <c r="F261" s="28" t="s">
        <v>28</v>
      </c>
      <c r="G261" s="8" t="s">
        <v>16</v>
      </c>
    </row>
    <row r="262" spans="1:9" hidden="1">
      <c r="A262" s="26">
        <v>45852</v>
      </c>
      <c r="B262" t="s">
        <v>666</v>
      </c>
      <c r="C262" s="35">
        <v>0</v>
      </c>
      <c r="D262" s="12">
        <v>22411461</v>
      </c>
      <c r="E262" s="12">
        <f t="shared" si="5"/>
        <v>34293587.139999896</v>
      </c>
      <c r="F262" s="28" t="s">
        <v>9</v>
      </c>
      <c r="G262" s="8" t="s">
        <v>13</v>
      </c>
      <c r="H262" s="73" t="s">
        <v>65</v>
      </c>
      <c r="I262" s="15" t="s">
        <v>688</v>
      </c>
    </row>
    <row r="263" spans="1:9" hidden="1">
      <c r="A263" s="26">
        <v>45853</v>
      </c>
      <c r="B263" t="s">
        <v>667</v>
      </c>
      <c r="C263" s="35">
        <v>400000</v>
      </c>
      <c r="D263" s="12">
        <v>0</v>
      </c>
      <c r="E263" s="12">
        <f t="shared" si="5"/>
        <v>33893587.139999896</v>
      </c>
      <c r="F263" s="28" t="s">
        <v>4</v>
      </c>
      <c r="G263" s="8" t="s">
        <v>5</v>
      </c>
      <c r="H263" s="16" t="s">
        <v>637</v>
      </c>
    </row>
    <row r="264" spans="1:9" hidden="1">
      <c r="A264" s="26">
        <v>45853</v>
      </c>
      <c r="B264" t="s">
        <v>668</v>
      </c>
      <c r="C264" s="35">
        <v>400000</v>
      </c>
      <c r="D264" s="12">
        <v>0</v>
      </c>
      <c r="E264" s="12">
        <f t="shared" si="5"/>
        <v>33493587.139999896</v>
      </c>
      <c r="F264" s="28" t="s">
        <v>4</v>
      </c>
      <c r="G264" s="8" t="s">
        <v>5</v>
      </c>
      <c r="H264" s="16" t="s">
        <v>637</v>
      </c>
    </row>
    <row r="265" spans="1:9">
      <c r="A265" s="26">
        <v>45853</v>
      </c>
      <c r="B265" t="s">
        <v>669</v>
      </c>
      <c r="C265" s="35">
        <v>750000</v>
      </c>
      <c r="D265" s="12">
        <v>0</v>
      </c>
      <c r="E265" s="12">
        <f t="shared" si="5"/>
        <v>32743587.139999896</v>
      </c>
      <c r="F265" s="28" t="s">
        <v>28</v>
      </c>
      <c r="G265" s="8" t="s">
        <v>48</v>
      </c>
    </row>
    <row r="266" spans="1:9">
      <c r="A266" s="26">
        <v>45853</v>
      </c>
      <c r="B266" t="s">
        <v>670</v>
      </c>
      <c r="C266" s="35">
        <v>1000000</v>
      </c>
      <c r="D266" s="12">
        <v>0</v>
      </c>
      <c r="E266" s="12">
        <f t="shared" ref="E266:E312" si="6">E265-C266+D266</f>
        <v>31743587.139999896</v>
      </c>
      <c r="F266" s="28" t="s">
        <v>28</v>
      </c>
      <c r="G266" s="8" t="s">
        <v>48</v>
      </c>
    </row>
    <row r="267" spans="1:9" hidden="1">
      <c r="A267" s="26">
        <v>45853</v>
      </c>
      <c r="B267" t="s">
        <v>671</v>
      </c>
      <c r="C267" s="35">
        <v>300000</v>
      </c>
      <c r="D267" s="12">
        <v>0</v>
      </c>
      <c r="E267" s="12">
        <f t="shared" si="6"/>
        <v>31443587.139999896</v>
      </c>
      <c r="F267" s="28" t="s">
        <v>4</v>
      </c>
      <c r="G267" s="8" t="s">
        <v>5</v>
      </c>
      <c r="H267" s="16" t="s">
        <v>637</v>
      </c>
    </row>
    <row r="268" spans="1:9" hidden="1">
      <c r="A268" s="26">
        <v>45853</v>
      </c>
      <c r="B268" t="s">
        <v>672</v>
      </c>
      <c r="C268" s="35">
        <v>1000000</v>
      </c>
      <c r="D268" s="12">
        <v>0</v>
      </c>
      <c r="E268" s="12">
        <f t="shared" si="6"/>
        <v>30443587.139999896</v>
      </c>
      <c r="F268" s="28" t="s">
        <v>4</v>
      </c>
      <c r="G268" s="8" t="s">
        <v>5</v>
      </c>
      <c r="H268" s="16" t="s">
        <v>637</v>
      </c>
    </row>
    <row r="269" spans="1:9" hidden="1">
      <c r="A269" s="26">
        <v>45853</v>
      </c>
      <c r="B269" t="s">
        <v>673</v>
      </c>
      <c r="C269" s="35">
        <v>800000</v>
      </c>
      <c r="D269" s="12">
        <v>0</v>
      </c>
      <c r="E269" s="12">
        <f t="shared" si="6"/>
        <v>29643587.139999896</v>
      </c>
      <c r="F269" s="28" t="s">
        <v>4</v>
      </c>
      <c r="G269" s="8" t="s">
        <v>5</v>
      </c>
      <c r="H269" s="16" t="s">
        <v>637</v>
      </c>
    </row>
    <row r="270" spans="1:9" hidden="1">
      <c r="A270" s="26">
        <v>45853</v>
      </c>
      <c r="B270" t="s">
        <v>674</v>
      </c>
      <c r="C270" s="35">
        <v>800000</v>
      </c>
      <c r="D270" s="12">
        <v>0</v>
      </c>
      <c r="E270" s="12">
        <f t="shared" si="6"/>
        <v>28843587.139999896</v>
      </c>
      <c r="F270" s="28" t="s">
        <v>4</v>
      </c>
      <c r="G270" s="8" t="s">
        <v>5</v>
      </c>
      <c r="H270" s="16" t="s">
        <v>637</v>
      </c>
    </row>
    <row r="271" spans="1:9" hidden="1">
      <c r="A271" s="26">
        <v>45853</v>
      </c>
      <c r="B271" t="s">
        <v>675</v>
      </c>
      <c r="C271" s="35">
        <v>300000</v>
      </c>
      <c r="D271" s="12">
        <v>0</v>
      </c>
      <c r="E271" s="12">
        <f t="shared" si="6"/>
        <v>28543587.139999896</v>
      </c>
      <c r="F271" s="28" t="s">
        <v>4</v>
      </c>
      <c r="G271" s="8" t="s">
        <v>5</v>
      </c>
      <c r="H271" s="16" t="s">
        <v>637</v>
      </c>
    </row>
    <row r="272" spans="1:9" hidden="1">
      <c r="A272" s="26">
        <v>45853</v>
      </c>
      <c r="B272" t="s">
        <v>676</v>
      </c>
      <c r="C272" s="35">
        <v>800000</v>
      </c>
      <c r="D272" s="12">
        <v>0</v>
      </c>
      <c r="E272" s="12">
        <f t="shared" si="6"/>
        <v>27743587.139999896</v>
      </c>
      <c r="F272" s="28" t="s">
        <v>4</v>
      </c>
      <c r="G272" s="8" t="s">
        <v>5</v>
      </c>
      <c r="H272" s="16" t="s">
        <v>637</v>
      </c>
    </row>
    <row r="273" spans="1:9" hidden="1">
      <c r="A273" s="26">
        <v>45853</v>
      </c>
      <c r="B273" t="s">
        <v>677</v>
      </c>
      <c r="C273" s="35">
        <v>800000</v>
      </c>
      <c r="D273" s="12">
        <v>0</v>
      </c>
      <c r="E273" s="12">
        <f t="shared" si="6"/>
        <v>26943587.139999896</v>
      </c>
      <c r="F273" s="28" t="s">
        <v>4</v>
      </c>
      <c r="G273" s="8" t="s">
        <v>5</v>
      </c>
      <c r="H273" s="16" t="s">
        <v>637</v>
      </c>
    </row>
    <row r="274" spans="1:9" hidden="1">
      <c r="A274" s="26">
        <v>45853</v>
      </c>
      <c r="B274" t="s">
        <v>678</v>
      </c>
      <c r="C274" s="35">
        <v>800000</v>
      </c>
      <c r="D274" s="12">
        <v>0</v>
      </c>
      <c r="E274" s="12">
        <f t="shared" si="6"/>
        <v>26143587.139999896</v>
      </c>
      <c r="F274" s="28" t="s">
        <v>4</v>
      </c>
      <c r="G274" s="8" t="s">
        <v>5</v>
      </c>
      <c r="H274" s="16" t="s">
        <v>637</v>
      </c>
    </row>
    <row r="275" spans="1:9" hidden="1">
      <c r="A275" s="26">
        <v>45853</v>
      </c>
      <c r="B275" t="s">
        <v>679</v>
      </c>
      <c r="C275" s="35">
        <v>400000</v>
      </c>
      <c r="D275" s="12">
        <v>0</v>
      </c>
      <c r="E275" s="12">
        <f t="shared" si="6"/>
        <v>25743587.139999896</v>
      </c>
      <c r="F275" s="28" t="s">
        <v>4</v>
      </c>
      <c r="G275" s="8" t="s">
        <v>5</v>
      </c>
      <c r="H275" s="16" t="s">
        <v>637</v>
      </c>
    </row>
    <row r="276" spans="1:9" hidden="1">
      <c r="A276" s="26">
        <v>45853</v>
      </c>
      <c r="B276" t="s">
        <v>680</v>
      </c>
      <c r="C276" s="35">
        <v>300000</v>
      </c>
      <c r="D276" s="12">
        <v>0</v>
      </c>
      <c r="E276" s="12">
        <f t="shared" si="6"/>
        <v>25443587.139999896</v>
      </c>
      <c r="F276" s="28" t="s">
        <v>4</v>
      </c>
      <c r="G276" s="8" t="s">
        <v>5</v>
      </c>
      <c r="H276" s="16" t="s">
        <v>637</v>
      </c>
    </row>
    <row r="277" spans="1:9" hidden="1">
      <c r="A277" s="26">
        <v>45853</v>
      </c>
      <c r="B277" t="s">
        <v>681</v>
      </c>
      <c r="C277" s="35">
        <v>570000</v>
      </c>
      <c r="D277" s="12">
        <v>0</v>
      </c>
      <c r="E277" s="12">
        <f t="shared" si="6"/>
        <v>24873587.139999896</v>
      </c>
      <c r="F277" s="28" t="s">
        <v>28</v>
      </c>
      <c r="G277" s="8" t="s">
        <v>20</v>
      </c>
    </row>
    <row r="278" spans="1:9" hidden="1">
      <c r="A278" s="26">
        <v>45853</v>
      </c>
      <c r="B278" t="s">
        <v>682</v>
      </c>
      <c r="C278" s="35">
        <v>925000</v>
      </c>
      <c r="D278" s="12">
        <v>0</v>
      </c>
      <c r="E278" s="12">
        <f t="shared" si="6"/>
        <v>23948587.139999896</v>
      </c>
      <c r="F278" s="28" t="s">
        <v>28</v>
      </c>
      <c r="G278" s="8" t="s">
        <v>20</v>
      </c>
    </row>
    <row r="279" spans="1:9" hidden="1">
      <c r="A279" s="26">
        <v>45853</v>
      </c>
      <c r="B279" t="s">
        <v>683</v>
      </c>
      <c r="C279" s="35">
        <v>440000</v>
      </c>
      <c r="D279" s="12">
        <v>0</v>
      </c>
      <c r="E279" s="12">
        <f t="shared" si="6"/>
        <v>23508587.139999896</v>
      </c>
      <c r="F279" s="28" t="s">
        <v>28</v>
      </c>
      <c r="G279" s="8" t="s">
        <v>20</v>
      </c>
    </row>
    <row r="280" spans="1:9" hidden="1">
      <c r="A280" s="26">
        <v>45853</v>
      </c>
      <c r="B280" t="s">
        <v>684</v>
      </c>
      <c r="C280" s="35">
        <v>1801000</v>
      </c>
      <c r="D280" s="12">
        <v>0</v>
      </c>
      <c r="E280" s="12">
        <f t="shared" si="6"/>
        <v>21707587.139999896</v>
      </c>
      <c r="F280" s="28" t="s">
        <v>28</v>
      </c>
      <c r="G280" s="8" t="s">
        <v>20</v>
      </c>
    </row>
    <row r="281" spans="1:9" hidden="1">
      <c r="A281" s="26">
        <v>45853</v>
      </c>
      <c r="B281" t="s">
        <v>685</v>
      </c>
      <c r="C281" s="35">
        <v>400000</v>
      </c>
      <c r="D281" s="12">
        <v>0</v>
      </c>
      <c r="E281" s="12">
        <f t="shared" si="6"/>
        <v>21307587.139999896</v>
      </c>
      <c r="F281" s="28" t="s">
        <v>4</v>
      </c>
      <c r="G281" s="8" t="s">
        <v>5</v>
      </c>
      <c r="H281" s="16" t="s">
        <v>631</v>
      </c>
    </row>
    <row r="282" spans="1:9" hidden="1">
      <c r="A282" s="26">
        <v>45853</v>
      </c>
      <c r="B282" t="s">
        <v>686</v>
      </c>
      <c r="C282" s="35">
        <v>0</v>
      </c>
      <c r="D282" s="12">
        <v>800000</v>
      </c>
      <c r="E282" s="12">
        <f t="shared" si="6"/>
        <v>22107587.139999896</v>
      </c>
      <c r="F282" s="28" t="s">
        <v>9</v>
      </c>
      <c r="G282" s="8" t="s">
        <v>13</v>
      </c>
      <c r="H282" s="15" t="s">
        <v>122</v>
      </c>
      <c r="I282" s="15" t="s">
        <v>658</v>
      </c>
    </row>
    <row r="283" spans="1:9" hidden="1">
      <c r="A283" s="26">
        <v>45853</v>
      </c>
      <c r="B283" t="s">
        <v>687</v>
      </c>
      <c r="C283" s="35">
        <v>5985000</v>
      </c>
      <c r="D283" s="12">
        <v>0</v>
      </c>
      <c r="E283" s="12">
        <f t="shared" si="6"/>
        <v>16122587.139999896</v>
      </c>
      <c r="F283" s="28" t="s">
        <v>28</v>
      </c>
      <c r="G283" s="8" t="s">
        <v>56</v>
      </c>
    </row>
    <row r="284" spans="1:9" hidden="1">
      <c r="A284" s="26">
        <v>45856</v>
      </c>
      <c r="B284" t="s">
        <v>73</v>
      </c>
      <c r="C284" s="35">
        <v>20000</v>
      </c>
      <c r="D284" s="12">
        <v>0</v>
      </c>
      <c r="E284" s="12">
        <f t="shared" si="6"/>
        <v>16102587.139999896</v>
      </c>
      <c r="F284" s="28" t="s">
        <v>14</v>
      </c>
      <c r="G284" s="8" t="s">
        <v>50</v>
      </c>
    </row>
    <row r="285" spans="1:9" hidden="1">
      <c r="A285" s="26">
        <v>45860</v>
      </c>
      <c r="B285" t="s">
        <v>790</v>
      </c>
      <c r="C285" s="36">
        <v>0</v>
      </c>
      <c r="D285" s="21">
        <v>34500000</v>
      </c>
      <c r="E285" s="21">
        <f t="shared" si="6"/>
        <v>50602587.139999896</v>
      </c>
      <c r="F285" t="s">
        <v>186</v>
      </c>
      <c r="G285" s="8" t="s">
        <v>136</v>
      </c>
      <c r="H285" s="8" t="s">
        <v>789</v>
      </c>
    </row>
    <row r="286" spans="1:9" hidden="1">
      <c r="A286" s="26">
        <v>45860</v>
      </c>
      <c r="B286" t="s">
        <v>790</v>
      </c>
      <c r="C286" s="36">
        <v>0</v>
      </c>
      <c r="D286" s="21">
        <v>17000000</v>
      </c>
      <c r="E286" s="21">
        <f t="shared" si="6"/>
        <v>67602587.139999896</v>
      </c>
      <c r="F286" t="s">
        <v>186</v>
      </c>
      <c r="G286" s="8" t="s">
        <v>136</v>
      </c>
      <c r="H286" s="8" t="s">
        <v>789</v>
      </c>
    </row>
    <row r="287" spans="1:9" hidden="1">
      <c r="A287" s="26">
        <v>45860</v>
      </c>
      <c r="B287" t="s">
        <v>790</v>
      </c>
      <c r="C287" s="36">
        <v>0</v>
      </c>
      <c r="D287" s="21">
        <v>13548001</v>
      </c>
      <c r="E287" s="21">
        <f t="shared" si="6"/>
        <v>81150588.139999896</v>
      </c>
      <c r="F287" t="s">
        <v>186</v>
      </c>
      <c r="G287" s="8" t="s">
        <v>136</v>
      </c>
      <c r="H287" s="8" t="s">
        <v>789</v>
      </c>
    </row>
    <row r="288" spans="1:9" hidden="1">
      <c r="A288" s="26">
        <v>45860</v>
      </c>
      <c r="B288" t="s">
        <v>790</v>
      </c>
      <c r="C288" s="36">
        <v>0</v>
      </c>
      <c r="D288" s="21">
        <f>126298001-D285-D286-D287</f>
        <v>61250000</v>
      </c>
      <c r="E288" s="21">
        <f t="shared" si="6"/>
        <v>142400588.1399999</v>
      </c>
      <c r="F288" t="s">
        <v>186</v>
      </c>
      <c r="G288" s="8" t="s">
        <v>136</v>
      </c>
      <c r="H288" s="8" t="s">
        <v>789</v>
      </c>
    </row>
    <row r="289" spans="1:9" hidden="1">
      <c r="A289" s="26">
        <v>45861</v>
      </c>
      <c r="B289" t="s">
        <v>692</v>
      </c>
      <c r="C289" s="36"/>
      <c r="D289" s="21">
        <v>50000000</v>
      </c>
      <c r="E289" s="21">
        <f t="shared" si="6"/>
        <v>192400588.1399999</v>
      </c>
      <c r="F289" t="s">
        <v>186</v>
      </c>
      <c r="G289" s="8" t="s">
        <v>95</v>
      </c>
    </row>
    <row r="290" spans="1:9" hidden="1">
      <c r="A290" s="26">
        <v>45861</v>
      </c>
      <c r="B290" t="s">
        <v>693</v>
      </c>
      <c r="C290" s="35">
        <v>185356000</v>
      </c>
      <c r="D290" s="12">
        <v>0</v>
      </c>
      <c r="E290" s="12">
        <f t="shared" si="6"/>
        <v>7044588.1399998963</v>
      </c>
      <c r="F290" s="28" t="s">
        <v>4</v>
      </c>
      <c r="G290" s="8" t="s">
        <v>5</v>
      </c>
      <c r="H290" s="44" t="s">
        <v>642</v>
      </c>
    </row>
    <row r="291" spans="1:9" hidden="1">
      <c r="A291" s="26">
        <v>45861</v>
      </c>
      <c r="B291" t="s">
        <v>694</v>
      </c>
      <c r="C291" s="35">
        <v>800000</v>
      </c>
      <c r="D291" s="12">
        <v>0</v>
      </c>
      <c r="E291" s="12">
        <f t="shared" si="6"/>
        <v>6244588.1399998963</v>
      </c>
      <c r="F291" s="28" t="s">
        <v>4</v>
      </c>
      <c r="G291" s="8" t="s">
        <v>5</v>
      </c>
      <c r="H291" s="16" t="s">
        <v>637</v>
      </c>
    </row>
    <row r="292" spans="1:9" hidden="1">
      <c r="A292" s="26">
        <v>45861</v>
      </c>
      <c r="B292" t="s">
        <v>695</v>
      </c>
      <c r="C292" s="35">
        <v>800000</v>
      </c>
      <c r="D292" s="12">
        <v>0</v>
      </c>
      <c r="E292" s="12">
        <f t="shared" si="6"/>
        <v>5444588.1399998963</v>
      </c>
      <c r="F292" s="28" t="s">
        <v>4</v>
      </c>
      <c r="G292" s="8" t="s">
        <v>5</v>
      </c>
      <c r="H292" s="16" t="s">
        <v>637</v>
      </c>
    </row>
    <row r="293" spans="1:9" hidden="1">
      <c r="A293" s="26">
        <v>45861</v>
      </c>
      <c r="B293" t="s">
        <v>696</v>
      </c>
      <c r="C293" s="35">
        <v>0</v>
      </c>
      <c r="D293" s="35">
        <v>4500000</v>
      </c>
      <c r="E293" s="12">
        <f t="shared" si="6"/>
        <v>9944588.1399998963</v>
      </c>
      <c r="F293" s="28" t="s">
        <v>514</v>
      </c>
      <c r="G293" s="8" t="s">
        <v>515</v>
      </c>
      <c r="H293" s="38" t="s">
        <v>465</v>
      </c>
      <c r="I293" s="15" t="s">
        <v>796</v>
      </c>
    </row>
    <row r="294" spans="1:9" hidden="1">
      <c r="A294" s="26">
        <v>45861</v>
      </c>
      <c r="B294" t="s">
        <v>697</v>
      </c>
      <c r="C294" s="35">
        <v>0</v>
      </c>
      <c r="D294" s="12">
        <v>30000000</v>
      </c>
      <c r="E294" s="12">
        <f t="shared" si="6"/>
        <v>39944588.139999896</v>
      </c>
      <c r="F294" t="s">
        <v>252</v>
      </c>
      <c r="G294" s="8" t="s">
        <v>51</v>
      </c>
    </row>
    <row r="295" spans="1:9" hidden="1">
      <c r="A295" s="26">
        <v>45861</v>
      </c>
      <c r="B295" t="s">
        <v>698</v>
      </c>
      <c r="C295" s="35">
        <v>0</v>
      </c>
      <c r="D295" s="12">
        <v>250000000</v>
      </c>
      <c r="E295" s="12">
        <f t="shared" si="6"/>
        <v>289944588.13999987</v>
      </c>
      <c r="F295" t="s">
        <v>252</v>
      </c>
      <c r="G295" s="8" t="s">
        <v>51</v>
      </c>
    </row>
    <row r="296" spans="1:9" hidden="1">
      <c r="A296" s="26">
        <v>45861</v>
      </c>
      <c r="B296" t="s">
        <v>699</v>
      </c>
      <c r="C296" s="35">
        <v>0</v>
      </c>
      <c r="D296" s="12">
        <v>100000000</v>
      </c>
      <c r="E296" s="12">
        <f t="shared" si="6"/>
        <v>389944588.13999987</v>
      </c>
      <c r="F296" t="s">
        <v>252</v>
      </c>
      <c r="G296" s="8" t="s">
        <v>51</v>
      </c>
    </row>
    <row r="297" spans="1:9" hidden="1">
      <c r="A297" s="26">
        <v>45863</v>
      </c>
      <c r="B297" t="s">
        <v>700</v>
      </c>
      <c r="C297" s="35">
        <v>0</v>
      </c>
      <c r="D297" s="12">
        <v>5568158</v>
      </c>
      <c r="E297" s="12">
        <f t="shared" si="6"/>
        <v>395512746.13999987</v>
      </c>
      <c r="F297" s="28" t="s">
        <v>514</v>
      </c>
      <c r="G297" s="8" t="s">
        <v>515</v>
      </c>
      <c r="H297" s="38" t="s">
        <v>465</v>
      </c>
      <c r="I297" s="15" t="s">
        <v>803</v>
      </c>
    </row>
    <row r="298" spans="1:9" hidden="1">
      <c r="A298" s="26">
        <v>45863</v>
      </c>
      <c r="B298" t="s">
        <v>701</v>
      </c>
      <c r="C298" s="35">
        <v>400000</v>
      </c>
      <c r="D298" s="12">
        <v>0</v>
      </c>
      <c r="E298" s="12">
        <f t="shared" si="6"/>
        <v>395112746.13999987</v>
      </c>
      <c r="F298" s="28" t="s">
        <v>4</v>
      </c>
      <c r="G298" s="8" t="s">
        <v>5</v>
      </c>
      <c r="H298" s="16" t="s">
        <v>465</v>
      </c>
    </row>
    <row r="299" spans="1:9" hidden="1">
      <c r="A299" s="26">
        <v>45863</v>
      </c>
      <c r="B299" t="s">
        <v>702</v>
      </c>
      <c r="C299" s="35">
        <v>1200000</v>
      </c>
      <c r="D299" s="12">
        <v>0</v>
      </c>
      <c r="E299" s="12">
        <f t="shared" si="6"/>
        <v>393912746.13999987</v>
      </c>
      <c r="F299" s="28" t="s">
        <v>4</v>
      </c>
      <c r="G299" s="8" t="s">
        <v>5</v>
      </c>
      <c r="H299" s="16" t="s">
        <v>465</v>
      </c>
    </row>
    <row r="300" spans="1:9" hidden="1">
      <c r="A300" s="26">
        <v>45866</v>
      </c>
      <c r="B300" t="s">
        <v>703</v>
      </c>
      <c r="C300" s="35">
        <v>55150000</v>
      </c>
      <c r="D300" s="12">
        <v>0</v>
      </c>
      <c r="E300" s="12">
        <f t="shared" si="6"/>
        <v>338762746.13999987</v>
      </c>
      <c r="F300" s="28" t="s">
        <v>28</v>
      </c>
      <c r="G300" s="8" t="s">
        <v>16</v>
      </c>
    </row>
    <row r="301" spans="1:9" hidden="1">
      <c r="A301" s="26">
        <v>45866</v>
      </c>
      <c r="B301" t="s">
        <v>179</v>
      </c>
      <c r="C301" s="35">
        <v>0</v>
      </c>
      <c r="D301" s="12">
        <v>2000000</v>
      </c>
      <c r="E301" s="12">
        <f t="shared" si="6"/>
        <v>340762746.13999987</v>
      </c>
      <c r="F301" s="28" t="s">
        <v>9</v>
      </c>
      <c r="G301" s="8" t="s">
        <v>33</v>
      </c>
      <c r="H301" s="38" t="s">
        <v>10</v>
      </c>
    </row>
    <row r="302" spans="1:9" hidden="1">
      <c r="A302" s="26">
        <v>45866</v>
      </c>
      <c r="B302" t="s">
        <v>704</v>
      </c>
      <c r="C302" s="35">
        <v>0</v>
      </c>
      <c r="D302" s="12">
        <v>2000100</v>
      </c>
      <c r="E302" s="12">
        <f t="shared" si="6"/>
        <v>342762846.13999987</v>
      </c>
      <c r="F302" s="28" t="s">
        <v>9</v>
      </c>
      <c r="G302" s="8" t="s">
        <v>33</v>
      </c>
      <c r="H302" s="38" t="s">
        <v>26</v>
      </c>
    </row>
    <row r="303" spans="1:9" hidden="1">
      <c r="A303" s="26">
        <v>45867</v>
      </c>
      <c r="B303" t="s">
        <v>705</v>
      </c>
      <c r="C303" s="35">
        <v>400000</v>
      </c>
      <c r="D303" s="12">
        <v>0</v>
      </c>
      <c r="E303" s="12">
        <f t="shared" si="6"/>
        <v>342362846.13999987</v>
      </c>
      <c r="F303" s="28" t="s">
        <v>4</v>
      </c>
      <c r="G303" s="8" t="s">
        <v>5</v>
      </c>
      <c r="H303" s="16" t="s">
        <v>637</v>
      </c>
    </row>
    <row r="304" spans="1:9" hidden="1">
      <c r="A304" s="26">
        <v>45867</v>
      </c>
      <c r="B304" t="s">
        <v>706</v>
      </c>
      <c r="C304" s="35">
        <v>150000</v>
      </c>
      <c r="D304" s="12">
        <v>0</v>
      </c>
      <c r="E304" s="12">
        <f t="shared" si="6"/>
        <v>342212846.13999987</v>
      </c>
      <c r="F304" s="28" t="s">
        <v>4</v>
      </c>
      <c r="G304" s="8" t="s">
        <v>5</v>
      </c>
      <c r="H304" s="16" t="s">
        <v>465</v>
      </c>
    </row>
    <row r="305" spans="1:8" hidden="1">
      <c r="A305" s="26">
        <v>45867</v>
      </c>
      <c r="B305" t="s">
        <v>707</v>
      </c>
      <c r="C305" s="35">
        <v>400000</v>
      </c>
      <c r="D305" s="12">
        <v>0</v>
      </c>
      <c r="E305" s="12">
        <f t="shared" si="6"/>
        <v>341812846.13999987</v>
      </c>
      <c r="F305" s="28" t="s">
        <v>4</v>
      </c>
      <c r="G305" s="8" t="s">
        <v>5</v>
      </c>
      <c r="H305" s="16" t="s">
        <v>465</v>
      </c>
    </row>
    <row r="306" spans="1:8" hidden="1">
      <c r="A306" s="26">
        <v>45868</v>
      </c>
      <c r="B306" t="s">
        <v>708</v>
      </c>
      <c r="C306" s="35">
        <v>5000000</v>
      </c>
      <c r="D306" s="12">
        <v>0</v>
      </c>
      <c r="E306" s="12">
        <f t="shared" si="6"/>
        <v>336812846.13999987</v>
      </c>
      <c r="F306" t="s">
        <v>252</v>
      </c>
      <c r="G306" s="8" t="s">
        <v>51</v>
      </c>
    </row>
    <row r="307" spans="1:8" hidden="1">
      <c r="A307" s="26">
        <v>45869</v>
      </c>
      <c r="B307" t="s">
        <v>709</v>
      </c>
      <c r="C307" s="35">
        <v>0</v>
      </c>
      <c r="D307" s="12">
        <v>4000000</v>
      </c>
      <c r="E307" s="12">
        <f t="shared" si="6"/>
        <v>340812846.13999987</v>
      </c>
      <c r="F307" t="s">
        <v>9</v>
      </c>
      <c r="G307" s="8" t="s">
        <v>33</v>
      </c>
      <c r="H307" s="38" t="s">
        <v>125</v>
      </c>
    </row>
    <row r="308" spans="1:8" hidden="1">
      <c r="A308" s="26">
        <v>45869</v>
      </c>
      <c r="B308" t="s">
        <v>710</v>
      </c>
      <c r="C308" s="35">
        <v>16272001</v>
      </c>
      <c r="D308" s="12">
        <v>0</v>
      </c>
      <c r="E308" s="12">
        <f t="shared" si="6"/>
        <v>324540845.13999987</v>
      </c>
      <c r="F308" s="28" t="s">
        <v>252</v>
      </c>
      <c r="G308" s="8" t="s">
        <v>31</v>
      </c>
    </row>
    <row r="309" spans="1:8" hidden="1">
      <c r="A309" s="26">
        <v>45869</v>
      </c>
      <c r="B309" t="s">
        <v>75</v>
      </c>
      <c r="C309" s="35">
        <v>0</v>
      </c>
      <c r="D309" s="12">
        <v>1089.3699999999999</v>
      </c>
      <c r="E309" s="12">
        <f t="shared" si="6"/>
        <v>324541934.50999987</v>
      </c>
      <c r="F309" s="28" t="s">
        <v>252</v>
      </c>
      <c r="G309" s="8" t="s">
        <v>34</v>
      </c>
    </row>
    <row r="310" spans="1:8" hidden="1">
      <c r="A310" s="26">
        <v>45869</v>
      </c>
      <c r="B310" t="s">
        <v>76</v>
      </c>
      <c r="C310" s="35">
        <v>217.87</v>
      </c>
      <c r="D310" s="12">
        <v>0</v>
      </c>
      <c r="E310" s="12">
        <f t="shared" si="6"/>
        <v>324541716.63999987</v>
      </c>
      <c r="F310" s="28" t="s">
        <v>252</v>
      </c>
      <c r="G310" s="8" t="s">
        <v>34</v>
      </c>
    </row>
    <row r="311" spans="1:8" hidden="1">
      <c r="A311" s="26">
        <v>45875</v>
      </c>
      <c r="B311" t="s">
        <v>711</v>
      </c>
      <c r="C311" s="35">
        <v>400000</v>
      </c>
      <c r="D311" s="12">
        <v>0</v>
      </c>
      <c r="E311" s="12">
        <f t="shared" si="6"/>
        <v>324141716.63999987</v>
      </c>
      <c r="F311" s="28" t="s">
        <v>4</v>
      </c>
      <c r="G311" s="8" t="s">
        <v>5</v>
      </c>
      <c r="H311" s="16" t="s">
        <v>634</v>
      </c>
    </row>
    <row r="312" spans="1:8" hidden="1">
      <c r="A312" s="26">
        <v>45877</v>
      </c>
      <c r="B312" t="s">
        <v>712</v>
      </c>
      <c r="C312" s="35">
        <v>1500000</v>
      </c>
      <c r="D312" s="12">
        <v>0</v>
      </c>
      <c r="E312" s="12">
        <f t="shared" si="6"/>
        <v>322641716.63999987</v>
      </c>
      <c r="F312" s="28" t="s">
        <v>4</v>
      </c>
      <c r="G312" s="8" t="s">
        <v>5</v>
      </c>
      <c r="H312" s="16" t="s">
        <v>784</v>
      </c>
    </row>
    <row r="313" spans="1:8" hidden="1">
      <c r="A313" s="26">
        <v>45877</v>
      </c>
      <c r="B313" t="s">
        <v>713</v>
      </c>
      <c r="C313" s="35">
        <v>400000</v>
      </c>
      <c r="D313" s="12">
        <v>0</v>
      </c>
      <c r="E313" s="12">
        <f t="shared" ref="E313:E376" si="7">E312-C313+D313</f>
        <v>322241716.63999987</v>
      </c>
      <c r="F313" s="28" t="s">
        <v>4</v>
      </c>
      <c r="G313" s="8" t="s">
        <v>5</v>
      </c>
      <c r="H313" s="16" t="s">
        <v>788</v>
      </c>
    </row>
    <row r="314" spans="1:8" hidden="1">
      <c r="A314" s="26">
        <v>45877</v>
      </c>
      <c r="B314" t="s">
        <v>714</v>
      </c>
      <c r="C314" s="35">
        <v>690000</v>
      </c>
      <c r="D314" s="12">
        <v>0</v>
      </c>
      <c r="E314" s="12">
        <f t="shared" si="7"/>
        <v>321551716.63999987</v>
      </c>
      <c r="F314" s="28" t="s">
        <v>28</v>
      </c>
      <c r="G314" s="8" t="s">
        <v>20</v>
      </c>
    </row>
    <row r="315" spans="1:8" hidden="1">
      <c r="A315" s="26">
        <v>45877</v>
      </c>
      <c r="B315" t="s">
        <v>715</v>
      </c>
      <c r="C315" s="35">
        <v>590000</v>
      </c>
      <c r="D315" s="12">
        <v>0</v>
      </c>
      <c r="E315" s="12">
        <f t="shared" si="7"/>
        <v>320961716.63999987</v>
      </c>
      <c r="F315" s="28" t="s">
        <v>28</v>
      </c>
      <c r="G315" s="8" t="s">
        <v>20</v>
      </c>
    </row>
    <row r="316" spans="1:8" hidden="1">
      <c r="A316" s="26">
        <v>45877</v>
      </c>
      <c r="B316" t="s">
        <v>716</v>
      </c>
      <c r="C316" s="35">
        <v>840000</v>
      </c>
      <c r="D316" s="12">
        <v>0</v>
      </c>
      <c r="E316" s="12">
        <f t="shared" si="7"/>
        <v>320121716.63999987</v>
      </c>
      <c r="F316" s="28" t="s">
        <v>28</v>
      </c>
      <c r="G316" s="8" t="s">
        <v>20</v>
      </c>
    </row>
    <row r="317" spans="1:8" hidden="1">
      <c r="A317" s="26">
        <v>45877</v>
      </c>
      <c r="B317" t="s">
        <v>717</v>
      </c>
      <c r="C317" s="35">
        <v>2124000</v>
      </c>
      <c r="D317" s="12">
        <v>0</v>
      </c>
      <c r="E317" s="12">
        <f t="shared" si="7"/>
        <v>317997716.63999987</v>
      </c>
      <c r="F317" s="28" t="s">
        <v>28</v>
      </c>
      <c r="G317" s="8" t="s">
        <v>20</v>
      </c>
    </row>
    <row r="318" spans="1:8" hidden="1">
      <c r="A318" s="26">
        <v>45877</v>
      </c>
      <c r="B318" t="s">
        <v>718</v>
      </c>
      <c r="C318" s="35">
        <v>400000</v>
      </c>
      <c r="D318" s="12">
        <v>0</v>
      </c>
      <c r="E318" s="12">
        <f t="shared" si="7"/>
        <v>317597716.63999987</v>
      </c>
      <c r="F318" s="28" t="s">
        <v>4</v>
      </c>
      <c r="G318" s="8" t="s">
        <v>5</v>
      </c>
      <c r="H318" s="16" t="s">
        <v>788</v>
      </c>
    </row>
    <row r="319" spans="1:8" hidden="1">
      <c r="A319" s="26">
        <v>45877</v>
      </c>
      <c r="B319" t="s">
        <v>719</v>
      </c>
      <c r="C319" s="35">
        <v>2000000</v>
      </c>
      <c r="D319" s="12">
        <v>0</v>
      </c>
      <c r="E319" s="12">
        <f t="shared" si="7"/>
        <v>315597716.63999987</v>
      </c>
      <c r="F319" s="28" t="s">
        <v>4</v>
      </c>
      <c r="G319" s="8" t="s">
        <v>5</v>
      </c>
      <c r="H319" s="16" t="s">
        <v>465</v>
      </c>
    </row>
    <row r="320" spans="1:8" hidden="1">
      <c r="A320" s="26">
        <v>45877</v>
      </c>
      <c r="B320" t="s">
        <v>720</v>
      </c>
      <c r="C320" s="35">
        <v>800000</v>
      </c>
      <c r="D320" s="12">
        <v>0</v>
      </c>
      <c r="E320" s="12">
        <f t="shared" si="7"/>
        <v>314797716.63999987</v>
      </c>
      <c r="F320" s="28" t="s">
        <v>4</v>
      </c>
      <c r="G320" s="8" t="s">
        <v>5</v>
      </c>
      <c r="H320" s="16" t="s">
        <v>788</v>
      </c>
    </row>
    <row r="321" spans="1:8" hidden="1">
      <c r="A321" s="26">
        <v>45877</v>
      </c>
      <c r="B321" t="s">
        <v>721</v>
      </c>
      <c r="C321" s="35">
        <v>1850000</v>
      </c>
      <c r="D321" s="12">
        <v>0</v>
      </c>
      <c r="E321" s="12">
        <f t="shared" si="7"/>
        <v>312947716.63999987</v>
      </c>
      <c r="F321" s="28" t="s">
        <v>4</v>
      </c>
      <c r="G321" s="8" t="s">
        <v>5</v>
      </c>
      <c r="H321" t="s">
        <v>465</v>
      </c>
    </row>
    <row r="322" spans="1:8" hidden="1">
      <c r="A322" s="26">
        <v>45877</v>
      </c>
      <c r="B322" t="s">
        <v>722</v>
      </c>
      <c r="C322" s="35">
        <v>1500000</v>
      </c>
      <c r="D322" s="12">
        <v>0</v>
      </c>
      <c r="E322" s="12">
        <f t="shared" si="7"/>
        <v>311447716.63999987</v>
      </c>
      <c r="F322" s="28" t="s">
        <v>4</v>
      </c>
      <c r="G322" s="8" t="s">
        <v>5</v>
      </c>
      <c r="H322" s="16" t="s">
        <v>784</v>
      </c>
    </row>
    <row r="323" spans="1:8" hidden="1">
      <c r="A323" s="26">
        <v>45877</v>
      </c>
      <c r="B323" t="s">
        <v>723</v>
      </c>
      <c r="C323" s="35">
        <v>400000</v>
      </c>
      <c r="D323" s="12">
        <v>0</v>
      </c>
      <c r="E323" s="12">
        <f t="shared" si="7"/>
        <v>311047716.63999987</v>
      </c>
      <c r="F323" s="28" t="s">
        <v>4</v>
      </c>
      <c r="G323" s="8" t="s">
        <v>5</v>
      </c>
      <c r="H323" s="16" t="s">
        <v>784</v>
      </c>
    </row>
    <row r="324" spans="1:8" hidden="1">
      <c r="A324" s="26">
        <v>45877</v>
      </c>
      <c r="B324" t="s">
        <v>724</v>
      </c>
      <c r="C324" s="35">
        <v>3598100</v>
      </c>
      <c r="D324" s="12">
        <v>0</v>
      </c>
      <c r="E324" s="12">
        <f t="shared" si="7"/>
        <v>307449616.63999987</v>
      </c>
      <c r="F324" s="28" t="s">
        <v>4</v>
      </c>
      <c r="G324" s="8" t="s">
        <v>5</v>
      </c>
      <c r="H324" s="16" t="s">
        <v>634</v>
      </c>
    </row>
    <row r="325" spans="1:8" hidden="1">
      <c r="A325" s="26">
        <v>45877</v>
      </c>
      <c r="B325" t="s">
        <v>725</v>
      </c>
      <c r="C325" s="35">
        <v>1050000</v>
      </c>
      <c r="D325" s="12">
        <v>0</v>
      </c>
      <c r="E325" s="12">
        <f t="shared" si="7"/>
        <v>306399616.63999987</v>
      </c>
      <c r="F325" s="28" t="s">
        <v>4</v>
      </c>
      <c r="G325" s="8" t="s">
        <v>5</v>
      </c>
      <c r="H325" s="16" t="s">
        <v>784</v>
      </c>
    </row>
    <row r="326" spans="1:8" hidden="1">
      <c r="A326" s="26">
        <v>45877</v>
      </c>
      <c r="B326" t="s">
        <v>726</v>
      </c>
      <c r="C326" s="35">
        <v>450000</v>
      </c>
      <c r="D326" s="12">
        <v>0</v>
      </c>
      <c r="E326" s="12">
        <f t="shared" si="7"/>
        <v>305949616.63999987</v>
      </c>
      <c r="F326" s="28" t="s">
        <v>4</v>
      </c>
      <c r="G326" s="8" t="s">
        <v>5</v>
      </c>
      <c r="H326" s="16" t="s">
        <v>784</v>
      </c>
    </row>
    <row r="327" spans="1:8" hidden="1">
      <c r="A327" s="26">
        <v>45877</v>
      </c>
      <c r="B327" t="s">
        <v>727</v>
      </c>
      <c r="C327" s="35">
        <v>150000</v>
      </c>
      <c r="D327" s="12">
        <v>0</v>
      </c>
      <c r="E327" s="12">
        <f t="shared" si="7"/>
        <v>305799616.63999987</v>
      </c>
      <c r="F327" s="28" t="s">
        <v>4</v>
      </c>
      <c r="G327" s="8" t="s">
        <v>5</v>
      </c>
      <c r="H327" s="16" t="s">
        <v>784</v>
      </c>
    </row>
    <row r="328" spans="1:8" hidden="1">
      <c r="A328" s="26">
        <v>45877</v>
      </c>
      <c r="B328" t="s">
        <v>728</v>
      </c>
      <c r="C328" s="35">
        <v>1900000</v>
      </c>
      <c r="D328" s="12">
        <v>0</v>
      </c>
      <c r="E328" s="12">
        <f t="shared" si="7"/>
        <v>303899616.63999987</v>
      </c>
      <c r="F328" s="28" t="s">
        <v>4</v>
      </c>
      <c r="G328" s="8" t="s">
        <v>5</v>
      </c>
      <c r="H328" s="16" t="s">
        <v>784</v>
      </c>
    </row>
    <row r="329" spans="1:8" hidden="1">
      <c r="A329" s="26">
        <v>45877</v>
      </c>
      <c r="B329" t="s">
        <v>729</v>
      </c>
      <c r="C329" s="35">
        <v>500000</v>
      </c>
      <c r="D329" s="12">
        <v>0</v>
      </c>
      <c r="E329" s="12">
        <f t="shared" si="7"/>
        <v>303399616.63999987</v>
      </c>
      <c r="F329" s="28" t="s">
        <v>4</v>
      </c>
      <c r="G329" s="8" t="s">
        <v>5</v>
      </c>
      <c r="H329" s="16" t="s">
        <v>784</v>
      </c>
    </row>
    <row r="330" spans="1:8" hidden="1">
      <c r="A330" s="26">
        <v>45877</v>
      </c>
      <c r="B330" t="s">
        <v>730</v>
      </c>
      <c r="C330" s="35">
        <v>2500000</v>
      </c>
      <c r="D330" s="12">
        <v>0</v>
      </c>
      <c r="E330" s="12">
        <f t="shared" si="7"/>
        <v>300899616.63999987</v>
      </c>
      <c r="F330" s="28" t="s">
        <v>9</v>
      </c>
      <c r="G330" s="8" t="s">
        <v>33</v>
      </c>
      <c r="H330" s="38" t="s">
        <v>45</v>
      </c>
    </row>
    <row r="331" spans="1:8" hidden="1">
      <c r="A331" s="26">
        <v>45879</v>
      </c>
      <c r="B331" t="s">
        <v>731</v>
      </c>
      <c r="C331" s="35">
        <v>400000</v>
      </c>
      <c r="D331" s="12">
        <v>0</v>
      </c>
      <c r="E331" s="12">
        <f t="shared" si="7"/>
        <v>300499616.63999987</v>
      </c>
      <c r="F331" s="28" t="s">
        <v>4</v>
      </c>
      <c r="G331" s="8" t="s">
        <v>5</v>
      </c>
      <c r="H331" s="16" t="s">
        <v>788</v>
      </c>
    </row>
    <row r="332" spans="1:8" hidden="1">
      <c r="A332" s="26">
        <v>45882</v>
      </c>
      <c r="B332" t="s">
        <v>732</v>
      </c>
      <c r="C332" s="35">
        <v>400000</v>
      </c>
      <c r="D332" s="12">
        <v>0</v>
      </c>
      <c r="E332" s="12">
        <f t="shared" si="7"/>
        <v>300099616.63999987</v>
      </c>
      <c r="F332" s="28" t="s">
        <v>15</v>
      </c>
      <c r="G332" s="8" t="s">
        <v>116</v>
      </c>
    </row>
    <row r="333" spans="1:8" hidden="1">
      <c r="A333" s="26">
        <v>45882</v>
      </c>
      <c r="B333" t="s">
        <v>733</v>
      </c>
      <c r="C333" s="35">
        <v>200000</v>
      </c>
      <c r="D333" s="12">
        <v>0</v>
      </c>
      <c r="E333" s="12">
        <f t="shared" si="7"/>
        <v>299899616.63999987</v>
      </c>
      <c r="F333" s="28" t="s">
        <v>4</v>
      </c>
      <c r="G333" s="8" t="s">
        <v>5</v>
      </c>
      <c r="H333" s="16" t="s">
        <v>465</v>
      </c>
    </row>
    <row r="334" spans="1:8" hidden="1">
      <c r="A334" s="26">
        <v>45882</v>
      </c>
      <c r="B334" t="s">
        <v>734</v>
      </c>
      <c r="C334" s="35">
        <v>1500000</v>
      </c>
      <c r="D334" s="12">
        <v>0</v>
      </c>
      <c r="E334" s="12">
        <f t="shared" si="7"/>
        <v>298399616.63999987</v>
      </c>
      <c r="F334" s="28" t="s">
        <v>4</v>
      </c>
      <c r="G334" s="8" t="s">
        <v>5</v>
      </c>
      <c r="H334" s="16" t="s">
        <v>784</v>
      </c>
    </row>
    <row r="335" spans="1:8" hidden="1">
      <c r="A335" s="26">
        <v>45882</v>
      </c>
      <c r="B335" t="s">
        <v>735</v>
      </c>
      <c r="C335" s="35">
        <v>400000</v>
      </c>
      <c r="D335" s="12">
        <v>0</v>
      </c>
      <c r="E335" s="12">
        <f t="shared" si="7"/>
        <v>297999616.63999987</v>
      </c>
      <c r="F335" s="28" t="s">
        <v>4</v>
      </c>
      <c r="G335" s="8" t="s">
        <v>5</v>
      </c>
      <c r="H335" s="16" t="s">
        <v>784</v>
      </c>
    </row>
    <row r="336" spans="1:8" hidden="1">
      <c r="A336" s="26">
        <v>45882</v>
      </c>
      <c r="B336" t="s">
        <v>736</v>
      </c>
      <c r="C336" s="35">
        <v>850000</v>
      </c>
      <c r="D336" s="12">
        <v>0</v>
      </c>
      <c r="E336" s="12">
        <f t="shared" si="7"/>
        <v>297149616.63999987</v>
      </c>
      <c r="F336" s="28" t="s">
        <v>4</v>
      </c>
      <c r="G336" s="8" t="s">
        <v>5</v>
      </c>
      <c r="H336" s="16" t="s">
        <v>788</v>
      </c>
    </row>
    <row r="337" spans="1:9" hidden="1">
      <c r="A337" s="26">
        <v>45882</v>
      </c>
      <c r="B337" t="s">
        <v>737</v>
      </c>
      <c r="C337" s="35">
        <v>800000</v>
      </c>
      <c r="D337" s="12">
        <v>0</v>
      </c>
      <c r="E337" s="12">
        <f t="shared" si="7"/>
        <v>296349616.63999987</v>
      </c>
      <c r="F337" s="28" t="s">
        <v>4</v>
      </c>
      <c r="G337" s="8" t="s">
        <v>5</v>
      </c>
      <c r="H337" s="16" t="s">
        <v>788</v>
      </c>
    </row>
    <row r="338" spans="1:9" hidden="1">
      <c r="A338" s="26">
        <v>45882</v>
      </c>
      <c r="B338" t="s">
        <v>738</v>
      </c>
      <c r="C338" s="35">
        <v>300000</v>
      </c>
      <c r="D338" s="12">
        <v>0</v>
      </c>
      <c r="E338" s="12">
        <f t="shared" si="7"/>
        <v>296049616.63999987</v>
      </c>
      <c r="F338" s="28" t="s">
        <v>4</v>
      </c>
      <c r="G338" s="8" t="s">
        <v>5</v>
      </c>
      <c r="H338" s="16" t="s">
        <v>788</v>
      </c>
    </row>
    <row r="339" spans="1:9" hidden="1">
      <c r="A339" s="26">
        <v>45882</v>
      </c>
      <c r="B339" t="s">
        <v>739</v>
      </c>
      <c r="C339" s="35">
        <v>400000</v>
      </c>
      <c r="D339" s="12">
        <v>0</v>
      </c>
      <c r="E339" s="12">
        <f t="shared" si="7"/>
        <v>295649616.63999987</v>
      </c>
      <c r="F339" s="28" t="s">
        <v>4</v>
      </c>
      <c r="G339" s="8" t="s">
        <v>5</v>
      </c>
      <c r="H339" s="16" t="s">
        <v>866</v>
      </c>
    </row>
    <row r="340" spans="1:9" hidden="1">
      <c r="A340" s="26">
        <v>45882</v>
      </c>
      <c r="B340" t="s">
        <v>740</v>
      </c>
      <c r="C340" s="35">
        <v>400000</v>
      </c>
      <c r="D340" s="12">
        <v>0</v>
      </c>
      <c r="E340" s="12">
        <f t="shared" si="7"/>
        <v>295249616.63999987</v>
      </c>
      <c r="F340" s="28" t="s">
        <v>4</v>
      </c>
      <c r="G340" s="8" t="s">
        <v>5</v>
      </c>
      <c r="H340" s="16" t="s">
        <v>866</v>
      </c>
    </row>
    <row r="341" spans="1:9" hidden="1">
      <c r="A341" s="26">
        <v>45882</v>
      </c>
      <c r="B341" t="s">
        <v>741</v>
      </c>
      <c r="C341" s="35">
        <v>850000</v>
      </c>
      <c r="D341" s="12">
        <v>0</v>
      </c>
      <c r="E341" s="12">
        <f t="shared" si="7"/>
        <v>294399616.63999987</v>
      </c>
      <c r="F341" s="28" t="s">
        <v>4</v>
      </c>
      <c r="G341" s="8" t="s">
        <v>5</v>
      </c>
      <c r="H341" s="16" t="s">
        <v>788</v>
      </c>
    </row>
    <row r="342" spans="1:9" hidden="1">
      <c r="A342" s="26">
        <v>45882</v>
      </c>
      <c r="B342" t="s">
        <v>742</v>
      </c>
      <c r="C342" s="35">
        <v>1500000</v>
      </c>
      <c r="D342" s="12">
        <v>0</v>
      </c>
      <c r="E342" s="12">
        <f t="shared" si="7"/>
        <v>292899616.63999987</v>
      </c>
      <c r="F342" s="28" t="s">
        <v>4</v>
      </c>
      <c r="G342" s="8" t="s">
        <v>5</v>
      </c>
      <c r="H342" s="16" t="s">
        <v>784</v>
      </c>
    </row>
    <row r="343" spans="1:9" hidden="1">
      <c r="A343" s="26">
        <v>45882</v>
      </c>
      <c r="B343" t="s">
        <v>743</v>
      </c>
      <c r="C343" s="35">
        <v>2350000</v>
      </c>
      <c r="D343" s="12">
        <v>0</v>
      </c>
      <c r="E343" s="12">
        <f t="shared" si="7"/>
        <v>290549616.63999987</v>
      </c>
      <c r="F343" s="28" t="s">
        <v>4</v>
      </c>
      <c r="G343" s="8" t="s">
        <v>5</v>
      </c>
      <c r="H343" s="16" t="s">
        <v>465</v>
      </c>
    </row>
    <row r="344" spans="1:9" hidden="1">
      <c r="A344" s="26">
        <v>45882</v>
      </c>
      <c r="B344" t="s">
        <v>744</v>
      </c>
      <c r="C344" s="35">
        <v>4153800</v>
      </c>
      <c r="D344" s="12">
        <v>0</v>
      </c>
      <c r="E344" s="12">
        <f t="shared" si="7"/>
        <v>286395816.63999987</v>
      </c>
      <c r="F344" s="28" t="s">
        <v>28</v>
      </c>
      <c r="G344" s="8" t="s">
        <v>32</v>
      </c>
      <c r="H344" t="s">
        <v>69</v>
      </c>
    </row>
    <row r="345" spans="1:9" hidden="1">
      <c r="A345" s="26">
        <v>45883</v>
      </c>
      <c r="B345" t="s">
        <v>745</v>
      </c>
      <c r="C345" s="35">
        <v>0</v>
      </c>
      <c r="D345" s="12">
        <v>24883000</v>
      </c>
      <c r="E345" s="12">
        <f t="shared" si="7"/>
        <v>311278816.63999987</v>
      </c>
      <c r="F345" s="28" t="s">
        <v>9</v>
      </c>
      <c r="G345" s="8" t="s">
        <v>13</v>
      </c>
      <c r="H345" t="s">
        <v>71</v>
      </c>
      <c r="I345" s="15" t="s">
        <v>1070</v>
      </c>
    </row>
    <row r="346" spans="1:9" hidden="1">
      <c r="A346" s="26">
        <v>45884</v>
      </c>
      <c r="B346" t="s">
        <v>73</v>
      </c>
      <c r="C346" s="35">
        <v>20000</v>
      </c>
      <c r="D346" s="12">
        <v>0</v>
      </c>
      <c r="E346" s="12">
        <f t="shared" si="7"/>
        <v>311258816.63999987</v>
      </c>
      <c r="F346" s="28" t="s">
        <v>14</v>
      </c>
      <c r="G346" s="8" t="s">
        <v>50</v>
      </c>
    </row>
    <row r="347" spans="1:9" hidden="1">
      <c r="A347" s="26">
        <v>45890</v>
      </c>
      <c r="B347" t="s">
        <v>746</v>
      </c>
      <c r="C347" s="35">
        <v>1550000</v>
      </c>
      <c r="D347" s="12">
        <v>0</v>
      </c>
      <c r="E347" s="12">
        <f t="shared" si="7"/>
        <v>309708816.63999987</v>
      </c>
      <c r="F347" s="28" t="s">
        <v>4</v>
      </c>
      <c r="G347" s="8" t="s">
        <v>5</v>
      </c>
      <c r="H347" s="16" t="s">
        <v>784</v>
      </c>
    </row>
    <row r="348" spans="1:9" hidden="1">
      <c r="A348" s="26">
        <v>45890</v>
      </c>
      <c r="B348" t="s">
        <v>747</v>
      </c>
      <c r="C348" s="35">
        <v>800000</v>
      </c>
      <c r="D348" s="12">
        <v>0</v>
      </c>
      <c r="E348" s="12">
        <f t="shared" si="7"/>
        <v>308908816.63999987</v>
      </c>
      <c r="F348" s="28" t="s">
        <v>4</v>
      </c>
      <c r="G348" s="8" t="s">
        <v>5</v>
      </c>
      <c r="H348" s="16" t="s">
        <v>784</v>
      </c>
    </row>
    <row r="349" spans="1:9" hidden="1">
      <c r="A349" s="26">
        <v>45890</v>
      </c>
      <c r="B349" t="s">
        <v>742</v>
      </c>
      <c r="C349" s="35">
        <v>1550000</v>
      </c>
      <c r="D349" s="12">
        <v>0</v>
      </c>
      <c r="E349" s="12">
        <f t="shared" si="7"/>
        <v>307358816.63999987</v>
      </c>
      <c r="F349" s="28" t="s">
        <v>4</v>
      </c>
      <c r="G349" s="8" t="s">
        <v>5</v>
      </c>
      <c r="H349" s="16" t="s">
        <v>784</v>
      </c>
    </row>
    <row r="350" spans="1:9" hidden="1">
      <c r="A350" s="26">
        <v>45890</v>
      </c>
      <c r="B350" t="s">
        <v>748</v>
      </c>
      <c r="C350" s="35">
        <v>1850000</v>
      </c>
      <c r="D350" s="12">
        <v>0</v>
      </c>
      <c r="E350" s="12">
        <f t="shared" si="7"/>
        <v>305508816.63999987</v>
      </c>
      <c r="F350" s="28" t="s">
        <v>4</v>
      </c>
      <c r="G350" s="8" t="s">
        <v>5</v>
      </c>
      <c r="H350" s="16" t="s">
        <v>866</v>
      </c>
    </row>
    <row r="351" spans="1:9" hidden="1">
      <c r="A351" s="26">
        <v>45890</v>
      </c>
      <c r="B351" t="s">
        <v>722</v>
      </c>
      <c r="C351" s="35">
        <v>1550000</v>
      </c>
      <c r="D351" s="12">
        <v>0</v>
      </c>
      <c r="E351" s="12">
        <f t="shared" si="7"/>
        <v>303958816.63999987</v>
      </c>
      <c r="F351" s="28" t="s">
        <v>4</v>
      </c>
      <c r="G351" s="8" t="s">
        <v>5</v>
      </c>
      <c r="H351" s="16" t="s">
        <v>784</v>
      </c>
    </row>
    <row r="352" spans="1:9" hidden="1">
      <c r="A352" s="26">
        <v>45890</v>
      </c>
      <c r="B352" t="s">
        <v>726</v>
      </c>
      <c r="C352" s="35">
        <v>450000</v>
      </c>
      <c r="D352" s="12">
        <v>0</v>
      </c>
      <c r="E352" s="12">
        <f t="shared" si="7"/>
        <v>303508816.63999987</v>
      </c>
      <c r="F352" s="28" t="s">
        <v>4</v>
      </c>
      <c r="G352" s="8" t="s">
        <v>5</v>
      </c>
      <c r="H352" s="16" t="s">
        <v>784</v>
      </c>
    </row>
    <row r="353" spans="1:8" hidden="1">
      <c r="A353" s="26">
        <v>45890</v>
      </c>
      <c r="B353" t="s">
        <v>728</v>
      </c>
      <c r="C353" s="35">
        <v>1850000</v>
      </c>
      <c r="D353" s="12">
        <v>0</v>
      </c>
      <c r="E353" s="12">
        <f t="shared" si="7"/>
        <v>301658816.63999987</v>
      </c>
      <c r="F353" s="28" t="s">
        <v>4</v>
      </c>
      <c r="G353" s="8" t="s">
        <v>5</v>
      </c>
      <c r="H353" s="16" t="s">
        <v>784</v>
      </c>
    </row>
    <row r="354" spans="1:8" hidden="1">
      <c r="A354" s="26">
        <v>45896</v>
      </c>
      <c r="B354" t="s">
        <v>749</v>
      </c>
      <c r="C354" s="35">
        <v>1000000</v>
      </c>
      <c r="D354" s="12">
        <v>0</v>
      </c>
      <c r="E354" s="12">
        <f t="shared" si="7"/>
        <v>300658816.63999987</v>
      </c>
      <c r="F354" s="28" t="s">
        <v>4</v>
      </c>
      <c r="G354" s="8" t="s">
        <v>5</v>
      </c>
      <c r="H354" s="16" t="s">
        <v>849</v>
      </c>
    </row>
    <row r="355" spans="1:8" hidden="1">
      <c r="A355" s="26">
        <v>45896</v>
      </c>
      <c r="B355" t="s">
        <v>750</v>
      </c>
      <c r="C355" s="35">
        <v>350000</v>
      </c>
      <c r="D355" s="12">
        <v>0</v>
      </c>
      <c r="E355" s="12">
        <f t="shared" si="7"/>
        <v>300308816.63999987</v>
      </c>
      <c r="F355" s="28" t="s">
        <v>4</v>
      </c>
      <c r="G355" s="8" t="s">
        <v>5</v>
      </c>
      <c r="H355" s="16" t="s">
        <v>849</v>
      </c>
    </row>
    <row r="356" spans="1:8" hidden="1">
      <c r="A356" s="26">
        <v>45896</v>
      </c>
      <c r="B356" t="s">
        <v>751</v>
      </c>
      <c r="C356" s="35">
        <v>400000</v>
      </c>
      <c r="D356" s="12">
        <v>0</v>
      </c>
      <c r="E356" s="12">
        <f t="shared" si="7"/>
        <v>299908816.63999987</v>
      </c>
      <c r="F356" s="28" t="s">
        <v>15</v>
      </c>
      <c r="G356" s="8" t="s">
        <v>116</v>
      </c>
    </row>
    <row r="357" spans="1:8" hidden="1">
      <c r="A357" s="26">
        <v>45896</v>
      </c>
      <c r="B357" t="s">
        <v>752</v>
      </c>
      <c r="C357" s="35">
        <v>800000</v>
      </c>
      <c r="D357" s="12">
        <v>0</v>
      </c>
      <c r="E357" s="12">
        <f t="shared" si="7"/>
        <v>299108816.63999987</v>
      </c>
      <c r="F357" s="28" t="s">
        <v>4</v>
      </c>
      <c r="G357" s="8" t="s">
        <v>5</v>
      </c>
      <c r="H357" s="16" t="s">
        <v>849</v>
      </c>
    </row>
    <row r="358" spans="1:8" hidden="1">
      <c r="A358" s="26">
        <v>45896</v>
      </c>
      <c r="B358" t="s">
        <v>753</v>
      </c>
      <c r="C358" s="35">
        <v>350000</v>
      </c>
      <c r="D358" s="12">
        <v>0</v>
      </c>
      <c r="E358" s="12">
        <f t="shared" si="7"/>
        <v>298758816.63999987</v>
      </c>
      <c r="F358" s="28" t="s">
        <v>4</v>
      </c>
      <c r="G358" s="8" t="s">
        <v>5</v>
      </c>
      <c r="H358" s="16" t="s">
        <v>849</v>
      </c>
    </row>
    <row r="359" spans="1:8" hidden="1">
      <c r="A359" s="26">
        <v>45896</v>
      </c>
      <c r="B359" t="s">
        <v>754</v>
      </c>
      <c r="C359" s="35">
        <v>800000</v>
      </c>
      <c r="D359" s="12">
        <v>0</v>
      </c>
      <c r="E359" s="12">
        <f t="shared" si="7"/>
        <v>297958816.63999987</v>
      </c>
      <c r="F359" s="28" t="s">
        <v>4</v>
      </c>
      <c r="G359" s="8" t="s">
        <v>5</v>
      </c>
      <c r="H359" s="16" t="s">
        <v>849</v>
      </c>
    </row>
    <row r="360" spans="1:8" hidden="1">
      <c r="A360" s="26">
        <v>45896</v>
      </c>
      <c r="B360" t="s">
        <v>725</v>
      </c>
      <c r="C360" s="35">
        <v>1000000</v>
      </c>
      <c r="D360" s="12">
        <v>0</v>
      </c>
      <c r="E360" s="12">
        <f t="shared" si="7"/>
        <v>296958816.63999987</v>
      </c>
      <c r="F360" s="28" t="s">
        <v>4</v>
      </c>
      <c r="G360" s="8" t="s">
        <v>5</v>
      </c>
      <c r="H360" s="16" t="s">
        <v>784</v>
      </c>
    </row>
    <row r="361" spans="1:8" hidden="1">
      <c r="A361" s="26">
        <v>45897</v>
      </c>
      <c r="B361" t="s">
        <v>755</v>
      </c>
      <c r="C361" s="35">
        <v>55150000</v>
      </c>
      <c r="D361" s="12">
        <v>0</v>
      </c>
      <c r="E361" s="12">
        <f t="shared" si="7"/>
        <v>241808816.63999987</v>
      </c>
      <c r="F361" s="28" t="s">
        <v>28</v>
      </c>
      <c r="G361" s="8" t="s">
        <v>16</v>
      </c>
    </row>
    <row r="362" spans="1:8" hidden="1">
      <c r="A362" s="26">
        <v>45897</v>
      </c>
      <c r="B362" t="s">
        <v>81</v>
      </c>
      <c r="C362" s="35">
        <v>0</v>
      </c>
      <c r="D362" s="12">
        <v>2000000</v>
      </c>
      <c r="E362" s="12">
        <f t="shared" si="7"/>
        <v>243808816.63999987</v>
      </c>
      <c r="F362" s="28" t="s">
        <v>9</v>
      </c>
      <c r="G362" s="8" t="s">
        <v>33</v>
      </c>
      <c r="H362" s="38" t="s">
        <v>26</v>
      </c>
    </row>
    <row r="363" spans="1:8" hidden="1">
      <c r="A363" s="26">
        <v>45897</v>
      </c>
      <c r="B363" t="s">
        <v>182</v>
      </c>
      <c r="C363" s="35">
        <v>0</v>
      </c>
      <c r="D363" s="12">
        <v>500000</v>
      </c>
      <c r="E363" s="12">
        <f t="shared" si="7"/>
        <v>244308816.63999987</v>
      </c>
      <c r="F363" s="28" t="s">
        <v>9</v>
      </c>
      <c r="G363" s="8" t="s">
        <v>33</v>
      </c>
      <c r="H363" s="38" t="s">
        <v>45</v>
      </c>
    </row>
    <row r="364" spans="1:8" hidden="1">
      <c r="A364" s="26">
        <v>45897</v>
      </c>
      <c r="B364" t="s">
        <v>756</v>
      </c>
      <c r="C364" s="35">
        <v>400000</v>
      </c>
      <c r="D364" s="12">
        <v>0</v>
      </c>
      <c r="E364" s="12">
        <f t="shared" si="7"/>
        <v>243908816.63999987</v>
      </c>
      <c r="F364" s="28" t="s">
        <v>4</v>
      </c>
      <c r="G364" s="8" t="s">
        <v>5</v>
      </c>
      <c r="H364" s="16" t="s">
        <v>849</v>
      </c>
    </row>
    <row r="365" spans="1:8" hidden="1">
      <c r="A365" s="26">
        <v>45897</v>
      </c>
      <c r="B365" t="s">
        <v>757</v>
      </c>
      <c r="C365" s="35">
        <v>5000000</v>
      </c>
      <c r="D365" s="12">
        <v>0</v>
      </c>
      <c r="E365" s="12">
        <f t="shared" si="7"/>
        <v>238908816.63999987</v>
      </c>
      <c r="F365" s="28" t="s">
        <v>28</v>
      </c>
      <c r="G365" s="8" t="s">
        <v>16</v>
      </c>
    </row>
    <row r="366" spans="1:8" hidden="1">
      <c r="A366" s="26">
        <v>45900</v>
      </c>
      <c r="B366" t="s">
        <v>758</v>
      </c>
      <c r="C366" s="35">
        <v>0</v>
      </c>
      <c r="D366" s="12">
        <v>17000000</v>
      </c>
      <c r="E366" s="12">
        <f t="shared" si="7"/>
        <v>255908816.63999987</v>
      </c>
      <c r="F366" t="s">
        <v>186</v>
      </c>
      <c r="G366" s="8" t="s">
        <v>136</v>
      </c>
      <c r="H366" s="8" t="s">
        <v>789</v>
      </c>
    </row>
    <row r="367" spans="1:8" hidden="1">
      <c r="A367" s="26">
        <v>45900</v>
      </c>
      <c r="B367" t="s">
        <v>75</v>
      </c>
      <c r="C367" s="35">
        <v>0</v>
      </c>
      <c r="D367" s="12">
        <v>2549.56</v>
      </c>
      <c r="E367" s="12">
        <f t="shared" si="7"/>
        <v>255911366.19999987</v>
      </c>
      <c r="F367" s="28" t="s">
        <v>252</v>
      </c>
      <c r="G367" s="8" t="s">
        <v>34</v>
      </c>
    </row>
    <row r="368" spans="1:8" hidden="1">
      <c r="A368" s="26">
        <v>45900</v>
      </c>
      <c r="B368" t="s">
        <v>76</v>
      </c>
      <c r="C368" s="35">
        <v>509.91</v>
      </c>
      <c r="D368" s="12">
        <v>0</v>
      </c>
      <c r="E368" s="12">
        <f t="shared" si="7"/>
        <v>255910856.28999987</v>
      </c>
      <c r="F368" s="28" t="s">
        <v>252</v>
      </c>
      <c r="G368" s="8" t="s">
        <v>34</v>
      </c>
    </row>
    <row r="369" spans="1:8" hidden="1">
      <c r="A369" s="26">
        <v>45901</v>
      </c>
      <c r="B369" s="7" t="s">
        <v>759</v>
      </c>
      <c r="C369" s="35">
        <v>0</v>
      </c>
      <c r="D369" s="35">
        <v>1600750</v>
      </c>
      <c r="E369" s="12">
        <f t="shared" si="7"/>
        <v>257511606.28999987</v>
      </c>
      <c r="F369" t="s">
        <v>186</v>
      </c>
      <c r="G369" s="8" t="s">
        <v>136</v>
      </c>
      <c r="H369" s="8" t="s">
        <v>789</v>
      </c>
    </row>
    <row r="370" spans="1:8" hidden="1">
      <c r="A370" s="26">
        <v>45901</v>
      </c>
      <c r="B370" s="7" t="s">
        <v>759</v>
      </c>
      <c r="C370" s="35">
        <v>0</v>
      </c>
      <c r="D370" s="35">
        <v>1600750</v>
      </c>
      <c r="E370" s="12">
        <f t="shared" si="7"/>
        <v>259112356.28999987</v>
      </c>
      <c r="F370" t="s">
        <v>186</v>
      </c>
      <c r="G370" s="8" t="s">
        <v>136</v>
      </c>
      <c r="H370" s="8" t="s">
        <v>789</v>
      </c>
    </row>
    <row r="371" spans="1:8" hidden="1">
      <c r="A371" s="26">
        <v>45901</v>
      </c>
      <c r="B371" s="7" t="s">
        <v>759</v>
      </c>
      <c r="C371" s="35">
        <v>0</v>
      </c>
      <c r="D371" s="35">
        <v>7797250</v>
      </c>
      <c r="E371" s="12">
        <f t="shared" si="7"/>
        <v>266909606.28999987</v>
      </c>
      <c r="F371" t="s">
        <v>186</v>
      </c>
      <c r="G371" s="8" t="s">
        <v>136</v>
      </c>
      <c r="H371" s="8" t="s">
        <v>789</v>
      </c>
    </row>
    <row r="372" spans="1:8" hidden="1">
      <c r="A372" s="26">
        <v>45901</v>
      </c>
      <c r="B372" s="7" t="s">
        <v>760</v>
      </c>
      <c r="C372" s="35">
        <v>0</v>
      </c>
      <c r="D372" s="35">
        <v>8327785</v>
      </c>
      <c r="E372" s="12">
        <f t="shared" si="7"/>
        <v>275237391.28999984</v>
      </c>
      <c r="F372" t="s">
        <v>186</v>
      </c>
      <c r="G372" s="8" t="s">
        <v>136</v>
      </c>
      <c r="H372" s="8" t="s">
        <v>789</v>
      </c>
    </row>
    <row r="373" spans="1:8" hidden="1">
      <c r="A373" s="26">
        <v>45901</v>
      </c>
      <c r="B373" s="7" t="s">
        <v>761</v>
      </c>
      <c r="C373" s="35">
        <v>0</v>
      </c>
      <c r="D373" s="35">
        <v>6117508</v>
      </c>
      <c r="E373" s="12">
        <f t="shared" si="7"/>
        <v>281354899.28999984</v>
      </c>
      <c r="F373" t="s">
        <v>186</v>
      </c>
      <c r="G373" s="8" t="s">
        <v>136</v>
      </c>
      <c r="H373" s="8" t="s">
        <v>789</v>
      </c>
    </row>
    <row r="374" spans="1:8" hidden="1">
      <c r="A374" s="26">
        <v>45901</v>
      </c>
      <c r="B374" s="7" t="s">
        <v>762</v>
      </c>
      <c r="C374" s="35">
        <v>0</v>
      </c>
      <c r="D374" s="35">
        <v>3094723</v>
      </c>
      <c r="E374" s="12">
        <f t="shared" si="7"/>
        <v>284449622.28999984</v>
      </c>
      <c r="F374" t="s">
        <v>186</v>
      </c>
      <c r="G374" s="8" t="s">
        <v>136</v>
      </c>
      <c r="H374" s="8" t="s">
        <v>789</v>
      </c>
    </row>
    <row r="375" spans="1:8" hidden="1">
      <c r="A375" s="26">
        <v>45901</v>
      </c>
      <c r="B375" s="7" t="s">
        <v>762</v>
      </c>
      <c r="C375" s="35">
        <v>0</v>
      </c>
      <c r="D375" s="35">
        <v>6063342</v>
      </c>
      <c r="E375" s="12">
        <f t="shared" si="7"/>
        <v>290512964.28999984</v>
      </c>
      <c r="F375" t="s">
        <v>186</v>
      </c>
      <c r="G375" s="8" t="s">
        <v>136</v>
      </c>
      <c r="H375" s="8" t="s">
        <v>789</v>
      </c>
    </row>
    <row r="376" spans="1:8" hidden="1">
      <c r="A376" s="26">
        <v>45901</v>
      </c>
      <c r="B376" s="7" t="s">
        <v>763</v>
      </c>
      <c r="C376" s="35">
        <v>0</v>
      </c>
      <c r="D376" s="35">
        <v>2000000</v>
      </c>
      <c r="E376" s="12">
        <f t="shared" si="7"/>
        <v>292512964.28999984</v>
      </c>
      <c r="F376" t="s">
        <v>186</v>
      </c>
      <c r="G376" s="8" t="s">
        <v>136</v>
      </c>
      <c r="H376" s="8" t="s">
        <v>789</v>
      </c>
    </row>
    <row r="377" spans="1:8" hidden="1">
      <c r="A377" s="26">
        <v>45901</v>
      </c>
      <c r="B377" s="7" t="s">
        <v>764</v>
      </c>
      <c r="C377" s="35">
        <v>0</v>
      </c>
      <c r="D377" s="35">
        <v>2080000</v>
      </c>
      <c r="E377" s="12">
        <f t="shared" ref="E377:E440" si="8">E376-C377+D377</f>
        <v>294592964.28999984</v>
      </c>
      <c r="F377" s="25" t="s">
        <v>186</v>
      </c>
      <c r="G377" s="8" t="s">
        <v>136</v>
      </c>
      <c r="H377" s="8" t="s">
        <v>789</v>
      </c>
    </row>
    <row r="378" spans="1:8" hidden="1">
      <c r="A378" s="26">
        <v>45901</v>
      </c>
      <c r="B378" s="7" t="s">
        <v>765</v>
      </c>
      <c r="C378" s="35">
        <v>0</v>
      </c>
      <c r="D378" s="35">
        <v>33000000</v>
      </c>
      <c r="E378" s="12">
        <f t="shared" si="8"/>
        <v>327592964.28999984</v>
      </c>
      <c r="F378" s="25" t="s">
        <v>186</v>
      </c>
      <c r="G378" s="8" t="s">
        <v>136</v>
      </c>
      <c r="H378" s="8" t="s">
        <v>789</v>
      </c>
    </row>
    <row r="379" spans="1:8" hidden="1">
      <c r="A379" s="26">
        <v>45901</v>
      </c>
      <c r="B379" s="7" t="s">
        <v>766</v>
      </c>
      <c r="C379" s="35">
        <v>0</v>
      </c>
      <c r="D379" s="35">
        <v>34500000</v>
      </c>
      <c r="E379" s="12">
        <f t="shared" si="8"/>
        <v>362092964.28999984</v>
      </c>
      <c r="F379" s="25" t="s">
        <v>186</v>
      </c>
      <c r="G379" s="8" t="s">
        <v>136</v>
      </c>
      <c r="H379" s="8" t="s">
        <v>789</v>
      </c>
    </row>
    <row r="380" spans="1:8" hidden="1">
      <c r="A380" s="26">
        <v>45901</v>
      </c>
      <c r="B380" s="7" t="s">
        <v>767</v>
      </c>
      <c r="C380" s="36">
        <v>0</v>
      </c>
      <c r="D380" s="36">
        <v>1815486</v>
      </c>
      <c r="E380" s="21">
        <f t="shared" si="8"/>
        <v>363908450.28999984</v>
      </c>
      <c r="F380" s="25" t="s">
        <v>186</v>
      </c>
      <c r="G380" s="8" t="s">
        <v>136</v>
      </c>
      <c r="H380" s="8" t="s">
        <v>789</v>
      </c>
    </row>
    <row r="381" spans="1:8" hidden="1">
      <c r="A381" s="26">
        <v>45901</v>
      </c>
      <c r="B381" s="7" t="s">
        <v>768</v>
      </c>
      <c r="C381" s="36">
        <v>0</v>
      </c>
      <c r="D381" s="36">
        <v>91735000</v>
      </c>
      <c r="E381" s="21">
        <f t="shared" si="8"/>
        <v>455643450.28999984</v>
      </c>
      <c r="F381" s="25" t="s">
        <v>186</v>
      </c>
      <c r="G381" s="8" t="s">
        <v>136</v>
      </c>
      <c r="H381" s="8" t="s">
        <v>789</v>
      </c>
    </row>
    <row r="382" spans="1:8" hidden="1">
      <c r="A382" s="26">
        <v>45902</v>
      </c>
      <c r="B382" s="7" t="s">
        <v>179</v>
      </c>
      <c r="C382" s="35">
        <v>0</v>
      </c>
      <c r="D382" s="12">
        <v>2000000</v>
      </c>
      <c r="E382" s="12">
        <f t="shared" si="8"/>
        <v>457643450.28999984</v>
      </c>
      <c r="F382" s="25" t="s">
        <v>9</v>
      </c>
      <c r="G382" s="8" t="s">
        <v>33</v>
      </c>
      <c r="H382" s="38" t="s">
        <v>10</v>
      </c>
    </row>
    <row r="383" spans="1:8" hidden="1">
      <c r="A383" s="26">
        <v>45903</v>
      </c>
      <c r="B383" s="7" t="s">
        <v>769</v>
      </c>
      <c r="C383" s="35">
        <v>800000</v>
      </c>
      <c r="D383" s="12">
        <v>0</v>
      </c>
      <c r="E383" s="12">
        <f t="shared" si="8"/>
        <v>456843450.28999984</v>
      </c>
      <c r="F383" s="28" t="s">
        <v>4</v>
      </c>
      <c r="G383" s="8" t="s">
        <v>5</v>
      </c>
      <c r="H383" s="16" t="s">
        <v>849</v>
      </c>
    </row>
    <row r="384" spans="1:8" hidden="1">
      <c r="A384" s="26">
        <v>45903</v>
      </c>
      <c r="B384" t="s">
        <v>770</v>
      </c>
      <c r="C384" s="35">
        <v>800000</v>
      </c>
      <c r="D384" s="12">
        <v>0</v>
      </c>
      <c r="E384" s="12">
        <f t="shared" si="8"/>
        <v>456043450.28999984</v>
      </c>
      <c r="F384" s="28" t="s">
        <v>4</v>
      </c>
      <c r="G384" s="8" t="s">
        <v>5</v>
      </c>
      <c r="H384" s="16" t="s">
        <v>849</v>
      </c>
    </row>
    <row r="385" spans="1:9" hidden="1">
      <c r="A385" s="26">
        <v>45903</v>
      </c>
      <c r="B385" t="s">
        <v>771</v>
      </c>
      <c r="C385" s="35">
        <v>800000</v>
      </c>
      <c r="D385" s="12">
        <v>0</v>
      </c>
      <c r="E385" s="12">
        <f t="shared" si="8"/>
        <v>455243450.28999984</v>
      </c>
      <c r="F385" s="28" t="s">
        <v>4</v>
      </c>
      <c r="G385" s="8" t="s">
        <v>5</v>
      </c>
      <c r="H385" s="16" t="s">
        <v>849</v>
      </c>
    </row>
    <row r="386" spans="1:9" hidden="1">
      <c r="A386" s="26">
        <v>45903</v>
      </c>
      <c r="B386" t="s">
        <v>772</v>
      </c>
      <c r="C386" s="35">
        <v>800000</v>
      </c>
      <c r="D386" s="12">
        <v>0</v>
      </c>
      <c r="E386" s="12">
        <f t="shared" si="8"/>
        <v>454443450.28999984</v>
      </c>
      <c r="F386" s="28" t="s">
        <v>4</v>
      </c>
      <c r="G386" s="8" t="s">
        <v>5</v>
      </c>
      <c r="H386" s="16" t="s">
        <v>849</v>
      </c>
    </row>
    <row r="387" spans="1:9" hidden="1">
      <c r="A387" s="26">
        <v>45903</v>
      </c>
      <c r="B387" t="s">
        <v>773</v>
      </c>
      <c r="C387" s="35">
        <v>1500000</v>
      </c>
      <c r="D387" s="12">
        <v>0</v>
      </c>
      <c r="E387" s="12">
        <f t="shared" si="8"/>
        <v>452943450.28999984</v>
      </c>
      <c r="F387" s="28" t="s">
        <v>4</v>
      </c>
      <c r="G387" s="8" t="s">
        <v>5</v>
      </c>
      <c r="H387" s="16" t="s">
        <v>784</v>
      </c>
    </row>
    <row r="388" spans="1:9" hidden="1">
      <c r="A388" s="26">
        <v>45903</v>
      </c>
      <c r="B388" t="s">
        <v>774</v>
      </c>
      <c r="C388" s="35">
        <v>1500000</v>
      </c>
      <c r="D388" s="12">
        <v>0</v>
      </c>
      <c r="E388" s="12">
        <f t="shared" si="8"/>
        <v>451443450.28999984</v>
      </c>
      <c r="F388" s="28" t="s">
        <v>4</v>
      </c>
      <c r="G388" s="8" t="s">
        <v>5</v>
      </c>
      <c r="H388" s="16" t="s">
        <v>784</v>
      </c>
    </row>
    <row r="389" spans="1:9" hidden="1">
      <c r="A389" s="26">
        <v>45903</v>
      </c>
      <c r="B389" t="s">
        <v>775</v>
      </c>
      <c r="C389" s="35">
        <v>1650000</v>
      </c>
      <c r="D389" s="12">
        <v>0</v>
      </c>
      <c r="E389" s="12">
        <f t="shared" si="8"/>
        <v>449793450.28999984</v>
      </c>
      <c r="F389" s="28" t="s">
        <v>4</v>
      </c>
      <c r="G389" s="8" t="s">
        <v>5</v>
      </c>
      <c r="H389" s="16" t="s">
        <v>866</v>
      </c>
    </row>
    <row r="390" spans="1:9" hidden="1">
      <c r="A390" s="26">
        <v>45903</v>
      </c>
      <c r="B390" t="s">
        <v>776</v>
      </c>
      <c r="C390" s="35">
        <v>800000</v>
      </c>
      <c r="D390" s="12">
        <v>0</v>
      </c>
      <c r="E390" s="12">
        <f t="shared" si="8"/>
        <v>448993450.28999984</v>
      </c>
      <c r="F390" s="28" t="s">
        <v>4</v>
      </c>
      <c r="G390" s="8" t="s">
        <v>5</v>
      </c>
      <c r="H390" s="16" t="s">
        <v>849</v>
      </c>
    </row>
    <row r="391" spans="1:9" hidden="1">
      <c r="A391" s="26">
        <v>45903</v>
      </c>
      <c r="B391" t="s">
        <v>777</v>
      </c>
      <c r="C391" s="35">
        <v>1050000</v>
      </c>
      <c r="D391" s="12">
        <v>0</v>
      </c>
      <c r="E391" s="12">
        <f t="shared" si="8"/>
        <v>447943450.28999984</v>
      </c>
      <c r="F391" s="28" t="s">
        <v>4</v>
      </c>
      <c r="G391" s="8" t="s">
        <v>5</v>
      </c>
      <c r="H391" s="16" t="s">
        <v>784</v>
      </c>
    </row>
    <row r="392" spans="1:9" hidden="1">
      <c r="A392" s="26">
        <v>45903</v>
      </c>
      <c r="B392" t="s">
        <v>778</v>
      </c>
      <c r="C392" s="35">
        <v>1000000</v>
      </c>
      <c r="D392" s="12">
        <v>0</v>
      </c>
      <c r="E392" s="12">
        <f t="shared" si="8"/>
        <v>446943450.28999984</v>
      </c>
      <c r="F392" s="28" t="s">
        <v>4</v>
      </c>
      <c r="G392" s="8" t="s">
        <v>5</v>
      </c>
      <c r="H392" s="16" t="s">
        <v>784</v>
      </c>
    </row>
    <row r="393" spans="1:9" hidden="1">
      <c r="A393" s="26">
        <v>45903</v>
      </c>
      <c r="B393" s="7" t="s">
        <v>779</v>
      </c>
      <c r="C393" s="35">
        <v>1850000</v>
      </c>
      <c r="D393" s="12">
        <v>0</v>
      </c>
      <c r="E393" s="12">
        <f t="shared" si="8"/>
        <v>445093450.28999984</v>
      </c>
      <c r="F393" s="28" t="s">
        <v>4</v>
      </c>
      <c r="G393" s="8" t="s">
        <v>5</v>
      </c>
      <c r="H393" s="16" t="s">
        <v>866</v>
      </c>
    </row>
    <row r="394" spans="1:9" s="8" customFormat="1" hidden="1">
      <c r="A394" s="11">
        <v>45910</v>
      </c>
      <c r="B394" s="78" t="s">
        <v>780</v>
      </c>
      <c r="C394" s="12"/>
      <c r="D394" s="12">
        <v>40375000</v>
      </c>
      <c r="E394" s="12">
        <f t="shared" si="8"/>
        <v>485468450.28999984</v>
      </c>
      <c r="F394" s="8" t="s">
        <v>9</v>
      </c>
      <c r="G394" s="8" t="s">
        <v>13</v>
      </c>
      <c r="H394" s="8" t="s">
        <v>70</v>
      </c>
      <c r="I394" s="8" t="s">
        <v>1032</v>
      </c>
    </row>
    <row r="395" spans="1:9" hidden="1">
      <c r="A395" s="26">
        <v>45911</v>
      </c>
      <c r="B395" s="7" t="s">
        <v>781</v>
      </c>
      <c r="C395" s="35">
        <v>900000</v>
      </c>
      <c r="D395" s="12"/>
      <c r="E395" s="12">
        <f t="shared" si="8"/>
        <v>484568450.28999984</v>
      </c>
      <c r="F395" s="28" t="s">
        <v>8</v>
      </c>
      <c r="G395" s="8" t="s">
        <v>21</v>
      </c>
    </row>
    <row r="396" spans="1:9" hidden="1">
      <c r="A396" s="26">
        <v>45911</v>
      </c>
      <c r="B396" s="7" t="s">
        <v>881</v>
      </c>
      <c r="C396" s="35">
        <v>770000</v>
      </c>
      <c r="D396" s="12"/>
      <c r="E396" s="12">
        <f t="shared" si="8"/>
        <v>483798450.28999984</v>
      </c>
      <c r="F396" s="28" t="s">
        <v>28</v>
      </c>
      <c r="G396" s="8" t="s">
        <v>20</v>
      </c>
    </row>
    <row r="397" spans="1:9" hidden="1">
      <c r="A397" s="26">
        <v>45911</v>
      </c>
      <c r="B397" s="7" t="s">
        <v>882</v>
      </c>
      <c r="C397" s="35">
        <v>730000</v>
      </c>
      <c r="D397" s="12"/>
      <c r="E397" s="12">
        <f t="shared" si="8"/>
        <v>483068450.28999984</v>
      </c>
      <c r="F397" s="28" t="s">
        <v>28</v>
      </c>
      <c r="G397" s="8" t="s">
        <v>20</v>
      </c>
    </row>
    <row r="398" spans="1:9" hidden="1">
      <c r="A398" s="26">
        <v>45911</v>
      </c>
      <c r="B398" s="7" t="s">
        <v>883</v>
      </c>
      <c r="C398" s="35">
        <v>1198000</v>
      </c>
      <c r="D398" s="12"/>
      <c r="E398" s="12">
        <f t="shared" si="8"/>
        <v>481870450.28999984</v>
      </c>
      <c r="F398" s="28" t="s">
        <v>28</v>
      </c>
      <c r="G398" s="8" t="s">
        <v>20</v>
      </c>
    </row>
    <row r="399" spans="1:9" hidden="1">
      <c r="A399" s="26">
        <v>45911</v>
      </c>
      <c r="B399" s="7" t="s">
        <v>884</v>
      </c>
      <c r="C399" s="35">
        <v>770000</v>
      </c>
      <c r="D399" s="12"/>
      <c r="E399" s="12">
        <f t="shared" si="8"/>
        <v>481100450.28999984</v>
      </c>
      <c r="F399" s="28" t="s">
        <v>28</v>
      </c>
      <c r="G399" s="8" t="s">
        <v>20</v>
      </c>
    </row>
    <row r="400" spans="1:9" hidden="1">
      <c r="A400" s="26">
        <v>45917</v>
      </c>
      <c r="B400" s="7" t="s">
        <v>885</v>
      </c>
      <c r="C400" s="35">
        <v>219945</v>
      </c>
      <c r="D400" s="12"/>
      <c r="E400" s="12">
        <f t="shared" si="8"/>
        <v>480880505.28999984</v>
      </c>
      <c r="F400" s="28" t="s">
        <v>28</v>
      </c>
      <c r="G400" s="8" t="s">
        <v>29</v>
      </c>
    </row>
    <row r="401" spans="1:9" hidden="1">
      <c r="A401" s="26">
        <v>45917</v>
      </c>
      <c r="B401" s="7" t="s">
        <v>886</v>
      </c>
      <c r="C401" s="35">
        <v>11304000</v>
      </c>
      <c r="D401" s="12"/>
      <c r="E401" s="12">
        <f t="shared" si="8"/>
        <v>469576505.28999984</v>
      </c>
      <c r="F401" s="28" t="s">
        <v>4</v>
      </c>
      <c r="G401" s="8" t="s">
        <v>5</v>
      </c>
      <c r="H401" t="s">
        <v>642</v>
      </c>
    </row>
    <row r="402" spans="1:9" hidden="1">
      <c r="A402" s="26">
        <v>45917</v>
      </c>
      <c r="B402" s="7" t="s">
        <v>887</v>
      </c>
      <c r="C402" s="36">
        <v>1500000</v>
      </c>
      <c r="D402" s="21"/>
      <c r="E402" s="21">
        <f t="shared" si="8"/>
        <v>468076505.28999984</v>
      </c>
      <c r="F402" s="8" t="s">
        <v>9</v>
      </c>
      <c r="G402" s="8" t="s">
        <v>124</v>
      </c>
      <c r="H402" s="16" t="s">
        <v>879</v>
      </c>
      <c r="I402" t="s">
        <v>19</v>
      </c>
    </row>
    <row r="403" spans="1:9" hidden="1">
      <c r="A403" s="26">
        <v>45919</v>
      </c>
      <c r="B403" s="7" t="s">
        <v>73</v>
      </c>
      <c r="C403" s="35">
        <v>20000</v>
      </c>
      <c r="D403" s="12"/>
      <c r="E403" s="12">
        <f t="shared" si="8"/>
        <v>468056505.28999984</v>
      </c>
      <c r="F403" s="28" t="s">
        <v>14</v>
      </c>
      <c r="G403" s="8" t="s">
        <v>50</v>
      </c>
    </row>
    <row r="404" spans="1:9" s="8" customFormat="1" hidden="1">
      <c r="A404" s="11">
        <v>45922</v>
      </c>
      <c r="B404" s="78" t="s">
        <v>686</v>
      </c>
      <c r="C404" s="12"/>
      <c r="D404" s="12">
        <v>910000</v>
      </c>
      <c r="E404" s="12">
        <f t="shared" si="8"/>
        <v>468966505.28999984</v>
      </c>
      <c r="F404" s="28" t="s">
        <v>514</v>
      </c>
      <c r="G404" s="8" t="s">
        <v>515</v>
      </c>
      <c r="H404" s="8" t="s">
        <v>785</v>
      </c>
      <c r="I404" s="8" t="s">
        <v>1127</v>
      </c>
    </row>
    <row r="405" spans="1:9" hidden="1">
      <c r="A405" s="26">
        <v>45923</v>
      </c>
      <c r="B405" s="7" t="s">
        <v>888</v>
      </c>
      <c r="C405" s="36">
        <v>1500000</v>
      </c>
      <c r="D405" s="21"/>
      <c r="E405" s="21">
        <f t="shared" si="8"/>
        <v>467466505.28999984</v>
      </c>
      <c r="F405" s="8" t="s">
        <v>9</v>
      </c>
      <c r="G405" s="8" t="s">
        <v>124</v>
      </c>
      <c r="H405" s="16" t="s">
        <v>879</v>
      </c>
      <c r="I405" t="s">
        <v>19</v>
      </c>
    </row>
    <row r="406" spans="1:9" hidden="1">
      <c r="A406" s="26">
        <v>45929</v>
      </c>
      <c r="B406" s="7" t="s">
        <v>889</v>
      </c>
      <c r="C406" s="35">
        <v>71000000</v>
      </c>
      <c r="D406" s="12"/>
      <c r="E406" s="12">
        <f t="shared" si="8"/>
        <v>396466505.28999984</v>
      </c>
      <c r="F406" s="28" t="s">
        <v>28</v>
      </c>
      <c r="G406" s="8" t="s">
        <v>16</v>
      </c>
    </row>
    <row r="407" spans="1:9" hidden="1">
      <c r="A407" s="26">
        <v>45930</v>
      </c>
      <c r="B407" s="7" t="s">
        <v>179</v>
      </c>
      <c r="D407" s="12">
        <v>2000000</v>
      </c>
      <c r="E407" s="12">
        <f t="shared" si="8"/>
        <v>398466505.28999984</v>
      </c>
      <c r="F407" s="28" t="s">
        <v>9</v>
      </c>
      <c r="G407" s="8" t="s">
        <v>33</v>
      </c>
      <c r="H407" s="38" t="s">
        <v>10</v>
      </c>
    </row>
    <row r="408" spans="1:9" hidden="1">
      <c r="A408" s="26">
        <v>45930</v>
      </c>
      <c r="B408" s="7" t="s">
        <v>226</v>
      </c>
      <c r="D408" s="12">
        <v>2000000</v>
      </c>
      <c r="E408" s="12">
        <f t="shared" si="8"/>
        <v>400466505.28999984</v>
      </c>
      <c r="F408" s="28" t="s">
        <v>9</v>
      </c>
      <c r="G408" s="8" t="s">
        <v>33</v>
      </c>
      <c r="H408" s="38" t="s">
        <v>26</v>
      </c>
    </row>
    <row r="409" spans="1:9" hidden="1">
      <c r="A409" s="26">
        <v>45930</v>
      </c>
      <c r="B409" s="7" t="s">
        <v>182</v>
      </c>
      <c r="D409" s="12">
        <v>500000</v>
      </c>
      <c r="E409" s="12">
        <f t="shared" si="8"/>
        <v>400966505.28999984</v>
      </c>
      <c r="F409" s="28" t="s">
        <v>9</v>
      </c>
      <c r="G409" s="8" t="s">
        <v>33</v>
      </c>
      <c r="H409" s="38" t="s">
        <v>45</v>
      </c>
    </row>
    <row r="410" spans="1:9" hidden="1">
      <c r="A410" s="26">
        <v>45930</v>
      </c>
      <c r="B410" s="7" t="s">
        <v>890</v>
      </c>
      <c r="D410" s="12">
        <v>54.72</v>
      </c>
      <c r="E410" s="12">
        <f t="shared" si="8"/>
        <v>400966560.00999987</v>
      </c>
      <c r="F410" s="28" t="s">
        <v>252</v>
      </c>
      <c r="G410" s="8" t="s">
        <v>34</v>
      </c>
    </row>
    <row r="411" spans="1:9" hidden="1">
      <c r="A411" s="26">
        <v>45930</v>
      </c>
      <c r="B411" s="7" t="s">
        <v>75</v>
      </c>
      <c r="C411" s="35">
        <v>0</v>
      </c>
      <c r="D411" s="35">
        <v>3784.4</v>
      </c>
      <c r="E411" s="12">
        <f t="shared" si="8"/>
        <v>400970344.40999985</v>
      </c>
      <c r="F411" s="28" t="s">
        <v>252</v>
      </c>
      <c r="G411" s="8" t="s">
        <v>34</v>
      </c>
    </row>
    <row r="412" spans="1:9" hidden="1">
      <c r="A412" s="26">
        <v>45930</v>
      </c>
      <c r="B412" s="7" t="s">
        <v>76</v>
      </c>
      <c r="C412" s="35">
        <v>767.82</v>
      </c>
      <c r="D412" s="12"/>
      <c r="E412" s="12">
        <f t="shared" si="8"/>
        <v>400969576.58999985</v>
      </c>
      <c r="F412" s="28" t="s">
        <v>252</v>
      </c>
      <c r="G412" s="8" t="s">
        <v>34</v>
      </c>
    </row>
    <row r="413" spans="1:9" hidden="1">
      <c r="A413" s="26">
        <v>45936</v>
      </c>
      <c r="B413" s="7" t="s">
        <v>891</v>
      </c>
      <c r="C413" s="35">
        <v>400000</v>
      </c>
      <c r="D413" s="12">
        <v>0</v>
      </c>
      <c r="E413" s="12">
        <f t="shared" si="8"/>
        <v>400569576.58999985</v>
      </c>
      <c r="F413" s="28" t="s">
        <v>4</v>
      </c>
      <c r="G413" s="8" t="s">
        <v>5</v>
      </c>
      <c r="H413" s="16" t="s">
        <v>1002</v>
      </c>
    </row>
    <row r="414" spans="1:9" hidden="1">
      <c r="A414" s="26">
        <v>45936</v>
      </c>
      <c r="B414" s="7" t="s">
        <v>892</v>
      </c>
      <c r="C414" s="35">
        <v>500000</v>
      </c>
      <c r="D414" s="12">
        <v>0</v>
      </c>
      <c r="E414" s="12">
        <f t="shared" si="8"/>
        <v>400069576.58999985</v>
      </c>
      <c r="F414" s="28" t="s">
        <v>4</v>
      </c>
      <c r="G414" s="8" t="s">
        <v>5</v>
      </c>
      <c r="H414" s="16" t="s">
        <v>1002</v>
      </c>
    </row>
    <row r="415" spans="1:9" hidden="1">
      <c r="A415" s="26">
        <v>45936</v>
      </c>
      <c r="B415" s="7" t="s">
        <v>893</v>
      </c>
      <c r="C415" s="35">
        <v>400000</v>
      </c>
      <c r="D415" s="12">
        <v>0</v>
      </c>
      <c r="E415" s="12">
        <f t="shared" si="8"/>
        <v>399669576.58999985</v>
      </c>
      <c r="F415" s="28" t="s">
        <v>4</v>
      </c>
      <c r="G415" s="8" t="s">
        <v>5</v>
      </c>
      <c r="H415" s="16" t="s">
        <v>1002</v>
      </c>
    </row>
    <row r="416" spans="1:9" hidden="1">
      <c r="A416" s="26">
        <v>45936</v>
      </c>
      <c r="B416" s="7" t="s">
        <v>894</v>
      </c>
      <c r="C416" s="35">
        <v>150000000</v>
      </c>
      <c r="D416" s="12">
        <v>0</v>
      </c>
      <c r="E416" s="12">
        <f t="shared" si="8"/>
        <v>249669576.58999985</v>
      </c>
      <c r="F416" s="28" t="s">
        <v>186</v>
      </c>
      <c r="G416" s="8" t="s">
        <v>96</v>
      </c>
    </row>
    <row r="417" spans="1:8" hidden="1">
      <c r="A417" s="26">
        <v>45936</v>
      </c>
      <c r="B417" s="7" t="s">
        <v>895</v>
      </c>
      <c r="C417" s="35">
        <v>0</v>
      </c>
      <c r="D417" s="12">
        <v>1250000</v>
      </c>
      <c r="E417" s="12">
        <f t="shared" si="8"/>
        <v>250919576.58999985</v>
      </c>
      <c r="F417" s="28" t="s">
        <v>186</v>
      </c>
      <c r="G417" t="s">
        <v>134</v>
      </c>
    </row>
    <row r="418" spans="1:8" hidden="1">
      <c r="A418" s="26">
        <v>45936</v>
      </c>
      <c r="B418" s="7" t="s">
        <v>896</v>
      </c>
      <c r="C418" s="35">
        <v>250000000</v>
      </c>
      <c r="D418" s="12">
        <v>0</v>
      </c>
      <c r="E418" s="12">
        <f t="shared" si="8"/>
        <v>919576.58999985456</v>
      </c>
      <c r="F418" s="28" t="s">
        <v>186</v>
      </c>
      <c r="G418" s="25" t="s">
        <v>1030</v>
      </c>
    </row>
    <row r="419" spans="1:8" hidden="1">
      <c r="A419" s="26">
        <v>45936</v>
      </c>
      <c r="B419" s="7" t="s">
        <v>897</v>
      </c>
      <c r="C419" s="35">
        <v>2500</v>
      </c>
      <c r="D419" s="12">
        <v>0</v>
      </c>
      <c r="E419" s="12">
        <f t="shared" si="8"/>
        <v>917076.58999985456</v>
      </c>
      <c r="F419" s="28" t="s">
        <v>14</v>
      </c>
      <c r="G419" s="8" t="s">
        <v>50</v>
      </c>
    </row>
    <row r="420" spans="1:8" hidden="1">
      <c r="A420" s="26">
        <v>45939</v>
      </c>
      <c r="B420" s="7" t="s">
        <v>692</v>
      </c>
      <c r="C420" s="35">
        <v>0</v>
      </c>
      <c r="D420" s="12">
        <v>6715000</v>
      </c>
      <c r="E420" s="12">
        <f t="shared" si="8"/>
        <v>7632076.5899998546</v>
      </c>
      <c r="F420" s="28" t="s">
        <v>186</v>
      </c>
      <c r="G420" t="s">
        <v>95</v>
      </c>
    </row>
    <row r="421" spans="1:8" hidden="1">
      <c r="A421" s="26">
        <v>45939</v>
      </c>
      <c r="B421" s="7" t="s">
        <v>898</v>
      </c>
      <c r="C421" s="35">
        <v>400000</v>
      </c>
      <c r="D421" s="12">
        <v>0</v>
      </c>
      <c r="E421" s="12">
        <f t="shared" si="8"/>
        <v>7232076.5899998546</v>
      </c>
      <c r="F421" s="28" t="s">
        <v>4</v>
      </c>
      <c r="G421" s="8" t="s">
        <v>5</v>
      </c>
      <c r="H421" s="16" t="s">
        <v>1002</v>
      </c>
    </row>
    <row r="422" spans="1:8" hidden="1">
      <c r="A422" s="26">
        <v>45939</v>
      </c>
      <c r="B422" s="7" t="s">
        <v>899</v>
      </c>
      <c r="C422" s="35">
        <v>800000</v>
      </c>
      <c r="D422" s="12">
        <v>0</v>
      </c>
      <c r="E422" s="12">
        <f t="shared" si="8"/>
        <v>6432076.5899998546</v>
      </c>
      <c r="F422" s="28" t="s">
        <v>4</v>
      </c>
      <c r="G422" s="8" t="s">
        <v>5</v>
      </c>
      <c r="H422" s="16" t="s">
        <v>1001</v>
      </c>
    </row>
    <row r="423" spans="1:8" hidden="1">
      <c r="A423" s="26">
        <v>45939</v>
      </c>
      <c r="B423" s="7" t="s">
        <v>900</v>
      </c>
      <c r="C423" s="35">
        <v>910000</v>
      </c>
      <c r="D423" s="12">
        <v>0</v>
      </c>
      <c r="E423" s="12">
        <f t="shared" si="8"/>
        <v>5522076.5899998546</v>
      </c>
      <c r="F423" s="28" t="s">
        <v>28</v>
      </c>
      <c r="G423" s="8" t="s">
        <v>20</v>
      </c>
    </row>
    <row r="424" spans="1:8" hidden="1">
      <c r="A424" s="26">
        <v>45939</v>
      </c>
      <c r="B424" s="7" t="s">
        <v>901</v>
      </c>
      <c r="C424" s="35">
        <v>490000</v>
      </c>
      <c r="D424" s="12">
        <v>0</v>
      </c>
      <c r="E424" s="12">
        <f t="shared" si="8"/>
        <v>5032076.5899998546</v>
      </c>
      <c r="F424" s="28" t="s">
        <v>28</v>
      </c>
      <c r="G424" s="8" t="s">
        <v>20</v>
      </c>
    </row>
    <row r="425" spans="1:8" hidden="1">
      <c r="A425" s="26">
        <v>45939</v>
      </c>
      <c r="B425" s="7" t="s">
        <v>902</v>
      </c>
      <c r="C425" s="35">
        <v>975000</v>
      </c>
      <c r="D425" s="12">
        <v>0</v>
      </c>
      <c r="E425" s="12">
        <f t="shared" si="8"/>
        <v>4057076.5899998546</v>
      </c>
      <c r="F425" s="28" t="s">
        <v>28</v>
      </c>
      <c r="G425" s="8" t="s">
        <v>20</v>
      </c>
    </row>
    <row r="426" spans="1:8" hidden="1">
      <c r="A426" s="26">
        <v>45939</v>
      </c>
      <c r="B426" s="7" t="s">
        <v>903</v>
      </c>
      <c r="C426" s="35">
        <v>1657000</v>
      </c>
      <c r="D426" s="12">
        <v>0</v>
      </c>
      <c r="E426" s="12">
        <f t="shared" si="8"/>
        <v>2400076.5899998546</v>
      </c>
      <c r="F426" s="28" t="s">
        <v>28</v>
      </c>
      <c r="G426" s="8" t="s">
        <v>20</v>
      </c>
    </row>
    <row r="427" spans="1:8" hidden="1">
      <c r="A427" s="26">
        <v>45939</v>
      </c>
      <c r="B427" s="7" t="s">
        <v>904</v>
      </c>
      <c r="C427" s="35">
        <v>400000</v>
      </c>
      <c r="D427" s="12">
        <v>0</v>
      </c>
      <c r="E427" s="12">
        <f t="shared" si="8"/>
        <v>2000076.5899998546</v>
      </c>
      <c r="F427" s="28" t="s">
        <v>4</v>
      </c>
      <c r="G427" s="8" t="s">
        <v>5</v>
      </c>
      <c r="H427" s="16" t="s">
        <v>1002</v>
      </c>
    </row>
    <row r="428" spans="1:8" hidden="1">
      <c r="A428" s="26">
        <v>45939</v>
      </c>
      <c r="B428" s="7" t="s">
        <v>905</v>
      </c>
      <c r="C428" s="35">
        <v>1200000</v>
      </c>
      <c r="D428" s="12">
        <v>0</v>
      </c>
      <c r="E428" s="12">
        <f t="shared" si="8"/>
        <v>800076.58999985456</v>
      </c>
      <c r="F428" s="28" t="s">
        <v>4</v>
      </c>
      <c r="G428" s="8" t="s">
        <v>5</v>
      </c>
      <c r="H428" s="16" t="s">
        <v>1002</v>
      </c>
    </row>
    <row r="429" spans="1:8" hidden="1">
      <c r="A429" s="26">
        <v>45939</v>
      </c>
      <c r="B429" s="7" t="s">
        <v>906</v>
      </c>
      <c r="C429" s="35">
        <v>400000</v>
      </c>
      <c r="D429" s="12">
        <v>0</v>
      </c>
      <c r="E429" s="12">
        <f t="shared" si="8"/>
        <v>400076.58999985456</v>
      </c>
      <c r="F429" s="28" t="s">
        <v>4</v>
      </c>
      <c r="G429" s="8" t="s">
        <v>5</v>
      </c>
      <c r="H429" s="16" t="s">
        <v>1001</v>
      </c>
    </row>
    <row r="430" spans="1:8" hidden="1">
      <c r="A430" s="26">
        <v>45939</v>
      </c>
      <c r="B430" s="7" t="s">
        <v>907</v>
      </c>
      <c r="C430" s="35">
        <v>0</v>
      </c>
      <c r="D430" s="12">
        <v>50000</v>
      </c>
      <c r="E430" s="12">
        <f t="shared" si="8"/>
        <v>450076.58999985456</v>
      </c>
      <c r="F430" t="s">
        <v>6</v>
      </c>
      <c r="G430" s="8" t="s">
        <v>17</v>
      </c>
      <c r="H430" t="s">
        <v>18</v>
      </c>
    </row>
    <row r="431" spans="1:8" hidden="1">
      <c r="A431" s="26">
        <v>45939</v>
      </c>
      <c r="B431" s="7" t="s">
        <v>908</v>
      </c>
      <c r="C431" s="35">
        <v>400000</v>
      </c>
      <c r="D431" s="12">
        <v>0</v>
      </c>
      <c r="E431" s="12">
        <f t="shared" si="8"/>
        <v>50076.589999854565</v>
      </c>
      <c r="F431" s="28" t="s">
        <v>4</v>
      </c>
      <c r="G431" s="8" t="s">
        <v>5</v>
      </c>
      <c r="H431" s="16" t="s">
        <v>1002</v>
      </c>
    </row>
    <row r="432" spans="1:8" hidden="1">
      <c r="A432" s="26">
        <v>45939</v>
      </c>
      <c r="B432" s="7" t="s">
        <v>692</v>
      </c>
      <c r="C432" s="35">
        <v>0</v>
      </c>
      <c r="D432" s="12">
        <v>2500000</v>
      </c>
      <c r="E432" s="12">
        <f t="shared" si="8"/>
        <v>2550076.5899998546</v>
      </c>
      <c r="F432" s="28" t="s">
        <v>186</v>
      </c>
      <c r="G432" t="s">
        <v>95</v>
      </c>
    </row>
    <row r="433" spans="1:8" hidden="1">
      <c r="A433" s="26">
        <v>45943</v>
      </c>
      <c r="B433" s="7" t="s">
        <v>909</v>
      </c>
      <c r="C433" s="35">
        <v>800000</v>
      </c>
      <c r="D433" s="12">
        <v>0</v>
      </c>
      <c r="E433" s="12">
        <f t="shared" si="8"/>
        <v>1750076.5899998546</v>
      </c>
      <c r="F433" s="28" t="s">
        <v>4</v>
      </c>
      <c r="G433" s="8" t="s">
        <v>5</v>
      </c>
      <c r="H433" s="16" t="s">
        <v>1002</v>
      </c>
    </row>
    <row r="434" spans="1:8" hidden="1">
      <c r="A434" s="26">
        <v>45943</v>
      </c>
      <c r="B434" s="7" t="s">
        <v>910</v>
      </c>
      <c r="C434" s="35">
        <v>400000</v>
      </c>
      <c r="D434" s="12">
        <v>0</v>
      </c>
      <c r="E434" s="12">
        <f t="shared" si="8"/>
        <v>1350076.5899998546</v>
      </c>
      <c r="F434" s="28" t="s">
        <v>4</v>
      </c>
      <c r="G434" s="8" t="s">
        <v>5</v>
      </c>
      <c r="H434" s="16" t="s">
        <v>1002</v>
      </c>
    </row>
    <row r="435" spans="1:8" hidden="1">
      <c r="A435" s="26">
        <v>45943</v>
      </c>
      <c r="B435" s="7" t="s">
        <v>911</v>
      </c>
      <c r="C435" s="35">
        <v>450000</v>
      </c>
      <c r="D435" s="12">
        <v>0</v>
      </c>
      <c r="E435" s="12">
        <f t="shared" si="8"/>
        <v>900076.58999985456</v>
      </c>
      <c r="F435" s="28" t="s">
        <v>4</v>
      </c>
      <c r="G435" s="8" t="s">
        <v>5</v>
      </c>
      <c r="H435" s="16" t="s">
        <v>1002</v>
      </c>
    </row>
    <row r="436" spans="1:8" hidden="1">
      <c r="A436" s="26">
        <v>45943</v>
      </c>
      <c r="B436" s="7" t="s">
        <v>912</v>
      </c>
      <c r="C436" s="35">
        <v>150000</v>
      </c>
      <c r="D436" s="12">
        <v>0</v>
      </c>
      <c r="E436" s="12">
        <f t="shared" si="8"/>
        <v>750076.58999985456</v>
      </c>
      <c r="F436" s="28" t="s">
        <v>4</v>
      </c>
      <c r="G436" s="8" t="s">
        <v>5</v>
      </c>
      <c r="H436" s="16" t="s">
        <v>1002</v>
      </c>
    </row>
    <row r="437" spans="1:8" hidden="1">
      <c r="A437" s="26">
        <v>45943</v>
      </c>
      <c r="B437" s="7" t="s">
        <v>913</v>
      </c>
      <c r="C437" s="35">
        <v>300000</v>
      </c>
      <c r="D437" s="12">
        <v>0</v>
      </c>
      <c r="E437" s="12">
        <f t="shared" si="8"/>
        <v>450076.58999985456</v>
      </c>
      <c r="F437" s="28" t="s">
        <v>4</v>
      </c>
      <c r="G437" s="8" t="s">
        <v>5</v>
      </c>
      <c r="H437" s="16" t="s">
        <v>1002</v>
      </c>
    </row>
    <row r="438" spans="1:8" hidden="1">
      <c r="A438" s="26">
        <v>45943</v>
      </c>
      <c r="B438" s="7" t="s">
        <v>914</v>
      </c>
      <c r="C438" s="35">
        <v>400000</v>
      </c>
      <c r="D438" s="12">
        <v>0</v>
      </c>
      <c r="E438" s="12">
        <f t="shared" si="8"/>
        <v>50076.589999854565</v>
      </c>
      <c r="F438" s="28" t="s">
        <v>4</v>
      </c>
      <c r="G438" s="8" t="s">
        <v>5</v>
      </c>
      <c r="H438" s="16" t="s">
        <v>1002</v>
      </c>
    </row>
    <row r="439" spans="1:8" hidden="1">
      <c r="A439" s="26">
        <v>45946</v>
      </c>
      <c r="B439" s="7" t="s">
        <v>692</v>
      </c>
      <c r="C439" s="35">
        <v>0</v>
      </c>
      <c r="D439" s="12">
        <v>13550000</v>
      </c>
      <c r="E439" s="12">
        <f t="shared" si="8"/>
        <v>13600076.589999855</v>
      </c>
      <c r="F439" s="28" t="s">
        <v>186</v>
      </c>
      <c r="G439" t="s">
        <v>95</v>
      </c>
    </row>
    <row r="440" spans="1:8" hidden="1">
      <c r="A440" s="26">
        <v>45946</v>
      </c>
      <c r="B440" s="7" t="s">
        <v>915</v>
      </c>
      <c r="C440" s="35">
        <v>1150000</v>
      </c>
      <c r="D440" s="12">
        <v>0</v>
      </c>
      <c r="E440" s="12">
        <f t="shared" si="8"/>
        <v>12450076.589999855</v>
      </c>
      <c r="F440" s="28" t="s">
        <v>4</v>
      </c>
      <c r="G440" s="8" t="s">
        <v>5</v>
      </c>
      <c r="H440" s="16" t="s">
        <v>1002</v>
      </c>
    </row>
    <row r="441" spans="1:8" hidden="1">
      <c r="A441" s="26">
        <v>45946</v>
      </c>
      <c r="B441" s="7" t="s">
        <v>916</v>
      </c>
      <c r="C441" s="35">
        <v>500000</v>
      </c>
      <c r="D441" s="12">
        <v>0</v>
      </c>
      <c r="E441" s="12">
        <f t="shared" ref="E441:E504" si="9">E440-C441+D441</f>
        <v>11950076.589999855</v>
      </c>
      <c r="F441" s="28" t="s">
        <v>4</v>
      </c>
      <c r="G441" s="8" t="s">
        <v>5</v>
      </c>
      <c r="H441" s="16" t="s">
        <v>1002</v>
      </c>
    </row>
    <row r="442" spans="1:8" hidden="1">
      <c r="A442" s="26">
        <v>45947</v>
      </c>
      <c r="B442" s="7" t="s">
        <v>917</v>
      </c>
      <c r="C442" s="35">
        <v>2300000</v>
      </c>
      <c r="D442" s="12">
        <v>0</v>
      </c>
      <c r="E442" s="12">
        <f t="shared" si="9"/>
        <v>9650076.5899998546</v>
      </c>
      <c r="F442" s="28" t="s">
        <v>4</v>
      </c>
      <c r="G442" s="8" t="s">
        <v>5</v>
      </c>
      <c r="H442" s="16" t="s">
        <v>1002</v>
      </c>
    </row>
    <row r="443" spans="1:8" hidden="1">
      <c r="A443" s="26">
        <v>45947</v>
      </c>
      <c r="B443" s="7" t="s">
        <v>918</v>
      </c>
      <c r="C443" s="35">
        <v>2750000</v>
      </c>
      <c r="D443" s="12">
        <v>0</v>
      </c>
      <c r="E443" s="12">
        <f t="shared" si="9"/>
        <v>6900076.5899998546</v>
      </c>
      <c r="F443" s="28" t="s">
        <v>4</v>
      </c>
      <c r="G443" s="8" t="s">
        <v>5</v>
      </c>
      <c r="H443" s="16" t="s">
        <v>1002</v>
      </c>
    </row>
    <row r="444" spans="1:8" hidden="1">
      <c r="A444" s="26">
        <v>45947</v>
      </c>
      <c r="B444" s="7" t="s">
        <v>919</v>
      </c>
      <c r="C444" s="35">
        <v>1200000</v>
      </c>
      <c r="D444" s="12">
        <v>0</v>
      </c>
      <c r="E444" s="12">
        <f t="shared" si="9"/>
        <v>5700076.5899998546</v>
      </c>
      <c r="F444" s="28" t="s">
        <v>4</v>
      </c>
      <c r="G444" s="8" t="s">
        <v>5</v>
      </c>
      <c r="H444" s="16" t="s">
        <v>1002</v>
      </c>
    </row>
    <row r="445" spans="1:8" hidden="1">
      <c r="A445" s="26">
        <v>45947</v>
      </c>
      <c r="B445" s="7" t="s">
        <v>920</v>
      </c>
      <c r="C445" s="35">
        <v>400000</v>
      </c>
      <c r="D445" s="12">
        <v>0</v>
      </c>
      <c r="E445" s="12">
        <f t="shared" si="9"/>
        <v>5300076.5899998546</v>
      </c>
      <c r="F445" s="28" t="s">
        <v>4</v>
      </c>
      <c r="G445" s="8" t="s">
        <v>5</v>
      </c>
      <c r="H445" s="16" t="s">
        <v>1002</v>
      </c>
    </row>
    <row r="446" spans="1:8" hidden="1">
      <c r="A446" s="26">
        <v>45947</v>
      </c>
      <c r="B446" s="7" t="s">
        <v>921</v>
      </c>
      <c r="C446" s="35">
        <v>1750000</v>
      </c>
      <c r="D446" s="12">
        <v>0</v>
      </c>
      <c r="E446" s="12">
        <f t="shared" si="9"/>
        <v>3550076.5899998546</v>
      </c>
      <c r="F446" s="28" t="s">
        <v>4</v>
      </c>
      <c r="G446" s="8" t="s">
        <v>5</v>
      </c>
      <c r="H446" s="16" t="s">
        <v>1002</v>
      </c>
    </row>
    <row r="447" spans="1:8" hidden="1">
      <c r="A447" s="26">
        <v>45947</v>
      </c>
      <c r="B447" s="7" t="s">
        <v>922</v>
      </c>
      <c r="C447" s="35">
        <v>800000</v>
      </c>
      <c r="D447" s="12">
        <v>0</v>
      </c>
      <c r="E447" s="12">
        <f t="shared" si="9"/>
        <v>2750076.5899998546</v>
      </c>
      <c r="F447" s="28" t="s">
        <v>4</v>
      </c>
      <c r="G447" s="8" t="s">
        <v>5</v>
      </c>
      <c r="H447" s="16" t="s">
        <v>1002</v>
      </c>
    </row>
    <row r="448" spans="1:8" hidden="1">
      <c r="A448" s="26">
        <v>45947</v>
      </c>
      <c r="B448" s="7" t="s">
        <v>923</v>
      </c>
      <c r="C448" s="35">
        <v>400000</v>
      </c>
      <c r="D448" s="12">
        <v>0</v>
      </c>
      <c r="E448" s="12">
        <f t="shared" si="9"/>
        <v>2350076.5899998546</v>
      </c>
      <c r="F448" s="28" t="s">
        <v>4</v>
      </c>
      <c r="G448" s="8" t="s">
        <v>5</v>
      </c>
      <c r="H448" s="16" t="s">
        <v>1001</v>
      </c>
    </row>
    <row r="449" spans="1:9" hidden="1">
      <c r="A449" s="26">
        <v>45947</v>
      </c>
      <c r="B449" s="7" t="s">
        <v>924</v>
      </c>
      <c r="C449" s="35">
        <v>550000</v>
      </c>
      <c r="D449" s="12">
        <v>0</v>
      </c>
      <c r="E449" s="12">
        <f t="shared" si="9"/>
        <v>1800076.5899998546</v>
      </c>
      <c r="F449" s="28" t="s">
        <v>15</v>
      </c>
      <c r="G449" s="8" t="s">
        <v>49</v>
      </c>
    </row>
    <row r="450" spans="1:9" hidden="1">
      <c r="A450" s="26">
        <v>45947</v>
      </c>
      <c r="B450" s="7" t="s">
        <v>925</v>
      </c>
      <c r="C450" s="35">
        <v>1750000</v>
      </c>
      <c r="D450" s="12">
        <v>0</v>
      </c>
      <c r="E450" s="12">
        <f t="shared" si="9"/>
        <v>50076.589999854565</v>
      </c>
      <c r="F450" s="28" t="s">
        <v>4</v>
      </c>
      <c r="G450" s="8" t="s">
        <v>5</v>
      </c>
      <c r="H450" s="16" t="s">
        <v>1002</v>
      </c>
    </row>
    <row r="451" spans="1:9" hidden="1">
      <c r="A451" s="26">
        <v>45947</v>
      </c>
      <c r="B451" s="7" t="s">
        <v>73</v>
      </c>
      <c r="C451" s="35">
        <v>20000</v>
      </c>
      <c r="D451" s="12">
        <v>0</v>
      </c>
      <c r="E451" s="12">
        <f t="shared" si="9"/>
        <v>30076.589999854565</v>
      </c>
      <c r="F451" s="28" t="s">
        <v>14</v>
      </c>
      <c r="G451" s="8" t="s">
        <v>50</v>
      </c>
    </row>
    <row r="452" spans="1:9" s="8" customFormat="1" hidden="1">
      <c r="A452" s="11">
        <v>45953</v>
      </c>
      <c r="B452" s="78" t="s">
        <v>926</v>
      </c>
      <c r="C452" s="12">
        <v>0</v>
      </c>
      <c r="D452" s="12">
        <v>100000000</v>
      </c>
      <c r="E452" s="12">
        <f t="shared" si="9"/>
        <v>100030076.58999985</v>
      </c>
      <c r="F452" s="28" t="s">
        <v>514</v>
      </c>
      <c r="G452" s="8" t="s">
        <v>515</v>
      </c>
      <c r="H452" s="8" t="s">
        <v>296</v>
      </c>
      <c r="I452" s="8" t="s">
        <v>1027</v>
      </c>
    </row>
    <row r="453" spans="1:9" s="8" customFormat="1" hidden="1">
      <c r="A453" s="11">
        <v>45953</v>
      </c>
      <c r="B453" s="78" t="s">
        <v>926</v>
      </c>
      <c r="C453" s="12">
        <v>0</v>
      </c>
      <c r="D453" s="12">
        <v>100000000</v>
      </c>
      <c r="E453" s="12">
        <f t="shared" si="9"/>
        <v>200030076.58999985</v>
      </c>
      <c r="F453" s="28" t="s">
        <v>514</v>
      </c>
      <c r="G453" s="8" t="s">
        <v>515</v>
      </c>
      <c r="H453" s="8" t="s">
        <v>296</v>
      </c>
      <c r="I453" s="8" t="s">
        <v>1027</v>
      </c>
    </row>
    <row r="454" spans="1:9" s="8" customFormat="1" hidden="1">
      <c r="A454" s="11">
        <v>45953</v>
      </c>
      <c r="B454" s="78" t="s">
        <v>926</v>
      </c>
      <c r="C454" s="12">
        <v>0</v>
      </c>
      <c r="D454" s="12">
        <v>100000000</v>
      </c>
      <c r="E454" s="12">
        <f t="shared" si="9"/>
        <v>300030076.58999985</v>
      </c>
      <c r="F454" s="28" t="s">
        <v>514</v>
      </c>
      <c r="G454" s="8" t="s">
        <v>515</v>
      </c>
      <c r="H454" s="8" t="s">
        <v>296</v>
      </c>
      <c r="I454" s="8" t="s">
        <v>1027</v>
      </c>
    </row>
    <row r="455" spans="1:9" s="8" customFormat="1" hidden="1">
      <c r="A455" s="11">
        <v>45953</v>
      </c>
      <c r="B455" s="78" t="s">
        <v>926</v>
      </c>
      <c r="C455" s="12">
        <v>0</v>
      </c>
      <c r="D455" s="12">
        <v>100000000</v>
      </c>
      <c r="E455" s="12">
        <f t="shared" si="9"/>
        <v>400030076.58999985</v>
      </c>
      <c r="F455" s="28" t="s">
        <v>514</v>
      </c>
      <c r="G455" s="8" t="s">
        <v>515</v>
      </c>
      <c r="H455" s="8" t="s">
        <v>296</v>
      </c>
      <c r="I455" s="8" t="s">
        <v>1027</v>
      </c>
    </row>
    <row r="456" spans="1:9" s="8" customFormat="1" hidden="1">
      <c r="A456" s="11">
        <v>45953</v>
      </c>
      <c r="B456" s="78" t="s">
        <v>926</v>
      </c>
      <c r="C456" s="12">
        <v>0</v>
      </c>
      <c r="D456" s="12">
        <v>100000000</v>
      </c>
      <c r="E456" s="12">
        <f t="shared" si="9"/>
        <v>500030076.58999985</v>
      </c>
      <c r="F456" s="28" t="s">
        <v>514</v>
      </c>
      <c r="G456" s="8" t="s">
        <v>515</v>
      </c>
      <c r="H456" s="8" t="s">
        <v>296</v>
      </c>
      <c r="I456" s="8" t="s">
        <v>1027</v>
      </c>
    </row>
    <row r="457" spans="1:9" s="8" customFormat="1" hidden="1">
      <c r="A457" s="11">
        <v>45953</v>
      </c>
      <c r="B457" s="78" t="s">
        <v>926</v>
      </c>
      <c r="C457" s="12">
        <v>0</v>
      </c>
      <c r="D457" s="12">
        <v>100000000</v>
      </c>
      <c r="E457" s="12">
        <f t="shared" si="9"/>
        <v>600030076.58999991</v>
      </c>
      <c r="F457" s="28" t="s">
        <v>514</v>
      </c>
      <c r="G457" s="8" t="s">
        <v>515</v>
      </c>
      <c r="H457" s="8" t="s">
        <v>296</v>
      </c>
      <c r="I457" s="8" t="s">
        <v>1027</v>
      </c>
    </row>
    <row r="458" spans="1:9" s="8" customFormat="1" hidden="1">
      <c r="A458" s="11">
        <v>45953</v>
      </c>
      <c r="B458" s="78" t="s">
        <v>926</v>
      </c>
      <c r="C458" s="12">
        <v>0</v>
      </c>
      <c r="D458" s="12">
        <v>100000000</v>
      </c>
      <c r="E458" s="12">
        <f t="shared" si="9"/>
        <v>700030076.58999991</v>
      </c>
      <c r="F458" s="28" t="s">
        <v>514</v>
      </c>
      <c r="G458" s="8" t="s">
        <v>515</v>
      </c>
      <c r="H458" s="8" t="s">
        <v>296</v>
      </c>
      <c r="I458" s="8" t="s">
        <v>1027</v>
      </c>
    </row>
    <row r="459" spans="1:9" s="8" customFormat="1" hidden="1">
      <c r="A459" s="11">
        <v>45953</v>
      </c>
      <c r="B459" s="78" t="s">
        <v>926</v>
      </c>
      <c r="C459" s="12">
        <v>0</v>
      </c>
      <c r="D459" s="12">
        <v>100000000</v>
      </c>
      <c r="E459" s="12">
        <f t="shared" si="9"/>
        <v>800030076.58999991</v>
      </c>
      <c r="F459" s="28" t="s">
        <v>514</v>
      </c>
      <c r="G459" s="8" t="s">
        <v>515</v>
      </c>
      <c r="H459" s="8" t="s">
        <v>296</v>
      </c>
      <c r="I459" s="8" t="s">
        <v>1027</v>
      </c>
    </row>
    <row r="460" spans="1:9" s="8" customFormat="1" hidden="1">
      <c r="A460" s="11">
        <v>45953</v>
      </c>
      <c r="B460" s="78" t="s">
        <v>926</v>
      </c>
      <c r="C460" s="12">
        <v>0</v>
      </c>
      <c r="D460" s="12">
        <v>100000000</v>
      </c>
      <c r="E460" s="12">
        <f t="shared" si="9"/>
        <v>900030076.58999991</v>
      </c>
      <c r="F460" s="28" t="s">
        <v>514</v>
      </c>
      <c r="G460" s="8" t="s">
        <v>515</v>
      </c>
      <c r="H460" s="8" t="s">
        <v>296</v>
      </c>
      <c r="I460" s="8" t="s">
        <v>1027</v>
      </c>
    </row>
    <row r="461" spans="1:9" s="8" customFormat="1" hidden="1">
      <c r="A461" s="11">
        <v>45953</v>
      </c>
      <c r="B461" s="78" t="s">
        <v>926</v>
      </c>
      <c r="C461" s="12">
        <v>0</v>
      </c>
      <c r="D461" s="12">
        <v>100000000</v>
      </c>
      <c r="E461" s="12">
        <f t="shared" si="9"/>
        <v>1000030076.5899999</v>
      </c>
      <c r="F461" s="28" t="s">
        <v>514</v>
      </c>
      <c r="G461" s="8" t="s">
        <v>515</v>
      </c>
      <c r="H461" s="8" t="s">
        <v>296</v>
      </c>
      <c r="I461" s="8" t="s">
        <v>1027</v>
      </c>
    </row>
    <row r="462" spans="1:9" hidden="1">
      <c r="A462" s="26">
        <v>45953</v>
      </c>
      <c r="B462" s="7" t="s">
        <v>927</v>
      </c>
      <c r="C462" s="35">
        <v>2000000</v>
      </c>
      <c r="D462" s="12">
        <v>0</v>
      </c>
      <c r="E462" s="12">
        <f t="shared" si="9"/>
        <v>998030076.58999991</v>
      </c>
      <c r="F462" s="28" t="s">
        <v>4</v>
      </c>
      <c r="G462" s="8" t="s">
        <v>5</v>
      </c>
      <c r="H462" s="16" t="s">
        <v>1002</v>
      </c>
    </row>
    <row r="463" spans="1:9" hidden="1">
      <c r="A463" s="26">
        <v>45953</v>
      </c>
      <c r="B463" s="7" t="s">
        <v>928</v>
      </c>
      <c r="C463" s="35">
        <v>400000</v>
      </c>
      <c r="D463" s="12">
        <v>0</v>
      </c>
      <c r="E463" s="12">
        <f t="shared" si="9"/>
        <v>997630076.58999991</v>
      </c>
      <c r="F463" s="28" t="s">
        <v>4</v>
      </c>
      <c r="G463" s="8" t="s">
        <v>5</v>
      </c>
      <c r="H463" s="16" t="s">
        <v>1002</v>
      </c>
    </row>
    <row r="464" spans="1:9" hidden="1">
      <c r="A464" s="26">
        <v>45953</v>
      </c>
      <c r="B464" s="7" t="s">
        <v>929</v>
      </c>
      <c r="C464" s="35">
        <v>2250000</v>
      </c>
      <c r="D464" s="12">
        <v>0</v>
      </c>
      <c r="E464" s="12">
        <f t="shared" si="9"/>
        <v>995380076.58999991</v>
      </c>
      <c r="F464" s="28" t="s">
        <v>4</v>
      </c>
      <c r="G464" s="8" t="s">
        <v>5</v>
      </c>
      <c r="H464" s="16" t="s">
        <v>1002</v>
      </c>
    </row>
    <row r="465" spans="1:9" hidden="1">
      <c r="A465" s="26">
        <v>45953</v>
      </c>
      <c r="B465" s="7" t="s">
        <v>930</v>
      </c>
      <c r="C465" s="35">
        <v>800000</v>
      </c>
      <c r="D465" s="12">
        <v>0</v>
      </c>
      <c r="E465" s="12">
        <f t="shared" si="9"/>
        <v>994580076.58999991</v>
      </c>
      <c r="F465" s="28" t="s">
        <v>4</v>
      </c>
      <c r="G465" s="8" t="s">
        <v>5</v>
      </c>
      <c r="H465" s="16" t="s">
        <v>1002</v>
      </c>
    </row>
    <row r="466" spans="1:9" hidden="1">
      <c r="A466" s="26">
        <v>45953</v>
      </c>
      <c r="B466" s="7" t="s">
        <v>931</v>
      </c>
      <c r="C466" s="35">
        <v>3000000</v>
      </c>
      <c r="D466" s="12">
        <v>0</v>
      </c>
      <c r="E466" s="12">
        <f t="shared" si="9"/>
        <v>991580076.58999991</v>
      </c>
      <c r="F466" s="28" t="s">
        <v>4</v>
      </c>
      <c r="G466" s="8" t="s">
        <v>5</v>
      </c>
      <c r="H466" s="16" t="s">
        <v>1002</v>
      </c>
    </row>
    <row r="467" spans="1:9" hidden="1">
      <c r="A467" s="26">
        <v>45953</v>
      </c>
      <c r="B467" s="7" t="s">
        <v>932</v>
      </c>
      <c r="C467" s="35">
        <v>3000000</v>
      </c>
      <c r="D467" s="12">
        <v>0</v>
      </c>
      <c r="E467" s="12">
        <f t="shared" si="9"/>
        <v>988580076.58999991</v>
      </c>
      <c r="F467" s="28" t="s">
        <v>4</v>
      </c>
      <c r="G467" s="8" t="s">
        <v>5</v>
      </c>
      <c r="H467" s="16" t="s">
        <v>1002</v>
      </c>
    </row>
    <row r="468" spans="1:9" hidden="1">
      <c r="A468" s="26">
        <v>45953</v>
      </c>
      <c r="B468" s="7" t="s">
        <v>933</v>
      </c>
      <c r="C468" s="35">
        <v>14341126</v>
      </c>
      <c r="D468" s="12">
        <v>0</v>
      </c>
      <c r="E468" s="12">
        <f t="shared" si="9"/>
        <v>974238950.58999991</v>
      </c>
      <c r="F468" s="28" t="s">
        <v>28</v>
      </c>
      <c r="G468" s="8" t="s">
        <v>32</v>
      </c>
      <c r="H468" t="s">
        <v>69</v>
      </c>
    </row>
    <row r="469" spans="1:9" hidden="1">
      <c r="A469" s="26">
        <v>45953</v>
      </c>
      <c r="B469" s="7" t="s">
        <v>896</v>
      </c>
      <c r="C469" s="35">
        <v>250000000</v>
      </c>
      <c r="D469" s="12">
        <v>0</v>
      </c>
      <c r="E469" s="12">
        <f t="shared" si="9"/>
        <v>724238950.58999991</v>
      </c>
      <c r="F469" s="28" t="s">
        <v>186</v>
      </c>
      <c r="G469" s="8" t="s">
        <v>1030</v>
      </c>
    </row>
    <row r="470" spans="1:9" hidden="1">
      <c r="A470" s="26">
        <v>45953</v>
      </c>
      <c r="B470" s="7" t="s">
        <v>897</v>
      </c>
      <c r="C470" s="35">
        <v>2500</v>
      </c>
      <c r="D470" s="12">
        <v>0</v>
      </c>
      <c r="E470" s="12">
        <f t="shared" si="9"/>
        <v>724236450.58999991</v>
      </c>
      <c r="F470" s="28" t="s">
        <v>14</v>
      </c>
      <c r="G470" s="8" t="s">
        <v>50</v>
      </c>
    </row>
    <row r="471" spans="1:9" hidden="1">
      <c r="A471" s="26">
        <v>45954</v>
      </c>
      <c r="B471" s="7" t="s">
        <v>896</v>
      </c>
      <c r="C471" s="35">
        <v>250000000</v>
      </c>
      <c r="D471" s="12">
        <v>0</v>
      </c>
      <c r="E471" s="12">
        <f t="shared" si="9"/>
        <v>474236450.58999991</v>
      </c>
      <c r="F471" s="28" t="s">
        <v>186</v>
      </c>
      <c r="G471" s="8" t="s">
        <v>1030</v>
      </c>
    </row>
    <row r="472" spans="1:9" hidden="1">
      <c r="A472" s="26">
        <v>45954</v>
      </c>
      <c r="B472" s="7" t="s">
        <v>897</v>
      </c>
      <c r="C472" s="35">
        <v>2500</v>
      </c>
      <c r="D472" s="12">
        <v>0</v>
      </c>
      <c r="E472" s="12">
        <f t="shared" si="9"/>
        <v>474233950.58999991</v>
      </c>
      <c r="F472" s="28" t="s">
        <v>14</v>
      </c>
      <c r="G472" s="8" t="s">
        <v>50</v>
      </c>
    </row>
    <row r="473" spans="1:9" hidden="1">
      <c r="A473" s="26">
        <v>45954</v>
      </c>
      <c r="B473" s="7" t="s">
        <v>896</v>
      </c>
      <c r="C473" s="35">
        <v>250000000</v>
      </c>
      <c r="D473" s="12">
        <v>0</v>
      </c>
      <c r="E473" s="12">
        <f t="shared" si="9"/>
        <v>224233950.58999991</v>
      </c>
      <c r="F473" s="28" t="s">
        <v>186</v>
      </c>
      <c r="G473" s="8" t="s">
        <v>1030</v>
      </c>
    </row>
    <row r="474" spans="1:9" hidden="1">
      <c r="A474" s="26">
        <v>45954</v>
      </c>
      <c r="B474" s="7" t="s">
        <v>897</v>
      </c>
      <c r="C474" s="35">
        <v>2500</v>
      </c>
      <c r="D474" s="12">
        <v>0</v>
      </c>
      <c r="E474" s="12">
        <f t="shared" si="9"/>
        <v>224231450.58999991</v>
      </c>
      <c r="F474" s="28" t="s">
        <v>14</v>
      </c>
      <c r="G474" s="8" t="s">
        <v>50</v>
      </c>
    </row>
    <row r="475" spans="1:9" s="8" customFormat="1" hidden="1">
      <c r="A475" s="11">
        <v>45955</v>
      </c>
      <c r="B475" s="78" t="s">
        <v>926</v>
      </c>
      <c r="C475" s="12">
        <v>0</v>
      </c>
      <c r="D475" s="12">
        <v>100000000</v>
      </c>
      <c r="E475" s="12">
        <f t="shared" si="9"/>
        <v>324231450.58999991</v>
      </c>
      <c r="F475" s="28" t="s">
        <v>514</v>
      </c>
      <c r="G475" s="8" t="s">
        <v>515</v>
      </c>
      <c r="H475" s="8" t="s">
        <v>296</v>
      </c>
      <c r="I475" s="8" t="s">
        <v>1027</v>
      </c>
    </row>
    <row r="476" spans="1:9" s="8" customFormat="1" hidden="1">
      <c r="A476" s="11">
        <v>45955</v>
      </c>
      <c r="B476" s="78" t="s">
        <v>926</v>
      </c>
      <c r="C476" s="12">
        <v>0</v>
      </c>
      <c r="D476" s="12">
        <v>100000000</v>
      </c>
      <c r="E476" s="12">
        <f t="shared" si="9"/>
        <v>424231450.58999991</v>
      </c>
      <c r="F476" s="28" t="s">
        <v>514</v>
      </c>
      <c r="G476" s="8" t="s">
        <v>515</v>
      </c>
      <c r="H476" s="8" t="s">
        <v>296</v>
      </c>
      <c r="I476" s="8" t="s">
        <v>1027</v>
      </c>
    </row>
    <row r="477" spans="1:9" s="8" customFormat="1" hidden="1">
      <c r="A477" s="11">
        <v>45955</v>
      </c>
      <c r="B477" s="78" t="s">
        <v>926</v>
      </c>
      <c r="C477" s="12">
        <v>0</v>
      </c>
      <c r="D477" s="12">
        <v>100000000</v>
      </c>
      <c r="E477" s="12">
        <f t="shared" si="9"/>
        <v>524231450.58999991</v>
      </c>
      <c r="F477" s="28" t="s">
        <v>514</v>
      </c>
      <c r="G477" s="8" t="s">
        <v>515</v>
      </c>
      <c r="H477" s="8" t="s">
        <v>296</v>
      </c>
      <c r="I477" s="8" t="s">
        <v>1027</v>
      </c>
    </row>
    <row r="478" spans="1:9" s="8" customFormat="1" hidden="1">
      <c r="A478" s="11">
        <v>45955</v>
      </c>
      <c r="B478" s="78" t="s">
        <v>926</v>
      </c>
      <c r="C478" s="12">
        <v>0</v>
      </c>
      <c r="D478" s="12">
        <v>100000000</v>
      </c>
      <c r="E478" s="12">
        <f t="shared" si="9"/>
        <v>624231450.58999991</v>
      </c>
      <c r="F478" s="28" t="s">
        <v>514</v>
      </c>
      <c r="G478" s="8" t="s">
        <v>515</v>
      </c>
      <c r="H478" s="8" t="s">
        <v>296</v>
      </c>
      <c r="I478" s="8" t="s">
        <v>1027</v>
      </c>
    </row>
    <row r="479" spans="1:9" s="8" customFormat="1" hidden="1">
      <c r="A479" s="11">
        <v>45955</v>
      </c>
      <c r="B479" s="78" t="s">
        <v>926</v>
      </c>
      <c r="C479" s="12">
        <v>0</v>
      </c>
      <c r="D479" s="12">
        <v>100000000</v>
      </c>
      <c r="E479" s="12">
        <f t="shared" si="9"/>
        <v>724231450.58999991</v>
      </c>
      <c r="F479" s="28" t="s">
        <v>514</v>
      </c>
      <c r="G479" s="8" t="s">
        <v>515</v>
      </c>
      <c r="H479" s="8" t="s">
        <v>296</v>
      </c>
      <c r="I479" s="8" t="s">
        <v>1027</v>
      </c>
    </row>
    <row r="480" spans="1:9" s="8" customFormat="1" hidden="1">
      <c r="A480" s="11">
        <v>45955</v>
      </c>
      <c r="B480" s="78" t="s">
        <v>926</v>
      </c>
      <c r="C480" s="12">
        <v>0</v>
      </c>
      <c r="D480" s="12">
        <v>100000000</v>
      </c>
      <c r="E480" s="12">
        <f t="shared" si="9"/>
        <v>824231450.58999991</v>
      </c>
      <c r="F480" s="28" t="s">
        <v>514</v>
      </c>
      <c r="G480" s="8" t="s">
        <v>515</v>
      </c>
      <c r="H480" s="8" t="s">
        <v>296</v>
      </c>
      <c r="I480" s="8" t="s">
        <v>1027</v>
      </c>
    </row>
    <row r="481" spans="1:9" s="8" customFormat="1" hidden="1">
      <c r="A481" s="11">
        <v>45955</v>
      </c>
      <c r="B481" s="78" t="s">
        <v>926</v>
      </c>
      <c r="C481" s="12">
        <v>0</v>
      </c>
      <c r="D481" s="12">
        <v>100000000</v>
      </c>
      <c r="E481" s="12">
        <f t="shared" si="9"/>
        <v>924231450.58999991</v>
      </c>
      <c r="F481" s="28" t="s">
        <v>514</v>
      </c>
      <c r="G481" s="8" t="s">
        <v>515</v>
      </c>
      <c r="H481" s="8" t="s">
        <v>296</v>
      </c>
      <c r="I481" s="8" t="s">
        <v>1027</v>
      </c>
    </row>
    <row r="482" spans="1:9" s="8" customFormat="1" hidden="1">
      <c r="A482" s="11">
        <v>45955</v>
      </c>
      <c r="B482" s="78" t="s">
        <v>926</v>
      </c>
      <c r="C482" s="12">
        <v>0</v>
      </c>
      <c r="D482" s="12">
        <v>100000000</v>
      </c>
      <c r="E482" s="12">
        <f t="shared" si="9"/>
        <v>1024231450.5899999</v>
      </c>
      <c r="F482" s="28" t="s">
        <v>514</v>
      </c>
      <c r="G482" s="8" t="s">
        <v>515</v>
      </c>
      <c r="H482" s="8" t="s">
        <v>296</v>
      </c>
      <c r="I482" s="8" t="s">
        <v>1027</v>
      </c>
    </row>
    <row r="483" spans="1:9" s="8" customFormat="1" hidden="1">
      <c r="A483" s="11">
        <v>45955</v>
      </c>
      <c r="B483" s="78" t="s">
        <v>926</v>
      </c>
      <c r="C483" s="12">
        <v>0</v>
      </c>
      <c r="D483" s="12">
        <v>100000000</v>
      </c>
      <c r="E483" s="12">
        <f t="shared" si="9"/>
        <v>1124231450.5899999</v>
      </c>
      <c r="F483" s="28" t="s">
        <v>514</v>
      </c>
      <c r="G483" s="8" t="s">
        <v>515</v>
      </c>
      <c r="H483" s="8" t="s">
        <v>296</v>
      </c>
      <c r="I483" s="8" t="s">
        <v>1027</v>
      </c>
    </row>
    <row r="484" spans="1:9" s="8" customFormat="1" hidden="1">
      <c r="A484" s="11">
        <v>45955</v>
      </c>
      <c r="B484" s="78" t="s">
        <v>926</v>
      </c>
      <c r="C484" s="12">
        <v>0</v>
      </c>
      <c r="D484" s="12">
        <v>100000000</v>
      </c>
      <c r="E484" s="12">
        <f t="shared" si="9"/>
        <v>1224231450.5899999</v>
      </c>
      <c r="F484" s="28" t="s">
        <v>514</v>
      </c>
      <c r="G484" s="8" t="s">
        <v>515</v>
      </c>
      <c r="H484" s="8" t="s">
        <v>296</v>
      </c>
      <c r="I484" s="8" t="s">
        <v>1027</v>
      </c>
    </row>
    <row r="485" spans="1:9" hidden="1">
      <c r="A485" s="26">
        <v>45957</v>
      </c>
      <c r="B485" s="7" t="s">
        <v>934</v>
      </c>
      <c r="C485" s="35">
        <v>250000000</v>
      </c>
      <c r="D485" s="12">
        <v>0</v>
      </c>
      <c r="E485" s="12">
        <f t="shared" si="9"/>
        <v>974231450.58999991</v>
      </c>
      <c r="F485" s="28" t="s">
        <v>186</v>
      </c>
      <c r="G485" t="s">
        <v>131</v>
      </c>
    </row>
    <row r="486" spans="1:9" hidden="1">
      <c r="A486" s="26">
        <v>45957</v>
      </c>
      <c r="B486" s="7" t="s">
        <v>935</v>
      </c>
      <c r="C486" s="35">
        <v>2500</v>
      </c>
      <c r="D486" s="12">
        <v>0</v>
      </c>
      <c r="E486" s="12">
        <f t="shared" si="9"/>
        <v>974228950.58999991</v>
      </c>
      <c r="F486" s="28" t="s">
        <v>14</v>
      </c>
      <c r="G486" s="8" t="s">
        <v>50</v>
      </c>
    </row>
    <row r="487" spans="1:9" hidden="1">
      <c r="A487" s="26">
        <v>45957</v>
      </c>
      <c r="B487" s="7" t="s">
        <v>934</v>
      </c>
      <c r="C487" s="35">
        <v>250000000</v>
      </c>
      <c r="D487" s="12">
        <v>0</v>
      </c>
      <c r="E487" s="12">
        <f t="shared" si="9"/>
        <v>724228950.58999991</v>
      </c>
      <c r="F487" s="28" t="s">
        <v>186</v>
      </c>
      <c r="G487" t="s">
        <v>131</v>
      </c>
    </row>
    <row r="488" spans="1:9" hidden="1">
      <c r="A488" s="26">
        <v>45957</v>
      </c>
      <c r="B488" s="7" t="s">
        <v>935</v>
      </c>
      <c r="C488" s="35">
        <v>2500</v>
      </c>
      <c r="D488" s="12">
        <v>0</v>
      </c>
      <c r="E488" s="12">
        <f t="shared" si="9"/>
        <v>724226450.58999991</v>
      </c>
      <c r="F488" s="28" t="s">
        <v>14</v>
      </c>
      <c r="G488" s="8" t="s">
        <v>50</v>
      </c>
    </row>
    <row r="489" spans="1:9" s="8" customFormat="1" hidden="1">
      <c r="A489" s="11">
        <v>45957</v>
      </c>
      <c r="B489" s="78" t="s">
        <v>1036</v>
      </c>
      <c r="C489" s="21">
        <v>0</v>
      </c>
      <c r="D489" s="21">
        <v>37500000</v>
      </c>
      <c r="E489" s="21">
        <f t="shared" si="9"/>
        <v>761726450.58999991</v>
      </c>
      <c r="F489" s="32" t="s">
        <v>9</v>
      </c>
      <c r="G489" s="8" t="s">
        <v>124</v>
      </c>
      <c r="H489" s="8" t="s">
        <v>998</v>
      </c>
      <c r="I489" s="8" t="s">
        <v>19</v>
      </c>
    </row>
    <row r="490" spans="1:9" hidden="1">
      <c r="A490" s="26">
        <v>45958</v>
      </c>
      <c r="B490" s="7" t="s">
        <v>934</v>
      </c>
      <c r="C490" s="35">
        <v>250000000</v>
      </c>
      <c r="D490" s="12">
        <v>0</v>
      </c>
      <c r="E490" s="12">
        <f t="shared" si="9"/>
        <v>511726450.58999991</v>
      </c>
      <c r="F490" s="28" t="s">
        <v>186</v>
      </c>
      <c r="G490" t="s">
        <v>131</v>
      </c>
    </row>
    <row r="491" spans="1:9" hidden="1">
      <c r="A491" s="26">
        <v>45958</v>
      </c>
      <c r="B491" s="7" t="s">
        <v>935</v>
      </c>
      <c r="C491" s="35">
        <v>2500</v>
      </c>
      <c r="D491" s="12">
        <v>0</v>
      </c>
      <c r="E491" s="12">
        <f t="shared" si="9"/>
        <v>511723950.58999991</v>
      </c>
      <c r="F491" s="28" t="s">
        <v>14</v>
      </c>
      <c r="G491" s="8" t="s">
        <v>50</v>
      </c>
    </row>
    <row r="492" spans="1:9" hidden="1">
      <c r="A492" s="26">
        <v>45958</v>
      </c>
      <c r="B492" s="7" t="s">
        <v>934</v>
      </c>
      <c r="C492" s="35">
        <v>250000000</v>
      </c>
      <c r="D492" s="12">
        <v>0</v>
      </c>
      <c r="E492" s="12">
        <f t="shared" si="9"/>
        <v>261723950.58999991</v>
      </c>
      <c r="F492" s="28" t="s">
        <v>186</v>
      </c>
      <c r="G492" t="s">
        <v>131</v>
      </c>
    </row>
    <row r="493" spans="1:9" hidden="1">
      <c r="A493" s="26">
        <v>45958</v>
      </c>
      <c r="B493" s="7" t="s">
        <v>935</v>
      </c>
      <c r="C493" s="35">
        <v>2500</v>
      </c>
      <c r="D493" s="12">
        <v>0</v>
      </c>
      <c r="E493" s="12">
        <f t="shared" si="9"/>
        <v>261721450.58999991</v>
      </c>
      <c r="F493" s="28" t="s">
        <v>14</v>
      </c>
      <c r="G493" s="8" t="s">
        <v>50</v>
      </c>
    </row>
    <row r="494" spans="1:9" hidden="1">
      <c r="A494" s="26">
        <v>45958</v>
      </c>
      <c r="B494" s="7" t="s">
        <v>936</v>
      </c>
      <c r="C494" s="35">
        <v>0</v>
      </c>
      <c r="D494" s="12">
        <v>6015550</v>
      </c>
      <c r="E494" s="12">
        <f t="shared" si="9"/>
        <v>267737000.58999991</v>
      </c>
      <c r="F494" s="28" t="s">
        <v>186</v>
      </c>
      <c r="G494" s="8" t="s">
        <v>136</v>
      </c>
      <c r="H494" t="s">
        <v>1058</v>
      </c>
    </row>
    <row r="495" spans="1:9" hidden="1">
      <c r="A495" s="26">
        <v>45959</v>
      </c>
      <c r="B495" s="7" t="s">
        <v>937</v>
      </c>
      <c r="C495" s="35">
        <v>2000000</v>
      </c>
      <c r="D495" s="12">
        <v>0</v>
      </c>
      <c r="E495" s="12">
        <f t="shared" si="9"/>
        <v>265737000.58999991</v>
      </c>
      <c r="F495" s="28" t="s">
        <v>28</v>
      </c>
      <c r="G495" s="8" t="s">
        <v>16</v>
      </c>
    </row>
    <row r="496" spans="1:9" hidden="1">
      <c r="A496" s="26">
        <v>45959</v>
      </c>
      <c r="B496" s="7" t="s">
        <v>938</v>
      </c>
      <c r="C496" s="35">
        <v>73000000</v>
      </c>
      <c r="D496" s="12">
        <v>0</v>
      </c>
      <c r="E496" s="12">
        <f t="shared" si="9"/>
        <v>192737000.58999991</v>
      </c>
      <c r="F496" s="28" t="s">
        <v>28</v>
      </c>
      <c r="G496" s="8" t="s">
        <v>16</v>
      </c>
    </row>
    <row r="497" spans="1:9" hidden="1">
      <c r="A497" s="26">
        <v>45959</v>
      </c>
      <c r="B497" s="7" t="s">
        <v>214</v>
      </c>
      <c r="C497" s="35">
        <v>0</v>
      </c>
      <c r="D497" s="12">
        <v>2000000</v>
      </c>
      <c r="E497" s="12">
        <f t="shared" si="9"/>
        <v>194737000.58999991</v>
      </c>
      <c r="F497" s="28" t="s">
        <v>9</v>
      </c>
      <c r="G497" s="8" t="s">
        <v>33</v>
      </c>
      <c r="H497" s="38" t="s">
        <v>10</v>
      </c>
    </row>
    <row r="498" spans="1:9" hidden="1">
      <c r="A498" s="26">
        <v>45959</v>
      </c>
      <c r="B498" s="7" t="s">
        <v>215</v>
      </c>
      <c r="C498" s="35">
        <v>0</v>
      </c>
      <c r="D498" s="12">
        <v>2000000</v>
      </c>
      <c r="E498" s="12">
        <f t="shared" si="9"/>
        <v>196737000.58999991</v>
      </c>
      <c r="F498" s="28" t="s">
        <v>9</v>
      </c>
      <c r="G498" s="8" t="s">
        <v>33</v>
      </c>
      <c r="H498" s="38" t="s">
        <v>26</v>
      </c>
    </row>
    <row r="499" spans="1:9" hidden="1">
      <c r="A499" s="26">
        <v>45959</v>
      </c>
      <c r="B499" s="7" t="s">
        <v>97</v>
      </c>
      <c r="C499" s="35">
        <v>0</v>
      </c>
      <c r="D499" s="12">
        <v>500000</v>
      </c>
      <c r="E499" s="12">
        <f t="shared" si="9"/>
        <v>197237000.58999991</v>
      </c>
      <c r="F499" s="28" t="s">
        <v>9</v>
      </c>
      <c r="G499" s="8" t="s">
        <v>33</v>
      </c>
      <c r="H499" s="38" t="s">
        <v>45</v>
      </c>
    </row>
    <row r="500" spans="1:9" s="8" customFormat="1" hidden="1">
      <c r="A500" s="11">
        <v>45959</v>
      </c>
      <c r="B500" s="78" t="s">
        <v>926</v>
      </c>
      <c r="C500" s="12">
        <v>0</v>
      </c>
      <c r="D500" s="12">
        <v>85000000</v>
      </c>
      <c r="E500" s="12">
        <f t="shared" si="9"/>
        <v>282237000.58999991</v>
      </c>
      <c r="F500" s="28" t="s">
        <v>514</v>
      </c>
      <c r="G500" s="8" t="s">
        <v>515</v>
      </c>
      <c r="H500" s="8" t="s">
        <v>296</v>
      </c>
      <c r="I500" s="8" t="s">
        <v>1027</v>
      </c>
    </row>
    <row r="501" spans="1:9" s="8" customFormat="1" hidden="1">
      <c r="A501" s="11">
        <v>45959</v>
      </c>
      <c r="B501" s="78" t="s">
        <v>926</v>
      </c>
      <c r="C501" s="12">
        <v>0</v>
      </c>
      <c r="D501" s="12">
        <v>100000000</v>
      </c>
      <c r="E501" s="12">
        <f t="shared" si="9"/>
        <v>382237000.58999991</v>
      </c>
      <c r="F501" s="28" t="s">
        <v>514</v>
      </c>
      <c r="G501" s="8" t="s">
        <v>515</v>
      </c>
      <c r="H501" s="8" t="s">
        <v>296</v>
      </c>
      <c r="I501" s="8" t="s">
        <v>1027</v>
      </c>
    </row>
    <row r="502" spans="1:9" s="8" customFormat="1" hidden="1">
      <c r="A502" s="11">
        <v>45959</v>
      </c>
      <c r="B502" s="78" t="s">
        <v>926</v>
      </c>
      <c r="C502" s="12">
        <v>0</v>
      </c>
      <c r="D502" s="12">
        <v>100000000</v>
      </c>
      <c r="E502" s="12">
        <f t="shared" si="9"/>
        <v>482237000.58999991</v>
      </c>
      <c r="F502" s="28" t="s">
        <v>514</v>
      </c>
      <c r="G502" s="8" t="s">
        <v>515</v>
      </c>
      <c r="H502" s="8" t="s">
        <v>296</v>
      </c>
      <c r="I502" s="8" t="s">
        <v>1027</v>
      </c>
    </row>
    <row r="503" spans="1:9" s="8" customFormat="1" hidden="1">
      <c r="A503" s="11">
        <v>45959</v>
      </c>
      <c r="B503" s="78" t="s">
        <v>926</v>
      </c>
      <c r="C503" s="12">
        <v>0</v>
      </c>
      <c r="D503" s="12">
        <v>100000000</v>
      </c>
      <c r="E503" s="12">
        <f t="shared" si="9"/>
        <v>582237000.58999991</v>
      </c>
      <c r="F503" s="28" t="s">
        <v>514</v>
      </c>
      <c r="G503" s="8" t="s">
        <v>515</v>
      </c>
      <c r="H503" s="8" t="s">
        <v>296</v>
      </c>
      <c r="I503" s="8" t="s">
        <v>1027</v>
      </c>
    </row>
    <row r="504" spans="1:9" s="8" customFormat="1" hidden="1">
      <c r="A504" s="11">
        <v>45959</v>
      </c>
      <c r="B504" s="78" t="s">
        <v>926</v>
      </c>
      <c r="C504" s="12">
        <v>0</v>
      </c>
      <c r="D504" s="12">
        <v>100000000</v>
      </c>
      <c r="E504" s="12">
        <f t="shared" si="9"/>
        <v>682237000.58999991</v>
      </c>
      <c r="F504" s="28" t="s">
        <v>514</v>
      </c>
      <c r="G504" s="8" t="s">
        <v>515</v>
      </c>
      <c r="H504" s="8" t="s">
        <v>296</v>
      </c>
      <c r="I504" s="8" t="s">
        <v>1027</v>
      </c>
    </row>
    <row r="505" spans="1:9" s="8" customFormat="1" hidden="1">
      <c r="A505" s="11">
        <v>45959</v>
      </c>
      <c r="B505" s="78" t="s">
        <v>926</v>
      </c>
      <c r="C505" s="12">
        <v>0</v>
      </c>
      <c r="D505" s="12">
        <v>100000000</v>
      </c>
      <c r="E505" s="12">
        <f t="shared" ref="E505:E526" si="10">E504-C505+D505</f>
        <v>782237000.58999991</v>
      </c>
      <c r="F505" s="28" t="s">
        <v>514</v>
      </c>
      <c r="G505" s="8" t="s">
        <v>515</v>
      </c>
      <c r="H505" s="8" t="s">
        <v>296</v>
      </c>
      <c r="I505" s="8" t="s">
        <v>1027</v>
      </c>
    </row>
    <row r="506" spans="1:9" s="8" customFormat="1" hidden="1">
      <c r="A506" s="11">
        <v>45959</v>
      </c>
      <c r="B506" s="78" t="s">
        <v>926</v>
      </c>
      <c r="C506" s="12">
        <v>0</v>
      </c>
      <c r="D506" s="12">
        <v>100000000</v>
      </c>
      <c r="E506" s="12">
        <f t="shared" si="10"/>
        <v>882237000.58999991</v>
      </c>
      <c r="F506" s="28" t="s">
        <v>514</v>
      </c>
      <c r="G506" s="8" t="s">
        <v>515</v>
      </c>
      <c r="H506" s="8" t="s">
        <v>296</v>
      </c>
      <c r="I506" s="8" t="s">
        <v>1027</v>
      </c>
    </row>
    <row r="507" spans="1:9" s="8" customFormat="1" hidden="1">
      <c r="A507" s="11">
        <v>45959</v>
      </c>
      <c r="B507" s="78" t="s">
        <v>926</v>
      </c>
      <c r="C507" s="12">
        <v>0</v>
      </c>
      <c r="D507" s="12">
        <v>100000000</v>
      </c>
      <c r="E507" s="12">
        <f t="shared" si="10"/>
        <v>982237000.58999991</v>
      </c>
      <c r="F507" s="28" t="s">
        <v>514</v>
      </c>
      <c r="G507" s="8" t="s">
        <v>515</v>
      </c>
      <c r="H507" s="8" t="s">
        <v>296</v>
      </c>
      <c r="I507" s="8" t="s">
        <v>1027</v>
      </c>
    </row>
    <row r="508" spans="1:9" s="8" customFormat="1" hidden="1">
      <c r="A508" s="11">
        <v>45959</v>
      </c>
      <c r="B508" s="78" t="s">
        <v>926</v>
      </c>
      <c r="C508" s="12">
        <v>0</v>
      </c>
      <c r="D508" s="12">
        <v>100000000</v>
      </c>
      <c r="E508" s="12">
        <f t="shared" si="10"/>
        <v>1082237000.5899999</v>
      </c>
      <c r="F508" s="28" t="s">
        <v>514</v>
      </c>
      <c r="G508" s="8" t="s">
        <v>515</v>
      </c>
      <c r="H508" s="8" t="s">
        <v>296</v>
      </c>
      <c r="I508" s="8" t="s">
        <v>1027</v>
      </c>
    </row>
    <row r="509" spans="1:9" s="8" customFormat="1" hidden="1">
      <c r="A509" s="11">
        <v>45959</v>
      </c>
      <c r="B509" s="78" t="s">
        <v>926</v>
      </c>
      <c r="C509" s="12">
        <v>0</v>
      </c>
      <c r="D509" s="12">
        <v>100000000</v>
      </c>
      <c r="E509" s="12">
        <f t="shared" si="10"/>
        <v>1182237000.5899999</v>
      </c>
      <c r="F509" s="28" t="s">
        <v>514</v>
      </c>
      <c r="G509" s="8" t="s">
        <v>515</v>
      </c>
      <c r="H509" s="8" t="s">
        <v>296</v>
      </c>
      <c r="I509" s="8" t="s">
        <v>1027</v>
      </c>
    </row>
    <row r="510" spans="1:9" hidden="1">
      <c r="A510" s="26">
        <v>45959</v>
      </c>
      <c r="B510" s="7" t="s">
        <v>939</v>
      </c>
      <c r="C510" s="35">
        <v>300000000</v>
      </c>
      <c r="D510" s="12">
        <v>0</v>
      </c>
      <c r="E510" s="12">
        <f t="shared" si="10"/>
        <v>882237000.58999991</v>
      </c>
      <c r="F510" s="28" t="s">
        <v>9</v>
      </c>
      <c r="G510" s="8" t="s">
        <v>33</v>
      </c>
      <c r="H510" s="38" t="s">
        <v>24</v>
      </c>
    </row>
    <row r="511" spans="1:9" hidden="1">
      <c r="A511" s="26">
        <v>45960</v>
      </c>
      <c r="B511" s="7" t="s">
        <v>934</v>
      </c>
      <c r="C511" s="35">
        <v>250000000</v>
      </c>
      <c r="D511" s="12">
        <v>0</v>
      </c>
      <c r="E511" s="12">
        <f t="shared" si="10"/>
        <v>632237000.58999991</v>
      </c>
      <c r="F511" s="28" t="s">
        <v>186</v>
      </c>
      <c r="G511" t="s">
        <v>131</v>
      </c>
    </row>
    <row r="512" spans="1:9" hidden="1">
      <c r="A512" s="26">
        <v>45960</v>
      </c>
      <c r="B512" s="7" t="s">
        <v>935</v>
      </c>
      <c r="C512" s="35">
        <v>2500</v>
      </c>
      <c r="D512" s="12">
        <v>0</v>
      </c>
      <c r="E512" s="12">
        <f t="shared" si="10"/>
        <v>632234500.58999991</v>
      </c>
      <c r="F512" s="28" t="s">
        <v>14</v>
      </c>
      <c r="G512" s="8" t="s">
        <v>50</v>
      </c>
    </row>
    <row r="513" spans="1:9" hidden="1">
      <c r="A513" s="26">
        <v>45960</v>
      </c>
      <c r="B513" s="7" t="s">
        <v>934</v>
      </c>
      <c r="C513" s="35">
        <v>250000000</v>
      </c>
      <c r="D513" s="12">
        <v>0</v>
      </c>
      <c r="E513" s="12">
        <f t="shared" si="10"/>
        <v>382234500.58999991</v>
      </c>
      <c r="F513" s="28" t="s">
        <v>186</v>
      </c>
      <c r="G513" t="s">
        <v>131</v>
      </c>
    </row>
    <row r="514" spans="1:9" hidden="1">
      <c r="A514" s="26">
        <v>45960</v>
      </c>
      <c r="B514" s="7" t="s">
        <v>935</v>
      </c>
      <c r="C514" s="35">
        <v>2500</v>
      </c>
      <c r="D514" s="12">
        <v>0</v>
      </c>
      <c r="E514" s="12">
        <f t="shared" si="10"/>
        <v>382232000.58999991</v>
      </c>
      <c r="F514" s="28" t="s">
        <v>14</v>
      </c>
      <c r="G514" s="8" t="s">
        <v>50</v>
      </c>
    </row>
    <row r="515" spans="1:9" hidden="1">
      <c r="A515" s="26">
        <v>45960</v>
      </c>
      <c r="B515" s="7" t="s">
        <v>940</v>
      </c>
      <c r="C515" s="35">
        <v>0</v>
      </c>
      <c r="D515" s="12">
        <v>7586640</v>
      </c>
      <c r="E515" s="12">
        <f t="shared" si="10"/>
        <v>389818640.58999991</v>
      </c>
      <c r="F515" s="28" t="s">
        <v>514</v>
      </c>
      <c r="G515" s="8" t="s">
        <v>515</v>
      </c>
      <c r="H515" t="s">
        <v>121</v>
      </c>
      <c r="I515" t="s">
        <v>991</v>
      </c>
    </row>
    <row r="516" spans="1:9" hidden="1">
      <c r="A516" s="26">
        <v>45961</v>
      </c>
      <c r="B516" s="7" t="s">
        <v>934</v>
      </c>
      <c r="C516" s="35">
        <v>250000000</v>
      </c>
      <c r="D516" s="12">
        <v>0</v>
      </c>
      <c r="E516" s="12">
        <f t="shared" si="10"/>
        <v>139818640.58999991</v>
      </c>
      <c r="F516" s="28" t="s">
        <v>186</v>
      </c>
      <c r="G516" t="s">
        <v>131</v>
      </c>
    </row>
    <row r="517" spans="1:9" hidden="1">
      <c r="A517" s="26">
        <v>45961</v>
      </c>
      <c r="B517" s="7" t="s">
        <v>935</v>
      </c>
      <c r="C517" s="35">
        <v>2500</v>
      </c>
      <c r="D517" s="12">
        <v>0</v>
      </c>
      <c r="E517" s="12">
        <f t="shared" si="10"/>
        <v>139816140.58999991</v>
      </c>
      <c r="F517" s="28" t="s">
        <v>14</v>
      </c>
      <c r="G517" s="8" t="s">
        <v>50</v>
      </c>
    </row>
    <row r="518" spans="1:9" hidden="1">
      <c r="A518" s="26">
        <v>45961</v>
      </c>
      <c r="B518" s="7" t="s">
        <v>941</v>
      </c>
      <c r="C518" s="35">
        <v>3500000</v>
      </c>
      <c r="D518" s="12">
        <v>0</v>
      </c>
      <c r="E518" s="12">
        <f t="shared" si="10"/>
        <v>136316140.58999991</v>
      </c>
      <c r="F518" s="28" t="s">
        <v>4</v>
      </c>
      <c r="G518" s="8" t="s">
        <v>5</v>
      </c>
      <c r="H518" s="16" t="s">
        <v>849</v>
      </c>
    </row>
    <row r="519" spans="1:9" hidden="1">
      <c r="A519" s="26">
        <v>45961</v>
      </c>
      <c r="B519" s="7" t="s">
        <v>942</v>
      </c>
      <c r="C519" s="35">
        <v>2500000</v>
      </c>
      <c r="D519" s="12">
        <v>0</v>
      </c>
      <c r="E519" s="12">
        <f t="shared" si="10"/>
        <v>133816140.58999991</v>
      </c>
      <c r="F519" s="28" t="s">
        <v>4</v>
      </c>
      <c r="G519" s="8" t="s">
        <v>5</v>
      </c>
      <c r="H519" s="16" t="s">
        <v>298</v>
      </c>
    </row>
    <row r="520" spans="1:9" hidden="1">
      <c r="A520" s="26">
        <v>45961</v>
      </c>
      <c r="B520" s="7" t="s">
        <v>943</v>
      </c>
      <c r="C520" s="35">
        <v>3500000</v>
      </c>
      <c r="D520" s="12">
        <v>0</v>
      </c>
      <c r="E520" s="12">
        <f t="shared" si="10"/>
        <v>130316140.58999991</v>
      </c>
      <c r="F520" s="28" t="s">
        <v>4</v>
      </c>
      <c r="G520" s="8" t="s">
        <v>5</v>
      </c>
      <c r="H520" s="16" t="s">
        <v>452</v>
      </c>
    </row>
    <row r="521" spans="1:9" hidden="1">
      <c r="A521" s="26">
        <v>45961</v>
      </c>
      <c r="B521" s="7" t="s">
        <v>944</v>
      </c>
      <c r="C521" s="36">
        <v>2050000</v>
      </c>
      <c r="D521" s="21">
        <v>0</v>
      </c>
      <c r="E521" s="21">
        <f t="shared" si="10"/>
        <v>128266140.58999991</v>
      </c>
      <c r="F521" s="8" t="s">
        <v>9</v>
      </c>
      <c r="G521" s="8" t="s">
        <v>124</v>
      </c>
      <c r="H521" s="16" t="s">
        <v>1000</v>
      </c>
      <c r="I521" t="s">
        <v>19</v>
      </c>
    </row>
    <row r="522" spans="1:9" hidden="1">
      <c r="A522" s="26">
        <v>45961</v>
      </c>
      <c r="B522" s="7" t="s">
        <v>945</v>
      </c>
      <c r="C522" s="36">
        <v>2050000</v>
      </c>
      <c r="D522" s="21">
        <v>0</v>
      </c>
      <c r="E522" s="21">
        <f t="shared" si="10"/>
        <v>126216140.58999991</v>
      </c>
      <c r="F522" s="8" t="s">
        <v>9</v>
      </c>
      <c r="G522" s="8" t="s">
        <v>124</v>
      </c>
      <c r="H522" s="16" t="s">
        <v>1000</v>
      </c>
      <c r="I522" t="s">
        <v>19</v>
      </c>
    </row>
    <row r="523" spans="1:9" hidden="1">
      <c r="A523" s="26">
        <v>45961</v>
      </c>
      <c r="B523" s="7" t="s">
        <v>946</v>
      </c>
      <c r="C523" s="36">
        <v>2050000</v>
      </c>
      <c r="D523" s="21">
        <v>0</v>
      </c>
      <c r="E523" s="21">
        <f t="shared" si="10"/>
        <v>124166140.58999991</v>
      </c>
      <c r="F523" s="8" t="s">
        <v>9</v>
      </c>
      <c r="G523" s="8" t="s">
        <v>124</v>
      </c>
      <c r="H523" s="16" t="s">
        <v>1000</v>
      </c>
      <c r="I523" t="s">
        <v>19</v>
      </c>
    </row>
    <row r="524" spans="1:9" hidden="1">
      <c r="A524" s="26">
        <v>45961</v>
      </c>
      <c r="B524" s="7" t="s">
        <v>75</v>
      </c>
      <c r="C524" s="35">
        <v>0</v>
      </c>
      <c r="D524" s="12">
        <v>2148.91</v>
      </c>
      <c r="E524" s="12">
        <f t="shared" si="10"/>
        <v>124168289.49999991</v>
      </c>
      <c r="F524" s="28" t="s">
        <v>252</v>
      </c>
      <c r="G524" s="8" t="s">
        <v>34</v>
      </c>
    </row>
    <row r="525" spans="1:9" hidden="1">
      <c r="A525" s="26">
        <v>45961</v>
      </c>
      <c r="B525" s="7" t="s">
        <v>76</v>
      </c>
      <c r="C525" s="35">
        <v>429.78</v>
      </c>
      <c r="D525" s="12">
        <v>0</v>
      </c>
      <c r="E525" s="12">
        <f t="shared" si="10"/>
        <v>124167859.71999991</v>
      </c>
      <c r="F525" s="28" t="s">
        <v>252</v>
      </c>
      <c r="G525" s="8" t="s">
        <v>34</v>
      </c>
    </row>
    <row r="526" spans="1:9" hidden="1">
      <c r="A526" s="26">
        <v>45966</v>
      </c>
      <c r="B526" s="7" t="s">
        <v>1006</v>
      </c>
      <c r="C526" s="35">
        <v>1700000</v>
      </c>
      <c r="D526" s="12">
        <v>0</v>
      </c>
      <c r="E526" s="12">
        <f t="shared" si="10"/>
        <v>122467859.71999991</v>
      </c>
      <c r="F526" s="28" t="s">
        <v>4</v>
      </c>
      <c r="G526" s="8" t="s">
        <v>5</v>
      </c>
      <c r="H526" s="16" t="s">
        <v>989</v>
      </c>
    </row>
    <row r="527" spans="1:9" hidden="1">
      <c r="A527" s="26">
        <v>45966</v>
      </c>
      <c r="B527" s="7" t="s">
        <v>1007</v>
      </c>
      <c r="C527" s="36">
        <v>450000</v>
      </c>
      <c r="D527" s="21">
        <v>0</v>
      </c>
      <c r="E527" s="21">
        <f t="shared" ref="E527:E592" si="11">E526-C527+D527</f>
        <v>122017859.71999991</v>
      </c>
      <c r="F527" s="8" t="s">
        <v>9</v>
      </c>
      <c r="G527" s="8" t="s">
        <v>124</v>
      </c>
      <c r="H527" s="16" t="s">
        <v>787</v>
      </c>
      <c r="I527" t="s">
        <v>19</v>
      </c>
    </row>
    <row r="528" spans="1:9" hidden="1">
      <c r="A528" s="26">
        <v>45966</v>
      </c>
      <c r="B528" s="7" t="s">
        <v>1008</v>
      </c>
      <c r="C528" s="35">
        <v>1400000</v>
      </c>
      <c r="D528" s="12">
        <v>0</v>
      </c>
      <c r="E528" s="12">
        <f t="shared" si="11"/>
        <v>120617859.71999991</v>
      </c>
      <c r="F528" s="28" t="s">
        <v>4</v>
      </c>
      <c r="G528" s="8" t="s">
        <v>5</v>
      </c>
      <c r="H528" s="16" t="s">
        <v>989</v>
      </c>
    </row>
    <row r="529" spans="1:9" hidden="1">
      <c r="A529" s="26">
        <v>45966</v>
      </c>
      <c r="B529" s="7" t="s">
        <v>1009</v>
      </c>
      <c r="C529" s="35">
        <v>400000</v>
      </c>
      <c r="D529" s="12">
        <v>0</v>
      </c>
      <c r="E529" s="12">
        <f t="shared" si="11"/>
        <v>120217859.71999991</v>
      </c>
      <c r="F529" s="28" t="s">
        <v>4</v>
      </c>
      <c r="G529" s="8" t="s">
        <v>5</v>
      </c>
      <c r="H529" s="16" t="s">
        <v>986</v>
      </c>
      <c r="I529" t="s">
        <v>19</v>
      </c>
    </row>
    <row r="530" spans="1:9" hidden="1">
      <c r="A530" s="26">
        <v>45966</v>
      </c>
      <c r="B530" s="7" t="s">
        <v>1010</v>
      </c>
      <c r="C530" s="35">
        <v>3272728</v>
      </c>
      <c r="D530" s="12">
        <v>0</v>
      </c>
      <c r="E530" s="12">
        <f t="shared" si="11"/>
        <v>116945131.71999991</v>
      </c>
      <c r="F530" s="28" t="s">
        <v>28</v>
      </c>
      <c r="G530" s="8" t="s">
        <v>16</v>
      </c>
    </row>
    <row r="531" spans="1:9" hidden="1">
      <c r="A531" s="26">
        <v>45967</v>
      </c>
      <c r="B531" s="7" t="s">
        <v>896</v>
      </c>
      <c r="C531" s="35">
        <v>115000000</v>
      </c>
      <c r="D531" s="12">
        <v>0</v>
      </c>
      <c r="E531" s="12">
        <f t="shared" si="11"/>
        <v>1945131.7199999094</v>
      </c>
      <c r="F531" s="28" t="s">
        <v>186</v>
      </c>
      <c r="G531" s="25" t="s">
        <v>1030</v>
      </c>
    </row>
    <row r="532" spans="1:9" hidden="1">
      <c r="A532" s="26">
        <v>45967</v>
      </c>
      <c r="B532" s="7" t="s">
        <v>897</v>
      </c>
      <c r="C532" s="35">
        <v>2500</v>
      </c>
      <c r="D532" s="12">
        <v>0</v>
      </c>
      <c r="E532" s="12">
        <f t="shared" si="11"/>
        <v>1942631.7199999094</v>
      </c>
      <c r="F532" s="28" t="s">
        <v>14</v>
      </c>
      <c r="G532" s="8" t="s">
        <v>50</v>
      </c>
    </row>
    <row r="533" spans="1:9" s="8" customFormat="1" hidden="1">
      <c r="A533" s="11">
        <v>45973</v>
      </c>
      <c r="B533" s="78" t="s">
        <v>1011</v>
      </c>
      <c r="C533" s="12">
        <v>500000</v>
      </c>
      <c r="D533" s="12">
        <v>0</v>
      </c>
      <c r="E533" s="12">
        <f t="shared" si="11"/>
        <v>1442631.7199999094</v>
      </c>
      <c r="F533" s="8" t="s">
        <v>4</v>
      </c>
      <c r="G533" s="8" t="s">
        <v>5</v>
      </c>
      <c r="H533" s="8" t="s">
        <v>1060</v>
      </c>
      <c r="I533" s="8" t="s">
        <v>19</v>
      </c>
    </row>
    <row r="534" spans="1:9" s="8" customFormat="1" hidden="1">
      <c r="A534" s="11">
        <v>45973</v>
      </c>
      <c r="B534" s="78" t="s">
        <v>1012</v>
      </c>
      <c r="C534" s="12">
        <v>400000</v>
      </c>
      <c r="D534" s="12">
        <v>0</v>
      </c>
      <c r="E534" s="12">
        <f t="shared" si="11"/>
        <v>1042631.7199999094</v>
      </c>
      <c r="F534" s="8" t="s">
        <v>4</v>
      </c>
      <c r="G534" s="8" t="s">
        <v>5</v>
      </c>
      <c r="H534" s="8" t="s">
        <v>1060</v>
      </c>
      <c r="I534" s="8" t="s">
        <v>19</v>
      </c>
    </row>
    <row r="535" spans="1:9" hidden="1">
      <c r="A535" s="26">
        <v>45973</v>
      </c>
      <c r="B535" s="7" t="s">
        <v>1013</v>
      </c>
      <c r="C535" s="35">
        <v>0</v>
      </c>
      <c r="D535" s="12">
        <v>6000000</v>
      </c>
      <c r="E535" s="12">
        <f t="shared" si="11"/>
        <v>7042631.7199999094</v>
      </c>
      <c r="F535" t="s">
        <v>6</v>
      </c>
      <c r="G535" s="8" t="s">
        <v>17</v>
      </c>
      <c r="H535" t="s">
        <v>1005</v>
      </c>
    </row>
    <row r="536" spans="1:9" hidden="1">
      <c r="A536" s="26">
        <v>45973</v>
      </c>
      <c r="B536" s="7" t="s">
        <v>1014</v>
      </c>
      <c r="C536" s="35">
        <v>705000</v>
      </c>
      <c r="D536" s="12">
        <v>0</v>
      </c>
      <c r="E536" s="12">
        <f t="shared" si="11"/>
        <v>6337631.7199999094</v>
      </c>
      <c r="F536" s="28" t="s">
        <v>28</v>
      </c>
      <c r="G536" s="8" t="s">
        <v>20</v>
      </c>
    </row>
    <row r="537" spans="1:9" hidden="1">
      <c r="A537" s="26">
        <v>45973</v>
      </c>
      <c r="B537" s="7" t="s">
        <v>1015</v>
      </c>
      <c r="C537" s="35">
        <v>700000</v>
      </c>
      <c r="D537" s="12">
        <v>0</v>
      </c>
      <c r="E537" s="12">
        <f t="shared" si="11"/>
        <v>5637631.7199999094</v>
      </c>
      <c r="F537" s="28" t="s">
        <v>28</v>
      </c>
      <c r="G537" s="8" t="s">
        <v>20</v>
      </c>
    </row>
    <row r="538" spans="1:9" hidden="1">
      <c r="A538" s="26">
        <v>45973</v>
      </c>
      <c r="B538" s="7" t="s">
        <v>1016</v>
      </c>
      <c r="C538" s="35">
        <v>1960000</v>
      </c>
      <c r="D538" s="12">
        <v>0</v>
      </c>
      <c r="E538" s="12">
        <f t="shared" si="11"/>
        <v>3677631.7199999094</v>
      </c>
      <c r="F538" s="28" t="s">
        <v>28</v>
      </c>
      <c r="G538" s="8" t="s">
        <v>20</v>
      </c>
    </row>
    <row r="539" spans="1:9" hidden="1">
      <c r="A539" s="26">
        <v>45973</v>
      </c>
      <c r="B539" s="7" t="s">
        <v>1017</v>
      </c>
      <c r="C539" s="35">
        <v>1080000</v>
      </c>
      <c r="D539" s="12">
        <v>0</v>
      </c>
      <c r="E539" s="12">
        <f t="shared" si="11"/>
        <v>2597631.7199999094</v>
      </c>
      <c r="F539" s="28" t="s">
        <v>28</v>
      </c>
      <c r="G539" s="8" t="s">
        <v>20</v>
      </c>
    </row>
    <row r="540" spans="1:9" hidden="1">
      <c r="A540" s="26">
        <v>45973</v>
      </c>
      <c r="B540" s="7" t="s">
        <v>1018</v>
      </c>
      <c r="C540" s="35">
        <v>1400000</v>
      </c>
      <c r="D540" s="12">
        <v>0</v>
      </c>
      <c r="E540" s="12">
        <f t="shared" si="11"/>
        <v>1197631.7199999094</v>
      </c>
      <c r="F540" s="28" t="s">
        <v>4</v>
      </c>
      <c r="G540" s="8" t="s">
        <v>5</v>
      </c>
      <c r="H540" s="16" t="s">
        <v>989</v>
      </c>
    </row>
    <row r="541" spans="1:9" s="8" customFormat="1" hidden="1">
      <c r="A541" s="11">
        <v>45973</v>
      </c>
      <c r="B541" s="78" t="s">
        <v>1019</v>
      </c>
      <c r="C541" s="12">
        <v>1000000</v>
      </c>
      <c r="D541" s="12">
        <v>0</v>
      </c>
      <c r="E541" s="12">
        <f t="shared" si="11"/>
        <v>197631.7199999094</v>
      </c>
      <c r="F541" t="s">
        <v>6</v>
      </c>
      <c r="G541" s="8" t="s">
        <v>7</v>
      </c>
      <c r="H541" s="8" t="s">
        <v>1063</v>
      </c>
      <c r="I541" s="8" t="s">
        <v>19</v>
      </c>
    </row>
    <row r="542" spans="1:9" s="8" customFormat="1" hidden="1">
      <c r="A542" s="11">
        <v>45974</v>
      </c>
      <c r="B542" s="78" t="s">
        <v>1071</v>
      </c>
      <c r="C542" s="12">
        <v>0</v>
      </c>
      <c r="D542" s="12">
        <v>20170000</v>
      </c>
      <c r="E542" s="12">
        <f t="shared" si="11"/>
        <v>20367631.719999909</v>
      </c>
      <c r="F542" t="s">
        <v>252</v>
      </c>
      <c r="G542" s="8" t="s">
        <v>51</v>
      </c>
    </row>
    <row r="543" spans="1:9" s="8" customFormat="1" hidden="1">
      <c r="A543" s="11">
        <v>45975</v>
      </c>
      <c r="B543" s="78" t="s">
        <v>1020</v>
      </c>
      <c r="C543" s="12">
        <v>400000</v>
      </c>
      <c r="D543" s="12">
        <v>0</v>
      </c>
      <c r="E543" s="12">
        <f t="shared" si="11"/>
        <v>19967631.719999909</v>
      </c>
      <c r="F543" s="8" t="s">
        <v>4</v>
      </c>
      <c r="G543" s="8" t="s">
        <v>5</v>
      </c>
      <c r="H543" s="8" t="s">
        <v>1060</v>
      </c>
      <c r="I543" s="8" t="s">
        <v>19</v>
      </c>
    </row>
    <row r="544" spans="1:9" s="8" customFormat="1" hidden="1">
      <c r="A544" s="11">
        <v>45975</v>
      </c>
      <c r="B544" s="78" t="s">
        <v>1021</v>
      </c>
      <c r="C544" s="12">
        <v>400000</v>
      </c>
      <c r="D544" s="12">
        <v>0</v>
      </c>
      <c r="E544" s="12">
        <f t="shared" si="11"/>
        <v>19567631.719999909</v>
      </c>
      <c r="F544" s="8" t="s">
        <v>4</v>
      </c>
      <c r="G544" s="8" t="s">
        <v>5</v>
      </c>
      <c r="H544" s="8" t="s">
        <v>1060</v>
      </c>
      <c r="I544" s="8" t="s">
        <v>19</v>
      </c>
    </row>
    <row r="545" spans="1:9" s="8" customFormat="1" hidden="1">
      <c r="A545" s="11">
        <v>45975</v>
      </c>
      <c r="B545" s="78" t="s">
        <v>1022</v>
      </c>
      <c r="C545" s="12">
        <v>400000</v>
      </c>
      <c r="D545" s="12">
        <v>0</v>
      </c>
      <c r="E545" s="12">
        <f t="shared" si="11"/>
        <v>19167631.719999909</v>
      </c>
      <c r="F545" s="8" t="s">
        <v>4</v>
      </c>
      <c r="G545" s="8" t="s">
        <v>5</v>
      </c>
      <c r="H545" s="8" t="s">
        <v>1060</v>
      </c>
      <c r="I545" s="8" t="s">
        <v>19</v>
      </c>
    </row>
    <row r="546" spans="1:9" s="8" customFormat="1" hidden="1">
      <c r="A546" s="11">
        <v>45975</v>
      </c>
      <c r="B546" s="78" t="s">
        <v>1023</v>
      </c>
      <c r="C546" s="12">
        <v>400000</v>
      </c>
      <c r="D546" s="12">
        <v>0</v>
      </c>
      <c r="E546" s="12">
        <f t="shared" si="11"/>
        <v>18767631.719999909</v>
      </c>
      <c r="F546" s="8" t="s">
        <v>4</v>
      </c>
      <c r="G546" s="8" t="s">
        <v>5</v>
      </c>
      <c r="H546" s="8" t="s">
        <v>1060</v>
      </c>
      <c r="I546" s="8" t="s">
        <v>19</v>
      </c>
    </row>
    <row r="547" spans="1:9" s="8" customFormat="1" hidden="1">
      <c r="A547" s="11">
        <v>45975</v>
      </c>
      <c r="B547" s="78" t="s">
        <v>1024</v>
      </c>
      <c r="C547" s="12">
        <v>150000</v>
      </c>
      <c r="D547" s="12">
        <v>0</v>
      </c>
      <c r="E547" s="12">
        <f t="shared" si="11"/>
        <v>18617631.719999909</v>
      </c>
      <c r="F547" s="8" t="s">
        <v>4</v>
      </c>
      <c r="G547" s="8" t="s">
        <v>5</v>
      </c>
      <c r="H547" s="8" t="s">
        <v>1060</v>
      </c>
      <c r="I547" s="8" t="s">
        <v>19</v>
      </c>
    </row>
    <row r="548" spans="1:9" hidden="1">
      <c r="A548" s="26">
        <v>45975</v>
      </c>
      <c r="B548" s="7" t="s">
        <v>1025</v>
      </c>
      <c r="C548" s="35">
        <v>18567631</v>
      </c>
      <c r="D548" s="12">
        <v>0</v>
      </c>
      <c r="E548" s="12">
        <f t="shared" si="11"/>
        <v>50000.719999909401</v>
      </c>
      <c r="F548" s="28" t="s">
        <v>186</v>
      </c>
      <c r="G548" s="8" t="s">
        <v>96</v>
      </c>
    </row>
    <row r="549" spans="1:9" hidden="1">
      <c r="A549" s="26">
        <v>45981</v>
      </c>
      <c r="B549" s="7" t="s">
        <v>1013</v>
      </c>
      <c r="C549" s="35">
        <v>0</v>
      </c>
      <c r="D549" s="12">
        <v>400000</v>
      </c>
      <c r="E549" s="12">
        <f t="shared" si="11"/>
        <v>450000.7199999094</v>
      </c>
      <c r="F549" t="s">
        <v>6</v>
      </c>
      <c r="G549" s="8" t="s">
        <v>17</v>
      </c>
      <c r="H549" t="s">
        <v>1005</v>
      </c>
    </row>
    <row r="550" spans="1:9" hidden="1">
      <c r="A550" s="26">
        <v>45981</v>
      </c>
      <c r="B550" s="7" t="s">
        <v>1026</v>
      </c>
      <c r="C550" s="35">
        <v>400000</v>
      </c>
      <c r="D550" s="12">
        <v>0</v>
      </c>
      <c r="E550" s="12">
        <f t="shared" si="11"/>
        <v>50000.719999909401</v>
      </c>
      <c r="F550" s="28" t="s">
        <v>4</v>
      </c>
      <c r="G550" s="8" t="s">
        <v>5</v>
      </c>
      <c r="H550" s="16" t="s">
        <v>986</v>
      </c>
      <c r="I550" t="s">
        <v>19</v>
      </c>
    </row>
    <row r="551" spans="1:9" hidden="1">
      <c r="A551" s="26">
        <v>45982</v>
      </c>
      <c r="B551" s="7" t="s">
        <v>73</v>
      </c>
      <c r="C551" s="35">
        <v>20000</v>
      </c>
      <c r="D551" s="12">
        <v>0</v>
      </c>
      <c r="E551" s="12">
        <f t="shared" si="11"/>
        <v>30000.719999909401</v>
      </c>
      <c r="F551" s="28" t="s">
        <v>14</v>
      </c>
      <c r="G551" s="8" t="s">
        <v>50</v>
      </c>
    </row>
    <row r="552" spans="1:9" hidden="1">
      <c r="A552" s="26">
        <v>45986</v>
      </c>
      <c r="B552" s="7" t="s">
        <v>1039</v>
      </c>
      <c r="D552" s="12">
        <v>1456200</v>
      </c>
      <c r="E552" s="12">
        <f t="shared" si="11"/>
        <v>1486200.7199999094</v>
      </c>
      <c r="F552" t="s">
        <v>6</v>
      </c>
      <c r="G552" s="8" t="s">
        <v>17</v>
      </c>
      <c r="H552" t="s">
        <v>1005</v>
      </c>
    </row>
    <row r="553" spans="1:9" hidden="1">
      <c r="A553" s="26">
        <v>45986</v>
      </c>
      <c r="B553" s="7" t="s">
        <v>1040</v>
      </c>
      <c r="C553" s="35">
        <v>956200</v>
      </c>
      <c r="D553" s="12"/>
      <c r="E553" s="12">
        <f t="shared" si="11"/>
        <v>530000.7199999094</v>
      </c>
      <c r="F553" s="28" t="s">
        <v>28</v>
      </c>
      <c r="G553" s="8" t="s">
        <v>32</v>
      </c>
      <c r="H553" t="s">
        <v>69</v>
      </c>
    </row>
    <row r="554" spans="1:9" s="8" customFormat="1" hidden="1">
      <c r="A554" s="11">
        <v>45986</v>
      </c>
      <c r="B554" s="78" t="s">
        <v>1041</v>
      </c>
      <c r="C554" s="12">
        <v>350000</v>
      </c>
      <c r="D554" s="12"/>
      <c r="E554" s="12">
        <f t="shared" si="11"/>
        <v>180000.7199999094</v>
      </c>
      <c r="F554" s="28" t="s">
        <v>4</v>
      </c>
      <c r="G554" s="8" t="s">
        <v>5</v>
      </c>
      <c r="H554" s="8" t="s">
        <v>1149</v>
      </c>
      <c r="I554" s="8" t="s">
        <v>19</v>
      </c>
    </row>
    <row r="555" spans="1:9" hidden="1">
      <c r="A555" s="26">
        <v>45986</v>
      </c>
      <c r="B555" s="7" t="s">
        <v>1042</v>
      </c>
      <c r="D555" s="12">
        <v>20000</v>
      </c>
      <c r="E555" s="12">
        <f t="shared" si="11"/>
        <v>200000.7199999094</v>
      </c>
      <c r="F555" t="s">
        <v>6</v>
      </c>
      <c r="G555" t="s">
        <v>17</v>
      </c>
      <c r="H555" t="s">
        <v>1005</v>
      </c>
    </row>
    <row r="556" spans="1:9" s="8" customFormat="1" hidden="1">
      <c r="A556" s="11">
        <v>45986</v>
      </c>
      <c r="B556" s="78" t="s">
        <v>1043</v>
      </c>
      <c r="C556" s="21">
        <v>150000</v>
      </c>
      <c r="D556" s="21"/>
      <c r="E556" s="21">
        <f t="shared" si="11"/>
        <v>50000.719999909401</v>
      </c>
      <c r="F556" s="8" t="s">
        <v>9</v>
      </c>
      <c r="G556" s="8" t="s">
        <v>124</v>
      </c>
      <c r="H556" s="8" t="s">
        <v>1054</v>
      </c>
      <c r="I556" s="8" t="s">
        <v>19</v>
      </c>
    </row>
    <row r="557" spans="1:9" hidden="1">
      <c r="A557" s="26">
        <v>45989</v>
      </c>
      <c r="B557" s="7" t="s">
        <v>1039</v>
      </c>
      <c r="D557" s="12">
        <v>73020000</v>
      </c>
      <c r="E557" s="12">
        <f t="shared" si="11"/>
        <v>73070000.719999909</v>
      </c>
      <c r="F557" t="s">
        <v>6</v>
      </c>
      <c r="G557" t="s">
        <v>17</v>
      </c>
      <c r="H557" t="s">
        <v>1005</v>
      </c>
    </row>
    <row r="558" spans="1:9" hidden="1">
      <c r="A558" s="26">
        <v>45989</v>
      </c>
      <c r="B558" s="7" t="s">
        <v>1044</v>
      </c>
      <c r="C558" s="35">
        <v>29000000</v>
      </c>
      <c r="D558" s="12"/>
      <c r="E558" s="12">
        <f t="shared" si="11"/>
        <v>44070000.719999909</v>
      </c>
      <c r="F558" t="s">
        <v>301</v>
      </c>
      <c r="G558" t="s">
        <v>301</v>
      </c>
    </row>
    <row r="559" spans="1:9" hidden="1">
      <c r="A559" s="26">
        <v>45989</v>
      </c>
      <c r="B559" s="7" t="s">
        <v>1045</v>
      </c>
      <c r="D559" s="12">
        <v>29000000</v>
      </c>
      <c r="E559" s="12">
        <f t="shared" si="11"/>
        <v>73070000.719999909</v>
      </c>
      <c r="F559" t="s">
        <v>301</v>
      </c>
      <c r="G559" t="s">
        <v>301</v>
      </c>
    </row>
    <row r="560" spans="1:9" hidden="1">
      <c r="A560" s="26">
        <v>45989</v>
      </c>
      <c r="B560" s="7" t="s">
        <v>1044</v>
      </c>
      <c r="C560" s="35">
        <v>73000000</v>
      </c>
      <c r="D560" s="12"/>
      <c r="E560" s="12">
        <f t="shared" si="11"/>
        <v>70000.719999909401</v>
      </c>
      <c r="F560" t="s">
        <v>28</v>
      </c>
      <c r="G560" t="s">
        <v>16</v>
      </c>
    </row>
    <row r="561" spans="1:8" hidden="1">
      <c r="A561" s="26">
        <v>45989</v>
      </c>
      <c r="B561" s="7" t="s">
        <v>1046</v>
      </c>
      <c r="D561" s="12">
        <v>2000000</v>
      </c>
      <c r="E561" s="12">
        <f t="shared" si="11"/>
        <v>2070000.7199999094</v>
      </c>
      <c r="F561" t="s">
        <v>9</v>
      </c>
      <c r="G561" t="s">
        <v>33</v>
      </c>
      <c r="H561" t="s">
        <v>10</v>
      </c>
    </row>
    <row r="562" spans="1:8" hidden="1">
      <c r="A562" s="26">
        <v>45989</v>
      </c>
      <c r="B562" s="7" t="s">
        <v>1047</v>
      </c>
      <c r="D562" s="12">
        <v>2000000</v>
      </c>
      <c r="E562" s="12">
        <f t="shared" si="11"/>
        <v>4070000.7199999094</v>
      </c>
      <c r="F562" t="s">
        <v>9</v>
      </c>
      <c r="G562" t="s">
        <v>33</v>
      </c>
      <c r="H562" t="s">
        <v>26</v>
      </c>
    </row>
    <row r="563" spans="1:8" hidden="1">
      <c r="A563" s="26">
        <v>45989</v>
      </c>
      <c r="B563" s="7" t="s">
        <v>1048</v>
      </c>
      <c r="D563" s="12">
        <v>500000</v>
      </c>
      <c r="E563" s="12">
        <f t="shared" si="11"/>
        <v>4570000.7199999094</v>
      </c>
      <c r="F563" t="s">
        <v>9</v>
      </c>
      <c r="G563" t="s">
        <v>33</v>
      </c>
      <c r="H563" t="s">
        <v>45</v>
      </c>
    </row>
    <row r="564" spans="1:8" hidden="1">
      <c r="A564" s="26">
        <v>45989</v>
      </c>
      <c r="B564" s="7" t="s">
        <v>1049</v>
      </c>
      <c r="C564" s="35">
        <v>2000000</v>
      </c>
      <c r="D564" s="12"/>
      <c r="E564" s="12">
        <f t="shared" si="11"/>
        <v>2570000.7199999094</v>
      </c>
      <c r="F564" t="s">
        <v>28</v>
      </c>
      <c r="G564" t="s">
        <v>16</v>
      </c>
    </row>
    <row r="565" spans="1:8" hidden="1">
      <c r="A565" s="26">
        <v>45989</v>
      </c>
      <c r="B565" s="7" t="s">
        <v>1050</v>
      </c>
      <c r="D565" s="12">
        <v>10000000</v>
      </c>
      <c r="E565" s="12">
        <f t="shared" si="11"/>
        <v>12570000.719999909</v>
      </c>
      <c r="F565" t="s">
        <v>9</v>
      </c>
      <c r="G565" t="s">
        <v>33</v>
      </c>
      <c r="H565" t="s">
        <v>24</v>
      </c>
    </row>
    <row r="566" spans="1:8" hidden="1">
      <c r="A566" s="26">
        <v>45990</v>
      </c>
      <c r="B566" s="7" t="s">
        <v>1051</v>
      </c>
      <c r="C566" s="35">
        <v>442000</v>
      </c>
      <c r="D566" s="12"/>
      <c r="E566" s="12">
        <f t="shared" si="11"/>
        <v>12128000.719999909</v>
      </c>
      <c r="F566" t="s">
        <v>28</v>
      </c>
      <c r="G566" t="s">
        <v>32</v>
      </c>
      <c r="H566" t="s">
        <v>1034</v>
      </c>
    </row>
    <row r="567" spans="1:8" hidden="1">
      <c r="A567" s="26">
        <v>45990</v>
      </c>
      <c r="B567" s="7" t="s">
        <v>1052</v>
      </c>
      <c r="C567" s="35">
        <v>12058000</v>
      </c>
      <c r="D567" s="12"/>
      <c r="E567" s="12">
        <f t="shared" si="11"/>
        <v>70000.719999909401</v>
      </c>
      <c r="F567" t="s">
        <v>301</v>
      </c>
      <c r="G567" t="s">
        <v>301</v>
      </c>
    </row>
    <row r="568" spans="1:8" hidden="1">
      <c r="A568" s="26">
        <v>45990</v>
      </c>
      <c r="B568" s="7" t="s">
        <v>1053</v>
      </c>
      <c r="C568" s="35">
        <v>0</v>
      </c>
      <c r="D568" s="12">
        <v>12058000</v>
      </c>
      <c r="E568" s="12">
        <f t="shared" si="11"/>
        <v>12128000.719999909</v>
      </c>
      <c r="F568" t="s">
        <v>301</v>
      </c>
      <c r="G568" t="s">
        <v>301</v>
      </c>
    </row>
    <row r="569" spans="1:8" hidden="1">
      <c r="A569" s="26">
        <v>45991</v>
      </c>
      <c r="B569" s="7" t="s">
        <v>1155</v>
      </c>
      <c r="C569" s="35">
        <v>0</v>
      </c>
      <c r="D569" s="12">
        <v>187.22</v>
      </c>
      <c r="E569" s="12">
        <f t="shared" si="11"/>
        <v>12128187.93999991</v>
      </c>
      <c r="F569" t="s">
        <v>252</v>
      </c>
      <c r="G569" t="s">
        <v>34</v>
      </c>
    </row>
    <row r="570" spans="1:8" hidden="1">
      <c r="A570" s="26">
        <v>45991</v>
      </c>
      <c r="B570" s="7" t="s">
        <v>1156</v>
      </c>
      <c r="C570" s="35">
        <v>37.44</v>
      </c>
      <c r="D570" s="12">
        <v>0</v>
      </c>
      <c r="E570" s="12">
        <f t="shared" si="11"/>
        <v>12128150.499999911</v>
      </c>
      <c r="F570" t="s">
        <v>252</v>
      </c>
      <c r="G570" s="8" t="s">
        <v>34</v>
      </c>
    </row>
    <row r="571" spans="1:8" hidden="1">
      <c r="A571" s="26">
        <v>46001</v>
      </c>
      <c r="B571" s="7" t="s">
        <v>1157</v>
      </c>
      <c r="C571" s="36">
        <v>1400000</v>
      </c>
      <c r="D571" s="21"/>
      <c r="E571" s="21">
        <f t="shared" si="11"/>
        <v>10728150.499999911</v>
      </c>
      <c r="F571" t="s">
        <v>9</v>
      </c>
      <c r="G571" s="8" t="s">
        <v>124</v>
      </c>
      <c r="H571" s="16" t="s">
        <v>1062</v>
      </c>
    </row>
    <row r="572" spans="1:8" hidden="1">
      <c r="A572" s="26">
        <v>46001</v>
      </c>
      <c r="B572" s="7" t="s">
        <v>1158</v>
      </c>
      <c r="C572" s="36">
        <v>1450000</v>
      </c>
      <c r="D572" s="21"/>
      <c r="E572" s="21">
        <f t="shared" si="11"/>
        <v>9278150.4999999106</v>
      </c>
      <c r="F572" t="s">
        <v>9</v>
      </c>
      <c r="G572" s="8" t="s">
        <v>124</v>
      </c>
      <c r="H572" s="16" t="s">
        <v>1150</v>
      </c>
    </row>
    <row r="573" spans="1:8" hidden="1">
      <c r="A573" s="26">
        <v>46001</v>
      </c>
      <c r="B573" s="7" t="s">
        <v>1159</v>
      </c>
      <c r="C573" s="35">
        <v>1000000</v>
      </c>
      <c r="D573" s="12"/>
      <c r="E573" s="12">
        <f t="shared" si="11"/>
        <v>8278150.4999999106</v>
      </c>
      <c r="F573" t="s">
        <v>4</v>
      </c>
      <c r="G573" s="8" t="s">
        <v>5</v>
      </c>
      <c r="H573" s="16" t="s">
        <v>1149</v>
      </c>
    </row>
    <row r="574" spans="1:8" hidden="1">
      <c r="A574" s="26">
        <v>46001</v>
      </c>
      <c r="B574" s="7" t="s">
        <v>1160</v>
      </c>
      <c r="C574" s="35">
        <v>1500000</v>
      </c>
      <c r="D574" s="12"/>
      <c r="E574" s="12">
        <f t="shared" si="11"/>
        <v>6778150.4999999106</v>
      </c>
      <c r="F574" t="s">
        <v>4</v>
      </c>
      <c r="G574" s="8" t="s">
        <v>5</v>
      </c>
      <c r="H574" s="16" t="s">
        <v>1132</v>
      </c>
    </row>
    <row r="575" spans="1:8" hidden="1">
      <c r="A575" s="26">
        <v>46001</v>
      </c>
      <c r="B575" s="7" t="s">
        <v>1161</v>
      </c>
      <c r="C575" s="36">
        <v>950000</v>
      </c>
      <c r="D575" s="21"/>
      <c r="E575" s="21">
        <f t="shared" si="11"/>
        <v>5828150.4999999106</v>
      </c>
      <c r="F575" s="8" t="s">
        <v>9</v>
      </c>
      <c r="G575" s="8" t="s">
        <v>124</v>
      </c>
      <c r="H575" s="16" t="s">
        <v>1054</v>
      </c>
    </row>
    <row r="576" spans="1:8" hidden="1">
      <c r="A576" s="26">
        <v>46001</v>
      </c>
      <c r="B576" s="7" t="s">
        <v>1162</v>
      </c>
      <c r="C576" s="36">
        <v>950000</v>
      </c>
      <c r="D576" s="21"/>
      <c r="E576" s="21">
        <f t="shared" si="11"/>
        <v>4878150.4999999106</v>
      </c>
      <c r="F576" t="s">
        <v>9</v>
      </c>
      <c r="G576" s="8" t="s">
        <v>124</v>
      </c>
      <c r="H576" s="16" t="s">
        <v>1061</v>
      </c>
    </row>
    <row r="577" spans="1:9" hidden="1">
      <c r="A577" s="26">
        <v>46001</v>
      </c>
      <c r="B577" s="7" t="s">
        <v>1163</v>
      </c>
      <c r="C577" s="35">
        <v>1450000</v>
      </c>
      <c r="D577" s="12"/>
      <c r="E577" s="12">
        <f t="shared" si="11"/>
        <v>3428150.4999999106</v>
      </c>
      <c r="F577" t="s">
        <v>4</v>
      </c>
      <c r="G577" s="8" t="s">
        <v>5</v>
      </c>
      <c r="H577" s="16" t="s">
        <v>1149</v>
      </c>
    </row>
    <row r="578" spans="1:9" hidden="1">
      <c r="A578" s="26">
        <v>46001</v>
      </c>
      <c r="B578" s="7" t="s">
        <v>1164</v>
      </c>
      <c r="C578" s="35">
        <v>1450000</v>
      </c>
      <c r="D578" s="12"/>
      <c r="E578" s="12">
        <f t="shared" si="11"/>
        <v>1978150.4999999106</v>
      </c>
      <c r="F578" t="s">
        <v>4</v>
      </c>
      <c r="G578" s="8" t="s">
        <v>5</v>
      </c>
      <c r="H578" s="16" t="s">
        <v>1132</v>
      </c>
    </row>
    <row r="579" spans="1:9" hidden="1">
      <c r="A579" s="26">
        <v>46001</v>
      </c>
      <c r="B579" s="7" t="s">
        <v>1165</v>
      </c>
      <c r="C579" s="36">
        <v>1350000</v>
      </c>
      <c r="D579" s="21"/>
      <c r="E579" s="21">
        <f t="shared" si="11"/>
        <v>628150.49999991059</v>
      </c>
      <c r="F579" s="8" t="s">
        <v>9</v>
      </c>
      <c r="G579" s="8" t="s">
        <v>124</v>
      </c>
      <c r="H579" s="16" t="s">
        <v>1054</v>
      </c>
    </row>
    <row r="580" spans="1:9" hidden="1">
      <c r="A580" s="26">
        <v>46001</v>
      </c>
      <c r="B580" s="7" t="s">
        <v>1183</v>
      </c>
      <c r="D580" s="12">
        <v>13000000</v>
      </c>
      <c r="E580" s="12">
        <f t="shared" si="11"/>
        <v>13628150.499999911</v>
      </c>
      <c r="F580" t="s">
        <v>6</v>
      </c>
      <c r="G580" s="8" t="s">
        <v>47</v>
      </c>
      <c r="H580" t="s">
        <v>1173</v>
      </c>
      <c r="I580" t="s">
        <v>1184</v>
      </c>
    </row>
    <row r="581" spans="1:9" hidden="1">
      <c r="A581" s="26">
        <v>46001</v>
      </c>
      <c r="B581" s="7" t="s">
        <v>1191</v>
      </c>
      <c r="D581" s="12">
        <v>135000000</v>
      </c>
      <c r="E581" s="12">
        <f t="shared" si="11"/>
        <v>148628150.49999991</v>
      </c>
      <c r="F581" t="s">
        <v>6</v>
      </c>
      <c r="G581" s="8" t="s">
        <v>47</v>
      </c>
      <c r="H581" t="s">
        <v>1173</v>
      </c>
      <c r="I581" t="s">
        <v>1190</v>
      </c>
    </row>
    <row r="582" spans="1:9" hidden="1">
      <c r="A582" s="26">
        <v>46001</v>
      </c>
      <c r="B582" s="7" t="s">
        <v>1187</v>
      </c>
      <c r="D582" s="12">
        <v>25064000</v>
      </c>
      <c r="E582" s="12">
        <f t="shared" si="11"/>
        <v>173692150.49999991</v>
      </c>
      <c r="F582" t="s">
        <v>6</v>
      </c>
      <c r="G582" s="8" t="s">
        <v>47</v>
      </c>
      <c r="H582" t="s">
        <v>1173</v>
      </c>
      <c r="I582" t="s">
        <v>1188</v>
      </c>
    </row>
    <row r="583" spans="1:9" hidden="1">
      <c r="A583" s="26">
        <v>46001</v>
      </c>
      <c r="B583" s="7" t="s">
        <v>1215</v>
      </c>
      <c r="C583" s="36">
        <v>0</v>
      </c>
      <c r="D583" s="21">
        <v>134757000</v>
      </c>
      <c r="E583" s="21">
        <f t="shared" si="11"/>
        <v>308449150.49999988</v>
      </c>
      <c r="F583" t="s">
        <v>6</v>
      </c>
      <c r="G583" s="8" t="s">
        <v>47</v>
      </c>
      <c r="H583" t="s">
        <v>1173</v>
      </c>
      <c r="I583" t="s">
        <v>1189</v>
      </c>
    </row>
    <row r="584" spans="1:9" hidden="1">
      <c r="A584" s="26">
        <v>46001</v>
      </c>
      <c r="B584" s="7" t="s">
        <v>1215</v>
      </c>
      <c r="C584" s="36">
        <v>0</v>
      </c>
      <c r="D584" s="21">
        <f>135000000-D583</f>
        <v>243000</v>
      </c>
      <c r="E584" s="21">
        <f t="shared" si="11"/>
        <v>308692150.49999988</v>
      </c>
      <c r="F584" t="s">
        <v>6</v>
      </c>
      <c r="G584" s="8" t="s">
        <v>47</v>
      </c>
      <c r="H584" t="s">
        <v>1173</v>
      </c>
      <c r="I584" t="s">
        <v>1189</v>
      </c>
    </row>
    <row r="585" spans="1:9" hidden="1">
      <c r="A585" s="26">
        <v>46001</v>
      </c>
      <c r="B585" s="7" t="s">
        <v>1215</v>
      </c>
      <c r="C585" s="36">
        <f>D584</f>
        <v>243000</v>
      </c>
      <c r="D585" s="21">
        <v>0</v>
      </c>
      <c r="E585" s="21">
        <f t="shared" si="11"/>
        <v>308449150.49999988</v>
      </c>
      <c r="F585" t="s">
        <v>252</v>
      </c>
      <c r="G585" s="8" t="s">
        <v>31</v>
      </c>
    </row>
    <row r="586" spans="1:9" hidden="1">
      <c r="A586" s="26">
        <v>46001</v>
      </c>
      <c r="B586" s="7" t="s">
        <v>1166</v>
      </c>
      <c r="C586" s="35">
        <v>1000000</v>
      </c>
      <c r="D586" s="12"/>
      <c r="E586" s="12">
        <f t="shared" si="11"/>
        <v>307449150.49999988</v>
      </c>
      <c r="F586" t="s">
        <v>4</v>
      </c>
      <c r="G586" s="8" t="s">
        <v>5</v>
      </c>
      <c r="H586" s="16" t="s">
        <v>1149</v>
      </c>
    </row>
    <row r="587" spans="1:9" hidden="1">
      <c r="A587" s="26">
        <v>46001</v>
      </c>
      <c r="B587" s="7" t="s">
        <v>1167</v>
      </c>
      <c r="C587" s="36">
        <v>950000</v>
      </c>
      <c r="D587" s="21"/>
      <c r="E587" s="21">
        <f t="shared" si="11"/>
        <v>306499150.49999988</v>
      </c>
      <c r="F587" t="s">
        <v>9</v>
      </c>
      <c r="G587" s="8" t="s">
        <v>124</v>
      </c>
      <c r="H587" s="16" t="s">
        <v>1061</v>
      </c>
    </row>
    <row r="588" spans="1:9" hidden="1">
      <c r="A588" s="26">
        <v>46001</v>
      </c>
      <c r="B588" s="7" t="s">
        <v>1168</v>
      </c>
      <c r="C588" s="36">
        <v>900000</v>
      </c>
      <c r="D588" s="21"/>
      <c r="E588" s="21">
        <f t="shared" si="11"/>
        <v>305599150.49999988</v>
      </c>
      <c r="F588" t="s">
        <v>9</v>
      </c>
      <c r="G588" s="8" t="s">
        <v>124</v>
      </c>
      <c r="H588" s="16" t="s">
        <v>1150</v>
      </c>
    </row>
    <row r="589" spans="1:9" hidden="1">
      <c r="A589" s="26">
        <v>46001</v>
      </c>
      <c r="B589" s="7" t="s">
        <v>1169</v>
      </c>
      <c r="C589" s="35">
        <v>1450000</v>
      </c>
      <c r="D589" s="12"/>
      <c r="E589" s="12">
        <f t="shared" si="11"/>
        <v>304149150.49999988</v>
      </c>
      <c r="F589" t="s">
        <v>4</v>
      </c>
      <c r="G589" s="8" t="s">
        <v>5</v>
      </c>
      <c r="H589" s="16" t="s">
        <v>1132</v>
      </c>
    </row>
    <row r="590" spans="1:9" hidden="1">
      <c r="A590" s="26">
        <v>46001</v>
      </c>
      <c r="B590" s="7" t="s">
        <v>1170</v>
      </c>
      <c r="C590" s="36">
        <v>900000</v>
      </c>
      <c r="D590" s="21"/>
      <c r="E590" s="21">
        <f t="shared" si="11"/>
        <v>303249150.49999988</v>
      </c>
      <c r="F590" s="8" t="s">
        <v>9</v>
      </c>
      <c r="G590" s="8" t="s">
        <v>124</v>
      </c>
      <c r="H590" s="16" t="s">
        <v>1054</v>
      </c>
    </row>
    <row r="591" spans="1:9" hidden="1">
      <c r="A591" s="26">
        <v>46001</v>
      </c>
      <c r="B591" s="7" t="s">
        <v>1171</v>
      </c>
      <c r="C591" s="36">
        <v>150000</v>
      </c>
      <c r="D591" s="21"/>
      <c r="E591" s="21">
        <f t="shared" si="11"/>
        <v>303099150.49999988</v>
      </c>
      <c r="F591" s="8" t="s">
        <v>9</v>
      </c>
      <c r="G591" s="8" t="s">
        <v>124</v>
      </c>
      <c r="H591" s="16" t="s">
        <v>1054</v>
      </c>
    </row>
    <row r="592" spans="1:9" hidden="1">
      <c r="A592" s="26">
        <v>46002</v>
      </c>
      <c r="B592" s="7" t="s">
        <v>1187</v>
      </c>
      <c r="D592" s="12">
        <v>106060000</v>
      </c>
      <c r="E592" s="12">
        <f t="shared" si="11"/>
        <v>409159150.49999988</v>
      </c>
      <c r="F592" t="s">
        <v>6</v>
      </c>
      <c r="G592" s="8" t="s">
        <v>47</v>
      </c>
      <c r="H592" t="s">
        <v>1173</v>
      </c>
      <c r="I592" t="s">
        <v>1188</v>
      </c>
    </row>
    <row r="593" spans="1:9" hidden="1">
      <c r="A593" s="26">
        <v>46002</v>
      </c>
      <c r="B593" s="7" t="s">
        <v>1183</v>
      </c>
      <c r="D593" s="12">
        <v>79650000</v>
      </c>
      <c r="E593" s="12">
        <f t="shared" ref="E593:E595" si="12">E592-C593+D593</f>
        <v>488809150.49999988</v>
      </c>
      <c r="F593" t="s">
        <v>6</v>
      </c>
      <c r="G593" s="8" t="s">
        <v>47</v>
      </c>
      <c r="H593" t="s">
        <v>1173</v>
      </c>
      <c r="I593" t="s">
        <v>1184</v>
      </c>
    </row>
    <row r="594" spans="1:9" hidden="1">
      <c r="A594" s="26">
        <v>46002</v>
      </c>
      <c r="B594" s="7" t="s">
        <v>1183</v>
      </c>
      <c r="D594" s="12">
        <v>42350000</v>
      </c>
      <c r="E594" s="12">
        <f t="shared" si="12"/>
        <v>531159150.49999988</v>
      </c>
      <c r="F594" t="s">
        <v>6</v>
      </c>
      <c r="G594" s="8" t="s">
        <v>47</v>
      </c>
      <c r="H594" t="s">
        <v>1173</v>
      </c>
      <c r="I594" t="s">
        <v>1184</v>
      </c>
    </row>
    <row r="595" spans="1:9" hidden="1">
      <c r="A595" s="26">
        <v>46002</v>
      </c>
      <c r="B595" s="7" t="s">
        <v>1179</v>
      </c>
      <c r="D595" s="12">
        <v>135000000</v>
      </c>
      <c r="E595" s="12">
        <f t="shared" si="12"/>
        <v>666159150.49999988</v>
      </c>
      <c r="F595" t="s">
        <v>6</v>
      </c>
      <c r="G595" s="8" t="s">
        <v>47</v>
      </c>
      <c r="H595" t="s">
        <v>1173</v>
      </c>
      <c r="I595" t="s">
        <v>1182</v>
      </c>
    </row>
    <row r="596" spans="1:9" hidden="1">
      <c r="A596" s="26">
        <v>46002</v>
      </c>
      <c r="B596" s="7" t="s">
        <v>1177</v>
      </c>
      <c r="D596" s="12">
        <v>28431000</v>
      </c>
      <c r="E596" s="12">
        <f t="shared" ref="E596:E659" si="13">E595-C596+D596</f>
        <v>694590150.49999988</v>
      </c>
      <c r="F596" t="s">
        <v>6</v>
      </c>
      <c r="G596" s="8" t="s">
        <v>47</v>
      </c>
      <c r="H596" t="s">
        <v>1173</v>
      </c>
      <c r="I596" t="s">
        <v>1178</v>
      </c>
    </row>
    <row r="597" spans="1:9" hidden="1">
      <c r="A597" s="26">
        <v>46002</v>
      </c>
      <c r="B597" s="7" t="s">
        <v>1185</v>
      </c>
      <c r="D597" s="12">
        <v>100845000</v>
      </c>
      <c r="E597" s="12">
        <f t="shared" si="13"/>
        <v>795435150.49999988</v>
      </c>
      <c r="F597" t="s">
        <v>6</v>
      </c>
      <c r="G597" s="8" t="s">
        <v>47</v>
      </c>
      <c r="H597" t="s">
        <v>1173</v>
      </c>
      <c r="I597" t="s">
        <v>1186</v>
      </c>
    </row>
    <row r="598" spans="1:9" hidden="1">
      <c r="A598" s="26">
        <v>46002</v>
      </c>
      <c r="B598" s="7" t="s">
        <v>1175</v>
      </c>
      <c r="D598" s="12">
        <v>135000000</v>
      </c>
      <c r="E598" s="12">
        <f t="shared" si="13"/>
        <v>930435150.49999988</v>
      </c>
      <c r="F598" t="s">
        <v>6</v>
      </c>
      <c r="G598" s="8" t="s">
        <v>47</v>
      </c>
      <c r="H598" t="s">
        <v>1173</v>
      </c>
      <c r="I598" t="s">
        <v>1176</v>
      </c>
    </row>
    <row r="599" spans="1:9" hidden="1">
      <c r="A599" s="26">
        <v>46002</v>
      </c>
      <c r="B599" s="7" t="s">
        <v>1177</v>
      </c>
      <c r="D599" s="12">
        <v>106569000</v>
      </c>
      <c r="E599" s="12">
        <f t="shared" si="13"/>
        <v>1037004150.4999999</v>
      </c>
      <c r="F599" t="s">
        <v>6</v>
      </c>
      <c r="G599" s="8" t="s">
        <v>47</v>
      </c>
      <c r="H599" t="s">
        <v>1173</v>
      </c>
      <c r="I599" t="s">
        <v>1178</v>
      </c>
    </row>
    <row r="600" spans="1:9" hidden="1">
      <c r="A600" s="26">
        <v>46002</v>
      </c>
      <c r="B600" s="7" t="s">
        <v>1185</v>
      </c>
      <c r="D600" s="12">
        <v>34155000</v>
      </c>
      <c r="E600" s="12">
        <f t="shared" si="13"/>
        <v>1071159150.4999999</v>
      </c>
      <c r="F600" t="s">
        <v>6</v>
      </c>
      <c r="G600" s="8" t="s">
        <v>47</v>
      </c>
      <c r="H600" t="s">
        <v>1173</v>
      </c>
      <c r="I600" t="s">
        <v>1186</v>
      </c>
    </row>
    <row r="601" spans="1:9" hidden="1">
      <c r="A601" s="26">
        <v>46002</v>
      </c>
      <c r="B601" s="7" t="s">
        <v>1180</v>
      </c>
      <c r="D601" s="12">
        <v>135000000</v>
      </c>
      <c r="E601" s="12">
        <f t="shared" si="13"/>
        <v>1206159150.5</v>
      </c>
      <c r="F601" t="s">
        <v>6</v>
      </c>
      <c r="G601" s="8" t="s">
        <v>47</v>
      </c>
      <c r="H601" t="s">
        <v>1173</v>
      </c>
      <c r="I601" t="s">
        <v>1181</v>
      </c>
    </row>
    <row r="602" spans="1:9" hidden="1">
      <c r="A602" s="26">
        <v>46002</v>
      </c>
      <c r="B602" s="7" t="s">
        <v>1172</v>
      </c>
      <c r="D602" s="12">
        <v>135000000</v>
      </c>
      <c r="E602" s="12">
        <f t="shared" si="13"/>
        <v>1341159150.5</v>
      </c>
      <c r="F602" t="s">
        <v>6</v>
      </c>
      <c r="G602" s="8" t="s">
        <v>47</v>
      </c>
      <c r="H602" t="s">
        <v>1173</v>
      </c>
      <c r="I602" t="s">
        <v>1174</v>
      </c>
    </row>
    <row r="603" spans="1:9" hidden="1">
      <c r="A603" s="26">
        <v>46002</v>
      </c>
      <c r="B603" s="7" t="s">
        <v>1192</v>
      </c>
      <c r="C603" s="35">
        <v>515000</v>
      </c>
      <c r="D603" s="12"/>
      <c r="E603" s="12">
        <f t="shared" si="13"/>
        <v>1340644150.5</v>
      </c>
      <c r="F603" t="s">
        <v>28</v>
      </c>
      <c r="G603" s="8" t="s">
        <v>20</v>
      </c>
    </row>
    <row r="604" spans="1:9" hidden="1">
      <c r="A604" s="26">
        <v>46002</v>
      </c>
      <c r="B604" s="7" t="s">
        <v>1193</v>
      </c>
      <c r="C604" s="35">
        <v>945000</v>
      </c>
      <c r="D604" s="12"/>
      <c r="E604" s="12">
        <f t="shared" si="13"/>
        <v>1339699150.5</v>
      </c>
      <c r="F604" t="s">
        <v>28</v>
      </c>
      <c r="G604" s="8" t="s">
        <v>20</v>
      </c>
    </row>
    <row r="605" spans="1:9" hidden="1">
      <c r="A605" s="26">
        <v>46002</v>
      </c>
      <c r="B605" s="7" t="s">
        <v>1194</v>
      </c>
      <c r="C605" s="35">
        <v>1560000</v>
      </c>
      <c r="D605" s="12"/>
      <c r="E605" s="12">
        <f t="shared" si="13"/>
        <v>1338139150.5</v>
      </c>
      <c r="F605" t="s">
        <v>28</v>
      </c>
      <c r="G605" s="8" t="s">
        <v>20</v>
      </c>
    </row>
    <row r="606" spans="1:9" hidden="1">
      <c r="A606" s="26">
        <v>46002</v>
      </c>
      <c r="B606" s="7" t="s">
        <v>1195</v>
      </c>
      <c r="C606" s="35">
        <v>600000</v>
      </c>
      <c r="D606" s="12"/>
      <c r="E606" s="12">
        <f t="shared" si="13"/>
        <v>1337539150.5</v>
      </c>
      <c r="F606" t="s">
        <v>28</v>
      </c>
      <c r="G606" s="8" t="s">
        <v>20</v>
      </c>
    </row>
    <row r="607" spans="1:9" hidden="1">
      <c r="A607" s="26">
        <v>46002</v>
      </c>
      <c r="B607" s="7" t="s">
        <v>1196</v>
      </c>
      <c r="C607" s="35">
        <v>50000</v>
      </c>
      <c r="D607" s="12"/>
      <c r="E607" s="12">
        <f t="shared" si="13"/>
        <v>1337489150.5</v>
      </c>
      <c r="F607" t="s">
        <v>6</v>
      </c>
      <c r="G607" s="8" t="s">
        <v>17</v>
      </c>
      <c r="H607" t="s">
        <v>18</v>
      </c>
    </row>
    <row r="608" spans="1:9" hidden="1">
      <c r="A608" s="26">
        <v>46002</v>
      </c>
      <c r="B608" s="7" t="s">
        <v>1197</v>
      </c>
      <c r="C608" s="35">
        <v>6000000</v>
      </c>
      <c r="D608" s="12"/>
      <c r="E608" s="12">
        <f t="shared" si="13"/>
        <v>1331489150.5</v>
      </c>
      <c r="F608" t="s">
        <v>6</v>
      </c>
      <c r="G608" s="8" t="s">
        <v>17</v>
      </c>
      <c r="H608" t="s">
        <v>1005</v>
      </c>
    </row>
    <row r="609" spans="1:9" hidden="1">
      <c r="A609" s="26">
        <v>46002</v>
      </c>
      <c r="B609" s="7" t="s">
        <v>1198</v>
      </c>
      <c r="C609" s="35">
        <v>400000</v>
      </c>
      <c r="D609" s="12"/>
      <c r="E609" s="12">
        <f t="shared" si="13"/>
        <v>1331089150.5</v>
      </c>
      <c r="F609" t="s">
        <v>6</v>
      </c>
      <c r="G609" s="8" t="s">
        <v>17</v>
      </c>
      <c r="H609" t="s">
        <v>1005</v>
      </c>
    </row>
    <row r="610" spans="1:9" hidden="1">
      <c r="A610" s="26">
        <v>46002</v>
      </c>
      <c r="B610" s="7" t="s">
        <v>1199</v>
      </c>
      <c r="C610" s="35">
        <v>1456200</v>
      </c>
      <c r="D610" s="12"/>
      <c r="E610" s="12">
        <f t="shared" si="13"/>
        <v>1329632950.5</v>
      </c>
      <c r="F610" t="s">
        <v>6</v>
      </c>
      <c r="G610" s="8" t="s">
        <v>17</v>
      </c>
      <c r="H610" t="s">
        <v>1005</v>
      </c>
    </row>
    <row r="611" spans="1:9" hidden="1">
      <c r="A611" s="26">
        <v>46002</v>
      </c>
      <c r="B611" s="7" t="s">
        <v>1199</v>
      </c>
      <c r="C611" s="35">
        <v>20000</v>
      </c>
      <c r="D611" s="12"/>
      <c r="E611" s="12">
        <f t="shared" si="13"/>
        <v>1329612950.5</v>
      </c>
      <c r="F611" t="s">
        <v>6</v>
      </c>
      <c r="G611" s="8" t="s">
        <v>17</v>
      </c>
      <c r="H611" t="s">
        <v>1005</v>
      </c>
    </row>
    <row r="612" spans="1:9" hidden="1">
      <c r="A612" s="26">
        <v>46002</v>
      </c>
      <c r="B612" s="7" t="s">
        <v>1200</v>
      </c>
      <c r="C612" s="35">
        <v>73020000</v>
      </c>
      <c r="D612" s="12"/>
      <c r="E612" s="12">
        <f t="shared" si="13"/>
        <v>1256592950.5</v>
      </c>
      <c r="F612" t="s">
        <v>6</v>
      </c>
      <c r="G612" s="8" t="s">
        <v>17</v>
      </c>
      <c r="H612" t="s">
        <v>1005</v>
      </c>
    </row>
    <row r="613" spans="1:9" hidden="1">
      <c r="A613" s="26">
        <v>46002</v>
      </c>
      <c r="B613" s="7" t="s">
        <v>1201</v>
      </c>
      <c r="C613" s="35">
        <v>15566611</v>
      </c>
      <c r="D613" s="12"/>
      <c r="E613" s="12">
        <f t="shared" si="13"/>
        <v>1241026339.5</v>
      </c>
      <c r="F613" t="s">
        <v>6</v>
      </c>
      <c r="G613" s="8" t="s">
        <v>17</v>
      </c>
      <c r="H613" t="s">
        <v>18</v>
      </c>
    </row>
    <row r="614" spans="1:9" hidden="1">
      <c r="A614" s="26">
        <v>46003</v>
      </c>
      <c r="B614" s="7" t="s">
        <v>1218</v>
      </c>
      <c r="C614" s="36">
        <v>0</v>
      </c>
      <c r="D614" s="21">
        <v>4000000</v>
      </c>
      <c r="E614" s="21">
        <f t="shared" si="13"/>
        <v>1245026339.5</v>
      </c>
      <c r="F614" t="s">
        <v>6</v>
      </c>
      <c r="G614" s="8" t="s">
        <v>47</v>
      </c>
      <c r="H614" t="s">
        <v>1173</v>
      </c>
      <c r="I614" t="s">
        <v>1188</v>
      </c>
    </row>
    <row r="615" spans="1:9" hidden="1">
      <c r="A615" s="26">
        <v>46003</v>
      </c>
      <c r="B615" s="7" t="s">
        <v>1218</v>
      </c>
      <c r="C615" s="36">
        <v>124000</v>
      </c>
      <c r="D615" s="21">
        <v>0</v>
      </c>
      <c r="E615" s="21">
        <f t="shared" si="13"/>
        <v>1244902339.5</v>
      </c>
      <c r="F615" t="s">
        <v>6</v>
      </c>
      <c r="G615" s="8" t="s">
        <v>47</v>
      </c>
      <c r="H615" t="s">
        <v>1173</v>
      </c>
      <c r="I615" t="s">
        <v>1188</v>
      </c>
    </row>
    <row r="616" spans="1:9" hidden="1">
      <c r="A616" s="26">
        <v>46003</v>
      </c>
      <c r="B616" s="7" t="s">
        <v>1216</v>
      </c>
      <c r="C616" s="36">
        <v>0</v>
      </c>
      <c r="D616" s="21">
        <f>C615</f>
        <v>124000</v>
      </c>
      <c r="E616" s="21">
        <f t="shared" si="13"/>
        <v>1245026339.5</v>
      </c>
      <c r="F616" t="s">
        <v>252</v>
      </c>
      <c r="G616" s="8" t="s">
        <v>51</v>
      </c>
    </row>
    <row r="617" spans="1:9" hidden="1">
      <c r="A617" s="26">
        <v>46008</v>
      </c>
      <c r="B617" s="7" t="s">
        <v>1211</v>
      </c>
      <c r="C617" s="36">
        <v>500000</v>
      </c>
      <c r="D617" s="21">
        <v>0</v>
      </c>
      <c r="E617" s="21">
        <f t="shared" si="13"/>
        <v>1244526339.5</v>
      </c>
      <c r="F617" t="s">
        <v>4</v>
      </c>
      <c r="G617" s="8" t="s">
        <v>5</v>
      </c>
      <c r="H617" t="s">
        <v>1202</v>
      </c>
    </row>
    <row r="618" spans="1:9" hidden="1">
      <c r="A618" s="26">
        <v>46008</v>
      </c>
      <c r="B618" s="7" t="s">
        <v>1212</v>
      </c>
      <c r="C618" s="36">
        <v>150000</v>
      </c>
      <c r="D618" s="21">
        <v>0</v>
      </c>
      <c r="E618" s="21">
        <f t="shared" si="13"/>
        <v>1244376339.5</v>
      </c>
      <c r="F618" t="s">
        <v>4</v>
      </c>
      <c r="G618" s="8" t="s">
        <v>5</v>
      </c>
      <c r="H618" t="s">
        <v>1202</v>
      </c>
    </row>
    <row r="619" spans="1:9" hidden="1">
      <c r="A619" s="26">
        <v>46008</v>
      </c>
      <c r="B619" s="7" t="s">
        <v>1213</v>
      </c>
      <c r="C619" s="36">
        <v>400000</v>
      </c>
      <c r="D619" s="21">
        <v>0</v>
      </c>
      <c r="E619" s="21">
        <f t="shared" si="13"/>
        <v>1243976339.5</v>
      </c>
      <c r="F619" t="s">
        <v>4</v>
      </c>
      <c r="G619" s="8" t="s">
        <v>5</v>
      </c>
      <c r="H619" t="s">
        <v>1202</v>
      </c>
    </row>
    <row r="620" spans="1:9" hidden="1">
      <c r="A620" s="26">
        <v>46008</v>
      </c>
      <c r="B620" s="7" t="s">
        <v>1214</v>
      </c>
      <c r="C620" s="36">
        <v>300000</v>
      </c>
      <c r="D620" s="21">
        <v>0</v>
      </c>
      <c r="E620" s="21">
        <f t="shared" si="13"/>
        <v>1243676339.5</v>
      </c>
      <c r="F620" t="s">
        <v>4</v>
      </c>
      <c r="G620" s="8" t="s">
        <v>5</v>
      </c>
      <c r="H620" t="s">
        <v>1202</v>
      </c>
    </row>
    <row r="621" spans="1:9" hidden="1">
      <c r="A621" s="26">
        <v>46010</v>
      </c>
      <c r="B621" s="7" t="s">
        <v>73</v>
      </c>
      <c r="C621" s="36">
        <v>20000</v>
      </c>
      <c r="D621" s="21"/>
      <c r="E621" s="21">
        <f t="shared" si="13"/>
        <v>1243656339.5</v>
      </c>
      <c r="F621" t="s">
        <v>14</v>
      </c>
      <c r="G621" s="8" t="s">
        <v>50</v>
      </c>
    </row>
    <row r="622" spans="1:9" hidden="1">
      <c r="A622" s="26">
        <v>46011</v>
      </c>
      <c r="B622" s="7" t="s">
        <v>1230</v>
      </c>
      <c r="C622" s="36">
        <v>600000</v>
      </c>
      <c r="D622" s="21"/>
      <c r="E622" s="21">
        <f t="shared" si="13"/>
        <v>1243056339.5</v>
      </c>
      <c r="F622" t="s">
        <v>4</v>
      </c>
      <c r="G622" s="8" t="s">
        <v>5</v>
      </c>
      <c r="H622" t="s">
        <v>1202</v>
      </c>
    </row>
    <row r="623" spans="1:9" s="8" customFormat="1" hidden="1">
      <c r="A623" s="11">
        <v>46013</v>
      </c>
      <c r="B623" s="78" t="s">
        <v>1260</v>
      </c>
      <c r="C623" s="21"/>
      <c r="D623" s="21">
        <v>120000000</v>
      </c>
      <c r="E623" s="21">
        <f t="shared" si="13"/>
        <v>1363056339.5</v>
      </c>
      <c r="F623" s="8" t="s">
        <v>6</v>
      </c>
      <c r="G623" s="8" t="s">
        <v>47</v>
      </c>
      <c r="H623" s="8" t="s">
        <v>1261</v>
      </c>
    </row>
    <row r="624" spans="1:9" s="8" customFormat="1" hidden="1">
      <c r="A624" s="11">
        <v>46014</v>
      </c>
      <c r="B624" s="78" t="s">
        <v>1264</v>
      </c>
      <c r="C624" s="21"/>
      <c r="D624" s="21">
        <v>1000000</v>
      </c>
      <c r="E624" s="21">
        <f t="shared" si="13"/>
        <v>1364056339.5</v>
      </c>
      <c r="F624" s="8" t="s">
        <v>6</v>
      </c>
      <c r="G624" s="8" t="s">
        <v>47</v>
      </c>
      <c r="H624" s="8" t="s">
        <v>1261</v>
      </c>
    </row>
    <row r="625" spans="1:8" hidden="1">
      <c r="A625" s="26">
        <v>46014</v>
      </c>
      <c r="B625" s="7" t="s">
        <v>1231</v>
      </c>
      <c r="C625" s="36">
        <v>800000</v>
      </c>
      <c r="D625" s="21"/>
      <c r="E625" s="21">
        <f t="shared" si="13"/>
        <v>1363256339.5</v>
      </c>
      <c r="F625" t="s">
        <v>4</v>
      </c>
      <c r="G625" s="8" t="s">
        <v>5</v>
      </c>
      <c r="H625" t="s">
        <v>1217</v>
      </c>
    </row>
    <row r="626" spans="1:8" hidden="1">
      <c r="A626" s="26">
        <v>46014</v>
      </c>
      <c r="B626" s="7" t="s">
        <v>1232</v>
      </c>
      <c r="C626" s="36">
        <v>1700000</v>
      </c>
      <c r="D626" s="21"/>
      <c r="E626" s="21">
        <f t="shared" si="13"/>
        <v>1361556339.5</v>
      </c>
      <c r="F626" t="s">
        <v>9</v>
      </c>
      <c r="G626" s="8" t="s">
        <v>33</v>
      </c>
      <c r="H626" t="s">
        <v>45</v>
      </c>
    </row>
    <row r="627" spans="1:8" hidden="1">
      <c r="A627" s="26">
        <v>46014</v>
      </c>
      <c r="B627" s="7" t="s">
        <v>1263</v>
      </c>
      <c r="C627" s="36">
        <v>0</v>
      </c>
      <c r="D627" s="21">
        <v>200000</v>
      </c>
      <c r="E627" s="21">
        <f t="shared" si="13"/>
        <v>1361756339.5</v>
      </c>
      <c r="F627" t="s">
        <v>4</v>
      </c>
      <c r="G627" s="8" t="s">
        <v>5</v>
      </c>
      <c r="H627" t="s">
        <v>1217</v>
      </c>
    </row>
    <row r="628" spans="1:8">
      <c r="A628" s="26">
        <v>46014</v>
      </c>
      <c r="B628" s="7" t="s">
        <v>1233</v>
      </c>
      <c r="C628" s="36">
        <v>300000</v>
      </c>
      <c r="D628" s="21"/>
      <c r="E628" s="21">
        <f t="shared" si="13"/>
        <v>1361456339.5</v>
      </c>
      <c r="F628" t="s">
        <v>28</v>
      </c>
      <c r="G628" s="8" t="s">
        <v>48</v>
      </c>
    </row>
    <row r="629" spans="1:8">
      <c r="A629" s="26">
        <v>46014</v>
      </c>
      <c r="B629" s="7" t="s">
        <v>1234</v>
      </c>
      <c r="C629" s="36">
        <v>150000</v>
      </c>
      <c r="D629" s="21"/>
      <c r="E629" s="21">
        <f t="shared" si="13"/>
        <v>1361306339.5</v>
      </c>
      <c r="F629" t="s">
        <v>28</v>
      </c>
      <c r="G629" s="8" t="s">
        <v>48</v>
      </c>
    </row>
    <row r="630" spans="1:8">
      <c r="A630" s="26">
        <v>46014</v>
      </c>
      <c r="B630" s="7" t="s">
        <v>1235</v>
      </c>
      <c r="C630" s="36">
        <v>300000</v>
      </c>
      <c r="D630" s="21"/>
      <c r="E630" s="21">
        <f t="shared" si="13"/>
        <v>1361006339.5</v>
      </c>
      <c r="F630" t="s">
        <v>28</v>
      </c>
      <c r="G630" s="8" t="s">
        <v>48</v>
      </c>
    </row>
    <row r="631" spans="1:8">
      <c r="A631" s="26">
        <v>46014</v>
      </c>
      <c r="B631" s="7" t="s">
        <v>1236</v>
      </c>
      <c r="C631" s="36">
        <v>300000</v>
      </c>
      <c r="D631" s="21"/>
      <c r="E631" s="21">
        <f t="shared" si="13"/>
        <v>1360706339.5</v>
      </c>
      <c r="F631" t="s">
        <v>28</v>
      </c>
      <c r="G631" s="8" t="s">
        <v>48</v>
      </c>
    </row>
    <row r="632" spans="1:8">
      <c r="A632" s="26">
        <v>46014</v>
      </c>
      <c r="B632" s="7" t="s">
        <v>1237</v>
      </c>
      <c r="C632" s="36">
        <v>150000</v>
      </c>
      <c r="D632" s="21"/>
      <c r="E632" s="21">
        <f t="shared" si="13"/>
        <v>1360556339.5</v>
      </c>
      <c r="F632" t="s">
        <v>28</v>
      </c>
      <c r="G632" s="8" t="s">
        <v>48</v>
      </c>
    </row>
    <row r="633" spans="1:8">
      <c r="A633" s="26">
        <v>46014</v>
      </c>
      <c r="B633" s="7" t="s">
        <v>1238</v>
      </c>
      <c r="C633" s="36">
        <v>300000</v>
      </c>
      <c r="D633" s="21"/>
      <c r="E633" s="21">
        <f t="shared" si="13"/>
        <v>1360256339.5</v>
      </c>
      <c r="F633" t="s">
        <v>28</v>
      </c>
      <c r="G633" s="8" t="s">
        <v>48</v>
      </c>
    </row>
    <row r="634" spans="1:8" hidden="1">
      <c r="A634" s="26">
        <v>46014</v>
      </c>
      <c r="B634" s="7" t="s">
        <v>1239</v>
      </c>
      <c r="C634" s="36">
        <v>600000</v>
      </c>
      <c r="D634" s="21"/>
      <c r="E634" s="21">
        <f t="shared" si="13"/>
        <v>1359656339.5</v>
      </c>
      <c r="F634" t="s">
        <v>4</v>
      </c>
      <c r="G634" s="8" t="s">
        <v>5</v>
      </c>
      <c r="H634" t="s">
        <v>1202</v>
      </c>
    </row>
    <row r="635" spans="1:8" hidden="1">
      <c r="A635" s="26">
        <v>46014</v>
      </c>
      <c r="B635" s="7" t="s">
        <v>1240</v>
      </c>
      <c r="C635" s="36">
        <v>2100000</v>
      </c>
      <c r="D635" s="21"/>
      <c r="E635" s="21">
        <f t="shared" si="13"/>
        <v>1357556339.5</v>
      </c>
      <c r="F635" t="s">
        <v>9</v>
      </c>
      <c r="G635" s="8" t="s">
        <v>124</v>
      </c>
      <c r="H635" t="s">
        <v>1062</v>
      </c>
    </row>
    <row r="636" spans="1:8" hidden="1">
      <c r="A636" s="26">
        <v>46014</v>
      </c>
      <c r="B636" s="7" t="s">
        <v>1241</v>
      </c>
      <c r="C636" s="36"/>
      <c r="D636" s="21">
        <v>86327300</v>
      </c>
      <c r="E636" s="21">
        <f t="shared" si="13"/>
        <v>1443883639.5</v>
      </c>
      <c r="F636" t="s">
        <v>186</v>
      </c>
      <c r="G636" s="8" t="s">
        <v>136</v>
      </c>
      <c r="H636" t="s">
        <v>1059</v>
      </c>
    </row>
    <row r="637" spans="1:8" hidden="1">
      <c r="A637" s="26">
        <v>46019</v>
      </c>
      <c r="B637" s="7" t="s">
        <v>1242</v>
      </c>
      <c r="C637" s="36">
        <v>83500000</v>
      </c>
      <c r="D637" s="21"/>
      <c r="E637" s="21">
        <f t="shared" si="13"/>
        <v>1360383639.5</v>
      </c>
      <c r="F637" t="s">
        <v>28</v>
      </c>
      <c r="G637" s="8" t="s">
        <v>16</v>
      </c>
    </row>
    <row r="638" spans="1:8" hidden="1">
      <c r="A638" s="26">
        <v>46019</v>
      </c>
      <c r="B638" s="7" t="s">
        <v>1243</v>
      </c>
      <c r="C638" s="36">
        <v>1250000</v>
      </c>
      <c r="D638" s="21"/>
      <c r="E638" s="21">
        <f t="shared" si="13"/>
        <v>1359133639.5</v>
      </c>
      <c r="F638" t="s">
        <v>9</v>
      </c>
      <c r="G638" s="8" t="s">
        <v>124</v>
      </c>
      <c r="H638" t="s">
        <v>1261</v>
      </c>
    </row>
    <row r="639" spans="1:8" hidden="1">
      <c r="A639" s="26">
        <v>46019</v>
      </c>
      <c r="B639" s="7" t="s">
        <v>1244</v>
      </c>
      <c r="C639" s="36">
        <v>2000000</v>
      </c>
      <c r="D639" s="21"/>
      <c r="E639" s="21">
        <f t="shared" si="13"/>
        <v>1357133639.5</v>
      </c>
      <c r="F639" t="s">
        <v>9</v>
      </c>
      <c r="G639" s="8" t="s">
        <v>124</v>
      </c>
      <c r="H639" t="s">
        <v>1152</v>
      </c>
    </row>
    <row r="640" spans="1:8" hidden="1">
      <c r="A640" s="26">
        <v>46019</v>
      </c>
      <c r="B640" s="7" t="s">
        <v>1245</v>
      </c>
      <c r="C640" s="36">
        <v>1450000</v>
      </c>
      <c r="D640" s="21"/>
      <c r="E640" s="21">
        <f t="shared" si="13"/>
        <v>1355683639.5</v>
      </c>
      <c r="F640" t="s">
        <v>9</v>
      </c>
      <c r="G640" s="8" t="s">
        <v>124</v>
      </c>
      <c r="H640" t="s">
        <v>1152</v>
      </c>
    </row>
    <row r="641" spans="1:8" hidden="1">
      <c r="A641" s="26">
        <v>46019</v>
      </c>
      <c r="B641" s="7" t="s">
        <v>1246</v>
      </c>
      <c r="C641" s="36">
        <v>1000000</v>
      </c>
      <c r="D641" s="21"/>
      <c r="E641" s="21">
        <f t="shared" si="13"/>
        <v>1354683639.5</v>
      </c>
      <c r="F641" t="s">
        <v>4</v>
      </c>
      <c r="G641" s="8" t="s">
        <v>5</v>
      </c>
      <c r="H641" t="s">
        <v>1217</v>
      </c>
    </row>
    <row r="642" spans="1:8" hidden="1">
      <c r="A642" s="26">
        <v>46019</v>
      </c>
      <c r="B642" s="7" t="s">
        <v>1247</v>
      </c>
      <c r="C642" s="36">
        <v>1000000</v>
      </c>
      <c r="D642" s="21"/>
      <c r="E642" s="21">
        <f t="shared" si="13"/>
        <v>1353683639.5</v>
      </c>
      <c r="F642" t="s">
        <v>4</v>
      </c>
      <c r="G642" s="8" t="s">
        <v>5</v>
      </c>
      <c r="H642" t="s">
        <v>1217</v>
      </c>
    </row>
    <row r="643" spans="1:8" hidden="1">
      <c r="A643" s="26">
        <v>46019</v>
      </c>
      <c r="B643" s="7" t="s">
        <v>1248</v>
      </c>
      <c r="C643" s="36">
        <v>300000</v>
      </c>
      <c r="D643" s="21"/>
      <c r="E643" s="21">
        <f t="shared" si="13"/>
        <v>1353383639.5</v>
      </c>
      <c r="F643" t="s">
        <v>4</v>
      </c>
      <c r="G643" s="8" t="s">
        <v>5</v>
      </c>
      <c r="H643" t="s">
        <v>1217</v>
      </c>
    </row>
    <row r="644" spans="1:8" hidden="1">
      <c r="A644" s="26">
        <v>46019</v>
      </c>
      <c r="B644" s="7" t="s">
        <v>1249</v>
      </c>
      <c r="C644" s="36">
        <v>1450000</v>
      </c>
      <c r="D644" s="21"/>
      <c r="E644" s="21">
        <f t="shared" si="13"/>
        <v>1351933639.5</v>
      </c>
      <c r="F644" t="s">
        <v>9</v>
      </c>
      <c r="G644" s="8" t="s">
        <v>124</v>
      </c>
      <c r="H644" t="s">
        <v>1152</v>
      </c>
    </row>
    <row r="645" spans="1:8" hidden="1">
      <c r="A645" s="26">
        <v>46019</v>
      </c>
      <c r="B645" s="7" t="s">
        <v>1250</v>
      </c>
      <c r="C645" s="36">
        <v>600000</v>
      </c>
      <c r="D645" s="21"/>
      <c r="E645" s="21">
        <f t="shared" si="13"/>
        <v>1351333639.5</v>
      </c>
      <c r="F645" t="s">
        <v>4</v>
      </c>
      <c r="G645" s="8" t="s">
        <v>5</v>
      </c>
      <c r="H645" t="s">
        <v>1217</v>
      </c>
    </row>
    <row r="646" spans="1:8" hidden="1">
      <c r="A646" s="26">
        <v>46019</v>
      </c>
      <c r="B646" s="7" t="s">
        <v>1251</v>
      </c>
      <c r="C646" s="36">
        <v>150000</v>
      </c>
      <c r="D646" s="21"/>
      <c r="E646" s="21">
        <f t="shared" si="13"/>
        <v>1351183639.5</v>
      </c>
      <c r="F646" t="s">
        <v>4</v>
      </c>
      <c r="G646" s="8" t="s">
        <v>5</v>
      </c>
      <c r="H646" t="s">
        <v>1217</v>
      </c>
    </row>
    <row r="647" spans="1:8" hidden="1">
      <c r="A647" s="26">
        <v>46019</v>
      </c>
      <c r="B647" s="7" t="s">
        <v>214</v>
      </c>
      <c r="C647" s="36">
        <v>0</v>
      </c>
      <c r="D647" s="36">
        <v>2000000</v>
      </c>
      <c r="E647" s="21">
        <f t="shared" si="13"/>
        <v>1353183639.5</v>
      </c>
      <c r="F647" t="s">
        <v>9</v>
      </c>
      <c r="G647" s="8" t="s">
        <v>33</v>
      </c>
      <c r="H647" t="s">
        <v>10</v>
      </c>
    </row>
    <row r="648" spans="1:8" hidden="1">
      <c r="A648" s="26">
        <v>46019</v>
      </c>
      <c r="B648" s="7" t="s">
        <v>226</v>
      </c>
      <c r="C648" s="36"/>
      <c r="D648" s="21">
        <v>2000000</v>
      </c>
      <c r="E648" s="21">
        <f t="shared" si="13"/>
        <v>1355183639.5</v>
      </c>
      <c r="F648" t="s">
        <v>9</v>
      </c>
      <c r="G648" s="8" t="s">
        <v>33</v>
      </c>
      <c r="H648" t="s">
        <v>26</v>
      </c>
    </row>
    <row r="649" spans="1:8" hidden="1">
      <c r="A649" s="26">
        <v>46019</v>
      </c>
      <c r="B649" s="7" t="s">
        <v>97</v>
      </c>
      <c r="C649" s="36"/>
      <c r="D649" s="21">
        <v>500000</v>
      </c>
      <c r="E649" s="21">
        <f t="shared" si="13"/>
        <v>1355683639.5</v>
      </c>
      <c r="F649" t="s">
        <v>9</v>
      </c>
      <c r="G649" s="8" t="s">
        <v>33</v>
      </c>
      <c r="H649" t="s">
        <v>45</v>
      </c>
    </row>
    <row r="650" spans="1:8" hidden="1">
      <c r="A650" s="26">
        <v>46019</v>
      </c>
      <c r="B650" s="7" t="s">
        <v>1252</v>
      </c>
      <c r="C650" s="36"/>
      <c r="D650" s="21">
        <v>1700000</v>
      </c>
      <c r="E650" s="21">
        <f t="shared" si="13"/>
        <v>1357383639.5</v>
      </c>
      <c r="F650" t="s">
        <v>9</v>
      </c>
      <c r="G650" s="8" t="s">
        <v>33</v>
      </c>
      <c r="H650" t="s">
        <v>45</v>
      </c>
    </row>
    <row r="651" spans="1:8" hidden="1">
      <c r="A651" s="26">
        <v>46020</v>
      </c>
      <c r="B651" s="7" t="s">
        <v>1253</v>
      </c>
      <c r="C651" s="36"/>
      <c r="D651" s="21">
        <v>10000000</v>
      </c>
      <c r="E651" s="21">
        <f t="shared" si="13"/>
        <v>1367383639.5</v>
      </c>
      <c r="F651" t="s">
        <v>9</v>
      </c>
      <c r="G651" s="8" t="s">
        <v>33</v>
      </c>
      <c r="H651" t="s">
        <v>24</v>
      </c>
    </row>
    <row r="652" spans="1:8" hidden="1">
      <c r="A652" s="26">
        <v>46021</v>
      </c>
      <c r="B652" s="7" t="s">
        <v>1254</v>
      </c>
      <c r="C652" s="36"/>
      <c r="D652" s="21">
        <v>20000000</v>
      </c>
      <c r="E652" s="21">
        <f t="shared" si="13"/>
        <v>1387383639.5</v>
      </c>
      <c r="F652" t="s">
        <v>9</v>
      </c>
      <c r="G652" s="8" t="s">
        <v>33</v>
      </c>
      <c r="H652" t="s">
        <v>125</v>
      </c>
    </row>
    <row r="653" spans="1:8">
      <c r="A653" s="26">
        <v>46021</v>
      </c>
      <c r="B653" s="7" t="s">
        <v>1255</v>
      </c>
      <c r="C653" s="36"/>
      <c r="D653" s="21">
        <v>2450000</v>
      </c>
      <c r="E653" s="21">
        <f t="shared" si="13"/>
        <v>1389833639.5</v>
      </c>
      <c r="F653" t="s">
        <v>28</v>
      </c>
      <c r="G653" s="8" t="s">
        <v>48</v>
      </c>
    </row>
    <row r="654" spans="1:8" hidden="1">
      <c r="A654" s="26">
        <v>46021</v>
      </c>
      <c r="B654" s="7" t="s">
        <v>1256</v>
      </c>
      <c r="C654" s="36">
        <v>500000000</v>
      </c>
      <c r="D654" s="21"/>
      <c r="E654" s="21">
        <f t="shared" si="13"/>
        <v>889833639.5</v>
      </c>
      <c r="F654" t="s">
        <v>9</v>
      </c>
      <c r="G654" s="8" t="s">
        <v>44</v>
      </c>
      <c r="H654" t="s">
        <v>1262</v>
      </c>
    </row>
    <row r="655" spans="1:8" hidden="1">
      <c r="A655" s="26">
        <v>46022</v>
      </c>
      <c r="B655" s="7" t="s">
        <v>1257</v>
      </c>
      <c r="C655" s="36">
        <v>500000000</v>
      </c>
      <c r="D655" s="21"/>
      <c r="E655" s="21">
        <f t="shared" si="13"/>
        <v>389833639.5</v>
      </c>
      <c r="F655" t="s">
        <v>9</v>
      </c>
      <c r="G655" s="8" t="s">
        <v>44</v>
      </c>
      <c r="H655" t="s">
        <v>1262</v>
      </c>
    </row>
    <row r="656" spans="1:8" hidden="1">
      <c r="A656" s="26">
        <v>46022</v>
      </c>
      <c r="B656" s="7" t="s">
        <v>1258</v>
      </c>
      <c r="C656" s="36">
        <v>25000</v>
      </c>
      <c r="D656" s="21"/>
      <c r="E656" s="21">
        <f t="shared" si="13"/>
        <v>389808639.5</v>
      </c>
      <c r="F656" t="s">
        <v>14</v>
      </c>
      <c r="G656" s="8" t="s">
        <v>50</v>
      </c>
    </row>
    <row r="657" spans="1:8" hidden="1">
      <c r="A657" s="26">
        <v>46022</v>
      </c>
      <c r="B657" s="7" t="s">
        <v>1259</v>
      </c>
      <c r="C657" s="36">
        <v>385000000</v>
      </c>
      <c r="D657" s="21"/>
      <c r="E657" s="21">
        <f t="shared" si="13"/>
        <v>4808639.5</v>
      </c>
      <c r="F657" t="s">
        <v>9</v>
      </c>
      <c r="G657" s="8" t="s">
        <v>44</v>
      </c>
      <c r="H657" t="s">
        <v>1262</v>
      </c>
    </row>
    <row r="658" spans="1:8" hidden="1">
      <c r="A658" s="26">
        <v>46022</v>
      </c>
      <c r="B658" s="7" t="s">
        <v>907</v>
      </c>
      <c r="C658" s="36"/>
      <c r="D658" s="21">
        <v>16000000</v>
      </c>
      <c r="E658" s="21">
        <f t="shared" si="13"/>
        <v>20808639.5</v>
      </c>
      <c r="F658" t="s">
        <v>6</v>
      </c>
      <c r="G658" s="8" t="s">
        <v>17</v>
      </c>
      <c r="H658" t="s">
        <v>18</v>
      </c>
    </row>
    <row r="659" spans="1:8" hidden="1">
      <c r="A659" s="26">
        <v>46022</v>
      </c>
      <c r="B659" s="7" t="s">
        <v>75</v>
      </c>
      <c r="C659" s="36"/>
      <c r="D659" s="21">
        <v>7210.16</v>
      </c>
      <c r="E659" s="21">
        <f t="shared" si="13"/>
        <v>20815849.66</v>
      </c>
      <c r="F659" t="s">
        <v>252</v>
      </c>
      <c r="G659" s="8" t="s">
        <v>34</v>
      </c>
    </row>
    <row r="660" spans="1:8" hidden="1">
      <c r="A660" s="26">
        <v>46022</v>
      </c>
      <c r="B660" s="7" t="s">
        <v>76</v>
      </c>
      <c r="C660" s="36">
        <v>1442.03</v>
      </c>
      <c r="D660" s="21"/>
      <c r="E660" s="21">
        <f t="shared" ref="E660" si="14">E659-C660+D660</f>
        <v>20814407.629999999</v>
      </c>
      <c r="F660" t="s">
        <v>252</v>
      </c>
      <c r="G660" s="8" t="s">
        <v>34</v>
      </c>
    </row>
    <row r="662" spans="1:8">
      <c r="C662" s="35">
        <f>SUBTOTAL(9,C5:C661)</f>
        <v>3250000</v>
      </c>
      <c r="D662" s="35">
        <f>SUBTOTAL(9,D5:D661)</f>
        <v>2450000</v>
      </c>
    </row>
    <row r="663" spans="1:8">
      <c r="D663" s="35">
        <f>D662-C662</f>
        <v>-800000</v>
      </c>
    </row>
  </sheetData>
  <autoFilter ref="A4:I660" xr:uid="{CE916591-3D53-2B4D-A9DE-438AD102374C}">
    <filterColumn colId="6">
      <filters>
        <filter val="HR Development"/>
      </filters>
    </filterColumn>
  </autoFilter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7EC90-AFE8-8B47-8DF8-3157BA035D21}">
  <dimension ref="A1:AL309"/>
  <sheetViews>
    <sheetView tabSelected="1" topLeftCell="V1" zoomScale="91" zoomScaleNormal="93" workbookViewId="0">
      <selection activeCell="T19" sqref="T19"/>
    </sheetView>
  </sheetViews>
  <sheetFormatPr defaultColWidth="4.3125" defaultRowHeight="15.45"/>
  <cols>
    <col min="1" max="1" width="6.5" style="39" customWidth="1"/>
    <col min="2" max="2" width="21.5" style="38" customWidth="1"/>
    <col min="3" max="3" width="12.1875" style="126" customWidth="1"/>
    <col min="4" max="4" width="7.1875" style="39" customWidth="1"/>
    <col min="5" max="5" width="54.3125" style="38" customWidth="1"/>
    <col min="6" max="6" width="61" style="38" customWidth="1"/>
    <col min="7" max="7" width="73.6875" style="38" customWidth="1"/>
    <col min="8" max="8" width="21" style="51" customWidth="1"/>
    <col min="9" max="9" width="20.5" style="51" customWidth="1"/>
    <col min="10" max="10" width="22.5" style="51" customWidth="1"/>
    <col min="11" max="11" width="24" style="51" bestFit="1" customWidth="1"/>
    <col min="12" max="12" width="18.6875" style="110" customWidth="1"/>
    <col min="13" max="14" width="19" style="79" customWidth="1"/>
    <col min="15" max="15" width="24.1875" style="79" customWidth="1"/>
    <col min="16" max="16" width="25" style="79" customWidth="1"/>
    <col min="17" max="18" width="19.3125" style="79" customWidth="1"/>
    <col min="19" max="19" width="18.6875" style="79" customWidth="1"/>
    <col min="20" max="20" width="14.5" style="79" customWidth="1"/>
    <col min="21" max="21" width="18.5" style="79" customWidth="1"/>
    <col min="22" max="22" width="18.8125" style="79" customWidth="1"/>
    <col min="23" max="23" width="20" style="79" customWidth="1"/>
    <col min="24" max="24" width="21.6875" style="79" customWidth="1"/>
    <col min="25" max="25" width="6" style="86" customWidth="1"/>
    <col min="26" max="26" width="20.8125" style="86" customWidth="1"/>
    <col min="27" max="27" width="19" style="79" customWidth="1"/>
    <col min="28" max="29" width="21.1875" style="79" customWidth="1"/>
    <col min="30" max="30" width="72.6875" style="38" customWidth="1"/>
    <col min="31" max="16384" width="4.3125" style="38"/>
  </cols>
  <sheetData>
    <row r="1" spans="1:38">
      <c r="A1" s="37" t="s">
        <v>520</v>
      </c>
      <c r="B1" s="44"/>
      <c r="C1" s="14"/>
      <c r="D1" s="43"/>
      <c r="F1" s="46"/>
      <c r="J1" s="51" t="s">
        <v>19</v>
      </c>
      <c r="K1" s="130" t="s">
        <v>19</v>
      </c>
      <c r="L1" s="131" t="s">
        <v>19</v>
      </c>
    </row>
    <row r="2" spans="1:38" ht="15.9" thickBot="1">
      <c r="B2" s="15" t="s">
        <v>19</v>
      </c>
      <c r="C2" s="22" t="s">
        <v>19</v>
      </c>
      <c r="D2" s="43" t="s">
        <v>19</v>
      </c>
      <c r="E2" s="44" t="s">
        <v>19</v>
      </c>
      <c r="F2" s="38" t="s">
        <v>19</v>
      </c>
      <c r="H2" s="62" t="s">
        <v>19</v>
      </c>
      <c r="I2" s="62">
        <v>0</v>
      </c>
      <c r="J2" s="60" t="s">
        <v>19</v>
      </c>
      <c r="L2" s="75" t="s">
        <v>19</v>
      </c>
      <c r="P2" s="105" t="s">
        <v>19</v>
      </c>
      <c r="Z2" s="87"/>
    </row>
    <row r="3" spans="1:38" ht="15.9" thickBot="1">
      <c r="A3" s="34" t="s">
        <v>104</v>
      </c>
      <c r="B3" s="30" t="s">
        <v>105</v>
      </c>
      <c r="C3" s="40" t="s">
        <v>35</v>
      </c>
      <c r="D3" s="30" t="s">
        <v>36</v>
      </c>
      <c r="E3" s="30" t="s">
        <v>57</v>
      </c>
      <c r="F3" s="30" t="s">
        <v>58</v>
      </c>
      <c r="G3" s="132" t="s">
        <v>37</v>
      </c>
      <c r="H3" s="52"/>
      <c r="I3" s="53"/>
      <c r="J3" s="54"/>
      <c r="K3" s="55"/>
      <c r="L3" s="75"/>
      <c r="M3" s="102"/>
      <c r="N3" s="103"/>
      <c r="O3" s="103"/>
      <c r="P3" s="103"/>
      <c r="Q3" s="103"/>
      <c r="R3" s="104"/>
      <c r="S3" s="103"/>
      <c r="T3" s="103"/>
      <c r="U3" s="103"/>
      <c r="V3" s="103"/>
      <c r="W3" s="80"/>
      <c r="X3" s="88" t="s">
        <v>43</v>
      </c>
      <c r="Y3" s="33"/>
      <c r="Z3" s="89" t="s">
        <v>59</v>
      </c>
      <c r="AA3" s="90" t="s">
        <v>41</v>
      </c>
      <c r="AB3" s="91"/>
      <c r="AC3" s="92"/>
      <c r="AD3" s="41" t="s">
        <v>60</v>
      </c>
    </row>
    <row r="4" spans="1:38" s="39" customFormat="1" ht="15.9" thickBot="1">
      <c r="A4" s="13" t="s">
        <v>19</v>
      </c>
      <c r="B4" s="13"/>
      <c r="C4" s="74"/>
      <c r="D4" s="13"/>
      <c r="E4" s="13"/>
      <c r="F4" s="13"/>
      <c r="G4" s="13"/>
      <c r="H4" s="56" t="s">
        <v>38</v>
      </c>
      <c r="I4" s="57" t="s">
        <v>39</v>
      </c>
      <c r="J4" s="58" t="s">
        <v>40</v>
      </c>
      <c r="K4" s="59" t="s">
        <v>1287</v>
      </c>
      <c r="L4" s="75" t="s">
        <v>521</v>
      </c>
      <c r="M4" s="95" t="s">
        <v>130</v>
      </c>
      <c r="N4" s="81" t="s">
        <v>129</v>
      </c>
      <c r="O4" s="81" t="s">
        <v>1028</v>
      </c>
      <c r="P4" s="81" t="s">
        <v>1029</v>
      </c>
      <c r="Q4" s="81" t="s">
        <v>127</v>
      </c>
      <c r="R4" s="81" t="s">
        <v>128</v>
      </c>
      <c r="S4" s="81" t="s">
        <v>23</v>
      </c>
      <c r="T4" s="81" t="s">
        <v>54</v>
      </c>
      <c r="U4" s="81" t="s">
        <v>42</v>
      </c>
      <c r="V4" s="81" t="s">
        <v>53</v>
      </c>
      <c r="W4" s="81" t="s">
        <v>61</v>
      </c>
      <c r="X4" s="93" t="s">
        <v>22</v>
      </c>
      <c r="Y4" s="33"/>
      <c r="Z4" s="94"/>
      <c r="AA4" s="81"/>
      <c r="AB4" s="95" t="s">
        <v>62</v>
      </c>
      <c r="AC4" s="96" t="s">
        <v>63</v>
      </c>
      <c r="AD4" s="42"/>
    </row>
    <row r="5" spans="1:38" s="45" customFormat="1">
      <c r="A5" s="43">
        <v>1</v>
      </c>
      <c r="B5" s="15" t="s">
        <v>307</v>
      </c>
      <c r="C5" s="22">
        <v>45674</v>
      </c>
      <c r="D5" s="14">
        <v>2025</v>
      </c>
      <c r="E5" s="44" t="s">
        <v>92</v>
      </c>
      <c r="F5" s="44" t="s">
        <v>296</v>
      </c>
      <c r="G5" s="44" t="s">
        <v>407</v>
      </c>
      <c r="H5" s="60">
        <v>75000000</v>
      </c>
      <c r="I5" s="60">
        <v>0</v>
      </c>
      <c r="J5" s="60">
        <f>H5*11%</f>
        <v>8250000</v>
      </c>
      <c r="K5" s="60">
        <f t="shared" ref="K5:K68" si="0">SUM(H5:J5)</f>
        <v>83250000</v>
      </c>
      <c r="L5" s="75">
        <v>45721</v>
      </c>
      <c r="M5" s="83">
        <v>0</v>
      </c>
      <c r="N5" s="82">
        <v>0</v>
      </c>
      <c r="O5" s="82">
        <v>0</v>
      </c>
      <c r="P5" s="82">
        <v>73500000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9750000</v>
      </c>
      <c r="X5" s="82">
        <f t="shared" ref="X5:X68" si="1">K5-SUM(M5:W5)</f>
        <v>0</v>
      </c>
      <c r="Y5" s="82"/>
      <c r="Z5" s="47">
        <f t="shared" ref="Z5:Z68" si="2">-J5</f>
        <v>-8250000</v>
      </c>
      <c r="AA5" s="97">
        <f>-(H5+I5)*2%</f>
        <v>-1500000</v>
      </c>
      <c r="AB5" s="82">
        <f>K5+Z5+AA5</f>
        <v>73500000</v>
      </c>
      <c r="AC5" s="98">
        <v>0</v>
      </c>
      <c r="AD5" s="15"/>
    </row>
    <row r="6" spans="1:38" s="63" customFormat="1">
      <c r="A6" s="43">
        <f>A5+1</f>
        <v>2</v>
      </c>
      <c r="B6" s="15" t="s">
        <v>308</v>
      </c>
      <c r="C6" s="22">
        <v>45689</v>
      </c>
      <c r="D6" s="14">
        <v>2025</v>
      </c>
      <c r="E6" s="44" t="s">
        <v>66</v>
      </c>
      <c r="F6" s="44" t="s">
        <v>296</v>
      </c>
      <c r="G6" s="63" t="s">
        <v>407</v>
      </c>
      <c r="H6" s="62">
        <v>675675676</v>
      </c>
      <c r="I6" s="62">
        <v>0</v>
      </c>
      <c r="J6" s="60">
        <v>74324324</v>
      </c>
      <c r="K6" s="60">
        <f t="shared" si="0"/>
        <v>750000000</v>
      </c>
      <c r="L6" s="75">
        <v>45720</v>
      </c>
      <c r="M6" s="83">
        <v>0</v>
      </c>
      <c r="N6" s="83">
        <v>0</v>
      </c>
      <c r="O6" s="82">
        <v>0</v>
      </c>
      <c r="P6" s="82">
        <v>662162163</v>
      </c>
      <c r="Q6" s="83">
        <v>0</v>
      </c>
      <c r="R6" s="83">
        <v>0</v>
      </c>
      <c r="S6" s="83">
        <v>0</v>
      </c>
      <c r="T6" s="83">
        <v>0</v>
      </c>
      <c r="U6" s="82">
        <v>0</v>
      </c>
      <c r="V6" s="83">
        <v>0</v>
      </c>
      <c r="W6" s="82">
        <v>87837837</v>
      </c>
      <c r="X6" s="82">
        <f t="shared" si="1"/>
        <v>0</v>
      </c>
      <c r="Y6" s="47"/>
      <c r="Z6" s="47">
        <f t="shared" si="2"/>
        <v>-74324324</v>
      </c>
      <c r="AA6" s="97">
        <v>0</v>
      </c>
      <c r="AB6" s="82">
        <v>0</v>
      </c>
      <c r="AC6" s="98">
        <f>K6+AA6</f>
        <v>750000000</v>
      </c>
      <c r="AD6" s="44"/>
      <c r="AE6" s="24" t="s">
        <v>19</v>
      </c>
      <c r="AF6"/>
      <c r="AG6"/>
      <c r="AH6"/>
      <c r="AI6"/>
      <c r="AJ6"/>
      <c r="AK6"/>
      <c r="AL6"/>
    </row>
    <row r="7" spans="1:38" s="45" customFormat="1">
      <c r="A7" s="43">
        <f t="shared" ref="A7:A70" si="3">A6+1</f>
        <v>3</v>
      </c>
      <c r="B7" s="15" t="s">
        <v>309</v>
      </c>
      <c r="C7" s="22">
        <v>45689</v>
      </c>
      <c r="D7" s="14">
        <v>2025</v>
      </c>
      <c r="E7" s="44" t="s">
        <v>103</v>
      </c>
      <c r="F7" s="44" t="s">
        <v>296</v>
      </c>
      <c r="G7" s="44" t="s">
        <v>407</v>
      </c>
      <c r="H7" s="60">
        <v>225225225</v>
      </c>
      <c r="I7" s="60">
        <v>0</v>
      </c>
      <c r="J7" s="60">
        <v>24774775</v>
      </c>
      <c r="K7" s="60">
        <f t="shared" si="0"/>
        <v>250000000</v>
      </c>
      <c r="L7" s="75">
        <v>45705</v>
      </c>
      <c r="M7" s="83">
        <v>0</v>
      </c>
      <c r="N7" s="82">
        <v>0</v>
      </c>
      <c r="O7" s="82">
        <v>0</v>
      </c>
      <c r="P7" s="82">
        <v>0</v>
      </c>
      <c r="Q7" s="82">
        <v>0</v>
      </c>
      <c r="R7" s="82">
        <v>0</v>
      </c>
      <c r="S7" s="82">
        <v>220720720</v>
      </c>
      <c r="T7" s="82">
        <v>0</v>
      </c>
      <c r="U7" s="82">
        <v>0</v>
      </c>
      <c r="V7" s="82">
        <v>0</v>
      </c>
      <c r="W7" s="82">
        <v>29279280</v>
      </c>
      <c r="X7" s="82">
        <f t="shared" si="1"/>
        <v>0</v>
      </c>
      <c r="Y7" s="82"/>
      <c r="Z7" s="47">
        <f t="shared" si="2"/>
        <v>-24774775</v>
      </c>
      <c r="AA7" s="97">
        <f t="shared" ref="AA7:AA12" si="4">-(H7+I7)*2%</f>
        <v>-4504504.5</v>
      </c>
      <c r="AB7" s="82">
        <f>K7+Z7+AA7</f>
        <v>220720720.5</v>
      </c>
      <c r="AC7" s="83">
        <v>0</v>
      </c>
      <c r="AD7" s="15"/>
    </row>
    <row r="8" spans="1:38" s="45" customFormat="1">
      <c r="A8" s="43">
        <f t="shared" si="3"/>
        <v>4</v>
      </c>
      <c r="B8" s="15" t="s">
        <v>310</v>
      </c>
      <c r="C8" s="22">
        <v>45689</v>
      </c>
      <c r="D8" s="14">
        <v>2025</v>
      </c>
      <c r="E8" s="44" t="s">
        <v>108</v>
      </c>
      <c r="F8" s="44" t="s">
        <v>296</v>
      </c>
      <c r="G8" s="44" t="s">
        <v>407</v>
      </c>
      <c r="H8" s="60">
        <v>75000000</v>
      </c>
      <c r="I8" s="60">
        <v>0</v>
      </c>
      <c r="J8" s="60">
        <v>8250000</v>
      </c>
      <c r="K8" s="60">
        <f t="shared" si="0"/>
        <v>83250000</v>
      </c>
      <c r="L8" s="75">
        <v>45756</v>
      </c>
      <c r="M8" s="83">
        <v>0</v>
      </c>
      <c r="N8" s="82">
        <v>0</v>
      </c>
      <c r="O8" s="82">
        <v>0</v>
      </c>
      <c r="P8" s="82">
        <v>73500000</v>
      </c>
      <c r="Q8" s="82">
        <v>0</v>
      </c>
      <c r="R8" s="82">
        <v>0</v>
      </c>
      <c r="S8" s="82">
        <v>0</v>
      </c>
      <c r="T8" s="82">
        <v>0</v>
      </c>
      <c r="U8" s="82">
        <v>0</v>
      </c>
      <c r="V8" s="82">
        <v>0</v>
      </c>
      <c r="W8" s="82">
        <v>9750000</v>
      </c>
      <c r="X8" s="82">
        <f t="shared" si="1"/>
        <v>0</v>
      </c>
      <c r="Y8" s="82"/>
      <c r="Z8" s="47">
        <f t="shared" si="2"/>
        <v>-8250000</v>
      </c>
      <c r="AA8" s="97">
        <f t="shared" si="4"/>
        <v>-1500000</v>
      </c>
      <c r="AB8" s="82">
        <f>K8+Z8+AA8</f>
        <v>73500000</v>
      </c>
      <c r="AC8" s="83">
        <v>0</v>
      </c>
      <c r="AD8" s="15"/>
    </row>
    <row r="9" spans="1:38" s="63" customFormat="1">
      <c r="A9" s="43">
        <f t="shared" si="3"/>
        <v>5</v>
      </c>
      <c r="B9" s="15" t="s">
        <v>311</v>
      </c>
      <c r="C9" s="22">
        <v>45687</v>
      </c>
      <c r="D9" s="14">
        <v>2025</v>
      </c>
      <c r="E9" s="63" t="s">
        <v>68</v>
      </c>
      <c r="F9" s="44" t="s">
        <v>296</v>
      </c>
      <c r="G9" s="44" t="s">
        <v>407</v>
      </c>
      <c r="H9" s="64">
        <v>675675676</v>
      </c>
      <c r="I9" s="64">
        <v>0</v>
      </c>
      <c r="J9" s="64">
        <v>74324324</v>
      </c>
      <c r="K9" s="60">
        <f t="shared" si="0"/>
        <v>750000000</v>
      </c>
      <c r="L9" s="75">
        <v>45706</v>
      </c>
      <c r="M9" s="83">
        <v>0</v>
      </c>
      <c r="N9" s="83">
        <v>0</v>
      </c>
      <c r="O9" s="83">
        <v>0</v>
      </c>
      <c r="P9" s="83">
        <v>0</v>
      </c>
      <c r="Q9" s="83">
        <v>0</v>
      </c>
      <c r="R9" s="83">
        <v>662162162</v>
      </c>
      <c r="S9" s="83">
        <v>0</v>
      </c>
      <c r="T9" s="83">
        <v>0</v>
      </c>
      <c r="U9" s="82">
        <v>0</v>
      </c>
      <c r="V9" s="83">
        <v>0</v>
      </c>
      <c r="W9" s="83">
        <v>87837838</v>
      </c>
      <c r="X9" s="82">
        <f t="shared" si="1"/>
        <v>0</v>
      </c>
      <c r="Y9" s="47"/>
      <c r="Z9" s="47">
        <f t="shared" si="2"/>
        <v>-74324324</v>
      </c>
      <c r="AA9" s="97">
        <f t="shared" si="4"/>
        <v>-13513513.52</v>
      </c>
      <c r="AB9" s="82">
        <f>K9+Z9+AA9</f>
        <v>662162162.48000002</v>
      </c>
      <c r="AC9" s="83">
        <v>0</v>
      </c>
      <c r="AD9" s="44"/>
    </row>
    <row r="10" spans="1:38" s="63" customFormat="1">
      <c r="A10" s="43">
        <f t="shared" si="3"/>
        <v>6</v>
      </c>
      <c r="B10" s="15" t="s">
        <v>312</v>
      </c>
      <c r="C10" s="22">
        <v>45687</v>
      </c>
      <c r="D10" s="14">
        <v>2025</v>
      </c>
      <c r="E10" s="63" t="s">
        <v>68</v>
      </c>
      <c r="F10" s="63" t="s">
        <v>296</v>
      </c>
      <c r="G10" s="63" t="s">
        <v>408</v>
      </c>
      <c r="H10" s="64">
        <v>5000000</v>
      </c>
      <c r="I10" s="64">
        <v>0</v>
      </c>
      <c r="J10" s="64">
        <v>550000</v>
      </c>
      <c r="K10" s="60">
        <f t="shared" si="0"/>
        <v>5550000</v>
      </c>
      <c r="L10" s="75">
        <v>45708</v>
      </c>
      <c r="M10" s="83">
        <v>0</v>
      </c>
      <c r="N10" s="83">
        <v>0</v>
      </c>
      <c r="O10" s="83">
        <v>0</v>
      </c>
      <c r="P10" s="83">
        <v>0</v>
      </c>
      <c r="Q10" s="83">
        <v>0</v>
      </c>
      <c r="R10" s="83">
        <v>5450000</v>
      </c>
      <c r="S10" s="83">
        <v>0</v>
      </c>
      <c r="T10" s="83">
        <v>0</v>
      </c>
      <c r="U10" s="82">
        <v>0</v>
      </c>
      <c r="V10" s="83">
        <v>0</v>
      </c>
      <c r="W10" s="83">
        <v>100000</v>
      </c>
      <c r="X10" s="82">
        <f>K10-SUM(M10:W10)</f>
        <v>0</v>
      </c>
      <c r="Y10" s="47"/>
      <c r="Z10" s="47">
        <f t="shared" si="2"/>
        <v>-550000</v>
      </c>
      <c r="AA10" s="97">
        <f t="shared" si="4"/>
        <v>-100000</v>
      </c>
      <c r="AB10" s="82">
        <v>0</v>
      </c>
      <c r="AC10" s="98">
        <f>K10+AA10</f>
        <v>5450000</v>
      </c>
      <c r="AD10" s="44"/>
    </row>
    <row r="11" spans="1:38" s="63" customFormat="1">
      <c r="A11" s="43">
        <f t="shared" si="3"/>
        <v>7</v>
      </c>
      <c r="B11" s="15" t="s">
        <v>313</v>
      </c>
      <c r="C11" s="22">
        <v>45692</v>
      </c>
      <c r="D11" s="14">
        <v>2025</v>
      </c>
      <c r="E11" s="44" t="s">
        <v>103</v>
      </c>
      <c r="F11" s="44" t="s">
        <v>296</v>
      </c>
      <c r="G11" s="44" t="s">
        <v>408</v>
      </c>
      <c r="H11" s="60">
        <v>11060000</v>
      </c>
      <c r="I11" s="60">
        <v>0</v>
      </c>
      <c r="J11" s="60">
        <v>1216600</v>
      </c>
      <c r="K11" s="60">
        <f t="shared" si="0"/>
        <v>12276600</v>
      </c>
      <c r="L11" s="75">
        <v>45701</v>
      </c>
      <c r="M11" s="83">
        <v>0</v>
      </c>
      <c r="N11" s="83">
        <v>0</v>
      </c>
      <c r="O11" s="83">
        <v>0</v>
      </c>
      <c r="P11" s="83">
        <v>0</v>
      </c>
      <c r="Q11" s="83">
        <v>0</v>
      </c>
      <c r="R11" s="83">
        <v>0</v>
      </c>
      <c r="S11" s="83">
        <v>10838800</v>
      </c>
      <c r="T11" s="83">
        <v>0</v>
      </c>
      <c r="U11" s="82">
        <v>0</v>
      </c>
      <c r="V11" s="83">
        <v>0</v>
      </c>
      <c r="W11" s="83">
        <v>1437800</v>
      </c>
      <c r="X11" s="82">
        <f t="shared" si="1"/>
        <v>0</v>
      </c>
      <c r="Y11" s="47"/>
      <c r="Z11" s="47">
        <f t="shared" si="2"/>
        <v>-1216600</v>
      </c>
      <c r="AA11" s="97">
        <f t="shared" si="4"/>
        <v>-221200</v>
      </c>
      <c r="AB11" s="82">
        <f>K11+Z11+AA11</f>
        <v>10838800</v>
      </c>
      <c r="AC11" s="83">
        <v>0</v>
      </c>
      <c r="AD11" s="44"/>
    </row>
    <row r="12" spans="1:38" s="45" customFormat="1">
      <c r="A12" s="43">
        <f t="shared" si="3"/>
        <v>8</v>
      </c>
      <c r="B12" s="15" t="s">
        <v>314</v>
      </c>
      <c r="C12" s="22">
        <v>45679</v>
      </c>
      <c r="D12" s="14">
        <v>2025</v>
      </c>
      <c r="E12" s="44" t="s">
        <v>109</v>
      </c>
      <c r="F12" s="44" t="s">
        <v>296</v>
      </c>
      <c r="G12" s="44" t="s">
        <v>407</v>
      </c>
      <c r="H12" s="60">
        <v>5000000</v>
      </c>
      <c r="I12" s="60">
        <v>0</v>
      </c>
      <c r="J12" s="60">
        <v>550000</v>
      </c>
      <c r="K12" s="60">
        <f t="shared" si="0"/>
        <v>5550000</v>
      </c>
      <c r="L12" s="75">
        <v>45693</v>
      </c>
      <c r="M12" s="83">
        <v>0</v>
      </c>
      <c r="N12" s="82">
        <v>0</v>
      </c>
      <c r="O12" s="82">
        <v>0</v>
      </c>
      <c r="P12" s="82">
        <v>5550000</v>
      </c>
      <c r="Q12" s="82">
        <v>0</v>
      </c>
      <c r="R12" s="82">
        <v>0</v>
      </c>
      <c r="S12" s="82">
        <v>0</v>
      </c>
      <c r="T12" s="82">
        <v>0</v>
      </c>
      <c r="U12" s="82">
        <v>0</v>
      </c>
      <c r="V12" s="82">
        <v>0</v>
      </c>
      <c r="W12" s="82">
        <v>0</v>
      </c>
      <c r="X12" s="82">
        <f t="shared" si="1"/>
        <v>0</v>
      </c>
      <c r="Y12" s="82"/>
      <c r="Z12" s="47">
        <f t="shared" si="2"/>
        <v>-550000</v>
      </c>
      <c r="AA12" s="97">
        <f t="shared" si="4"/>
        <v>-100000</v>
      </c>
      <c r="AB12" s="82">
        <f>K12+Z12+AA12</f>
        <v>4900000</v>
      </c>
      <c r="AC12" s="83">
        <v>0</v>
      </c>
      <c r="AD12" s="15"/>
      <c r="AE12" s="45" t="s">
        <v>19</v>
      </c>
      <c r="AG12" s="45" t="s">
        <v>19</v>
      </c>
    </row>
    <row r="13" spans="1:38" s="63" customFormat="1">
      <c r="A13" s="43">
        <f t="shared" si="3"/>
        <v>9</v>
      </c>
      <c r="B13" s="15" t="s">
        <v>315</v>
      </c>
      <c r="C13" s="22">
        <v>45692</v>
      </c>
      <c r="D13" s="14">
        <v>2025</v>
      </c>
      <c r="E13" s="44" t="s">
        <v>100</v>
      </c>
      <c r="F13" s="44" t="s">
        <v>296</v>
      </c>
      <c r="G13" s="44" t="s">
        <v>408</v>
      </c>
      <c r="H13" s="62">
        <v>5600000</v>
      </c>
      <c r="I13" s="62">
        <v>0</v>
      </c>
      <c r="J13" s="62">
        <v>616000</v>
      </c>
      <c r="K13" s="60">
        <f t="shared" si="0"/>
        <v>6216000</v>
      </c>
      <c r="L13" s="75">
        <v>45698</v>
      </c>
      <c r="M13" s="83">
        <v>0</v>
      </c>
      <c r="N13" s="83">
        <v>0</v>
      </c>
      <c r="O13" s="83">
        <v>0</v>
      </c>
      <c r="P13" s="83">
        <v>6216000</v>
      </c>
      <c r="Q13" s="83">
        <v>0</v>
      </c>
      <c r="R13" s="83">
        <v>0</v>
      </c>
      <c r="S13" s="83">
        <v>0</v>
      </c>
      <c r="T13" s="83">
        <v>0</v>
      </c>
      <c r="U13" s="82">
        <v>0</v>
      </c>
      <c r="V13" s="83">
        <v>0</v>
      </c>
      <c r="W13" s="83">
        <v>0</v>
      </c>
      <c r="X13" s="82">
        <f t="shared" si="1"/>
        <v>0</v>
      </c>
      <c r="Y13" s="47"/>
      <c r="Z13" s="47">
        <f t="shared" si="2"/>
        <v>-616000</v>
      </c>
      <c r="AA13" s="97">
        <v>0</v>
      </c>
      <c r="AB13" s="82">
        <v>0</v>
      </c>
      <c r="AC13" s="98">
        <f>K13+AA13</f>
        <v>6216000</v>
      </c>
      <c r="AD13" s="44"/>
    </row>
    <row r="14" spans="1:38" s="63" customFormat="1">
      <c r="A14" s="43">
        <f t="shared" si="3"/>
        <v>10</v>
      </c>
      <c r="B14" s="15" t="s">
        <v>316</v>
      </c>
      <c r="C14" s="75">
        <v>45763</v>
      </c>
      <c r="D14" s="14">
        <v>2025</v>
      </c>
      <c r="E14" s="44" t="s">
        <v>100</v>
      </c>
      <c r="F14" s="44" t="s">
        <v>296</v>
      </c>
      <c r="G14" s="44" t="s">
        <v>407</v>
      </c>
      <c r="H14" s="62">
        <v>450450450</v>
      </c>
      <c r="I14" s="62">
        <v>0</v>
      </c>
      <c r="J14" s="62">
        <v>49549550</v>
      </c>
      <c r="K14" s="60">
        <f t="shared" si="0"/>
        <v>500000000</v>
      </c>
      <c r="L14" s="75">
        <v>45902</v>
      </c>
      <c r="M14" s="83">
        <v>0</v>
      </c>
      <c r="N14" s="83">
        <v>0</v>
      </c>
      <c r="O14" s="83">
        <v>0</v>
      </c>
      <c r="P14" s="83">
        <v>0</v>
      </c>
      <c r="Q14" s="83">
        <v>0</v>
      </c>
      <c r="R14" s="83">
        <v>0</v>
      </c>
      <c r="S14" s="83">
        <v>0</v>
      </c>
      <c r="T14" s="83">
        <v>0</v>
      </c>
      <c r="U14" s="82">
        <v>441441441</v>
      </c>
      <c r="V14" s="83">
        <v>0</v>
      </c>
      <c r="W14" s="83">
        <v>58558559</v>
      </c>
      <c r="X14" s="82">
        <f t="shared" si="1"/>
        <v>0</v>
      </c>
      <c r="Y14" s="47"/>
      <c r="Z14" s="47">
        <f t="shared" si="2"/>
        <v>-49549550</v>
      </c>
      <c r="AA14" s="97">
        <f t="shared" ref="AA14:AA40" si="5">-(H14+I14)*2%</f>
        <v>-9009009</v>
      </c>
      <c r="AB14" s="82">
        <f t="shared" ref="AB14:AB39" si="6">K14+Z14+AA14</f>
        <v>441441441</v>
      </c>
      <c r="AC14" s="83">
        <v>0</v>
      </c>
      <c r="AD14" s="44"/>
    </row>
    <row r="15" spans="1:38" s="63" customFormat="1">
      <c r="A15" s="43">
        <f t="shared" si="3"/>
        <v>11</v>
      </c>
      <c r="B15" s="15" t="s">
        <v>317</v>
      </c>
      <c r="C15" s="22">
        <v>45689</v>
      </c>
      <c r="D15" s="14">
        <v>2025</v>
      </c>
      <c r="E15" s="44" t="s">
        <v>90</v>
      </c>
      <c r="F15" s="44" t="s">
        <v>296</v>
      </c>
      <c r="G15" s="44" t="s">
        <v>407</v>
      </c>
      <c r="H15" s="62">
        <v>90090090</v>
      </c>
      <c r="I15" s="62">
        <v>0</v>
      </c>
      <c r="J15" s="62">
        <v>9909910</v>
      </c>
      <c r="K15" s="60">
        <f t="shared" si="0"/>
        <v>100000000</v>
      </c>
      <c r="L15" s="75">
        <v>45706</v>
      </c>
      <c r="M15" s="83">
        <v>0</v>
      </c>
      <c r="N15" s="83">
        <v>0</v>
      </c>
      <c r="O15" s="83">
        <v>0</v>
      </c>
      <c r="P15" s="83">
        <v>90090090</v>
      </c>
      <c r="Q15" s="83">
        <v>0</v>
      </c>
      <c r="R15" s="83">
        <v>0</v>
      </c>
      <c r="S15" s="83">
        <v>0</v>
      </c>
      <c r="T15" s="83">
        <v>0</v>
      </c>
      <c r="U15" s="82">
        <v>0</v>
      </c>
      <c r="V15" s="83">
        <v>0</v>
      </c>
      <c r="W15" s="83">
        <v>9909910</v>
      </c>
      <c r="X15" s="82">
        <f t="shared" si="1"/>
        <v>0</v>
      </c>
      <c r="Y15" s="47"/>
      <c r="Z15" s="47">
        <f t="shared" si="2"/>
        <v>-9909910</v>
      </c>
      <c r="AA15" s="97">
        <f t="shared" si="5"/>
        <v>-1801801.8</v>
      </c>
      <c r="AB15" s="82">
        <f t="shared" si="6"/>
        <v>88288288.200000003</v>
      </c>
      <c r="AC15" s="83">
        <v>0</v>
      </c>
      <c r="AD15" s="44"/>
    </row>
    <row r="16" spans="1:38" s="63" customFormat="1">
      <c r="A16" s="43">
        <f t="shared" si="3"/>
        <v>12</v>
      </c>
      <c r="B16" s="15" t="s">
        <v>318</v>
      </c>
      <c r="C16" s="22">
        <v>45689</v>
      </c>
      <c r="D16" s="14">
        <v>2025</v>
      </c>
      <c r="E16" s="44" t="s">
        <v>409</v>
      </c>
      <c r="F16" s="44" t="s">
        <v>296</v>
      </c>
      <c r="G16" s="44" t="s">
        <v>407</v>
      </c>
      <c r="H16" s="62">
        <v>50000000</v>
      </c>
      <c r="I16" s="62">
        <v>0</v>
      </c>
      <c r="J16" s="62">
        <v>5500000</v>
      </c>
      <c r="K16" s="60">
        <f t="shared" si="0"/>
        <v>55500000</v>
      </c>
      <c r="L16" s="75">
        <v>45707</v>
      </c>
      <c r="M16" s="83">
        <v>0</v>
      </c>
      <c r="N16" s="83">
        <v>0</v>
      </c>
      <c r="O16" s="83">
        <v>0</v>
      </c>
      <c r="P16" s="83">
        <v>54500000</v>
      </c>
      <c r="Q16" s="83">
        <v>0</v>
      </c>
      <c r="R16" s="83">
        <v>0</v>
      </c>
      <c r="S16" s="83">
        <v>0</v>
      </c>
      <c r="T16" s="83">
        <v>0</v>
      </c>
      <c r="U16" s="82">
        <v>0</v>
      </c>
      <c r="V16" s="83">
        <v>0</v>
      </c>
      <c r="W16" s="83">
        <v>1000000</v>
      </c>
      <c r="X16" s="82">
        <f t="shared" si="1"/>
        <v>0</v>
      </c>
      <c r="Y16" s="47"/>
      <c r="Z16" s="47">
        <f t="shared" si="2"/>
        <v>-5500000</v>
      </c>
      <c r="AA16" s="97">
        <f t="shared" si="5"/>
        <v>-1000000</v>
      </c>
      <c r="AB16" s="82">
        <f t="shared" si="6"/>
        <v>49000000</v>
      </c>
      <c r="AC16" s="83">
        <v>0</v>
      </c>
      <c r="AD16" s="44"/>
    </row>
    <row r="17" spans="1:31" s="63" customFormat="1">
      <c r="A17" s="43">
        <f t="shared" si="3"/>
        <v>13</v>
      </c>
      <c r="B17" s="15" t="s">
        <v>319</v>
      </c>
      <c r="C17" s="22">
        <v>45701</v>
      </c>
      <c r="D17" s="14">
        <v>2025</v>
      </c>
      <c r="E17" s="44" t="s">
        <v>98</v>
      </c>
      <c r="F17" s="44" t="s">
        <v>1153</v>
      </c>
      <c r="G17" s="44" t="s">
        <v>1154</v>
      </c>
      <c r="H17" s="62">
        <v>10825000</v>
      </c>
      <c r="I17" s="62">
        <v>0</v>
      </c>
      <c r="J17" s="62">
        <v>1190750</v>
      </c>
      <c r="K17" s="60">
        <f t="shared" si="0"/>
        <v>12015750</v>
      </c>
      <c r="L17" s="75">
        <v>45737</v>
      </c>
      <c r="M17" s="83">
        <v>0</v>
      </c>
      <c r="N17" s="83">
        <v>0</v>
      </c>
      <c r="O17" s="83">
        <v>10608500</v>
      </c>
      <c r="P17" s="83">
        <v>0</v>
      </c>
      <c r="Q17" s="83">
        <v>0</v>
      </c>
      <c r="R17" s="83">
        <v>0</v>
      </c>
      <c r="S17" s="83">
        <v>0</v>
      </c>
      <c r="T17" s="83">
        <v>0</v>
      </c>
      <c r="U17" s="82">
        <v>0</v>
      </c>
      <c r="V17" s="83">
        <v>0</v>
      </c>
      <c r="W17" s="83">
        <v>1407250</v>
      </c>
      <c r="X17" s="82">
        <f t="shared" si="1"/>
        <v>0</v>
      </c>
      <c r="Y17" s="47"/>
      <c r="Z17" s="47">
        <f t="shared" si="2"/>
        <v>-1190750</v>
      </c>
      <c r="AA17" s="97">
        <f t="shared" si="5"/>
        <v>-216500</v>
      </c>
      <c r="AB17" s="82">
        <f t="shared" si="6"/>
        <v>10608500</v>
      </c>
      <c r="AC17" s="83">
        <v>0</v>
      </c>
      <c r="AD17" s="44"/>
    </row>
    <row r="18" spans="1:31" s="63" customFormat="1">
      <c r="A18" s="43">
        <f t="shared" si="3"/>
        <v>14</v>
      </c>
      <c r="B18" s="15" t="s">
        <v>320</v>
      </c>
      <c r="C18" s="22">
        <v>45692</v>
      </c>
      <c r="D18" s="14">
        <v>2025</v>
      </c>
      <c r="E18" s="44" t="s">
        <v>107</v>
      </c>
      <c r="F18" s="44" t="s">
        <v>296</v>
      </c>
      <c r="G18" s="44" t="s">
        <v>407</v>
      </c>
      <c r="H18" s="62">
        <v>90090090</v>
      </c>
      <c r="I18" s="62">
        <v>0</v>
      </c>
      <c r="J18" s="62">
        <v>9909910</v>
      </c>
      <c r="K18" s="60">
        <f t="shared" si="0"/>
        <v>100000000</v>
      </c>
      <c r="L18" s="75">
        <v>45719</v>
      </c>
      <c r="M18" s="83">
        <v>0</v>
      </c>
      <c r="N18" s="83">
        <v>0</v>
      </c>
      <c r="O18" s="83">
        <v>0</v>
      </c>
      <c r="P18" s="83">
        <v>88288288</v>
      </c>
      <c r="Q18" s="83">
        <v>0</v>
      </c>
      <c r="R18" s="83">
        <v>0</v>
      </c>
      <c r="S18" s="83">
        <v>0</v>
      </c>
      <c r="T18" s="83">
        <v>0</v>
      </c>
      <c r="U18" s="82">
        <v>0</v>
      </c>
      <c r="V18" s="83">
        <v>0</v>
      </c>
      <c r="W18" s="83">
        <v>11711712</v>
      </c>
      <c r="X18" s="82">
        <f t="shared" si="1"/>
        <v>0</v>
      </c>
      <c r="Y18" s="47"/>
      <c r="Z18" s="47">
        <f t="shared" si="2"/>
        <v>-9909910</v>
      </c>
      <c r="AA18" s="97">
        <f t="shared" si="5"/>
        <v>-1801801.8</v>
      </c>
      <c r="AB18" s="82">
        <f t="shared" si="6"/>
        <v>88288288.200000003</v>
      </c>
      <c r="AC18" s="83">
        <v>0</v>
      </c>
      <c r="AD18" s="44"/>
    </row>
    <row r="19" spans="1:31" s="63" customFormat="1">
      <c r="A19" s="43">
        <f t="shared" si="3"/>
        <v>15</v>
      </c>
      <c r="B19" s="15" t="s">
        <v>321</v>
      </c>
      <c r="C19" s="22">
        <v>45692</v>
      </c>
      <c r="D19" s="14">
        <v>2025</v>
      </c>
      <c r="E19" s="44" t="s">
        <v>19</v>
      </c>
      <c r="F19" s="44" t="s">
        <v>19</v>
      </c>
      <c r="G19" s="44" t="s">
        <v>1072</v>
      </c>
      <c r="H19" s="62">
        <v>0</v>
      </c>
      <c r="I19" s="62">
        <v>0</v>
      </c>
      <c r="J19" s="62">
        <v>0</v>
      </c>
      <c r="K19" s="60">
        <f t="shared" si="0"/>
        <v>0</v>
      </c>
      <c r="L19" s="75"/>
      <c r="M19" s="83">
        <v>0</v>
      </c>
      <c r="N19" s="83">
        <v>0</v>
      </c>
      <c r="O19" s="83">
        <v>0</v>
      </c>
      <c r="P19" s="83">
        <v>0</v>
      </c>
      <c r="Q19" s="83">
        <v>0</v>
      </c>
      <c r="R19" s="83">
        <v>0</v>
      </c>
      <c r="S19" s="83">
        <v>0</v>
      </c>
      <c r="T19" s="83">
        <v>0</v>
      </c>
      <c r="U19" s="82">
        <v>0</v>
      </c>
      <c r="V19" s="83">
        <v>0</v>
      </c>
      <c r="W19" s="83">
        <v>0</v>
      </c>
      <c r="X19" s="82">
        <f t="shared" si="1"/>
        <v>0</v>
      </c>
      <c r="Y19" s="47"/>
      <c r="Z19" s="47">
        <f t="shared" si="2"/>
        <v>0</v>
      </c>
      <c r="AA19" s="97">
        <f t="shared" si="5"/>
        <v>0</v>
      </c>
      <c r="AB19" s="82">
        <f t="shared" si="6"/>
        <v>0</v>
      </c>
      <c r="AC19" s="83">
        <v>0</v>
      </c>
      <c r="AD19" s="44"/>
      <c r="AE19" s="63" t="s">
        <v>19</v>
      </c>
    </row>
    <row r="20" spans="1:31" s="45" customFormat="1">
      <c r="A20" s="43">
        <f t="shared" si="3"/>
        <v>16</v>
      </c>
      <c r="B20" s="15" t="s">
        <v>322</v>
      </c>
      <c r="C20" s="22">
        <v>45692</v>
      </c>
      <c r="D20" s="14">
        <v>2025</v>
      </c>
      <c r="E20" s="44" t="s">
        <v>111</v>
      </c>
      <c r="F20" s="44" t="s">
        <v>296</v>
      </c>
      <c r="G20" s="44" t="s">
        <v>407</v>
      </c>
      <c r="H20" s="60">
        <v>225225225</v>
      </c>
      <c r="I20" s="60">
        <v>0</v>
      </c>
      <c r="J20" s="60">
        <v>24774775</v>
      </c>
      <c r="K20" s="60">
        <f t="shared" si="0"/>
        <v>250000000</v>
      </c>
      <c r="L20" s="75">
        <v>45720</v>
      </c>
      <c r="M20" s="83">
        <v>0</v>
      </c>
      <c r="N20" s="82">
        <v>0</v>
      </c>
      <c r="O20" s="82">
        <v>0</v>
      </c>
      <c r="P20" s="82">
        <v>220720721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29279279</v>
      </c>
      <c r="X20" s="82">
        <f t="shared" si="1"/>
        <v>0</v>
      </c>
      <c r="Y20" s="82"/>
      <c r="Z20" s="47">
        <f t="shared" si="2"/>
        <v>-24774775</v>
      </c>
      <c r="AA20" s="97">
        <f t="shared" si="5"/>
        <v>-4504504.5</v>
      </c>
      <c r="AB20" s="82">
        <f t="shared" si="6"/>
        <v>220720720.5</v>
      </c>
      <c r="AC20" s="98">
        <v>0</v>
      </c>
      <c r="AD20" s="15"/>
    </row>
    <row r="21" spans="1:31" s="45" customFormat="1">
      <c r="A21" s="43">
        <f t="shared" si="3"/>
        <v>17</v>
      </c>
      <c r="B21" s="15" t="s">
        <v>323</v>
      </c>
      <c r="C21" s="22">
        <v>45692</v>
      </c>
      <c r="D21" s="14">
        <v>2025</v>
      </c>
      <c r="E21" s="44" t="s">
        <v>109</v>
      </c>
      <c r="F21" s="44" t="s">
        <v>296</v>
      </c>
      <c r="G21" s="44" t="s">
        <v>407</v>
      </c>
      <c r="H21" s="60">
        <v>225225225</v>
      </c>
      <c r="I21" s="60">
        <v>0</v>
      </c>
      <c r="J21" s="60">
        <v>24774775</v>
      </c>
      <c r="K21" s="60">
        <f t="shared" si="0"/>
        <v>250000000</v>
      </c>
      <c r="L21" s="75">
        <v>45721</v>
      </c>
      <c r="M21" s="83">
        <v>0</v>
      </c>
      <c r="N21" s="82">
        <v>0</v>
      </c>
      <c r="O21" s="82">
        <v>220720721</v>
      </c>
      <c r="P21" s="82">
        <v>0</v>
      </c>
      <c r="Q21" s="82">
        <v>0</v>
      </c>
      <c r="R21" s="82">
        <v>0</v>
      </c>
      <c r="S21" s="82">
        <v>0</v>
      </c>
      <c r="T21" s="82">
        <v>0</v>
      </c>
      <c r="U21" s="82">
        <v>0</v>
      </c>
      <c r="V21" s="82">
        <v>0</v>
      </c>
      <c r="W21" s="82">
        <v>29279279</v>
      </c>
      <c r="X21" s="82">
        <f t="shared" si="1"/>
        <v>0</v>
      </c>
      <c r="Y21" s="82"/>
      <c r="Z21" s="47">
        <f t="shared" si="2"/>
        <v>-24774775</v>
      </c>
      <c r="AA21" s="97">
        <f t="shared" si="5"/>
        <v>-4504504.5</v>
      </c>
      <c r="AB21" s="82">
        <f t="shared" si="6"/>
        <v>220720720.5</v>
      </c>
      <c r="AC21" s="98">
        <v>0</v>
      </c>
      <c r="AD21" s="15"/>
    </row>
    <row r="22" spans="1:31" s="45" customFormat="1">
      <c r="A22" s="43">
        <f t="shared" si="3"/>
        <v>18</v>
      </c>
      <c r="B22" s="15" t="s">
        <v>324</v>
      </c>
      <c r="C22" s="22">
        <v>45692</v>
      </c>
      <c r="D22" s="14">
        <v>2025</v>
      </c>
      <c r="E22" s="44" t="s">
        <v>410</v>
      </c>
      <c r="F22" s="44" t="s">
        <v>296</v>
      </c>
      <c r="G22" s="44" t="s">
        <v>407</v>
      </c>
      <c r="H22" s="60">
        <v>67567568</v>
      </c>
      <c r="I22" s="60">
        <v>0</v>
      </c>
      <c r="J22" s="60">
        <v>7432432</v>
      </c>
      <c r="K22" s="60">
        <f t="shared" si="0"/>
        <v>75000000</v>
      </c>
      <c r="L22" s="75">
        <v>45777</v>
      </c>
      <c r="M22" s="83">
        <v>0</v>
      </c>
      <c r="N22" s="82">
        <v>0</v>
      </c>
      <c r="O22" s="82">
        <v>0</v>
      </c>
      <c r="P22" s="82">
        <v>66216217</v>
      </c>
      <c r="Q22" s="82">
        <v>0</v>
      </c>
      <c r="R22" s="82">
        <v>0</v>
      </c>
      <c r="S22" s="82">
        <v>0</v>
      </c>
      <c r="T22" s="82">
        <v>0</v>
      </c>
      <c r="U22" s="82">
        <v>0</v>
      </c>
      <c r="V22" s="82">
        <v>0</v>
      </c>
      <c r="W22" s="82">
        <v>8783783</v>
      </c>
      <c r="X22" s="82">
        <f t="shared" si="1"/>
        <v>0</v>
      </c>
      <c r="Y22" s="82"/>
      <c r="Z22" s="47">
        <f t="shared" si="2"/>
        <v>-7432432</v>
      </c>
      <c r="AA22" s="97">
        <f t="shared" si="5"/>
        <v>-1351351.36</v>
      </c>
      <c r="AB22" s="82">
        <f t="shared" si="6"/>
        <v>66216216.640000001</v>
      </c>
      <c r="AC22" s="98">
        <v>0</v>
      </c>
      <c r="AD22" s="15"/>
    </row>
    <row r="23" spans="1:31" s="45" customFormat="1">
      <c r="A23" s="43">
        <f t="shared" si="3"/>
        <v>19</v>
      </c>
      <c r="B23" s="15" t="s">
        <v>325</v>
      </c>
      <c r="C23" s="22">
        <v>45699</v>
      </c>
      <c r="D23" s="14">
        <v>2025</v>
      </c>
      <c r="E23" s="44" t="s">
        <v>87</v>
      </c>
      <c r="F23" s="44" t="s">
        <v>296</v>
      </c>
      <c r="G23" s="44" t="s">
        <v>407</v>
      </c>
      <c r="H23" s="60">
        <v>625000000</v>
      </c>
      <c r="I23" s="60">
        <v>0</v>
      </c>
      <c r="J23" s="60">
        <v>68750000</v>
      </c>
      <c r="K23" s="60">
        <f t="shared" si="0"/>
        <v>693750000</v>
      </c>
      <c r="L23" s="75">
        <v>45791</v>
      </c>
      <c r="M23" s="83">
        <v>0</v>
      </c>
      <c r="N23" s="82">
        <v>0</v>
      </c>
      <c r="O23" s="82">
        <v>0</v>
      </c>
      <c r="P23" s="83">
        <v>612500000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81250000</v>
      </c>
      <c r="X23" s="82">
        <f t="shared" si="1"/>
        <v>0</v>
      </c>
      <c r="Y23" s="82"/>
      <c r="Z23" s="47">
        <f t="shared" si="2"/>
        <v>-68750000</v>
      </c>
      <c r="AA23" s="97">
        <f t="shared" si="5"/>
        <v>-12500000</v>
      </c>
      <c r="AB23" s="82">
        <f t="shared" si="6"/>
        <v>612500000</v>
      </c>
      <c r="AC23" s="98">
        <v>0</v>
      </c>
      <c r="AD23" s="15"/>
    </row>
    <row r="24" spans="1:31" s="45" customFormat="1">
      <c r="A24" s="43">
        <f t="shared" si="3"/>
        <v>20</v>
      </c>
      <c r="B24" s="15" t="s">
        <v>326</v>
      </c>
      <c r="C24" s="22">
        <v>45692</v>
      </c>
      <c r="D24" s="14">
        <v>2025</v>
      </c>
      <c r="E24" s="44" t="s">
        <v>85</v>
      </c>
      <c r="F24" s="44" t="s">
        <v>296</v>
      </c>
      <c r="G24" s="44" t="s">
        <v>407</v>
      </c>
      <c r="H24" s="60">
        <v>225225225</v>
      </c>
      <c r="I24" s="60">
        <v>0</v>
      </c>
      <c r="J24" s="60">
        <v>24774775</v>
      </c>
      <c r="K24" s="60">
        <f t="shared" si="0"/>
        <v>250000000</v>
      </c>
      <c r="L24" s="75">
        <v>45705</v>
      </c>
      <c r="M24" s="83">
        <v>0</v>
      </c>
      <c r="N24" s="82">
        <v>0</v>
      </c>
      <c r="O24" s="82">
        <v>0</v>
      </c>
      <c r="P24" s="82">
        <v>220720720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29279280</v>
      </c>
      <c r="X24" s="82">
        <f t="shared" si="1"/>
        <v>0</v>
      </c>
      <c r="Y24" s="82"/>
      <c r="Z24" s="47">
        <f t="shared" si="2"/>
        <v>-24774775</v>
      </c>
      <c r="AA24" s="97">
        <f t="shared" si="5"/>
        <v>-4504504.5</v>
      </c>
      <c r="AB24" s="82">
        <f t="shared" si="6"/>
        <v>220720720.5</v>
      </c>
      <c r="AC24" s="98">
        <v>0</v>
      </c>
      <c r="AD24" s="15"/>
    </row>
    <row r="25" spans="1:31" s="45" customFormat="1">
      <c r="A25" s="43">
        <f t="shared" si="3"/>
        <v>21</v>
      </c>
      <c r="B25" s="15" t="s">
        <v>327</v>
      </c>
      <c r="C25" s="22">
        <v>45692</v>
      </c>
      <c r="D25" s="14">
        <v>2025</v>
      </c>
      <c r="E25" s="44" t="s">
        <v>67</v>
      </c>
      <c r="F25" s="44" t="s">
        <v>296</v>
      </c>
      <c r="G25" s="44" t="s">
        <v>407</v>
      </c>
      <c r="H25" s="60">
        <v>90090090</v>
      </c>
      <c r="I25" s="60">
        <v>0</v>
      </c>
      <c r="J25" s="60">
        <v>9909910</v>
      </c>
      <c r="K25" s="60">
        <f t="shared" si="0"/>
        <v>100000000</v>
      </c>
      <c r="L25" s="75">
        <v>45720</v>
      </c>
      <c r="M25" s="83">
        <v>0</v>
      </c>
      <c r="N25" s="82">
        <v>0</v>
      </c>
      <c r="O25" s="82">
        <v>0</v>
      </c>
      <c r="P25" s="82">
        <v>88288288</v>
      </c>
      <c r="Q25" s="82">
        <v>0</v>
      </c>
      <c r="R25" s="82">
        <v>0</v>
      </c>
      <c r="S25" s="82">
        <v>0</v>
      </c>
      <c r="T25" s="82">
        <v>0</v>
      </c>
      <c r="U25" s="82">
        <v>0</v>
      </c>
      <c r="V25" s="82">
        <v>0</v>
      </c>
      <c r="W25" s="82">
        <v>11711712</v>
      </c>
      <c r="X25" s="82">
        <f t="shared" si="1"/>
        <v>0</v>
      </c>
      <c r="Y25" s="82"/>
      <c r="Z25" s="47">
        <f t="shared" si="2"/>
        <v>-9909910</v>
      </c>
      <c r="AA25" s="97">
        <f t="shared" si="5"/>
        <v>-1801801.8</v>
      </c>
      <c r="AB25" s="82">
        <f t="shared" si="6"/>
        <v>88288288.200000003</v>
      </c>
      <c r="AC25" s="98">
        <v>0</v>
      </c>
      <c r="AD25" s="15"/>
    </row>
    <row r="26" spans="1:31" s="45" customFormat="1">
      <c r="A26" s="43">
        <f t="shared" si="3"/>
        <v>22</v>
      </c>
      <c r="B26" s="15" t="s">
        <v>328</v>
      </c>
      <c r="C26" s="22">
        <v>45692</v>
      </c>
      <c r="D26" s="14">
        <v>2025</v>
      </c>
      <c r="E26" s="44" t="s">
        <v>94</v>
      </c>
      <c r="F26" s="44" t="s">
        <v>296</v>
      </c>
      <c r="G26" s="44" t="s">
        <v>407</v>
      </c>
      <c r="H26" s="60">
        <v>90090090</v>
      </c>
      <c r="I26" s="60">
        <v>0</v>
      </c>
      <c r="J26" s="60">
        <v>9909910</v>
      </c>
      <c r="K26" s="60">
        <f t="shared" si="0"/>
        <v>100000000</v>
      </c>
      <c r="L26" s="75">
        <v>45911</v>
      </c>
      <c r="M26" s="83">
        <v>0</v>
      </c>
      <c r="N26" s="82">
        <v>0</v>
      </c>
      <c r="O26" s="82">
        <v>0</v>
      </c>
      <c r="P26" s="82">
        <v>88288289</v>
      </c>
      <c r="Q26" s="82">
        <v>0</v>
      </c>
      <c r="R26" s="82">
        <v>0</v>
      </c>
      <c r="S26" s="82">
        <v>0</v>
      </c>
      <c r="T26" s="82">
        <v>0</v>
      </c>
      <c r="U26" s="82">
        <v>0</v>
      </c>
      <c r="V26" s="82">
        <v>0</v>
      </c>
      <c r="W26" s="82">
        <v>11711711</v>
      </c>
      <c r="X26" s="82">
        <f t="shared" si="1"/>
        <v>0</v>
      </c>
      <c r="Y26" s="82"/>
      <c r="Z26" s="29">
        <f t="shared" si="2"/>
        <v>-9909910</v>
      </c>
      <c r="AA26" s="97">
        <f t="shared" si="5"/>
        <v>-1801801.8</v>
      </c>
      <c r="AB26" s="82">
        <f t="shared" si="6"/>
        <v>88288288.200000003</v>
      </c>
      <c r="AC26" s="98">
        <v>0</v>
      </c>
      <c r="AD26" s="15"/>
    </row>
    <row r="27" spans="1:31" s="45" customFormat="1">
      <c r="A27" s="43">
        <f t="shared" si="3"/>
        <v>23</v>
      </c>
      <c r="B27" s="15" t="s">
        <v>329</v>
      </c>
      <c r="C27" s="22">
        <v>45699</v>
      </c>
      <c r="D27" s="14">
        <v>2025</v>
      </c>
      <c r="E27" s="44" t="s">
        <v>411</v>
      </c>
      <c r="F27" s="44" t="s">
        <v>296</v>
      </c>
      <c r="G27" s="44" t="s">
        <v>407</v>
      </c>
      <c r="H27" s="60">
        <v>30000000</v>
      </c>
      <c r="I27" s="60">
        <v>0</v>
      </c>
      <c r="J27" s="60">
        <v>3300000</v>
      </c>
      <c r="K27" s="60">
        <f t="shared" si="0"/>
        <v>33300000</v>
      </c>
      <c r="L27" s="75">
        <v>45786</v>
      </c>
      <c r="M27" s="83">
        <v>0</v>
      </c>
      <c r="N27" s="82">
        <v>0</v>
      </c>
      <c r="O27" s="82">
        <v>0</v>
      </c>
      <c r="P27" s="82">
        <v>29400000</v>
      </c>
      <c r="Q27" s="82">
        <v>0</v>
      </c>
      <c r="R27" s="82">
        <v>0</v>
      </c>
      <c r="S27" s="82">
        <v>0</v>
      </c>
      <c r="T27" s="82">
        <v>0</v>
      </c>
      <c r="U27" s="82">
        <v>0</v>
      </c>
      <c r="V27" s="82">
        <v>0</v>
      </c>
      <c r="W27" s="82">
        <v>3900000</v>
      </c>
      <c r="X27" s="82">
        <f t="shared" si="1"/>
        <v>0</v>
      </c>
      <c r="Y27" s="82"/>
      <c r="Z27" s="47">
        <f t="shared" si="2"/>
        <v>-3300000</v>
      </c>
      <c r="AA27" s="97">
        <f t="shared" si="5"/>
        <v>-600000</v>
      </c>
      <c r="AB27" s="82">
        <f t="shared" si="6"/>
        <v>29400000</v>
      </c>
      <c r="AC27" s="98">
        <v>0</v>
      </c>
      <c r="AD27" s="15"/>
    </row>
    <row r="28" spans="1:31" s="45" customFormat="1">
      <c r="A28" s="43">
        <f t="shared" si="3"/>
        <v>24</v>
      </c>
      <c r="B28" s="15" t="s">
        <v>330</v>
      </c>
      <c r="C28" s="22">
        <v>45699</v>
      </c>
      <c r="D28" s="14">
        <v>2025</v>
      </c>
      <c r="E28" s="44" t="s">
        <v>88</v>
      </c>
      <c r="F28" s="44" t="s">
        <v>296</v>
      </c>
      <c r="G28" s="44" t="s">
        <v>407</v>
      </c>
      <c r="H28" s="60">
        <v>225225225</v>
      </c>
      <c r="I28" s="60">
        <v>0</v>
      </c>
      <c r="J28" s="60">
        <v>24774775</v>
      </c>
      <c r="K28" s="60">
        <f t="shared" si="0"/>
        <v>250000000</v>
      </c>
      <c r="L28" s="75">
        <v>45719</v>
      </c>
      <c r="M28" s="83">
        <v>0</v>
      </c>
      <c r="N28" s="82">
        <v>0</v>
      </c>
      <c r="O28" s="82">
        <v>0</v>
      </c>
      <c r="P28" s="82">
        <v>220720721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29279279</v>
      </c>
      <c r="X28" s="82">
        <f t="shared" si="1"/>
        <v>0</v>
      </c>
      <c r="Y28" s="82"/>
      <c r="Z28" s="47">
        <f t="shared" si="2"/>
        <v>-24774775</v>
      </c>
      <c r="AA28" s="97">
        <f t="shared" si="5"/>
        <v>-4504504.5</v>
      </c>
      <c r="AB28" s="82">
        <f t="shared" si="6"/>
        <v>220720720.5</v>
      </c>
      <c r="AC28" s="98">
        <v>0</v>
      </c>
      <c r="AD28" s="15"/>
    </row>
    <row r="29" spans="1:31" s="45" customFormat="1">
      <c r="A29" s="43">
        <f t="shared" si="3"/>
        <v>25</v>
      </c>
      <c r="B29" s="15" t="s">
        <v>331</v>
      </c>
      <c r="C29" s="22">
        <v>45699</v>
      </c>
      <c r="D29" s="14">
        <v>2025</v>
      </c>
      <c r="E29" s="44" t="s">
        <v>412</v>
      </c>
      <c r="F29" s="44" t="s">
        <v>296</v>
      </c>
      <c r="G29" s="44" t="s">
        <v>407</v>
      </c>
      <c r="H29" s="62">
        <v>45045045</v>
      </c>
      <c r="I29" s="62">
        <v>0</v>
      </c>
      <c r="J29" s="62">
        <v>4954955</v>
      </c>
      <c r="K29" s="60">
        <f t="shared" si="0"/>
        <v>50000000</v>
      </c>
      <c r="L29" s="75">
        <v>45940</v>
      </c>
      <c r="M29" s="83">
        <v>0</v>
      </c>
      <c r="N29" s="82">
        <v>0</v>
      </c>
      <c r="O29" s="82">
        <v>0</v>
      </c>
      <c r="P29" s="82">
        <v>49000000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1000000</v>
      </c>
      <c r="X29" s="82">
        <f t="shared" si="1"/>
        <v>0</v>
      </c>
      <c r="Y29" s="82"/>
      <c r="Z29" s="29">
        <f t="shared" si="2"/>
        <v>-4954955</v>
      </c>
      <c r="AA29" s="97">
        <f t="shared" si="5"/>
        <v>-900900.9</v>
      </c>
      <c r="AB29" s="82">
        <f t="shared" si="6"/>
        <v>44144144.100000001</v>
      </c>
      <c r="AC29" s="98">
        <v>0</v>
      </c>
      <c r="AD29" s="15"/>
    </row>
    <row r="30" spans="1:31" s="45" customFormat="1">
      <c r="A30" s="43">
        <f t="shared" si="3"/>
        <v>26</v>
      </c>
      <c r="B30" s="15" t="s">
        <v>332</v>
      </c>
      <c r="C30" s="22">
        <v>45692</v>
      </c>
      <c r="D30" s="14">
        <v>2025</v>
      </c>
      <c r="E30" s="45" t="s">
        <v>413</v>
      </c>
      <c r="F30" s="44" t="s">
        <v>296</v>
      </c>
      <c r="G30" s="44" t="s">
        <v>407</v>
      </c>
      <c r="H30" s="60">
        <v>45045045</v>
      </c>
      <c r="I30" s="60">
        <v>0</v>
      </c>
      <c r="J30" s="60">
        <v>4954955</v>
      </c>
      <c r="K30" s="60">
        <f t="shared" si="0"/>
        <v>50000000</v>
      </c>
      <c r="L30" s="75">
        <v>45716</v>
      </c>
      <c r="M30" s="83">
        <v>0</v>
      </c>
      <c r="N30" s="82">
        <v>0</v>
      </c>
      <c r="O30" s="82">
        <v>0</v>
      </c>
      <c r="P30" s="82">
        <v>44144145</v>
      </c>
      <c r="Q30" s="82">
        <v>0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5855855</v>
      </c>
      <c r="X30" s="82">
        <f t="shared" si="1"/>
        <v>0</v>
      </c>
      <c r="Y30" s="82"/>
      <c r="Z30" s="47">
        <f t="shared" si="2"/>
        <v>-4954955</v>
      </c>
      <c r="AA30" s="97">
        <f t="shared" si="5"/>
        <v>-900900.9</v>
      </c>
      <c r="AB30" s="82">
        <f t="shared" si="6"/>
        <v>44144144.100000001</v>
      </c>
      <c r="AC30" s="98">
        <v>0</v>
      </c>
      <c r="AD30" s="15"/>
    </row>
    <row r="31" spans="1:31" s="45" customFormat="1">
      <c r="A31" s="43">
        <f t="shared" si="3"/>
        <v>27</v>
      </c>
      <c r="B31" s="15" t="s">
        <v>333</v>
      </c>
      <c r="C31" s="22">
        <v>45699</v>
      </c>
      <c r="D31" s="14">
        <v>2025</v>
      </c>
      <c r="E31" s="45" t="s">
        <v>414</v>
      </c>
      <c r="F31" s="44" t="s">
        <v>296</v>
      </c>
      <c r="G31" s="44" t="s">
        <v>407</v>
      </c>
      <c r="H31" s="60">
        <v>50000000</v>
      </c>
      <c r="I31" s="60">
        <v>0</v>
      </c>
      <c r="J31" s="60">
        <f>H31*11%</f>
        <v>5500000</v>
      </c>
      <c r="K31" s="60">
        <f t="shared" si="0"/>
        <v>55500000</v>
      </c>
      <c r="L31" s="75">
        <v>45707</v>
      </c>
      <c r="M31" s="83">
        <v>0</v>
      </c>
      <c r="N31" s="82">
        <v>0</v>
      </c>
      <c r="O31" s="82">
        <v>0</v>
      </c>
      <c r="P31" s="82">
        <v>49000000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6500000</v>
      </c>
      <c r="X31" s="82">
        <f t="shared" si="1"/>
        <v>0</v>
      </c>
      <c r="Y31" s="82"/>
      <c r="Z31" s="47">
        <f t="shared" si="2"/>
        <v>-5500000</v>
      </c>
      <c r="AA31" s="97">
        <f t="shared" si="5"/>
        <v>-1000000</v>
      </c>
      <c r="AB31" s="82">
        <f t="shared" si="6"/>
        <v>49000000</v>
      </c>
      <c r="AC31" s="98">
        <v>0</v>
      </c>
      <c r="AD31" s="15"/>
    </row>
    <row r="32" spans="1:31" s="45" customFormat="1">
      <c r="A32" s="43">
        <f t="shared" si="3"/>
        <v>28</v>
      </c>
      <c r="B32" s="15" t="s">
        <v>334</v>
      </c>
      <c r="C32" s="22">
        <v>45692</v>
      </c>
      <c r="D32" s="14">
        <v>2025</v>
      </c>
      <c r="E32" s="45" t="s">
        <v>415</v>
      </c>
      <c r="F32" s="44" t="s">
        <v>296</v>
      </c>
      <c r="G32" s="44" t="s">
        <v>407</v>
      </c>
      <c r="H32" s="60">
        <v>45045045</v>
      </c>
      <c r="I32" s="60">
        <v>0</v>
      </c>
      <c r="J32" s="60">
        <v>4954955</v>
      </c>
      <c r="K32" s="60">
        <f t="shared" si="0"/>
        <v>50000000</v>
      </c>
      <c r="L32" s="75">
        <v>45702</v>
      </c>
      <c r="M32" s="83">
        <v>0</v>
      </c>
      <c r="N32" s="82">
        <v>0</v>
      </c>
      <c r="O32" s="82">
        <v>0</v>
      </c>
      <c r="P32" s="82">
        <v>44144144</v>
      </c>
      <c r="Q32" s="82">
        <v>0</v>
      </c>
      <c r="R32" s="82">
        <v>0</v>
      </c>
      <c r="S32" s="82">
        <v>0</v>
      </c>
      <c r="T32" s="82">
        <v>0</v>
      </c>
      <c r="U32" s="82">
        <v>0</v>
      </c>
      <c r="V32" s="82">
        <v>0</v>
      </c>
      <c r="W32" s="82">
        <v>5855856</v>
      </c>
      <c r="X32" s="82">
        <f t="shared" si="1"/>
        <v>0</v>
      </c>
      <c r="Y32" s="82"/>
      <c r="Z32" s="47">
        <f t="shared" si="2"/>
        <v>-4954955</v>
      </c>
      <c r="AA32" s="97">
        <f t="shared" si="5"/>
        <v>-900900.9</v>
      </c>
      <c r="AB32" s="82">
        <f t="shared" si="6"/>
        <v>44144144.100000001</v>
      </c>
      <c r="AC32" s="98">
        <v>0</v>
      </c>
      <c r="AD32" s="15"/>
    </row>
    <row r="33" spans="1:30" s="45" customFormat="1">
      <c r="A33" s="43">
        <f t="shared" si="3"/>
        <v>29</v>
      </c>
      <c r="B33" s="15" t="s">
        <v>335</v>
      </c>
      <c r="C33" s="22">
        <v>45699</v>
      </c>
      <c r="D33" s="14">
        <v>2025</v>
      </c>
      <c r="E33" s="45" t="s">
        <v>416</v>
      </c>
      <c r="F33" s="44" t="s">
        <v>296</v>
      </c>
      <c r="G33" s="44" t="s">
        <v>407</v>
      </c>
      <c r="H33" s="60">
        <v>45045045</v>
      </c>
      <c r="I33" s="60">
        <v>0</v>
      </c>
      <c r="J33" s="60">
        <v>4954955</v>
      </c>
      <c r="K33" s="60">
        <f t="shared" si="0"/>
        <v>50000000</v>
      </c>
      <c r="L33" s="75">
        <v>45715</v>
      </c>
      <c r="M33" s="83">
        <v>0</v>
      </c>
      <c r="N33" s="82">
        <v>0</v>
      </c>
      <c r="O33" s="82">
        <v>0</v>
      </c>
      <c r="P33" s="82">
        <v>44144144.100000001</v>
      </c>
      <c r="Q33" s="82">
        <v>0</v>
      </c>
      <c r="R33" s="82">
        <v>0</v>
      </c>
      <c r="S33" s="82">
        <v>0</v>
      </c>
      <c r="T33" s="82">
        <v>0</v>
      </c>
      <c r="U33" s="82">
        <v>0</v>
      </c>
      <c r="V33" s="82">
        <v>0</v>
      </c>
      <c r="W33" s="82">
        <v>5855855.8999999985</v>
      </c>
      <c r="X33" s="82">
        <f t="shared" si="1"/>
        <v>0</v>
      </c>
      <c r="Y33" s="82"/>
      <c r="Z33" s="47">
        <f t="shared" si="2"/>
        <v>-4954955</v>
      </c>
      <c r="AA33" s="97">
        <f t="shared" si="5"/>
        <v>-900900.9</v>
      </c>
      <c r="AB33" s="82">
        <f t="shared" si="6"/>
        <v>44144144.100000001</v>
      </c>
      <c r="AC33" s="98">
        <v>0</v>
      </c>
      <c r="AD33" s="15"/>
    </row>
    <row r="34" spans="1:30" s="45" customFormat="1">
      <c r="A34" s="43">
        <f t="shared" si="3"/>
        <v>30</v>
      </c>
      <c r="B34" s="15" t="s">
        <v>336</v>
      </c>
      <c r="C34" s="22">
        <v>45692</v>
      </c>
      <c r="D34" s="14">
        <v>2025</v>
      </c>
      <c r="E34" s="44" t="s">
        <v>417</v>
      </c>
      <c r="F34" s="44" t="s">
        <v>296</v>
      </c>
      <c r="G34" s="44" t="s">
        <v>407</v>
      </c>
      <c r="H34" s="60">
        <v>45045045</v>
      </c>
      <c r="I34" s="60">
        <v>0</v>
      </c>
      <c r="J34" s="60">
        <v>4954955</v>
      </c>
      <c r="K34" s="60">
        <f t="shared" si="0"/>
        <v>50000000</v>
      </c>
      <c r="L34" s="75">
        <v>45722</v>
      </c>
      <c r="M34" s="83">
        <v>0</v>
      </c>
      <c r="N34" s="82">
        <v>0</v>
      </c>
      <c r="O34" s="82">
        <v>0</v>
      </c>
      <c r="P34" s="82">
        <v>44144144</v>
      </c>
      <c r="Q34" s="82">
        <v>0</v>
      </c>
      <c r="R34" s="82">
        <v>0</v>
      </c>
      <c r="S34" s="82">
        <v>0</v>
      </c>
      <c r="T34" s="82">
        <v>0</v>
      </c>
      <c r="U34" s="82">
        <v>0</v>
      </c>
      <c r="V34" s="82">
        <v>0</v>
      </c>
      <c r="W34" s="82">
        <v>5855856</v>
      </c>
      <c r="X34" s="82">
        <f t="shared" si="1"/>
        <v>0</v>
      </c>
      <c r="Y34" s="82"/>
      <c r="Z34" s="47">
        <f t="shared" si="2"/>
        <v>-4954955</v>
      </c>
      <c r="AA34" s="97">
        <f t="shared" si="5"/>
        <v>-900900.9</v>
      </c>
      <c r="AB34" s="82">
        <f t="shared" si="6"/>
        <v>44144144.100000001</v>
      </c>
      <c r="AC34" s="98">
        <v>0</v>
      </c>
      <c r="AD34" s="15"/>
    </row>
    <row r="35" spans="1:30" s="45" customFormat="1">
      <c r="A35" s="43">
        <f t="shared" si="3"/>
        <v>31</v>
      </c>
      <c r="B35" s="15" t="s">
        <v>522</v>
      </c>
      <c r="C35" s="22">
        <v>45811</v>
      </c>
      <c r="D35" s="14">
        <v>2025</v>
      </c>
      <c r="E35" s="44" t="s">
        <v>84</v>
      </c>
      <c r="F35" s="44" t="s">
        <v>296</v>
      </c>
      <c r="G35" s="44" t="s">
        <v>407</v>
      </c>
      <c r="H35" s="60">
        <v>31531531</v>
      </c>
      <c r="I35" s="60">
        <v>0</v>
      </c>
      <c r="J35" s="60">
        <v>3468469</v>
      </c>
      <c r="K35" s="60">
        <f t="shared" si="0"/>
        <v>35000000</v>
      </c>
      <c r="L35" s="75">
        <v>45824</v>
      </c>
      <c r="M35" s="83">
        <v>0</v>
      </c>
      <c r="N35" s="82">
        <v>0</v>
      </c>
      <c r="O35" s="82">
        <v>0</v>
      </c>
      <c r="P35" s="82">
        <v>30900900</v>
      </c>
      <c r="Q35" s="82">
        <v>0</v>
      </c>
      <c r="R35" s="82">
        <v>0</v>
      </c>
      <c r="S35" s="82">
        <v>0</v>
      </c>
      <c r="T35" s="82">
        <v>0</v>
      </c>
      <c r="U35" s="82">
        <v>0</v>
      </c>
      <c r="V35" s="82">
        <v>0</v>
      </c>
      <c r="W35" s="82">
        <v>4099100</v>
      </c>
      <c r="X35" s="82">
        <f t="shared" si="1"/>
        <v>0</v>
      </c>
      <c r="Y35" s="82"/>
      <c r="Z35" s="47">
        <f t="shared" si="2"/>
        <v>-3468469</v>
      </c>
      <c r="AA35" s="97">
        <f t="shared" si="5"/>
        <v>-630630.62</v>
      </c>
      <c r="AB35" s="82">
        <f t="shared" si="6"/>
        <v>30900900.379999999</v>
      </c>
      <c r="AC35" s="98">
        <v>0</v>
      </c>
      <c r="AD35" s="15"/>
    </row>
    <row r="36" spans="1:30" s="45" customFormat="1">
      <c r="A36" s="43">
        <f t="shared" si="3"/>
        <v>32</v>
      </c>
      <c r="B36" s="15" t="s">
        <v>337</v>
      </c>
      <c r="C36" s="22">
        <v>45692</v>
      </c>
      <c r="D36" s="14">
        <v>2025</v>
      </c>
      <c r="E36" s="44" t="s">
        <v>82</v>
      </c>
      <c r="F36" s="44" t="s">
        <v>296</v>
      </c>
      <c r="G36" s="44" t="s">
        <v>407</v>
      </c>
      <c r="H36" s="60">
        <v>90090090</v>
      </c>
      <c r="I36" s="60">
        <v>0</v>
      </c>
      <c r="J36" s="60">
        <v>9909910</v>
      </c>
      <c r="K36" s="60">
        <f t="shared" si="0"/>
        <v>100000000</v>
      </c>
      <c r="L36" s="75">
        <v>45709</v>
      </c>
      <c r="M36" s="83">
        <v>0</v>
      </c>
      <c r="N36" s="82">
        <v>0</v>
      </c>
      <c r="O36" s="82">
        <v>0</v>
      </c>
      <c r="P36" s="82">
        <v>88288288</v>
      </c>
      <c r="Q36" s="82">
        <v>0</v>
      </c>
      <c r="R36" s="82">
        <v>0</v>
      </c>
      <c r="S36" s="82">
        <v>0</v>
      </c>
      <c r="T36" s="82">
        <v>0</v>
      </c>
      <c r="U36" s="82">
        <v>0</v>
      </c>
      <c r="V36" s="82">
        <v>0</v>
      </c>
      <c r="W36" s="82">
        <v>11711712</v>
      </c>
      <c r="X36" s="82">
        <f t="shared" si="1"/>
        <v>0</v>
      </c>
      <c r="Y36" s="82"/>
      <c r="Z36" s="47">
        <f t="shared" si="2"/>
        <v>-9909910</v>
      </c>
      <c r="AA36" s="97">
        <f t="shared" si="5"/>
        <v>-1801801.8</v>
      </c>
      <c r="AB36" s="82">
        <f t="shared" si="6"/>
        <v>88288288.200000003</v>
      </c>
      <c r="AC36" s="98">
        <v>0</v>
      </c>
      <c r="AD36" s="15"/>
    </row>
    <row r="37" spans="1:30" s="45" customFormat="1">
      <c r="A37" s="43">
        <f t="shared" si="3"/>
        <v>33</v>
      </c>
      <c r="B37" s="15" t="s">
        <v>338</v>
      </c>
      <c r="C37" s="22">
        <v>45692</v>
      </c>
      <c r="D37" s="14">
        <v>2025</v>
      </c>
      <c r="E37" s="44" t="s">
        <v>112</v>
      </c>
      <c r="F37" s="44" t="s">
        <v>296</v>
      </c>
      <c r="G37" s="44" t="s">
        <v>407</v>
      </c>
      <c r="H37" s="60">
        <v>22522523</v>
      </c>
      <c r="I37" s="60">
        <v>0</v>
      </c>
      <c r="J37" s="60">
        <v>2477478</v>
      </c>
      <c r="K37" s="60">
        <f t="shared" si="0"/>
        <v>25000001</v>
      </c>
      <c r="L37" s="75">
        <v>45785</v>
      </c>
      <c r="M37" s="83">
        <v>0</v>
      </c>
      <c r="N37" s="82">
        <v>0</v>
      </c>
      <c r="O37" s="82">
        <v>0</v>
      </c>
      <c r="P37" s="82">
        <v>22072073</v>
      </c>
      <c r="Q37" s="82">
        <v>0</v>
      </c>
      <c r="R37" s="82">
        <v>0</v>
      </c>
      <c r="S37" s="82">
        <v>0</v>
      </c>
      <c r="T37" s="82">
        <v>0</v>
      </c>
      <c r="U37" s="82">
        <v>0</v>
      </c>
      <c r="V37" s="82">
        <v>0</v>
      </c>
      <c r="W37" s="82">
        <v>2927928</v>
      </c>
      <c r="X37" s="82">
        <f t="shared" si="1"/>
        <v>0</v>
      </c>
      <c r="Y37" s="82"/>
      <c r="Z37" s="47">
        <f t="shared" si="2"/>
        <v>-2477478</v>
      </c>
      <c r="AA37" s="97">
        <f t="shared" si="5"/>
        <v>-450450.46</v>
      </c>
      <c r="AB37" s="82">
        <f t="shared" si="6"/>
        <v>22072072.539999999</v>
      </c>
      <c r="AC37" s="98">
        <v>0</v>
      </c>
      <c r="AD37" s="15"/>
    </row>
    <row r="38" spans="1:30" s="45" customFormat="1">
      <c r="A38" s="43">
        <f t="shared" si="3"/>
        <v>34</v>
      </c>
      <c r="B38" s="15" t="s">
        <v>339</v>
      </c>
      <c r="C38" s="22">
        <v>45692</v>
      </c>
      <c r="D38" s="14">
        <v>2025</v>
      </c>
      <c r="E38" s="44" t="s">
        <v>86</v>
      </c>
      <c r="F38" s="44" t="s">
        <v>296</v>
      </c>
      <c r="G38" s="44" t="s">
        <v>407</v>
      </c>
      <c r="H38" s="60">
        <v>225225225</v>
      </c>
      <c r="I38" s="60">
        <v>0</v>
      </c>
      <c r="J38" s="60">
        <v>24774775</v>
      </c>
      <c r="K38" s="60">
        <f t="shared" si="0"/>
        <v>250000000</v>
      </c>
      <c r="L38" s="75">
        <v>45734</v>
      </c>
      <c r="M38" s="83">
        <v>0</v>
      </c>
      <c r="N38" s="82">
        <v>0</v>
      </c>
      <c r="O38" s="82">
        <v>0</v>
      </c>
      <c r="P38" s="82">
        <v>220720721</v>
      </c>
      <c r="Q38" s="82">
        <v>0</v>
      </c>
      <c r="R38" s="82">
        <v>0</v>
      </c>
      <c r="S38" s="82">
        <v>0</v>
      </c>
      <c r="T38" s="82">
        <v>0</v>
      </c>
      <c r="U38" s="82">
        <v>0</v>
      </c>
      <c r="V38" s="82">
        <v>0</v>
      </c>
      <c r="W38" s="82">
        <v>29279279</v>
      </c>
      <c r="X38" s="82">
        <f t="shared" si="1"/>
        <v>0</v>
      </c>
      <c r="Y38" s="82"/>
      <c r="Z38" s="47">
        <f t="shared" si="2"/>
        <v>-24774775</v>
      </c>
      <c r="AA38" s="97">
        <f t="shared" si="5"/>
        <v>-4504504.5</v>
      </c>
      <c r="AB38" s="82">
        <f t="shared" si="6"/>
        <v>220720720.5</v>
      </c>
      <c r="AC38" s="98">
        <v>0</v>
      </c>
      <c r="AD38" s="15"/>
    </row>
    <row r="39" spans="1:30" s="45" customFormat="1">
      <c r="A39" s="43">
        <f t="shared" si="3"/>
        <v>35</v>
      </c>
      <c r="B39" s="15" t="s">
        <v>340</v>
      </c>
      <c r="C39" s="22">
        <v>45692</v>
      </c>
      <c r="D39" s="14">
        <v>2025</v>
      </c>
      <c r="E39" s="44" t="s">
        <v>93</v>
      </c>
      <c r="F39" s="44" t="s">
        <v>296</v>
      </c>
      <c r="G39" s="44" t="s">
        <v>407</v>
      </c>
      <c r="H39" s="60">
        <v>15000000</v>
      </c>
      <c r="I39" s="60">
        <v>0</v>
      </c>
      <c r="J39" s="60">
        <v>1650000</v>
      </c>
      <c r="K39" s="60">
        <f t="shared" si="0"/>
        <v>16650000</v>
      </c>
      <c r="L39" s="75">
        <v>45715</v>
      </c>
      <c r="M39" s="83">
        <v>0</v>
      </c>
      <c r="N39" s="82">
        <v>0</v>
      </c>
      <c r="O39" s="82">
        <v>0</v>
      </c>
      <c r="P39" s="82">
        <v>14697100</v>
      </c>
      <c r="Q39" s="82">
        <v>0</v>
      </c>
      <c r="R39" s="82">
        <v>0</v>
      </c>
      <c r="S39" s="82">
        <v>0</v>
      </c>
      <c r="T39" s="82">
        <v>0</v>
      </c>
      <c r="U39" s="82">
        <v>0</v>
      </c>
      <c r="V39" s="82">
        <v>0</v>
      </c>
      <c r="W39" s="82">
        <v>1952900</v>
      </c>
      <c r="X39" s="82">
        <f t="shared" si="1"/>
        <v>0</v>
      </c>
      <c r="Y39" s="82"/>
      <c r="Z39" s="47">
        <f t="shared" si="2"/>
        <v>-1650000</v>
      </c>
      <c r="AA39" s="97">
        <f t="shared" si="5"/>
        <v>-300000</v>
      </c>
      <c r="AB39" s="82">
        <f t="shared" si="6"/>
        <v>14700000</v>
      </c>
      <c r="AC39" s="98">
        <v>0</v>
      </c>
      <c r="AD39" s="15"/>
    </row>
    <row r="40" spans="1:30" s="45" customFormat="1">
      <c r="A40" s="43">
        <f t="shared" si="3"/>
        <v>36</v>
      </c>
      <c r="B40" s="15" t="s">
        <v>341</v>
      </c>
      <c r="C40" s="22">
        <v>45692</v>
      </c>
      <c r="D40" s="14">
        <v>2025</v>
      </c>
      <c r="E40" s="44" t="s">
        <v>85</v>
      </c>
      <c r="F40" s="44" t="s">
        <v>296</v>
      </c>
      <c r="G40" s="44" t="s">
        <v>408</v>
      </c>
      <c r="H40" s="60">
        <v>6300000</v>
      </c>
      <c r="I40" s="60">
        <v>0</v>
      </c>
      <c r="J40" s="60">
        <v>693000</v>
      </c>
      <c r="K40" s="60">
        <f t="shared" si="0"/>
        <v>6993000</v>
      </c>
      <c r="L40" s="75">
        <v>45709</v>
      </c>
      <c r="M40" s="83">
        <v>0</v>
      </c>
      <c r="N40" s="82">
        <v>0</v>
      </c>
      <c r="O40" s="82">
        <v>0</v>
      </c>
      <c r="P40" s="82">
        <v>6867000</v>
      </c>
      <c r="Q40" s="82">
        <v>0</v>
      </c>
      <c r="R40" s="82">
        <v>0</v>
      </c>
      <c r="S40" s="82">
        <v>0</v>
      </c>
      <c r="T40" s="82">
        <v>0</v>
      </c>
      <c r="U40" s="82">
        <v>0</v>
      </c>
      <c r="V40" s="82">
        <v>0</v>
      </c>
      <c r="W40" s="82">
        <v>126000</v>
      </c>
      <c r="X40" s="82">
        <f t="shared" si="1"/>
        <v>0</v>
      </c>
      <c r="Y40" s="82"/>
      <c r="Z40" s="47">
        <f t="shared" si="2"/>
        <v>-693000</v>
      </c>
      <c r="AA40" s="97">
        <f t="shared" si="5"/>
        <v>-126000</v>
      </c>
      <c r="AB40" s="82">
        <v>0</v>
      </c>
      <c r="AC40" s="98">
        <f>K40+AA40</f>
        <v>6867000</v>
      </c>
      <c r="AD40" s="15"/>
    </row>
    <row r="41" spans="1:30" s="45" customFormat="1">
      <c r="A41" s="43">
        <f t="shared" si="3"/>
        <v>37</v>
      </c>
      <c r="B41" s="15" t="s">
        <v>342</v>
      </c>
      <c r="C41" s="22">
        <v>45692</v>
      </c>
      <c r="D41" s="14">
        <v>2025</v>
      </c>
      <c r="E41" s="44" t="s">
        <v>88</v>
      </c>
      <c r="F41" s="44" t="s">
        <v>296</v>
      </c>
      <c r="G41" s="44" t="s">
        <v>408</v>
      </c>
      <c r="H41" s="60">
        <v>5200000</v>
      </c>
      <c r="I41" s="60">
        <v>0</v>
      </c>
      <c r="J41" s="60">
        <v>572000</v>
      </c>
      <c r="K41" s="60">
        <f t="shared" si="0"/>
        <v>5772000</v>
      </c>
      <c r="L41" s="75">
        <v>45694</v>
      </c>
      <c r="M41" s="83">
        <v>0</v>
      </c>
      <c r="N41" s="82">
        <v>0</v>
      </c>
      <c r="O41" s="82">
        <v>0</v>
      </c>
      <c r="P41" s="82">
        <v>5772000</v>
      </c>
      <c r="Q41" s="82">
        <v>0</v>
      </c>
      <c r="R41" s="82">
        <v>0</v>
      </c>
      <c r="S41" s="82">
        <v>0</v>
      </c>
      <c r="T41" s="82">
        <v>0</v>
      </c>
      <c r="U41" s="82">
        <v>0</v>
      </c>
      <c r="V41" s="82">
        <v>0</v>
      </c>
      <c r="W41" s="82">
        <v>0</v>
      </c>
      <c r="X41" s="82">
        <f t="shared" si="1"/>
        <v>0</v>
      </c>
      <c r="Y41" s="82"/>
      <c r="Z41" s="47">
        <f t="shared" si="2"/>
        <v>-572000</v>
      </c>
      <c r="AA41" s="97">
        <v>0</v>
      </c>
      <c r="AB41" s="82">
        <v>0</v>
      </c>
      <c r="AC41" s="98">
        <f>K41+AA41</f>
        <v>5772000</v>
      </c>
      <c r="AD41" s="15"/>
    </row>
    <row r="42" spans="1:30" s="45" customFormat="1">
      <c r="A42" s="43">
        <f t="shared" si="3"/>
        <v>38</v>
      </c>
      <c r="B42" s="15" t="s">
        <v>343</v>
      </c>
      <c r="C42" s="22">
        <v>45692</v>
      </c>
      <c r="D42" s="14">
        <v>2025</v>
      </c>
      <c r="E42" s="44" t="s">
        <v>87</v>
      </c>
      <c r="F42" s="44" t="s">
        <v>296</v>
      </c>
      <c r="G42" s="44" t="s">
        <v>408</v>
      </c>
      <c r="H42" s="60">
        <v>5250000</v>
      </c>
      <c r="I42" s="60">
        <v>0</v>
      </c>
      <c r="J42" s="60">
        <v>577500</v>
      </c>
      <c r="K42" s="60">
        <f t="shared" si="0"/>
        <v>5827500</v>
      </c>
      <c r="L42" s="75">
        <v>45708</v>
      </c>
      <c r="M42" s="83">
        <v>0</v>
      </c>
      <c r="N42" s="82">
        <v>0</v>
      </c>
      <c r="O42" s="82">
        <v>0</v>
      </c>
      <c r="P42" s="82">
        <v>5827500</v>
      </c>
      <c r="Q42" s="82">
        <v>0</v>
      </c>
      <c r="R42" s="82">
        <v>0</v>
      </c>
      <c r="S42" s="82">
        <v>0</v>
      </c>
      <c r="T42" s="82">
        <v>0</v>
      </c>
      <c r="U42" s="82">
        <v>0</v>
      </c>
      <c r="V42" s="82">
        <v>0</v>
      </c>
      <c r="W42" s="82">
        <v>0</v>
      </c>
      <c r="X42" s="82">
        <f t="shared" si="1"/>
        <v>0</v>
      </c>
      <c r="Y42" s="82"/>
      <c r="Z42" s="47">
        <f t="shared" si="2"/>
        <v>-577500</v>
      </c>
      <c r="AA42" s="97">
        <v>0</v>
      </c>
      <c r="AB42" s="82">
        <v>0</v>
      </c>
      <c r="AC42" s="98">
        <f>K42+AA42</f>
        <v>5827500</v>
      </c>
      <c r="AD42" s="15"/>
    </row>
    <row r="43" spans="1:30" s="45" customFormat="1">
      <c r="A43" s="43">
        <f t="shared" si="3"/>
        <v>39</v>
      </c>
      <c r="B43" s="15" t="s">
        <v>344</v>
      </c>
      <c r="C43" s="22">
        <v>45705</v>
      </c>
      <c r="D43" s="14">
        <v>2025</v>
      </c>
      <c r="E43" s="44" t="s">
        <v>67</v>
      </c>
      <c r="F43" s="44" t="s">
        <v>296</v>
      </c>
      <c r="G43" s="44" t="s">
        <v>408</v>
      </c>
      <c r="H43" s="60">
        <v>5000000</v>
      </c>
      <c r="I43" s="60">
        <v>0</v>
      </c>
      <c r="J43" s="60">
        <v>550000</v>
      </c>
      <c r="K43" s="60">
        <f t="shared" si="0"/>
        <v>5550000</v>
      </c>
      <c r="L43" s="75">
        <v>45721</v>
      </c>
      <c r="M43" s="83">
        <v>0</v>
      </c>
      <c r="N43" s="82">
        <v>0</v>
      </c>
      <c r="O43" s="82">
        <v>0</v>
      </c>
      <c r="P43" s="82">
        <v>5550000</v>
      </c>
      <c r="Q43" s="82">
        <v>0</v>
      </c>
      <c r="R43" s="82">
        <v>0</v>
      </c>
      <c r="S43" s="82">
        <v>0</v>
      </c>
      <c r="T43" s="82">
        <v>0</v>
      </c>
      <c r="U43" s="82">
        <v>0</v>
      </c>
      <c r="V43" s="82">
        <v>0</v>
      </c>
      <c r="W43" s="82">
        <v>0</v>
      </c>
      <c r="X43" s="82">
        <f t="shared" si="1"/>
        <v>0</v>
      </c>
      <c r="Y43" s="82"/>
      <c r="Z43" s="47">
        <f t="shared" si="2"/>
        <v>-550000</v>
      </c>
      <c r="AA43" s="97">
        <v>0</v>
      </c>
      <c r="AB43" s="82">
        <v>0</v>
      </c>
      <c r="AC43" s="98">
        <f>K43+AA43</f>
        <v>5550000</v>
      </c>
      <c r="AD43" s="15"/>
    </row>
    <row r="44" spans="1:30" s="45" customFormat="1">
      <c r="A44" s="43">
        <f t="shared" si="3"/>
        <v>40</v>
      </c>
      <c r="B44" s="15" t="s">
        <v>345</v>
      </c>
      <c r="C44" s="22">
        <v>45692</v>
      </c>
      <c r="D44" s="14">
        <v>2025</v>
      </c>
      <c r="E44" s="44" t="s">
        <v>83</v>
      </c>
      <c r="F44" s="44" t="s">
        <v>296</v>
      </c>
      <c r="G44" s="44" t="s">
        <v>408</v>
      </c>
      <c r="H44" s="60">
        <v>5000000</v>
      </c>
      <c r="I44" s="60">
        <v>0</v>
      </c>
      <c r="J44" s="60">
        <v>550000</v>
      </c>
      <c r="K44" s="60">
        <f t="shared" si="0"/>
        <v>5550000</v>
      </c>
      <c r="L44" s="75">
        <v>45783</v>
      </c>
      <c r="M44" s="83">
        <v>0</v>
      </c>
      <c r="N44" s="82">
        <v>0</v>
      </c>
      <c r="O44" s="82">
        <v>0</v>
      </c>
      <c r="P44" s="82">
        <v>5550000</v>
      </c>
      <c r="Q44" s="82">
        <v>0</v>
      </c>
      <c r="R44" s="82">
        <v>0</v>
      </c>
      <c r="S44" s="82">
        <v>0</v>
      </c>
      <c r="T44" s="82">
        <v>0</v>
      </c>
      <c r="U44" s="82">
        <v>0</v>
      </c>
      <c r="V44" s="82">
        <v>0</v>
      </c>
      <c r="W44" s="82">
        <v>0</v>
      </c>
      <c r="X44" s="82">
        <f t="shared" si="1"/>
        <v>0</v>
      </c>
      <c r="Y44" s="82"/>
      <c r="Z44" s="47">
        <f t="shared" si="2"/>
        <v>-550000</v>
      </c>
      <c r="AA44" s="97">
        <v>0</v>
      </c>
      <c r="AB44" s="82">
        <v>0</v>
      </c>
      <c r="AC44" s="98">
        <f>K44+AA44</f>
        <v>5550000</v>
      </c>
      <c r="AD44" s="15"/>
    </row>
    <row r="45" spans="1:30" s="63" customFormat="1">
      <c r="A45" s="43">
        <f t="shared" si="3"/>
        <v>41</v>
      </c>
      <c r="B45" s="15" t="s">
        <v>346</v>
      </c>
      <c r="C45" s="22">
        <v>45692</v>
      </c>
      <c r="D45" s="14">
        <v>2025</v>
      </c>
      <c r="E45" s="44" t="s">
        <v>418</v>
      </c>
      <c r="F45" s="44" t="s">
        <v>296</v>
      </c>
      <c r="G45" s="44" t="s">
        <v>407</v>
      </c>
      <c r="H45" s="62">
        <v>50000000</v>
      </c>
      <c r="I45" s="62">
        <v>0</v>
      </c>
      <c r="J45" s="62">
        <v>5500000</v>
      </c>
      <c r="K45" s="60">
        <f t="shared" si="0"/>
        <v>55500000</v>
      </c>
      <c r="L45" s="75">
        <v>45727</v>
      </c>
      <c r="M45" s="83">
        <v>0</v>
      </c>
      <c r="N45" s="83">
        <v>0</v>
      </c>
      <c r="O45" s="83">
        <v>0</v>
      </c>
      <c r="P45" s="83">
        <v>48999999</v>
      </c>
      <c r="Q45" s="83">
        <v>0</v>
      </c>
      <c r="R45" s="83">
        <v>0</v>
      </c>
      <c r="S45" s="83">
        <v>0</v>
      </c>
      <c r="T45" s="83">
        <v>0</v>
      </c>
      <c r="U45" s="82">
        <v>0</v>
      </c>
      <c r="V45" s="83">
        <v>0</v>
      </c>
      <c r="W45" s="83">
        <v>6500001</v>
      </c>
      <c r="X45" s="82">
        <f t="shared" si="1"/>
        <v>0</v>
      </c>
      <c r="Y45" s="47"/>
      <c r="Z45" s="47">
        <f t="shared" si="2"/>
        <v>-5500000</v>
      </c>
      <c r="AA45" s="97">
        <f t="shared" ref="AA45:AA50" si="7">-(H45+I45)*2%</f>
        <v>-1000000</v>
      </c>
      <c r="AB45" s="82">
        <f t="shared" ref="AB45:AB50" si="8">K45+Z45+AA45</f>
        <v>49000000</v>
      </c>
      <c r="AC45" s="83">
        <v>0</v>
      </c>
      <c r="AD45" s="44"/>
    </row>
    <row r="46" spans="1:30" s="63" customFormat="1">
      <c r="A46" s="43">
        <f t="shared" si="3"/>
        <v>42</v>
      </c>
      <c r="B46" s="15" t="s">
        <v>347</v>
      </c>
      <c r="C46" s="22">
        <v>45699</v>
      </c>
      <c r="D46" s="14">
        <v>2025</v>
      </c>
      <c r="E46" s="44" t="s">
        <v>106</v>
      </c>
      <c r="F46" s="44" t="s">
        <v>296</v>
      </c>
      <c r="G46" s="44" t="s">
        <v>407</v>
      </c>
      <c r="H46" s="62">
        <v>250000000</v>
      </c>
      <c r="I46" s="62">
        <v>0</v>
      </c>
      <c r="J46" s="62">
        <v>27500000</v>
      </c>
      <c r="K46" s="60">
        <f t="shared" si="0"/>
        <v>277500000</v>
      </c>
      <c r="L46" s="75">
        <v>45733</v>
      </c>
      <c r="M46" s="83">
        <v>0</v>
      </c>
      <c r="N46" s="83">
        <v>0</v>
      </c>
      <c r="O46" s="83">
        <v>0</v>
      </c>
      <c r="P46" s="83">
        <v>245000000</v>
      </c>
      <c r="Q46" s="83">
        <v>0</v>
      </c>
      <c r="R46" s="83">
        <v>0</v>
      </c>
      <c r="S46" s="83">
        <v>0</v>
      </c>
      <c r="T46" s="83">
        <v>0</v>
      </c>
      <c r="U46" s="82">
        <v>0</v>
      </c>
      <c r="V46" s="83">
        <v>0</v>
      </c>
      <c r="W46" s="83">
        <v>32500000</v>
      </c>
      <c r="X46" s="82">
        <f t="shared" si="1"/>
        <v>0</v>
      </c>
      <c r="Y46" s="47"/>
      <c r="Z46" s="47">
        <f t="shared" si="2"/>
        <v>-27500000</v>
      </c>
      <c r="AA46" s="97">
        <f t="shared" si="7"/>
        <v>-5000000</v>
      </c>
      <c r="AB46" s="82">
        <f t="shared" si="8"/>
        <v>245000000</v>
      </c>
      <c r="AC46" s="83">
        <v>0</v>
      </c>
      <c r="AD46" s="44"/>
    </row>
    <row r="47" spans="1:30" s="45" customFormat="1">
      <c r="A47" s="43">
        <f t="shared" si="3"/>
        <v>43</v>
      </c>
      <c r="B47" s="15" t="s">
        <v>348</v>
      </c>
      <c r="C47" s="22">
        <v>45699</v>
      </c>
      <c r="D47" s="14">
        <v>2025</v>
      </c>
      <c r="E47" s="38" t="s">
        <v>89</v>
      </c>
      <c r="F47" s="44" t="s">
        <v>296</v>
      </c>
      <c r="G47" s="44" t="s">
        <v>407</v>
      </c>
      <c r="H47" s="62">
        <v>75000000</v>
      </c>
      <c r="I47" s="62">
        <v>0</v>
      </c>
      <c r="J47" s="62">
        <v>8250000</v>
      </c>
      <c r="K47" s="60">
        <f t="shared" si="0"/>
        <v>83250000</v>
      </c>
      <c r="L47" s="75">
        <v>45713</v>
      </c>
      <c r="M47" s="83">
        <v>0</v>
      </c>
      <c r="N47" s="82">
        <v>0</v>
      </c>
      <c r="O47" s="82">
        <v>0</v>
      </c>
      <c r="P47" s="82">
        <v>73500000</v>
      </c>
      <c r="Q47" s="82">
        <v>0</v>
      </c>
      <c r="R47" s="82">
        <v>0</v>
      </c>
      <c r="S47" s="82">
        <v>0</v>
      </c>
      <c r="T47" s="82">
        <v>0</v>
      </c>
      <c r="U47" s="82">
        <v>0</v>
      </c>
      <c r="V47" s="82">
        <v>0</v>
      </c>
      <c r="W47" s="82">
        <v>9750000</v>
      </c>
      <c r="X47" s="82">
        <f t="shared" si="1"/>
        <v>0</v>
      </c>
      <c r="Y47" s="82"/>
      <c r="Z47" s="47">
        <f t="shared" si="2"/>
        <v>-8250000</v>
      </c>
      <c r="AA47" s="97">
        <f t="shared" si="7"/>
        <v>-1500000</v>
      </c>
      <c r="AB47" s="82">
        <f t="shared" si="8"/>
        <v>73500000</v>
      </c>
      <c r="AC47" s="98">
        <v>0</v>
      </c>
      <c r="AD47" s="15"/>
    </row>
    <row r="48" spans="1:30" s="45" customFormat="1">
      <c r="A48" s="43">
        <f t="shared" si="3"/>
        <v>44</v>
      </c>
      <c r="B48" s="15" t="s">
        <v>349</v>
      </c>
      <c r="C48" s="22">
        <v>45699</v>
      </c>
      <c r="D48" s="14">
        <v>2025</v>
      </c>
      <c r="E48" s="38" t="s">
        <v>110</v>
      </c>
      <c r="F48" s="44" t="s">
        <v>296</v>
      </c>
      <c r="G48" s="44" t="s">
        <v>407</v>
      </c>
      <c r="H48" s="62">
        <v>67567568</v>
      </c>
      <c r="I48" s="62">
        <v>0</v>
      </c>
      <c r="J48" s="62">
        <v>7432432</v>
      </c>
      <c r="K48" s="60">
        <f t="shared" si="0"/>
        <v>75000000</v>
      </c>
      <c r="L48" s="75">
        <v>45723</v>
      </c>
      <c r="M48" s="83">
        <v>0</v>
      </c>
      <c r="N48" s="82">
        <v>0</v>
      </c>
      <c r="O48" s="82">
        <v>0</v>
      </c>
      <c r="P48" s="82">
        <v>66216216</v>
      </c>
      <c r="Q48" s="82">
        <v>0</v>
      </c>
      <c r="R48" s="82">
        <v>0</v>
      </c>
      <c r="S48" s="82">
        <v>0</v>
      </c>
      <c r="T48" s="82">
        <v>0</v>
      </c>
      <c r="U48" s="82">
        <v>0</v>
      </c>
      <c r="V48" s="82">
        <v>0</v>
      </c>
      <c r="W48" s="82">
        <v>8783784</v>
      </c>
      <c r="X48" s="82">
        <f t="shared" si="1"/>
        <v>0</v>
      </c>
      <c r="Y48" s="82"/>
      <c r="Z48" s="47">
        <f t="shared" si="2"/>
        <v>-7432432</v>
      </c>
      <c r="AA48" s="97">
        <f t="shared" si="7"/>
        <v>-1351351.36</v>
      </c>
      <c r="AB48" s="82">
        <f t="shared" si="8"/>
        <v>66216216.640000001</v>
      </c>
      <c r="AC48" s="98">
        <v>0</v>
      </c>
      <c r="AD48" s="15"/>
    </row>
    <row r="49" spans="1:30" s="45" customFormat="1">
      <c r="A49" s="43">
        <f t="shared" si="3"/>
        <v>45</v>
      </c>
      <c r="B49" s="15" t="s">
        <v>350</v>
      </c>
      <c r="C49" s="22">
        <v>45699</v>
      </c>
      <c r="D49" s="14">
        <v>2025</v>
      </c>
      <c r="E49" s="44" t="s">
        <v>91</v>
      </c>
      <c r="F49" s="44" t="s">
        <v>296</v>
      </c>
      <c r="G49" s="44" t="s">
        <v>407</v>
      </c>
      <c r="H49" s="62">
        <v>67567568</v>
      </c>
      <c r="I49" s="62">
        <v>0</v>
      </c>
      <c r="J49" s="62">
        <v>7432432</v>
      </c>
      <c r="K49" s="60">
        <f t="shared" si="0"/>
        <v>75000000</v>
      </c>
      <c r="L49" s="75">
        <v>45723</v>
      </c>
      <c r="M49" s="83">
        <v>0</v>
      </c>
      <c r="N49" s="82">
        <v>0</v>
      </c>
      <c r="O49" s="82">
        <v>0</v>
      </c>
      <c r="P49" s="82">
        <v>66216217</v>
      </c>
      <c r="Q49" s="82">
        <v>0</v>
      </c>
      <c r="R49" s="82">
        <v>0</v>
      </c>
      <c r="S49" s="82">
        <v>0</v>
      </c>
      <c r="T49" s="82">
        <v>0</v>
      </c>
      <c r="U49" s="82">
        <v>0</v>
      </c>
      <c r="V49" s="82">
        <v>0</v>
      </c>
      <c r="W49" s="82">
        <v>8783783</v>
      </c>
      <c r="X49" s="82">
        <f t="shared" si="1"/>
        <v>0</v>
      </c>
      <c r="Y49" s="82"/>
      <c r="Z49" s="47">
        <f t="shared" si="2"/>
        <v>-7432432</v>
      </c>
      <c r="AA49" s="97">
        <f t="shared" si="7"/>
        <v>-1351351.36</v>
      </c>
      <c r="AB49" s="82">
        <f t="shared" si="8"/>
        <v>66216216.640000001</v>
      </c>
      <c r="AC49" s="98">
        <v>0</v>
      </c>
      <c r="AD49" s="15"/>
    </row>
    <row r="50" spans="1:30" s="120" customFormat="1">
      <c r="A50" s="107">
        <f t="shared" si="3"/>
        <v>46</v>
      </c>
      <c r="B50" s="121" t="s">
        <v>351</v>
      </c>
      <c r="C50" s="124">
        <v>45709</v>
      </c>
      <c r="D50" s="14">
        <v>2024</v>
      </c>
      <c r="E50" s="77" t="s">
        <v>19</v>
      </c>
      <c r="F50" s="77" t="s">
        <v>19</v>
      </c>
      <c r="G50" s="77" t="s">
        <v>1073</v>
      </c>
      <c r="H50" s="114">
        <v>0</v>
      </c>
      <c r="I50" s="114">
        <v>0</v>
      </c>
      <c r="J50" s="114">
        <v>0</v>
      </c>
      <c r="K50" s="108">
        <f t="shared" si="0"/>
        <v>0</v>
      </c>
      <c r="L50" s="115"/>
      <c r="M50" s="116">
        <v>0</v>
      </c>
      <c r="N50" s="105">
        <v>0</v>
      </c>
      <c r="O50" s="105">
        <v>0</v>
      </c>
      <c r="P50" s="105">
        <v>0</v>
      </c>
      <c r="Q50" s="105">
        <v>0</v>
      </c>
      <c r="R50" s="105">
        <v>0</v>
      </c>
      <c r="S50" s="105">
        <v>0</v>
      </c>
      <c r="T50" s="105">
        <v>0</v>
      </c>
      <c r="U50" s="105">
        <v>0</v>
      </c>
      <c r="V50" s="105">
        <v>0</v>
      </c>
      <c r="W50" s="105">
        <v>0</v>
      </c>
      <c r="X50" s="105">
        <f t="shared" si="1"/>
        <v>0</v>
      </c>
      <c r="Y50" s="105"/>
      <c r="Z50" s="109">
        <f t="shared" si="2"/>
        <v>0</v>
      </c>
      <c r="AA50" s="118">
        <f t="shared" si="7"/>
        <v>0</v>
      </c>
      <c r="AB50" s="105">
        <f t="shared" si="8"/>
        <v>0</v>
      </c>
      <c r="AC50" s="119">
        <v>0</v>
      </c>
      <c r="AD50" s="50"/>
    </row>
    <row r="51" spans="1:30" s="45" customFormat="1">
      <c r="A51" s="43">
        <f t="shared" si="3"/>
        <v>47</v>
      </c>
      <c r="B51" s="15" t="s">
        <v>352</v>
      </c>
      <c r="C51" s="22">
        <v>45709</v>
      </c>
      <c r="D51" s="14">
        <v>2025</v>
      </c>
      <c r="E51" s="44" t="s">
        <v>137</v>
      </c>
      <c r="F51" s="44" t="s">
        <v>304</v>
      </c>
      <c r="G51" s="44" t="s">
        <v>419</v>
      </c>
      <c r="H51" s="62">
        <v>60000000</v>
      </c>
      <c r="I51" s="62">
        <v>0</v>
      </c>
      <c r="J51" s="62">
        <v>0</v>
      </c>
      <c r="K51" s="60">
        <f t="shared" si="0"/>
        <v>60000000</v>
      </c>
      <c r="L51" s="75">
        <v>45710</v>
      </c>
      <c r="M51" s="83">
        <v>60000000</v>
      </c>
      <c r="N51" s="82">
        <v>0</v>
      </c>
      <c r="O51" s="82">
        <v>0</v>
      </c>
      <c r="P51" s="82">
        <v>0</v>
      </c>
      <c r="Q51" s="82">
        <v>0</v>
      </c>
      <c r="R51" s="82">
        <v>0</v>
      </c>
      <c r="S51" s="82">
        <v>0</v>
      </c>
      <c r="T51" s="82">
        <v>0</v>
      </c>
      <c r="U51" s="82">
        <v>0</v>
      </c>
      <c r="V51" s="82">
        <v>0</v>
      </c>
      <c r="W51" s="82">
        <v>0</v>
      </c>
      <c r="X51" s="82">
        <f t="shared" si="1"/>
        <v>0</v>
      </c>
      <c r="Y51" s="82"/>
      <c r="Z51" s="47">
        <f t="shared" si="2"/>
        <v>0</v>
      </c>
      <c r="AA51" s="97">
        <v>0</v>
      </c>
      <c r="AB51" s="82">
        <v>0</v>
      </c>
      <c r="AC51" s="98">
        <f>K51+AA51</f>
        <v>60000000</v>
      </c>
      <c r="AD51" s="15"/>
    </row>
    <row r="52" spans="1:30" s="45" customFormat="1">
      <c r="A52" s="43">
        <f t="shared" si="3"/>
        <v>48</v>
      </c>
      <c r="B52" s="15" t="s">
        <v>353</v>
      </c>
      <c r="C52" s="22">
        <v>45701</v>
      </c>
      <c r="D52" s="14">
        <v>2025</v>
      </c>
      <c r="E52" s="44" t="s">
        <v>98</v>
      </c>
      <c r="F52" s="44" t="s">
        <v>1153</v>
      </c>
      <c r="G52" s="44" t="s">
        <v>1154</v>
      </c>
      <c r="H52" s="62">
        <v>10825000</v>
      </c>
      <c r="I52" s="62">
        <v>0</v>
      </c>
      <c r="J52" s="62">
        <v>1190750</v>
      </c>
      <c r="K52" s="60">
        <f t="shared" si="0"/>
        <v>12015750</v>
      </c>
      <c r="L52" s="75">
        <v>45737</v>
      </c>
      <c r="M52" s="83">
        <v>0</v>
      </c>
      <c r="N52" s="82">
        <v>0</v>
      </c>
      <c r="O52" s="83">
        <v>10608500</v>
      </c>
      <c r="P52" s="82">
        <v>0</v>
      </c>
      <c r="Q52" s="82">
        <v>0</v>
      </c>
      <c r="R52" s="82">
        <v>0</v>
      </c>
      <c r="S52" s="82">
        <v>0</v>
      </c>
      <c r="T52" s="82">
        <v>0</v>
      </c>
      <c r="U52" s="82">
        <v>0</v>
      </c>
      <c r="V52" s="82">
        <v>0</v>
      </c>
      <c r="W52" s="82">
        <v>1407250</v>
      </c>
      <c r="X52" s="82">
        <f t="shared" si="1"/>
        <v>0</v>
      </c>
      <c r="Y52" s="82"/>
      <c r="Z52" s="47">
        <f t="shared" si="2"/>
        <v>-1190750</v>
      </c>
      <c r="AA52" s="97">
        <f>-(H52+I52)*2%</f>
        <v>-216500</v>
      </c>
      <c r="AB52" s="82">
        <f>K52+Z52+AA52</f>
        <v>10608500</v>
      </c>
      <c r="AC52" s="98">
        <v>0</v>
      </c>
      <c r="AD52" s="15"/>
    </row>
    <row r="53" spans="1:30" s="45" customFormat="1">
      <c r="A53" s="43">
        <f t="shared" si="3"/>
        <v>49</v>
      </c>
      <c r="B53" s="15" t="s">
        <v>354</v>
      </c>
      <c r="C53" s="22">
        <v>45737</v>
      </c>
      <c r="D53" s="14">
        <v>2025</v>
      </c>
      <c r="E53" s="44" t="s">
        <v>98</v>
      </c>
      <c r="F53" s="44" t="s">
        <v>1153</v>
      </c>
      <c r="G53" s="44" t="s">
        <v>1154</v>
      </c>
      <c r="H53" s="62">
        <v>10750000</v>
      </c>
      <c r="I53" s="62"/>
      <c r="J53" s="62">
        <v>1182500</v>
      </c>
      <c r="K53" s="60">
        <f t="shared" si="0"/>
        <v>11932500</v>
      </c>
      <c r="L53" s="75">
        <v>45764</v>
      </c>
      <c r="M53" s="83">
        <v>0</v>
      </c>
      <c r="N53" s="82">
        <v>0</v>
      </c>
      <c r="O53" s="82">
        <v>10535000</v>
      </c>
      <c r="P53" s="82">
        <v>0</v>
      </c>
      <c r="Q53" s="82">
        <v>0</v>
      </c>
      <c r="R53" s="82">
        <v>0</v>
      </c>
      <c r="S53" s="82">
        <v>0</v>
      </c>
      <c r="T53" s="82">
        <v>0</v>
      </c>
      <c r="U53" s="82">
        <v>0</v>
      </c>
      <c r="V53" s="82">
        <v>0</v>
      </c>
      <c r="W53" s="82">
        <v>1397500</v>
      </c>
      <c r="X53" s="82">
        <f t="shared" si="1"/>
        <v>0</v>
      </c>
      <c r="Y53" s="82"/>
      <c r="Z53" s="47">
        <f t="shared" si="2"/>
        <v>-1182500</v>
      </c>
      <c r="AA53" s="97">
        <f>-(H53+I53)*2%</f>
        <v>-215000</v>
      </c>
      <c r="AB53" s="82">
        <f>K53+Z53+AA53</f>
        <v>10535000</v>
      </c>
      <c r="AC53" s="98">
        <v>0</v>
      </c>
      <c r="AD53" s="15"/>
    </row>
    <row r="54" spans="1:30" s="45" customFormat="1">
      <c r="A54" s="43">
        <f t="shared" si="3"/>
        <v>50</v>
      </c>
      <c r="B54" s="15" t="s">
        <v>355</v>
      </c>
      <c r="C54" s="22">
        <v>45708</v>
      </c>
      <c r="D54" s="14">
        <v>2025</v>
      </c>
      <c r="E54" s="44" t="s">
        <v>420</v>
      </c>
      <c r="F54" s="44" t="s">
        <v>298</v>
      </c>
      <c r="G54" s="44" t="s">
        <v>421</v>
      </c>
      <c r="H54" s="62">
        <v>2030000</v>
      </c>
      <c r="I54" s="62">
        <v>0</v>
      </c>
      <c r="J54" s="62">
        <v>0</v>
      </c>
      <c r="K54" s="60">
        <f t="shared" si="0"/>
        <v>2030000</v>
      </c>
      <c r="L54" s="75">
        <v>45705</v>
      </c>
      <c r="M54" s="83">
        <v>2030000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f t="shared" si="1"/>
        <v>0</v>
      </c>
      <c r="Y54" s="82"/>
      <c r="Z54" s="47">
        <f t="shared" si="2"/>
        <v>0</v>
      </c>
      <c r="AA54" s="97">
        <v>0</v>
      </c>
      <c r="AB54" s="82">
        <v>0</v>
      </c>
      <c r="AC54" s="98">
        <v>0</v>
      </c>
      <c r="AD54" s="15"/>
    </row>
    <row r="55" spans="1:30" s="45" customFormat="1">
      <c r="A55" s="43">
        <f t="shared" si="3"/>
        <v>51</v>
      </c>
      <c r="B55" s="15" t="s">
        <v>356</v>
      </c>
      <c r="C55" s="22">
        <v>45708</v>
      </c>
      <c r="D55" s="14">
        <v>2025</v>
      </c>
      <c r="E55" s="44" t="s">
        <v>422</v>
      </c>
      <c r="F55" s="44" t="s">
        <v>298</v>
      </c>
      <c r="G55" s="44" t="s">
        <v>423</v>
      </c>
      <c r="H55" s="62">
        <v>3043010</v>
      </c>
      <c r="I55" s="62">
        <v>0</v>
      </c>
      <c r="J55" s="62">
        <v>0</v>
      </c>
      <c r="K55" s="60">
        <f t="shared" si="0"/>
        <v>3043010</v>
      </c>
      <c r="L55" s="75">
        <v>45795</v>
      </c>
      <c r="M55" s="83">
        <v>3043010</v>
      </c>
      <c r="N55" s="82">
        <v>0</v>
      </c>
      <c r="O55" s="82">
        <v>0</v>
      </c>
      <c r="P55" s="82">
        <v>0</v>
      </c>
      <c r="Q55" s="82">
        <v>0</v>
      </c>
      <c r="R55" s="82">
        <v>0</v>
      </c>
      <c r="S55" s="82">
        <v>0</v>
      </c>
      <c r="T55" s="82">
        <v>0</v>
      </c>
      <c r="U55" s="82">
        <v>0</v>
      </c>
      <c r="V55" s="82">
        <v>0</v>
      </c>
      <c r="W55" s="82">
        <v>0</v>
      </c>
      <c r="X55" s="82">
        <f t="shared" si="1"/>
        <v>0</v>
      </c>
      <c r="Y55" s="82"/>
      <c r="Z55" s="47">
        <f t="shared" si="2"/>
        <v>0</v>
      </c>
      <c r="AA55" s="97">
        <v>0</v>
      </c>
      <c r="AB55" s="82">
        <v>0</v>
      </c>
      <c r="AC55" s="98">
        <v>0</v>
      </c>
      <c r="AD55" s="15"/>
    </row>
    <row r="56" spans="1:30" s="45" customFormat="1">
      <c r="A56" s="43">
        <f t="shared" si="3"/>
        <v>52</v>
      </c>
      <c r="B56" s="15" t="s">
        <v>357</v>
      </c>
      <c r="C56" s="22">
        <v>45713</v>
      </c>
      <c r="D56" s="14">
        <v>2025</v>
      </c>
      <c r="E56" s="44" t="s">
        <v>424</v>
      </c>
      <c r="F56" s="44" t="s">
        <v>298</v>
      </c>
      <c r="G56" s="44" t="s">
        <v>425</v>
      </c>
      <c r="H56" s="62">
        <v>709220286</v>
      </c>
      <c r="I56" s="62">
        <v>0</v>
      </c>
      <c r="J56" s="62">
        <v>78014231</v>
      </c>
      <c r="K56" s="60">
        <f t="shared" si="0"/>
        <v>787234517</v>
      </c>
      <c r="L56" s="110">
        <v>45779</v>
      </c>
      <c r="M56" s="83">
        <v>0</v>
      </c>
      <c r="N56" s="82">
        <v>0</v>
      </c>
      <c r="O56" s="82">
        <v>773050110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14184407</v>
      </c>
      <c r="X56" s="82">
        <f t="shared" si="1"/>
        <v>0</v>
      </c>
      <c r="Y56" s="82"/>
      <c r="Z56" s="47">
        <f t="shared" si="2"/>
        <v>-78014231</v>
      </c>
      <c r="AA56" s="97">
        <f>-(H56+I56)*2%</f>
        <v>-14184405.720000001</v>
      </c>
      <c r="AB56" s="82">
        <v>0</v>
      </c>
      <c r="AC56" s="98">
        <f>K56+AA56</f>
        <v>773050111.27999997</v>
      </c>
      <c r="AD56" s="15"/>
    </row>
    <row r="57" spans="1:30" s="45" customFormat="1">
      <c r="A57" s="43">
        <f t="shared" si="3"/>
        <v>53</v>
      </c>
      <c r="B57" s="15" t="s">
        <v>358</v>
      </c>
      <c r="C57" s="22">
        <v>45719</v>
      </c>
      <c r="D57" s="14">
        <v>2025</v>
      </c>
      <c r="E57" s="44" t="s">
        <v>103</v>
      </c>
      <c r="F57" s="44" t="s">
        <v>426</v>
      </c>
      <c r="G57" s="44" t="s">
        <v>427</v>
      </c>
      <c r="H57" s="62">
        <v>154750000</v>
      </c>
      <c r="I57" s="62">
        <v>15475000</v>
      </c>
      <c r="J57" s="62">
        <v>18724750</v>
      </c>
      <c r="K57" s="60">
        <f t="shared" si="0"/>
        <v>188949750</v>
      </c>
      <c r="L57" s="75">
        <v>45728</v>
      </c>
      <c r="M57" s="83">
        <v>0</v>
      </c>
      <c r="N57" s="82">
        <v>0</v>
      </c>
      <c r="O57" s="82">
        <v>0</v>
      </c>
      <c r="P57" s="82">
        <v>0</v>
      </c>
      <c r="Q57" s="82">
        <v>0</v>
      </c>
      <c r="R57" s="82">
        <v>0</v>
      </c>
      <c r="S57" s="82">
        <v>166820500</v>
      </c>
      <c r="T57" s="82">
        <v>0</v>
      </c>
      <c r="U57" s="82">
        <v>0</v>
      </c>
      <c r="V57" s="82">
        <v>0</v>
      </c>
      <c r="W57" s="82">
        <v>22129250</v>
      </c>
      <c r="X57" s="82">
        <f t="shared" si="1"/>
        <v>0</v>
      </c>
      <c r="Y57" s="82"/>
      <c r="Z57" s="47">
        <f t="shared" si="2"/>
        <v>-18724750</v>
      </c>
      <c r="AA57" s="97">
        <f>-(H57+I57)*2%</f>
        <v>-3404500</v>
      </c>
      <c r="AB57" s="82">
        <f>K57+Z57+AA57</f>
        <v>166820500</v>
      </c>
      <c r="AC57" s="98">
        <v>0</v>
      </c>
      <c r="AD57" s="15"/>
    </row>
    <row r="58" spans="1:30" s="45" customFormat="1">
      <c r="A58" s="43">
        <f t="shared" si="3"/>
        <v>54</v>
      </c>
      <c r="B58" s="15" t="s">
        <v>359</v>
      </c>
      <c r="C58" s="22">
        <v>45723</v>
      </c>
      <c r="D58" s="14">
        <v>2025</v>
      </c>
      <c r="E58" s="44" t="s">
        <v>428</v>
      </c>
      <c r="F58" s="44" t="s">
        <v>304</v>
      </c>
      <c r="G58" s="44" t="s">
        <v>429</v>
      </c>
      <c r="H58" s="62">
        <v>68100000</v>
      </c>
      <c r="I58" s="62">
        <v>0</v>
      </c>
      <c r="J58" s="62">
        <v>0</v>
      </c>
      <c r="K58" s="60">
        <f t="shared" si="0"/>
        <v>68100000</v>
      </c>
      <c r="L58" s="75">
        <v>45768</v>
      </c>
      <c r="M58" s="83">
        <v>68100000</v>
      </c>
      <c r="N58" s="82">
        <v>0</v>
      </c>
      <c r="O58" s="82">
        <v>0</v>
      </c>
      <c r="P58" s="82">
        <v>0</v>
      </c>
      <c r="Q58" s="82">
        <v>0</v>
      </c>
      <c r="R58" s="82">
        <v>0</v>
      </c>
      <c r="S58" s="82">
        <v>0</v>
      </c>
      <c r="T58" s="82">
        <v>0</v>
      </c>
      <c r="U58" s="82">
        <v>0</v>
      </c>
      <c r="V58" s="82">
        <v>0</v>
      </c>
      <c r="W58" s="82">
        <v>0</v>
      </c>
      <c r="X58" s="82">
        <f t="shared" si="1"/>
        <v>0</v>
      </c>
      <c r="Y58" s="82"/>
      <c r="Z58" s="47">
        <f t="shared" si="2"/>
        <v>0</v>
      </c>
      <c r="AA58" s="97">
        <v>0</v>
      </c>
      <c r="AB58" s="82">
        <v>0</v>
      </c>
      <c r="AC58" s="98">
        <f>K58+AA58</f>
        <v>68100000</v>
      </c>
      <c r="AD58" s="15"/>
    </row>
    <row r="59" spans="1:30" s="45" customFormat="1">
      <c r="A59" s="43">
        <f t="shared" si="3"/>
        <v>55</v>
      </c>
      <c r="B59" s="15" t="s">
        <v>360</v>
      </c>
      <c r="C59" s="22">
        <v>45714</v>
      </c>
      <c r="D59" s="14">
        <v>2025</v>
      </c>
      <c r="E59" s="23" t="s">
        <v>430</v>
      </c>
      <c r="F59" s="69" t="s">
        <v>304</v>
      </c>
      <c r="G59" s="44" t="s">
        <v>431</v>
      </c>
      <c r="H59" s="62">
        <v>33261480</v>
      </c>
      <c r="I59" s="62">
        <v>0</v>
      </c>
      <c r="J59" s="62">
        <v>3658763</v>
      </c>
      <c r="K59" s="60">
        <f t="shared" si="0"/>
        <v>36920243</v>
      </c>
      <c r="L59" s="75">
        <v>45757</v>
      </c>
      <c r="M59" s="83">
        <v>0</v>
      </c>
      <c r="N59" s="82">
        <v>36255013</v>
      </c>
      <c r="O59" s="82">
        <v>0</v>
      </c>
      <c r="P59" s="82">
        <v>0</v>
      </c>
      <c r="Q59" s="82">
        <v>0</v>
      </c>
      <c r="R59" s="82">
        <v>0</v>
      </c>
      <c r="S59" s="82">
        <v>0</v>
      </c>
      <c r="T59" s="82">
        <v>0</v>
      </c>
      <c r="U59" s="82">
        <v>0</v>
      </c>
      <c r="V59" s="82">
        <v>0</v>
      </c>
      <c r="W59" s="82">
        <v>665230</v>
      </c>
      <c r="X59" s="82">
        <f t="shared" si="1"/>
        <v>0</v>
      </c>
      <c r="Y59" s="82"/>
      <c r="Z59" s="47">
        <f t="shared" si="2"/>
        <v>-3658763</v>
      </c>
      <c r="AA59" s="97">
        <f t="shared" ref="AA59:AA66" si="9">-(H59+I59)*2%</f>
        <v>-665229.6</v>
      </c>
      <c r="AB59" s="82">
        <v>0</v>
      </c>
      <c r="AC59" s="98">
        <f>K59+AA59</f>
        <v>36255013.399999999</v>
      </c>
      <c r="AD59" s="15"/>
    </row>
    <row r="60" spans="1:30" s="120" customFormat="1">
      <c r="A60" s="107">
        <f t="shared" si="3"/>
        <v>56</v>
      </c>
      <c r="B60" s="50" t="s">
        <v>361</v>
      </c>
      <c r="C60" s="124">
        <v>45723</v>
      </c>
      <c r="D60" s="14">
        <v>2024</v>
      </c>
      <c r="E60" s="77" t="s">
        <v>19</v>
      </c>
      <c r="F60" s="77" t="s">
        <v>19</v>
      </c>
      <c r="G60" s="77" t="s">
        <v>1074</v>
      </c>
      <c r="H60" s="114">
        <v>0</v>
      </c>
      <c r="I60" s="114">
        <v>0</v>
      </c>
      <c r="J60" s="114">
        <v>0</v>
      </c>
      <c r="K60" s="108">
        <f t="shared" si="0"/>
        <v>0</v>
      </c>
      <c r="L60" s="115"/>
      <c r="M60" s="116">
        <v>0</v>
      </c>
      <c r="N60" s="105">
        <v>0</v>
      </c>
      <c r="O60" s="105">
        <v>0</v>
      </c>
      <c r="P60" s="105">
        <v>0</v>
      </c>
      <c r="Q60" s="105">
        <v>0</v>
      </c>
      <c r="R60" s="105">
        <v>0</v>
      </c>
      <c r="S60" s="105">
        <v>0</v>
      </c>
      <c r="T60" s="105">
        <v>0</v>
      </c>
      <c r="U60" s="105">
        <v>0</v>
      </c>
      <c r="V60" s="105">
        <v>0</v>
      </c>
      <c r="W60" s="105">
        <v>0</v>
      </c>
      <c r="X60" s="105">
        <f t="shared" si="1"/>
        <v>0</v>
      </c>
      <c r="Y60" s="105"/>
      <c r="Z60" s="109">
        <f t="shared" si="2"/>
        <v>0</v>
      </c>
      <c r="AA60" s="118">
        <f t="shared" si="9"/>
        <v>0</v>
      </c>
      <c r="AB60" s="105">
        <f t="shared" ref="AB60:AB65" si="10">K60+Z60+AA60</f>
        <v>0</v>
      </c>
      <c r="AC60" s="119">
        <v>0</v>
      </c>
      <c r="AD60" s="50"/>
    </row>
    <row r="61" spans="1:30" s="45" customFormat="1">
      <c r="A61" s="43">
        <f t="shared" si="3"/>
        <v>57</v>
      </c>
      <c r="B61" s="15" t="s">
        <v>362</v>
      </c>
      <c r="C61" s="22">
        <v>45719</v>
      </c>
      <c r="D61" s="14">
        <v>2025</v>
      </c>
      <c r="E61" s="44" t="s">
        <v>103</v>
      </c>
      <c r="F61" s="44" t="s">
        <v>302</v>
      </c>
      <c r="G61" s="44" t="s">
        <v>432</v>
      </c>
      <c r="H61" s="62">
        <v>74900000</v>
      </c>
      <c r="I61" s="62">
        <v>5992000</v>
      </c>
      <c r="J61" s="62">
        <v>8898120</v>
      </c>
      <c r="K61" s="60">
        <f t="shared" si="0"/>
        <v>89790120</v>
      </c>
      <c r="L61" s="75">
        <v>45734</v>
      </c>
      <c r="M61" s="83">
        <v>0</v>
      </c>
      <c r="N61" s="82">
        <v>0</v>
      </c>
      <c r="O61" s="82">
        <v>0</v>
      </c>
      <c r="P61" s="82">
        <v>0</v>
      </c>
      <c r="Q61" s="82">
        <v>0</v>
      </c>
      <c r="R61" s="82">
        <v>0</v>
      </c>
      <c r="S61" s="82">
        <v>79274160</v>
      </c>
      <c r="T61" s="82">
        <v>0</v>
      </c>
      <c r="U61" s="82">
        <v>0</v>
      </c>
      <c r="V61" s="82">
        <v>0</v>
      </c>
      <c r="W61" s="82">
        <v>10515960</v>
      </c>
      <c r="X61" s="82">
        <f t="shared" si="1"/>
        <v>0</v>
      </c>
      <c r="Y61" s="82"/>
      <c r="Z61" s="47">
        <f t="shared" si="2"/>
        <v>-8898120</v>
      </c>
      <c r="AA61" s="97">
        <f t="shared" si="9"/>
        <v>-1617840</v>
      </c>
      <c r="AB61" s="82">
        <f t="shared" si="10"/>
        <v>79274160</v>
      </c>
      <c r="AC61" s="98">
        <v>0</v>
      </c>
      <c r="AD61" s="15"/>
    </row>
    <row r="62" spans="1:30" s="45" customFormat="1">
      <c r="A62" s="43">
        <f t="shared" si="3"/>
        <v>58</v>
      </c>
      <c r="B62" s="15" t="s">
        <v>363</v>
      </c>
      <c r="C62" s="22">
        <v>45719</v>
      </c>
      <c r="D62" s="14">
        <v>2025</v>
      </c>
      <c r="E62" s="44" t="s">
        <v>103</v>
      </c>
      <c r="F62" s="44" t="s">
        <v>171</v>
      </c>
      <c r="G62" s="44" t="s">
        <v>171</v>
      </c>
      <c r="H62" s="62">
        <v>185275000</v>
      </c>
      <c r="I62" s="62">
        <v>14822000</v>
      </c>
      <c r="J62" s="62">
        <v>22010670</v>
      </c>
      <c r="K62" s="60">
        <f t="shared" si="0"/>
        <v>222107670</v>
      </c>
      <c r="L62" s="75">
        <v>45734</v>
      </c>
      <c r="M62" s="83">
        <v>0</v>
      </c>
      <c r="N62" s="82">
        <v>0</v>
      </c>
      <c r="O62" s="82">
        <v>0</v>
      </c>
      <c r="P62" s="82">
        <v>0</v>
      </c>
      <c r="Q62" s="82">
        <v>0</v>
      </c>
      <c r="R62" s="82">
        <v>0</v>
      </c>
      <c r="S62" s="82">
        <v>196095060</v>
      </c>
      <c r="T62" s="82">
        <v>0</v>
      </c>
      <c r="U62" s="82">
        <v>0</v>
      </c>
      <c r="V62" s="82">
        <v>0</v>
      </c>
      <c r="W62" s="82">
        <v>26012610</v>
      </c>
      <c r="X62" s="82">
        <f t="shared" si="1"/>
        <v>0</v>
      </c>
      <c r="Y62" s="82"/>
      <c r="Z62" s="47">
        <f t="shared" si="2"/>
        <v>-22010670</v>
      </c>
      <c r="AA62" s="97">
        <f t="shared" si="9"/>
        <v>-4001940</v>
      </c>
      <c r="AB62" s="82">
        <f t="shared" si="10"/>
        <v>196095060</v>
      </c>
      <c r="AC62" s="98">
        <v>0</v>
      </c>
      <c r="AD62" s="15"/>
    </row>
    <row r="63" spans="1:30" s="120" customFormat="1">
      <c r="A63" s="107">
        <f t="shared" si="3"/>
        <v>59</v>
      </c>
      <c r="B63" s="121" t="s">
        <v>523</v>
      </c>
      <c r="C63" s="124">
        <v>45798</v>
      </c>
      <c r="D63" s="14">
        <v>2024</v>
      </c>
      <c r="E63" s="77" t="s">
        <v>19</v>
      </c>
      <c r="F63" s="77" t="s">
        <v>19</v>
      </c>
      <c r="G63" s="77" t="s">
        <v>1075</v>
      </c>
      <c r="H63" s="114">
        <v>0</v>
      </c>
      <c r="I63" s="114">
        <v>0</v>
      </c>
      <c r="J63" s="114">
        <v>0</v>
      </c>
      <c r="K63" s="108">
        <f t="shared" si="0"/>
        <v>0</v>
      </c>
      <c r="L63" s="115"/>
      <c r="M63" s="116">
        <v>0</v>
      </c>
      <c r="N63" s="105">
        <v>0</v>
      </c>
      <c r="O63" s="105">
        <v>0</v>
      </c>
      <c r="P63" s="105">
        <v>0</v>
      </c>
      <c r="Q63" s="105">
        <v>0</v>
      </c>
      <c r="R63" s="105">
        <v>0</v>
      </c>
      <c r="S63" s="105">
        <v>0</v>
      </c>
      <c r="T63" s="105">
        <v>0</v>
      </c>
      <c r="U63" s="105">
        <v>0</v>
      </c>
      <c r="V63" s="105">
        <v>0</v>
      </c>
      <c r="W63" s="105">
        <v>0</v>
      </c>
      <c r="X63" s="105">
        <f t="shared" si="1"/>
        <v>0</v>
      </c>
      <c r="Y63" s="105"/>
      <c r="Z63" s="109">
        <f t="shared" si="2"/>
        <v>0</v>
      </c>
      <c r="AA63" s="118">
        <f t="shared" si="9"/>
        <v>0</v>
      </c>
      <c r="AB63" s="105">
        <f t="shared" si="10"/>
        <v>0</v>
      </c>
      <c r="AC63" s="119">
        <v>0</v>
      </c>
      <c r="AD63" s="50"/>
    </row>
    <row r="64" spans="1:30" s="120" customFormat="1">
      <c r="A64" s="107">
        <f t="shared" si="3"/>
        <v>60</v>
      </c>
      <c r="B64" s="50" t="s">
        <v>364</v>
      </c>
      <c r="C64" s="124">
        <v>45727</v>
      </c>
      <c r="D64" s="14">
        <v>2024</v>
      </c>
      <c r="E64" s="77" t="s">
        <v>19</v>
      </c>
      <c r="F64" s="77" t="s">
        <v>19</v>
      </c>
      <c r="G64" s="77" t="s">
        <v>1076</v>
      </c>
      <c r="H64" s="114">
        <v>0</v>
      </c>
      <c r="I64" s="114">
        <v>0</v>
      </c>
      <c r="J64" s="114">
        <v>0</v>
      </c>
      <c r="K64" s="108">
        <f t="shared" si="0"/>
        <v>0</v>
      </c>
      <c r="L64" s="115"/>
      <c r="M64" s="116">
        <v>0</v>
      </c>
      <c r="N64" s="105">
        <v>0</v>
      </c>
      <c r="O64" s="105">
        <v>0</v>
      </c>
      <c r="P64" s="105">
        <v>0</v>
      </c>
      <c r="Q64" s="105">
        <v>0</v>
      </c>
      <c r="R64" s="105">
        <v>0</v>
      </c>
      <c r="S64" s="105">
        <v>0</v>
      </c>
      <c r="T64" s="105">
        <v>0</v>
      </c>
      <c r="U64" s="105">
        <v>0</v>
      </c>
      <c r="V64" s="105">
        <v>0</v>
      </c>
      <c r="W64" s="105">
        <v>0</v>
      </c>
      <c r="X64" s="105">
        <f t="shared" si="1"/>
        <v>0</v>
      </c>
      <c r="Y64" s="105"/>
      <c r="Z64" s="109">
        <f t="shared" si="2"/>
        <v>0</v>
      </c>
      <c r="AA64" s="118">
        <f t="shared" si="9"/>
        <v>0</v>
      </c>
      <c r="AB64" s="105">
        <f t="shared" si="10"/>
        <v>0</v>
      </c>
      <c r="AC64" s="119">
        <v>0</v>
      </c>
      <c r="AD64" s="50"/>
    </row>
    <row r="65" spans="1:30" s="120" customFormat="1">
      <c r="A65" s="107">
        <f t="shared" si="3"/>
        <v>61</v>
      </c>
      <c r="B65" s="50" t="s">
        <v>365</v>
      </c>
      <c r="C65" s="124">
        <v>45728</v>
      </c>
      <c r="D65" s="14">
        <v>2024</v>
      </c>
      <c r="E65" s="77" t="s">
        <v>19</v>
      </c>
      <c r="F65" s="77" t="s">
        <v>19</v>
      </c>
      <c r="G65" s="77" t="s">
        <v>1077</v>
      </c>
      <c r="H65" s="114">
        <v>0</v>
      </c>
      <c r="I65" s="114">
        <v>0</v>
      </c>
      <c r="J65" s="114">
        <v>0</v>
      </c>
      <c r="K65" s="108">
        <f t="shared" si="0"/>
        <v>0</v>
      </c>
      <c r="L65" s="115"/>
      <c r="M65" s="116">
        <v>0</v>
      </c>
      <c r="N65" s="105">
        <v>0</v>
      </c>
      <c r="O65" s="105">
        <v>0</v>
      </c>
      <c r="P65" s="105">
        <v>0</v>
      </c>
      <c r="Q65" s="105">
        <v>0</v>
      </c>
      <c r="R65" s="105">
        <v>0</v>
      </c>
      <c r="S65" s="105">
        <v>0</v>
      </c>
      <c r="T65" s="105">
        <v>0</v>
      </c>
      <c r="U65" s="105">
        <v>0</v>
      </c>
      <c r="V65" s="105">
        <v>0</v>
      </c>
      <c r="W65" s="105">
        <v>0</v>
      </c>
      <c r="X65" s="105">
        <f t="shared" si="1"/>
        <v>0</v>
      </c>
      <c r="Y65" s="105"/>
      <c r="Z65" s="109">
        <f t="shared" si="2"/>
        <v>0</v>
      </c>
      <c r="AA65" s="118">
        <f t="shared" si="9"/>
        <v>0</v>
      </c>
      <c r="AB65" s="105">
        <f t="shared" si="10"/>
        <v>0</v>
      </c>
      <c r="AC65" s="119">
        <v>0</v>
      </c>
      <c r="AD65" s="50"/>
    </row>
    <row r="66" spans="1:30" s="45" customFormat="1">
      <c r="A66" s="43">
        <f t="shared" si="3"/>
        <v>62</v>
      </c>
      <c r="B66" s="15" t="s">
        <v>366</v>
      </c>
      <c r="C66" s="22">
        <v>45729</v>
      </c>
      <c r="D66" s="14">
        <v>2025</v>
      </c>
      <c r="E66" s="44" t="s">
        <v>424</v>
      </c>
      <c r="F66" s="44" t="s">
        <v>298</v>
      </c>
      <c r="G66" s="44" t="s">
        <v>433</v>
      </c>
      <c r="H66" s="62">
        <v>134673961</v>
      </c>
      <c r="I66" s="62">
        <v>0</v>
      </c>
      <c r="J66" s="62">
        <v>14814136</v>
      </c>
      <c r="K66" s="60">
        <f t="shared" si="0"/>
        <v>149488097</v>
      </c>
      <c r="L66" s="110">
        <v>45832</v>
      </c>
      <c r="M66" s="83">
        <v>0</v>
      </c>
      <c r="N66" s="82">
        <v>0</v>
      </c>
      <c r="O66" s="82">
        <v>146792657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2695440</v>
      </c>
      <c r="X66" s="82">
        <f t="shared" si="1"/>
        <v>0</v>
      </c>
      <c r="Y66" s="82"/>
      <c r="Z66" s="47">
        <f t="shared" si="2"/>
        <v>-14814136</v>
      </c>
      <c r="AA66" s="97">
        <f t="shared" si="9"/>
        <v>-2693479.22</v>
      </c>
      <c r="AB66" s="82">
        <v>0</v>
      </c>
      <c r="AC66" s="98">
        <f>K66+AA66</f>
        <v>146794617.78</v>
      </c>
      <c r="AD66" s="15"/>
    </row>
    <row r="67" spans="1:30" s="45" customFormat="1">
      <c r="A67" s="43">
        <f t="shared" si="3"/>
        <v>63</v>
      </c>
      <c r="B67" s="15" t="s">
        <v>367</v>
      </c>
      <c r="C67" s="22">
        <v>45730</v>
      </c>
      <c r="D67" s="14">
        <v>2025</v>
      </c>
      <c r="E67" s="44" t="s">
        <v>434</v>
      </c>
      <c r="F67" s="38" t="s">
        <v>121</v>
      </c>
      <c r="G67" s="44" t="s">
        <v>435</v>
      </c>
      <c r="H67" s="62">
        <v>1550000</v>
      </c>
      <c r="I67" s="62">
        <v>0</v>
      </c>
      <c r="J67" s="62">
        <v>0</v>
      </c>
      <c r="K67" s="60">
        <f t="shared" si="0"/>
        <v>1550000</v>
      </c>
      <c r="L67" s="75">
        <v>45838</v>
      </c>
      <c r="M67" s="83">
        <v>1550000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f t="shared" si="1"/>
        <v>0</v>
      </c>
      <c r="Y67" s="82"/>
      <c r="Z67" s="47">
        <f t="shared" si="2"/>
        <v>0</v>
      </c>
      <c r="AA67" s="97">
        <v>0</v>
      </c>
      <c r="AB67" s="82">
        <v>0</v>
      </c>
      <c r="AC67" s="98">
        <v>0</v>
      </c>
      <c r="AD67" s="15"/>
    </row>
    <row r="68" spans="1:30" s="45" customFormat="1">
      <c r="A68" s="43">
        <f t="shared" si="3"/>
        <v>64</v>
      </c>
      <c r="B68" s="15" t="s">
        <v>368</v>
      </c>
      <c r="C68" s="22">
        <v>45730</v>
      </c>
      <c r="D68" s="14">
        <v>2025</v>
      </c>
      <c r="E68" s="44" t="s">
        <v>98</v>
      </c>
      <c r="F68" s="38" t="s">
        <v>436</v>
      </c>
      <c r="G68" s="44" t="s">
        <v>437</v>
      </c>
      <c r="H68" s="62">
        <v>11538217</v>
      </c>
      <c r="I68" s="62">
        <v>0</v>
      </c>
      <c r="J68" s="62">
        <v>1269204</v>
      </c>
      <c r="K68" s="60">
        <f t="shared" si="0"/>
        <v>12807421</v>
      </c>
      <c r="L68" s="75">
        <v>45758</v>
      </c>
      <c r="M68" s="83">
        <v>0</v>
      </c>
      <c r="N68" s="82">
        <v>0</v>
      </c>
      <c r="O68" s="82">
        <v>11307453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1499968</v>
      </c>
      <c r="X68" s="82">
        <f t="shared" si="1"/>
        <v>0</v>
      </c>
      <c r="Y68" s="82"/>
      <c r="Z68" s="47">
        <f t="shared" si="2"/>
        <v>-1269204</v>
      </c>
      <c r="AA68" s="97">
        <f t="shared" ref="AA68:AA79" si="11">-(H68+I68)*2%</f>
        <v>-230764.34</v>
      </c>
      <c r="AB68" s="82">
        <f>K68+Z68+AA68</f>
        <v>11307452.66</v>
      </c>
      <c r="AC68" s="98">
        <v>0</v>
      </c>
      <c r="AD68" s="15"/>
    </row>
    <row r="69" spans="1:30" s="45" customFormat="1">
      <c r="A69" s="43">
        <f t="shared" si="3"/>
        <v>65</v>
      </c>
      <c r="B69" s="15" t="s">
        <v>369</v>
      </c>
      <c r="C69" s="22">
        <v>45730</v>
      </c>
      <c r="D69" s="14">
        <v>2025</v>
      </c>
      <c r="E69" s="38" t="s">
        <v>115</v>
      </c>
      <c r="F69" s="38" t="s">
        <v>304</v>
      </c>
      <c r="G69" s="44" t="s">
        <v>438</v>
      </c>
      <c r="H69" s="62">
        <v>42980500</v>
      </c>
      <c r="I69" s="62">
        <v>4298050</v>
      </c>
      <c r="J69" s="62">
        <v>5200641</v>
      </c>
      <c r="K69" s="60">
        <f t="shared" ref="K69:K120" si="12">SUM(H69:J69)</f>
        <v>52479191</v>
      </c>
      <c r="L69" s="75">
        <v>45771</v>
      </c>
      <c r="M69" s="83">
        <v>0</v>
      </c>
      <c r="N69" s="82">
        <v>46332979</v>
      </c>
      <c r="O69" s="82">
        <v>0</v>
      </c>
      <c r="P69" s="82">
        <v>0</v>
      </c>
      <c r="Q69" s="82">
        <v>0</v>
      </c>
      <c r="R69" s="82">
        <v>0</v>
      </c>
      <c r="S69" s="82">
        <v>0</v>
      </c>
      <c r="T69" s="82">
        <v>0</v>
      </c>
      <c r="U69" s="82">
        <v>0</v>
      </c>
      <c r="V69" s="82">
        <v>0</v>
      </c>
      <c r="W69" s="82">
        <v>6146212</v>
      </c>
      <c r="X69" s="82">
        <f t="shared" ref="X69:X132" si="13">K69-SUM(M69:W69)</f>
        <v>0</v>
      </c>
      <c r="Y69" s="82"/>
      <c r="Z69" s="47">
        <f t="shared" ref="Z69:Z132" si="14">-J69</f>
        <v>-5200641</v>
      </c>
      <c r="AA69" s="97">
        <f t="shared" si="11"/>
        <v>-945571</v>
      </c>
      <c r="AB69" s="82">
        <f>K69+Z69+AA69</f>
        <v>46332979</v>
      </c>
      <c r="AC69" s="98">
        <v>0</v>
      </c>
      <c r="AD69" s="15"/>
    </row>
    <row r="70" spans="1:30" s="45" customFormat="1">
      <c r="A70" s="43">
        <f t="shared" si="3"/>
        <v>66</v>
      </c>
      <c r="B70" s="15" t="s">
        <v>370</v>
      </c>
      <c r="C70" s="22">
        <v>45734</v>
      </c>
      <c r="D70" s="14">
        <v>2025</v>
      </c>
      <c r="E70" s="44" t="s">
        <v>98</v>
      </c>
      <c r="F70" s="38" t="s">
        <v>303</v>
      </c>
      <c r="G70" s="44" t="s">
        <v>439</v>
      </c>
      <c r="H70" s="62">
        <v>8236635</v>
      </c>
      <c r="I70" s="62">
        <v>0</v>
      </c>
      <c r="J70" s="62">
        <v>906030</v>
      </c>
      <c r="K70" s="60">
        <f t="shared" si="12"/>
        <v>9142665</v>
      </c>
      <c r="L70" s="75">
        <v>45768</v>
      </c>
      <c r="M70" s="83">
        <v>0</v>
      </c>
      <c r="N70" s="82">
        <v>0</v>
      </c>
      <c r="O70" s="82">
        <v>8977933</v>
      </c>
      <c r="P70" s="82">
        <v>0</v>
      </c>
      <c r="Q70" s="82">
        <v>0</v>
      </c>
      <c r="R70" s="82">
        <v>0</v>
      </c>
      <c r="S70" s="82">
        <v>0</v>
      </c>
      <c r="T70" s="82">
        <v>0</v>
      </c>
      <c r="U70" s="82">
        <v>0</v>
      </c>
      <c r="V70" s="82">
        <v>0</v>
      </c>
      <c r="W70" s="82">
        <v>164732</v>
      </c>
      <c r="X70" s="82">
        <f t="shared" si="13"/>
        <v>0</v>
      </c>
      <c r="Y70" s="82"/>
      <c r="Z70" s="47">
        <f t="shared" si="14"/>
        <v>-906030</v>
      </c>
      <c r="AA70" s="97">
        <f t="shared" si="11"/>
        <v>-164732.70000000001</v>
      </c>
      <c r="AB70" s="82">
        <v>0</v>
      </c>
      <c r="AC70" s="98">
        <f>K70+AA70</f>
        <v>8977932.3000000007</v>
      </c>
      <c r="AD70" s="15"/>
    </row>
    <row r="71" spans="1:30" s="120" customFormat="1">
      <c r="A71" s="107">
        <f t="shared" ref="A71:A134" si="15">A70+1</f>
        <v>67</v>
      </c>
      <c r="B71" s="50" t="s">
        <v>371</v>
      </c>
      <c r="C71" s="124">
        <v>45735</v>
      </c>
      <c r="D71" s="14">
        <v>2024</v>
      </c>
      <c r="E71" s="77" t="s">
        <v>19</v>
      </c>
      <c r="F71" s="77" t="s">
        <v>19</v>
      </c>
      <c r="G71" s="77" t="s">
        <v>1078</v>
      </c>
      <c r="H71" s="114">
        <v>0</v>
      </c>
      <c r="I71" s="114">
        <v>0</v>
      </c>
      <c r="J71" s="114">
        <v>0</v>
      </c>
      <c r="K71" s="108">
        <f t="shared" si="12"/>
        <v>0</v>
      </c>
      <c r="L71" s="115"/>
      <c r="M71" s="116">
        <v>0</v>
      </c>
      <c r="N71" s="105">
        <v>0</v>
      </c>
      <c r="O71" s="105">
        <v>0</v>
      </c>
      <c r="P71" s="105">
        <v>0</v>
      </c>
      <c r="Q71" s="105">
        <v>0</v>
      </c>
      <c r="R71" s="105">
        <v>0</v>
      </c>
      <c r="S71" s="105">
        <v>0</v>
      </c>
      <c r="T71" s="105">
        <v>0</v>
      </c>
      <c r="U71" s="105">
        <v>0</v>
      </c>
      <c r="V71" s="105">
        <v>0</v>
      </c>
      <c r="W71" s="105">
        <v>0</v>
      </c>
      <c r="X71" s="105">
        <f t="shared" si="13"/>
        <v>0</v>
      </c>
      <c r="Y71" s="105"/>
      <c r="Z71" s="109">
        <f t="shared" si="14"/>
        <v>0</v>
      </c>
      <c r="AA71" s="118">
        <f t="shared" si="11"/>
        <v>0</v>
      </c>
      <c r="AB71" s="105">
        <v>0</v>
      </c>
      <c r="AC71" s="119">
        <v>0</v>
      </c>
      <c r="AD71" s="50"/>
    </row>
    <row r="72" spans="1:30" s="120" customFormat="1">
      <c r="A72" s="107">
        <f t="shared" si="15"/>
        <v>68</v>
      </c>
      <c r="B72" s="50" t="s">
        <v>372</v>
      </c>
      <c r="C72" s="124">
        <v>45736</v>
      </c>
      <c r="D72" s="14">
        <v>2024</v>
      </c>
      <c r="E72" s="77" t="s">
        <v>19</v>
      </c>
      <c r="F72" s="77" t="s">
        <v>19</v>
      </c>
      <c r="G72" s="77" t="s">
        <v>1079</v>
      </c>
      <c r="H72" s="114">
        <v>0</v>
      </c>
      <c r="I72" s="114">
        <v>0</v>
      </c>
      <c r="J72" s="114">
        <v>0</v>
      </c>
      <c r="K72" s="108">
        <f t="shared" si="12"/>
        <v>0</v>
      </c>
      <c r="L72" s="115"/>
      <c r="M72" s="116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f t="shared" si="13"/>
        <v>0</v>
      </c>
      <c r="Y72" s="105"/>
      <c r="Z72" s="109">
        <f t="shared" si="14"/>
        <v>0</v>
      </c>
      <c r="AA72" s="118">
        <f t="shared" si="11"/>
        <v>0</v>
      </c>
      <c r="AB72" s="105">
        <v>0</v>
      </c>
      <c r="AC72" s="119">
        <v>0</v>
      </c>
      <c r="AD72" s="50"/>
    </row>
    <row r="73" spans="1:30" s="120" customFormat="1">
      <c r="A73" s="107">
        <f t="shared" si="15"/>
        <v>69</v>
      </c>
      <c r="B73" s="50" t="s">
        <v>373</v>
      </c>
      <c r="C73" s="124">
        <v>45736</v>
      </c>
      <c r="D73" s="14">
        <v>2024</v>
      </c>
      <c r="E73" s="77" t="s">
        <v>19</v>
      </c>
      <c r="F73" s="77" t="s">
        <v>19</v>
      </c>
      <c r="G73" s="77" t="s">
        <v>1080</v>
      </c>
      <c r="H73" s="114">
        <v>0</v>
      </c>
      <c r="I73" s="114">
        <v>0</v>
      </c>
      <c r="J73" s="114">
        <v>0</v>
      </c>
      <c r="K73" s="108">
        <f t="shared" si="12"/>
        <v>0</v>
      </c>
      <c r="L73" s="115"/>
      <c r="M73" s="116">
        <v>0</v>
      </c>
      <c r="N73" s="105">
        <v>0</v>
      </c>
      <c r="O73" s="105">
        <v>0</v>
      </c>
      <c r="P73" s="105">
        <v>0</v>
      </c>
      <c r="Q73" s="105">
        <v>0</v>
      </c>
      <c r="R73" s="105">
        <v>0</v>
      </c>
      <c r="S73" s="105">
        <v>0</v>
      </c>
      <c r="T73" s="105">
        <v>0</v>
      </c>
      <c r="U73" s="105">
        <v>0</v>
      </c>
      <c r="V73" s="105">
        <v>0</v>
      </c>
      <c r="W73" s="105">
        <v>0</v>
      </c>
      <c r="X73" s="105">
        <f t="shared" si="13"/>
        <v>0</v>
      </c>
      <c r="Y73" s="105"/>
      <c r="Z73" s="109">
        <f t="shared" si="14"/>
        <v>0</v>
      </c>
      <c r="AA73" s="118">
        <f t="shared" si="11"/>
        <v>0</v>
      </c>
      <c r="AB73" s="105">
        <v>0</v>
      </c>
      <c r="AC73" s="119">
        <v>0</v>
      </c>
      <c r="AD73" s="50"/>
    </row>
    <row r="74" spans="1:30" s="120" customFormat="1">
      <c r="A74" s="107">
        <f t="shared" si="15"/>
        <v>70</v>
      </c>
      <c r="B74" s="50" t="s">
        <v>374</v>
      </c>
      <c r="C74" s="124">
        <v>45737</v>
      </c>
      <c r="D74" s="14">
        <v>2024</v>
      </c>
      <c r="E74" s="77" t="s">
        <v>19</v>
      </c>
      <c r="F74" s="77" t="s">
        <v>19</v>
      </c>
      <c r="G74" s="77" t="s">
        <v>1081</v>
      </c>
      <c r="H74" s="114">
        <v>0</v>
      </c>
      <c r="I74" s="114">
        <v>0</v>
      </c>
      <c r="J74" s="114">
        <v>0</v>
      </c>
      <c r="K74" s="108">
        <f t="shared" si="12"/>
        <v>0</v>
      </c>
      <c r="L74" s="115"/>
      <c r="M74" s="116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f t="shared" si="13"/>
        <v>0</v>
      </c>
      <c r="Y74" s="105"/>
      <c r="Z74" s="109">
        <f t="shared" si="14"/>
        <v>0</v>
      </c>
      <c r="AA74" s="118">
        <f t="shared" si="11"/>
        <v>0</v>
      </c>
      <c r="AB74" s="105">
        <v>0</v>
      </c>
      <c r="AC74" s="119">
        <v>0</v>
      </c>
      <c r="AD74" s="50"/>
    </row>
    <row r="75" spans="1:30" s="120" customFormat="1">
      <c r="A75" s="107">
        <f t="shared" si="15"/>
        <v>71</v>
      </c>
      <c r="B75" s="50" t="s">
        <v>375</v>
      </c>
      <c r="C75" s="124">
        <v>45740</v>
      </c>
      <c r="D75" s="14">
        <v>2024</v>
      </c>
      <c r="E75" s="77" t="s">
        <v>19</v>
      </c>
      <c r="F75" s="77" t="s">
        <v>19</v>
      </c>
      <c r="G75" s="77" t="s">
        <v>1082</v>
      </c>
      <c r="H75" s="114">
        <v>0</v>
      </c>
      <c r="I75" s="114">
        <v>0</v>
      </c>
      <c r="J75" s="114">
        <v>0</v>
      </c>
      <c r="K75" s="108">
        <f t="shared" si="12"/>
        <v>0</v>
      </c>
      <c r="L75" s="115"/>
      <c r="M75" s="116">
        <v>0</v>
      </c>
      <c r="N75" s="105">
        <v>0</v>
      </c>
      <c r="O75" s="105">
        <v>0</v>
      </c>
      <c r="P75" s="105">
        <v>0</v>
      </c>
      <c r="Q75" s="105">
        <v>0</v>
      </c>
      <c r="R75" s="105">
        <v>0</v>
      </c>
      <c r="S75" s="105">
        <v>0</v>
      </c>
      <c r="T75" s="105">
        <v>0</v>
      </c>
      <c r="U75" s="105">
        <v>0</v>
      </c>
      <c r="V75" s="105">
        <v>0</v>
      </c>
      <c r="W75" s="105">
        <v>0</v>
      </c>
      <c r="X75" s="105">
        <f t="shared" si="13"/>
        <v>0</v>
      </c>
      <c r="Y75" s="105"/>
      <c r="Z75" s="109">
        <f t="shared" si="14"/>
        <v>0</v>
      </c>
      <c r="AA75" s="118">
        <f t="shared" si="11"/>
        <v>0</v>
      </c>
      <c r="AB75" s="105">
        <v>0</v>
      </c>
      <c r="AC75" s="119">
        <v>0</v>
      </c>
      <c r="AD75" s="50"/>
    </row>
    <row r="76" spans="1:30" s="120" customFormat="1">
      <c r="A76" s="107">
        <f t="shared" si="15"/>
        <v>72</v>
      </c>
      <c r="B76" s="50" t="s">
        <v>376</v>
      </c>
      <c r="C76" s="124">
        <v>45741</v>
      </c>
      <c r="D76" s="14">
        <v>2024</v>
      </c>
      <c r="E76" s="77" t="s">
        <v>19</v>
      </c>
      <c r="F76" s="77" t="s">
        <v>19</v>
      </c>
      <c r="G76" s="77" t="s">
        <v>1083</v>
      </c>
      <c r="H76" s="114">
        <v>0</v>
      </c>
      <c r="I76" s="114">
        <v>0</v>
      </c>
      <c r="J76" s="114">
        <v>0</v>
      </c>
      <c r="K76" s="108">
        <f t="shared" si="12"/>
        <v>0</v>
      </c>
      <c r="L76" s="115"/>
      <c r="M76" s="116">
        <v>0</v>
      </c>
      <c r="N76" s="105">
        <v>0</v>
      </c>
      <c r="O76" s="105">
        <v>0</v>
      </c>
      <c r="P76" s="105">
        <v>0</v>
      </c>
      <c r="Q76" s="105">
        <v>0</v>
      </c>
      <c r="R76" s="105">
        <v>0</v>
      </c>
      <c r="S76" s="105">
        <v>0</v>
      </c>
      <c r="T76" s="105">
        <v>0</v>
      </c>
      <c r="U76" s="105">
        <v>0</v>
      </c>
      <c r="V76" s="105">
        <v>0</v>
      </c>
      <c r="W76" s="105">
        <v>0</v>
      </c>
      <c r="X76" s="105">
        <f t="shared" si="13"/>
        <v>0</v>
      </c>
      <c r="Y76" s="105"/>
      <c r="Z76" s="109">
        <f t="shared" si="14"/>
        <v>0</v>
      </c>
      <c r="AA76" s="118">
        <f t="shared" si="11"/>
        <v>0</v>
      </c>
      <c r="AB76" s="105">
        <v>0</v>
      </c>
      <c r="AC76" s="119">
        <v>0</v>
      </c>
      <c r="AD76" s="50"/>
    </row>
    <row r="77" spans="1:30" s="120" customFormat="1">
      <c r="A77" s="107">
        <f t="shared" si="15"/>
        <v>73</v>
      </c>
      <c r="B77" s="50" t="s">
        <v>377</v>
      </c>
      <c r="C77" s="124">
        <v>45741</v>
      </c>
      <c r="D77" s="14">
        <v>2024</v>
      </c>
      <c r="E77" s="77" t="s">
        <v>19</v>
      </c>
      <c r="F77" s="77" t="s">
        <v>19</v>
      </c>
      <c r="G77" s="77" t="s">
        <v>1084</v>
      </c>
      <c r="H77" s="114">
        <v>0</v>
      </c>
      <c r="I77" s="114">
        <v>0</v>
      </c>
      <c r="J77" s="114">
        <v>0</v>
      </c>
      <c r="K77" s="108">
        <f t="shared" si="12"/>
        <v>0</v>
      </c>
      <c r="L77" s="115"/>
      <c r="M77" s="116">
        <v>0</v>
      </c>
      <c r="N77" s="105">
        <v>0</v>
      </c>
      <c r="O77" s="105">
        <v>0</v>
      </c>
      <c r="P77" s="105">
        <v>0</v>
      </c>
      <c r="Q77" s="105">
        <v>0</v>
      </c>
      <c r="R77" s="105">
        <v>0</v>
      </c>
      <c r="S77" s="105">
        <v>0</v>
      </c>
      <c r="T77" s="105">
        <v>0</v>
      </c>
      <c r="U77" s="105">
        <v>0</v>
      </c>
      <c r="V77" s="105">
        <v>0</v>
      </c>
      <c r="W77" s="105">
        <v>0</v>
      </c>
      <c r="X77" s="105">
        <f t="shared" si="13"/>
        <v>0</v>
      </c>
      <c r="Y77" s="105"/>
      <c r="Z77" s="109">
        <f t="shared" si="14"/>
        <v>0</v>
      </c>
      <c r="AA77" s="118">
        <f t="shared" si="11"/>
        <v>0</v>
      </c>
      <c r="AB77" s="105">
        <v>0</v>
      </c>
      <c r="AC77" s="119">
        <v>0</v>
      </c>
      <c r="AD77" s="50"/>
    </row>
    <row r="78" spans="1:30" s="45" customFormat="1">
      <c r="A78" s="43">
        <f t="shared" si="15"/>
        <v>74</v>
      </c>
      <c r="B78" s="15" t="s">
        <v>378</v>
      </c>
      <c r="C78" s="22">
        <v>45741</v>
      </c>
      <c r="D78" s="14">
        <v>2025</v>
      </c>
      <c r="E78" s="44" t="s">
        <v>440</v>
      </c>
      <c r="F78" s="44" t="s">
        <v>304</v>
      </c>
      <c r="G78" s="38" t="s">
        <v>441</v>
      </c>
      <c r="H78" s="62">
        <v>45884535</v>
      </c>
      <c r="I78" s="62">
        <v>0</v>
      </c>
      <c r="J78" s="62">
        <v>5047299</v>
      </c>
      <c r="K78" s="60">
        <f t="shared" si="12"/>
        <v>50931834</v>
      </c>
      <c r="L78" s="75">
        <v>45763</v>
      </c>
      <c r="M78" s="83">
        <v>0</v>
      </c>
      <c r="N78" s="82">
        <v>50014144</v>
      </c>
      <c r="O78" s="82">
        <v>0</v>
      </c>
      <c r="P78" s="82">
        <v>0</v>
      </c>
      <c r="Q78" s="82">
        <v>0</v>
      </c>
      <c r="R78" s="82">
        <v>0</v>
      </c>
      <c r="S78" s="82">
        <v>0</v>
      </c>
      <c r="T78" s="82">
        <v>0</v>
      </c>
      <c r="U78" s="82">
        <v>0</v>
      </c>
      <c r="V78" s="82">
        <v>0</v>
      </c>
      <c r="W78" s="82">
        <v>917690</v>
      </c>
      <c r="X78" s="82">
        <f t="shared" si="13"/>
        <v>0</v>
      </c>
      <c r="Y78" s="82"/>
      <c r="Z78" s="47">
        <f t="shared" si="14"/>
        <v>-5047299</v>
      </c>
      <c r="AA78" s="97">
        <f t="shared" si="11"/>
        <v>-917690.70000000007</v>
      </c>
      <c r="AB78" s="82">
        <v>0</v>
      </c>
      <c r="AC78" s="98">
        <f>K78+AA78</f>
        <v>50014143.299999997</v>
      </c>
      <c r="AD78" s="15"/>
    </row>
    <row r="79" spans="1:30" s="45" customFormat="1">
      <c r="A79" s="43">
        <f t="shared" si="15"/>
        <v>75</v>
      </c>
      <c r="B79" s="15" t="s">
        <v>379</v>
      </c>
      <c r="C79" s="22">
        <v>45763</v>
      </c>
      <c r="D79" s="14">
        <v>2025</v>
      </c>
      <c r="E79" s="44" t="s">
        <v>68</v>
      </c>
      <c r="F79" s="38" t="s">
        <v>442</v>
      </c>
      <c r="G79" s="38" t="s">
        <v>443</v>
      </c>
      <c r="H79" s="62">
        <v>74550000</v>
      </c>
      <c r="I79" s="62">
        <v>7455000</v>
      </c>
      <c r="J79" s="62">
        <v>9020550</v>
      </c>
      <c r="K79" s="60">
        <f t="shared" si="12"/>
        <v>91025550</v>
      </c>
      <c r="L79" s="75">
        <v>45776</v>
      </c>
      <c r="M79" s="83">
        <v>0</v>
      </c>
      <c r="N79" s="82">
        <v>0</v>
      </c>
      <c r="O79" s="82">
        <v>0</v>
      </c>
      <c r="P79" s="82">
        <v>0</v>
      </c>
      <c r="Q79" s="82">
        <v>0</v>
      </c>
      <c r="R79" s="82">
        <v>80364900</v>
      </c>
      <c r="S79" s="82">
        <v>0</v>
      </c>
      <c r="T79" s="82">
        <v>0</v>
      </c>
      <c r="U79" s="82">
        <v>0</v>
      </c>
      <c r="V79" s="82">
        <v>0</v>
      </c>
      <c r="W79" s="82">
        <v>10660650</v>
      </c>
      <c r="X79" s="82">
        <f t="shared" si="13"/>
        <v>0</v>
      </c>
      <c r="Y79" s="82"/>
      <c r="Z79" s="47">
        <f t="shared" si="14"/>
        <v>-9020550</v>
      </c>
      <c r="AA79" s="97">
        <f t="shared" si="11"/>
        <v>-1640100</v>
      </c>
      <c r="AB79" s="82">
        <f>K79+Z79+AA79</f>
        <v>80364900</v>
      </c>
      <c r="AC79" s="98">
        <v>0</v>
      </c>
      <c r="AD79" s="15"/>
    </row>
    <row r="80" spans="1:30" s="45" customFormat="1">
      <c r="A80" s="43">
        <f t="shared" si="15"/>
        <v>76</v>
      </c>
      <c r="B80" s="15" t="s">
        <v>380</v>
      </c>
      <c r="C80" s="22">
        <v>45764</v>
      </c>
      <c r="D80" s="14">
        <v>2025</v>
      </c>
      <c r="E80" s="44" t="s">
        <v>99</v>
      </c>
      <c r="F80" s="44" t="s">
        <v>299</v>
      </c>
      <c r="G80" s="38" t="s">
        <v>444</v>
      </c>
      <c r="H80" s="62">
        <v>347895000</v>
      </c>
      <c r="I80" s="62">
        <v>38655000</v>
      </c>
      <c r="J80" s="62">
        <v>4252050</v>
      </c>
      <c r="K80" s="60">
        <f t="shared" si="12"/>
        <v>390802050</v>
      </c>
      <c r="L80" s="75">
        <v>45771</v>
      </c>
      <c r="M80" s="83">
        <v>0</v>
      </c>
      <c r="N80" s="82">
        <v>0</v>
      </c>
      <c r="O80" s="82">
        <v>390028950</v>
      </c>
      <c r="P80" s="82">
        <v>0</v>
      </c>
      <c r="Q80" s="82">
        <v>0</v>
      </c>
      <c r="R80" s="82">
        <v>0</v>
      </c>
      <c r="S80" s="82">
        <v>0</v>
      </c>
      <c r="T80" s="82">
        <v>0</v>
      </c>
      <c r="U80" s="82">
        <v>0</v>
      </c>
      <c r="V80" s="82">
        <v>0</v>
      </c>
      <c r="W80" s="82">
        <v>773100</v>
      </c>
      <c r="X80" s="82">
        <f t="shared" si="13"/>
        <v>0</v>
      </c>
      <c r="Y80" s="82"/>
      <c r="Z80" s="47">
        <f t="shared" si="14"/>
        <v>-4252050</v>
      </c>
      <c r="AA80" s="97">
        <f>-(I80)*2%</f>
        <v>-773100</v>
      </c>
      <c r="AB80" s="82">
        <v>0</v>
      </c>
      <c r="AC80" s="98">
        <f>K80+AA80</f>
        <v>390028950</v>
      </c>
      <c r="AD80" s="38" t="s">
        <v>524</v>
      </c>
    </row>
    <row r="81" spans="1:31" s="45" customFormat="1">
      <c r="A81" s="43">
        <f t="shared" si="15"/>
        <v>77</v>
      </c>
      <c r="B81" s="15" t="s">
        <v>381</v>
      </c>
      <c r="C81" s="22">
        <v>45764</v>
      </c>
      <c r="D81" s="14">
        <v>2025</v>
      </c>
      <c r="E81" s="44" t="s">
        <v>99</v>
      </c>
      <c r="F81" s="44" t="s">
        <v>299</v>
      </c>
      <c r="G81" s="38" t="s">
        <v>445</v>
      </c>
      <c r="H81" s="62">
        <v>15377544</v>
      </c>
      <c r="I81" s="62">
        <v>1708616</v>
      </c>
      <c r="J81" s="62">
        <v>187948</v>
      </c>
      <c r="K81" s="60">
        <f t="shared" si="12"/>
        <v>17274108</v>
      </c>
      <c r="L81" s="75">
        <v>45771</v>
      </c>
      <c r="M81" s="83">
        <v>0</v>
      </c>
      <c r="N81" s="82">
        <v>0</v>
      </c>
      <c r="O81" s="82">
        <v>17239936</v>
      </c>
      <c r="P81" s="82">
        <v>0</v>
      </c>
      <c r="Q81" s="82">
        <v>0</v>
      </c>
      <c r="R81" s="82">
        <v>0</v>
      </c>
      <c r="S81" s="82">
        <v>0</v>
      </c>
      <c r="T81" s="82">
        <v>0</v>
      </c>
      <c r="U81" s="82">
        <v>0</v>
      </c>
      <c r="V81" s="82">
        <v>0</v>
      </c>
      <c r="W81" s="82">
        <v>34172</v>
      </c>
      <c r="X81" s="82">
        <f t="shared" si="13"/>
        <v>0</v>
      </c>
      <c r="Y81" s="82"/>
      <c r="Z81" s="47">
        <f t="shared" si="14"/>
        <v>-187948</v>
      </c>
      <c r="AA81" s="97">
        <f>-(I81)*2%</f>
        <v>-34172.32</v>
      </c>
      <c r="AB81" s="82">
        <v>0</v>
      </c>
      <c r="AC81" s="98">
        <f>K81+AA81</f>
        <v>17239935.68</v>
      </c>
      <c r="AD81" s="38" t="s">
        <v>524</v>
      </c>
    </row>
    <row r="82" spans="1:31" s="45" customFormat="1">
      <c r="A82" s="43">
        <f t="shared" si="15"/>
        <v>78</v>
      </c>
      <c r="B82" s="15" t="s">
        <v>382</v>
      </c>
      <c r="C82" s="22">
        <v>45768</v>
      </c>
      <c r="D82" s="14">
        <v>2025</v>
      </c>
      <c r="E82" s="44" t="s">
        <v>113</v>
      </c>
      <c r="F82" s="44" t="s">
        <v>304</v>
      </c>
      <c r="G82" s="38" t="s">
        <v>446</v>
      </c>
      <c r="H82" s="62">
        <v>13784592</v>
      </c>
      <c r="I82" s="62">
        <v>0</v>
      </c>
      <c r="J82" s="62">
        <v>1516305</v>
      </c>
      <c r="K82" s="60">
        <f t="shared" si="12"/>
        <v>15300897</v>
      </c>
      <c r="L82" s="75"/>
      <c r="M82" s="83">
        <v>0</v>
      </c>
      <c r="N82" s="82">
        <v>0</v>
      </c>
      <c r="O82" s="82">
        <v>0</v>
      </c>
      <c r="P82" s="82">
        <v>0</v>
      </c>
      <c r="Q82" s="82">
        <v>0</v>
      </c>
      <c r="R82" s="82">
        <v>0</v>
      </c>
      <c r="S82" s="82">
        <v>0</v>
      </c>
      <c r="T82" s="82">
        <v>0</v>
      </c>
      <c r="U82" s="82">
        <v>0</v>
      </c>
      <c r="V82" s="82">
        <v>0</v>
      </c>
      <c r="W82" s="82">
        <v>0</v>
      </c>
      <c r="X82" s="82">
        <f t="shared" si="13"/>
        <v>15300897</v>
      </c>
      <c r="Y82" s="82"/>
      <c r="Z82" s="47">
        <f t="shared" si="14"/>
        <v>-1516305</v>
      </c>
      <c r="AA82" s="97">
        <f>-(H82+I82)*2%</f>
        <v>-275691.84000000003</v>
      </c>
      <c r="AB82" s="82">
        <f>K82+Z82+AA82</f>
        <v>13508900.16</v>
      </c>
      <c r="AC82" s="98">
        <v>0</v>
      </c>
      <c r="AD82" s="15"/>
    </row>
    <row r="83" spans="1:31" s="45" customFormat="1">
      <c r="A83" s="43">
        <f t="shared" si="15"/>
        <v>79</v>
      </c>
      <c r="B83" s="15" t="s">
        <v>383</v>
      </c>
      <c r="C83" s="22">
        <v>45768</v>
      </c>
      <c r="D83" s="14">
        <v>2025</v>
      </c>
      <c r="E83" s="44" t="s">
        <v>113</v>
      </c>
      <c r="F83" s="44" t="s">
        <v>304</v>
      </c>
      <c r="G83" s="38" t="s">
        <v>447</v>
      </c>
      <c r="H83" s="62">
        <v>13784592</v>
      </c>
      <c r="I83" s="62">
        <v>0</v>
      </c>
      <c r="J83" s="62">
        <v>1516305</v>
      </c>
      <c r="K83" s="60">
        <f t="shared" si="12"/>
        <v>15300897</v>
      </c>
      <c r="L83" s="75">
        <v>45826</v>
      </c>
      <c r="M83" s="83">
        <v>0</v>
      </c>
      <c r="N83" s="82">
        <v>15025205</v>
      </c>
      <c r="O83" s="82">
        <v>0</v>
      </c>
      <c r="P83" s="82">
        <v>0</v>
      </c>
      <c r="Q83" s="82">
        <v>0</v>
      </c>
      <c r="R83" s="82">
        <v>0</v>
      </c>
      <c r="S83" s="82">
        <v>0</v>
      </c>
      <c r="T83" s="82">
        <v>0</v>
      </c>
      <c r="U83" s="82">
        <v>0</v>
      </c>
      <c r="V83" s="82">
        <v>0</v>
      </c>
      <c r="W83" s="82">
        <v>275692</v>
      </c>
      <c r="X83" s="82">
        <f t="shared" si="13"/>
        <v>0</v>
      </c>
      <c r="Y83" s="82"/>
      <c r="Z83" s="47">
        <f t="shared" si="14"/>
        <v>-1516305</v>
      </c>
      <c r="AA83" s="97">
        <f>-(H83+I83)*2%</f>
        <v>-275691.84000000003</v>
      </c>
      <c r="AB83" s="82">
        <f>K83+Z83+AA83</f>
        <v>13508900.16</v>
      </c>
      <c r="AC83" s="98">
        <v>0</v>
      </c>
      <c r="AD83" s="15"/>
    </row>
    <row r="84" spans="1:31" s="45" customFormat="1">
      <c r="A84" s="43">
        <f t="shared" si="15"/>
        <v>80</v>
      </c>
      <c r="B84" s="15" t="s">
        <v>384</v>
      </c>
      <c r="C84" s="22">
        <v>45768</v>
      </c>
      <c r="D84" s="14">
        <v>2025</v>
      </c>
      <c r="E84" s="44" t="s">
        <v>113</v>
      </c>
      <c r="F84" s="44" t="s">
        <v>304</v>
      </c>
      <c r="G84" s="38" t="s">
        <v>448</v>
      </c>
      <c r="H84" s="62">
        <v>6892296</v>
      </c>
      <c r="I84" s="62">
        <v>0</v>
      </c>
      <c r="J84" s="62">
        <v>758153</v>
      </c>
      <c r="K84" s="60">
        <f t="shared" si="12"/>
        <v>7650449</v>
      </c>
      <c r="L84" s="75"/>
      <c r="M84" s="83">
        <v>0</v>
      </c>
      <c r="N84" s="82">
        <v>0</v>
      </c>
      <c r="O84" s="82">
        <v>0</v>
      </c>
      <c r="P84" s="82">
        <v>0</v>
      </c>
      <c r="Q84" s="82">
        <v>0</v>
      </c>
      <c r="R84" s="82">
        <v>0</v>
      </c>
      <c r="S84" s="82">
        <v>0</v>
      </c>
      <c r="T84" s="82">
        <v>0</v>
      </c>
      <c r="U84" s="82">
        <v>0</v>
      </c>
      <c r="V84" s="82">
        <v>0</v>
      </c>
      <c r="W84" s="82">
        <v>0</v>
      </c>
      <c r="X84" s="82">
        <f t="shared" si="13"/>
        <v>7650449</v>
      </c>
      <c r="Y84" s="82"/>
      <c r="Z84" s="47">
        <f t="shared" si="14"/>
        <v>-758153</v>
      </c>
      <c r="AA84" s="97">
        <f>-(H84+I84)*2%</f>
        <v>-137845.92000000001</v>
      </c>
      <c r="AB84" s="82">
        <f>K84+Z84+AA84</f>
        <v>6754450.0800000001</v>
      </c>
      <c r="AC84" s="98">
        <v>0</v>
      </c>
      <c r="AD84" s="15"/>
    </row>
    <row r="85" spans="1:31" s="120" customFormat="1">
      <c r="A85" s="107">
        <f t="shared" si="15"/>
        <v>81</v>
      </c>
      <c r="B85" s="50" t="s">
        <v>947</v>
      </c>
      <c r="C85" s="124">
        <v>45940</v>
      </c>
      <c r="D85" s="14">
        <v>2024</v>
      </c>
      <c r="E85" s="77" t="s">
        <v>19</v>
      </c>
      <c r="F85" s="77" t="s">
        <v>19</v>
      </c>
      <c r="G85" s="77" t="s">
        <v>1085</v>
      </c>
      <c r="H85" s="114">
        <v>0</v>
      </c>
      <c r="I85" s="114">
        <v>0</v>
      </c>
      <c r="J85" s="114">
        <v>0</v>
      </c>
      <c r="K85" s="108">
        <f t="shared" si="12"/>
        <v>0</v>
      </c>
      <c r="L85" s="115"/>
      <c r="M85" s="116">
        <v>0</v>
      </c>
      <c r="N85" s="105">
        <v>0</v>
      </c>
      <c r="O85" s="105">
        <v>0</v>
      </c>
      <c r="P85" s="105">
        <v>0</v>
      </c>
      <c r="Q85" s="105">
        <v>0</v>
      </c>
      <c r="R85" s="105">
        <v>0</v>
      </c>
      <c r="S85" s="105">
        <v>0</v>
      </c>
      <c r="T85" s="105">
        <v>0</v>
      </c>
      <c r="U85" s="105">
        <v>0</v>
      </c>
      <c r="V85" s="105">
        <v>0</v>
      </c>
      <c r="W85" s="105">
        <v>0</v>
      </c>
      <c r="X85" s="105">
        <f t="shared" si="13"/>
        <v>0</v>
      </c>
      <c r="Y85" s="105"/>
      <c r="Z85" s="109">
        <f t="shared" si="14"/>
        <v>0</v>
      </c>
      <c r="AA85" s="118">
        <f>-(H85+I85)*2%</f>
        <v>0</v>
      </c>
      <c r="AB85" s="105">
        <f>K85+Z85+AA85</f>
        <v>0</v>
      </c>
      <c r="AC85" s="119">
        <v>0</v>
      </c>
      <c r="AD85" s="50"/>
      <c r="AE85" s="77" t="s">
        <v>19</v>
      </c>
    </row>
    <row r="86" spans="1:31" s="45" customFormat="1">
      <c r="A86" s="43">
        <f t="shared" si="15"/>
        <v>82</v>
      </c>
      <c r="B86" s="15" t="s">
        <v>385</v>
      </c>
      <c r="C86" s="22">
        <v>45768</v>
      </c>
      <c r="D86" s="14">
        <v>2025</v>
      </c>
      <c r="E86" s="44" t="s">
        <v>99</v>
      </c>
      <c r="F86" s="44" t="s">
        <v>299</v>
      </c>
      <c r="G86" s="38" t="s">
        <v>449</v>
      </c>
      <c r="H86" s="62">
        <v>429035608</v>
      </c>
      <c r="I86" s="62">
        <v>47670623</v>
      </c>
      <c r="J86" s="62">
        <v>5243769</v>
      </c>
      <c r="K86" s="60">
        <f t="shared" si="12"/>
        <v>481950000</v>
      </c>
      <c r="L86" s="75">
        <v>45771</v>
      </c>
      <c r="M86" s="83">
        <v>0</v>
      </c>
      <c r="N86" s="82">
        <v>0</v>
      </c>
      <c r="O86" s="82">
        <v>480996587</v>
      </c>
      <c r="P86" s="82">
        <v>0</v>
      </c>
      <c r="Q86" s="82">
        <v>0</v>
      </c>
      <c r="R86" s="82">
        <v>0</v>
      </c>
      <c r="S86" s="82">
        <v>0</v>
      </c>
      <c r="T86" s="82">
        <v>0</v>
      </c>
      <c r="U86" s="82">
        <v>0</v>
      </c>
      <c r="V86" s="82">
        <v>0</v>
      </c>
      <c r="W86" s="82">
        <v>953413</v>
      </c>
      <c r="X86" s="82">
        <f t="shared" si="13"/>
        <v>0</v>
      </c>
      <c r="Y86" s="82"/>
      <c r="Z86" s="47">
        <f t="shared" si="14"/>
        <v>-5243769</v>
      </c>
      <c r="AA86" s="97">
        <f>-(I86)*2%</f>
        <v>-953412.46</v>
      </c>
      <c r="AB86" s="82">
        <v>0</v>
      </c>
      <c r="AC86" s="98">
        <f>K86+AA86</f>
        <v>480996587.54000002</v>
      </c>
      <c r="AD86" s="38" t="s">
        <v>524</v>
      </c>
    </row>
    <row r="87" spans="1:31" s="45" customFormat="1">
      <c r="A87" s="43">
        <f t="shared" si="15"/>
        <v>83</v>
      </c>
      <c r="B87" s="15" t="s">
        <v>948</v>
      </c>
      <c r="C87" s="22">
        <v>45959</v>
      </c>
      <c r="D87" s="14">
        <v>2025</v>
      </c>
      <c r="E87" s="44" t="s">
        <v>424</v>
      </c>
      <c r="F87" s="44" t="s">
        <v>305</v>
      </c>
      <c r="G87" s="44" t="s">
        <v>949</v>
      </c>
      <c r="H87" s="62">
        <v>62907319</v>
      </c>
      <c r="I87" s="62">
        <v>6290732</v>
      </c>
      <c r="J87" s="62">
        <v>761179</v>
      </c>
      <c r="K87" s="60">
        <f t="shared" si="12"/>
        <v>69959230</v>
      </c>
      <c r="L87" s="75"/>
      <c r="M87" s="83">
        <v>0</v>
      </c>
      <c r="N87" s="82">
        <v>0</v>
      </c>
      <c r="O87" s="82">
        <v>0</v>
      </c>
      <c r="P87" s="82">
        <v>0</v>
      </c>
      <c r="Q87" s="82">
        <v>0</v>
      </c>
      <c r="R87" s="82">
        <v>0</v>
      </c>
      <c r="S87" s="82">
        <v>0</v>
      </c>
      <c r="T87" s="82">
        <v>0</v>
      </c>
      <c r="U87" s="82">
        <v>0</v>
      </c>
      <c r="V87" s="82">
        <v>0</v>
      </c>
      <c r="W87" s="82">
        <v>0</v>
      </c>
      <c r="X87" s="82">
        <f t="shared" si="13"/>
        <v>69959230</v>
      </c>
      <c r="Y87" s="82"/>
      <c r="Z87" s="29">
        <f t="shared" si="14"/>
        <v>-761179</v>
      </c>
      <c r="AA87" s="97">
        <f>-(H87+I87)*2%</f>
        <v>-1383961.02</v>
      </c>
      <c r="AB87" s="82">
        <v>0</v>
      </c>
      <c r="AC87" s="98">
        <f>K87+AA87</f>
        <v>68575268.980000004</v>
      </c>
      <c r="AD87" s="15"/>
    </row>
    <row r="88" spans="1:31" s="120" customFormat="1">
      <c r="A88" s="107">
        <f t="shared" si="15"/>
        <v>84</v>
      </c>
      <c r="B88" s="50" t="s">
        <v>386</v>
      </c>
      <c r="C88" s="124">
        <v>45769</v>
      </c>
      <c r="D88" s="14">
        <v>2024</v>
      </c>
      <c r="E88" s="77" t="s">
        <v>19</v>
      </c>
      <c r="F88" s="77" t="s">
        <v>19</v>
      </c>
      <c r="G88" s="77" t="s">
        <v>1086</v>
      </c>
      <c r="H88" s="114">
        <v>0</v>
      </c>
      <c r="I88" s="114">
        <v>0</v>
      </c>
      <c r="J88" s="114">
        <v>0</v>
      </c>
      <c r="K88" s="108">
        <f t="shared" si="12"/>
        <v>0</v>
      </c>
      <c r="L88" s="115"/>
      <c r="M88" s="116">
        <v>0</v>
      </c>
      <c r="N88" s="105">
        <v>0</v>
      </c>
      <c r="O88" s="105">
        <v>0</v>
      </c>
      <c r="P88" s="105">
        <v>0</v>
      </c>
      <c r="Q88" s="105">
        <v>0</v>
      </c>
      <c r="R88" s="105">
        <v>0</v>
      </c>
      <c r="S88" s="105">
        <v>0</v>
      </c>
      <c r="T88" s="105">
        <v>0</v>
      </c>
      <c r="U88" s="105">
        <v>0</v>
      </c>
      <c r="V88" s="105">
        <v>0</v>
      </c>
      <c r="W88" s="105">
        <v>0</v>
      </c>
      <c r="X88" s="105">
        <f t="shared" si="13"/>
        <v>0</v>
      </c>
      <c r="Y88" s="105"/>
      <c r="Z88" s="109">
        <f t="shared" si="14"/>
        <v>0</v>
      </c>
      <c r="AA88" s="118">
        <f>-(H88+I88)*2%</f>
        <v>0</v>
      </c>
      <c r="AB88" s="105">
        <f>K88+Z88+AA88</f>
        <v>0</v>
      </c>
      <c r="AC88" s="119">
        <v>0</v>
      </c>
      <c r="AD88" s="50"/>
    </row>
    <row r="89" spans="1:31" s="45" customFormat="1">
      <c r="A89" s="43">
        <f t="shared" si="15"/>
        <v>85</v>
      </c>
      <c r="B89" s="15" t="s">
        <v>387</v>
      </c>
      <c r="C89" s="22">
        <v>45769</v>
      </c>
      <c r="D89" s="14">
        <v>2025</v>
      </c>
      <c r="E89" s="44" t="s">
        <v>114</v>
      </c>
      <c r="F89" s="44" t="s">
        <v>304</v>
      </c>
      <c r="G89" s="44" t="s">
        <v>450</v>
      </c>
      <c r="H89" s="62">
        <v>17830740</v>
      </c>
      <c r="I89" s="62">
        <v>0</v>
      </c>
      <c r="J89" s="62">
        <v>1961381</v>
      </c>
      <c r="K89" s="60">
        <f t="shared" si="12"/>
        <v>19792121</v>
      </c>
      <c r="L89" s="75">
        <v>45792</v>
      </c>
      <c r="M89" s="83">
        <v>0</v>
      </c>
      <c r="N89" s="82">
        <v>19435506</v>
      </c>
      <c r="O89" s="82">
        <v>0</v>
      </c>
      <c r="P89" s="82">
        <v>0</v>
      </c>
      <c r="Q89" s="82">
        <v>0</v>
      </c>
      <c r="R89" s="82">
        <v>0</v>
      </c>
      <c r="S89" s="82">
        <v>0</v>
      </c>
      <c r="T89" s="82">
        <v>0</v>
      </c>
      <c r="U89" s="82">
        <v>0</v>
      </c>
      <c r="V89" s="82">
        <v>0</v>
      </c>
      <c r="W89" s="82">
        <v>356615</v>
      </c>
      <c r="X89" s="82">
        <f t="shared" si="13"/>
        <v>0</v>
      </c>
      <c r="Y89" s="82"/>
      <c r="Z89" s="47">
        <f t="shared" si="14"/>
        <v>-1961381</v>
      </c>
      <c r="AA89" s="97">
        <f>-(H89+I89)*2%</f>
        <v>-356614.8</v>
      </c>
      <c r="AB89" s="82">
        <v>0</v>
      </c>
      <c r="AC89" s="98">
        <f>K89+AA89</f>
        <v>19435506.199999999</v>
      </c>
      <c r="AD89" s="15"/>
    </row>
    <row r="90" spans="1:31" s="120" customFormat="1">
      <c r="A90" s="107">
        <f t="shared" si="15"/>
        <v>86</v>
      </c>
      <c r="B90" s="50" t="s">
        <v>388</v>
      </c>
      <c r="C90" s="124">
        <v>45779</v>
      </c>
      <c r="D90" s="14">
        <v>2024</v>
      </c>
      <c r="E90" s="77" t="s">
        <v>19</v>
      </c>
      <c r="F90" s="77" t="s">
        <v>19</v>
      </c>
      <c r="G90" s="77" t="s">
        <v>1087</v>
      </c>
      <c r="H90" s="114">
        <v>0</v>
      </c>
      <c r="I90" s="114">
        <v>0</v>
      </c>
      <c r="J90" s="114">
        <v>0</v>
      </c>
      <c r="K90" s="108">
        <f t="shared" si="12"/>
        <v>0</v>
      </c>
      <c r="L90" s="115"/>
      <c r="M90" s="116">
        <v>0</v>
      </c>
      <c r="N90" s="105">
        <v>0</v>
      </c>
      <c r="O90" s="105">
        <v>0</v>
      </c>
      <c r="P90" s="105">
        <v>0</v>
      </c>
      <c r="Q90" s="105">
        <v>0</v>
      </c>
      <c r="R90" s="105">
        <v>0</v>
      </c>
      <c r="S90" s="105">
        <v>0</v>
      </c>
      <c r="T90" s="105">
        <v>0</v>
      </c>
      <c r="U90" s="105">
        <v>0</v>
      </c>
      <c r="V90" s="105">
        <v>0</v>
      </c>
      <c r="W90" s="105">
        <v>0</v>
      </c>
      <c r="X90" s="105">
        <f t="shared" si="13"/>
        <v>0</v>
      </c>
      <c r="Y90" s="105"/>
      <c r="Z90" s="109">
        <f t="shared" si="14"/>
        <v>0</v>
      </c>
      <c r="AA90" s="118">
        <f>-(H90+I90)*2%</f>
        <v>0</v>
      </c>
      <c r="AB90" s="105">
        <f>K90+Z90+AA90</f>
        <v>0</v>
      </c>
      <c r="AC90" s="119">
        <v>0</v>
      </c>
      <c r="AD90" s="50"/>
    </row>
    <row r="91" spans="1:31" s="45" customFormat="1">
      <c r="A91" s="43">
        <f t="shared" si="15"/>
        <v>87</v>
      </c>
      <c r="B91" s="15" t="s">
        <v>389</v>
      </c>
      <c r="C91" s="22">
        <v>45772</v>
      </c>
      <c r="D91" s="14">
        <v>2025</v>
      </c>
      <c r="E91" s="44" t="s">
        <v>99</v>
      </c>
      <c r="F91" s="44" t="s">
        <v>299</v>
      </c>
      <c r="G91" s="38" t="s">
        <v>451</v>
      </c>
      <c r="H91" s="62">
        <v>46923850</v>
      </c>
      <c r="I91" s="62">
        <v>5213761</v>
      </c>
      <c r="J91" s="62">
        <v>573514</v>
      </c>
      <c r="K91" s="60">
        <f t="shared" si="12"/>
        <v>52711125</v>
      </c>
      <c r="L91" s="75">
        <v>45785</v>
      </c>
      <c r="M91" s="83">
        <v>0</v>
      </c>
      <c r="N91" s="82">
        <v>0</v>
      </c>
      <c r="O91" s="82">
        <v>52606850</v>
      </c>
      <c r="P91" s="82">
        <v>0</v>
      </c>
      <c r="Q91" s="82">
        <v>0</v>
      </c>
      <c r="R91" s="82">
        <v>0</v>
      </c>
      <c r="S91" s="82">
        <v>0</v>
      </c>
      <c r="T91" s="82">
        <v>0</v>
      </c>
      <c r="U91" s="82">
        <v>0</v>
      </c>
      <c r="V91" s="82">
        <v>0</v>
      </c>
      <c r="W91" s="82">
        <v>104275</v>
      </c>
      <c r="X91" s="82">
        <f t="shared" si="13"/>
        <v>0</v>
      </c>
      <c r="Y91" s="82"/>
      <c r="Z91" s="47">
        <f t="shared" si="14"/>
        <v>-573514</v>
      </c>
      <c r="AA91" s="97">
        <f>-(I91)*2%</f>
        <v>-104275.22</v>
      </c>
      <c r="AB91" s="82">
        <v>0</v>
      </c>
      <c r="AC91" s="98">
        <f>K91+AA91</f>
        <v>52606849.780000001</v>
      </c>
      <c r="AD91" s="38" t="s">
        <v>525</v>
      </c>
    </row>
    <row r="92" spans="1:31" s="45" customFormat="1">
      <c r="A92" s="43">
        <f t="shared" si="15"/>
        <v>88</v>
      </c>
      <c r="B92" s="15" t="s">
        <v>390</v>
      </c>
      <c r="C92" s="22">
        <v>45782</v>
      </c>
      <c r="D92" s="14">
        <v>2025</v>
      </c>
      <c r="E92" s="44" t="s">
        <v>68</v>
      </c>
      <c r="F92" s="38" t="s">
        <v>452</v>
      </c>
      <c r="G92" s="44" t="s">
        <v>453</v>
      </c>
      <c r="H92" s="62">
        <v>186560000</v>
      </c>
      <c r="I92" s="62">
        <v>18656000</v>
      </c>
      <c r="J92" s="62">
        <v>22573760</v>
      </c>
      <c r="K92" s="60">
        <f t="shared" si="12"/>
        <v>227789760</v>
      </c>
      <c r="L92" s="75">
        <v>45791</v>
      </c>
      <c r="M92" s="83">
        <v>0</v>
      </c>
      <c r="N92" s="82">
        <v>0</v>
      </c>
      <c r="O92" s="82">
        <v>0</v>
      </c>
      <c r="P92" s="82">
        <v>0</v>
      </c>
      <c r="Q92" s="82">
        <v>0</v>
      </c>
      <c r="R92" s="82">
        <v>205216000</v>
      </c>
      <c r="S92" s="82">
        <v>0</v>
      </c>
      <c r="T92" s="82">
        <v>0</v>
      </c>
      <c r="U92" s="82">
        <v>0</v>
      </c>
      <c r="V92" s="82">
        <v>0</v>
      </c>
      <c r="W92" s="82">
        <v>22573760</v>
      </c>
      <c r="X92" s="82">
        <f t="shared" si="13"/>
        <v>0</v>
      </c>
      <c r="Y92" s="82"/>
      <c r="Z92" s="47">
        <f t="shared" si="14"/>
        <v>-22573760</v>
      </c>
      <c r="AA92" s="97">
        <f>-(H92+I92)*2%</f>
        <v>-4104320</v>
      </c>
      <c r="AB92" s="82">
        <f>K92+Z92+AA92</f>
        <v>201111680</v>
      </c>
      <c r="AC92" s="98">
        <v>0</v>
      </c>
      <c r="AD92" s="15"/>
    </row>
    <row r="93" spans="1:31" s="45" customFormat="1">
      <c r="A93" s="43">
        <f t="shared" si="15"/>
        <v>89</v>
      </c>
      <c r="B93" s="15" t="s">
        <v>391</v>
      </c>
      <c r="C93" s="22">
        <v>45782</v>
      </c>
      <c r="D93" s="14">
        <v>2025</v>
      </c>
      <c r="E93" s="44" t="s">
        <v>68</v>
      </c>
      <c r="F93" s="38" t="s">
        <v>452</v>
      </c>
      <c r="G93" s="44" t="s">
        <v>454</v>
      </c>
      <c r="H93" s="62">
        <v>241125000</v>
      </c>
      <c r="I93" s="62">
        <v>24112500</v>
      </c>
      <c r="J93" s="62">
        <v>29176125</v>
      </c>
      <c r="K93" s="60">
        <f t="shared" si="12"/>
        <v>294413625</v>
      </c>
      <c r="L93" s="75">
        <v>45804</v>
      </c>
      <c r="M93" s="83">
        <v>0</v>
      </c>
      <c r="N93" s="82">
        <v>0</v>
      </c>
      <c r="O93" s="82">
        <v>0</v>
      </c>
      <c r="P93" s="82">
        <v>0</v>
      </c>
      <c r="Q93" s="82">
        <v>0</v>
      </c>
      <c r="R93" s="82">
        <v>259932750</v>
      </c>
      <c r="S93" s="82">
        <v>0</v>
      </c>
      <c r="T93" s="82">
        <v>0</v>
      </c>
      <c r="U93" s="82">
        <v>0</v>
      </c>
      <c r="V93" s="82">
        <v>0</v>
      </c>
      <c r="W93" s="82">
        <v>34480875</v>
      </c>
      <c r="X93" s="82">
        <f t="shared" si="13"/>
        <v>0</v>
      </c>
      <c r="Y93" s="82"/>
      <c r="Z93" s="47">
        <f t="shared" si="14"/>
        <v>-29176125</v>
      </c>
      <c r="AA93" s="97">
        <f>-(H93+I93)*2%</f>
        <v>-5304750</v>
      </c>
      <c r="AB93" s="82">
        <f>K93+Z93+AA93</f>
        <v>259932750</v>
      </c>
      <c r="AC93" s="98">
        <v>0</v>
      </c>
      <c r="AD93" s="15"/>
    </row>
    <row r="94" spans="1:31" s="45" customFormat="1">
      <c r="A94" s="43">
        <f t="shared" si="15"/>
        <v>90</v>
      </c>
      <c r="B94" s="15" t="s">
        <v>392</v>
      </c>
      <c r="C94" s="22">
        <v>45783</v>
      </c>
      <c r="D94" s="14">
        <v>2025</v>
      </c>
      <c r="E94" s="44" t="s">
        <v>99</v>
      </c>
      <c r="F94" s="44" t="s">
        <v>299</v>
      </c>
      <c r="G94" s="38" t="s">
        <v>455</v>
      </c>
      <c r="H94" s="62">
        <v>183872404</v>
      </c>
      <c r="I94" s="62">
        <v>20430267</v>
      </c>
      <c r="J94" s="62">
        <v>2247329</v>
      </c>
      <c r="K94" s="60">
        <f t="shared" si="12"/>
        <v>206550000</v>
      </c>
      <c r="L94" s="75">
        <v>45785</v>
      </c>
      <c r="M94" s="83">
        <v>0</v>
      </c>
      <c r="N94" s="82">
        <v>0</v>
      </c>
      <c r="O94" s="82">
        <v>206141395</v>
      </c>
      <c r="P94" s="82">
        <v>0</v>
      </c>
      <c r="Q94" s="82">
        <v>0</v>
      </c>
      <c r="R94" s="82">
        <v>0</v>
      </c>
      <c r="S94" s="82">
        <v>0</v>
      </c>
      <c r="T94" s="82">
        <v>0</v>
      </c>
      <c r="U94" s="82">
        <v>0</v>
      </c>
      <c r="V94" s="82">
        <v>0</v>
      </c>
      <c r="W94" s="82">
        <v>408605</v>
      </c>
      <c r="X94" s="82">
        <f t="shared" si="13"/>
        <v>0</v>
      </c>
      <c r="Y94" s="82"/>
      <c r="Z94" s="47">
        <f t="shared" si="14"/>
        <v>-2247329</v>
      </c>
      <c r="AA94" s="97">
        <f>-(I94)*2%</f>
        <v>-408605.34</v>
      </c>
      <c r="AB94" s="82">
        <v>0</v>
      </c>
      <c r="AC94" s="98">
        <f>K94+AA94</f>
        <v>206141394.66</v>
      </c>
      <c r="AD94" s="38" t="s">
        <v>525</v>
      </c>
    </row>
    <row r="95" spans="1:31" s="120" customFormat="1">
      <c r="A95" s="107">
        <f t="shared" si="15"/>
        <v>91</v>
      </c>
      <c r="B95" s="50" t="s">
        <v>393</v>
      </c>
      <c r="C95" s="124">
        <v>45783</v>
      </c>
      <c r="D95" s="14">
        <v>2024</v>
      </c>
      <c r="E95" s="77" t="s">
        <v>19</v>
      </c>
      <c r="F95" s="77" t="s">
        <v>19</v>
      </c>
      <c r="G95" s="77" t="s">
        <v>1088</v>
      </c>
      <c r="H95" s="114">
        <v>0</v>
      </c>
      <c r="I95" s="114">
        <v>0</v>
      </c>
      <c r="J95" s="114">
        <v>0</v>
      </c>
      <c r="K95" s="108">
        <f t="shared" si="12"/>
        <v>0</v>
      </c>
      <c r="L95" s="115"/>
      <c r="M95" s="116">
        <v>0</v>
      </c>
      <c r="N95" s="105">
        <v>0</v>
      </c>
      <c r="O95" s="105">
        <v>0</v>
      </c>
      <c r="P95" s="105">
        <v>0</v>
      </c>
      <c r="Q95" s="105">
        <v>0</v>
      </c>
      <c r="R95" s="105">
        <v>0</v>
      </c>
      <c r="S95" s="105">
        <v>0</v>
      </c>
      <c r="T95" s="105">
        <v>0</v>
      </c>
      <c r="U95" s="105">
        <v>0</v>
      </c>
      <c r="V95" s="105">
        <v>0</v>
      </c>
      <c r="W95" s="105">
        <v>0</v>
      </c>
      <c r="X95" s="105">
        <f t="shared" si="13"/>
        <v>0</v>
      </c>
      <c r="Y95" s="105"/>
      <c r="Z95" s="109">
        <f t="shared" si="14"/>
        <v>0</v>
      </c>
      <c r="AA95" s="118">
        <f t="shared" ref="AA95:AA101" si="16">-(H95+I95)*2%</f>
        <v>0</v>
      </c>
      <c r="AB95" s="105">
        <f t="shared" ref="AB95:AB101" si="17">K95+Z95+AA95</f>
        <v>0</v>
      </c>
      <c r="AC95" s="119">
        <v>0</v>
      </c>
      <c r="AD95" s="50" t="s">
        <v>526</v>
      </c>
    </row>
    <row r="96" spans="1:31" s="120" customFormat="1">
      <c r="A96" s="107">
        <f t="shared" si="15"/>
        <v>92</v>
      </c>
      <c r="B96" s="50" t="s">
        <v>394</v>
      </c>
      <c r="C96" s="124">
        <v>45784</v>
      </c>
      <c r="D96" s="14">
        <v>2024</v>
      </c>
      <c r="E96" s="77" t="s">
        <v>19</v>
      </c>
      <c r="F96" s="77" t="s">
        <v>19</v>
      </c>
      <c r="G96" s="77" t="s">
        <v>1089</v>
      </c>
      <c r="H96" s="114">
        <v>0</v>
      </c>
      <c r="I96" s="114">
        <v>0</v>
      </c>
      <c r="J96" s="114">
        <v>0</v>
      </c>
      <c r="K96" s="108">
        <f t="shared" si="12"/>
        <v>0</v>
      </c>
      <c r="L96" s="115"/>
      <c r="M96" s="116">
        <v>0</v>
      </c>
      <c r="N96" s="105">
        <v>0</v>
      </c>
      <c r="O96" s="105">
        <v>0</v>
      </c>
      <c r="P96" s="105">
        <v>0</v>
      </c>
      <c r="Q96" s="105">
        <v>0</v>
      </c>
      <c r="R96" s="105">
        <v>0</v>
      </c>
      <c r="S96" s="105">
        <v>0</v>
      </c>
      <c r="T96" s="105">
        <v>0</v>
      </c>
      <c r="U96" s="105">
        <v>0</v>
      </c>
      <c r="V96" s="105">
        <v>0</v>
      </c>
      <c r="W96" s="105">
        <v>0</v>
      </c>
      <c r="X96" s="105">
        <f t="shared" si="13"/>
        <v>0</v>
      </c>
      <c r="Y96" s="105"/>
      <c r="Z96" s="109">
        <f t="shared" si="14"/>
        <v>0</v>
      </c>
      <c r="AA96" s="118">
        <f t="shared" si="16"/>
        <v>0</v>
      </c>
      <c r="AB96" s="105">
        <f t="shared" si="17"/>
        <v>0</v>
      </c>
      <c r="AC96" s="119">
        <v>0</v>
      </c>
      <c r="AD96" s="50"/>
    </row>
    <row r="97" spans="1:30" s="45" customFormat="1">
      <c r="A97" s="43">
        <f t="shared" si="15"/>
        <v>93</v>
      </c>
      <c r="B97" s="15" t="s">
        <v>395</v>
      </c>
      <c r="C97" s="22">
        <v>45785</v>
      </c>
      <c r="D97" s="14">
        <v>2025</v>
      </c>
      <c r="E97" s="44" t="s">
        <v>103</v>
      </c>
      <c r="F97" s="44" t="s">
        <v>297</v>
      </c>
      <c r="G97" s="44" t="s">
        <v>456</v>
      </c>
      <c r="H97" s="62">
        <v>479646313</v>
      </c>
      <c r="I97" s="62">
        <v>38371705</v>
      </c>
      <c r="J97" s="62">
        <v>56981982</v>
      </c>
      <c r="K97" s="60">
        <f t="shared" si="12"/>
        <v>575000000</v>
      </c>
      <c r="L97" s="75">
        <v>45805</v>
      </c>
      <c r="M97" s="83">
        <v>0</v>
      </c>
      <c r="N97" s="82">
        <v>0</v>
      </c>
      <c r="O97" s="82">
        <v>0</v>
      </c>
      <c r="P97" s="82">
        <v>0</v>
      </c>
      <c r="Q97" s="82">
        <v>0</v>
      </c>
      <c r="R97" s="82">
        <v>0</v>
      </c>
      <c r="S97" s="82">
        <v>507657658</v>
      </c>
      <c r="T97" s="82">
        <v>0</v>
      </c>
      <c r="U97" s="82">
        <v>0</v>
      </c>
      <c r="V97" s="82">
        <v>0</v>
      </c>
      <c r="W97" s="82">
        <v>67342342</v>
      </c>
      <c r="X97" s="82">
        <f t="shared" si="13"/>
        <v>0</v>
      </c>
      <c r="Y97" s="82"/>
      <c r="Z97" s="47">
        <f t="shared" si="14"/>
        <v>-56981982</v>
      </c>
      <c r="AA97" s="97">
        <f t="shared" si="16"/>
        <v>-10360360.359999999</v>
      </c>
      <c r="AB97" s="82">
        <f t="shared" si="17"/>
        <v>507657657.63999999</v>
      </c>
      <c r="AC97" s="98">
        <v>0</v>
      </c>
      <c r="AD97" s="15"/>
    </row>
    <row r="98" spans="1:30" s="45" customFormat="1">
      <c r="A98" s="43">
        <f t="shared" si="15"/>
        <v>94</v>
      </c>
      <c r="B98" s="15" t="s">
        <v>396</v>
      </c>
      <c r="C98" s="22">
        <v>45785</v>
      </c>
      <c r="D98" s="14">
        <v>2025</v>
      </c>
      <c r="E98" s="44" t="s">
        <v>103</v>
      </c>
      <c r="F98" s="44" t="s">
        <v>297</v>
      </c>
      <c r="G98" s="44" t="s">
        <v>457</v>
      </c>
      <c r="H98" s="62">
        <v>29195863</v>
      </c>
      <c r="I98" s="62">
        <v>2335669</v>
      </c>
      <c r="J98" s="62">
        <v>3468468</v>
      </c>
      <c r="K98" s="60">
        <f t="shared" si="12"/>
        <v>35000000</v>
      </c>
      <c r="L98" s="75">
        <v>45810</v>
      </c>
      <c r="M98" s="83">
        <v>0</v>
      </c>
      <c r="N98" s="82">
        <v>0</v>
      </c>
      <c r="O98" s="82">
        <v>0</v>
      </c>
      <c r="P98" s="82">
        <v>0</v>
      </c>
      <c r="Q98" s="82">
        <v>0</v>
      </c>
      <c r="R98" s="82">
        <v>0</v>
      </c>
      <c r="S98" s="98">
        <v>30900901</v>
      </c>
      <c r="T98" s="82">
        <v>0</v>
      </c>
      <c r="U98" s="82">
        <v>0</v>
      </c>
      <c r="V98" s="82">
        <v>0</v>
      </c>
      <c r="W98" s="82">
        <v>4099099</v>
      </c>
      <c r="X98" s="82">
        <f t="shared" si="13"/>
        <v>0</v>
      </c>
      <c r="Y98" s="82"/>
      <c r="Z98" s="47">
        <f t="shared" si="14"/>
        <v>-3468468</v>
      </c>
      <c r="AA98" s="97">
        <f t="shared" si="16"/>
        <v>-630630.64</v>
      </c>
      <c r="AB98" s="82">
        <f t="shared" si="17"/>
        <v>30900901.359999999</v>
      </c>
      <c r="AC98" s="98">
        <v>0</v>
      </c>
      <c r="AD98" s="15"/>
    </row>
    <row r="99" spans="1:30" s="45" customFormat="1">
      <c r="A99" s="43">
        <f t="shared" si="15"/>
        <v>95</v>
      </c>
      <c r="B99" s="15" t="s">
        <v>397</v>
      </c>
      <c r="C99" s="22">
        <v>45786</v>
      </c>
      <c r="D99" s="14">
        <v>2025</v>
      </c>
      <c r="E99" s="44" t="s">
        <v>98</v>
      </c>
      <c r="F99" s="44" t="s">
        <v>458</v>
      </c>
      <c r="G99" s="44" t="s">
        <v>459</v>
      </c>
      <c r="H99" s="62">
        <v>16773550</v>
      </c>
      <c r="I99" s="62">
        <v>0</v>
      </c>
      <c r="J99" s="62">
        <v>1845091</v>
      </c>
      <c r="K99" s="60">
        <f t="shared" si="12"/>
        <v>18618641</v>
      </c>
      <c r="L99" s="75">
        <v>45821</v>
      </c>
      <c r="M99" s="83">
        <v>0</v>
      </c>
      <c r="N99" s="82">
        <v>0</v>
      </c>
      <c r="O99" s="82">
        <v>16438079</v>
      </c>
      <c r="P99" s="82">
        <v>0</v>
      </c>
      <c r="Q99" s="82">
        <v>0</v>
      </c>
      <c r="R99" s="82">
        <v>0</v>
      </c>
      <c r="S99" s="82">
        <v>0</v>
      </c>
      <c r="T99" s="82">
        <v>0</v>
      </c>
      <c r="U99" s="82">
        <v>0</v>
      </c>
      <c r="V99" s="82">
        <v>0</v>
      </c>
      <c r="W99" s="82">
        <v>2180562</v>
      </c>
      <c r="X99" s="82">
        <f t="shared" si="13"/>
        <v>0</v>
      </c>
      <c r="Y99" s="82"/>
      <c r="Z99" s="47">
        <f t="shared" si="14"/>
        <v>-1845091</v>
      </c>
      <c r="AA99" s="97">
        <f t="shared" si="16"/>
        <v>-335471</v>
      </c>
      <c r="AB99" s="82">
        <f t="shared" si="17"/>
        <v>16438079</v>
      </c>
      <c r="AC99" s="98">
        <v>0</v>
      </c>
      <c r="AD99" s="38" t="s">
        <v>527</v>
      </c>
    </row>
    <row r="100" spans="1:30" s="45" customFormat="1">
      <c r="A100" s="43">
        <f t="shared" si="15"/>
        <v>96</v>
      </c>
      <c r="B100" s="15" t="s">
        <v>398</v>
      </c>
      <c r="C100" s="22">
        <v>45786</v>
      </c>
      <c r="D100" s="14">
        <v>2025</v>
      </c>
      <c r="E100" s="44" t="s">
        <v>98</v>
      </c>
      <c r="F100" s="44" t="s">
        <v>458</v>
      </c>
      <c r="G100" s="44" t="s">
        <v>460</v>
      </c>
      <c r="H100" s="62">
        <v>19301697</v>
      </c>
      <c r="I100" s="62">
        <v>0</v>
      </c>
      <c r="J100" s="62">
        <v>2123187</v>
      </c>
      <c r="K100" s="60">
        <f t="shared" si="12"/>
        <v>21424884</v>
      </c>
      <c r="L100" s="75">
        <v>45821</v>
      </c>
      <c r="M100" s="83">
        <v>0</v>
      </c>
      <c r="N100" s="82">
        <v>0</v>
      </c>
      <c r="O100" s="82">
        <v>18915663</v>
      </c>
      <c r="P100" s="82">
        <v>0</v>
      </c>
      <c r="Q100" s="82">
        <v>0</v>
      </c>
      <c r="R100" s="82">
        <v>0</v>
      </c>
      <c r="S100" s="82">
        <v>0</v>
      </c>
      <c r="T100" s="82">
        <v>0</v>
      </c>
      <c r="U100" s="82">
        <v>0</v>
      </c>
      <c r="V100" s="82">
        <v>0</v>
      </c>
      <c r="W100" s="82">
        <v>2509221</v>
      </c>
      <c r="X100" s="82">
        <f t="shared" si="13"/>
        <v>0</v>
      </c>
      <c r="Y100" s="82"/>
      <c r="Z100" s="47">
        <f t="shared" si="14"/>
        <v>-2123187</v>
      </c>
      <c r="AA100" s="97">
        <f t="shared" si="16"/>
        <v>-386033.94</v>
      </c>
      <c r="AB100" s="82">
        <f t="shared" si="17"/>
        <v>18915663.059999999</v>
      </c>
      <c r="AC100" s="98">
        <v>0</v>
      </c>
      <c r="AD100" s="38" t="s">
        <v>527</v>
      </c>
    </row>
    <row r="101" spans="1:30" s="45" customFormat="1">
      <c r="A101" s="43">
        <f t="shared" si="15"/>
        <v>97</v>
      </c>
      <c r="B101" s="15" t="s">
        <v>399</v>
      </c>
      <c r="C101" s="22">
        <v>45786</v>
      </c>
      <c r="D101" s="14">
        <v>2025</v>
      </c>
      <c r="E101" s="44" t="s">
        <v>98</v>
      </c>
      <c r="F101" s="44" t="s">
        <v>458</v>
      </c>
      <c r="G101" s="44" t="s">
        <v>461</v>
      </c>
      <c r="H101" s="62">
        <v>18674296</v>
      </c>
      <c r="I101" s="62">
        <v>0</v>
      </c>
      <c r="J101" s="62">
        <v>2054173</v>
      </c>
      <c r="K101" s="60">
        <f t="shared" si="12"/>
        <v>20728469</v>
      </c>
      <c r="L101" s="75">
        <v>45821</v>
      </c>
      <c r="M101" s="83">
        <v>0</v>
      </c>
      <c r="N101" s="82">
        <v>0</v>
      </c>
      <c r="O101" s="82">
        <v>18300810</v>
      </c>
      <c r="P101" s="82">
        <v>0</v>
      </c>
      <c r="Q101" s="82">
        <v>0</v>
      </c>
      <c r="R101" s="82">
        <v>0</v>
      </c>
      <c r="S101" s="82">
        <v>0</v>
      </c>
      <c r="T101" s="82">
        <v>0</v>
      </c>
      <c r="U101" s="82">
        <v>0</v>
      </c>
      <c r="V101" s="82">
        <v>0</v>
      </c>
      <c r="W101" s="82">
        <v>2427659</v>
      </c>
      <c r="X101" s="82">
        <f t="shared" si="13"/>
        <v>0</v>
      </c>
      <c r="Y101" s="82"/>
      <c r="Z101" s="47">
        <f t="shared" si="14"/>
        <v>-2054173</v>
      </c>
      <c r="AA101" s="97">
        <f t="shared" si="16"/>
        <v>-373485.92</v>
      </c>
      <c r="AB101" s="82">
        <f t="shared" si="17"/>
        <v>18300810.079999998</v>
      </c>
      <c r="AC101" s="98">
        <v>0</v>
      </c>
      <c r="AD101" s="38" t="s">
        <v>527</v>
      </c>
    </row>
    <row r="102" spans="1:30" s="45" customFormat="1">
      <c r="A102" s="43">
        <f t="shared" si="15"/>
        <v>98</v>
      </c>
      <c r="B102" s="15" t="s">
        <v>400</v>
      </c>
      <c r="C102" s="22">
        <v>45791</v>
      </c>
      <c r="D102" s="14">
        <v>2025</v>
      </c>
      <c r="E102" s="44" t="s">
        <v>99</v>
      </c>
      <c r="F102" s="44" t="s">
        <v>299</v>
      </c>
      <c r="G102" s="38" t="s">
        <v>462</v>
      </c>
      <c r="H102" s="62">
        <v>72007650</v>
      </c>
      <c r="I102" s="62">
        <v>8000850</v>
      </c>
      <c r="J102" s="62">
        <v>880094</v>
      </c>
      <c r="K102" s="60">
        <f t="shared" si="12"/>
        <v>80888594</v>
      </c>
      <c r="L102" s="75">
        <v>45799</v>
      </c>
      <c r="M102" s="83">
        <v>0</v>
      </c>
      <c r="N102" s="82">
        <v>0</v>
      </c>
      <c r="O102" s="82">
        <v>80728577</v>
      </c>
      <c r="P102" s="82">
        <v>0</v>
      </c>
      <c r="Q102" s="82">
        <v>0</v>
      </c>
      <c r="R102" s="82">
        <v>0</v>
      </c>
      <c r="S102" s="82">
        <v>0</v>
      </c>
      <c r="T102" s="82">
        <v>0</v>
      </c>
      <c r="U102" s="82">
        <v>0</v>
      </c>
      <c r="V102" s="82">
        <v>0</v>
      </c>
      <c r="W102" s="82">
        <v>160017</v>
      </c>
      <c r="X102" s="82">
        <f t="shared" si="13"/>
        <v>0</v>
      </c>
      <c r="Y102" s="82"/>
      <c r="Z102" s="47">
        <f t="shared" si="14"/>
        <v>-880094</v>
      </c>
      <c r="AA102" s="97">
        <f t="shared" ref="AA102:AA108" si="18">-(I102)*2%</f>
        <v>-160017</v>
      </c>
      <c r="AB102" s="82">
        <v>0</v>
      </c>
      <c r="AC102" s="98">
        <f t="shared" ref="AC102:AC109" si="19">K102+AA102</f>
        <v>80728577</v>
      </c>
      <c r="AD102" s="38" t="s">
        <v>528</v>
      </c>
    </row>
    <row r="103" spans="1:30" s="45" customFormat="1">
      <c r="A103" s="43">
        <f t="shared" si="15"/>
        <v>99</v>
      </c>
      <c r="B103" s="15" t="s">
        <v>401</v>
      </c>
      <c r="C103" s="22">
        <v>45791</v>
      </c>
      <c r="D103" s="14">
        <v>2025</v>
      </c>
      <c r="E103" s="44" t="s">
        <v>99</v>
      </c>
      <c r="F103" s="44" t="s">
        <v>299</v>
      </c>
      <c r="G103" s="38" t="s">
        <v>463</v>
      </c>
      <c r="H103" s="62">
        <v>63360000</v>
      </c>
      <c r="I103" s="62">
        <v>7040000</v>
      </c>
      <c r="J103" s="62">
        <v>774400</v>
      </c>
      <c r="K103" s="60">
        <f t="shared" si="12"/>
        <v>71174400</v>
      </c>
      <c r="L103" s="75">
        <v>45799</v>
      </c>
      <c r="M103" s="83">
        <v>0</v>
      </c>
      <c r="N103" s="82">
        <v>0</v>
      </c>
      <c r="O103" s="82">
        <v>71033600</v>
      </c>
      <c r="P103" s="82">
        <v>0</v>
      </c>
      <c r="Q103" s="82">
        <v>0</v>
      </c>
      <c r="R103" s="82">
        <v>0</v>
      </c>
      <c r="S103" s="82">
        <v>0</v>
      </c>
      <c r="T103" s="82">
        <v>0</v>
      </c>
      <c r="U103" s="82">
        <v>0</v>
      </c>
      <c r="V103" s="82">
        <v>0</v>
      </c>
      <c r="W103" s="82">
        <v>140800</v>
      </c>
      <c r="X103" s="82">
        <f t="shared" si="13"/>
        <v>0</v>
      </c>
      <c r="Y103" s="82"/>
      <c r="Z103" s="47">
        <f t="shared" si="14"/>
        <v>-774400</v>
      </c>
      <c r="AA103" s="97">
        <f t="shared" si="18"/>
        <v>-140800</v>
      </c>
      <c r="AB103" s="82">
        <v>0</v>
      </c>
      <c r="AC103" s="98">
        <f t="shared" si="19"/>
        <v>71033600</v>
      </c>
      <c r="AD103" s="38" t="s">
        <v>528</v>
      </c>
    </row>
    <row r="104" spans="1:30" s="45" customFormat="1">
      <c r="A104" s="43">
        <f t="shared" si="15"/>
        <v>100</v>
      </c>
      <c r="B104" s="15" t="s">
        <v>402</v>
      </c>
      <c r="C104" s="22">
        <v>45791</v>
      </c>
      <c r="D104" s="14">
        <v>2025</v>
      </c>
      <c r="E104" s="44" t="s">
        <v>99</v>
      </c>
      <c r="F104" s="44" t="s">
        <v>299</v>
      </c>
      <c r="G104" s="38" t="s">
        <v>464</v>
      </c>
      <c r="H104" s="62">
        <v>10350000</v>
      </c>
      <c r="I104" s="62">
        <v>1150000</v>
      </c>
      <c r="J104" s="62">
        <v>126500</v>
      </c>
      <c r="K104" s="60">
        <f t="shared" si="12"/>
        <v>11626500</v>
      </c>
      <c r="L104" s="75">
        <v>45799</v>
      </c>
      <c r="M104" s="83">
        <v>0</v>
      </c>
      <c r="N104" s="82">
        <v>0</v>
      </c>
      <c r="O104" s="82">
        <v>11603500</v>
      </c>
      <c r="P104" s="82">
        <v>0</v>
      </c>
      <c r="Q104" s="82">
        <v>0</v>
      </c>
      <c r="R104" s="82">
        <v>0</v>
      </c>
      <c r="S104" s="82">
        <v>0</v>
      </c>
      <c r="T104" s="82">
        <v>0</v>
      </c>
      <c r="U104" s="82">
        <v>0</v>
      </c>
      <c r="V104" s="82">
        <v>0</v>
      </c>
      <c r="W104" s="82">
        <v>23000</v>
      </c>
      <c r="X104" s="82">
        <f t="shared" si="13"/>
        <v>0</v>
      </c>
      <c r="Y104" s="82"/>
      <c r="Z104" s="47">
        <f t="shared" si="14"/>
        <v>-126500</v>
      </c>
      <c r="AA104" s="97">
        <f t="shared" si="18"/>
        <v>-23000</v>
      </c>
      <c r="AB104" s="82">
        <v>0</v>
      </c>
      <c r="AC104" s="98">
        <f t="shared" si="19"/>
        <v>11603500</v>
      </c>
      <c r="AD104" s="38" t="s">
        <v>528</v>
      </c>
    </row>
    <row r="105" spans="1:30" s="45" customFormat="1">
      <c r="A105" s="43">
        <f t="shared" si="15"/>
        <v>101</v>
      </c>
      <c r="B105" s="15" t="s">
        <v>403</v>
      </c>
      <c r="C105" s="22">
        <v>45792</v>
      </c>
      <c r="D105" s="14">
        <v>2025</v>
      </c>
      <c r="E105" s="44" t="s">
        <v>101</v>
      </c>
      <c r="F105" s="44" t="s">
        <v>465</v>
      </c>
      <c r="G105" s="38" t="s">
        <v>466</v>
      </c>
      <c r="H105" s="62">
        <v>7919991</v>
      </c>
      <c r="I105" s="62">
        <v>0</v>
      </c>
      <c r="J105" s="60">
        <v>87120</v>
      </c>
      <c r="K105" s="60">
        <f t="shared" si="12"/>
        <v>8007111</v>
      </c>
      <c r="L105" s="75">
        <v>45803</v>
      </c>
      <c r="M105" s="83">
        <v>0</v>
      </c>
      <c r="N105" s="82">
        <v>0</v>
      </c>
      <c r="O105" s="82">
        <v>8007111</v>
      </c>
      <c r="P105" s="82">
        <v>0</v>
      </c>
      <c r="Q105" s="82">
        <v>0</v>
      </c>
      <c r="R105" s="82">
        <v>0</v>
      </c>
      <c r="S105" s="82">
        <v>0</v>
      </c>
      <c r="T105" s="82">
        <v>0</v>
      </c>
      <c r="U105" s="82">
        <v>0</v>
      </c>
      <c r="V105" s="82">
        <v>0</v>
      </c>
      <c r="W105" s="82">
        <v>0</v>
      </c>
      <c r="X105" s="82">
        <f t="shared" si="13"/>
        <v>0</v>
      </c>
      <c r="Y105" s="82"/>
      <c r="Z105" s="47">
        <f t="shared" si="14"/>
        <v>-87120</v>
      </c>
      <c r="AA105" s="97">
        <f t="shared" si="18"/>
        <v>0</v>
      </c>
      <c r="AB105" s="82">
        <v>0</v>
      </c>
      <c r="AC105" s="98">
        <f t="shared" si="19"/>
        <v>8007111</v>
      </c>
      <c r="AD105" s="38" t="s">
        <v>529</v>
      </c>
    </row>
    <row r="106" spans="1:30" s="45" customFormat="1">
      <c r="A106" s="43">
        <f t="shared" si="15"/>
        <v>102</v>
      </c>
      <c r="B106" s="15" t="s">
        <v>404</v>
      </c>
      <c r="C106" s="22">
        <v>45792</v>
      </c>
      <c r="D106" s="14">
        <v>2025</v>
      </c>
      <c r="E106" s="44" t="s">
        <v>101</v>
      </c>
      <c r="F106" s="44" t="s">
        <v>465</v>
      </c>
      <c r="G106" s="38" t="s">
        <v>467</v>
      </c>
      <c r="H106" s="62">
        <v>11504800</v>
      </c>
      <c r="I106" s="62">
        <v>0</v>
      </c>
      <c r="J106" s="62">
        <v>126553</v>
      </c>
      <c r="K106" s="60">
        <f t="shared" si="12"/>
        <v>11631353</v>
      </c>
      <c r="L106" s="75">
        <v>45803</v>
      </c>
      <c r="M106" s="83">
        <v>0</v>
      </c>
      <c r="N106" s="82">
        <v>0</v>
      </c>
      <c r="O106" s="82">
        <v>11631353</v>
      </c>
      <c r="P106" s="82">
        <v>0</v>
      </c>
      <c r="Q106" s="82">
        <v>0</v>
      </c>
      <c r="R106" s="82">
        <v>0</v>
      </c>
      <c r="S106" s="82">
        <v>0</v>
      </c>
      <c r="T106" s="82">
        <v>0</v>
      </c>
      <c r="U106" s="82">
        <v>0</v>
      </c>
      <c r="V106" s="82">
        <v>0</v>
      </c>
      <c r="W106" s="82">
        <v>0</v>
      </c>
      <c r="X106" s="82">
        <f t="shared" si="13"/>
        <v>0</v>
      </c>
      <c r="Y106" s="82"/>
      <c r="Z106" s="47">
        <f t="shared" si="14"/>
        <v>-126553</v>
      </c>
      <c r="AA106" s="97">
        <f t="shared" si="18"/>
        <v>0</v>
      </c>
      <c r="AB106" s="82">
        <v>0</v>
      </c>
      <c r="AC106" s="98">
        <f t="shared" si="19"/>
        <v>11631353</v>
      </c>
      <c r="AD106" s="38" t="s">
        <v>529</v>
      </c>
    </row>
    <row r="107" spans="1:30" s="45" customFormat="1">
      <c r="A107" s="43">
        <f t="shared" si="15"/>
        <v>103</v>
      </c>
      <c r="B107" s="15" t="s">
        <v>405</v>
      </c>
      <c r="C107" s="22">
        <v>45792</v>
      </c>
      <c r="D107" s="14">
        <v>2025</v>
      </c>
      <c r="E107" s="44" t="s">
        <v>101</v>
      </c>
      <c r="F107" s="44" t="s">
        <v>465</v>
      </c>
      <c r="G107" s="38" t="s">
        <v>468</v>
      </c>
      <c r="H107" s="62">
        <v>15091440</v>
      </c>
      <c r="I107" s="62">
        <v>0</v>
      </c>
      <c r="J107" s="62">
        <v>166006</v>
      </c>
      <c r="K107" s="60">
        <f t="shared" si="12"/>
        <v>15257446</v>
      </c>
      <c r="L107" s="75">
        <v>45803</v>
      </c>
      <c r="M107" s="83">
        <v>0</v>
      </c>
      <c r="N107" s="82">
        <v>0</v>
      </c>
      <c r="O107" s="82">
        <v>15257446</v>
      </c>
      <c r="P107" s="82">
        <v>0</v>
      </c>
      <c r="Q107" s="82">
        <v>0</v>
      </c>
      <c r="R107" s="82">
        <v>0</v>
      </c>
      <c r="S107" s="82">
        <v>0</v>
      </c>
      <c r="T107" s="82">
        <v>0</v>
      </c>
      <c r="U107" s="82">
        <v>0</v>
      </c>
      <c r="V107" s="82">
        <v>0</v>
      </c>
      <c r="W107" s="82">
        <v>0</v>
      </c>
      <c r="X107" s="82">
        <f t="shared" si="13"/>
        <v>0</v>
      </c>
      <c r="Y107" s="82"/>
      <c r="Z107" s="47">
        <f t="shared" si="14"/>
        <v>-166006</v>
      </c>
      <c r="AA107" s="97">
        <f t="shared" si="18"/>
        <v>0</v>
      </c>
      <c r="AB107" s="82">
        <v>0</v>
      </c>
      <c r="AC107" s="98">
        <f t="shared" si="19"/>
        <v>15257446</v>
      </c>
      <c r="AD107" s="38" t="s">
        <v>529</v>
      </c>
    </row>
    <row r="108" spans="1:30" s="45" customFormat="1">
      <c r="A108" s="43">
        <f t="shared" si="15"/>
        <v>104</v>
      </c>
      <c r="B108" s="15" t="s">
        <v>406</v>
      </c>
      <c r="C108" s="22">
        <v>45792</v>
      </c>
      <c r="D108" s="14">
        <v>2025</v>
      </c>
      <c r="E108" s="44" t="s">
        <v>101</v>
      </c>
      <c r="F108" s="44" t="s">
        <v>465</v>
      </c>
      <c r="G108" s="38" t="s">
        <v>469</v>
      </c>
      <c r="H108" s="62">
        <v>12061800</v>
      </c>
      <c r="I108" s="62">
        <v>0</v>
      </c>
      <c r="J108" s="62">
        <v>132680</v>
      </c>
      <c r="K108" s="60">
        <f t="shared" si="12"/>
        <v>12194480</v>
      </c>
      <c r="L108" s="75">
        <v>45803</v>
      </c>
      <c r="M108" s="83">
        <v>0</v>
      </c>
      <c r="N108" s="82">
        <v>0</v>
      </c>
      <c r="O108" s="82">
        <v>12194480</v>
      </c>
      <c r="P108" s="82">
        <v>0</v>
      </c>
      <c r="Q108" s="82">
        <v>0</v>
      </c>
      <c r="R108" s="82">
        <v>0</v>
      </c>
      <c r="S108" s="82">
        <v>0</v>
      </c>
      <c r="T108" s="82">
        <v>0</v>
      </c>
      <c r="U108" s="82">
        <v>0</v>
      </c>
      <c r="V108" s="82">
        <v>0</v>
      </c>
      <c r="W108" s="82">
        <v>0</v>
      </c>
      <c r="X108" s="82">
        <f t="shared" si="13"/>
        <v>0</v>
      </c>
      <c r="Y108" s="82"/>
      <c r="Z108" s="47">
        <f t="shared" si="14"/>
        <v>-132680</v>
      </c>
      <c r="AA108" s="97">
        <f t="shared" si="18"/>
        <v>0</v>
      </c>
      <c r="AB108" s="82">
        <v>0</v>
      </c>
      <c r="AC108" s="98">
        <f t="shared" si="19"/>
        <v>12194480</v>
      </c>
      <c r="AD108" s="38" t="s">
        <v>529</v>
      </c>
    </row>
    <row r="109" spans="1:30" s="45" customFormat="1">
      <c r="A109" s="43">
        <f t="shared" si="15"/>
        <v>105</v>
      </c>
      <c r="B109" s="15" t="s">
        <v>530</v>
      </c>
      <c r="C109" s="22">
        <v>45793</v>
      </c>
      <c r="D109" s="14">
        <v>2025</v>
      </c>
      <c r="E109" s="44" t="s">
        <v>424</v>
      </c>
      <c r="F109" s="44" t="s">
        <v>305</v>
      </c>
      <c r="G109" s="38" t="s">
        <v>531</v>
      </c>
      <c r="H109" s="62">
        <v>5753850</v>
      </c>
      <c r="I109" s="62">
        <v>575385</v>
      </c>
      <c r="J109" s="62">
        <v>69622</v>
      </c>
      <c r="K109" s="60">
        <f t="shared" si="12"/>
        <v>6398857</v>
      </c>
      <c r="L109" s="75">
        <v>45880</v>
      </c>
      <c r="M109" s="83">
        <v>0</v>
      </c>
      <c r="N109" s="82">
        <v>0</v>
      </c>
      <c r="O109" s="82">
        <v>6272271</v>
      </c>
      <c r="P109" s="82">
        <v>0</v>
      </c>
      <c r="Q109" s="82">
        <v>0</v>
      </c>
      <c r="R109" s="82">
        <v>0</v>
      </c>
      <c r="S109" s="82">
        <v>0</v>
      </c>
      <c r="T109" s="82">
        <v>0</v>
      </c>
      <c r="U109" s="82">
        <v>0</v>
      </c>
      <c r="V109" s="82">
        <v>0</v>
      </c>
      <c r="W109" s="82">
        <v>126586</v>
      </c>
      <c r="X109" s="82">
        <f t="shared" si="13"/>
        <v>0</v>
      </c>
      <c r="Y109" s="82"/>
      <c r="Z109" s="47">
        <f t="shared" si="14"/>
        <v>-69622</v>
      </c>
      <c r="AA109" s="97">
        <f>-(H109+I109)*2%</f>
        <v>-126584.7</v>
      </c>
      <c r="AB109" s="82">
        <v>0</v>
      </c>
      <c r="AC109" s="98">
        <f t="shared" si="19"/>
        <v>6272272.2999999998</v>
      </c>
      <c r="AD109" s="38"/>
    </row>
    <row r="110" spans="1:30" s="120" customFormat="1">
      <c r="A110" s="107">
        <f t="shared" si="15"/>
        <v>106</v>
      </c>
      <c r="B110" s="50" t="s">
        <v>532</v>
      </c>
      <c r="C110" s="124">
        <v>45825</v>
      </c>
      <c r="D110" s="14">
        <v>2024</v>
      </c>
      <c r="E110" s="77" t="s">
        <v>19</v>
      </c>
      <c r="F110" s="77" t="s">
        <v>19</v>
      </c>
      <c r="G110" s="77" t="s">
        <v>1090</v>
      </c>
      <c r="H110" s="114">
        <v>0</v>
      </c>
      <c r="I110" s="114">
        <v>0</v>
      </c>
      <c r="J110" s="114">
        <v>0</v>
      </c>
      <c r="K110" s="108">
        <f t="shared" si="12"/>
        <v>0</v>
      </c>
      <c r="L110" s="115"/>
      <c r="M110" s="116">
        <v>0</v>
      </c>
      <c r="N110" s="105">
        <v>0</v>
      </c>
      <c r="O110" s="105">
        <v>0</v>
      </c>
      <c r="P110" s="105">
        <v>0</v>
      </c>
      <c r="Q110" s="105">
        <v>0</v>
      </c>
      <c r="R110" s="105">
        <v>0</v>
      </c>
      <c r="S110" s="105">
        <v>0</v>
      </c>
      <c r="T110" s="105">
        <v>0</v>
      </c>
      <c r="U110" s="105">
        <v>0</v>
      </c>
      <c r="V110" s="105">
        <v>0</v>
      </c>
      <c r="W110" s="105">
        <v>0</v>
      </c>
      <c r="X110" s="105">
        <f t="shared" si="13"/>
        <v>0</v>
      </c>
      <c r="Y110" s="105"/>
      <c r="Z110" s="109">
        <f t="shared" si="14"/>
        <v>0</v>
      </c>
      <c r="AA110" s="118">
        <f>-(H110+I110)*2%</f>
        <v>0</v>
      </c>
      <c r="AB110" s="105">
        <f>K110+Z110+AA110</f>
        <v>0</v>
      </c>
      <c r="AC110" s="119">
        <v>0</v>
      </c>
      <c r="AD110" s="50"/>
    </row>
    <row r="111" spans="1:30" s="45" customFormat="1">
      <c r="A111" s="43">
        <f t="shared" si="15"/>
        <v>107</v>
      </c>
      <c r="B111" s="15" t="s">
        <v>533</v>
      </c>
      <c r="C111" s="22">
        <v>45799</v>
      </c>
      <c r="D111" s="14">
        <v>2025</v>
      </c>
      <c r="E111" s="44" t="s">
        <v>98</v>
      </c>
      <c r="F111" s="38" t="s">
        <v>534</v>
      </c>
      <c r="G111" s="44" t="s">
        <v>535</v>
      </c>
      <c r="H111" s="62">
        <v>55000474</v>
      </c>
      <c r="I111" s="62">
        <v>0</v>
      </c>
      <c r="J111" s="62">
        <v>6050052</v>
      </c>
      <c r="K111" s="60">
        <f t="shared" si="12"/>
        <v>61050526</v>
      </c>
      <c r="L111" s="75">
        <v>45831</v>
      </c>
      <c r="M111" s="83">
        <v>0</v>
      </c>
      <c r="N111" s="82">
        <v>0</v>
      </c>
      <c r="O111" s="82">
        <v>53900465</v>
      </c>
      <c r="P111" s="82">
        <v>0</v>
      </c>
      <c r="Q111" s="82">
        <v>0</v>
      </c>
      <c r="R111" s="82">
        <v>0</v>
      </c>
      <c r="S111" s="82">
        <v>0</v>
      </c>
      <c r="T111" s="82">
        <v>0</v>
      </c>
      <c r="U111" s="82">
        <v>0</v>
      </c>
      <c r="V111" s="82">
        <v>0</v>
      </c>
      <c r="W111" s="82">
        <v>7150061</v>
      </c>
      <c r="X111" s="82">
        <f t="shared" si="13"/>
        <v>0</v>
      </c>
      <c r="Y111" s="82"/>
      <c r="Z111" s="47">
        <f t="shared" si="14"/>
        <v>-6050052</v>
      </c>
      <c r="AA111" s="97">
        <f>-(H111+I111)*2%</f>
        <v>-1100009.48</v>
      </c>
      <c r="AB111" s="82">
        <f>K111+Z111+AA111</f>
        <v>53900464.520000003</v>
      </c>
      <c r="AC111" s="98">
        <v>0</v>
      </c>
      <c r="AD111" s="15"/>
    </row>
    <row r="112" spans="1:30" s="120" customFormat="1">
      <c r="A112" s="107">
        <f t="shared" si="15"/>
        <v>108</v>
      </c>
      <c r="B112" s="50" t="s">
        <v>536</v>
      </c>
      <c r="C112" s="124">
        <v>45737</v>
      </c>
      <c r="D112" s="14">
        <v>2024</v>
      </c>
      <c r="E112" s="77" t="s">
        <v>19</v>
      </c>
      <c r="F112" s="77" t="s">
        <v>19</v>
      </c>
      <c r="G112" s="77" t="s">
        <v>1091</v>
      </c>
      <c r="H112" s="114">
        <v>0</v>
      </c>
      <c r="I112" s="114">
        <v>0</v>
      </c>
      <c r="J112" s="114">
        <v>0</v>
      </c>
      <c r="K112" s="108">
        <f t="shared" si="12"/>
        <v>0</v>
      </c>
      <c r="L112" s="115"/>
      <c r="M112" s="116">
        <v>0</v>
      </c>
      <c r="N112" s="105">
        <v>0</v>
      </c>
      <c r="O112" s="105">
        <v>0</v>
      </c>
      <c r="P112" s="105">
        <v>0</v>
      </c>
      <c r="Q112" s="105">
        <v>0</v>
      </c>
      <c r="R112" s="105">
        <v>0</v>
      </c>
      <c r="S112" s="105">
        <v>0</v>
      </c>
      <c r="T112" s="105">
        <v>0</v>
      </c>
      <c r="U112" s="105">
        <v>0</v>
      </c>
      <c r="V112" s="105">
        <v>0</v>
      </c>
      <c r="W112" s="105">
        <v>0</v>
      </c>
      <c r="X112" s="105">
        <f t="shared" si="13"/>
        <v>0</v>
      </c>
      <c r="Y112" s="105"/>
      <c r="Z112" s="109">
        <f t="shared" si="14"/>
        <v>0</v>
      </c>
      <c r="AA112" s="118">
        <f>-(H112+I112)*2%</f>
        <v>0</v>
      </c>
      <c r="AB112" s="105">
        <f>K112+Z112+AA112</f>
        <v>0</v>
      </c>
      <c r="AC112" s="119">
        <v>0</v>
      </c>
      <c r="AD112" s="50"/>
    </row>
    <row r="113" spans="1:30" s="120" customFormat="1">
      <c r="A113" s="107">
        <f t="shared" si="15"/>
        <v>109</v>
      </c>
      <c r="B113" s="50" t="s">
        <v>537</v>
      </c>
      <c r="C113" s="124">
        <v>45740</v>
      </c>
      <c r="D113" s="14">
        <v>2024</v>
      </c>
      <c r="E113" s="77" t="s">
        <v>19</v>
      </c>
      <c r="F113" s="77" t="s">
        <v>19</v>
      </c>
      <c r="G113" s="77" t="s">
        <v>1092</v>
      </c>
      <c r="H113" s="114">
        <v>0</v>
      </c>
      <c r="I113" s="114">
        <v>0</v>
      </c>
      <c r="J113" s="114">
        <v>0</v>
      </c>
      <c r="K113" s="108">
        <f t="shared" si="12"/>
        <v>0</v>
      </c>
      <c r="L113" s="115"/>
      <c r="M113" s="116">
        <v>0</v>
      </c>
      <c r="N113" s="105">
        <v>0</v>
      </c>
      <c r="O113" s="105">
        <v>0</v>
      </c>
      <c r="P113" s="105">
        <v>0</v>
      </c>
      <c r="Q113" s="105">
        <v>0</v>
      </c>
      <c r="R113" s="105">
        <v>0</v>
      </c>
      <c r="S113" s="105">
        <v>0</v>
      </c>
      <c r="T113" s="105">
        <v>0</v>
      </c>
      <c r="U113" s="105">
        <v>0</v>
      </c>
      <c r="V113" s="105">
        <v>0</v>
      </c>
      <c r="W113" s="105">
        <v>0</v>
      </c>
      <c r="X113" s="105">
        <f t="shared" si="13"/>
        <v>0</v>
      </c>
      <c r="Y113" s="105"/>
      <c r="Z113" s="109">
        <f t="shared" si="14"/>
        <v>0</v>
      </c>
      <c r="AA113" s="118">
        <f>-(H113+I113)*2%</f>
        <v>0</v>
      </c>
      <c r="AB113" s="105">
        <f>K113+Z113+AA113</f>
        <v>0</v>
      </c>
      <c r="AC113" s="119">
        <v>0</v>
      </c>
      <c r="AD113" s="50"/>
    </row>
    <row r="114" spans="1:30" s="45" customFormat="1">
      <c r="A114" s="43">
        <f t="shared" si="15"/>
        <v>110</v>
      </c>
      <c r="B114" s="15" t="s">
        <v>538</v>
      </c>
      <c r="C114" s="22">
        <v>45810</v>
      </c>
      <c r="D114" s="14">
        <v>2025</v>
      </c>
      <c r="E114" s="44" t="s">
        <v>539</v>
      </c>
      <c r="F114" s="38" t="s">
        <v>121</v>
      </c>
      <c r="G114" s="44" t="s">
        <v>540</v>
      </c>
      <c r="H114" s="62">
        <v>28750953</v>
      </c>
      <c r="I114" s="62">
        <v>0</v>
      </c>
      <c r="J114" s="62">
        <v>0</v>
      </c>
      <c r="K114" s="60">
        <f t="shared" si="12"/>
        <v>28750953</v>
      </c>
      <c r="L114" s="75">
        <v>45810</v>
      </c>
      <c r="M114" s="83">
        <v>28750953</v>
      </c>
      <c r="N114" s="82">
        <v>0</v>
      </c>
      <c r="O114" s="82">
        <v>0</v>
      </c>
      <c r="P114" s="82">
        <v>0</v>
      </c>
      <c r="Q114" s="82">
        <v>0</v>
      </c>
      <c r="R114" s="82">
        <v>0</v>
      </c>
      <c r="S114" s="82">
        <v>0</v>
      </c>
      <c r="T114" s="82">
        <v>0</v>
      </c>
      <c r="U114" s="82">
        <v>0</v>
      </c>
      <c r="V114" s="82">
        <v>0</v>
      </c>
      <c r="W114" s="82">
        <v>0</v>
      </c>
      <c r="X114" s="82">
        <f t="shared" si="13"/>
        <v>0</v>
      </c>
      <c r="Y114" s="82"/>
      <c r="Z114" s="47">
        <f t="shared" si="14"/>
        <v>0</v>
      </c>
      <c r="AA114" s="97">
        <v>0</v>
      </c>
      <c r="AB114" s="82">
        <v>0</v>
      </c>
      <c r="AC114" s="98">
        <v>0</v>
      </c>
      <c r="AD114" s="15"/>
    </row>
    <row r="115" spans="1:30" s="45" customFormat="1">
      <c r="A115" s="43">
        <f t="shared" si="15"/>
        <v>111</v>
      </c>
      <c r="B115" s="15" t="s">
        <v>541</v>
      </c>
      <c r="C115" s="22">
        <v>45810</v>
      </c>
      <c r="D115" s="14">
        <v>2025</v>
      </c>
      <c r="E115" s="44" t="s">
        <v>101</v>
      </c>
      <c r="F115" s="44" t="s">
        <v>465</v>
      </c>
      <c r="G115" s="38" t="s">
        <v>542</v>
      </c>
      <c r="H115" s="62">
        <v>648783383</v>
      </c>
      <c r="I115" s="62">
        <v>0</v>
      </c>
      <c r="J115" s="62">
        <v>7136617</v>
      </c>
      <c r="K115" s="60">
        <f t="shared" si="12"/>
        <v>655920000</v>
      </c>
      <c r="L115" s="75">
        <v>45818</v>
      </c>
      <c r="M115" s="83">
        <v>0</v>
      </c>
      <c r="N115" s="82">
        <v>0</v>
      </c>
      <c r="O115" s="82">
        <v>642944332</v>
      </c>
      <c r="P115" s="82">
        <v>0</v>
      </c>
      <c r="Q115" s="82">
        <v>0</v>
      </c>
      <c r="R115" s="82">
        <v>0</v>
      </c>
      <c r="S115" s="82">
        <v>0</v>
      </c>
      <c r="T115" s="82">
        <v>0</v>
      </c>
      <c r="U115" s="82">
        <v>0</v>
      </c>
      <c r="V115" s="82">
        <v>0</v>
      </c>
      <c r="W115" s="82">
        <v>12975668</v>
      </c>
      <c r="X115" s="82">
        <f t="shared" si="13"/>
        <v>0</v>
      </c>
      <c r="Y115" s="82"/>
      <c r="Z115" s="47">
        <f t="shared" si="14"/>
        <v>-7136617</v>
      </c>
      <c r="AA115" s="97">
        <f>-(H115+I115)*2%</f>
        <v>-12975667.66</v>
      </c>
      <c r="AB115" s="82">
        <v>0</v>
      </c>
      <c r="AC115" s="98">
        <f t="shared" ref="AC115:AC120" si="20">K115+AA115</f>
        <v>642944332.34000003</v>
      </c>
      <c r="AD115" s="38"/>
    </row>
    <row r="116" spans="1:30" s="45" customFormat="1">
      <c r="A116" s="43">
        <f t="shared" si="15"/>
        <v>112</v>
      </c>
      <c r="B116" s="15" t="s">
        <v>543</v>
      </c>
      <c r="C116" s="22">
        <v>45811</v>
      </c>
      <c r="D116" s="14">
        <v>2025</v>
      </c>
      <c r="E116" s="44" t="s">
        <v>544</v>
      </c>
      <c r="F116" s="44" t="s">
        <v>299</v>
      </c>
      <c r="G116" s="38" t="s">
        <v>545</v>
      </c>
      <c r="H116" s="62">
        <v>1900000</v>
      </c>
      <c r="I116" s="62">
        <v>0</v>
      </c>
      <c r="J116" s="62">
        <v>20900</v>
      </c>
      <c r="K116" s="60">
        <f t="shared" si="12"/>
        <v>1920900</v>
      </c>
      <c r="L116" s="75">
        <v>45918</v>
      </c>
      <c r="M116" s="83">
        <v>0</v>
      </c>
      <c r="N116" s="82">
        <v>0</v>
      </c>
      <c r="O116" s="82">
        <v>1920900</v>
      </c>
      <c r="P116" s="82">
        <v>0</v>
      </c>
      <c r="Q116" s="82">
        <v>0</v>
      </c>
      <c r="R116" s="82">
        <v>0</v>
      </c>
      <c r="S116" s="82">
        <v>0</v>
      </c>
      <c r="T116" s="82">
        <v>0</v>
      </c>
      <c r="U116" s="82">
        <v>0</v>
      </c>
      <c r="V116" s="82">
        <v>0</v>
      </c>
      <c r="W116" s="82">
        <v>0</v>
      </c>
      <c r="X116" s="82">
        <f t="shared" si="13"/>
        <v>0</v>
      </c>
      <c r="Y116" s="82"/>
      <c r="Z116" s="29">
        <f t="shared" si="14"/>
        <v>-20900</v>
      </c>
      <c r="AA116" s="97">
        <v>0</v>
      </c>
      <c r="AB116" s="82">
        <v>0</v>
      </c>
      <c r="AC116" s="98">
        <f t="shared" si="20"/>
        <v>1920900</v>
      </c>
      <c r="AD116" s="38"/>
    </row>
    <row r="117" spans="1:30" s="45" customFormat="1">
      <c r="A117" s="43">
        <f t="shared" si="15"/>
        <v>113</v>
      </c>
      <c r="B117" s="15" t="s">
        <v>546</v>
      </c>
      <c r="C117" s="22">
        <v>45811</v>
      </c>
      <c r="D117" s="14">
        <v>2025</v>
      </c>
      <c r="E117" s="44" t="s">
        <v>544</v>
      </c>
      <c r="F117" s="44" t="s">
        <v>299</v>
      </c>
      <c r="G117" s="38" t="s">
        <v>547</v>
      </c>
      <c r="H117" s="62">
        <v>12800000</v>
      </c>
      <c r="I117" s="62">
        <v>0</v>
      </c>
      <c r="J117" s="62">
        <v>140800</v>
      </c>
      <c r="K117" s="60">
        <f t="shared" si="12"/>
        <v>12940800</v>
      </c>
      <c r="L117" s="75">
        <v>45839</v>
      </c>
      <c r="M117" s="83">
        <v>0</v>
      </c>
      <c r="N117" s="82">
        <v>0</v>
      </c>
      <c r="O117" s="83">
        <v>12940800</v>
      </c>
      <c r="P117" s="82">
        <v>0</v>
      </c>
      <c r="Q117" s="82">
        <v>0</v>
      </c>
      <c r="R117" s="82">
        <v>0</v>
      </c>
      <c r="S117" s="82">
        <v>0</v>
      </c>
      <c r="T117" s="82">
        <v>0</v>
      </c>
      <c r="U117" s="82">
        <v>0</v>
      </c>
      <c r="V117" s="82">
        <v>0</v>
      </c>
      <c r="W117" s="82">
        <v>0</v>
      </c>
      <c r="X117" s="82">
        <f t="shared" si="13"/>
        <v>0</v>
      </c>
      <c r="Y117" s="82"/>
      <c r="Z117" s="47">
        <f t="shared" si="14"/>
        <v>-140800</v>
      </c>
      <c r="AA117" s="97">
        <v>0</v>
      </c>
      <c r="AB117" s="82">
        <v>0</v>
      </c>
      <c r="AC117" s="98">
        <f t="shared" si="20"/>
        <v>12940800</v>
      </c>
      <c r="AD117" s="38"/>
    </row>
    <row r="118" spans="1:30" s="45" customFormat="1">
      <c r="A118" s="43">
        <f t="shared" si="15"/>
        <v>114</v>
      </c>
      <c r="B118" s="15" t="s">
        <v>548</v>
      </c>
      <c r="C118" s="22">
        <v>45811</v>
      </c>
      <c r="D118" s="14">
        <v>2025</v>
      </c>
      <c r="E118" s="44" t="s">
        <v>544</v>
      </c>
      <c r="F118" s="44" t="s">
        <v>299</v>
      </c>
      <c r="G118" s="38" t="s">
        <v>547</v>
      </c>
      <c r="H118" s="62">
        <v>12800000</v>
      </c>
      <c r="I118" s="62">
        <v>0</v>
      </c>
      <c r="J118" s="62">
        <v>140800</v>
      </c>
      <c r="K118" s="60">
        <f t="shared" si="12"/>
        <v>12940800</v>
      </c>
      <c r="L118" s="75">
        <v>45833</v>
      </c>
      <c r="M118" s="83">
        <v>0</v>
      </c>
      <c r="N118" s="82">
        <v>0</v>
      </c>
      <c r="O118" s="83">
        <v>12940800</v>
      </c>
      <c r="P118" s="82">
        <v>0</v>
      </c>
      <c r="Q118" s="82">
        <v>0</v>
      </c>
      <c r="R118" s="82">
        <v>0</v>
      </c>
      <c r="S118" s="82">
        <v>0</v>
      </c>
      <c r="T118" s="82">
        <v>0</v>
      </c>
      <c r="U118" s="82">
        <v>0</v>
      </c>
      <c r="V118" s="82">
        <v>0</v>
      </c>
      <c r="W118" s="82">
        <v>0</v>
      </c>
      <c r="X118" s="82">
        <f t="shared" si="13"/>
        <v>0</v>
      </c>
      <c r="Y118" s="82"/>
      <c r="Z118" s="47">
        <f t="shared" si="14"/>
        <v>-140800</v>
      </c>
      <c r="AA118" s="97">
        <v>0</v>
      </c>
      <c r="AB118" s="82">
        <v>0</v>
      </c>
      <c r="AC118" s="98">
        <f t="shared" si="20"/>
        <v>12940800</v>
      </c>
      <c r="AD118" s="38"/>
    </row>
    <row r="119" spans="1:30" s="45" customFormat="1">
      <c r="A119" s="43">
        <f t="shared" si="15"/>
        <v>115</v>
      </c>
      <c r="B119" s="15" t="s">
        <v>549</v>
      </c>
      <c r="C119" s="22">
        <v>45811</v>
      </c>
      <c r="D119" s="14">
        <v>2025</v>
      </c>
      <c r="E119" s="44" t="s">
        <v>544</v>
      </c>
      <c r="F119" s="44" t="s">
        <v>299</v>
      </c>
      <c r="G119" s="38" t="s">
        <v>547</v>
      </c>
      <c r="H119" s="62">
        <v>12800000</v>
      </c>
      <c r="I119" s="62">
        <v>0</v>
      </c>
      <c r="J119" s="62">
        <v>140800</v>
      </c>
      <c r="K119" s="60">
        <f t="shared" si="12"/>
        <v>12940800</v>
      </c>
      <c r="L119" s="75">
        <v>45856</v>
      </c>
      <c r="M119" s="83">
        <v>0</v>
      </c>
      <c r="N119" s="82">
        <v>0</v>
      </c>
      <c r="O119" s="82">
        <v>12940800</v>
      </c>
      <c r="P119" s="82">
        <v>0</v>
      </c>
      <c r="Q119" s="82">
        <v>0</v>
      </c>
      <c r="R119" s="82">
        <v>0</v>
      </c>
      <c r="S119" s="82">
        <v>0</v>
      </c>
      <c r="T119" s="82">
        <v>0</v>
      </c>
      <c r="U119" s="82">
        <v>0</v>
      </c>
      <c r="V119" s="82">
        <v>0</v>
      </c>
      <c r="W119" s="82">
        <v>0</v>
      </c>
      <c r="X119" s="82">
        <f t="shared" si="13"/>
        <v>0</v>
      </c>
      <c r="Y119" s="82"/>
      <c r="Z119" s="47">
        <f t="shared" si="14"/>
        <v>-140800</v>
      </c>
      <c r="AA119" s="97">
        <v>0</v>
      </c>
      <c r="AB119" s="82">
        <v>0</v>
      </c>
      <c r="AC119" s="98">
        <f t="shared" si="20"/>
        <v>12940800</v>
      </c>
      <c r="AD119" s="38"/>
    </row>
    <row r="120" spans="1:30" s="45" customFormat="1">
      <c r="A120" s="43">
        <f t="shared" si="15"/>
        <v>116</v>
      </c>
      <c r="B120" s="15" t="s">
        <v>550</v>
      </c>
      <c r="C120" s="22">
        <v>45824</v>
      </c>
      <c r="D120" s="14">
        <v>2025</v>
      </c>
      <c r="E120" s="44" t="s">
        <v>101</v>
      </c>
      <c r="F120" s="44" t="s">
        <v>465</v>
      </c>
      <c r="G120" s="38" t="s">
        <v>551</v>
      </c>
      <c r="H120" s="62">
        <v>324391691</v>
      </c>
      <c r="I120" s="62">
        <v>0</v>
      </c>
      <c r="J120" s="62">
        <v>3568309</v>
      </c>
      <c r="K120" s="60">
        <f t="shared" si="12"/>
        <v>327960000</v>
      </c>
      <c r="L120" s="75">
        <v>45833</v>
      </c>
      <c r="M120" s="83">
        <v>0</v>
      </c>
      <c r="N120" s="82">
        <v>0</v>
      </c>
      <c r="O120" s="82">
        <v>321472166</v>
      </c>
      <c r="P120" s="82">
        <v>0</v>
      </c>
      <c r="Q120" s="82">
        <v>0</v>
      </c>
      <c r="R120" s="82">
        <v>0</v>
      </c>
      <c r="S120" s="82">
        <v>0</v>
      </c>
      <c r="T120" s="82">
        <v>0</v>
      </c>
      <c r="U120" s="82">
        <v>0</v>
      </c>
      <c r="V120" s="82">
        <v>0</v>
      </c>
      <c r="W120" s="82">
        <v>6487834</v>
      </c>
      <c r="X120" s="82">
        <f t="shared" si="13"/>
        <v>0</v>
      </c>
      <c r="Y120" s="82"/>
      <c r="Z120" s="47">
        <f t="shared" si="14"/>
        <v>-3568309</v>
      </c>
      <c r="AA120" s="97">
        <f t="shared" ref="AA120:AA126" si="21">-(H120+I120)*2%</f>
        <v>-6487833.8200000003</v>
      </c>
      <c r="AB120" s="82">
        <v>0</v>
      </c>
      <c r="AC120" s="98">
        <f t="shared" si="20"/>
        <v>321472166.18000001</v>
      </c>
      <c r="AD120" s="38"/>
    </row>
    <row r="121" spans="1:30" s="45" customFormat="1">
      <c r="A121" s="43">
        <f t="shared" si="15"/>
        <v>117</v>
      </c>
      <c r="B121" s="15" t="s">
        <v>552</v>
      </c>
      <c r="C121" s="22">
        <v>45827</v>
      </c>
      <c r="D121" s="14">
        <v>2025</v>
      </c>
      <c r="E121" s="44" t="s">
        <v>68</v>
      </c>
      <c r="F121" s="44" t="s">
        <v>553</v>
      </c>
      <c r="G121" s="38" t="s">
        <v>554</v>
      </c>
      <c r="H121" s="62">
        <v>24570024</v>
      </c>
      <c r="I121" s="62">
        <v>2457003</v>
      </c>
      <c r="J121" s="62">
        <v>2972973</v>
      </c>
      <c r="K121" s="60">
        <f t="shared" ref="K121:K126" si="22">SUM(H121:J121)</f>
        <v>30000000</v>
      </c>
      <c r="L121" s="75">
        <v>45840</v>
      </c>
      <c r="M121" s="83">
        <v>0</v>
      </c>
      <c r="N121" s="82">
        <v>0</v>
      </c>
      <c r="O121" s="82">
        <v>0</v>
      </c>
      <c r="P121" s="82">
        <v>0</v>
      </c>
      <c r="Q121" s="82">
        <v>0</v>
      </c>
      <c r="R121" s="82">
        <v>26486486</v>
      </c>
      <c r="S121" s="82">
        <v>0</v>
      </c>
      <c r="T121" s="82">
        <v>0</v>
      </c>
      <c r="U121" s="82">
        <v>0</v>
      </c>
      <c r="V121" s="82">
        <v>0</v>
      </c>
      <c r="W121" s="82">
        <v>3513514</v>
      </c>
      <c r="X121" s="82">
        <f t="shared" si="13"/>
        <v>0</v>
      </c>
      <c r="Y121" s="82"/>
      <c r="Z121" s="47">
        <f t="shared" si="14"/>
        <v>-2972973</v>
      </c>
      <c r="AA121" s="97">
        <f t="shared" si="21"/>
        <v>-540540.54</v>
      </c>
      <c r="AB121" s="82">
        <f>K121+Z121+AA121</f>
        <v>26486486.460000001</v>
      </c>
      <c r="AC121" s="98">
        <v>0</v>
      </c>
      <c r="AD121" s="15"/>
    </row>
    <row r="122" spans="1:30" s="45" customFormat="1">
      <c r="A122" s="43">
        <f t="shared" si="15"/>
        <v>118</v>
      </c>
      <c r="B122" s="15" t="s">
        <v>555</v>
      </c>
      <c r="C122" s="22">
        <v>45827</v>
      </c>
      <c r="D122" s="14">
        <v>2025</v>
      </c>
      <c r="E122" s="44" t="s">
        <v>98</v>
      </c>
      <c r="F122" s="38" t="s">
        <v>556</v>
      </c>
      <c r="G122" s="38" t="s">
        <v>557</v>
      </c>
      <c r="H122" s="62">
        <v>281640000</v>
      </c>
      <c r="I122" s="62">
        <v>0</v>
      </c>
      <c r="J122" s="62">
        <v>30980400</v>
      </c>
      <c r="K122" s="60">
        <f t="shared" si="22"/>
        <v>312620400</v>
      </c>
      <c r="L122" s="75">
        <v>45859</v>
      </c>
      <c r="M122" s="83">
        <v>0</v>
      </c>
      <c r="N122" s="82">
        <v>0</v>
      </c>
      <c r="O122" s="82">
        <v>276007200</v>
      </c>
      <c r="P122" s="82">
        <v>0</v>
      </c>
      <c r="Q122" s="82">
        <v>0</v>
      </c>
      <c r="R122" s="82">
        <v>0</v>
      </c>
      <c r="S122" s="82">
        <v>0</v>
      </c>
      <c r="T122" s="82">
        <v>0</v>
      </c>
      <c r="U122" s="82">
        <v>0</v>
      </c>
      <c r="V122" s="82">
        <v>0</v>
      </c>
      <c r="W122" s="82">
        <v>36613200</v>
      </c>
      <c r="X122" s="82">
        <f t="shared" si="13"/>
        <v>0</v>
      </c>
      <c r="Y122" s="82"/>
      <c r="Z122" s="47">
        <f t="shared" si="14"/>
        <v>-30980400</v>
      </c>
      <c r="AA122" s="97">
        <f t="shared" si="21"/>
        <v>-5632800</v>
      </c>
      <c r="AB122" s="82">
        <f>K122+Z122+AA122</f>
        <v>276007200</v>
      </c>
      <c r="AC122" s="98">
        <v>0</v>
      </c>
      <c r="AD122" s="15"/>
    </row>
    <row r="123" spans="1:30" s="45" customFormat="1">
      <c r="A123" s="43">
        <f t="shared" si="15"/>
        <v>119</v>
      </c>
      <c r="B123" s="15" t="s">
        <v>558</v>
      </c>
      <c r="C123" s="22">
        <v>45828</v>
      </c>
      <c r="D123" s="14">
        <v>2025</v>
      </c>
      <c r="E123" s="44" t="s">
        <v>98</v>
      </c>
      <c r="F123" s="38" t="s">
        <v>476</v>
      </c>
      <c r="G123" s="38" t="s">
        <v>559</v>
      </c>
      <c r="H123" s="62">
        <v>49904186</v>
      </c>
      <c r="I123" s="62">
        <v>0</v>
      </c>
      <c r="J123" s="62">
        <v>5489460</v>
      </c>
      <c r="K123" s="60">
        <f t="shared" si="22"/>
        <v>55393646</v>
      </c>
      <c r="L123" s="75">
        <v>45859</v>
      </c>
      <c r="M123" s="83">
        <v>0</v>
      </c>
      <c r="N123" s="82">
        <v>0</v>
      </c>
      <c r="O123" s="82">
        <v>48906102</v>
      </c>
      <c r="P123" s="82">
        <v>0</v>
      </c>
      <c r="Q123" s="82">
        <v>0</v>
      </c>
      <c r="R123" s="82">
        <v>0</v>
      </c>
      <c r="S123" s="82">
        <v>0</v>
      </c>
      <c r="T123" s="82">
        <v>0</v>
      </c>
      <c r="U123" s="82">
        <v>0</v>
      </c>
      <c r="V123" s="82">
        <v>0</v>
      </c>
      <c r="W123" s="82">
        <v>6487544</v>
      </c>
      <c r="X123" s="82">
        <f t="shared" si="13"/>
        <v>0</v>
      </c>
      <c r="Y123" s="82"/>
      <c r="Z123" s="47">
        <f t="shared" si="14"/>
        <v>-5489460</v>
      </c>
      <c r="AA123" s="97">
        <f t="shared" si="21"/>
        <v>-998083.72</v>
      </c>
      <c r="AB123" s="82">
        <f>K123+Z123+AA123</f>
        <v>48906102.280000001</v>
      </c>
      <c r="AC123" s="98">
        <v>0</v>
      </c>
      <c r="AD123" s="15"/>
    </row>
    <row r="124" spans="1:30" s="45" customFormat="1">
      <c r="A124" s="43">
        <f t="shared" si="15"/>
        <v>120</v>
      </c>
      <c r="B124" s="15" t="s">
        <v>560</v>
      </c>
      <c r="C124" s="22">
        <v>45833</v>
      </c>
      <c r="D124" s="14">
        <v>2025</v>
      </c>
      <c r="E124" s="44" t="s">
        <v>68</v>
      </c>
      <c r="F124" s="44" t="s">
        <v>553</v>
      </c>
      <c r="G124" s="38" t="s">
        <v>561</v>
      </c>
      <c r="H124" s="62">
        <v>199017200</v>
      </c>
      <c r="I124" s="62">
        <v>19901719</v>
      </c>
      <c r="J124" s="62">
        <v>24081081</v>
      </c>
      <c r="K124" s="60">
        <f t="shared" si="22"/>
        <v>243000000</v>
      </c>
      <c r="L124" s="75">
        <v>45840</v>
      </c>
      <c r="M124" s="83">
        <v>0</v>
      </c>
      <c r="N124" s="82">
        <v>0</v>
      </c>
      <c r="O124" s="82">
        <v>0</v>
      </c>
      <c r="P124" s="82">
        <v>0</v>
      </c>
      <c r="Q124" s="82">
        <v>0</v>
      </c>
      <c r="R124" s="82">
        <v>214540541</v>
      </c>
      <c r="S124" s="82">
        <v>0</v>
      </c>
      <c r="T124" s="82">
        <v>0</v>
      </c>
      <c r="U124" s="82">
        <v>0</v>
      </c>
      <c r="V124" s="82">
        <v>0</v>
      </c>
      <c r="W124" s="82">
        <v>28459459</v>
      </c>
      <c r="X124" s="82">
        <f t="shared" si="13"/>
        <v>0</v>
      </c>
      <c r="Y124" s="82"/>
      <c r="Z124" s="47">
        <f t="shared" si="14"/>
        <v>-24081081</v>
      </c>
      <c r="AA124" s="97">
        <f t="shared" si="21"/>
        <v>-4378378.38</v>
      </c>
      <c r="AB124" s="82">
        <f>K124+Z124+AA124</f>
        <v>214540540.62</v>
      </c>
      <c r="AC124" s="98">
        <v>0</v>
      </c>
      <c r="AD124" s="15"/>
    </row>
    <row r="125" spans="1:30" s="45" customFormat="1">
      <c r="A125" s="43">
        <f t="shared" si="15"/>
        <v>121</v>
      </c>
      <c r="B125" s="15" t="s">
        <v>562</v>
      </c>
      <c r="C125" s="22">
        <v>45838</v>
      </c>
      <c r="D125" s="48">
        <v>2025</v>
      </c>
      <c r="E125" s="44" t="s">
        <v>101</v>
      </c>
      <c r="F125" s="44" t="s">
        <v>465</v>
      </c>
      <c r="G125" s="38" t="s">
        <v>563</v>
      </c>
      <c r="H125" s="62">
        <v>108131553</v>
      </c>
      <c r="I125" s="62">
        <v>0</v>
      </c>
      <c r="J125" s="62">
        <v>1189447</v>
      </c>
      <c r="K125" s="60">
        <f t="shared" si="22"/>
        <v>109321000</v>
      </c>
      <c r="L125" s="75">
        <v>45848</v>
      </c>
      <c r="M125" s="83">
        <v>0</v>
      </c>
      <c r="N125" s="82">
        <v>0</v>
      </c>
      <c r="O125" s="82">
        <v>107158369</v>
      </c>
      <c r="P125" s="82">
        <v>0</v>
      </c>
      <c r="Q125" s="82">
        <v>0</v>
      </c>
      <c r="R125" s="82">
        <v>0</v>
      </c>
      <c r="S125" s="82">
        <v>0</v>
      </c>
      <c r="T125" s="82">
        <v>0</v>
      </c>
      <c r="U125" s="82">
        <v>0</v>
      </c>
      <c r="V125" s="82">
        <v>0</v>
      </c>
      <c r="W125" s="82">
        <v>2162631</v>
      </c>
      <c r="X125" s="82">
        <f t="shared" si="13"/>
        <v>0</v>
      </c>
      <c r="Y125" s="82"/>
      <c r="Z125" s="47">
        <f t="shared" si="14"/>
        <v>-1189447</v>
      </c>
      <c r="AA125" s="97">
        <f t="shared" si="21"/>
        <v>-2162631.06</v>
      </c>
      <c r="AB125" s="82">
        <v>0</v>
      </c>
      <c r="AC125" s="98">
        <f>K125+AA125</f>
        <v>107158368.94</v>
      </c>
      <c r="AD125" s="15"/>
    </row>
    <row r="126" spans="1:30" s="120" customFormat="1">
      <c r="A126" s="107">
        <f t="shared" si="15"/>
        <v>122</v>
      </c>
      <c r="B126" s="50" t="s">
        <v>564</v>
      </c>
      <c r="C126" s="124">
        <v>45842</v>
      </c>
      <c r="D126" s="14">
        <v>2024</v>
      </c>
      <c r="E126" s="77" t="s">
        <v>19</v>
      </c>
      <c r="F126" s="77" t="s">
        <v>19</v>
      </c>
      <c r="G126" s="77" t="s">
        <v>1093</v>
      </c>
      <c r="H126" s="114">
        <v>0</v>
      </c>
      <c r="I126" s="114">
        <v>0</v>
      </c>
      <c r="J126" s="114">
        <v>0</v>
      </c>
      <c r="K126" s="108">
        <f t="shared" si="22"/>
        <v>0</v>
      </c>
      <c r="L126" s="115"/>
      <c r="M126" s="116">
        <v>0</v>
      </c>
      <c r="N126" s="105">
        <v>0</v>
      </c>
      <c r="O126" s="105">
        <v>0</v>
      </c>
      <c r="P126" s="105">
        <v>0</v>
      </c>
      <c r="Q126" s="105">
        <v>0</v>
      </c>
      <c r="R126" s="105">
        <v>0</v>
      </c>
      <c r="S126" s="105">
        <v>0</v>
      </c>
      <c r="T126" s="105">
        <v>0</v>
      </c>
      <c r="U126" s="105">
        <v>0</v>
      </c>
      <c r="V126" s="105">
        <v>0</v>
      </c>
      <c r="W126" s="105">
        <v>0</v>
      </c>
      <c r="X126" s="105">
        <f t="shared" si="13"/>
        <v>0</v>
      </c>
      <c r="Y126" s="105"/>
      <c r="Z126" s="109">
        <f t="shared" si="14"/>
        <v>0</v>
      </c>
      <c r="AA126" s="118">
        <f t="shared" si="21"/>
        <v>0</v>
      </c>
      <c r="AB126" s="105">
        <f>K126+Z126+AA126</f>
        <v>0</v>
      </c>
      <c r="AC126" s="119">
        <v>0</v>
      </c>
      <c r="AD126" s="50" t="s">
        <v>19</v>
      </c>
    </row>
    <row r="127" spans="1:30" s="45" customFormat="1">
      <c r="A127" s="43">
        <f t="shared" si="15"/>
        <v>123</v>
      </c>
      <c r="B127" s="15" t="s">
        <v>565</v>
      </c>
      <c r="C127" s="22">
        <v>45845</v>
      </c>
      <c r="D127" s="48">
        <v>2025</v>
      </c>
      <c r="E127" s="44" t="s">
        <v>101</v>
      </c>
      <c r="F127" s="38" t="s">
        <v>465</v>
      </c>
      <c r="G127" s="44" t="s">
        <v>566</v>
      </c>
      <c r="H127" s="62">
        <v>8234580</v>
      </c>
      <c r="I127" s="62">
        <v>0</v>
      </c>
      <c r="J127" s="62">
        <v>90580</v>
      </c>
      <c r="K127" s="60">
        <f t="shared" ref="K127:K150" si="23">SUM(H127:J127)</f>
        <v>8325160</v>
      </c>
      <c r="L127" s="75">
        <v>45848</v>
      </c>
      <c r="M127" s="83">
        <v>0</v>
      </c>
      <c r="N127" s="82">
        <v>0</v>
      </c>
      <c r="O127" s="82">
        <v>8325160</v>
      </c>
      <c r="P127" s="82">
        <v>0</v>
      </c>
      <c r="Q127" s="82">
        <v>0</v>
      </c>
      <c r="R127" s="82">
        <v>0</v>
      </c>
      <c r="S127" s="82">
        <v>0</v>
      </c>
      <c r="T127" s="82">
        <v>0</v>
      </c>
      <c r="U127" s="82">
        <v>0</v>
      </c>
      <c r="V127" s="82">
        <v>0</v>
      </c>
      <c r="W127" s="82">
        <v>0</v>
      </c>
      <c r="X127" s="82">
        <f t="shared" si="13"/>
        <v>0</v>
      </c>
      <c r="Y127" s="82"/>
      <c r="Z127" s="47">
        <f t="shared" si="14"/>
        <v>-90580</v>
      </c>
      <c r="AA127" s="97">
        <v>0</v>
      </c>
      <c r="AB127" s="82">
        <v>0</v>
      </c>
      <c r="AC127" s="98">
        <f t="shared" ref="AC127:AC151" si="24">K127+AA127</f>
        <v>8325160</v>
      </c>
      <c r="AD127" s="38" t="s">
        <v>567</v>
      </c>
    </row>
    <row r="128" spans="1:30" s="45" customFormat="1">
      <c r="A128" s="43">
        <f t="shared" si="15"/>
        <v>124</v>
      </c>
      <c r="B128" s="15" t="s">
        <v>568</v>
      </c>
      <c r="C128" s="22">
        <v>45845</v>
      </c>
      <c r="D128" s="48">
        <v>2025</v>
      </c>
      <c r="E128" s="44" t="s">
        <v>101</v>
      </c>
      <c r="F128" s="38" t="s">
        <v>465</v>
      </c>
      <c r="G128" s="44" t="s">
        <v>569</v>
      </c>
      <c r="H128" s="62">
        <v>22632818</v>
      </c>
      <c r="I128" s="62">
        <v>0</v>
      </c>
      <c r="J128" s="62">
        <v>248961</v>
      </c>
      <c r="K128" s="60">
        <f t="shared" si="23"/>
        <v>22881779</v>
      </c>
      <c r="L128" s="75">
        <v>45848</v>
      </c>
      <c r="M128" s="83">
        <v>0</v>
      </c>
      <c r="N128" s="82">
        <v>0</v>
      </c>
      <c r="O128" s="82">
        <v>22881779</v>
      </c>
      <c r="P128" s="82">
        <v>0</v>
      </c>
      <c r="Q128" s="82">
        <v>0</v>
      </c>
      <c r="R128" s="82">
        <v>0</v>
      </c>
      <c r="S128" s="82">
        <v>0</v>
      </c>
      <c r="T128" s="82">
        <v>0</v>
      </c>
      <c r="U128" s="82">
        <v>0</v>
      </c>
      <c r="V128" s="82">
        <v>0</v>
      </c>
      <c r="W128" s="82">
        <v>0</v>
      </c>
      <c r="X128" s="82">
        <f t="shared" si="13"/>
        <v>0</v>
      </c>
      <c r="Y128" s="82"/>
      <c r="Z128" s="47">
        <f t="shared" si="14"/>
        <v>-248961</v>
      </c>
      <c r="AA128" s="97">
        <v>0</v>
      </c>
      <c r="AB128" s="82">
        <v>0</v>
      </c>
      <c r="AC128" s="98">
        <f t="shared" si="24"/>
        <v>22881779</v>
      </c>
      <c r="AD128" s="38" t="s">
        <v>567</v>
      </c>
    </row>
    <row r="129" spans="1:30" s="45" customFormat="1">
      <c r="A129" s="43">
        <f t="shared" si="15"/>
        <v>125</v>
      </c>
      <c r="B129" s="15" t="s">
        <v>570</v>
      </c>
      <c r="C129" s="22">
        <v>45845</v>
      </c>
      <c r="D129" s="48">
        <v>2025</v>
      </c>
      <c r="E129" s="44" t="s">
        <v>101</v>
      </c>
      <c r="F129" s="38" t="s">
        <v>465</v>
      </c>
      <c r="G129" s="44" t="s">
        <v>571</v>
      </c>
      <c r="H129" s="62">
        <v>1326500</v>
      </c>
      <c r="I129" s="62">
        <v>0</v>
      </c>
      <c r="J129" s="62">
        <v>14592</v>
      </c>
      <c r="K129" s="60">
        <f t="shared" si="23"/>
        <v>1341092</v>
      </c>
      <c r="L129" s="75">
        <v>45848</v>
      </c>
      <c r="M129" s="83">
        <v>0</v>
      </c>
      <c r="N129" s="82">
        <v>0</v>
      </c>
      <c r="O129" s="82">
        <v>1341092</v>
      </c>
      <c r="P129" s="82">
        <v>0</v>
      </c>
      <c r="Q129" s="82">
        <v>0</v>
      </c>
      <c r="R129" s="82">
        <v>0</v>
      </c>
      <c r="S129" s="82">
        <v>0</v>
      </c>
      <c r="T129" s="82">
        <v>0</v>
      </c>
      <c r="U129" s="82">
        <v>0</v>
      </c>
      <c r="V129" s="82">
        <v>0</v>
      </c>
      <c r="W129" s="82">
        <v>0</v>
      </c>
      <c r="X129" s="82">
        <f t="shared" si="13"/>
        <v>0</v>
      </c>
      <c r="Y129" s="82"/>
      <c r="Z129" s="47">
        <f t="shared" si="14"/>
        <v>-14592</v>
      </c>
      <c r="AA129" s="97">
        <v>0</v>
      </c>
      <c r="AB129" s="82">
        <v>0</v>
      </c>
      <c r="AC129" s="98">
        <f t="shared" si="24"/>
        <v>1341092</v>
      </c>
      <c r="AD129" s="38" t="s">
        <v>567</v>
      </c>
    </row>
    <row r="130" spans="1:30" s="45" customFormat="1">
      <c r="A130" s="43">
        <f t="shared" si="15"/>
        <v>126</v>
      </c>
      <c r="B130" s="15" t="s">
        <v>572</v>
      </c>
      <c r="C130" s="22">
        <v>45845</v>
      </c>
      <c r="D130" s="48">
        <v>2025</v>
      </c>
      <c r="E130" s="44" t="s">
        <v>101</v>
      </c>
      <c r="F130" s="38" t="s">
        <v>465</v>
      </c>
      <c r="G130" s="44" t="s">
        <v>573</v>
      </c>
      <c r="H130" s="62">
        <v>1326500</v>
      </c>
      <c r="I130" s="62">
        <v>0</v>
      </c>
      <c r="J130" s="62">
        <v>14592</v>
      </c>
      <c r="K130" s="60">
        <f t="shared" si="23"/>
        <v>1341092</v>
      </c>
      <c r="L130" s="75">
        <v>45848</v>
      </c>
      <c r="M130" s="83">
        <v>0</v>
      </c>
      <c r="N130" s="82">
        <v>0</v>
      </c>
      <c r="O130" s="82">
        <v>1341092</v>
      </c>
      <c r="P130" s="82">
        <v>0</v>
      </c>
      <c r="Q130" s="82">
        <v>0</v>
      </c>
      <c r="R130" s="82">
        <v>0</v>
      </c>
      <c r="S130" s="82">
        <v>0</v>
      </c>
      <c r="T130" s="82">
        <v>0</v>
      </c>
      <c r="U130" s="82">
        <v>0</v>
      </c>
      <c r="V130" s="82">
        <v>0</v>
      </c>
      <c r="W130" s="82">
        <v>0</v>
      </c>
      <c r="X130" s="82">
        <f t="shared" si="13"/>
        <v>0</v>
      </c>
      <c r="Y130" s="82"/>
      <c r="Z130" s="47">
        <f t="shared" si="14"/>
        <v>-14592</v>
      </c>
      <c r="AA130" s="97">
        <v>0</v>
      </c>
      <c r="AB130" s="82">
        <v>0</v>
      </c>
      <c r="AC130" s="98">
        <f t="shared" si="24"/>
        <v>1341092</v>
      </c>
      <c r="AD130" s="38" t="s">
        <v>567</v>
      </c>
    </row>
    <row r="131" spans="1:30" s="45" customFormat="1">
      <c r="A131" s="43">
        <f t="shared" si="15"/>
        <v>127</v>
      </c>
      <c r="B131" s="15" t="s">
        <v>574</v>
      </c>
      <c r="C131" s="22">
        <v>45845</v>
      </c>
      <c r="D131" s="48">
        <v>2025</v>
      </c>
      <c r="E131" s="44" t="s">
        <v>101</v>
      </c>
      <c r="F131" s="38" t="s">
        <v>465</v>
      </c>
      <c r="G131" s="44" t="s">
        <v>575</v>
      </c>
      <c r="H131" s="62">
        <v>2653000</v>
      </c>
      <c r="I131" s="62">
        <v>0</v>
      </c>
      <c r="J131" s="62">
        <v>29183</v>
      </c>
      <c r="K131" s="60">
        <f t="shared" si="23"/>
        <v>2682183</v>
      </c>
      <c r="L131" s="75">
        <v>45848</v>
      </c>
      <c r="M131" s="83">
        <v>0</v>
      </c>
      <c r="N131" s="82">
        <v>0</v>
      </c>
      <c r="O131" s="82">
        <v>2682183</v>
      </c>
      <c r="P131" s="82">
        <v>0</v>
      </c>
      <c r="Q131" s="82">
        <v>0</v>
      </c>
      <c r="R131" s="82">
        <v>0</v>
      </c>
      <c r="S131" s="82">
        <v>0</v>
      </c>
      <c r="T131" s="82">
        <v>0</v>
      </c>
      <c r="U131" s="82">
        <v>0</v>
      </c>
      <c r="V131" s="82">
        <v>0</v>
      </c>
      <c r="W131" s="82">
        <v>0</v>
      </c>
      <c r="X131" s="82">
        <f t="shared" si="13"/>
        <v>0</v>
      </c>
      <c r="Y131" s="82"/>
      <c r="Z131" s="47">
        <f t="shared" si="14"/>
        <v>-29183</v>
      </c>
      <c r="AA131" s="97">
        <v>0</v>
      </c>
      <c r="AB131" s="82">
        <v>0</v>
      </c>
      <c r="AC131" s="98">
        <f t="shared" si="24"/>
        <v>2682183</v>
      </c>
      <c r="AD131" s="38" t="s">
        <v>567</v>
      </c>
    </row>
    <row r="132" spans="1:30" s="45" customFormat="1">
      <c r="A132" s="43">
        <f t="shared" si="15"/>
        <v>128</v>
      </c>
      <c r="B132" s="15" t="s">
        <v>576</v>
      </c>
      <c r="C132" s="22">
        <v>45845</v>
      </c>
      <c r="D132" s="48">
        <v>2025</v>
      </c>
      <c r="E132" s="44" t="s">
        <v>101</v>
      </c>
      <c r="F132" s="38" t="s">
        <v>465</v>
      </c>
      <c r="G132" s="44" t="s">
        <v>577</v>
      </c>
      <c r="H132" s="62">
        <v>1326500</v>
      </c>
      <c r="I132" s="62">
        <v>0</v>
      </c>
      <c r="J132" s="62">
        <v>14592</v>
      </c>
      <c r="K132" s="60">
        <f t="shared" si="23"/>
        <v>1341092</v>
      </c>
      <c r="L132" s="75">
        <v>45848</v>
      </c>
      <c r="M132" s="83">
        <v>0</v>
      </c>
      <c r="N132" s="82">
        <v>0</v>
      </c>
      <c r="O132" s="82">
        <v>1341092</v>
      </c>
      <c r="P132" s="82">
        <v>0</v>
      </c>
      <c r="Q132" s="82">
        <v>0</v>
      </c>
      <c r="R132" s="82">
        <v>0</v>
      </c>
      <c r="S132" s="82">
        <v>0</v>
      </c>
      <c r="T132" s="82">
        <v>0</v>
      </c>
      <c r="U132" s="82">
        <v>0</v>
      </c>
      <c r="V132" s="82">
        <v>0</v>
      </c>
      <c r="W132" s="82">
        <v>0</v>
      </c>
      <c r="X132" s="82">
        <f t="shared" si="13"/>
        <v>0</v>
      </c>
      <c r="Y132" s="82"/>
      <c r="Z132" s="47">
        <f t="shared" si="14"/>
        <v>-14592</v>
      </c>
      <c r="AA132" s="97">
        <v>0</v>
      </c>
      <c r="AB132" s="82">
        <v>0</v>
      </c>
      <c r="AC132" s="98">
        <f t="shared" si="24"/>
        <v>1341092</v>
      </c>
      <c r="AD132" s="38" t="s">
        <v>567</v>
      </c>
    </row>
    <row r="133" spans="1:30" s="45" customFormat="1">
      <c r="A133" s="43">
        <f t="shared" si="15"/>
        <v>129</v>
      </c>
      <c r="B133" s="15" t="s">
        <v>578</v>
      </c>
      <c r="C133" s="22">
        <v>45845</v>
      </c>
      <c r="D133" s="48">
        <v>2025</v>
      </c>
      <c r="E133" s="44" t="s">
        <v>101</v>
      </c>
      <c r="F133" s="38" t="s">
        <v>465</v>
      </c>
      <c r="G133" s="44" t="s">
        <v>579</v>
      </c>
      <c r="H133" s="62">
        <v>1326500</v>
      </c>
      <c r="I133" s="62">
        <v>0</v>
      </c>
      <c r="J133" s="62">
        <v>14592</v>
      </c>
      <c r="K133" s="60">
        <f t="shared" si="23"/>
        <v>1341092</v>
      </c>
      <c r="L133" s="75">
        <v>45848</v>
      </c>
      <c r="M133" s="83">
        <v>0</v>
      </c>
      <c r="N133" s="82">
        <v>0</v>
      </c>
      <c r="O133" s="82">
        <v>1341092</v>
      </c>
      <c r="P133" s="82">
        <v>0</v>
      </c>
      <c r="Q133" s="82">
        <v>0</v>
      </c>
      <c r="R133" s="82">
        <v>0</v>
      </c>
      <c r="S133" s="82">
        <v>0</v>
      </c>
      <c r="T133" s="82">
        <v>0</v>
      </c>
      <c r="U133" s="82">
        <v>0</v>
      </c>
      <c r="V133" s="82">
        <v>0</v>
      </c>
      <c r="W133" s="82">
        <v>0</v>
      </c>
      <c r="X133" s="82">
        <f t="shared" ref="X133:X196" si="25">K133-SUM(M133:W133)</f>
        <v>0</v>
      </c>
      <c r="Y133" s="82"/>
      <c r="Z133" s="47">
        <f t="shared" ref="Z133:Z196" si="26">-J133</f>
        <v>-14592</v>
      </c>
      <c r="AA133" s="97">
        <v>0</v>
      </c>
      <c r="AB133" s="82">
        <v>0</v>
      </c>
      <c r="AC133" s="98">
        <f t="shared" si="24"/>
        <v>1341092</v>
      </c>
      <c r="AD133" s="38" t="s">
        <v>567</v>
      </c>
    </row>
    <row r="134" spans="1:30" s="45" customFormat="1">
      <c r="A134" s="43">
        <f t="shared" si="15"/>
        <v>130</v>
      </c>
      <c r="B134" s="15" t="s">
        <v>580</v>
      </c>
      <c r="C134" s="22">
        <v>45845</v>
      </c>
      <c r="D134" s="48">
        <v>2025</v>
      </c>
      <c r="E134" s="44" t="s">
        <v>101</v>
      </c>
      <c r="F134" s="38" t="s">
        <v>465</v>
      </c>
      <c r="G134" s="44" t="s">
        <v>581</v>
      </c>
      <c r="H134" s="62">
        <v>1326500</v>
      </c>
      <c r="I134" s="62">
        <v>0</v>
      </c>
      <c r="J134" s="62">
        <v>14592</v>
      </c>
      <c r="K134" s="60">
        <f t="shared" si="23"/>
        <v>1341092</v>
      </c>
      <c r="L134" s="75">
        <v>45848</v>
      </c>
      <c r="M134" s="83">
        <v>0</v>
      </c>
      <c r="N134" s="82">
        <v>0</v>
      </c>
      <c r="O134" s="82">
        <v>1341092</v>
      </c>
      <c r="P134" s="82">
        <v>0</v>
      </c>
      <c r="Q134" s="82">
        <v>0</v>
      </c>
      <c r="R134" s="82">
        <v>0</v>
      </c>
      <c r="S134" s="82">
        <v>0</v>
      </c>
      <c r="T134" s="82">
        <v>0</v>
      </c>
      <c r="U134" s="82">
        <v>0</v>
      </c>
      <c r="V134" s="82">
        <v>0</v>
      </c>
      <c r="W134" s="82">
        <v>0</v>
      </c>
      <c r="X134" s="82">
        <f t="shared" si="25"/>
        <v>0</v>
      </c>
      <c r="Y134" s="82"/>
      <c r="Z134" s="47">
        <f t="shared" si="26"/>
        <v>-14592</v>
      </c>
      <c r="AA134" s="97">
        <v>0</v>
      </c>
      <c r="AB134" s="82">
        <v>0</v>
      </c>
      <c r="AC134" s="98">
        <f t="shared" si="24"/>
        <v>1341092</v>
      </c>
      <c r="AD134" s="38" t="s">
        <v>567</v>
      </c>
    </row>
    <row r="135" spans="1:30" s="45" customFormat="1">
      <c r="A135" s="43">
        <f t="shared" ref="A135:A198" si="27">A134+1</f>
        <v>131</v>
      </c>
      <c r="B135" s="15" t="s">
        <v>582</v>
      </c>
      <c r="C135" s="22">
        <v>45845</v>
      </c>
      <c r="D135" s="48">
        <v>2025</v>
      </c>
      <c r="E135" s="44" t="s">
        <v>101</v>
      </c>
      <c r="F135" s="38" t="s">
        <v>465</v>
      </c>
      <c r="G135" s="44" t="s">
        <v>583</v>
      </c>
      <c r="H135" s="62">
        <v>1326500</v>
      </c>
      <c r="I135" s="62">
        <v>0</v>
      </c>
      <c r="J135" s="62">
        <v>14592</v>
      </c>
      <c r="K135" s="60">
        <f t="shared" si="23"/>
        <v>1341092</v>
      </c>
      <c r="L135" s="75">
        <v>45848</v>
      </c>
      <c r="M135" s="83">
        <v>0</v>
      </c>
      <c r="N135" s="82">
        <v>0</v>
      </c>
      <c r="O135" s="82">
        <v>1341092</v>
      </c>
      <c r="P135" s="82">
        <v>0</v>
      </c>
      <c r="Q135" s="82">
        <v>0</v>
      </c>
      <c r="R135" s="82">
        <v>0</v>
      </c>
      <c r="S135" s="82">
        <v>0</v>
      </c>
      <c r="T135" s="82">
        <v>0</v>
      </c>
      <c r="U135" s="82">
        <v>0</v>
      </c>
      <c r="V135" s="82">
        <v>0</v>
      </c>
      <c r="W135" s="82">
        <v>0</v>
      </c>
      <c r="X135" s="82">
        <f t="shared" si="25"/>
        <v>0</v>
      </c>
      <c r="Y135" s="82"/>
      <c r="Z135" s="47">
        <f t="shared" si="26"/>
        <v>-14592</v>
      </c>
      <c r="AA135" s="97">
        <v>0</v>
      </c>
      <c r="AB135" s="82">
        <v>0</v>
      </c>
      <c r="AC135" s="98">
        <f t="shared" si="24"/>
        <v>1341092</v>
      </c>
      <c r="AD135" s="38" t="s">
        <v>567</v>
      </c>
    </row>
    <row r="136" spans="1:30" s="45" customFormat="1">
      <c r="A136" s="43">
        <f t="shared" si="27"/>
        <v>132</v>
      </c>
      <c r="B136" s="15" t="s">
        <v>584</v>
      </c>
      <c r="C136" s="22">
        <v>45845</v>
      </c>
      <c r="D136" s="48">
        <v>2025</v>
      </c>
      <c r="E136" s="44" t="s">
        <v>101</v>
      </c>
      <c r="F136" s="38" t="s">
        <v>465</v>
      </c>
      <c r="G136" s="44" t="s">
        <v>585</v>
      </c>
      <c r="H136" s="62">
        <v>1326500</v>
      </c>
      <c r="I136" s="62">
        <v>0</v>
      </c>
      <c r="J136" s="62">
        <v>14592</v>
      </c>
      <c r="K136" s="60">
        <f t="shared" si="23"/>
        <v>1341092</v>
      </c>
      <c r="L136" s="75">
        <v>45848</v>
      </c>
      <c r="M136" s="83">
        <v>0</v>
      </c>
      <c r="N136" s="82">
        <v>0</v>
      </c>
      <c r="O136" s="82">
        <v>1341092</v>
      </c>
      <c r="P136" s="82">
        <v>0</v>
      </c>
      <c r="Q136" s="82">
        <v>0</v>
      </c>
      <c r="R136" s="82">
        <v>0</v>
      </c>
      <c r="S136" s="82">
        <v>0</v>
      </c>
      <c r="T136" s="82">
        <v>0</v>
      </c>
      <c r="U136" s="82">
        <v>0</v>
      </c>
      <c r="V136" s="82">
        <v>0</v>
      </c>
      <c r="W136" s="82">
        <v>0</v>
      </c>
      <c r="X136" s="82">
        <f t="shared" si="25"/>
        <v>0</v>
      </c>
      <c r="Y136" s="82"/>
      <c r="Z136" s="47">
        <f t="shared" si="26"/>
        <v>-14592</v>
      </c>
      <c r="AA136" s="97">
        <v>0</v>
      </c>
      <c r="AB136" s="82">
        <v>0</v>
      </c>
      <c r="AC136" s="98">
        <f t="shared" si="24"/>
        <v>1341092</v>
      </c>
      <c r="AD136" s="38" t="s">
        <v>567</v>
      </c>
    </row>
    <row r="137" spans="1:30" s="45" customFormat="1">
      <c r="A137" s="43">
        <f t="shared" si="27"/>
        <v>133</v>
      </c>
      <c r="B137" s="15" t="s">
        <v>586</v>
      </c>
      <c r="C137" s="22">
        <v>45845</v>
      </c>
      <c r="D137" s="48">
        <v>2025</v>
      </c>
      <c r="E137" s="44" t="s">
        <v>101</v>
      </c>
      <c r="F137" s="38" t="s">
        <v>465</v>
      </c>
      <c r="G137" s="44" t="s">
        <v>587</v>
      </c>
      <c r="H137" s="62">
        <v>1326500</v>
      </c>
      <c r="I137" s="62">
        <v>0</v>
      </c>
      <c r="J137" s="62">
        <v>14592</v>
      </c>
      <c r="K137" s="60">
        <f t="shared" si="23"/>
        <v>1341092</v>
      </c>
      <c r="L137" s="75">
        <v>45848</v>
      </c>
      <c r="M137" s="83">
        <v>0</v>
      </c>
      <c r="N137" s="82">
        <v>0</v>
      </c>
      <c r="O137" s="82">
        <v>1341092</v>
      </c>
      <c r="P137" s="82">
        <v>0</v>
      </c>
      <c r="Q137" s="82">
        <v>0</v>
      </c>
      <c r="R137" s="82">
        <v>0</v>
      </c>
      <c r="S137" s="82">
        <v>0</v>
      </c>
      <c r="T137" s="82">
        <v>0</v>
      </c>
      <c r="U137" s="82">
        <v>0</v>
      </c>
      <c r="V137" s="82">
        <v>0</v>
      </c>
      <c r="W137" s="82">
        <v>0</v>
      </c>
      <c r="X137" s="82">
        <f t="shared" si="25"/>
        <v>0</v>
      </c>
      <c r="Y137" s="82"/>
      <c r="Z137" s="47">
        <f t="shared" si="26"/>
        <v>-14592</v>
      </c>
      <c r="AA137" s="97">
        <v>0</v>
      </c>
      <c r="AB137" s="82">
        <v>0</v>
      </c>
      <c r="AC137" s="98">
        <f t="shared" si="24"/>
        <v>1341092</v>
      </c>
      <c r="AD137" s="38" t="s">
        <v>567</v>
      </c>
    </row>
    <row r="138" spans="1:30" s="45" customFormat="1">
      <c r="A138" s="43">
        <f t="shared" si="27"/>
        <v>134</v>
      </c>
      <c r="B138" s="15" t="s">
        <v>588</v>
      </c>
      <c r="C138" s="22">
        <v>45845</v>
      </c>
      <c r="D138" s="48">
        <v>2025</v>
      </c>
      <c r="E138" s="44" t="s">
        <v>101</v>
      </c>
      <c r="F138" s="38" t="s">
        <v>465</v>
      </c>
      <c r="G138" s="44" t="s">
        <v>589</v>
      </c>
      <c r="H138" s="62">
        <v>1326500</v>
      </c>
      <c r="I138" s="62">
        <v>0</v>
      </c>
      <c r="J138" s="62">
        <v>14592</v>
      </c>
      <c r="K138" s="60">
        <f t="shared" si="23"/>
        <v>1341092</v>
      </c>
      <c r="L138" s="75">
        <v>45848</v>
      </c>
      <c r="M138" s="83">
        <v>0</v>
      </c>
      <c r="N138" s="82">
        <v>0</v>
      </c>
      <c r="O138" s="82">
        <v>1341092</v>
      </c>
      <c r="P138" s="82">
        <v>0</v>
      </c>
      <c r="Q138" s="82">
        <v>0</v>
      </c>
      <c r="R138" s="82">
        <v>0</v>
      </c>
      <c r="S138" s="82">
        <v>0</v>
      </c>
      <c r="T138" s="82">
        <v>0</v>
      </c>
      <c r="U138" s="82">
        <v>0</v>
      </c>
      <c r="V138" s="82">
        <v>0</v>
      </c>
      <c r="W138" s="82">
        <v>0</v>
      </c>
      <c r="X138" s="82">
        <f t="shared" si="25"/>
        <v>0</v>
      </c>
      <c r="Y138" s="82"/>
      <c r="Z138" s="47">
        <f t="shared" si="26"/>
        <v>-14592</v>
      </c>
      <c r="AA138" s="97">
        <v>0</v>
      </c>
      <c r="AB138" s="82">
        <v>0</v>
      </c>
      <c r="AC138" s="98">
        <f t="shared" si="24"/>
        <v>1341092</v>
      </c>
      <c r="AD138" s="38" t="s">
        <v>567</v>
      </c>
    </row>
    <row r="139" spans="1:30" s="45" customFormat="1">
      <c r="A139" s="43">
        <f t="shared" si="27"/>
        <v>135</v>
      </c>
      <c r="B139" s="15" t="s">
        <v>590</v>
      </c>
      <c r="C139" s="22">
        <v>45845</v>
      </c>
      <c r="D139" s="48">
        <v>2025</v>
      </c>
      <c r="E139" s="44" t="s">
        <v>101</v>
      </c>
      <c r="F139" s="38" t="s">
        <v>465</v>
      </c>
      <c r="G139" s="44" t="s">
        <v>591</v>
      </c>
      <c r="H139" s="62">
        <v>1326500</v>
      </c>
      <c r="I139" s="62">
        <v>0</v>
      </c>
      <c r="J139" s="62">
        <v>14592</v>
      </c>
      <c r="K139" s="60">
        <f t="shared" si="23"/>
        <v>1341092</v>
      </c>
      <c r="L139" s="75">
        <v>45848</v>
      </c>
      <c r="M139" s="83">
        <v>0</v>
      </c>
      <c r="N139" s="82">
        <v>0</v>
      </c>
      <c r="O139" s="82">
        <v>1341092</v>
      </c>
      <c r="P139" s="82">
        <v>0</v>
      </c>
      <c r="Q139" s="82">
        <v>0</v>
      </c>
      <c r="R139" s="82">
        <v>0</v>
      </c>
      <c r="S139" s="82">
        <v>0</v>
      </c>
      <c r="T139" s="82">
        <v>0</v>
      </c>
      <c r="U139" s="82">
        <v>0</v>
      </c>
      <c r="V139" s="82">
        <v>0</v>
      </c>
      <c r="W139" s="82">
        <v>0</v>
      </c>
      <c r="X139" s="82">
        <f t="shared" si="25"/>
        <v>0</v>
      </c>
      <c r="Y139" s="82"/>
      <c r="Z139" s="47">
        <f t="shared" si="26"/>
        <v>-14592</v>
      </c>
      <c r="AA139" s="97">
        <v>0</v>
      </c>
      <c r="AB139" s="82">
        <v>0</v>
      </c>
      <c r="AC139" s="98">
        <f t="shared" si="24"/>
        <v>1341092</v>
      </c>
      <c r="AD139" s="38" t="s">
        <v>567</v>
      </c>
    </row>
    <row r="140" spans="1:30" s="45" customFormat="1">
      <c r="A140" s="43">
        <f t="shared" si="27"/>
        <v>136</v>
      </c>
      <c r="B140" s="15" t="s">
        <v>592</v>
      </c>
      <c r="C140" s="22">
        <v>45845</v>
      </c>
      <c r="D140" s="48">
        <v>2025</v>
      </c>
      <c r="E140" s="44" t="s">
        <v>101</v>
      </c>
      <c r="F140" s="38" t="s">
        <v>465</v>
      </c>
      <c r="G140" s="44" t="s">
        <v>593</v>
      </c>
      <c r="H140" s="62">
        <v>6400860</v>
      </c>
      <c r="I140" s="62">
        <v>0</v>
      </c>
      <c r="J140" s="62">
        <v>70409</v>
      </c>
      <c r="K140" s="60">
        <f t="shared" si="23"/>
        <v>6471269</v>
      </c>
      <c r="L140" s="75">
        <v>45848</v>
      </c>
      <c r="M140" s="83">
        <v>0</v>
      </c>
      <c r="N140" s="82">
        <v>0</v>
      </c>
      <c r="O140" s="82">
        <v>6471269</v>
      </c>
      <c r="P140" s="82">
        <v>0</v>
      </c>
      <c r="Q140" s="82">
        <v>0</v>
      </c>
      <c r="R140" s="82">
        <v>0</v>
      </c>
      <c r="S140" s="82">
        <v>0</v>
      </c>
      <c r="T140" s="82">
        <v>0</v>
      </c>
      <c r="U140" s="82">
        <v>0</v>
      </c>
      <c r="V140" s="82">
        <v>0</v>
      </c>
      <c r="W140" s="82">
        <v>0</v>
      </c>
      <c r="X140" s="82">
        <f t="shared" si="25"/>
        <v>0</v>
      </c>
      <c r="Y140" s="82"/>
      <c r="Z140" s="47">
        <f t="shared" si="26"/>
        <v>-70409</v>
      </c>
      <c r="AA140" s="97">
        <v>0</v>
      </c>
      <c r="AB140" s="82">
        <v>0</v>
      </c>
      <c r="AC140" s="98">
        <f t="shared" si="24"/>
        <v>6471269</v>
      </c>
      <c r="AD140" s="38" t="s">
        <v>567</v>
      </c>
    </row>
    <row r="141" spans="1:30" s="45" customFormat="1">
      <c r="A141" s="43">
        <f t="shared" si="27"/>
        <v>137</v>
      </c>
      <c r="B141" s="15" t="s">
        <v>594</v>
      </c>
      <c r="C141" s="22">
        <v>45845</v>
      </c>
      <c r="D141" s="48">
        <v>2025</v>
      </c>
      <c r="E141" s="44" t="s">
        <v>101</v>
      </c>
      <c r="F141" s="38" t="s">
        <v>465</v>
      </c>
      <c r="G141" s="44" t="s">
        <v>595</v>
      </c>
      <c r="H141" s="62">
        <v>1200430</v>
      </c>
      <c r="I141" s="62">
        <v>0</v>
      </c>
      <c r="J141" s="62">
        <v>13205</v>
      </c>
      <c r="K141" s="60">
        <f t="shared" si="23"/>
        <v>1213635</v>
      </c>
      <c r="L141" s="75">
        <v>45848</v>
      </c>
      <c r="M141" s="83">
        <v>0</v>
      </c>
      <c r="N141" s="82">
        <v>0</v>
      </c>
      <c r="O141" s="82">
        <v>1213635</v>
      </c>
      <c r="P141" s="82">
        <v>0</v>
      </c>
      <c r="Q141" s="82">
        <v>0</v>
      </c>
      <c r="R141" s="82">
        <v>0</v>
      </c>
      <c r="S141" s="82">
        <v>0</v>
      </c>
      <c r="T141" s="82">
        <v>0</v>
      </c>
      <c r="U141" s="82">
        <v>0</v>
      </c>
      <c r="V141" s="82">
        <v>0</v>
      </c>
      <c r="W141" s="82">
        <v>0</v>
      </c>
      <c r="X141" s="82">
        <f t="shared" si="25"/>
        <v>0</v>
      </c>
      <c r="Y141" s="82"/>
      <c r="Z141" s="47">
        <f t="shared" si="26"/>
        <v>-13205</v>
      </c>
      <c r="AA141" s="97">
        <v>0</v>
      </c>
      <c r="AB141" s="82">
        <v>0</v>
      </c>
      <c r="AC141" s="98">
        <f t="shared" si="24"/>
        <v>1213635</v>
      </c>
      <c r="AD141" s="38" t="s">
        <v>567</v>
      </c>
    </row>
    <row r="142" spans="1:30" s="45" customFormat="1">
      <c r="A142" s="43">
        <f t="shared" si="27"/>
        <v>138</v>
      </c>
      <c r="B142" s="15" t="s">
        <v>596</v>
      </c>
      <c r="C142" s="22">
        <v>45845</v>
      </c>
      <c r="D142" s="48">
        <v>2025</v>
      </c>
      <c r="E142" s="44" t="s">
        <v>101</v>
      </c>
      <c r="F142" s="38" t="s">
        <v>465</v>
      </c>
      <c r="G142" s="44" t="s">
        <v>597</v>
      </c>
      <c r="H142" s="62">
        <v>1200430</v>
      </c>
      <c r="I142" s="62">
        <v>0</v>
      </c>
      <c r="J142" s="62">
        <v>13205</v>
      </c>
      <c r="K142" s="60">
        <f t="shared" si="23"/>
        <v>1213635</v>
      </c>
      <c r="L142" s="75">
        <v>45848</v>
      </c>
      <c r="M142" s="83">
        <v>0</v>
      </c>
      <c r="N142" s="82">
        <v>0</v>
      </c>
      <c r="O142" s="82">
        <v>1213635</v>
      </c>
      <c r="P142" s="82">
        <v>0</v>
      </c>
      <c r="Q142" s="82">
        <v>0</v>
      </c>
      <c r="R142" s="82">
        <v>0</v>
      </c>
      <c r="S142" s="82">
        <v>0</v>
      </c>
      <c r="T142" s="82">
        <v>0</v>
      </c>
      <c r="U142" s="82">
        <v>0</v>
      </c>
      <c r="V142" s="82">
        <v>0</v>
      </c>
      <c r="W142" s="82">
        <v>0</v>
      </c>
      <c r="X142" s="82">
        <f t="shared" si="25"/>
        <v>0</v>
      </c>
      <c r="Y142" s="82"/>
      <c r="Z142" s="47">
        <f t="shared" si="26"/>
        <v>-13205</v>
      </c>
      <c r="AA142" s="97">
        <v>0</v>
      </c>
      <c r="AB142" s="82">
        <v>0</v>
      </c>
      <c r="AC142" s="98">
        <f t="shared" si="24"/>
        <v>1213635</v>
      </c>
      <c r="AD142" s="38" t="s">
        <v>567</v>
      </c>
    </row>
    <row r="143" spans="1:30" s="45" customFormat="1">
      <c r="A143" s="43">
        <f t="shared" si="27"/>
        <v>139</v>
      </c>
      <c r="B143" s="15" t="s">
        <v>598</v>
      </c>
      <c r="C143" s="22">
        <v>45845</v>
      </c>
      <c r="D143" s="48">
        <v>2025</v>
      </c>
      <c r="E143" s="44" t="s">
        <v>101</v>
      </c>
      <c r="F143" s="38" t="s">
        <v>465</v>
      </c>
      <c r="G143" s="44" t="s">
        <v>599</v>
      </c>
      <c r="H143" s="62">
        <v>1200430</v>
      </c>
      <c r="I143" s="62">
        <v>0</v>
      </c>
      <c r="J143" s="62">
        <v>13205</v>
      </c>
      <c r="K143" s="60">
        <f t="shared" si="23"/>
        <v>1213635</v>
      </c>
      <c r="L143" s="75">
        <v>45848</v>
      </c>
      <c r="M143" s="83">
        <v>0</v>
      </c>
      <c r="N143" s="82">
        <v>0</v>
      </c>
      <c r="O143" s="82">
        <v>1213635</v>
      </c>
      <c r="P143" s="82">
        <v>0</v>
      </c>
      <c r="Q143" s="82">
        <v>0</v>
      </c>
      <c r="R143" s="82">
        <v>0</v>
      </c>
      <c r="S143" s="82">
        <v>0</v>
      </c>
      <c r="T143" s="82">
        <v>0</v>
      </c>
      <c r="U143" s="82">
        <v>0</v>
      </c>
      <c r="V143" s="82">
        <v>0</v>
      </c>
      <c r="W143" s="82">
        <v>0</v>
      </c>
      <c r="X143" s="82">
        <f t="shared" si="25"/>
        <v>0</v>
      </c>
      <c r="Y143" s="82"/>
      <c r="Z143" s="47">
        <f t="shared" si="26"/>
        <v>-13205</v>
      </c>
      <c r="AA143" s="97">
        <v>0</v>
      </c>
      <c r="AB143" s="82">
        <v>0</v>
      </c>
      <c r="AC143" s="98">
        <f t="shared" si="24"/>
        <v>1213635</v>
      </c>
      <c r="AD143" s="38" t="s">
        <v>567</v>
      </c>
    </row>
    <row r="144" spans="1:30" s="45" customFormat="1">
      <c r="A144" s="43">
        <f t="shared" si="27"/>
        <v>140</v>
      </c>
      <c r="B144" s="15" t="s">
        <v>600</v>
      </c>
      <c r="C144" s="22">
        <v>45845</v>
      </c>
      <c r="D144" s="48">
        <v>2025</v>
      </c>
      <c r="E144" s="44" t="s">
        <v>101</v>
      </c>
      <c r="F144" s="38" t="s">
        <v>465</v>
      </c>
      <c r="G144" s="44" t="s">
        <v>601</v>
      </c>
      <c r="H144" s="62">
        <v>2588534</v>
      </c>
      <c r="I144" s="62">
        <v>0</v>
      </c>
      <c r="J144" s="62">
        <v>28474</v>
      </c>
      <c r="K144" s="60">
        <f t="shared" si="23"/>
        <v>2617008</v>
      </c>
      <c r="L144" s="75">
        <v>45848</v>
      </c>
      <c r="M144" s="83">
        <v>0</v>
      </c>
      <c r="N144" s="82">
        <v>0</v>
      </c>
      <c r="O144" s="82">
        <v>2617008</v>
      </c>
      <c r="P144" s="82">
        <v>0</v>
      </c>
      <c r="Q144" s="82">
        <v>0</v>
      </c>
      <c r="R144" s="82">
        <v>0</v>
      </c>
      <c r="S144" s="82">
        <v>0</v>
      </c>
      <c r="T144" s="82">
        <v>0</v>
      </c>
      <c r="U144" s="82">
        <v>0</v>
      </c>
      <c r="V144" s="82">
        <v>0</v>
      </c>
      <c r="W144" s="82">
        <v>0</v>
      </c>
      <c r="X144" s="82">
        <f t="shared" si="25"/>
        <v>0</v>
      </c>
      <c r="Y144" s="82"/>
      <c r="Z144" s="47">
        <f t="shared" si="26"/>
        <v>-28474</v>
      </c>
      <c r="AA144" s="97">
        <v>0</v>
      </c>
      <c r="AB144" s="82">
        <v>0</v>
      </c>
      <c r="AC144" s="98">
        <f t="shared" si="24"/>
        <v>2617008</v>
      </c>
      <c r="AD144" s="38" t="s">
        <v>567</v>
      </c>
    </row>
    <row r="145" spans="1:31" s="45" customFormat="1">
      <c r="A145" s="43">
        <f t="shared" si="27"/>
        <v>141</v>
      </c>
      <c r="B145" s="15" t="s">
        <v>602</v>
      </c>
      <c r="C145" s="22">
        <v>45845</v>
      </c>
      <c r="D145" s="48">
        <v>2025</v>
      </c>
      <c r="E145" s="44" t="s">
        <v>101</v>
      </c>
      <c r="F145" s="38" t="s">
        <v>465</v>
      </c>
      <c r="G145" s="44" t="s">
        <v>603</v>
      </c>
      <c r="H145" s="62">
        <v>9249022</v>
      </c>
      <c r="I145" s="62">
        <v>0</v>
      </c>
      <c r="J145" s="62">
        <v>101739</v>
      </c>
      <c r="K145" s="60">
        <f t="shared" si="23"/>
        <v>9350761</v>
      </c>
      <c r="L145" s="75">
        <v>45848</v>
      </c>
      <c r="M145" s="83">
        <v>0</v>
      </c>
      <c r="N145" s="82">
        <v>0</v>
      </c>
      <c r="O145" s="82">
        <v>9350761</v>
      </c>
      <c r="P145" s="82">
        <v>0</v>
      </c>
      <c r="Q145" s="82">
        <v>0</v>
      </c>
      <c r="R145" s="82">
        <v>0</v>
      </c>
      <c r="S145" s="82">
        <v>0</v>
      </c>
      <c r="T145" s="82">
        <v>0</v>
      </c>
      <c r="U145" s="82">
        <v>0</v>
      </c>
      <c r="V145" s="82">
        <v>0</v>
      </c>
      <c r="W145" s="82">
        <v>0</v>
      </c>
      <c r="X145" s="82">
        <f t="shared" si="25"/>
        <v>0</v>
      </c>
      <c r="Y145" s="82"/>
      <c r="Z145" s="47">
        <f t="shared" si="26"/>
        <v>-101739</v>
      </c>
      <c r="AA145" s="97">
        <v>0</v>
      </c>
      <c r="AB145" s="82">
        <v>0</v>
      </c>
      <c r="AC145" s="98">
        <f t="shared" si="24"/>
        <v>9350761</v>
      </c>
      <c r="AD145" s="38" t="s">
        <v>567</v>
      </c>
    </row>
    <row r="146" spans="1:31" s="45" customFormat="1">
      <c r="A146" s="43">
        <f t="shared" si="27"/>
        <v>142</v>
      </c>
      <c r="B146" s="15" t="s">
        <v>604</v>
      </c>
      <c r="C146" s="22">
        <v>45845</v>
      </c>
      <c r="D146" s="48">
        <v>2025</v>
      </c>
      <c r="E146" s="44" t="s">
        <v>101</v>
      </c>
      <c r="F146" s="38" t="s">
        <v>465</v>
      </c>
      <c r="G146" s="44" t="s">
        <v>605</v>
      </c>
      <c r="H146" s="62">
        <v>1800000</v>
      </c>
      <c r="I146" s="62">
        <v>0</v>
      </c>
      <c r="J146" s="62">
        <v>19800</v>
      </c>
      <c r="K146" s="60">
        <f t="shared" si="23"/>
        <v>1819800</v>
      </c>
      <c r="L146" s="75">
        <v>45848</v>
      </c>
      <c r="M146" s="83">
        <v>0</v>
      </c>
      <c r="N146" s="82">
        <v>0</v>
      </c>
      <c r="O146" s="82">
        <v>1819800</v>
      </c>
      <c r="P146" s="82">
        <v>0</v>
      </c>
      <c r="Q146" s="82">
        <v>0</v>
      </c>
      <c r="R146" s="82">
        <v>0</v>
      </c>
      <c r="S146" s="82">
        <v>0</v>
      </c>
      <c r="T146" s="82">
        <v>0</v>
      </c>
      <c r="U146" s="82">
        <v>0</v>
      </c>
      <c r="V146" s="82">
        <v>0</v>
      </c>
      <c r="W146" s="82">
        <v>0</v>
      </c>
      <c r="X146" s="82">
        <f t="shared" si="25"/>
        <v>0</v>
      </c>
      <c r="Y146" s="82"/>
      <c r="Z146" s="47">
        <f t="shared" si="26"/>
        <v>-19800</v>
      </c>
      <c r="AA146" s="97">
        <v>0</v>
      </c>
      <c r="AB146" s="82">
        <v>0</v>
      </c>
      <c r="AC146" s="98">
        <f t="shared" si="24"/>
        <v>1819800</v>
      </c>
      <c r="AD146" s="38" t="s">
        <v>567</v>
      </c>
    </row>
    <row r="147" spans="1:31" s="45" customFormat="1">
      <c r="A147" s="43">
        <f t="shared" si="27"/>
        <v>143</v>
      </c>
      <c r="B147" s="15" t="s">
        <v>606</v>
      </c>
      <c r="C147" s="22">
        <v>45845</v>
      </c>
      <c r="D147" s="48">
        <v>2025</v>
      </c>
      <c r="E147" s="44" t="s">
        <v>101</v>
      </c>
      <c r="F147" s="38" t="s">
        <v>465</v>
      </c>
      <c r="G147" s="44" t="s">
        <v>607</v>
      </c>
      <c r="H147" s="62">
        <v>26941560</v>
      </c>
      <c r="I147" s="62">
        <v>0</v>
      </c>
      <c r="J147" s="62">
        <v>296357</v>
      </c>
      <c r="K147" s="60">
        <f t="shared" si="23"/>
        <v>27237917</v>
      </c>
      <c r="L147" s="75">
        <v>45848</v>
      </c>
      <c r="M147" s="83">
        <v>0</v>
      </c>
      <c r="N147" s="82">
        <v>0</v>
      </c>
      <c r="O147" s="82">
        <v>27237917</v>
      </c>
      <c r="P147" s="82">
        <v>0</v>
      </c>
      <c r="Q147" s="82">
        <v>0</v>
      </c>
      <c r="R147" s="82">
        <v>0</v>
      </c>
      <c r="S147" s="82">
        <v>0</v>
      </c>
      <c r="T147" s="82">
        <v>0</v>
      </c>
      <c r="U147" s="82">
        <v>0</v>
      </c>
      <c r="V147" s="82">
        <v>0</v>
      </c>
      <c r="W147" s="82">
        <v>0</v>
      </c>
      <c r="X147" s="82">
        <f t="shared" si="25"/>
        <v>0</v>
      </c>
      <c r="Y147" s="82"/>
      <c r="Z147" s="47">
        <f t="shared" si="26"/>
        <v>-296357</v>
      </c>
      <c r="AA147" s="97">
        <v>0</v>
      </c>
      <c r="AB147" s="82">
        <v>0</v>
      </c>
      <c r="AC147" s="98">
        <f t="shared" si="24"/>
        <v>27237917</v>
      </c>
      <c r="AD147" s="38" t="s">
        <v>567</v>
      </c>
    </row>
    <row r="148" spans="1:31" s="45" customFormat="1">
      <c r="A148" s="43">
        <f t="shared" si="27"/>
        <v>144</v>
      </c>
      <c r="B148" s="15" t="s">
        <v>608</v>
      </c>
      <c r="C148" s="22">
        <v>45845</v>
      </c>
      <c r="D148" s="48">
        <v>2025</v>
      </c>
      <c r="E148" s="44" t="s">
        <v>101</v>
      </c>
      <c r="F148" s="38" t="s">
        <v>465</v>
      </c>
      <c r="G148" s="44" t="s">
        <v>609</v>
      </c>
      <c r="H148" s="62">
        <v>4701311</v>
      </c>
      <c r="I148" s="62">
        <v>0</v>
      </c>
      <c r="J148" s="62">
        <v>51714</v>
      </c>
      <c r="K148" s="60">
        <f t="shared" si="23"/>
        <v>4753025</v>
      </c>
      <c r="L148" s="75">
        <v>45848</v>
      </c>
      <c r="M148" s="83">
        <v>0</v>
      </c>
      <c r="N148" s="82">
        <v>0</v>
      </c>
      <c r="O148" s="82">
        <v>4753025</v>
      </c>
      <c r="P148" s="82">
        <v>0</v>
      </c>
      <c r="Q148" s="82">
        <v>0</v>
      </c>
      <c r="R148" s="82">
        <v>0</v>
      </c>
      <c r="S148" s="82">
        <v>0</v>
      </c>
      <c r="T148" s="82">
        <v>0</v>
      </c>
      <c r="U148" s="82">
        <v>0</v>
      </c>
      <c r="V148" s="82">
        <v>0</v>
      </c>
      <c r="W148" s="82">
        <v>0</v>
      </c>
      <c r="X148" s="82">
        <f t="shared" si="25"/>
        <v>0</v>
      </c>
      <c r="Y148" s="82"/>
      <c r="Z148" s="47">
        <f t="shared" si="26"/>
        <v>-51714</v>
      </c>
      <c r="AA148" s="97">
        <v>0</v>
      </c>
      <c r="AB148" s="82">
        <v>0</v>
      </c>
      <c r="AC148" s="98">
        <f t="shared" si="24"/>
        <v>4753025</v>
      </c>
      <c r="AD148" s="38" t="s">
        <v>567</v>
      </c>
    </row>
    <row r="149" spans="1:31" s="45" customFormat="1">
      <c r="A149" s="43">
        <f t="shared" si="27"/>
        <v>145</v>
      </c>
      <c r="B149" s="15" t="s">
        <v>610</v>
      </c>
      <c r="C149" s="22">
        <v>45845</v>
      </c>
      <c r="D149" s="48">
        <v>2025</v>
      </c>
      <c r="E149" s="44" t="s">
        <v>101</v>
      </c>
      <c r="F149" s="38" t="s">
        <v>465</v>
      </c>
      <c r="G149" s="44" t="s">
        <v>611</v>
      </c>
      <c r="H149" s="62">
        <v>4701311</v>
      </c>
      <c r="I149" s="62">
        <v>0</v>
      </c>
      <c r="J149" s="62">
        <v>51714</v>
      </c>
      <c r="K149" s="60">
        <f t="shared" si="23"/>
        <v>4753025</v>
      </c>
      <c r="L149" s="75">
        <v>45848</v>
      </c>
      <c r="M149" s="83">
        <v>0</v>
      </c>
      <c r="N149" s="82">
        <v>0</v>
      </c>
      <c r="O149" s="82">
        <v>4753025</v>
      </c>
      <c r="P149" s="82">
        <v>0</v>
      </c>
      <c r="Q149" s="82">
        <v>0</v>
      </c>
      <c r="R149" s="82">
        <v>0</v>
      </c>
      <c r="S149" s="82">
        <v>0</v>
      </c>
      <c r="T149" s="82">
        <v>0</v>
      </c>
      <c r="U149" s="82">
        <v>0</v>
      </c>
      <c r="V149" s="82">
        <v>0</v>
      </c>
      <c r="W149" s="82">
        <v>0</v>
      </c>
      <c r="X149" s="82">
        <f t="shared" si="25"/>
        <v>0</v>
      </c>
      <c r="Y149" s="82"/>
      <c r="Z149" s="47">
        <f t="shared" si="26"/>
        <v>-51714</v>
      </c>
      <c r="AA149" s="97">
        <v>0</v>
      </c>
      <c r="AB149" s="82">
        <v>0</v>
      </c>
      <c r="AC149" s="98">
        <f t="shared" si="24"/>
        <v>4753025</v>
      </c>
      <c r="AD149" s="38" t="s">
        <v>567</v>
      </c>
    </row>
    <row r="150" spans="1:31" s="45" customFormat="1">
      <c r="A150" s="43">
        <f t="shared" si="27"/>
        <v>146</v>
      </c>
      <c r="B150" s="15" t="s">
        <v>612</v>
      </c>
      <c r="C150" s="22">
        <v>45845</v>
      </c>
      <c r="D150" s="48">
        <v>2025</v>
      </c>
      <c r="E150" s="44" t="s">
        <v>101</v>
      </c>
      <c r="F150" s="38" t="s">
        <v>465</v>
      </c>
      <c r="G150" s="44" t="s">
        <v>613</v>
      </c>
      <c r="H150" s="62">
        <v>3809967</v>
      </c>
      <c r="I150" s="62">
        <v>0</v>
      </c>
      <c r="J150" s="62">
        <v>41910</v>
      </c>
      <c r="K150" s="60">
        <f t="shared" si="23"/>
        <v>3851877</v>
      </c>
      <c r="L150" s="75">
        <v>45848</v>
      </c>
      <c r="M150" s="83">
        <v>0</v>
      </c>
      <c r="N150" s="82">
        <v>0</v>
      </c>
      <c r="O150" s="82">
        <v>3851877</v>
      </c>
      <c r="P150" s="82">
        <v>0</v>
      </c>
      <c r="Q150" s="82">
        <v>0</v>
      </c>
      <c r="R150" s="82">
        <v>0</v>
      </c>
      <c r="S150" s="82">
        <v>0</v>
      </c>
      <c r="T150" s="82">
        <v>0</v>
      </c>
      <c r="U150" s="82">
        <v>0</v>
      </c>
      <c r="V150" s="82">
        <v>0</v>
      </c>
      <c r="W150" s="82">
        <v>0</v>
      </c>
      <c r="X150" s="82">
        <f t="shared" si="25"/>
        <v>0</v>
      </c>
      <c r="Y150" s="82"/>
      <c r="Z150" s="47">
        <f t="shared" si="26"/>
        <v>-41910</v>
      </c>
      <c r="AA150" s="97">
        <v>0</v>
      </c>
      <c r="AB150" s="82">
        <v>0</v>
      </c>
      <c r="AC150" s="98">
        <f t="shared" si="24"/>
        <v>3851877</v>
      </c>
      <c r="AD150" s="38" t="s">
        <v>567</v>
      </c>
    </row>
    <row r="151" spans="1:31" s="45" customFormat="1">
      <c r="A151" s="43">
        <f t="shared" si="27"/>
        <v>147</v>
      </c>
      <c r="B151" s="15" t="s">
        <v>614</v>
      </c>
      <c r="C151" s="22">
        <v>45845</v>
      </c>
      <c r="D151" s="48">
        <v>2025</v>
      </c>
      <c r="E151" s="44" t="s">
        <v>101</v>
      </c>
      <c r="F151" s="38" t="s">
        <v>465</v>
      </c>
      <c r="G151" s="44" t="s">
        <v>615</v>
      </c>
      <c r="H151" s="62">
        <v>3809967</v>
      </c>
      <c r="I151" s="62">
        <v>0</v>
      </c>
      <c r="J151" s="62">
        <v>41910</v>
      </c>
      <c r="K151" s="60">
        <f>SUM(H151:J151)</f>
        <v>3851877</v>
      </c>
      <c r="L151" s="75">
        <v>45848</v>
      </c>
      <c r="M151" s="83">
        <v>0</v>
      </c>
      <c r="N151" s="82">
        <v>0</v>
      </c>
      <c r="O151" s="82">
        <v>3851877</v>
      </c>
      <c r="P151" s="82">
        <v>0</v>
      </c>
      <c r="Q151" s="82">
        <v>0</v>
      </c>
      <c r="R151" s="82">
        <v>0</v>
      </c>
      <c r="S151" s="82">
        <v>0</v>
      </c>
      <c r="T151" s="82">
        <v>0</v>
      </c>
      <c r="U151" s="82">
        <v>0</v>
      </c>
      <c r="V151" s="82">
        <v>0</v>
      </c>
      <c r="W151" s="82">
        <v>0</v>
      </c>
      <c r="X151" s="82">
        <f t="shared" si="25"/>
        <v>0</v>
      </c>
      <c r="Y151" s="82"/>
      <c r="Z151" s="47">
        <f t="shared" si="26"/>
        <v>-41910</v>
      </c>
      <c r="AA151" s="97">
        <v>0</v>
      </c>
      <c r="AB151" s="82">
        <v>0</v>
      </c>
      <c r="AC151" s="98">
        <f t="shared" si="24"/>
        <v>3851877</v>
      </c>
      <c r="AD151" s="38" t="s">
        <v>567</v>
      </c>
    </row>
    <row r="152" spans="1:31" s="45" customFormat="1">
      <c r="A152" s="43">
        <f t="shared" si="27"/>
        <v>148</v>
      </c>
      <c r="B152" s="15" t="s">
        <v>616</v>
      </c>
      <c r="C152" s="22">
        <v>45845</v>
      </c>
      <c r="D152" s="48">
        <v>2025</v>
      </c>
      <c r="E152" s="44" t="s">
        <v>617</v>
      </c>
      <c r="F152" s="38" t="s">
        <v>465</v>
      </c>
      <c r="G152" s="44" t="s">
        <v>618</v>
      </c>
      <c r="H152" s="62">
        <v>12158989</v>
      </c>
      <c r="I152" s="62">
        <v>0</v>
      </c>
      <c r="J152" s="62">
        <v>0</v>
      </c>
      <c r="K152" s="60">
        <f t="shared" ref="K152:K164" si="28">SUM(H152:J152)</f>
        <v>12158989</v>
      </c>
      <c r="L152" s="75">
        <v>45846</v>
      </c>
      <c r="M152" s="83">
        <v>12158989</v>
      </c>
      <c r="N152" s="82">
        <v>0</v>
      </c>
      <c r="O152" s="82">
        <v>0</v>
      </c>
      <c r="P152" s="82">
        <v>0</v>
      </c>
      <c r="Q152" s="82">
        <v>0</v>
      </c>
      <c r="R152" s="82">
        <v>0</v>
      </c>
      <c r="S152" s="82">
        <v>0</v>
      </c>
      <c r="T152" s="82">
        <v>0</v>
      </c>
      <c r="U152" s="82">
        <v>0</v>
      </c>
      <c r="V152" s="82">
        <v>0</v>
      </c>
      <c r="W152" s="82">
        <v>0</v>
      </c>
      <c r="X152" s="82">
        <f t="shared" si="25"/>
        <v>0</v>
      </c>
      <c r="Y152" s="82"/>
      <c r="Z152" s="47">
        <f t="shared" si="26"/>
        <v>0</v>
      </c>
      <c r="AA152" s="97">
        <v>0</v>
      </c>
      <c r="AB152" s="82">
        <v>0</v>
      </c>
      <c r="AC152" s="98">
        <v>0</v>
      </c>
      <c r="AD152" s="15"/>
    </row>
    <row r="153" spans="1:31" s="45" customFormat="1">
      <c r="A153" s="43">
        <f t="shared" si="27"/>
        <v>149</v>
      </c>
      <c r="B153" s="15" t="s">
        <v>619</v>
      </c>
      <c r="C153" s="22">
        <v>45845</v>
      </c>
      <c r="D153" s="48">
        <v>2025</v>
      </c>
      <c r="E153" s="44" t="s">
        <v>620</v>
      </c>
      <c r="F153" s="38" t="s">
        <v>465</v>
      </c>
      <c r="G153" s="44" t="s">
        <v>618</v>
      </c>
      <c r="H153" s="62">
        <v>5349022</v>
      </c>
      <c r="I153" s="62">
        <v>0</v>
      </c>
      <c r="J153" s="62">
        <v>0</v>
      </c>
      <c r="K153" s="60">
        <f t="shared" si="28"/>
        <v>5349022</v>
      </c>
      <c r="L153" s="75">
        <v>45846</v>
      </c>
      <c r="M153" s="83">
        <v>5349022</v>
      </c>
      <c r="N153" s="82">
        <v>0</v>
      </c>
      <c r="O153" s="82">
        <v>0</v>
      </c>
      <c r="P153" s="82">
        <v>0</v>
      </c>
      <c r="Q153" s="82">
        <v>0</v>
      </c>
      <c r="R153" s="82">
        <v>0</v>
      </c>
      <c r="S153" s="82">
        <v>0</v>
      </c>
      <c r="T153" s="82">
        <v>0</v>
      </c>
      <c r="U153" s="82">
        <v>0</v>
      </c>
      <c r="V153" s="82">
        <v>0</v>
      </c>
      <c r="W153" s="82">
        <v>0</v>
      </c>
      <c r="X153" s="82">
        <f t="shared" si="25"/>
        <v>0</v>
      </c>
      <c r="Y153" s="82"/>
      <c r="Z153" s="47">
        <f t="shared" si="26"/>
        <v>0</v>
      </c>
      <c r="AA153" s="97">
        <v>0</v>
      </c>
      <c r="AB153" s="82">
        <v>0</v>
      </c>
      <c r="AC153" s="98">
        <v>0</v>
      </c>
      <c r="AD153" s="15"/>
    </row>
    <row r="154" spans="1:31" s="45" customFormat="1">
      <c r="A154" s="43">
        <f t="shared" si="27"/>
        <v>150</v>
      </c>
      <c r="B154" s="15" t="s">
        <v>621</v>
      </c>
      <c r="C154" s="22">
        <v>45845</v>
      </c>
      <c r="D154" s="48">
        <v>2025</v>
      </c>
      <c r="E154" s="44" t="s">
        <v>622</v>
      </c>
      <c r="F154" s="38" t="s">
        <v>465</v>
      </c>
      <c r="G154" s="44" t="s">
        <v>618</v>
      </c>
      <c r="H154" s="62">
        <v>5349022</v>
      </c>
      <c r="I154" s="62">
        <v>0</v>
      </c>
      <c r="J154" s="62">
        <v>0</v>
      </c>
      <c r="K154" s="60">
        <f t="shared" si="28"/>
        <v>5349022</v>
      </c>
      <c r="L154" s="75">
        <v>45849</v>
      </c>
      <c r="M154" s="83">
        <v>5349022</v>
      </c>
      <c r="N154" s="82">
        <v>0</v>
      </c>
      <c r="O154" s="82">
        <v>0</v>
      </c>
      <c r="P154" s="82">
        <v>0</v>
      </c>
      <c r="Q154" s="82">
        <v>0</v>
      </c>
      <c r="R154" s="82">
        <v>0</v>
      </c>
      <c r="S154" s="82">
        <v>0</v>
      </c>
      <c r="T154" s="82">
        <v>0</v>
      </c>
      <c r="U154" s="82">
        <v>0</v>
      </c>
      <c r="V154" s="82">
        <v>0</v>
      </c>
      <c r="W154" s="82">
        <v>0</v>
      </c>
      <c r="X154" s="82">
        <f t="shared" si="25"/>
        <v>0</v>
      </c>
      <c r="Y154" s="82"/>
      <c r="Z154" s="47">
        <f t="shared" si="26"/>
        <v>0</v>
      </c>
      <c r="AA154" s="97">
        <v>0</v>
      </c>
      <c r="AB154" s="82">
        <v>0</v>
      </c>
      <c r="AC154" s="98">
        <v>0</v>
      </c>
      <c r="AD154" s="15"/>
    </row>
    <row r="155" spans="1:31" s="120" customFormat="1">
      <c r="A155" s="107">
        <f t="shared" si="27"/>
        <v>151</v>
      </c>
      <c r="B155" s="50" t="s">
        <v>623</v>
      </c>
      <c r="C155" s="124">
        <v>45721</v>
      </c>
      <c r="D155" s="14">
        <v>2024</v>
      </c>
      <c r="E155" s="77" t="s">
        <v>19</v>
      </c>
      <c r="F155" s="77" t="s">
        <v>19</v>
      </c>
      <c r="G155" s="77" t="s">
        <v>1094</v>
      </c>
      <c r="H155" s="114">
        <v>0</v>
      </c>
      <c r="I155" s="114">
        <v>0</v>
      </c>
      <c r="J155" s="114">
        <v>0</v>
      </c>
      <c r="K155" s="108">
        <f t="shared" si="28"/>
        <v>0</v>
      </c>
      <c r="L155" s="115"/>
      <c r="M155" s="116">
        <v>0</v>
      </c>
      <c r="N155" s="105">
        <v>0</v>
      </c>
      <c r="O155" s="105">
        <v>0</v>
      </c>
      <c r="P155" s="105">
        <v>0</v>
      </c>
      <c r="Q155" s="105">
        <v>0</v>
      </c>
      <c r="R155" s="105">
        <v>0</v>
      </c>
      <c r="S155" s="105">
        <v>0</v>
      </c>
      <c r="T155" s="105">
        <v>0</v>
      </c>
      <c r="U155" s="105">
        <v>0</v>
      </c>
      <c r="V155" s="105">
        <v>0</v>
      </c>
      <c r="W155" s="105">
        <v>0</v>
      </c>
      <c r="X155" s="105">
        <f t="shared" si="25"/>
        <v>0</v>
      </c>
      <c r="Y155" s="105"/>
      <c r="Z155" s="117">
        <f t="shared" si="26"/>
        <v>0</v>
      </c>
      <c r="AA155" s="118">
        <f>-(H155+I155)*2%</f>
        <v>0</v>
      </c>
      <c r="AB155" s="105">
        <f>K155+Z155+AA155</f>
        <v>0</v>
      </c>
      <c r="AC155" s="119">
        <v>0</v>
      </c>
      <c r="AD155" s="50"/>
      <c r="AE155" s="120" t="s">
        <v>19</v>
      </c>
    </row>
    <row r="156" spans="1:31" s="45" customFormat="1">
      <c r="A156" s="43">
        <f t="shared" si="27"/>
        <v>152</v>
      </c>
      <c r="B156" s="15" t="s">
        <v>624</v>
      </c>
      <c r="C156" s="22">
        <v>45845</v>
      </c>
      <c r="D156" s="48">
        <v>2025</v>
      </c>
      <c r="E156" s="44" t="s">
        <v>625</v>
      </c>
      <c r="F156" s="38" t="s">
        <v>465</v>
      </c>
      <c r="G156" s="44" t="s">
        <v>618</v>
      </c>
      <c r="H156" s="62">
        <v>10698044</v>
      </c>
      <c r="I156" s="62">
        <v>0</v>
      </c>
      <c r="J156" s="62">
        <v>0</v>
      </c>
      <c r="K156" s="60">
        <f t="shared" si="28"/>
        <v>10698044</v>
      </c>
      <c r="L156" s="75">
        <v>45847</v>
      </c>
      <c r="M156" s="83">
        <v>10698044</v>
      </c>
      <c r="N156" s="82">
        <v>0</v>
      </c>
      <c r="O156" s="82">
        <v>0</v>
      </c>
      <c r="P156" s="82">
        <v>0</v>
      </c>
      <c r="Q156" s="82">
        <v>0</v>
      </c>
      <c r="R156" s="82">
        <v>0</v>
      </c>
      <c r="S156" s="82">
        <v>0</v>
      </c>
      <c r="T156" s="82">
        <v>0</v>
      </c>
      <c r="U156" s="82">
        <v>0</v>
      </c>
      <c r="V156" s="82">
        <v>0</v>
      </c>
      <c r="W156" s="82">
        <v>0</v>
      </c>
      <c r="X156" s="82">
        <f t="shared" si="25"/>
        <v>0</v>
      </c>
      <c r="Y156" s="82"/>
      <c r="Z156" s="47">
        <f t="shared" si="26"/>
        <v>0</v>
      </c>
      <c r="AA156" s="97">
        <v>0</v>
      </c>
      <c r="AB156" s="82">
        <v>0</v>
      </c>
      <c r="AC156" s="98">
        <v>0</v>
      </c>
      <c r="AD156" s="15"/>
    </row>
    <row r="157" spans="1:31" s="45" customFormat="1">
      <c r="A157" s="43">
        <f t="shared" si="27"/>
        <v>153</v>
      </c>
      <c r="B157" s="15" t="s">
        <v>626</v>
      </c>
      <c r="C157" s="22">
        <v>45845</v>
      </c>
      <c r="D157" s="48">
        <v>2025</v>
      </c>
      <c r="E157" s="44" t="s">
        <v>627</v>
      </c>
      <c r="F157" s="38" t="s">
        <v>465</v>
      </c>
      <c r="G157" s="44" t="s">
        <v>618</v>
      </c>
      <c r="H157" s="62">
        <v>7775522</v>
      </c>
      <c r="I157" s="62">
        <v>0</v>
      </c>
      <c r="J157" s="62">
        <v>0</v>
      </c>
      <c r="K157" s="60">
        <f t="shared" si="28"/>
        <v>7775522</v>
      </c>
      <c r="L157" s="75">
        <v>45847</v>
      </c>
      <c r="M157" s="83">
        <v>7775522</v>
      </c>
      <c r="N157" s="82">
        <v>0</v>
      </c>
      <c r="O157" s="82">
        <v>0</v>
      </c>
      <c r="P157" s="82">
        <v>0</v>
      </c>
      <c r="Q157" s="82">
        <v>0</v>
      </c>
      <c r="R157" s="82">
        <v>0</v>
      </c>
      <c r="S157" s="82">
        <v>0</v>
      </c>
      <c r="T157" s="82">
        <v>0</v>
      </c>
      <c r="U157" s="82">
        <v>0</v>
      </c>
      <c r="V157" s="82">
        <v>0</v>
      </c>
      <c r="W157" s="82">
        <v>0</v>
      </c>
      <c r="X157" s="82">
        <f t="shared" si="25"/>
        <v>0</v>
      </c>
      <c r="Y157" s="82"/>
      <c r="Z157" s="47">
        <f t="shared" si="26"/>
        <v>0</v>
      </c>
      <c r="AA157" s="97">
        <v>0</v>
      </c>
      <c r="AB157" s="82">
        <v>0</v>
      </c>
      <c r="AC157" s="98">
        <v>0</v>
      </c>
      <c r="AD157" s="15"/>
    </row>
    <row r="158" spans="1:31" s="45" customFormat="1">
      <c r="A158" s="43">
        <f t="shared" si="27"/>
        <v>154</v>
      </c>
      <c r="B158" s="15" t="s">
        <v>628</v>
      </c>
      <c r="C158" s="22">
        <v>45845</v>
      </c>
      <c r="D158" s="48">
        <v>2025</v>
      </c>
      <c r="E158" s="44" t="s">
        <v>629</v>
      </c>
      <c r="F158" s="38" t="s">
        <v>465</v>
      </c>
      <c r="G158" s="44" t="s">
        <v>618</v>
      </c>
      <c r="H158" s="62">
        <v>7775522</v>
      </c>
      <c r="I158" s="62">
        <v>0</v>
      </c>
      <c r="J158" s="62">
        <v>0</v>
      </c>
      <c r="K158" s="60">
        <f t="shared" si="28"/>
        <v>7775522</v>
      </c>
      <c r="L158" s="75">
        <v>45847</v>
      </c>
      <c r="M158" s="83">
        <v>7775522</v>
      </c>
      <c r="N158" s="82">
        <v>0</v>
      </c>
      <c r="O158" s="82">
        <v>0</v>
      </c>
      <c r="P158" s="82">
        <v>0</v>
      </c>
      <c r="Q158" s="82">
        <v>0</v>
      </c>
      <c r="R158" s="82">
        <v>0</v>
      </c>
      <c r="S158" s="82">
        <v>0</v>
      </c>
      <c r="T158" s="82">
        <v>0</v>
      </c>
      <c r="U158" s="82">
        <v>0</v>
      </c>
      <c r="V158" s="82">
        <v>0</v>
      </c>
      <c r="W158" s="82">
        <v>0</v>
      </c>
      <c r="X158" s="82">
        <f t="shared" si="25"/>
        <v>0</v>
      </c>
      <c r="Y158" s="82"/>
      <c r="Z158" s="47">
        <f t="shared" si="26"/>
        <v>0</v>
      </c>
      <c r="AA158" s="97">
        <v>0</v>
      </c>
      <c r="AB158" s="82">
        <v>0</v>
      </c>
      <c r="AC158" s="98">
        <v>0</v>
      </c>
      <c r="AD158" s="15"/>
    </row>
    <row r="159" spans="1:31" s="45" customFormat="1">
      <c r="A159" s="43">
        <f t="shared" si="27"/>
        <v>155</v>
      </c>
      <c r="B159" s="15" t="s">
        <v>630</v>
      </c>
      <c r="C159" s="22">
        <v>45848</v>
      </c>
      <c r="D159" s="48">
        <v>2025</v>
      </c>
      <c r="E159" s="44" t="s">
        <v>424</v>
      </c>
      <c r="F159" s="38" t="s">
        <v>631</v>
      </c>
      <c r="G159" s="44" t="s">
        <v>631</v>
      </c>
      <c r="H159" s="62">
        <v>105119540</v>
      </c>
      <c r="I159" s="62">
        <v>10511954</v>
      </c>
      <c r="J159" s="62">
        <v>1271946</v>
      </c>
      <c r="K159" s="60">
        <f t="shared" si="28"/>
        <v>116903440</v>
      </c>
      <c r="L159" s="75">
        <v>45929</v>
      </c>
      <c r="M159" s="83">
        <v>0</v>
      </c>
      <c r="N159" s="82">
        <v>0</v>
      </c>
      <c r="O159" s="82">
        <v>114590809</v>
      </c>
      <c r="P159" s="82">
        <v>0</v>
      </c>
      <c r="Q159" s="82">
        <v>0</v>
      </c>
      <c r="R159" s="82">
        <v>0</v>
      </c>
      <c r="S159" s="82">
        <v>0</v>
      </c>
      <c r="T159" s="82">
        <v>0</v>
      </c>
      <c r="U159" s="82">
        <v>0</v>
      </c>
      <c r="V159" s="82">
        <v>0</v>
      </c>
      <c r="W159" s="82">
        <v>2312631</v>
      </c>
      <c r="X159" s="82">
        <f t="shared" si="25"/>
        <v>0</v>
      </c>
      <c r="Y159" s="82"/>
      <c r="Z159" s="47">
        <f t="shared" si="26"/>
        <v>-1271946</v>
      </c>
      <c r="AA159" s="97">
        <f>-(H159+I159)*2%</f>
        <v>-2312629.88</v>
      </c>
      <c r="AB159" s="82">
        <v>0</v>
      </c>
      <c r="AC159" s="98">
        <f>K159+AA159</f>
        <v>114590810.12</v>
      </c>
      <c r="AD159" s="15"/>
    </row>
    <row r="160" spans="1:31" s="45" customFormat="1">
      <c r="A160" s="43">
        <f t="shared" si="27"/>
        <v>156</v>
      </c>
      <c r="B160" s="15" t="s">
        <v>791</v>
      </c>
      <c r="C160" s="22">
        <v>45859</v>
      </c>
      <c r="D160" s="48">
        <v>2025</v>
      </c>
      <c r="E160" s="44" t="s">
        <v>98</v>
      </c>
      <c r="F160" s="38" t="s">
        <v>639</v>
      </c>
      <c r="G160" s="44" t="s">
        <v>792</v>
      </c>
      <c r="H160" s="62">
        <v>30064660</v>
      </c>
      <c r="I160" s="62">
        <v>0</v>
      </c>
      <c r="J160" s="62">
        <v>3307113</v>
      </c>
      <c r="K160" s="60">
        <f t="shared" si="28"/>
        <v>33371773</v>
      </c>
      <c r="L160" s="75">
        <v>45891</v>
      </c>
      <c r="M160" s="83">
        <v>0</v>
      </c>
      <c r="N160" s="82">
        <v>0</v>
      </c>
      <c r="O160" s="82">
        <v>29463367</v>
      </c>
      <c r="P160" s="82">
        <v>0</v>
      </c>
      <c r="Q160" s="82">
        <v>0</v>
      </c>
      <c r="R160" s="82">
        <v>0</v>
      </c>
      <c r="S160" s="82">
        <v>0</v>
      </c>
      <c r="T160" s="82">
        <v>0</v>
      </c>
      <c r="U160" s="82">
        <v>0</v>
      </c>
      <c r="V160" s="82">
        <v>0</v>
      </c>
      <c r="W160" s="82">
        <v>3908406</v>
      </c>
      <c r="X160" s="82">
        <f t="shared" si="25"/>
        <v>0</v>
      </c>
      <c r="Y160" s="82"/>
      <c r="Z160" s="47">
        <f t="shared" si="26"/>
        <v>-3307113</v>
      </c>
      <c r="AA160" s="97">
        <f>-(H160+I160)*2%</f>
        <v>-601293.20000000007</v>
      </c>
      <c r="AB160" s="82">
        <f>K160+Z160+AA160</f>
        <v>29463366.800000001</v>
      </c>
      <c r="AC160" s="98">
        <v>0</v>
      </c>
      <c r="AD160" s="15"/>
    </row>
    <row r="161" spans="1:31" s="45" customFormat="1">
      <c r="A161" s="43">
        <f t="shared" si="27"/>
        <v>157</v>
      </c>
      <c r="B161" s="15" t="s">
        <v>793</v>
      </c>
      <c r="C161" s="22">
        <v>45860</v>
      </c>
      <c r="D161" s="48">
        <v>2025</v>
      </c>
      <c r="E161" s="44" t="s">
        <v>101</v>
      </c>
      <c r="F161" s="38" t="s">
        <v>465</v>
      </c>
      <c r="G161" s="44" t="s">
        <v>794</v>
      </c>
      <c r="H161" s="62">
        <v>30000000</v>
      </c>
      <c r="I161" s="62">
        <v>0</v>
      </c>
      <c r="J161" s="62">
        <v>330000</v>
      </c>
      <c r="K161" s="60">
        <f t="shared" si="28"/>
        <v>30330000</v>
      </c>
      <c r="L161" s="75">
        <v>45863</v>
      </c>
      <c r="M161" s="83">
        <v>0</v>
      </c>
      <c r="N161" s="82">
        <v>0</v>
      </c>
      <c r="O161" s="82">
        <v>29730000</v>
      </c>
      <c r="P161" s="82">
        <v>0</v>
      </c>
      <c r="Q161" s="82">
        <v>0</v>
      </c>
      <c r="R161" s="82">
        <v>0</v>
      </c>
      <c r="S161" s="82">
        <v>0</v>
      </c>
      <c r="T161" s="82">
        <v>0</v>
      </c>
      <c r="U161" s="82">
        <v>0</v>
      </c>
      <c r="V161" s="82">
        <v>0</v>
      </c>
      <c r="W161" s="82">
        <v>600000</v>
      </c>
      <c r="X161" s="82">
        <f t="shared" si="25"/>
        <v>0</v>
      </c>
      <c r="Y161" s="82"/>
      <c r="Z161" s="47">
        <f t="shared" si="26"/>
        <v>-330000</v>
      </c>
      <c r="AA161" s="97">
        <f>-(H161+I161)*2%</f>
        <v>-600000</v>
      </c>
      <c r="AB161" s="82">
        <v>0</v>
      </c>
      <c r="AC161" s="98">
        <f>K161+AA161</f>
        <v>29730000</v>
      </c>
      <c r="AD161" s="38" t="s">
        <v>795</v>
      </c>
      <c r="AE161" s="70" t="s">
        <v>19</v>
      </c>
    </row>
    <row r="162" spans="1:31" s="45" customFormat="1">
      <c r="A162" s="43">
        <f t="shared" si="27"/>
        <v>158</v>
      </c>
      <c r="B162" s="15" t="s">
        <v>796</v>
      </c>
      <c r="C162" s="22">
        <v>45860</v>
      </c>
      <c r="D162" s="48">
        <v>2025</v>
      </c>
      <c r="E162" s="44" t="s">
        <v>797</v>
      </c>
      <c r="F162" s="38" t="s">
        <v>465</v>
      </c>
      <c r="G162" s="44" t="s">
        <v>798</v>
      </c>
      <c r="H162" s="62">
        <v>4500000</v>
      </c>
      <c r="I162" s="62">
        <v>0</v>
      </c>
      <c r="J162" s="62">
        <v>0</v>
      </c>
      <c r="K162" s="60">
        <f t="shared" si="28"/>
        <v>4500000</v>
      </c>
      <c r="L162" s="75">
        <v>45861</v>
      </c>
      <c r="M162" s="83">
        <v>4500000</v>
      </c>
      <c r="N162" s="82">
        <v>0</v>
      </c>
      <c r="O162" s="82">
        <v>0</v>
      </c>
      <c r="P162" s="82">
        <v>0</v>
      </c>
      <c r="Q162" s="82">
        <v>0</v>
      </c>
      <c r="R162" s="82">
        <v>0</v>
      </c>
      <c r="S162" s="82">
        <v>0</v>
      </c>
      <c r="T162" s="82">
        <v>0</v>
      </c>
      <c r="U162" s="82">
        <v>0</v>
      </c>
      <c r="V162" s="82">
        <v>0</v>
      </c>
      <c r="W162" s="82">
        <v>0</v>
      </c>
      <c r="X162" s="82">
        <f t="shared" si="25"/>
        <v>0</v>
      </c>
      <c r="Y162" s="82"/>
      <c r="Z162" s="47">
        <f t="shared" si="26"/>
        <v>0</v>
      </c>
      <c r="AA162" s="97">
        <v>0</v>
      </c>
      <c r="AB162" s="82">
        <v>0</v>
      </c>
      <c r="AC162" s="98">
        <v>0</v>
      </c>
      <c r="AD162" s="15"/>
      <c r="AE162" s="70" t="s">
        <v>19</v>
      </c>
    </row>
    <row r="163" spans="1:31" s="45" customFormat="1">
      <c r="A163" s="43">
        <f t="shared" si="27"/>
        <v>159</v>
      </c>
      <c r="B163" s="15" t="s">
        <v>799</v>
      </c>
      <c r="C163" s="22">
        <v>45860</v>
      </c>
      <c r="D163" s="48">
        <v>2025</v>
      </c>
      <c r="E163" s="44" t="s">
        <v>101</v>
      </c>
      <c r="F163" s="38" t="s">
        <v>465</v>
      </c>
      <c r="G163" s="44" t="s">
        <v>800</v>
      </c>
      <c r="H163" s="62">
        <v>26200000</v>
      </c>
      <c r="I163" s="62">
        <v>0</v>
      </c>
      <c r="J163" s="62">
        <v>288200</v>
      </c>
      <c r="K163" s="60">
        <f t="shared" si="28"/>
        <v>26488200</v>
      </c>
      <c r="L163" s="75">
        <v>45863</v>
      </c>
      <c r="M163" s="83">
        <v>0</v>
      </c>
      <c r="N163" s="82">
        <v>0</v>
      </c>
      <c r="O163" s="82">
        <v>25964200</v>
      </c>
      <c r="P163" s="82">
        <v>0</v>
      </c>
      <c r="Q163" s="82">
        <v>0</v>
      </c>
      <c r="R163" s="82">
        <v>0</v>
      </c>
      <c r="S163" s="82">
        <v>0</v>
      </c>
      <c r="T163" s="82">
        <v>0</v>
      </c>
      <c r="U163" s="82">
        <v>0</v>
      </c>
      <c r="V163" s="82">
        <v>0</v>
      </c>
      <c r="W163" s="82">
        <v>524000</v>
      </c>
      <c r="X163" s="82">
        <f t="shared" si="25"/>
        <v>0</v>
      </c>
      <c r="Y163" s="82"/>
      <c r="Z163" s="47">
        <f t="shared" si="26"/>
        <v>-288200</v>
      </c>
      <c r="AA163" s="97">
        <f>-(H163+I163)*2%</f>
        <v>-524000</v>
      </c>
      <c r="AB163" s="82">
        <v>0</v>
      </c>
      <c r="AC163" s="98">
        <f>K163+AA163</f>
        <v>25964200</v>
      </c>
      <c r="AD163" s="38" t="s">
        <v>795</v>
      </c>
      <c r="AE163" s="70" t="s">
        <v>19</v>
      </c>
    </row>
    <row r="164" spans="1:31" s="45" customFormat="1">
      <c r="A164" s="43">
        <f t="shared" si="27"/>
        <v>160</v>
      </c>
      <c r="B164" s="15" t="s">
        <v>801</v>
      </c>
      <c r="C164" s="22">
        <v>45860</v>
      </c>
      <c r="D164" s="48">
        <v>2025</v>
      </c>
      <c r="E164" s="44" t="s">
        <v>101</v>
      </c>
      <c r="F164" s="38" t="s">
        <v>465</v>
      </c>
      <c r="G164" s="44" t="s">
        <v>802</v>
      </c>
      <c r="H164" s="62">
        <v>67400000</v>
      </c>
      <c r="I164" s="62">
        <v>0</v>
      </c>
      <c r="J164" s="62">
        <v>741400</v>
      </c>
      <c r="K164" s="60">
        <f t="shared" si="28"/>
        <v>68141400</v>
      </c>
      <c r="L164" s="75">
        <v>45863</v>
      </c>
      <c r="M164" s="83">
        <v>0</v>
      </c>
      <c r="N164" s="82">
        <v>0</v>
      </c>
      <c r="O164" s="82">
        <v>66793400</v>
      </c>
      <c r="P164" s="82">
        <v>0</v>
      </c>
      <c r="Q164" s="82">
        <v>0</v>
      </c>
      <c r="R164" s="82">
        <v>0</v>
      </c>
      <c r="S164" s="82">
        <v>0</v>
      </c>
      <c r="T164" s="82">
        <v>0</v>
      </c>
      <c r="U164" s="82">
        <v>0</v>
      </c>
      <c r="V164" s="82">
        <v>0</v>
      </c>
      <c r="W164" s="82">
        <v>1348000</v>
      </c>
      <c r="X164" s="82">
        <f t="shared" si="25"/>
        <v>0</v>
      </c>
      <c r="Y164" s="82"/>
      <c r="Z164" s="47">
        <f t="shared" si="26"/>
        <v>-741400</v>
      </c>
      <c r="AA164" s="97">
        <f>-(H164+I164)*2%</f>
        <v>-1348000</v>
      </c>
      <c r="AB164" s="82">
        <v>0</v>
      </c>
      <c r="AC164" s="98">
        <f>K164+AA164</f>
        <v>66793400</v>
      </c>
      <c r="AD164" s="38" t="s">
        <v>795</v>
      </c>
      <c r="AE164" s="70" t="s">
        <v>19</v>
      </c>
    </row>
    <row r="165" spans="1:31" s="45" customFormat="1">
      <c r="A165" s="43">
        <f t="shared" si="27"/>
        <v>161</v>
      </c>
      <c r="B165" s="15" t="s">
        <v>803</v>
      </c>
      <c r="C165" s="22">
        <v>45862</v>
      </c>
      <c r="D165" s="48">
        <v>2025</v>
      </c>
      <c r="E165" s="44" t="s">
        <v>804</v>
      </c>
      <c r="F165" s="38" t="s">
        <v>465</v>
      </c>
      <c r="G165" s="44" t="s">
        <v>805</v>
      </c>
      <c r="H165" s="62">
        <v>5568158</v>
      </c>
      <c r="I165" s="62">
        <v>0</v>
      </c>
      <c r="J165" s="62">
        <v>0</v>
      </c>
      <c r="K165" s="60">
        <f t="shared" ref="K165:K193" si="29">SUM(H165:J165)</f>
        <v>5568158</v>
      </c>
      <c r="L165" s="75">
        <v>45863</v>
      </c>
      <c r="M165" s="83">
        <v>5568158</v>
      </c>
      <c r="N165" s="82">
        <v>0</v>
      </c>
      <c r="O165" s="82">
        <v>0</v>
      </c>
      <c r="P165" s="82">
        <v>0</v>
      </c>
      <c r="Q165" s="82">
        <v>0</v>
      </c>
      <c r="R165" s="82">
        <v>0</v>
      </c>
      <c r="S165" s="82">
        <v>0</v>
      </c>
      <c r="T165" s="82">
        <v>0</v>
      </c>
      <c r="U165" s="82">
        <v>0</v>
      </c>
      <c r="V165" s="82">
        <v>0</v>
      </c>
      <c r="W165" s="82">
        <v>0</v>
      </c>
      <c r="X165" s="82">
        <f t="shared" si="25"/>
        <v>0</v>
      </c>
      <c r="Y165" s="82"/>
      <c r="Z165" s="47">
        <f t="shared" si="26"/>
        <v>0</v>
      </c>
      <c r="AA165" s="97">
        <v>0</v>
      </c>
      <c r="AB165" s="82">
        <v>0</v>
      </c>
      <c r="AC165" s="98">
        <v>0</v>
      </c>
      <c r="AD165" s="15"/>
    </row>
    <row r="166" spans="1:31" s="45" customFormat="1">
      <c r="A166" s="43">
        <f t="shared" si="27"/>
        <v>162</v>
      </c>
      <c r="B166" s="15" t="s">
        <v>806</v>
      </c>
      <c r="C166" s="22">
        <v>45870</v>
      </c>
      <c r="D166" s="48">
        <v>2025</v>
      </c>
      <c r="E166" s="44" t="s">
        <v>636</v>
      </c>
      <c r="F166" s="44" t="s">
        <v>637</v>
      </c>
      <c r="G166" s="44" t="s">
        <v>807</v>
      </c>
      <c r="H166" s="62">
        <v>280376250</v>
      </c>
      <c r="I166" s="62">
        <v>22430100</v>
      </c>
      <c r="J166" s="62">
        <v>33308699</v>
      </c>
      <c r="K166" s="60">
        <f t="shared" si="29"/>
        <v>336115049</v>
      </c>
      <c r="L166" s="75">
        <v>45888</v>
      </c>
      <c r="M166" s="83">
        <v>0</v>
      </c>
      <c r="N166" s="82">
        <v>335666447</v>
      </c>
      <c r="O166" s="82">
        <v>0</v>
      </c>
      <c r="P166" s="82">
        <v>0</v>
      </c>
      <c r="Q166" s="82">
        <v>0</v>
      </c>
      <c r="R166" s="82">
        <v>0</v>
      </c>
      <c r="S166" s="82">
        <v>0</v>
      </c>
      <c r="T166" s="82">
        <v>0</v>
      </c>
      <c r="U166" s="82">
        <v>0</v>
      </c>
      <c r="V166" s="82">
        <v>0</v>
      </c>
      <c r="W166" s="82">
        <v>448602</v>
      </c>
      <c r="X166" s="82">
        <f t="shared" si="25"/>
        <v>0</v>
      </c>
      <c r="Y166" s="82"/>
      <c r="Z166" s="29">
        <f t="shared" si="26"/>
        <v>-33308699</v>
      </c>
      <c r="AA166" s="97">
        <f>-(I166)*2%</f>
        <v>-448602</v>
      </c>
      <c r="AB166" s="82">
        <v>0</v>
      </c>
      <c r="AC166" s="98">
        <f>K166+AA166</f>
        <v>335666447</v>
      </c>
      <c r="AD166" s="15"/>
    </row>
    <row r="167" spans="1:31" s="45" customFormat="1">
      <c r="A167" s="43">
        <f t="shared" si="27"/>
        <v>163</v>
      </c>
      <c r="B167" s="15" t="s">
        <v>808</v>
      </c>
      <c r="C167" s="22">
        <v>45870</v>
      </c>
      <c r="D167" s="48">
        <v>2025</v>
      </c>
      <c r="E167" s="38" t="s">
        <v>636</v>
      </c>
      <c r="F167" s="38" t="s">
        <v>637</v>
      </c>
      <c r="G167" s="44" t="s">
        <v>809</v>
      </c>
      <c r="H167" s="62">
        <v>373835000</v>
      </c>
      <c r="I167" s="62">
        <v>29906800</v>
      </c>
      <c r="J167" s="62">
        <v>44411598</v>
      </c>
      <c r="K167" s="60">
        <f t="shared" si="29"/>
        <v>448153398</v>
      </c>
      <c r="L167" s="75">
        <v>45888</v>
      </c>
      <c r="M167" s="83">
        <v>0</v>
      </c>
      <c r="N167" s="82">
        <v>447555262</v>
      </c>
      <c r="O167" s="82">
        <v>0</v>
      </c>
      <c r="P167" s="82">
        <v>0</v>
      </c>
      <c r="Q167" s="82">
        <v>0</v>
      </c>
      <c r="R167" s="82">
        <v>0</v>
      </c>
      <c r="S167" s="82">
        <v>0</v>
      </c>
      <c r="T167" s="82">
        <v>0</v>
      </c>
      <c r="U167" s="82">
        <v>0</v>
      </c>
      <c r="V167" s="82">
        <v>0</v>
      </c>
      <c r="W167" s="79">
        <v>598136</v>
      </c>
      <c r="X167" s="82">
        <f t="shared" si="25"/>
        <v>0</v>
      </c>
      <c r="Y167" s="82"/>
      <c r="Z167" s="29">
        <f t="shared" si="26"/>
        <v>-44411598</v>
      </c>
      <c r="AA167" s="97">
        <f>-(I167)*2%</f>
        <v>-598136</v>
      </c>
      <c r="AB167" s="82">
        <v>0</v>
      </c>
      <c r="AC167" s="98">
        <f>K167+AA167</f>
        <v>447555262</v>
      </c>
      <c r="AD167" s="15"/>
    </row>
    <row r="168" spans="1:31" s="45" customFormat="1">
      <c r="A168" s="43">
        <f t="shared" si="27"/>
        <v>164</v>
      </c>
      <c r="B168" s="15" t="s">
        <v>810</v>
      </c>
      <c r="C168" s="22">
        <v>45867</v>
      </c>
      <c r="D168" s="48">
        <v>2025</v>
      </c>
      <c r="E168" s="38" t="s">
        <v>811</v>
      </c>
      <c r="F168" s="38" t="s">
        <v>631</v>
      </c>
      <c r="G168" s="44" t="s">
        <v>812</v>
      </c>
      <c r="H168" s="62">
        <v>13552600</v>
      </c>
      <c r="I168" s="62">
        <v>1355260</v>
      </c>
      <c r="J168" s="62">
        <v>163986</v>
      </c>
      <c r="K168" s="60">
        <f t="shared" si="29"/>
        <v>15071846</v>
      </c>
      <c r="L168" s="75">
        <v>45869</v>
      </c>
      <c r="M168" s="83">
        <v>0</v>
      </c>
      <c r="N168" s="82">
        <v>0</v>
      </c>
      <c r="O168" s="82">
        <v>15071846</v>
      </c>
      <c r="P168" s="82">
        <v>0</v>
      </c>
      <c r="Q168" s="82">
        <v>0</v>
      </c>
      <c r="R168" s="82">
        <v>0</v>
      </c>
      <c r="S168" s="82">
        <v>0</v>
      </c>
      <c r="T168" s="82">
        <v>0</v>
      </c>
      <c r="U168" s="82">
        <v>0</v>
      </c>
      <c r="V168" s="82">
        <v>0</v>
      </c>
      <c r="W168" s="82">
        <v>0</v>
      </c>
      <c r="X168" s="82">
        <f t="shared" si="25"/>
        <v>0</v>
      </c>
      <c r="Y168" s="82"/>
      <c r="Z168" s="47">
        <f t="shared" si="26"/>
        <v>-163986</v>
      </c>
      <c r="AA168" s="97">
        <v>0</v>
      </c>
      <c r="AB168" s="82">
        <v>0</v>
      </c>
      <c r="AC168" s="98">
        <f>K168+AA168</f>
        <v>15071846</v>
      </c>
      <c r="AD168" s="15"/>
    </row>
    <row r="169" spans="1:31" s="45" customFormat="1">
      <c r="A169" s="43">
        <f t="shared" si="27"/>
        <v>165</v>
      </c>
      <c r="B169" s="15" t="s">
        <v>813</v>
      </c>
      <c r="C169" s="22">
        <v>45870</v>
      </c>
      <c r="D169" s="48">
        <v>2025</v>
      </c>
      <c r="E169" s="44" t="s">
        <v>100</v>
      </c>
      <c r="F169" s="38" t="s">
        <v>1151</v>
      </c>
      <c r="G169" s="44" t="s">
        <v>814</v>
      </c>
      <c r="H169" s="62">
        <v>421113514</v>
      </c>
      <c r="I169" s="62">
        <v>42111352</v>
      </c>
      <c r="J169" s="62">
        <v>50954735</v>
      </c>
      <c r="K169" s="60">
        <f>SUM(H169:J169)</f>
        <v>514179601</v>
      </c>
      <c r="L169" s="75">
        <v>45894</v>
      </c>
      <c r="M169" s="83">
        <v>0</v>
      </c>
      <c r="N169" s="82">
        <v>0</v>
      </c>
      <c r="O169" s="82">
        <v>0</v>
      </c>
      <c r="P169" s="82">
        <v>0</v>
      </c>
      <c r="Q169" s="82">
        <v>0</v>
      </c>
      <c r="R169" s="82">
        <v>0</v>
      </c>
      <c r="S169" s="82">
        <v>0</v>
      </c>
      <c r="T169" s="82">
        <v>0</v>
      </c>
      <c r="U169" s="82">
        <v>462382639</v>
      </c>
      <c r="V169" s="82">
        <v>0</v>
      </c>
      <c r="W169" s="82">
        <v>51796962</v>
      </c>
      <c r="X169" s="82">
        <f t="shared" si="25"/>
        <v>0</v>
      </c>
      <c r="Y169" s="82"/>
      <c r="Z169" s="47">
        <f t="shared" si="26"/>
        <v>-50954735</v>
      </c>
      <c r="AA169" s="97">
        <f>-(I169)*2%</f>
        <v>-842227.04</v>
      </c>
      <c r="AB169" s="82">
        <f>K169+Z169+AA169</f>
        <v>462382638.95999998</v>
      </c>
      <c r="AC169" s="98">
        <v>0</v>
      </c>
      <c r="AD169" s="15"/>
    </row>
    <row r="170" spans="1:31" s="45" customFormat="1">
      <c r="A170" s="43">
        <f t="shared" si="27"/>
        <v>166</v>
      </c>
      <c r="B170" s="15" t="s">
        <v>815</v>
      </c>
      <c r="C170" s="22">
        <v>45870</v>
      </c>
      <c r="D170" s="48">
        <v>2025</v>
      </c>
      <c r="E170" s="44" t="s">
        <v>103</v>
      </c>
      <c r="F170" s="38" t="s">
        <v>1151</v>
      </c>
      <c r="G170" s="44" t="s">
        <v>816</v>
      </c>
      <c r="H170" s="62">
        <v>737100737</v>
      </c>
      <c r="I170" s="62">
        <v>73710074</v>
      </c>
      <c r="J170" s="62">
        <v>89189189</v>
      </c>
      <c r="K170" s="60">
        <f t="shared" si="29"/>
        <v>900000000</v>
      </c>
      <c r="L170" s="75">
        <v>45903</v>
      </c>
      <c r="M170" s="83">
        <v>0</v>
      </c>
      <c r="N170" s="82">
        <v>0</v>
      </c>
      <c r="O170" s="82">
        <v>0</v>
      </c>
      <c r="P170" s="82">
        <v>0</v>
      </c>
      <c r="Q170" s="82">
        <v>0</v>
      </c>
      <c r="R170" s="82">
        <v>0</v>
      </c>
      <c r="S170" s="82">
        <v>794594595</v>
      </c>
      <c r="T170" s="82">
        <v>0</v>
      </c>
      <c r="U170" s="82">
        <v>0</v>
      </c>
      <c r="V170" s="82">
        <v>0</v>
      </c>
      <c r="W170" s="82">
        <v>105405405</v>
      </c>
      <c r="X170" s="82">
        <f t="shared" si="25"/>
        <v>0</v>
      </c>
      <c r="Y170" s="82"/>
      <c r="Z170" s="29">
        <f t="shared" si="26"/>
        <v>-89189189</v>
      </c>
      <c r="AA170" s="97">
        <f>-(H170+I170)*2%</f>
        <v>-16216216.220000001</v>
      </c>
      <c r="AB170" s="82">
        <f>K170+Z170+AA170</f>
        <v>794594594.77999997</v>
      </c>
      <c r="AC170" s="98">
        <v>0</v>
      </c>
      <c r="AD170" s="15"/>
    </row>
    <row r="171" spans="1:31" s="45" customFormat="1">
      <c r="A171" s="43">
        <f t="shared" si="27"/>
        <v>167</v>
      </c>
      <c r="B171" s="15" t="s">
        <v>817</v>
      </c>
      <c r="C171" s="22">
        <v>45870</v>
      </c>
      <c r="D171" s="48">
        <v>2025</v>
      </c>
      <c r="E171" s="38" t="s">
        <v>818</v>
      </c>
      <c r="F171" s="38" t="s">
        <v>1151</v>
      </c>
      <c r="G171" s="44" t="s">
        <v>816</v>
      </c>
      <c r="H171" s="62">
        <v>619885941</v>
      </c>
      <c r="I171" s="62">
        <v>55789735</v>
      </c>
      <c r="J171" s="62">
        <v>74324324</v>
      </c>
      <c r="K171" s="60">
        <f t="shared" si="29"/>
        <v>750000000</v>
      </c>
      <c r="L171" s="75">
        <v>45889</v>
      </c>
      <c r="M171" s="83">
        <v>0</v>
      </c>
      <c r="N171" s="82">
        <v>0</v>
      </c>
      <c r="O171" s="82">
        <v>674559880.89999998</v>
      </c>
      <c r="P171" s="82">
        <v>0</v>
      </c>
      <c r="Q171" s="82">
        <v>0</v>
      </c>
      <c r="R171" s="82">
        <v>0</v>
      </c>
      <c r="S171" s="82">
        <v>0</v>
      </c>
      <c r="T171" s="82">
        <v>0</v>
      </c>
      <c r="U171" s="82">
        <v>0</v>
      </c>
      <c r="V171" s="82">
        <v>0</v>
      </c>
      <c r="W171" s="82">
        <v>75440119.100000024</v>
      </c>
      <c r="X171" s="82">
        <f t="shared" si="25"/>
        <v>0</v>
      </c>
      <c r="Y171" s="82"/>
      <c r="Z171" s="47">
        <f t="shared" si="26"/>
        <v>-74324324</v>
      </c>
      <c r="AA171" s="97">
        <f>-(I171)*2%</f>
        <v>-1115794.7</v>
      </c>
      <c r="AB171" s="82">
        <f>K171+Z171+AA171</f>
        <v>674559881.29999995</v>
      </c>
      <c r="AC171" s="98">
        <v>0</v>
      </c>
      <c r="AD171" s="15"/>
    </row>
    <row r="172" spans="1:31" s="45" customFormat="1">
      <c r="A172" s="43">
        <f t="shared" si="27"/>
        <v>168</v>
      </c>
      <c r="B172" s="15" t="s">
        <v>819</v>
      </c>
      <c r="C172" s="22">
        <v>45877</v>
      </c>
      <c r="D172" s="48">
        <v>2025</v>
      </c>
      <c r="E172" s="44" t="s">
        <v>101</v>
      </c>
      <c r="F172" s="38" t="s">
        <v>465</v>
      </c>
      <c r="G172" s="44" t="s">
        <v>820</v>
      </c>
      <c r="H172" s="62">
        <v>23950123</v>
      </c>
      <c r="I172" s="62">
        <v>0</v>
      </c>
      <c r="J172" s="62">
        <v>263451</v>
      </c>
      <c r="K172" s="60">
        <f t="shared" si="29"/>
        <v>24213574</v>
      </c>
      <c r="L172" s="75">
        <v>45911</v>
      </c>
      <c r="M172" s="83">
        <v>0</v>
      </c>
      <c r="N172" s="82">
        <v>0</v>
      </c>
      <c r="O172" s="82">
        <v>23734572</v>
      </c>
      <c r="P172" s="82">
        <v>0</v>
      </c>
      <c r="Q172" s="82">
        <v>0</v>
      </c>
      <c r="R172" s="82">
        <v>0</v>
      </c>
      <c r="S172" s="82">
        <v>0</v>
      </c>
      <c r="T172" s="82">
        <v>0</v>
      </c>
      <c r="U172" s="82">
        <v>0</v>
      </c>
      <c r="V172" s="82">
        <v>0</v>
      </c>
      <c r="W172" s="82">
        <v>479002</v>
      </c>
      <c r="X172" s="82">
        <f t="shared" si="25"/>
        <v>0</v>
      </c>
      <c r="Y172" s="82"/>
      <c r="Z172" s="29">
        <f t="shared" si="26"/>
        <v>-263451</v>
      </c>
      <c r="AA172" s="97">
        <f>-(H172+I172)*2%</f>
        <v>-479002.46</v>
      </c>
      <c r="AB172" s="82">
        <v>0</v>
      </c>
      <c r="AC172" s="98">
        <f t="shared" ref="AC172:AC179" si="30">K172+AA172</f>
        <v>23734571.539999999</v>
      </c>
      <c r="AD172" s="38"/>
    </row>
    <row r="173" spans="1:31" s="45" customFormat="1">
      <c r="A173" s="43">
        <f t="shared" si="27"/>
        <v>169</v>
      </c>
      <c r="B173" s="15" t="s">
        <v>821</v>
      </c>
      <c r="C173" s="22">
        <v>45877</v>
      </c>
      <c r="D173" s="48">
        <v>2025</v>
      </c>
      <c r="E173" s="44" t="s">
        <v>101</v>
      </c>
      <c r="F173" s="38" t="s">
        <v>465</v>
      </c>
      <c r="G173" s="44" t="s">
        <v>822</v>
      </c>
      <c r="H173" s="62">
        <v>23636289</v>
      </c>
      <c r="I173" s="62">
        <v>0</v>
      </c>
      <c r="J173" s="62">
        <v>259999</v>
      </c>
      <c r="K173" s="60">
        <f t="shared" si="29"/>
        <v>23896288</v>
      </c>
      <c r="L173" s="75">
        <v>45894</v>
      </c>
      <c r="M173" s="83">
        <v>0</v>
      </c>
      <c r="N173" s="82">
        <v>0</v>
      </c>
      <c r="O173" s="82">
        <v>23423562</v>
      </c>
      <c r="P173" s="82">
        <v>0</v>
      </c>
      <c r="Q173" s="82">
        <v>0</v>
      </c>
      <c r="R173" s="82">
        <v>0</v>
      </c>
      <c r="S173" s="82">
        <v>0</v>
      </c>
      <c r="T173" s="82">
        <v>0</v>
      </c>
      <c r="U173" s="82">
        <v>0</v>
      </c>
      <c r="V173" s="82">
        <v>0</v>
      </c>
      <c r="W173" s="82">
        <v>472726</v>
      </c>
      <c r="X173" s="82">
        <f t="shared" si="25"/>
        <v>0</v>
      </c>
      <c r="Y173" s="82"/>
      <c r="Z173" s="47">
        <f t="shared" si="26"/>
        <v>-259999</v>
      </c>
      <c r="AA173" s="97">
        <f>-(H173+I173)*2%</f>
        <v>-472725.78</v>
      </c>
      <c r="AB173" s="82">
        <v>0</v>
      </c>
      <c r="AC173" s="98">
        <f t="shared" si="30"/>
        <v>23423562.219999999</v>
      </c>
      <c r="AD173" s="38" t="s">
        <v>823</v>
      </c>
    </row>
    <row r="174" spans="1:31" s="45" customFormat="1">
      <c r="A174" s="43">
        <f t="shared" si="27"/>
        <v>170</v>
      </c>
      <c r="B174" s="15" t="s">
        <v>824</v>
      </c>
      <c r="C174" s="22">
        <v>45877</v>
      </c>
      <c r="D174" s="48">
        <v>2025</v>
      </c>
      <c r="E174" s="44" t="s">
        <v>101</v>
      </c>
      <c r="F174" s="38" t="s">
        <v>465</v>
      </c>
      <c r="G174" s="44" t="s">
        <v>825</v>
      </c>
      <c r="H174" s="62">
        <v>14686464</v>
      </c>
      <c r="I174" s="62">
        <v>0</v>
      </c>
      <c r="J174" s="62">
        <v>161551</v>
      </c>
      <c r="K174" s="60">
        <f t="shared" si="29"/>
        <v>14848015</v>
      </c>
      <c r="L174" s="75">
        <v>45894</v>
      </c>
      <c r="M174" s="83">
        <v>0</v>
      </c>
      <c r="N174" s="82">
        <v>0</v>
      </c>
      <c r="O174" s="82">
        <v>14848015</v>
      </c>
      <c r="P174" s="82">
        <v>0</v>
      </c>
      <c r="Q174" s="82">
        <v>0</v>
      </c>
      <c r="R174" s="82">
        <v>0</v>
      </c>
      <c r="S174" s="82">
        <v>0</v>
      </c>
      <c r="T174" s="82">
        <v>0</v>
      </c>
      <c r="U174" s="82">
        <v>0</v>
      </c>
      <c r="V174" s="82">
        <v>0</v>
      </c>
      <c r="W174" s="82">
        <v>0</v>
      </c>
      <c r="X174" s="82">
        <f t="shared" si="25"/>
        <v>0</v>
      </c>
      <c r="Y174" s="82"/>
      <c r="Z174" s="47">
        <f t="shared" si="26"/>
        <v>-161551</v>
      </c>
      <c r="AA174" s="97">
        <v>0</v>
      </c>
      <c r="AB174" s="82">
        <v>0</v>
      </c>
      <c r="AC174" s="98">
        <f t="shared" si="30"/>
        <v>14848015</v>
      </c>
      <c r="AD174" s="38" t="s">
        <v>823</v>
      </c>
    </row>
    <row r="175" spans="1:31" s="45" customFormat="1">
      <c r="A175" s="43">
        <f t="shared" si="27"/>
        <v>171</v>
      </c>
      <c r="B175" s="15" t="s">
        <v>826</v>
      </c>
      <c r="C175" s="22">
        <v>45877</v>
      </c>
      <c r="D175" s="48">
        <v>2025</v>
      </c>
      <c r="E175" s="44" t="s">
        <v>101</v>
      </c>
      <c r="F175" s="38" t="s">
        <v>465</v>
      </c>
      <c r="G175" s="44" t="s">
        <v>827</v>
      </c>
      <c r="H175" s="62">
        <v>48592500</v>
      </c>
      <c r="I175" s="62">
        <v>0</v>
      </c>
      <c r="J175" s="62">
        <v>534518</v>
      </c>
      <c r="K175" s="60">
        <f t="shared" si="29"/>
        <v>49127018</v>
      </c>
      <c r="L175" s="75">
        <v>45894</v>
      </c>
      <c r="M175" s="83">
        <v>0</v>
      </c>
      <c r="N175" s="82">
        <v>0</v>
      </c>
      <c r="O175" s="82">
        <v>48155168</v>
      </c>
      <c r="P175" s="82">
        <v>0</v>
      </c>
      <c r="Q175" s="82">
        <v>0</v>
      </c>
      <c r="R175" s="82">
        <v>0</v>
      </c>
      <c r="S175" s="82">
        <v>0</v>
      </c>
      <c r="T175" s="82">
        <v>0</v>
      </c>
      <c r="U175" s="82">
        <v>0</v>
      </c>
      <c r="V175" s="82">
        <v>0</v>
      </c>
      <c r="W175" s="82">
        <v>971850</v>
      </c>
      <c r="X175" s="82">
        <f t="shared" si="25"/>
        <v>0</v>
      </c>
      <c r="Y175" s="82"/>
      <c r="Z175" s="47">
        <f t="shared" si="26"/>
        <v>-534518</v>
      </c>
      <c r="AA175" s="97">
        <f>-(H175+I175)*2%</f>
        <v>-971850</v>
      </c>
      <c r="AB175" s="82">
        <v>0</v>
      </c>
      <c r="AC175" s="98">
        <f t="shared" si="30"/>
        <v>48155168</v>
      </c>
      <c r="AD175" s="38" t="s">
        <v>823</v>
      </c>
    </row>
    <row r="176" spans="1:31" s="45" customFormat="1">
      <c r="A176" s="43">
        <f t="shared" si="27"/>
        <v>172</v>
      </c>
      <c r="B176" s="15" t="s">
        <v>828</v>
      </c>
      <c r="C176" s="22">
        <v>45877</v>
      </c>
      <c r="D176" s="48">
        <v>2025</v>
      </c>
      <c r="E176" s="44" t="s">
        <v>101</v>
      </c>
      <c r="F176" s="38" t="s">
        <v>465</v>
      </c>
      <c r="G176" s="44" t="s">
        <v>829</v>
      </c>
      <c r="H176" s="62">
        <v>1045000</v>
      </c>
      <c r="I176" s="62">
        <v>0</v>
      </c>
      <c r="J176" s="62">
        <v>11495</v>
      </c>
      <c r="K176" s="60">
        <f t="shared" si="29"/>
        <v>1056495</v>
      </c>
      <c r="L176" s="75">
        <v>45894</v>
      </c>
      <c r="M176" s="83">
        <v>0</v>
      </c>
      <c r="N176" s="82">
        <v>0</v>
      </c>
      <c r="O176" s="82">
        <v>1056495</v>
      </c>
      <c r="P176" s="82">
        <v>0</v>
      </c>
      <c r="Q176" s="82">
        <v>0</v>
      </c>
      <c r="R176" s="82">
        <v>0</v>
      </c>
      <c r="S176" s="82">
        <v>0</v>
      </c>
      <c r="T176" s="82">
        <v>0</v>
      </c>
      <c r="U176" s="82">
        <v>0</v>
      </c>
      <c r="V176" s="82">
        <v>0</v>
      </c>
      <c r="W176" s="82">
        <v>0</v>
      </c>
      <c r="X176" s="82">
        <f t="shared" si="25"/>
        <v>0</v>
      </c>
      <c r="Y176" s="82"/>
      <c r="Z176" s="47">
        <f t="shared" si="26"/>
        <v>-11495</v>
      </c>
      <c r="AA176" s="97">
        <v>0</v>
      </c>
      <c r="AB176" s="82">
        <v>0</v>
      </c>
      <c r="AC176" s="98">
        <f t="shared" si="30"/>
        <v>1056495</v>
      </c>
      <c r="AD176" s="38" t="s">
        <v>823</v>
      </c>
    </row>
    <row r="177" spans="1:31" s="45" customFormat="1">
      <c r="A177" s="43">
        <f t="shared" si="27"/>
        <v>173</v>
      </c>
      <c r="B177" s="15" t="s">
        <v>830</v>
      </c>
      <c r="C177" s="22">
        <v>45877</v>
      </c>
      <c r="D177" s="48">
        <v>2025</v>
      </c>
      <c r="E177" s="44" t="s">
        <v>101</v>
      </c>
      <c r="F177" s="38" t="s">
        <v>465</v>
      </c>
      <c r="G177" s="44" t="s">
        <v>831</v>
      </c>
      <c r="H177" s="62">
        <v>91475934</v>
      </c>
      <c r="I177" s="62">
        <v>0</v>
      </c>
      <c r="J177" s="62">
        <v>1006235</v>
      </c>
      <c r="K177" s="60">
        <f t="shared" si="29"/>
        <v>92482169</v>
      </c>
      <c r="L177" s="75">
        <v>45894</v>
      </c>
      <c r="M177" s="83">
        <v>0</v>
      </c>
      <c r="N177" s="82">
        <v>0</v>
      </c>
      <c r="O177" s="82">
        <v>90652650</v>
      </c>
      <c r="P177" s="82">
        <v>0</v>
      </c>
      <c r="Q177" s="82">
        <v>0</v>
      </c>
      <c r="R177" s="82">
        <v>0</v>
      </c>
      <c r="S177" s="82">
        <v>0</v>
      </c>
      <c r="T177" s="82">
        <v>0</v>
      </c>
      <c r="U177" s="82">
        <v>0</v>
      </c>
      <c r="V177" s="82">
        <v>0</v>
      </c>
      <c r="W177" s="82">
        <v>1829519</v>
      </c>
      <c r="X177" s="82">
        <f t="shared" si="25"/>
        <v>0</v>
      </c>
      <c r="Y177" s="82"/>
      <c r="Z177" s="47">
        <f t="shared" si="26"/>
        <v>-1006235</v>
      </c>
      <c r="AA177" s="97">
        <f>-(H177+I177)*2%</f>
        <v>-1829518.68</v>
      </c>
      <c r="AB177" s="82">
        <v>0</v>
      </c>
      <c r="AC177" s="98">
        <f t="shared" si="30"/>
        <v>90652650.319999993</v>
      </c>
      <c r="AD177" s="38" t="s">
        <v>823</v>
      </c>
    </row>
    <row r="178" spans="1:31" s="45" customFormat="1">
      <c r="A178" s="43">
        <f t="shared" si="27"/>
        <v>174</v>
      </c>
      <c r="B178" s="15" t="s">
        <v>832</v>
      </c>
      <c r="C178" s="22">
        <v>45877</v>
      </c>
      <c r="D178" s="48">
        <v>2025</v>
      </c>
      <c r="E178" s="44" t="s">
        <v>101</v>
      </c>
      <c r="F178" s="38" t="s">
        <v>465</v>
      </c>
      <c r="G178" s="44" t="s">
        <v>833</v>
      </c>
      <c r="H178" s="62">
        <v>18865000</v>
      </c>
      <c r="I178" s="62">
        <v>0</v>
      </c>
      <c r="J178" s="62">
        <v>207515</v>
      </c>
      <c r="K178" s="60">
        <f t="shared" si="29"/>
        <v>19072515</v>
      </c>
      <c r="L178" s="75">
        <v>45894</v>
      </c>
      <c r="M178" s="83">
        <v>0</v>
      </c>
      <c r="N178" s="82">
        <v>0</v>
      </c>
      <c r="O178" s="82">
        <v>18695215</v>
      </c>
      <c r="P178" s="82">
        <v>0</v>
      </c>
      <c r="Q178" s="82">
        <v>0</v>
      </c>
      <c r="R178" s="82">
        <v>0</v>
      </c>
      <c r="S178" s="82">
        <v>0</v>
      </c>
      <c r="T178" s="82">
        <v>0</v>
      </c>
      <c r="U178" s="82">
        <v>0</v>
      </c>
      <c r="V178" s="82">
        <v>0</v>
      </c>
      <c r="W178" s="82">
        <v>377300</v>
      </c>
      <c r="X178" s="82">
        <f t="shared" si="25"/>
        <v>0</v>
      </c>
      <c r="Y178" s="82"/>
      <c r="Z178" s="47">
        <f t="shared" si="26"/>
        <v>-207515</v>
      </c>
      <c r="AA178" s="97">
        <f>-(H178+I178)*2%</f>
        <v>-377300</v>
      </c>
      <c r="AB178" s="82">
        <v>0</v>
      </c>
      <c r="AC178" s="98">
        <f t="shared" si="30"/>
        <v>18695215</v>
      </c>
      <c r="AD178" s="38" t="s">
        <v>823</v>
      </c>
    </row>
    <row r="179" spans="1:31" s="45" customFormat="1">
      <c r="A179" s="43">
        <f t="shared" si="27"/>
        <v>175</v>
      </c>
      <c r="B179" s="15" t="s">
        <v>834</v>
      </c>
      <c r="C179" s="22">
        <v>45880</v>
      </c>
      <c r="D179" s="48">
        <v>2025</v>
      </c>
      <c r="E179" s="44" t="s">
        <v>101</v>
      </c>
      <c r="F179" s="38" t="s">
        <v>465</v>
      </c>
      <c r="G179" s="44" t="s">
        <v>835</v>
      </c>
      <c r="H179" s="62">
        <v>25591853</v>
      </c>
      <c r="I179" s="62">
        <v>0</v>
      </c>
      <c r="J179" s="62">
        <v>281510</v>
      </c>
      <c r="K179" s="60">
        <f t="shared" si="29"/>
        <v>25873363</v>
      </c>
      <c r="L179" s="75">
        <v>45894</v>
      </c>
      <c r="M179" s="83">
        <v>0</v>
      </c>
      <c r="N179" s="82">
        <v>0</v>
      </c>
      <c r="O179" s="82">
        <v>25873363</v>
      </c>
      <c r="P179" s="82">
        <v>0</v>
      </c>
      <c r="Q179" s="82">
        <v>0</v>
      </c>
      <c r="R179" s="82">
        <v>0</v>
      </c>
      <c r="S179" s="82">
        <v>0</v>
      </c>
      <c r="T179" s="82">
        <v>0</v>
      </c>
      <c r="U179" s="82">
        <v>0</v>
      </c>
      <c r="V179" s="82">
        <v>0</v>
      </c>
      <c r="W179" s="82">
        <v>0</v>
      </c>
      <c r="X179" s="82">
        <f t="shared" si="25"/>
        <v>0</v>
      </c>
      <c r="Y179" s="82"/>
      <c r="Z179" s="47">
        <f t="shared" si="26"/>
        <v>-281510</v>
      </c>
      <c r="AA179" s="97">
        <v>0</v>
      </c>
      <c r="AB179" s="82">
        <v>0</v>
      </c>
      <c r="AC179" s="98">
        <f t="shared" si="30"/>
        <v>25873363</v>
      </c>
      <c r="AD179" s="38" t="s">
        <v>823</v>
      </c>
      <c r="AE179" s="70" t="s">
        <v>19</v>
      </c>
    </row>
    <row r="180" spans="1:31" s="120" customFormat="1">
      <c r="A180" s="107">
        <f t="shared" si="27"/>
        <v>176</v>
      </c>
      <c r="B180" s="50" t="s">
        <v>836</v>
      </c>
      <c r="C180" s="124">
        <v>45880</v>
      </c>
      <c r="D180" s="14">
        <v>2024</v>
      </c>
      <c r="E180" s="77" t="s">
        <v>19</v>
      </c>
      <c r="F180" s="77" t="s">
        <v>19</v>
      </c>
      <c r="G180" s="77" t="s">
        <v>1131</v>
      </c>
      <c r="H180" s="114">
        <v>0</v>
      </c>
      <c r="I180" s="114">
        <v>0</v>
      </c>
      <c r="J180" s="114">
        <v>0</v>
      </c>
      <c r="K180" s="108">
        <f t="shared" si="29"/>
        <v>0</v>
      </c>
      <c r="L180" s="115" t="s">
        <v>19</v>
      </c>
      <c r="M180" s="116">
        <v>0</v>
      </c>
      <c r="N180" s="105">
        <v>0</v>
      </c>
      <c r="O180" s="105">
        <v>0</v>
      </c>
      <c r="P180" s="105">
        <v>0</v>
      </c>
      <c r="Q180" s="105">
        <v>0</v>
      </c>
      <c r="R180" s="105">
        <v>0</v>
      </c>
      <c r="S180" s="105">
        <v>0</v>
      </c>
      <c r="T180" s="105">
        <v>0</v>
      </c>
      <c r="U180" s="105">
        <v>0</v>
      </c>
      <c r="V180" s="105">
        <v>0</v>
      </c>
      <c r="W180" s="105">
        <v>0</v>
      </c>
      <c r="X180" s="105">
        <f t="shared" si="25"/>
        <v>0</v>
      </c>
      <c r="Y180" s="105"/>
      <c r="Z180" s="117">
        <f t="shared" si="26"/>
        <v>0</v>
      </c>
      <c r="AA180" s="118">
        <v>0</v>
      </c>
      <c r="AB180" s="105">
        <v>0</v>
      </c>
      <c r="AC180" s="119">
        <v>0</v>
      </c>
      <c r="AD180" s="50" t="s">
        <v>837</v>
      </c>
    </row>
    <row r="181" spans="1:31" s="45" customFormat="1">
      <c r="A181" s="43">
        <f t="shared" si="27"/>
        <v>177</v>
      </c>
      <c r="B181" s="15" t="s">
        <v>838</v>
      </c>
      <c r="C181" s="22">
        <v>45884</v>
      </c>
      <c r="D181" s="48">
        <v>2025</v>
      </c>
      <c r="E181" s="44" t="s">
        <v>99</v>
      </c>
      <c r="F181" s="44" t="s">
        <v>299</v>
      </c>
      <c r="G181" s="44" t="s">
        <v>839</v>
      </c>
      <c r="H181" s="62">
        <v>178200000</v>
      </c>
      <c r="I181" s="62">
        <v>19800000</v>
      </c>
      <c r="J181" s="62">
        <v>2178000</v>
      </c>
      <c r="K181" s="60">
        <f t="shared" si="29"/>
        <v>200178000</v>
      </c>
      <c r="L181" s="75">
        <v>45889</v>
      </c>
      <c r="M181" s="83">
        <v>0</v>
      </c>
      <c r="N181" s="82">
        <v>0</v>
      </c>
      <c r="O181" s="82">
        <v>199782000</v>
      </c>
      <c r="P181" s="82">
        <v>0</v>
      </c>
      <c r="Q181" s="82">
        <v>0</v>
      </c>
      <c r="R181" s="82">
        <v>0</v>
      </c>
      <c r="S181" s="82">
        <v>0</v>
      </c>
      <c r="T181" s="82">
        <v>0</v>
      </c>
      <c r="U181" s="82">
        <v>0</v>
      </c>
      <c r="V181" s="82">
        <v>0</v>
      </c>
      <c r="W181" s="82">
        <v>396000</v>
      </c>
      <c r="X181" s="82">
        <f t="shared" si="25"/>
        <v>0</v>
      </c>
      <c r="Y181" s="82"/>
      <c r="Z181" s="47">
        <f t="shared" si="26"/>
        <v>-2178000</v>
      </c>
      <c r="AA181" s="97">
        <f>-(I181)*2%</f>
        <v>-396000</v>
      </c>
      <c r="AB181" s="82">
        <v>0</v>
      </c>
      <c r="AC181" s="98">
        <f>K181+AA181</f>
        <v>199782000</v>
      </c>
      <c r="AD181" s="38" t="s">
        <v>840</v>
      </c>
    </row>
    <row r="182" spans="1:31" s="45" customFormat="1">
      <c r="A182" s="43">
        <f t="shared" si="27"/>
        <v>178</v>
      </c>
      <c r="B182" s="15" t="s">
        <v>841</v>
      </c>
      <c r="C182" s="22">
        <v>45884</v>
      </c>
      <c r="D182" s="14">
        <v>2025</v>
      </c>
      <c r="E182" s="44" t="s">
        <v>99</v>
      </c>
      <c r="F182" s="44" t="s">
        <v>299</v>
      </c>
      <c r="G182" s="44" t="s">
        <v>842</v>
      </c>
      <c r="H182" s="62">
        <v>17691020</v>
      </c>
      <c r="I182" s="62">
        <v>1965669</v>
      </c>
      <c r="J182" s="62">
        <v>216224</v>
      </c>
      <c r="K182" s="60">
        <f t="shared" si="29"/>
        <v>19872913</v>
      </c>
      <c r="L182" s="75"/>
      <c r="M182" s="83">
        <v>0</v>
      </c>
      <c r="N182" s="82">
        <v>0</v>
      </c>
      <c r="O182" s="82">
        <v>0</v>
      </c>
      <c r="P182" s="82">
        <v>0</v>
      </c>
      <c r="Q182" s="82">
        <v>0</v>
      </c>
      <c r="R182" s="82">
        <v>0</v>
      </c>
      <c r="S182" s="82">
        <v>0</v>
      </c>
      <c r="T182" s="82">
        <v>0</v>
      </c>
      <c r="U182" s="82">
        <v>0</v>
      </c>
      <c r="V182" s="82">
        <v>0</v>
      </c>
      <c r="W182" s="82">
        <v>0</v>
      </c>
      <c r="X182" s="82">
        <f t="shared" si="25"/>
        <v>19872913</v>
      </c>
      <c r="Y182" s="82"/>
      <c r="Z182" s="47">
        <f t="shared" si="26"/>
        <v>-216224</v>
      </c>
      <c r="AA182" s="97">
        <f>-(I182)*2%</f>
        <v>-39313.379999999997</v>
      </c>
      <c r="AB182" s="82">
        <v>0</v>
      </c>
      <c r="AC182" s="98">
        <f>K182+AA182</f>
        <v>19833599.620000001</v>
      </c>
      <c r="AD182" s="38"/>
    </row>
    <row r="183" spans="1:31" s="45" customFormat="1">
      <c r="A183" s="43">
        <f t="shared" si="27"/>
        <v>179</v>
      </c>
      <c r="B183" s="15" t="s">
        <v>843</v>
      </c>
      <c r="C183" s="22">
        <v>45884</v>
      </c>
      <c r="D183" s="48">
        <v>2025</v>
      </c>
      <c r="E183" s="44" t="s">
        <v>99</v>
      </c>
      <c r="F183" s="44" t="s">
        <v>299</v>
      </c>
      <c r="G183" s="44" t="s">
        <v>844</v>
      </c>
      <c r="H183" s="62">
        <v>132042312</v>
      </c>
      <c r="I183" s="62">
        <v>14671368</v>
      </c>
      <c r="J183" s="62">
        <v>1613850</v>
      </c>
      <c r="K183" s="60">
        <f t="shared" si="29"/>
        <v>148327530</v>
      </c>
      <c r="L183" s="75">
        <v>45889</v>
      </c>
      <c r="M183" s="83">
        <v>0</v>
      </c>
      <c r="N183" s="82">
        <v>0</v>
      </c>
      <c r="O183" s="82">
        <v>148034103</v>
      </c>
      <c r="P183" s="82">
        <v>0</v>
      </c>
      <c r="Q183" s="82">
        <v>0</v>
      </c>
      <c r="R183" s="82">
        <v>0</v>
      </c>
      <c r="S183" s="82">
        <v>0</v>
      </c>
      <c r="T183" s="82">
        <v>0</v>
      </c>
      <c r="U183" s="82">
        <v>0</v>
      </c>
      <c r="V183" s="82">
        <v>0</v>
      </c>
      <c r="W183" s="82">
        <v>293427</v>
      </c>
      <c r="X183" s="82">
        <f t="shared" si="25"/>
        <v>0</v>
      </c>
      <c r="Y183" s="82"/>
      <c r="Z183" s="47">
        <f t="shared" si="26"/>
        <v>-1613850</v>
      </c>
      <c r="AA183" s="97">
        <f>-(I183)*2%</f>
        <v>-293427.36</v>
      </c>
      <c r="AB183" s="82">
        <v>0</v>
      </c>
      <c r="AC183" s="98">
        <f>K183+AA183</f>
        <v>148034102.63999999</v>
      </c>
      <c r="AD183" s="38" t="s">
        <v>840</v>
      </c>
    </row>
    <row r="184" spans="1:31" s="45" customFormat="1">
      <c r="A184" s="43">
        <f t="shared" si="27"/>
        <v>180</v>
      </c>
      <c r="B184" s="15" t="s">
        <v>845</v>
      </c>
      <c r="C184" s="22">
        <v>45884</v>
      </c>
      <c r="D184" s="48">
        <v>2025</v>
      </c>
      <c r="E184" s="44" t="s">
        <v>99</v>
      </c>
      <c r="F184" s="44" t="s">
        <v>299</v>
      </c>
      <c r="G184" s="44" t="s">
        <v>846</v>
      </c>
      <c r="H184" s="62">
        <v>133328606</v>
      </c>
      <c r="I184" s="62">
        <v>14814289</v>
      </c>
      <c r="J184" s="62">
        <v>1629572</v>
      </c>
      <c r="K184" s="60">
        <f t="shared" si="29"/>
        <v>149772467</v>
      </c>
      <c r="L184" s="75">
        <v>45889</v>
      </c>
      <c r="M184" s="83">
        <v>0</v>
      </c>
      <c r="N184" s="82">
        <v>0</v>
      </c>
      <c r="O184" s="82">
        <v>149476181</v>
      </c>
      <c r="P184" s="82">
        <v>0</v>
      </c>
      <c r="Q184" s="82">
        <v>0</v>
      </c>
      <c r="R184" s="82">
        <v>0</v>
      </c>
      <c r="S184" s="82">
        <v>0</v>
      </c>
      <c r="T184" s="82">
        <v>0</v>
      </c>
      <c r="U184" s="82">
        <v>0</v>
      </c>
      <c r="V184" s="82">
        <v>0</v>
      </c>
      <c r="W184" s="82">
        <v>296286</v>
      </c>
      <c r="X184" s="82">
        <f t="shared" si="25"/>
        <v>0</v>
      </c>
      <c r="Y184" s="82"/>
      <c r="Z184" s="47">
        <f t="shared" si="26"/>
        <v>-1629572</v>
      </c>
      <c r="AA184" s="97">
        <f>-(I184)*2%</f>
        <v>-296285.78000000003</v>
      </c>
      <c r="AB184" s="82">
        <v>0</v>
      </c>
      <c r="AC184" s="98">
        <f>K184+AA184</f>
        <v>149476181.22</v>
      </c>
      <c r="AD184" s="38" t="s">
        <v>840</v>
      </c>
    </row>
    <row r="185" spans="1:31" s="45" customFormat="1">
      <c r="A185" s="43">
        <f t="shared" si="27"/>
        <v>181</v>
      </c>
      <c r="B185" s="15" t="s">
        <v>847</v>
      </c>
      <c r="C185" s="22">
        <v>45884</v>
      </c>
      <c r="D185" s="48">
        <v>2025</v>
      </c>
      <c r="E185" s="44" t="s">
        <v>848</v>
      </c>
      <c r="F185" s="44" t="s">
        <v>849</v>
      </c>
      <c r="G185" s="44" t="s">
        <v>850</v>
      </c>
      <c r="H185" s="62">
        <v>6000000</v>
      </c>
      <c r="I185" s="62">
        <v>600000</v>
      </c>
      <c r="J185" s="62">
        <v>726000</v>
      </c>
      <c r="K185" s="60">
        <f t="shared" si="29"/>
        <v>7326000</v>
      </c>
      <c r="L185" s="75">
        <v>45889</v>
      </c>
      <c r="M185" s="83">
        <v>0</v>
      </c>
      <c r="N185" s="82">
        <v>7326000</v>
      </c>
      <c r="O185" s="82">
        <v>0</v>
      </c>
      <c r="P185" s="82">
        <v>0</v>
      </c>
      <c r="Q185" s="82">
        <v>0</v>
      </c>
      <c r="R185" s="82">
        <v>0</v>
      </c>
      <c r="S185" s="82">
        <v>0</v>
      </c>
      <c r="T185" s="82">
        <v>0</v>
      </c>
      <c r="U185" s="82">
        <v>0</v>
      </c>
      <c r="V185" s="82">
        <v>0</v>
      </c>
      <c r="W185" s="82">
        <v>0</v>
      </c>
      <c r="X185" s="82">
        <f t="shared" si="25"/>
        <v>0</v>
      </c>
      <c r="Y185" s="82"/>
      <c r="Z185" s="47">
        <f t="shared" si="26"/>
        <v>-726000</v>
      </c>
      <c r="AA185" s="97">
        <v>0</v>
      </c>
      <c r="AB185" s="82">
        <v>0</v>
      </c>
      <c r="AC185" s="98">
        <f>K185+AA185</f>
        <v>7326000</v>
      </c>
      <c r="AD185" s="38"/>
    </row>
    <row r="186" spans="1:31" s="45" customFormat="1">
      <c r="A186" s="43">
        <f t="shared" si="27"/>
        <v>182</v>
      </c>
      <c r="B186" s="15" t="s">
        <v>851</v>
      </c>
      <c r="C186" s="22">
        <v>45887</v>
      </c>
      <c r="D186" s="48">
        <v>2025</v>
      </c>
      <c r="E186" s="44" t="s">
        <v>98</v>
      </c>
      <c r="F186" s="44" t="s">
        <v>638</v>
      </c>
      <c r="G186" s="44" t="s">
        <v>852</v>
      </c>
      <c r="H186" s="62">
        <v>63346343</v>
      </c>
      <c r="I186" s="62">
        <v>0</v>
      </c>
      <c r="J186" s="62">
        <v>6968098</v>
      </c>
      <c r="K186" s="60">
        <f t="shared" si="29"/>
        <v>70314441</v>
      </c>
      <c r="L186" s="75">
        <v>45917</v>
      </c>
      <c r="M186" s="83">
        <v>0</v>
      </c>
      <c r="N186" s="82">
        <v>0</v>
      </c>
      <c r="O186" s="82">
        <v>62079416</v>
      </c>
      <c r="P186" s="82">
        <v>0</v>
      </c>
      <c r="Q186" s="82">
        <v>0</v>
      </c>
      <c r="R186" s="82">
        <v>0</v>
      </c>
      <c r="S186" s="82">
        <v>0</v>
      </c>
      <c r="T186" s="82">
        <v>0</v>
      </c>
      <c r="U186" s="82">
        <v>0</v>
      </c>
      <c r="V186" s="82">
        <v>0</v>
      </c>
      <c r="W186" s="82">
        <v>8235025</v>
      </c>
      <c r="X186" s="82">
        <f t="shared" si="25"/>
        <v>0</v>
      </c>
      <c r="Y186" s="82"/>
      <c r="Z186" s="29">
        <f t="shared" si="26"/>
        <v>-6968098</v>
      </c>
      <c r="AA186" s="97">
        <f>-(H186+I186)*2%</f>
        <v>-1266926.8600000001</v>
      </c>
      <c r="AB186" s="82">
        <f>K186+Z186+AA186</f>
        <v>62079416.140000001</v>
      </c>
      <c r="AC186" s="98">
        <v>0</v>
      </c>
      <c r="AD186" s="38"/>
    </row>
    <row r="187" spans="1:31" s="45" customFormat="1">
      <c r="A187" s="43">
        <f t="shared" si="27"/>
        <v>183</v>
      </c>
      <c r="B187" s="15" t="s">
        <v>853</v>
      </c>
      <c r="C187" s="22">
        <v>45891</v>
      </c>
      <c r="D187" s="48">
        <v>2025</v>
      </c>
      <c r="E187" s="44" t="s">
        <v>854</v>
      </c>
      <c r="F187" s="44" t="s">
        <v>634</v>
      </c>
      <c r="G187" s="44" t="s">
        <v>635</v>
      </c>
      <c r="H187" s="62">
        <v>68932417</v>
      </c>
      <c r="I187" s="62">
        <v>6893242</v>
      </c>
      <c r="J187" s="62">
        <v>834082</v>
      </c>
      <c r="K187" s="60">
        <f t="shared" si="29"/>
        <v>76659741</v>
      </c>
      <c r="L187" s="75">
        <v>45953</v>
      </c>
      <c r="M187" s="83">
        <v>0</v>
      </c>
      <c r="N187" s="82">
        <v>76659742</v>
      </c>
      <c r="O187" s="82">
        <v>0</v>
      </c>
      <c r="P187" s="82">
        <v>0</v>
      </c>
      <c r="Q187" s="82">
        <v>0</v>
      </c>
      <c r="R187" s="82">
        <v>0</v>
      </c>
      <c r="S187" s="82">
        <v>0</v>
      </c>
      <c r="T187" s="82">
        <v>0</v>
      </c>
      <c r="U187" s="82">
        <v>0</v>
      </c>
      <c r="V187" s="82">
        <v>0</v>
      </c>
      <c r="W187" s="82">
        <v>-1</v>
      </c>
      <c r="X187" s="82">
        <f t="shared" si="25"/>
        <v>0</v>
      </c>
      <c r="Y187" s="82"/>
      <c r="Z187" s="29">
        <f t="shared" si="26"/>
        <v>-834082</v>
      </c>
      <c r="AA187" s="97">
        <v>0</v>
      </c>
      <c r="AB187" s="82">
        <v>0</v>
      </c>
      <c r="AC187" s="98">
        <f>K187+AA187</f>
        <v>76659741</v>
      </c>
      <c r="AD187" s="44"/>
    </row>
    <row r="188" spans="1:31" s="45" customFormat="1">
      <c r="A188" s="43">
        <f t="shared" si="27"/>
        <v>184</v>
      </c>
      <c r="B188" s="15" t="s">
        <v>855</v>
      </c>
      <c r="C188" s="22">
        <v>45891</v>
      </c>
      <c r="D188" s="48">
        <v>2025</v>
      </c>
      <c r="E188" s="44" t="s">
        <v>633</v>
      </c>
      <c r="F188" s="44" t="s">
        <v>634</v>
      </c>
      <c r="G188" s="44" t="s">
        <v>635</v>
      </c>
      <c r="H188" s="62">
        <v>172857233</v>
      </c>
      <c r="I188" s="62">
        <v>17285723</v>
      </c>
      <c r="J188" s="62">
        <v>2091573</v>
      </c>
      <c r="K188" s="60">
        <f t="shared" si="29"/>
        <v>192234529</v>
      </c>
      <c r="L188" s="75">
        <v>45898</v>
      </c>
      <c r="M188" s="83">
        <v>0</v>
      </c>
      <c r="N188" s="82">
        <v>191888814</v>
      </c>
      <c r="O188" s="82">
        <v>0</v>
      </c>
      <c r="P188" s="82">
        <v>0</v>
      </c>
      <c r="Q188" s="82">
        <v>0</v>
      </c>
      <c r="R188" s="82">
        <v>0</v>
      </c>
      <c r="S188" s="82">
        <v>0</v>
      </c>
      <c r="T188" s="82">
        <v>0</v>
      </c>
      <c r="U188" s="82">
        <v>0</v>
      </c>
      <c r="V188" s="82">
        <v>0</v>
      </c>
      <c r="W188" s="82">
        <v>345715</v>
      </c>
      <c r="X188" s="82">
        <f t="shared" si="25"/>
        <v>0</v>
      </c>
      <c r="Y188" s="82"/>
      <c r="Z188" s="47">
        <f t="shared" si="26"/>
        <v>-2091573</v>
      </c>
      <c r="AA188" s="97">
        <f>-(I188)*2%</f>
        <v>-345714.46</v>
      </c>
      <c r="AB188" s="82">
        <v>0</v>
      </c>
      <c r="AC188" s="98">
        <f>K188+AA188</f>
        <v>191888814.53999999</v>
      </c>
      <c r="AD188" s="38"/>
    </row>
    <row r="189" spans="1:31" s="45" customFormat="1">
      <c r="A189" s="43">
        <f t="shared" si="27"/>
        <v>185</v>
      </c>
      <c r="B189" s="15" t="s">
        <v>856</v>
      </c>
      <c r="C189" s="22">
        <v>45891</v>
      </c>
      <c r="D189" s="48">
        <v>2025</v>
      </c>
      <c r="E189" s="44" t="s">
        <v>633</v>
      </c>
      <c r="F189" s="44" t="s">
        <v>634</v>
      </c>
      <c r="G189" s="44" t="s">
        <v>857</v>
      </c>
      <c r="H189" s="62">
        <v>18562550</v>
      </c>
      <c r="I189" s="62">
        <v>1856255</v>
      </c>
      <c r="J189" s="62">
        <v>224607</v>
      </c>
      <c r="K189" s="60">
        <f t="shared" si="29"/>
        <v>20643412</v>
      </c>
      <c r="L189" s="75">
        <v>45940</v>
      </c>
      <c r="M189" s="83">
        <v>0</v>
      </c>
      <c r="N189" s="82">
        <v>20606287</v>
      </c>
      <c r="O189" s="82">
        <v>0</v>
      </c>
      <c r="P189" s="82">
        <v>0</v>
      </c>
      <c r="Q189" s="82">
        <v>0</v>
      </c>
      <c r="R189" s="82">
        <v>0</v>
      </c>
      <c r="S189" s="82">
        <v>0</v>
      </c>
      <c r="T189" s="82">
        <v>0</v>
      </c>
      <c r="U189" s="82">
        <v>0</v>
      </c>
      <c r="V189" s="82">
        <v>0</v>
      </c>
      <c r="W189" s="82">
        <v>37125</v>
      </c>
      <c r="X189" s="82">
        <f t="shared" si="25"/>
        <v>0</v>
      </c>
      <c r="Y189" s="82"/>
      <c r="Z189" s="29">
        <f t="shared" si="26"/>
        <v>-224607</v>
      </c>
      <c r="AA189" s="97">
        <f>-(I189)*2%</f>
        <v>-37125.1</v>
      </c>
      <c r="AB189" s="82">
        <v>0</v>
      </c>
      <c r="AC189" s="98">
        <f>K189+AA189</f>
        <v>20606286.899999999</v>
      </c>
      <c r="AD189" s="38"/>
    </row>
    <row r="190" spans="1:31" s="120" customFormat="1">
      <c r="A190" s="107">
        <f t="shared" si="27"/>
        <v>186</v>
      </c>
      <c r="B190" s="50" t="s">
        <v>858</v>
      </c>
      <c r="C190" s="124">
        <v>45891</v>
      </c>
      <c r="D190" s="14">
        <v>2024</v>
      </c>
      <c r="E190" s="77" t="s">
        <v>19</v>
      </c>
      <c r="F190" s="77" t="s">
        <v>19</v>
      </c>
      <c r="G190" s="77" t="s">
        <v>1095</v>
      </c>
      <c r="H190" s="114">
        <v>0</v>
      </c>
      <c r="I190" s="114">
        <v>0</v>
      </c>
      <c r="J190" s="114">
        <v>0</v>
      </c>
      <c r="K190" s="108">
        <f t="shared" si="29"/>
        <v>0</v>
      </c>
      <c r="L190" s="115"/>
      <c r="M190" s="116">
        <v>0</v>
      </c>
      <c r="N190" s="105">
        <v>0</v>
      </c>
      <c r="O190" s="105">
        <v>0</v>
      </c>
      <c r="P190" s="105">
        <v>0</v>
      </c>
      <c r="Q190" s="105">
        <v>0</v>
      </c>
      <c r="R190" s="105">
        <v>0</v>
      </c>
      <c r="S190" s="105">
        <v>0</v>
      </c>
      <c r="T190" s="105">
        <v>0</v>
      </c>
      <c r="U190" s="105">
        <v>0</v>
      </c>
      <c r="V190" s="105">
        <v>0</v>
      </c>
      <c r="W190" s="105">
        <v>0</v>
      </c>
      <c r="X190" s="105">
        <f t="shared" si="25"/>
        <v>0</v>
      </c>
      <c r="Y190" s="105"/>
      <c r="Z190" s="117">
        <f t="shared" si="26"/>
        <v>0</v>
      </c>
      <c r="AA190" s="118">
        <f>-(H190+I190)*2%</f>
        <v>0</v>
      </c>
      <c r="AB190" s="105">
        <f>K190+Z190+AA190</f>
        <v>0</v>
      </c>
      <c r="AC190" s="119">
        <v>0</v>
      </c>
      <c r="AD190" s="50"/>
    </row>
    <row r="191" spans="1:31" s="45" customFormat="1">
      <c r="A191" s="43">
        <f t="shared" si="27"/>
        <v>187</v>
      </c>
      <c r="B191" s="15" t="s">
        <v>859</v>
      </c>
      <c r="C191" s="22">
        <v>45891</v>
      </c>
      <c r="D191" s="48">
        <v>2025</v>
      </c>
      <c r="E191" s="44" t="s">
        <v>860</v>
      </c>
      <c r="F191" s="44" t="s">
        <v>643</v>
      </c>
      <c r="G191" s="44" t="s">
        <v>644</v>
      </c>
      <c r="H191" s="62">
        <v>31250000</v>
      </c>
      <c r="I191" s="62">
        <v>3125000</v>
      </c>
      <c r="J191" s="62">
        <v>3781250</v>
      </c>
      <c r="K191" s="60">
        <f t="shared" si="29"/>
        <v>38156250</v>
      </c>
      <c r="L191" s="75">
        <v>45938</v>
      </c>
      <c r="M191" s="83">
        <v>0</v>
      </c>
      <c r="N191" s="82">
        <v>0</v>
      </c>
      <c r="O191" s="82">
        <v>0</v>
      </c>
      <c r="P191" s="82">
        <v>38093750</v>
      </c>
      <c r="Q191" s="82">
        <v>0</v>
      </c>
      <c r="R191" s="82">
        <v>0</v>
      </c>
      <c r="S191" s="82">
        <v>0</v>
      </c>
      <c r="T191" s="82">
        <v>0</v>
      </c>
      <c r="U191" s="82">
        <v>0</v>
      </c>
      <c r="V191" s="82">
        <v>0</v>
      </c>
      <c r="W191" s="82">
        <v>62500</v>
      </c>
      <c r="X191" s="82">
        <f t="shared" si="25"/>
        <v>0</v>
      </c>
      <c r="Y191" s="82"/>
      <c r="Z191" s="47">
        <f t="shared" si="26"/>
        <v>-3781250</v>
      </c>
      <c r="AA191" s="97">
        <f>-(H191+I191)*2%</f>
        <v>-687500</v>
      </c>
      <c r="AB191" s="82">
        <v>0</v>
      </c>
      <c r="AC191" s="98">
        <f>K191+AA191</f>
        <v>37468750</v>
      </c>
      <c r="AD191" s="38"/>
    </row>
    <row r="192" spans="1:31" s="45" customFormat="1">
      <c r="A192" s="43">
        <f t="shared" si="27"/>
        <v>188</v>
      </c>
      <c r="B192" s="15" t="s">
        <v>861</v>
      </c>
      <c r="C192" s="22">
        <v>45896</v>
      </c>
      <c r="D192" s="48">
        <v>2025</v>
      </c>
      <c r="E192" s="44" t="s">
        <v>862</v>
      </c>
      <c r="F192" s="44" t="s">
        <v>784</v>
      </c>
      <c r="G192" s="44" t="s">
        <v>863</v>
      </c>
      <c r="H192" s="62">
        <v>638626500</v>
      </c>
      <c r="I192" s="62">
        <v>51090120</v>
      </c>
      <c r="J192" s="62">
        <v>7586883</v>
      </c>
      <c r="K192" s="60">
        <f t="shared" si="29"/>
        <v>697303503</v>
      </c>
      <c r="L192" s="75">
        <v>45916</v>
      </c>
      <c r="M192" s="83">
        <v>0</v>
      </c>
      <c r="N192" s="82">
        <v>696281701</v>
      </c>
      <c r="O192" s="82">
        <v>0</v>
      </c>
      <c r="P192" s="82">
        <v>0</v>
      </c>
      <c r="Q192" s="82">
        <v>0</v>
      </c>
      <c r="R192" s="82">
        <v>0</v>
      </c>
      <c r="S192" s="82">
        <v>0</v>
      </c>
      <c r="T192" s="82">
        <v>0</v>
      </c>
      <c r="U192" s="82">
        <v>0</v>
      </c>
      <c r="V192" s="82">
        <v>0</v>
      </c>
      <c r="W192" s="82">
        <v>1021802</v>
      </c>
      <c r="X192" s="82">
        <f t="shared" si="25"/>
        <v>0</v>
      </c>
      <c r="Y192" s="82"/>
      <c r="Z192" s="29">
        <f t="shared" si="26"/>
        <v>-7586883</v>
      </c>
      <c r="AA192" s="97">
        <f>-(I192)*2%</f>
        <v>-1021802.4</v>
      </c>
      <c r="AB192" s="82">
        <v>0</v>
      </c>
      <c r="AC192" s="98">
        <f>K192+AA192</f>
        <v>696281700.60000002</v>
      </c>
      <c r="AD192" s="38"/>
    </row>
    <row r="193" spans="1:31" s="45" customFormat="1">
      <c r="A193" s="43">
        <f t="shared" si="27"/>
        <v>189</v>
      </c>
      <c r="B193" s="15" t="s">
        <v>950</v>
      </c>
      <c r="C193" s="22">
        <v>45936</v>
      </c>
      <c r="D193" s="48">
        <v>2025</v>
      </c>
      <c r="E193" s="44" t="s">
        <v>66</v>
      </c>
      <c r="F193" s="38" t="s">
        <v>1151</v>
      </c>
      <c r="G193" s="44" t="s">
        <v>814</v>
      </c>
      <c r="H193" s="62">
        <v>727203036</v>
      </c>
      <c r="I193" s="62">
        <v>58176243</v>
      </c>
      <c r="J193" s="62">
        <v>86391721</v>
      </c>
      <c r="K193" s="60">
        <f t="shared" si="29"/>
        <v>871771000</v>
      </c>
      <c r="L193" s="75">
        <v>45968</v>
      </c>
      <c r="M193" s="83">
        <v>0</v>
      </c>
      <c r="N193" s="82">
        <v>0</v>
      </c>
      <c r="O193" s="82">
        <v>769671695</v>
      </c>
      <c r="P193" s="82">
        <v>0</v>
      </c>
      <c r="Q193" s="82">
        <v>0</v>
      </c>
      <c r="R193" s="82">
        <v>0</v>
      </c>
      <c r="S193" s="82">
        <v>0</v>
      </c>
      <c r="T193" s="82">
        <v>0</v>
      </c>
      <c r="U193" s="82">
        <v>0</v>
      </c>
      <c r="V193" s="82">
        <v>0</v>
      </c>
      <c r="W193" s="82">
        <v>102099305</v>
      </c>
      <c r="X193" s="82">
        <f t="shared" si="25"/>
        <v>0</v>
      </c>
      <c r="Y193" s="82"/>
      <c r="Z193" s="47">
        <f t="shared" si="26"/>
        <v>-86391721</v>
      </c>
      <c r="AA193" s="97">
        <f>-(H193+I193)*2%</f>
        <v>-15707585.58</v>
      </c>
      <c r="AB193" s="82">
        <f>K193+Z193+AA193</f>
        <v>769671693.41999996</v>
      </c>
      <c r="AC193" s="98">
        <v>0</v>
      </c>
      <c r="AD193" s="15"/>
    </row>
    <row r="194" spans="1:31" s="45" customFormat="1">
      <c r="A194" s="43">
        <f t="shared" si="27"/>
        <v>190</v>
      </c>
      <c r="B194" s="15" t="s">
        <v>864</v>
      </c>
      <c r="C194" s="22">
        <v>45901</v>
      </c>
      <c r="D194" s="48">
        <v>2025</v>
      </c>
      <c r="E194" s="44" t="s">
        <v>68</v>
      </c>
      <c r="F194" s="38" t="s">
        <v>1151</v>
      </c>
      <c r="G194" s="44" t="s">
        <v>814</v>
      </c>
      <c r="H194" s="62">
        <v>475020475</v>
      </c>
      <c r="I194" s="62">
        <v>47502047</v>
      </c>
      <c r="J194" s="62">
        <v>57477478</v>
      </c>
      <c r="K194" s="60">
        <f>SUM(H194:J194)</f>
        <v>580000000</v>
      </c>
      <c r="L194" s="75">
        <v>45919</v>
      </c>
      <c r="M194" s="83">
        <v>0</v>
      </c>
      <c r="N194" s="82">
        <v>0</v>
      </c>
      <c r="O194" s="82">
        <v>0</v>
      </c>
      <c r="P194" s="82">
        <v>0</v>
      </c>
      <c r="Q194" s="82">
        <v>0</v>
      </c>
      <c r="R194" s="82">
        <v>512072072</v>
      </c>
      <c r="S194" s="82">
        <v>0</v>
      </c>
      <c r="T194" s="82">
        <v>0</v>
      </c>
      <c r="U194" s="82">
        <v>0</v>
      </c>
      <c r="V194" s="82">
        <v>0</v>
      </c>
      <c r="W194" s="82">
        <v>67927928</v>
      </c>
      <c r="X194" s="82">
        <f t="shared" si="25"/>
        <v>0</v>
      </c>
      <c r="Y194" s="82"/>
      <c r="Z194" s="47">
        <f t="shared" si="26"/>
        <v>-57477478</v>
      </c>
      <c r="AA194" s="97">
        <f>-(H194+I194)*2%</f>
        <v>-10450450.439999999</v>
      </c>
      <c r="AB194" s="82">
        <f>K194+Z194+AA194</f>
        <v>512072071.56</v>
      </c>
      <c r="AC194" s="98">
        <v>0</v>
      </c>
      <c r="AD194" s="15"/>
    </row>
    <row r="195" spans="1:31" s="45" customFormat="1">
      <c r="A195" s="43">
        <f t="shared" si="27"/>
        <v>191</v>
      </c>
      <c r="B195" s="15" t="s">
        <v>865</v>
      </c>
      <c r="C195" s="22">
        <v>45902</v>
      </c>
      <c r="D195" s="48">
        <v>2025</v>
      </c>
      <c r="E195" s="44" t="s">
        <v>68</v>
      </c>
      <c r="F195" s="44" t="s">
        <v>866</v>
      </c>
      <c r="G195" s="44" t="s">
        <v>867</v>
      </c>
      <c r="H195" s="62">
        <v>211083682</v>
      </c>
      <c r="I195" s="62">
        <v>21108368</v>
      </c>
      <c r="J195" s="62">
        <v>25541126</v>
      </c>
      <c r="K195" s="60">
        <f>SUM(H195:J195)</f>
        <v>257733176</v>
      </c>
      <c r="L195" s="75">
        <v>45923</v>
      </c>
      <c r="M195" s="83">
        <v>0</v>
      </c>
      <c r="N195" s="82">
        <v>0</v>
      </c>
      <c r="O195" s="82">
        <v>0</v>
      </c>
      <c r="P195" s="82">
        <v>0</v>
      </c>
      <c r="Q195" s="82">
        <v>0</v>
      </c>
      <c r="R195" s="82">
        <v>227548209</v>
      </c>
      <c r="S195" s="82">
        <v>0</v>
      </c>
      <c r="T195" s="82">
        <v>0</v>
      </c>
      <c r="U195" s="82">
        <v>0</v>
      </c>
      <c r="V195" s="82">
        <v>0</v>
      </c>
      <c r="W195" s="82">
        <v>30184967</v>
      </c>
      <c r="X195" s="82">
        <f t="shared" si="25"/>
        <v>0</v>
      </c>
      <c r="Y195" s="82"/>
      <c r="Z195" s="47">
        <f t="shared" si="26"/>
        <v>-25541126</v>
      </c>
      <c r="AA195" s="97">
        <f>-(H195+I195)*2%</f>
        <v>-4643841</v>
      </c>
      <c r="AB195" s="82">
        <f>K195+Z195+AA195</f>
        <v>227548209</v>
      </c>
      <c r="AC195" s="98">
        <v>0</v>
      </c>
      <c r="AD195" s="15"/>
    </row>
    <row r="196" spans="1:31" s="45" customFormat="1">
      <c r="A196" s="43">
        <f t="shared" si="27"/>
        <v>192</v>
      </c>
      <c r="B196" s="15" t="s">
        <v>868</v>
      </c>
      <c r="C196" s="22">
        <v>45902</v>
      </c>
      <c r="D196" s="48">
        <v>2025</v>
      </c>
      <c r="E196" s="44" t="s">
        <v>98</v>
      </c>
      <c r="F196" s="44" t="s">
        <v>869</v>
      </c>
      <c r="G196" s="44" t="s">
        <v>870</v>
      </c>
      <c r="H196" s="62">
        <v>37957708</v>
      </c>
      <c r="I196" s="62">
        <v>2846828</v>
      </c>
      <c r="J196" s="62">
        <v>4488499</v>
      </c>
      <c r="K196" s="60">
        <f>SUM(H196:J196)</f>
        <v>45293035</v>
      </c>
      <c r="L196" s="75">
        <v>45931</v>
      </c>
      <c r="M196" s="83">
        <v>0</v>
      </c>
      <c r="N196" s="82">
        <v>0</v>
      </c>
      <c r="O196" s="82">
        <v>39988445</v>
      </c>
      <c r="P196" s="82">
        <v>0</v>
      </c>
      <c r="Q196" s="82">
        <v>0</v>
      </c>
      <c r="R196" s="82">
        <v>0</v>
      </c>
      <c r="S196" s="82">
        <v>0</v>
      </c>
      <c r="T196" s="82">
        <v>0</v>
      </c>
      <c r="U196" s="82">
        <v>0</v>
      </c>
      <c r="V196" s="82">
        <v>0</v>
      </c>
      <c r="W196" s="82">
        <v>5304590</v>
      </c>
      <c r="X196" s="82">
        <f t="shared" si="25"/>
        <v>0</v>
      </c>
      <c r="Y196" s="82"/>
      <c r="Z196" s="29">
        <f t="shared" si="26"/>
        <v>-4488499</v>
      </c>
      <c r="AA196" s="97">
        <f>-(H196+I196)*2%</f>
        <v>-816090.72</v>
      </c>
      <c r="AB196" s="82">
        <f>K196+Z196+AA196</f>
        <v>39988445.280000001</v>
      </c>
      <c r="AC196" s="98">
        <v>0</v>
      </c>
      <c r="AD196" s="15"/>
    </row>
    <row r="197" spans="1:31" s="70" customFormat="1">
      <c r="A197" s="65">
        <f t="shared" si="27"/>
        <v>193</v>
      </c>
      <c r="B197" s="27" t="s">
        <v>871</v>
      </c>
      <c r="C197" s="125">
        <v>45986</v>
      </c>
      <c r="D197" s="127">
        <v>2025</v>
      </c>
      <c r="E197" s="46" t="s">
        <v>636</v>
      </c>
      <c r="F197" s="46" t="s">
        <v>637</v>
      </c>
      <c r="G197" s="46" t="s">
        <v>872</v>
      </c>
      <c r="H197" s="66">
        <v>323027750</v>
      </c>
      <c r="I197" s="66">
        <v>25842220</v>
      </c>
      <c r="J197" s="67">
        <v>38375697</v>
      </c>
      <c r="K197" s="67">
        <f>SUM(H197:J197)</f>
        <v>387245667</v>
      </c>
      <c r="L197" s="111">
        <v>45996</v>
      </c>
      <c r="M197" s="84">
        <v>0</v>
      </c>
      <c r="N197" s="85">
        <v>386728824</v>
      </c>
      <c r="O197" s="85">
        <v>0</v>
      </c>
      <c r="P197" s="85">
        <v>0</v>
      </c>
      <c r="Q197" s="85">
        <v>0</v>
      </c>
      <c r="R197" s="85">
        <v>0</v>
      </c>
      <c r="S197" s="85">
        <v>0</v>
      </c>
      <c r="T197" s="85">
        <v>0</v>
      </c>
      <c r="U197" s="85">
        <v>0</v>
      </c>
      <c r="V197" s="85">
        <v>0</v>
      </c>
      <c r="W197" s="85">
        <v>516843</v>
      </c>
      <c r="X197" s="85">
        <f t="shared" ref="X197:X260" si="31">K197-SUM(M197:W197)</f>
        <v>0</v>
      </c>
      <c r="Y197" s="85"/>
      <c r="Z197" s="99">
        <f t="shared" ref="Z197:Z260" si="32">-J197</f>
        <v>-38375697</v>
      </c>
      <c r="AA197" s="100">
        <f>-(I197)*2%</f>
        <v>-516844.4</v>
      </c>
      <c r="AB197" s="85">
        <v>0</v>
      </c>
      <c r="AC197" s="101">
        <f t="shared" ref="AC197:AC205" si="33">K197+AA197</f>
        <v>386728822.60000002</v>
      </c>
      <c r="AD197" s="46"/>
      <c r="AE197" s="70" t="s">
        <v>19</v>
      </c>
    </row>
    <row r="198" spans="1:31" s="45" customFormat="1">
      <c r="A198" s="43">
        <f t="shared" si="27"/>
        <v>194</v>
      </c>
      <c r="B198" s="15" t="s">
        <v>951</v>
      </c>
      <c r="C198" s="22">
        <v>45904</v>
      </c>
      <c r="D198" s="48">
        <v>2025</v>
      </c>
      <c r="E198" s="38" t="s">
        <v>952</v>
      </c>
      <c r="F198" s="38" t="s">
        <v>304</v>
      </c>
      <c r="G198" s="44" t="s">
        <v>953</v>
      </c>
      <c r="H198" s="62">
        <v>4041667</v>
      </c>
      <c r="I198" s="62">
        <v>0</v>
      </c>
      <c r="J198" s="60">
        <v>444583</v>
      </c>
      <c r="K198" s="60">
        <f t="shared" ref="K198:K208" si="34">SUM(H198:J198)</f>
        <v>4486250</v>
      </c>
      <c r="L198" s="75">
        <v>45931</v>
      </c>
      <c r="M198" s="83">
        <v>0</v>
      </c>
      <c r="N198" s="82">
        <v>4486250</v>
      </c>
      <c r="O198" s="82">
        <v>0</v>
      </c>
      <c r="P198" s="82">
        <v>0</v>
      </c>
      <c r="Q198" s="82">
        <v>0</v>
      </c>
      <c r="R198" s="82">
        <v>0</v>
      </c>
      <c r="S198" s="82">
        <v>0</v>
      </c>
      <c r="T198" s="82">
        <v>0</v>
      </c>
      <c r="U198" s="82">
        <v>0</v>
      </c>
      <c r="V198" s="82">
        <v>0</v>
      </c>
      <c r="W198" s="82">
        <v>0</v>
      </c>
      <c r="X198" s="82">
        <f t="shared" si="31"/>
        <v>0</v>
      </c>
      <c r="Y198" s="82"/>
      <c r="Z198" s="29">
        <f t="shared" si="32"/>
        <v>-444583</v>
      </c>
      <c r="AA198" s="97">
        <v>0</v>
      </c>
      <c r="AB198" s="82">
        <v>0</v>
      </c>
      <c r="AC198" s="98">
        <f t="shared" si="33"/>
        <v>4486250</v>
      </c>
      <c r="AD198" s="38"/>
    </row>
    <row r="199" spans="1:31" s="45" customFormat="1">
      <c r="A199" s="43">
        <f t="shared" ref="A199:A262" si="35">A198+1</f>
        <v>195</v>
      </c>
      <c r="B199" s="15" t="s">
        <v>954</v>
      </c>
      <c r="C199" s="22">
        <v>45904</v>
      </c>
      <c r="D199" s="48">
        <v>2025</v>
      </c>
      <c r="E199" s="38" t="s">
        <v>952</v>
      </c>
      <c r="F199" s="38" t="s">
        <v>304</v>
      </c>
      <c r="G199" s="44" t="s">
        <v>955</v>
      </c>
      <c r="H199" s="62">
        <v>4041667</v>
      </c>
      <c r="I199" s="62">
        <v>0</v>
      </c>
      <c r="J199" s="60">
        <v>444583</v>
      </c>
      <c r="K199" s="60">
        <f t="shared" si="34"/>
        <v>4486250</v>
      </c>
      <c r="L199" s="75">
        <v>45939</v>
      </c>
      <c r="M199" s="83">
        <v>0</v>
      </c>
      <c r="N199" s="82">
        <v>4486250</v>
      </c>
      <c r="O199" s="82">
        <v>0</v>
      </c>
      <c r="P199" s="82">
        <v>0</v>
      </c>
      <c r="Q199" s="82">
        <v>0</v>
      </c>
      <c r="R199" s="82">
        <v>0</v>
      </c>
      <c r="S199" s="82">
        <v>0</v>
      </c>
      <c r="T199" s="82">
        <v>0</v>
      </c>
      <c r="U199" s="82">
        <v>0</v>
      </c>
      <c r="V199" s="82">
        <v>0</v>
      </c>
      <c r="W199" s="82">
        <v>0</v>
      </c>
      <c r="X199" s="82">
        <f t="shared" si="31"/>
        <v>0</v>
      </c>
      <c r="Y199" s="82"/>
      <c r="Z199" s="29">
        <f t="shared" si="32"/>
        <v>-444583</v>
      </c>
      <c r="AA199" s="97">
        <v>0</v>
      </c>
      <c r="AB199" s="82">
        <v>0</v>
      </c>
      <c r="AC199" s="98">
        <f t="shared" si="33"/>
        <v>4486250</v>
      </c>
      <c r="AD199" s="38"/>
    </row>
    <row r="200" spans="1:31" s="45" customFormat="1">
      <c r="A200" s="43">
        <f t="shared" si="35"/>
        <v>196</v>
      </c>
      <c r="B200" s="15" t="s">
        <v>956</v>
      </c>
      <c r="C200" s="22">
        <v>45904</v>
      </c>
      <c r="D200" s="48">
        <v>2025</v>
      </c>
      <c r="E200" s="38" t="s">
        <v>952</v>
      </c>
      <c r="F200" s="38" t="s">
        <v>304</v>
      </c>
      <c r="G200" s="44" t="s">
        <v>957</v>
      </c>
      <c r="H200" s="62">
        <v>4041667</v>
      </c>
      <c r="I200" s="62">
        <v>0</v>
      </c>
      <c r="J200" s="60">
        <v>444583</v>
      </c>
      <c r="K200" s="60">
        <f t="shared" si="34"/>
        <v>4486250</v>
      </c>
      <c r="L200" s="75">
        <v>45945</v>
      </c>
      <c r="M200" s="83">
        <v>0</v>
      </c>
      <c r="N200" s="82">
        <v>4486250</v>
      </c>
      <c r="O200" s="82">
        <v>0</v>
      </c>
      <c r="P200" s="82">
        <v>0</v>
      </c>
      <c r="Q200" s="82">
        <v>0</v>
      </c>
      <c r="R200" s="82">
        <v>0</v>
      </c>
      <c r="S200" s="82">
        <v>0</v>
      </c>
      <c r="T200" s="82">
        <v>0</v>
      </c>
      <c r="U200" s="82">
        <v>0</v>
      </c>
      <c r="V200" s="82">
        <v>0</v>
      </c>
      <c r="W200" s="82">
        <v>0</v>
      </c>
      <c r="X200" s="82">
        <f t="shared" si="31"/>
        <v>0</v>
      </c>
      <c r="Y200" s="82"/>
      <c r="Z200" s="29">
        <f t="shared" si="32"/>
        <v>-444583</v>
      </c>
      <c r="AA200" s="97">
        <v>0</v>
      </c>
      <c r="AB200" s="82">
        <v>0</v>
      </c>
      <c r="AC200" s="98">
        <f t="shared" si="33"/>
        <v>4486250</v>
      </c>
      <c r="AD200" s="38"/>
    </row>
    <row r="201" spans="1:31" s="45" customFormat="1">
      <c r="A201" s="43">
        <f t="shared" si="35"/>
        <v>197</v>
      </c>
      <c r="B201" s="15" t="s">
        <v>958</v>
      </c>
      <c r="C201" s="22">
        <v>45904</v>
      </c>
      <c r="D201" s="48">
        <v>2025</v>
      </c>
      <c r="E201" s="38" t="s">
        <v>952</v>
      </c>
      <c r="F201" s="38" t="s">
        <v>304</v>
      </c>
      <c r="G201" s="44" t="s">
        <v>959</v>
      </c>
      <c r="H201" s="62">
        <v>4041667</v>
      </c>
      <c r="I201" s="62">
        <v>0</v>
      </c>
      <c r="J201" s="60">
        <v>444583</v>
      </c>
      <c r="K201" s="60">
        <f t="shared" si="34"/>
        <v>4486250</v>
      </c>
      <c r="L201" s="75">
        <v>45959</v>
      </c>
      <c r="M201" s="83">
        <v>0</v>
      </c>
      <c r="N201" s="82">
        <v>4486250</v>
      </c>
      <c r="O201" s="82">
        <v>0</v>
      </c>
      <c r="P201" s="82">
        <v>0</v>
      </c>
      <c r="Q201" s="82">
        <v>0</v>
      </c>
      <c r="R201" s="82">
        <v>0</v>
      </c>
      <c r="S201" s="82">
        <v>0</v>
      </c>
      <c r="T201" s="82">
        <v>0</v>
      </c>
      <c r="U201" s="82">
        <v>0</v>
      </c>
      <c r="V201" s="82">
        <v>0</v>
      </c>
      <c r="W201" s="82">
        <v>0</v>
      </c>
      <c r="X201" s="82">
        <f t="shared" si="31"/>
        <v>0</v>
      </c>
      <c r="Y201" s="82"/>
      <c r="Z201" s="29">
        <f t="shared" si="32"/>
        <v>-444583</v>
      </c>
      <c r="AA201" s="97">
        <f>-(H201+I201)*2%</f>
        <v>-80833.34</v>
      </c>
      <c r="AB201" s="82">
        <v>0</v>
      </c>
      <c r="AC201" s="98">
        <f t="shared" si="33"/>
        <v>4405416.66</v>
      </c>
      <c r="AD201" s="38"/>
    </row>
    <row r="202" spans="1:31" s="45" customFormat="1">
      <c r="A202" s="43">
        <f t="shared" si="35"/>
        <v>198</v>
      </c>
      <c r="B202" s="15" t="s">
        <v>960</v>
      </c>
      <c r="C202" s="22">
        <v>45904</v>
      </c>
      <c r="D202" s="48">
        <v>2025</v>
      </c>
      <c r="E202" s="38" t="s">
        <v>952</v>
      </c>
      <c r="F202" s="38" t="s">
        <v>304</v>
      </c>
      <c r="G202" s="44" t="s">
        <v>961</v>
      </c>
      <c r="H202" s="62">
        <v>5388889</v>
      </c>
      <c r="I202" s="62">
        <v>0</v>
      </c>
      <c r="J202" s="60">
        <v>592778</v>
      </c>
      <c r="K202" s="60">
        <f t="shared" si="34"/>
        <v>5981667</v>
      </c>
      <c r="L202" s="75">
        <v>45946</v>
      </c>
      <c r="M202" s="83">
        <v>0</v>
      </c>
      <c r="N202" s="82">
        <v>5981667</v>
      </c>
      <c r="O202" s="82">
        <v>0</v>
      </c>
      <c r="P202" s="82">
        <v>0</v>
      </c>
      <c r="Q202" s="82">
        <v>0</v>
      </c>
      <c r="R202" s="82">
        <v>0</v>
      </c>
      <c r="S202" s="82">
        <v>0</v>
      </c>
      <c r="T202" s="82">
        <v>0</v>
      </c>
      <c r="U202" s="82">
        <v>0</v>
      </c>
      <c r="V202" s="82">
        <v>0</v>
      </c>
      <c r="W202" s="82">
        <v>0</v>
      </c>
      <c r="X202" s="82">
        <f t="shared" si="31"/>
        <v>0</v>
      </c>
      <c r="Y202" s="82"/>
      <c r="Z202" s="29">
        <f t="shared" si="32"/>
        <v>-592778</v>
      </c>
      <c r="AA202" s="97">
        <v>0</v>
      </c>
      <c r="AB202" s="82">
        <v>0</v>
      </c>
      <c r="AC202" s="98">
        <f t="shared" si="33"/>
        <v>5981667</v>
      </c>
      <c r="AD202" s="38"/>
    </row>
    <row r="203" spans="1:31" s="45" customFormat="1">
      <c r="A203" s="43">
        <f t="shared" si="35"/>
        <v>199</v>
      </c>
      <c r="B203" s="15" t="s">
        <v>962</v>
      </c>
      <c r="C203" s="22">
        <v>45904</v>
      </c>
      <c r="D203" s="14">
        <v>2025</v>
      </c>
      <c r="E203" s="38" t="s">
        <v>952</v>
      </c>
      <c r="F203" s="38" t="s">
        <v>304</v>
      </c>
      <c r="G203" s="44" t="s">
        <v>963</v>
      </c>
      <c r="H203" s="62">
        <v>5388889</v>
      </c>
      <c r="I203" s="62">
        <v>0</v>
      </c>
      <c r="J203" s="60">
        <v>592778</v>
      </c>
      <c r="K203" s="60">
        <f t="shared" si="34"/>
        <v>5981667</v>
      </c>
      <c r="L203" s="75"/>
      <c r="M203" s="83">
        <v>0</v>
      </c>
      <c r="N203" s="82">
        <v>0</v>
      </c>
      <c r="O203" s="82">
        <v>0</v>
      </c>
      <c r="P203" s="82">
        <v>0</v>
      </c>
      <c r="Q203" s="82">
        <v>0</v>
      </c>
      <c r="R203" s="82">
        <v>0</v>
      </c>
      <c r="S203" s="82">
        <v>0</v>
      </c>
      <c r="T203" s="82">
        <v>0</v>
      </c>
      <c r="U203" s="82">
        <v>0</v>
      </c>
      <c r="V203" s="82">
        <v>0</v>
      </c>
      <c r="W203" s="82">
        <v>0</v>
      </c>
      <c r="X203" s="82">
        <f t="shared" si="31"/>
        <v>5981667</v>
      </c>
      <c r="Y203" s="82"/>
      <c r="Z203" s="29">
        <f t="shared" si="32"/>
        <v>-592778</v>
      </c>
      <c r="AA203" s="97">
        <f>-(H203+I203)*2%</f>
        <v>-107777.78</v>
      </c>
      <c r="AB203" s="82">
        <v>0</v>
      </c>
      <c r="AC203" s="98">
        <f t="shared" si="33"/>
        <v>5873889.2199999997</v>
      </c>
      <c r="AD203" s="38"/>
    </row>
    <row r="204" spans="1:31" s="45" customFormat="1">
      <c r="A204" s="43">
        <f t="shared" si="35"/>
        <v>200</v>
      </c>
      <c r="B204" s="15" t="s">
        <v>964</v>
      </c>
      <c r="C204" s="22">
        <v>45904</v>
      </c>
      <c r="D204" s="48">
        <v>2025</v>
      </c>
      <c r="E204" s="38" t="s">
        <v>952</v>
      </c>
      <c r="F204" s="38" t="s">
        <v>304</v>
      </c>
      <c r="G204" s="44" t="s">
        <v>965</v>
      </c>
      <c r="H204" s="62">
        <v>5388889</v>
      </c>
      <c r="I204" s="62">
        <v>0</v>
      </c>
      <c r="J204" s="60">
        <v>592778</v>
      </c>
      <c r="K204" s="60">
        <f t="shared" si="34"/>
        <v>5981667</v>
      </c>
      <c r="L204" s="75"/>
      <c r="M204" s="83">
        <v>0</v>
      </c>
      <c r="N204" s="82">
        <v>5981667</v>
      </c>
      <c r="O204" s="82">
        <v>0</v>
      </c>
      <c r="P204" s="82">
        <v>0</v>
      </c>
      <c r="Q204" s="82">
        <v>0</v>
      </c>
      <c r="R204" s="82">
        <v>0</v>
      </c>
      <c r="S204" s="82">
        <v>0</v>
      </c>
      <c r="T204" s="82">
        <v>0</v>
      </c>
      <c r="U204" s="82">
        <v>0</v>
      </c>
      <c r="V204" s="82">
        <v>0</v>
      </c>
      <c r="W204" s="82">
        <v>0</v>
      </c>
      <c r="X204" s="82">
        <f t="shared" si="31"/>
        <v>0</v>
      </c>
      <c r="Y204" s="82"/>
      <c r="Z204" s="29">
        <f t="shared" si="32"/>
        <v>-592778</v>
      </c>
      <c r="AA204" s="97">
        <f>-(H204+I204)*2%</f>
        <v>-107777.78</v>
      </c>
      <c r="AB204" s="82">
        <v>0</v>
      </c>
      <c r="AC204" s="98">
        <f t="shared" si="33"/>
        <v>5873889.2199999997</v>
      </c>
      <c r="AD204" s="38"/>
    </row>
    <row r="205" spans="1:31" s="45" customFormat="1">
      <c r="A205" s="43">
        <f t="shared" si="35"/>
        <v>201</v>
      </c>
      <c r="B205" s="15" t="s">
        <v>966</v>
      </c>
      <c r="C205" s="22">
        <v>45904</v>
      </c>
      <c r="D205" s="48">
        <v>2025</v>
      </c>
      <c r="E205" s="38" t="s">
        <v>952</v>
      </c>
      <c r="F205" s="38" t="s">
        <v>304</v>
      </c>
      <c r="G205" s="44" t="s">
        <v>967</v>
      </c>
      <c r="H205" s="62">
        <v>16166665</v>
      </c>
      <c r="I205" s="62">
        <v>0</v>
      </c>
      <c r="J205" s="60">
        <v>1778333</v>
      </c>
      <c r="K205" s="60">
        <f t="shared" si="34"/>
        <v>17944998</v>
      </c>
      <c r="L205" s="75">
        <v>45943</v>
      </c>
      <c r="M205" s="83">
        <v>0</v>
      </c>
      <c r="N205" s="82">
        <v>17944998</v>
      </c>
      <c r="O205" s="82">
        <v>0</v>
      </c>
      <c r="P205" s="82">
        <v>0</v>
      </c>
      <c r="Q205" s="82">
        <v>0</v>
      </c>
      <c r="R205" s="82">
        <v>0</v>
      </c>
      <c r="S205" s="82">
        <v>0</v>
      </c>
      <c r="T205" s="82">
        <v>0</v>
      </c>
      <c r="U205" s="82">
        <v>0</v>
      </c>
      <c r="V205" s="82">
        <v>0</v>
      </c>
      <c r="W205" s="82">
        <v>0</v>
      </c>
      <c r="X205" s="82">
        <f t="shared" si="31"/>
        <v>0</v>
      </c>
      <c r="Y205" s="82"/>
      <c r="Z205" s="29">
        <f t="shared" si="32"/>
        <v>-1778333</v>
      </c>
      <c r="AA205" s="97">
        <v>0</v>
      </c>
      <c r="AB205" s="82">
        <v>0</v>
      </c>
      <c r="AC205" s="98">
        <f t="shared" si="33"/>
        <v>17944998</v>
      </c>
      <c r="AD205" s="38"/>
    </row>
    <row r="206" spans="1:31" s="45" customFormat="1">
      <c r="A206" s="43">
        <f t="shared" si="35"/>
        <v>202</v>
      </c>
      <c r="B206" s="15" t="s">
        <v>968</v>
      </c>
      <c r="C206" s="22">
        <v>45911</v>
      </c>
      <c r="D206" s="48">
        <v>2025</v>
      </c>
      <c r="E206" s="38" t="s">
        <v>103</v>
      </c>
      <c r="F206" s="38" t="s">
        <v>866</v>
      </c>
      <c r="G206" s="44" t="s">
        <v>969</v>
      </c>
      <c r="H206" s="62">
        <v>245700246</v>
      </c>
      <c r="I206" s="62">
        <v>24570024</v>
      </c>
      <c r="J206" s="60">
        <v>29729730</v>
      </c>
      <c r="K206" s="60">
        <f t="shared" si="34"/>
        <v>300000000</v>
      </c>
      <c r="L206" s="75">
        <v>45915</v>
      </c>
      <c r="M206" s="83">
        <v>0</v>
      </c>
      <c r="N206" s="82">
        <v>0</v>
      </c>
      <c r="O206" s="82">
        <v>0</v>
      </c>
      <c r="P206" s="82">
        <v>0</v>
      </c>
      <c r="Q206" s="82">
        <v>0</v>
      </c>
      <c r="R206" s="82">
        <v>0</v>
      </c>
      <c r="S206" s="82">
        <v>264864865</v>
      </c>
      <c r="T206" s="82">
        <v>0</v>
      </c>
      <c r="U206" s="82">
        <v>0</v>
      </c>
      <c r="V206" s="82">
        <v>0</v>
      </c>
      <c r="W206" s="82">
        <v>35135135</v>
      </c>
      <c r="X206" s="82">
        <f t="shared" si="31"/>
        <v>0</v>
      </c>
      <c r="Y206" s="82"/>
      <c r="Z206" s="29">
        <f t="shared" si="32"/>
        <v>-29729730</v>
      </c>
      <c r="AA206" s="97">
        <f t="shared" ref="AA206:AA213" si="36">-(H206+I206)*2%</f>
        <v>-5405405.4000000004</v>
      </c>
      <c r="AB206" s="82">
        <f t="shared" ref="AB206:AB211" si="37">K206+Z206+AA206</f>
        <v>264864864.59999999</v>
      </c>
      <c r="AC206" s="98">
        <v>0</v>
      </c>
      <c r="AD206" s="15"/>
    </row>
    <row r="207" spans="1:31" s="45" customFormat="1">
      <c r="A207" s="43">
        <f t="shared" si="35"/>
        <v>203</v>
      </c>
      <c r="B207" s="15" t="s">
        <v>970</v>
      </c>
      <c r="C207" s="22">
        <v>45911</v>
      </c>
      <c r="D207" s="48">
        <v>2025</v>
      </c>
      <c r="E207" s="38" t="s">
        <v>66</v>
      </c>
      <c r="F207" s="38" t="s">
        <v>866</v>
      </c>
      <c r="G207" s="44" t="s">
        <v>969</v>
      </c>
      <c r="H207" s="62">
        <v>186321738</v>
      </c>
      <c r="I207" s="62">
        <v>14905739</v>
      </c>
      <c r="J207" s="60">
        <v>22135023</v>
      </c>
      <c r="K207" s="60">
        <f t="shared" si="34"/>
        <v>223362500</v>
      </c>
      <c r="L207" s="75">
        <v>45923</v>
      </c>
      <c r="M207" s="83">
        <v>0</v>
      </c>
      <c r="N207" s="82">
        <v>0</v>
      </c>
      <c r="O207" s="82">
        <v>197202929</v>
      </c>
      <c r="P207" s="82">
        <v>0</v>
      </c>
      <c r="Q207" s="82">
        <v>0</v>
      </c>
      <c r="R207" s="82">
        <v>0</v>
      </c>
      <c r="S207" s="82">
        <v>0</v>
      </c>
      <c r="T207" s="82">
        <v>0</v>
      </c>
      <c r="U207" s="82">
        <v>0</v>
      </c>
      <c r="V207" s="82">
        <v>0</v>
      </c>
      <c r="W207" s="82">
        <v>26159571</v>
      </c>
      <c r="X207" s="82">
        <f t="shared" si="31"/>
        <v>0</v>
      </c>
      <c r="Y207" s="82"/>
      <c r="Z207" s="29">
        <f t="shared" si="32"/>
        <v>-22135023</v>
      </c>
      <c r="AA207" s="97">
        <f t="shared" si="36"/>
        <v>-4024549.54</v>
      </c>
      <c r="AB207" s="82">
        <f t="shared" si="37"/>
        <v>197202927.46000001</v>
      </c>
      <c r="AC207" s="98">
        <v>0</v>
      </c>
      <c r="AD207" s="15"/>
    </row>
    <row r="208" spans="1:31" s="45" customFormat="1">
      <c r="A208" s="43">
        <f t="shared" si="35"/>
        <v>204</v>
      </c>
      <c r="B208" s="15" t="s">
        <v>971</v>
      </c>
      <c r="C208" s="22">
        <v>45916</v>
      </c>
      <c r="D208" s="48">
        <v>2025</v>
      </c>
      <c r="E208" s="38" t="s">
        <v>100</v>
      </c>
      <c r="F208" s="38" t="s">
        <v>866</v>
      </c>
      <c r="G208" s="44" t="s">
        <v>972</v>
      </c>
      <c r="H208" s="62">
        <v>252252252</v>
      </c>
      <c r="I208" s="62">
        <v>0</v>
      </c>
      <c r="J208" s="60">
        <v>27747748</v>
      </c>
      <c r="K208" s="60">
        <f t="shared" si="34"/>
        <v>280000000</v>
      </c>
      <c r="L208" s="75">
        <v>45933</v>
      </c>
      <c r="M208" s="83">
        <v>0</v>
      </c>
      <c r="N208" s="82">
        <v>0</v>
      </c>
      <c r="O208" s="82">
        <v>0</v>
      </c>
      <c r="P208" s="82">
        <v>0</v>
      </c>
      <c r="Q208" s="82">
        <v>0</v>
      </c>
      <c r="R208" s="82">
        <v>0</v>
      </c>
      <c r="S208" s="82">
        <v>0</v>
      </c>
      <c r="T208" s="82">
        <v>0</v>
      </c>
      <c r="U208" s="82">
        <v>247207207</v>
      </c>
      <c r="V208" s="82">
        <v>0</v>
      </c>
      <c r="W208" s="82">
        <v>32792793</v>
      </c>
      <c r="X208" s="82">
        <f t="shared" si="31"/>
        <v>0</v>
      </c>
      <c r="Y208" s="82"/>
      <c r="Z208" s="29">
        <f t="shared" si="32"/>
        <v>-27747748</v>
      </c>
      <c r="AA208" s="97">
        <f t="shared" si="36"/>
        <v>-5045045.04</v>
      </c>
      <c r="AB208" s="82">
        <f t="shared" si="37"/>
        <v>247207206.96000001</v>
      </c>
      <c r="AC208" s="98">
        <v>0</v>
      </c>
      <c r="AD208" s="15"/>
    </row>
    <row r="209" spans="1:31" s="120" customFormat="1">
      <c r="A209" s="107">
        <f t="shared" si="35"/>
        <v>205</v>
      </c>
      <c r="B209" s="50" t="s">
        <v>973</v>
      </c>
      <c r="C209" s="124">
        <v>45918</v>
      </c>
      <c r="D209" s="14">
        <v>2024</v>
      </c>
      <c r="E209" s="77" t="s">
        <v>19</v>
      </c>
      <c r="F209" s="77" t="s">
        <v>19</v>
      </c>
      <c r="G209" s="77" t="s">
        <v>1096</v>
      </c>
      <c r="H209" s="114">
        <v>0</v>
      </c>
      <c r="I209" s="114">
        <v>0</v>
      </c>
      <c r="J209" s="114">
        <v>0</v>
      </c>
      <c r="K209" s="108">
        <f t="shared" ref="K209:K218" si="38">SUM(H209:J209)</f>
        <v>0</v>
      </c>
      <c r="L209" s="115"/>
      <c r="M209" s="116">
        <v>0</v>
      </c>
      <c r="N209" s="105">
        <v>0</v>
      </c>
      <c r="O209" s="105">
        <v>0</v>
      </c>
      <c r="P209" s="105">
        <v>0</v>
      </c>
      <c r="Q209" s="105">
        <v>0</v>
      </c>
      <c r="R209" s="105">
        <v>0</v>
      </c>
      <c r="S209" s="105">
        <v>0</v>
      </c>
      <c r="T209" s="105">
        <v>0</v>
      </c>
      <c r="U209" s="105">
        <v>0</v>
      </c>
      <c r="V209" s="105">
        <v>0</v>
      </c>
      <c r="W209" s="105">
        <v>0</v>
      </c>
      <c r="X209" s="105">
        <f t="shared" si="31"/>
        <v>0</v>
      </c>
      <c r="Y209" s="105"/>
      <c r="Z209" s="117">
        <f t="shared" si="32"/>
        <v>0</v>
      </c>
      <c r="AA209" s="118">
        <f t="shared" si="36"/>
        <v>0</v>
      </c>
      <c r="AB209" s="105">
        <f t="shared" si="37"/>
        <v>0</v>
      </c>
      <c r="AC209" s="119">
        <v>0</v>
      </c>
      <c r="AD209" s="50" t="s">
        <v>974</v>
      </c>
    </row>
    <row r="210" spans="1:31" s="45" customFormat="1">
      <c r="A210" s="43">
        <f t="shared" si="35"/>
        <v>206</v>
      </c>
      <c r="B210" s="15" t="s">
        <v>975</v>
      </c>
      <c r="C210" s="22">
        <v>45918</v>
      </c>
      <c r="D210" s="48">
        <v>2025</v>
      </c>
      <c r="E210" s="44" t="s">
        <v>98</v>
      </c>
      <c r="F210" s="44" t="s">
        <v>786</v>
      </c>
      <c r="G210" s="44" t="s">
        <v>976</v>
      </c>
      <c r="H210" s="62">
        <v>58859523</v>
      </c>
      <c r="I210" s="62">
        <v>0</v>
      </c>
      <c r="J210" s="62">
        <v>6474548</v>
      </c>
      <c r="K210" s="60">
        <f t="shared" si="38"/>
        <v>65334071</v>
      </c>
      <c r="L210" s="75">
        <v>45947</v>
      </c>
      <c r="M210" s="83">
        <v>0</v>
      </c>
      <c r="N210" s="82">
        <v>0</v>
      </c>
      <c r="O210" s="82">
        <v>57682333</v>
      </c>
      <c r="P210" s="82">
        <v>0</v>
      </c>
      <c r="Q210" s="82">
        <v>0</v>
      </c>
      <c r="R210" s="82">
        <v>0</v>
      </c>
      <c r="S210" s="82">
        <v>0</v>
      </c>
      <c r="T210" s="82">
        <v>0</v>
      </c>
      <c r="U210" s="82">
        <v>0</v>
      </c>
      <c r="V210" s="82">
        <v>0</v>
      </c>
      <c r="W210" s="82">
        <v>7651738</v>
      </c>
      <c r="X210" s="82">
        <f t="shared" si="31"/>
        <v>0</v>
      </c>
      <c r="Y210" s="82"/>
      <c r="Z210" s="29">
        <f t="shared" si="32"/>
        <v>-6474548</v>
      </c>
      <c r="AA210" s="97">
        <f t="shared" si="36"/>
        <v>-1177190.46</v>
      </c>
      <c r="AB210" s="82">
        <f t="shared" si="37"/>
        <v>57682332.539999999</v>
      </c>
      <c r="AC210" s="98">
        <v>0</v>
      </c>
      <c r="AD210" s="15" t="s">
        <v>974</v>
      </c>
    </row>
    <row r="211" spans="1:31" s="120" customFormat="1">
      <c r="A211" s="107">
        <f t="shared" si="35"/>
        <v>207</v>
      </c>
      <c r="B211" s="50" t="s">
        <v>977</v>
      </c>
      <c r="C211" s="124">
        <v>45922</v>
      </c>
      <c r="D211" s="14">
        <v>2024</v>
      </c>
      <c r="E211" s="77" t="s">
        <v>19</v>
      </c>
      <c r="F211" s="77" t="s">
        <v>19</v>
      </c>
      <c r="G211" s="77" t="s">
        <v>1097</v>
      </c>
      <c r="H211" s="114">
        <v>0</v>
      </c>
      <c r="I211" s="114">
        <v>0</v>
      </c>
      <c r="J211" s="114">
        <v>0</v>
      </c>
      <c r="K211" s="108">
        <f t="shared" si="38"/>
        <v>0</v>
      </c>
      <c r="L211" s="115"/>
      <c r="M211" s="116">
        <v>0</v>
      </c>
      <c r="N211" s="105">
        <v>0</v>
      </c>
      <c r="O211" s="105">
        <v>0</v>
      </c>
      <c r="P211" s="105">
        <v>0</v>
      </c>
      <c r="Q211" s="105">
        <v>0</v>
      </c>
      <c r="R211" s="105">
        <v>0</v>
      </c>
      <c r="S211" s="105">
        <v>0</v>
      </c>
      <c r="T211" s="105">
        <v>0</v>
      </c>
      <c r="U211" s="105">
        <v>0</v>
      </c>
      <c r="V211" s="105">
        <v>0</v>
      </c>
      <c r="W211" s="105">
        <v>0</v>
      </c>
      <c r="X211" s="105">
        <f t="shared" si="31"/>
        <v>0</v>
      </c>
      <c r="Y211" s="105"/>
      <c r="Z211" s="117">
        <f t="shared" si="32"/>
        <v>0</v>
      </c>
      <c r="AA211" s="118">
        <f t="shared" si="36"/>
        <v>0</v>
      </c>
      <c r="AB211" s="105">
        <f t="shared" si="37"/>
        <v>0</v>
      </c>
      <c r="AC211" s="119">
        <v>0</v>
      </c>
      <c r="AD211" s="50"/>
    </row>
    <row r="212" spans="1:31" s="45" customFormat="1">
      <c r="A212" s="43">
        <f t="shared" si="35"/>
        <v>208</v>
      </c>
      <c r="B212" s="15" t="s">
        <v>978</v>
      </c>
      <c r="C212" s="22">
        <v>45929</v>
      </c>
      <c r="D212" s="48">
        <v>2025</v>
      </c>
      <c r="E212" s="44" t="s">
        <v>876</v>
      </c>
      <c r="F212" s="44" t="s">
        <v>788</v>
      </c>
      <c r="G212" s="44" t="s">
        <v>979</v>
      </c>
      <c r="H212" s="62">
        <v>709185000</v>
      </c>
      <c r="I212" s="62">
        <v>49642950</v>
      </c>
      <c r="J212" s="62">
        <v>83471075</v>
      </c>
      <c r="K212" s="60">
        <f t="shared" si="38"/>
        <v>842299025</v>
      </c>
      <c r="L212" s="75">
        <v>45960</v>
      </c>
      <c r="M212" s="83">
        <v>0</v>
      </c>
      <c r="N212" s="82">
        <v>0</v>
      </c>
      <c r="O212" s="82">
        <v>827122466</v>
      </c>
      <c r="P212" s="82">
        <v>0</v>
      </c>
      <c r="Q212" s="82">
        <v>0</v>
      </c>
      <c r="R212" s="82">
        <v>0</v>
      </c>
      <c r="S212" s="82">
        <v>0</v>
      </c>
      <c r="T212" s="82">
        <v>0</v>
      </c>
      <c r="U212" s="82">
        <v>0</v>
      </c>
      <c r="V212" s="82">
        <v>0</v>
      </c>
      <c r="W212" s="82">
        <v>15176559</v>
      </c>
      <c r="X212" s="82">
        <f t="shared" si="31"/>
        <v>0</v>
      </c>
      <c r="Y212" s="82"/>
      <c r="Z212" s="29">
        <f t="shared" si="32"/>
        <v>-83471075</v>
      </c>
      <c r="AA212" s="97">
        <f t="shared" si="36"/>
        <v>-15176559</v>
      </c>
      <c r="AB212" s="82">
        <v>0</v>
      </c>
      <c r="AC212" s="98">
        <f>K212+AA212</f>
        <v>827122466</v>
      </c>
      <c r="AD212" s="15"/>
    </row>
    <row r="213" spans="1:31" s="120" customFormat="1">
      <c r="A213" s="107">
        <f t="shared" si="35"/>
        <v>209</v>
      </c>
      <c r="B213" s="50" t="s">
        <v>980</v>
      </c>
      <c r="C213" s="124">
        <v>45943</v>
      </c>
      <c r="D213" s="14">
        <v>2024</v>
      </c>
      <c r="E213" s="77" t="s">
        <v>19</v>
      </c>
      <c r="F213" s="77" t="s">
        <v>19</v>
      </c>
      <c r="G213" s="77" t="s">
        <v>1271</v>
      </c>
      <c r="H213" s="114">
        <v>0</v>
      </c>
      <c r="I213" s="114">
        <v>0</v>
      </c>
      <c r="J213" s="114">
        <v>0</v>
      </c>
      <c r="K213" s="108">
        <f t="shared" si="38"/>
        <v>0</v>
      </c>
      <c r="L213" s="115"/>
      <c r="M213" s="116">
        <v>0</v>
      </c>
      <c r="N213" s="105">
        <v>0</v>
      </c>
      <c r="O213" s="105">
        <v>0</v>
      </c>
      <c r="P213" s="105">
        <v>0</v>
      </c>
      <c r="Q213" s="105">
        <v>0</v>
      </c>
      <c r="R213" s="105">
        <v>0</v>
      </c>
      <c r="S213" s="105">
        <v>0</v>
      </c>
      <c r="T213" s="105">
        <v>0</v>
      </c>
      <c r="U213" s="105">
        <v>0</v>
      </c>
      <c r="V213" s="105">
        <v>0</v>
      </c>
      <c r="W213" s="105">
        <v>0</v>
      </c>
      <c r="X213" s="105">
        <f t="shared" si="31"/>
        <v>0</v>
      </c>
      <c r="Y213" s="105"/>
      <c r="Z213" s="117">
        <f t="shared" si="32"/>
        <v>0</v>
      </c>
      <c r="AA213" s="118">
        <f t="shared" si="36"/>
        <v>0</v>
      </c>
      <c r="AB213" s="105">
        <v>0</v>
      </c>
      <c r="AC213" s="119">
        <f>K213+AA213</f>
        <v>0</v>
      </c>
      <c r="AD213" s="50"/>
    </row>
    <row r="214" spans="1:31" s="45" customFormat="1">
      <c r="A214" s="43">
        <f t="shared" si="35"/>
        <v>210</v>
      </c>
      <c r="B214" s="15" t="s">
        <v>981</v>
      </c>
      <c r="C214" s="22">
        <v>45944</v>
      </c>
      <c r="D214" s="48">
        <v>2025</v>
      </c>
      <c r="E214" s="44" t="s">
        <v>875</v>
      </c>
      <c r="F214" s="44" t="s">
        <v>849</v>
      </c>
      <c r="G214" s="44" t="s">
        <v>982</v>
      </c>
      <c r="H214" s="62">
        <v>1592675000</v>
      </c>
      <c r="I214" s="62">
        <v>127414000</v>
      </c>
      <c r="J214" s="62">
        <v>189209790</v>
      </c>
      <c r="K214" s="60">
        <f t="shared" si="38"/>
        <v>1909298790</v>
      </c>
      <c r="L214" s="75">
        <v>45951</v>
      </c>
      <c r="M214" s="83">
        <v>0</v>
      </c>
      <c r="N214" s="82">
        <f>500000000+500000000+406750510+500000000</f>
        <v>1906750510</v>
      </c>
      <c r="O214" s="82">
        <v>0</v>
      </c>
      <c r="P214" s="82">
        <v>0</v>
      </c>
      <c r="Q214" s="82">
        <v>0</v>
      </c>
      <c r="R214" s="82">
        <v>0</v>
      </c>
      <c r="S214" s="82">
        <v>0</v>
      </c>
      <c r="T214" s="82">
        <v>0</v>
      </c>
      <c r="U214" s="82">
        <v>0</v>
      </c>
      <c r="V214" s="82">
        <v>0</v>
      </c>
      <c r="W214" s="82">
        <v>2548280</v>
      </c>
      <c r="X214" s="82">
        <f t="shared" si="31"/>
        <v>0</v>
      </c>
      <c r="Y214" s="82"/>
      <c r="Z214" s="29">
        <f t="shared" si="32"/>
        <v>-189209790</v>
      </c>
      <c r="AA214" s="97">
        <f>-(I214)*2%</f>
        <v>-2548280</v>
      </c>
      <c r="AB214" s="82">
        <v>0</v>
      </c>
      <c r="AC214" s="98">
        <f>K214+AA214</f>
        <v>1906750510</v>
      </c>
      <c r="AD214" s="15" t="s">
        <v>983</v>
      </c>
    </row>
    <row r="215" spans="1:31" s="45" customFormat="1">
      <c r="A215" s="43">
        <f t="shared" si="35"/>
        <v>211</v>
      </c>
      <c r="B215" s="15" t="s">
        <v>984</v>
      </c>
      <c r="C215" s="22">
        <v>45945</v>
      </c>
      <c r="D215" s="48">
        <v>2025</v>
      </c>
      <c r="E215" s="44" t="s">
        <v>98</v>
      </c>
      <c r="F215" s="44" t="s">
        <v>783</v>
      </c>
      <c r="G215" s="44" t="s">
        <v>985</v>
      </c>
      <c r="H215" s="62">
        <v>26270047</v>
      </c>
      <c r="I215" s="62">
        <v>1370871</v>
      </c>
      <c r="J215" s="62">
        <v>3040501</v>
      </c>
      <c r="K215" s="60">
        <f t="shared" si="38"/>
        <v>30681419</v>
      </c>
      <c r="L215" s="75">
        <v>45982</v>
      </c>
      <c r="M215" s="83">
        <v>0</v>
      </c>
      <c r="N215" s="82">
        <v>0</v>
      </c>
      <c r="O215" s="82">
        <v>27088100</v>
      </c>
      <c r="P215" s="82">
        <v>0</v>
      </c>
      <c r="Q215" s="82">
        <v>0</v>
      </c>
      <c r="R215" s="82">
        <v>0</v>
      </c>
      <c r="S215" s="82">
        <v>0</v>
      </c>
      <c r="T215" s="82">
        <v>0</v>
      </c>
      <c r="U215" s="82">
        <v>0</v>
      </c>
      <c r="V215" s="82">
        <v>0</v>
      </c>
      <c r="W215" s="82">
        <v>3593319</v>
      </c>
      <c r="X215" s="82">
        <f t="shared" si="31"/>
        <v>0</v>
      </c>
      <c r="Y215" s="82"/>
      <c r="Z215" s="29">
        <f t="shared" si="32"/>
        <v>-3040501</v>
      </c>
      <c r="AA215" s="97">
        <f>-(H215+I215)*2%</f>
        <v>-552818.36</v>
      </c>
      <c r="AB215" s="82">
        <f>K215+Z215+AA215</f>
        <v>27088099.640000001</v>
      </c>
      <c r="AC215" s="98">
        <v>0</v>
      </c>
      <c r="AD215" s="15"/>
    </row>
    <row r="216" spans="1:31" s="45" customFormat="1">
      <c r="A216" s="43">
        <f t="shared" si="35"/>
        <v>212</v>
      </c>
      <c r="B216" s="15" t="s">
        <v>1134</v>
      </c>
      <c r="C216" s="22">
        <v>45999</v>
      </c>
      <c r="D216" s="14">
        <v>2025</v>
      </c>
      <c r="E216" s="44" t="s">
        <v>1135</v>
      </c>
      <c r="F216" s="44" t="s">
        <v>1035</v>
      </c>
      <c r="G216" s="44" t="s">
        <v>1136</v>
      </c>
      <c r="H216" s="62">
        <v>326442500</v>
      </c>
      <c r="I216" s="62">
        <v>32644250</v>
      </c>
      <c r="J216" s="62">
        <v>3949954</v>
      </c>
      <c r="K216" s="60">
        <f t="shared" si="38"/>
        <v>363036704</v>
      </c>
      <c r="L216" s="75"/>
      <c r="M216" s="83">
        <v>0</v>
      </c>
      <c r="N216" s="82">
        <v>0</v>
      </c>
      <c r="O216" s="82">
        <v>0</v>
      </c>
      <c r="P216" s="82">
        <v>0</v>
      </c>
      <c r="Q216" s="82">
        <v>0</v>
      </c>
      <c r="R216" s="82">
        <v>0</v>
      </c>
      <c r="S216" s="82">
        <v>0</v>
      </c>
      <c r="T216" s="82">
        <v>0</v>
      </c>
      <c r="U216" s="82">
        <v>0</v>
      </c>
      <c r="V216" s="82">
        <v>0</v>
      </c>
      <c r="W216" s="82">
        <v>0</v>
      </c>
      <c r="X216" s="82">
        <f t="shared" si="31"/>
        <v>363036704</v>
      </c>
      <c r="Y216" s="82"/>
      <c r="Z216" s="29">
        <f t="shared" si="32"/>
        <v>-3949954</v>
      </c>
      <c r="AA216" s="97">
        <f>-(H216+I216)*2%</f>
        <v>-7181735</v>
      </c>
      <c r="AB216" s="82">
        <v>0</v>
      </c>
      <c r="AC216" s="98">
        <f>K216+AA216</f>
        <v>355854969</v>
      </c>
      <c r="AD216" s="15" t="s">
        <v>19</v>
      </c>
      <c r="AE216" s="45" t="s">
        <v>19</v>
      </c>
    </row>
    <row r="217" spans="1:31" s="120" customFormat="1">
      <c r="A217" s="107">
        <f t="shared" si="35"/>
        <v>213</v>
      </c>
      <c r="B217" s="50" t="s">
        <v>987</v>
      </c>
      <c r="C217" s="124">
        <v>45768</v>
      </c>
      <c r="D217" s="14">
        <v>2024</v>
      </c>
      <c r="E217" s="77" t="s">
        <v>19</v>
      </c>
      <c r="F217" s="77" t="s">
        <v>19</v>
      </c>
      <c r="G217" s="77" t="s">
        <v>1098</v>
      </c>
      <c r="H217" s="114">
        <v>0</v>
      </c>
      <c r="I217" s="114">
        <v>0</v>
      </c>
      <c r="J217" s="114">
        <v>0</v>
      </c>
      <c r="K217" s="108">
        <f t="shared" si="38"/>
        <v>0</v>
      </c>
      <c r="L217" s="115"/>
      <c r="M217" s="116">
        <v>0</v>
      </c>
      <c r="N217" s="105">
        <v>0</v>
      </c>
      <c r="O217" s="105">
        <v>0</v>
      </c>
      <c r="P217" s="105">
        <v>0</v>
      </c>
      <c r="Q217" s="105">
        <v>0</v>
      </c>
      <c r="R217" s="105">
        <v>0</v>
      </c>
      <c r="S217" s="105">
        <v>0</v>
      </c>
      <c r="T217" s="105">
        <v>0</v>
      </c>
      <c r="U217" s="105">
        <v>0</v>
      </c>
      <c r="V217" s="105">
        <v>0</v>
      </c>
      <c r="W217" s="105">
        <v>0</v>
      </c>
      <c r="X217" s="105">
        <f t="shared" si="31"/>
        <v>0</v>
      </c>
      <c r="Y217" s="105"/>
      <c r="Z217" s="117">
        <f t="shared" si="32"/>
        <v>0</v>
      </c>
      <c r="AA217" s="118">
        <f>-(H217+I217)*2%</f>
        <v>0</v>
      </c>
      <c r="AB217" s="105">
        <f>K217+Z217+AA217</f>
        <v>0</v>
      </c>
      <c r="AC217" s="119">
        <v>0</v>
      </c>
      <c r="AD217" s="50"/>
      <c r="AE217" s="120" t="s">
        <v>19</v>
      </c>
    </row>
    <row r="218" spans="1:31" s="45" customFormat="1">
      <c r="A218" s="43">
        <f t="shared" si="35"/>
        <v>214</v>
      </c>
      <c r="B218" s="15" t="s">
        <v>988</v>
      </c>
      <c r="C218" s="22">
        <v>45964</v>
      </c>
      <c r="D218" s="48">
        <v>2025</v>
      </c>
      <c r="E218" s="44" t="s">
        <v>66</v>
      </c>
      <c r="F218" s="44" t="s">
        <v>989</v>
      </c>
      <c r="G218" s="44" t="s">
        <v>990</v>
      </c>
      <c r="H218" s="62">
        <v>700996750</v>
      </c>
      <c r="I218" s="62">
        <v>70099675</v>
      </c>
      <c r="J218" s="60">
        <v>84820607</v>
      </c>
      <c r="K218" s="60">
        <f t="shared" si="38"/>
        <v>855917032</v>
      </c>
      <c r="L218" s="75">
        <v>45993</v>
      </c>
      <c r="M218" s="83">
        <v>0</v>
      </c>
      <c r="N218" s="82">
        <v>0</v>
      </c>
      <c r="O218" s="82">
        <v>755674498</v>
      </c>
      <c r="P218" s="82">
        <v>0</v>
      </c>
      <c r="Q218" s="82">
        <v>0</v>
      </c>
      <c r="R218" s="82">
        <v>0</v>
      </c>
      <c r="S218" s="82">
        <v>0</v>
      </c>
      <c r="T218" s="82">
        <v>0</v>
      </c>
      <c r="U218" s="82">
        <v>0</v>
      </c>
      <c r="V218" s="82">
        <v>0</v>
      </c>
      <c r="W218" s="82">
        <v>100242534</v>
      </c>
      <c r="X218" s="82">
        <f t="shared" si="31"/>
        <v>0</v>
      </c>
      <c r="Y218" s="82"/>
      <c r="Z218" s="29">
        <f t="shared" si="32"/>
        <v>-84820607</v>
      </c>
      <c r="AA218" s="97">
        <f>-(H218+I218)*2%</f>
        <v>-15421928.5</v>
      </c>
      <c r="AB218" s="82">
        <f>K218+Z218+AA218</f>
        <v>755674496.5</v>
      </c>
      <c r="AC218" s="98">
        <v>0</v>
      </c>
      <c r="AD218" s="15"/>
      <c r="AE218" s="45" t="s">
        <v>19</v>
      </c>
    </row>
    <row r="219" spans="1:31" s="45" customFormat="1">
      <c r="A219" s="43">
        <f t="shared" si="35"/>
        <v>215</v>
      </c>
      <c r="B219" s="15" t="s">
        <v>991</v>
      </c>
      <c r="C219" s="110">
        <v>45960</v>
      </c>
      <c r="D219" s="48">
        <v>2025</v>
      </c>
      <c r="E219" s="44" t="s">
        <v>539</v>
      </c>
      <c r="F219" s="44" t="s">
        <v>121</v>
      </c>
      <c r="G219" s="44" t="s">
        <v>992</v>
      </c>
      <c r="H219" s="64">
        <v>7586640</v>
      </c>
      <c r="I219" s="64">
        <v>0</v>
      </c>
      <c r="J219" s="60">
        <v>0</v>
      </c>
      <c r="K219" s="60">
        <f>SUM(H219:J219)</f>
        <v>7586640</v>
      </c>
      <c r="L219" s="110">
        <v>45957</v>
      </c>
      <c r="M219" s="83">
        <v>7586640</v>
      </c>
      <c r="N219" s="82">
        <v>0</v>
      </c>
      <c r="O219" s="82">
        <v>0</v>
      </c>
      <c r="P219" s="82">
        <v>0</v>
      </c>
      <c r="Q219" s="82">
        <v>0</v>
      </c>
      <c r="R219" s="82">
        <v>0</v>
      </c>
      <c r="S219" s="82">
        <v>0</v>
      </c>
      <c r="T219" s="82">
        <v>0</v>
      </c>
      <c r="U219" s="82">
        <v>0</v>
      </c>
      <c r="V219" s="82">
        <v>0</v>
      </c>
      <c r="W219" s="82">
        <v>0</v>
      </c>
      <c r="X219" s="82">
        <f t="shared" si="31"/>
        <v>0</v>
      </c>
      <c r="Y219" s="82"/>
      <c r="Z219" s="29">
        <f t="shared" si="32"/>
        <v>0</v>
      </c>
      <c r="AA219" s="82">
        <v>0</v>
      </c>
      <c r="AB219" s="82">
        <v>0</v>
      </c>
      <c r="AC219" s="98">
        <v>0</v>
      </c>
      <c r="AD219" s="15"/>
      <c r="AE219" s="45" t="s">
        <v>19</v>
      </c>
    </row>
    <row r="220" spans="1:31" s="45" customFormat="1">
      <c r="A220" s="43">
        <f t="shared" si="35"/>
        <v>216</v>
      </c>
      <c r="B220" s="15">
        <v>216</v>
      </c>
      <c r="C220" s="22"/>
      <c r="D220" s="48">
        <v>2025</v>
      </c>
      <c r="E220" s="44" t="s">
        <v>873</v>
      </c>
      <c r="F220" s="44" t="s">
        <v>296</v>
      </c>
      <c r="G220" s="44" t="s">
        <v>874</v>
      </c>
      <c r="H220" s="62">
        <v>2985000000</v>
      </c>
      <c r="I220" s="62">
        <v>0</v>
      </c>
      <c r="J220" s="62">
        <v>0</v>
      </c>
      <c r="K220" s="60">
        <f>SUM(H220:J220)</f>
        <v>2985000000</v>
      </c>
      <c r="L220" s="75">
        <v>45860</v>
      </c>
      <c r="M220" s="83">
        <v>2985000000</v>
      </c>
      <c r="N220" s="82">
        <v>0</v>
      </c>
      <c r="O220" s="82">
        <v>0</v>
      </c>
      <c r="P220" s="82">
        <v>0</v>
      </c>
      <c r="Q220" s="82">
        <v>0</v>
      </c>
      <c r="R220" s="82">
        <v>0</v>
      </c>
      <c r="S220" s="82">
        <v>0</v>
      </c>
      <c r="T220" s="82">
        <v>0</v>
      </c>
      <c r="U220" s="82">
        <v>0</v>
      </c>
      <c r="V220" s="82">
        <v>0</v>
      </c>
      <c r="W220" s="82">
        <v>0</v>
      </c>
      <c r="X220" s="82">
        <f t="shared" si="31"/>
        <v>0</v>
      </c>
      <c r="Y220" s="82"/>
      <c r="Z220" s="29">
        <f t="shared" si="32"/>
        <v>0</v>
      </c>
      <c r="AA220" s="82">
        <v>0</v>
      </c>
      <c r="AB220" s="82">
        <v>0</v>
      </c>
      <c r="AC220" s="98">
        <v>0</v>
      </c>
      <c r="AD220" s="15"/>
      <c r="AE220" s="45" t="s">
        <v>19</v>
      </c>
    </row>
    <row r="221" spans="1:31" s="45" customFormat="1" ht="15" customHeight="1">
      <c r="A221" s="43">
        <f t="shared" si="35"/>
        <v>217</v>
      </c>
      <c r="B221" s="15" t="s">
        <v>1276</v>
      </c>
      <c r="C221" s="22">
        <v>46057</v>
      </c>
      <c r="D221" s="14">
        <v>2025</v>
      </c>
      <c r="E221" s="44" t="s">
        <v>1277</v>
      </c>
      <c r="F221" s="44" t="s">
        <v>1278</v>
      </c>
      <c r="G221" s="44" t="s">
        <v>1279</v>
      </c>
      <c r="H221" s="62">
        <v>84355056</v>
      </c>
      <c r="I221" s="62">
        <v>8435506</v>
      </c>
      <c r="J221" s="62">
        <v>0</v>
      </c>
      <c r="K221" s="60">
        <f t="shared" ref="K221:K242" si="39">SUM(H221:J221)</f>
        <v>92790562</v>
      </c>
      <c r="L221" s="75"/>
      <c r="M221" s="83">
        <v>0</v>
      </c>
      <c r="N221" s="82">
        <v>0</v>
      </c>
      <c r="O221" s="82">
        <v>0</v>
      </c>
      <c r="P221" s="82">
        <v>0</v>
      </c>
      <c r="Q221" s="82">
        <v>0</v>
      </c>
      <c r="R221" s="82">
        <v>0</v>
      </c>
      <c r="S221" s="82">
        <v>0</v>
      </c>
      <c r="T221" s="82">
        <v>0</v>
      </c>
      <c r="U221" s="82">
        <v>0</v>
      </c>
      <c r="V221" s="82">
        <v>0</v>
      </c>
      <c r="W221" s="82">
        <v>0</v>
      </c>
      <c r="X221" s="82">
        <f t="shared" si="31"/>
        <v>92790562</v>
      </c>
      <c r="Y221" s="82"/>
      <c r="Z221" s="29">
        <f t="shared" si="32"/>
        <v>0</v>
      </c>
      <c r="AA221" s="82">
        <v>0</v>
      </c>
      <c r="AB221" s="82">
        <v>0</v>
      </c>
      <c r="AC221" s="98">
        <f>K221+AA221</f>
        <v>92790562</v>
      </c>
      <c r="AD221" s="15"/>
    </row>
    <row r="222" spans="1:31" s="70" customFormat="1">
      <c r="A222" s="43">
        <f t="shared" si="35"/>
        <v>218</v>
      </c>
      <c r="B222" s="27" t="s">
        <v>19</v>
      </c>
      <c r="C222" s="125"/>
      <c r="D222" s="48" t="s">
        <v>19</v>
      </c>
      <c r="E222" s="46" t="s">
        <v>19</v>
      </c>
      <c r="F222" s="46" t="s">
        <v>19</v>
      </c>
      <c r="G222" s="46" t="s">
        <v>19</v>
      </c>
      <c r="H222" s="66">
        <v>0</v>
      </c>
      <c r="I222" s="66">
        <v>0</v>
      </c>
      <c r="J222" s="66">
        <v>0</v>
      </c>
      <c r="K222" s="67">
        <f t="shared" si="39"/>
        <v>0</v>
      </c>
      <c r="L222" s="111"/>
      <c r="M222" s="84">
        <v>0</v>
      </c>
      <c r="N222" s="85">
        <v>0</v>
      </c>
      <c r="O222" s="82">
        <v>0</v>
      </c>
      <c r="P222" s="82">
        <v>0</v>
      </c>
      <c r="Q222" s="85">
        <v>0</v>
      </c>
      <c r="R222" s="82">
        <v>0</v>
      </c>
      <c r="S222" s="85">
        <v>0</v>
      </c>
      <c r="T222" s="85">
        <v>0</v>
      </c>
      <c r="U222" s="82">
        <v>0</v>
      </c>
      <c r="V222" s="85">
        <v>0</v>
      </c>
      <c r="W222" s="85">
        <v>0</v>
      </c>
      <c r="X222" s="85">
        <f t="shared" si="31"/>
        <v>0</v>
      </c>
      <c r="Y222" s="85"/>
      <c r="Z222" s="99">
        <f t="shared" si="32"/>
        <v>0</v>
      </c>
      <c r="AA222" s="100">
        <f t="shared" ref="AA222:AA242" si="40">-(H222+I222)*2%</f>
        <v>0</v>
      </c>
      <c r="AB222" s="85">
        <f t="shared" ref="AB222:AB242" si="41">K222+Z222+AA222</f>
        <v>0</v>
      </c>
      <c r="AC222" s="101">
        <v>0</v>
      </c>
      <c r="AD222" s="27"/>
    </row>
    <row r="223" spans="1:31" s="45" customFormat="1">
      <c r="A223" s="43">
        <f t="shared" si="35"/>
        <v>219</v>
      </c>
      <c r="B223" s="15" t="s">
        <v>1268</v>
      </c>
      <c r="C223" s="22">
        <v>46013</v>
      </c>
      <c r="D223" s="48">
        <v>2025</v>
      </c>
      <c r="E223" s="44" t="s">
        <v>98</v>
      </c>
      <c r="F223" s="44" t="s">
        <v>474</v>
      </c>
      <c r="G223" s="44" t="s">
        <v>1267</v>
      </c>
      <c r="H223" s="62">
        <v>128247024</v>
      </c>
      <c r="I223" s="62">
        <v>2819018</v>
      </c>
      <c r="J223" s="62">
        <v>14417265</v>
      </c>
      <c r="K223" s="60">
        <f t="shared" si="39"/>
        <v>145483307</v>
      </c>
      <c r="L223" s="75"/>
      <c r="M223" s="83">
        <v>0</v>
      </c>
      <c r="N223" s="82">
        <v>0</v>
      </c>
      <c r="O223" s="82">
        <v>0</v>
      </c>
      <c r="P223" s="82">
        <v>0</v>
      </c>
      <c r="Q223" s="82">
        <v>0</v>
      </c>
      <c r="R223" s="82">
        <v>0</v>
      </c>
      <c r="S223" s="82">
        <v>0</v>
      </c>
      <c r="T223" s="82">
        <v>0</v>
      </c>
      <c r="U223" s="82">
        <v>0</v>
      </c>
      <c r="V223" s="82">
        <v>0</v>
      </c>
      <c r="W223" s="82">
        <v>0</v>
      </c>
      <c r="X223" s="82">
        <f t="shared" si="31"/>
        <v>145483307</v>
      </c>
      <c r="Y223" s="82"/>
      <c r="Z223" s="29">
        <f t="shared" si="32"/>
        <v>-14417265</v>
      </c>
      <c r="AA223" s="82">
        <f t="shared" si="40"/>
        <v>-2621320.84</v>
      </c>
      <c r="AB223" s="82">
        <f t="shared" si="41"/>
        <v>128444721.16</v>
      </c>
      <c r="AC223" s="98">
        <v>0</v>
      </c>
      <c r="AD223" s="129" t="s">
        <v>19</v>
      </c>
    </row>
    <row r="224" spans="1:31" s="70" customFormat="1">
      <c r="A224" s="43">
        <f t="shared" si="35"/>
        <v>220</v>
      </c>
      <c r="B224" s="27" t="s">
        <v>19</v>
      </c>
      <c r="C224" s="125"/>
      <c r="D224" s="128"/>
      <c r="E224" s="46" t="s">
        <v>19</v>
      </c>
      <c r="F224" s="46" t="s">
        <v>19</v>
      </c>
      <c r="G224" s="46" t="s">
        <v>19</v>
      </c>
      <c r="H224" s="66">
        <v>0</v>
      </c>
      <c r="I224" s="66">
        <v>0</v>
      </c>
      <c r="J224" s="66">
        <v>0</v>
      </c>
      <c r="K224" s="67">
        <f t="shared" si="39"/>
        <v>0</v>
      </c>
      <c r="L224" s="111"/>
      <c r="M224" s="84">
        <v>0</v>
      </c>
      <c r="N224" s="85">
        <v>0</v>
      </c>
      <c r="O224" s="82">
        <v>0</v>
      </c>
      <c r="P224" s="82">
        <v>0</v>
      </c>
      <c r="Q224" s="85">
        <v>0</v>
      </c>
      <c r="R224" s="82">
        <v>0</v>
      </c>
      <c r="S224" s="85">
        <v>0</v>
      </c>
      <c r="T224" s="85">
        <v>0</v>
      </c>
      <c r="U224" s="82">
        <v>0</v>
      </c>
      <c r="V224" s="85">
        <v>0</v>
      </c>
      <c r="W224" s="85">
        <v>0</v>
      </c>
      <c r="X224" s="85">
        <f t="shared" si="31"/>
        <v>0</v>
      </c>
      <c r="Y224" s="85"/>
      <c r="Z224" s="99">
        <f t="shared" si="32"/>
        <v>0</v>
      </c>
      <c r="AA224" s="85">
        <f t="shared" si="40"/>
        <v>0</v>
      </c>
      <c r="AB224" s="85">
        <f t="shared" si="41"/>
        <v>0</v>
      </c>
      <c r="AC224" s="101">
        <v>0</v>
      </c>
      <c r="AD224" s="27"/>
    </row>
    <row r="225" spans="1:30" s="70" customFormat="1">
      <c r="A225" s="43">
        <f t="shared" si="35"/>
        <v>221</v>
      </c>
      <c r="B225" s="15"/>
      <c r="C225" s="125"/>
      <c r="D225" s="49"/>
      <c r="E225" s="46" t="s">
        <v>19</v>
      </c>
      <c r="F225" s="46" t="s">
        <v>19</v>
      </c>
      <c r="G225" s="46" t="s">
        <v>19</v>
      </c>
      <c r="H225" s="67">
        <v>0</v>
      </c>
      <c r="I225" s="67">
        <v>0</v>
      </c>
      <c r="J225" s="67">
        <v>0</v>
      </c>
      <c r="K225" s="67">
        <f t="shared" si="39"/>
        <v>0</v>
      </c>
      <c r="L225" s="111"/>
      <c r="M225" s="84">
        <v>0</v>
      </c>
      <c r="N225" s="85">
        <v>0</v>
      </c>
      <c r="O225" s="82">
        <v>0</v>
      </c>
      <c r="P225" s="82">
        <v>0</v>
      </c>
      <c r="Q225" s="85">
        <v>0</v>
      </c>
      <c r="R225" s="82">
        <v>0</v>
      </c>
      <c r="S225" s="85">
        <v>0</v>
      </c>
      <c r="T225" s="85">
        <v>0</v>
      </c>
      <c r="U225" s="82">
        <v>0</v>
      </c>
      <c r="V225" s="85">
        <v>0</v>
      </c>
      <c r="W225" s="85">
        <v>0</v>
      </c>
      <c r="X225" s="85">
        <f t="shared" si="31"/>
        <v>0</v>
      </c>
      <c r="Y225" s="85"/>
      <c r="Z225" s="99">
        <f t="shared" si="32"/>
        <v>0</v>
      </c>
      <c r="AA225" s="85">
        <f t="shared" si="40"/>
        <v>0</v>
      </c>
      <c r="AB225" s="85">
        <f t="shared" si="41"/>
        <v>0</v>
      </c>
      <c r="AC225" s="101">
        <v>0</v>
      </c>
      <c r="AD225" s="27"/>
    </row>
    <row r="226" spans="1:30" s="70" customFormat="1">
      <c r="A226" s="43">
        <f t="shared" si="35"/>
        <v>222</v>
      </c>
      <c r="B226" s="15"/>
      <c r="C226" s="125"/>
      <c r="D226" s="49"/>
      <c r="E226" s="46" t="s">
        <v>19</v>
      </c>
      <c r="F226" s="46" t="s">
        <v>19</v>
      </c>
      <c r="G226" s="46" t="s">
        <v>19</v>
      </c>
      <c r="H226" s="68">
        <v>0</v>
      </c>
      <c r="I226" s="67">
        <v>0</v>
      </c>
      <c r="J226" s="67">
        <v>0</v>
      </c>
      <c r="K226" s="67">
        <f t="shared" si="39"/>
        <v>0</v>
      </c>
      <c r="L226" s="111"/>
      <c r="M226" s="84">
        <v>0</v>
      </c>
      <c r="N226" s="85">
        <v>0</v>
      </c>
      <c r="O226" s="82">
        <v>0</v>
      </c>
      <c r="P226" s="82">
        <v>0</v>
      </c>
      <c r="Q226" s="85">
        <v>0</v>
      </c>
      <c r="R226" s="82">
        <v>0</v>
      </c>
      <c r="S226" s="85">
        <v>0</v>
      </c>
      <c r="T226" s="85">
        <v>0</v>
      </c>
      <c r="U226" s="82">
        <v>0</v>
      </c>
      <c r="V226" s="85">
        <v>0</v>
      </c>
      <c r="W226" s="85">
        <v>0</v>
      </c>
      <c r="X226" s="85">
        <f t="shared" si="31"/>
        <v>0</v>
      </c>
      <c r="Y226" s="85"/>
      <c r="Z226" s="99">
        <f t="shared" si="32"/>
        <v>0</v>
      </c>
      <c r="AA226" s="85">
        <f t="shared" si="40"/>
        <v>0</v>
      </c>
      <c r="AB226" s="85">
        <f t="shared" si="41"/>
        <v>0</v>
      </c>
      <c r="AC226" s="101">
        <v>0</v>
      </c>
      <c r="AD226" s="27"/>
    </row>
    <row r="227" spans="1:30" s="120" customFormat="1">
      <c r="A227" s="107">
        <f t="shared" si="35"/>
        <v>223</v>
      </c>
      <c r="B227" s="50" t="s">
        <v>1137</v>
      </c>
      <c r="C227" s="124">
        <v>45729</v>
      </c>
      <c r="D227" s="14">
        <v>2024</v>
      </c>
      <c r="E227" s="77" t="s">
        <v>19</v>
      </c>
      <c r="F227" s="77" t="s">
        <v>19</v>
      </c>
      <c r="G227" s="77" t="s">
        <v>1147</v>
      </c>
      <c r="H227" s="114">
        <v>0</v>
      </c>
      <c r="I227" s="114">
        <v>0</v>
      </c>
      <c r="J227" s="114">
        <v>0</v>
      </c>
      <c r="K227" s="108">
        <f t="shared" si="39"/>
        <v>0</v>
      </c>
      <c r="L227" s="115"/>
      <c r="M227" s="116">
        <v>0</v>
      </c>
      <c r="N227" s="105">
        <v>0</v>
      </c>
      <c r="O227" s="105">
        <v>0</v>
      </c>
      <c r="P227" s="105">
        <v>0</v>
      </c>
      <c r="Q227" s="105">
        <v>0</v>
      </c>
      <c r="R227" s="105">
        <v>0</v>
      </c>
      <c r="S227" s="105">
        <v>0</v>
      </c>
      <c r="T227" s="105">
        <v>0</v>
      </c>
      <c r="U227" s="105">
        <v>0</v>
      </c>
      <c r="V227" s="105">
        <v>0</v>
      </c>
      <c r="W227" s="105">
        <v>0</v>
      </c>
      <c r="X227" s="105">
        <f t="shared" si="31"/>
        <v>0</v>
      </c>
      <c r="Y227" s="105"/>
      <c r="Z227" s="109">
        <f t="shared" si="32"/>
        <v>0</v>
      </c>
      <c r="AA227" s="105">
        <f t="shared" si="40"/>
        <v>0</v>
      </c>
      <c r="AB227" s="105">
        <f t="shared" si="41"/>
        <v>0</v>
      </c>
      <c r="AC227" s="119">
        <v>0</v>
      </c>
      <c r="AD227" s="50"/>
    </row>
    <row r="228" spans="1:30" s="70" customFormat="1">
      <c r="A228" s="43">
        <f t="shared" si="35"/>
        <v>224</v>
      </c>
      <c r="B228" s="27" t="s">
        <v>19</v>
      </c>
      <c r="C228" s="125"/>
      <c r="D228" s="128"/>
      <c r="E228" s="46" t="s">
        <v>19</v>
      </c>
      <c r="F228" s="46" t="s">
        <v>19</v>
      </c>
      <c r="G228" s="44" t="s">
        <v>19</v>
      </c>
      <c r="H228" s="66">
        <v>0</v>
      </c>
      <c r="I228" s="66">
        <v>0</v>
      </c>
      <c r="J228" s="66">
        <v>0</v>
      </c>
      <c r="K228" s="67">
        <f t="shared" si="39"/>
        <v>0</v>
      </c>
      <c r="L228" s="111"/>
      <c r="M228" s="84">
        <v>0</v>
      </c>
      <c r="N228" s="85">
        <v>0</v>
      </c>
      <c r="O228" s="82">
        <v>0</v>
      </c>
      <c r="P228" s="82">
        <v>0</v>
      </c>
      <c r="Q228" s="85">
        <v>0</v>
      </c>
      <c r="R228" s="82">
        <v>0</v>
      </c>
      <c r="S228" s="85">
        <v>0</v>
      </c>
      <c r="T228" s="85">
        <v>0</v>
      </c>
      <c r="U228" s="82">
        <v>0</v>
      </c>
      <c r="V228" s="85">
        <v>0</v>
      </c>
      <c r="W228" s="85">
        <v>0</v>
      </c>
      <c r="X228" s="85">
        <f t="shared" si="31"/>
        <v>0</v>
      </c>
      <c r="Y228" s="85"/>
      <c r="Z228" s="99">
        <f t="shared" si="32"/>
        <v>0</v>
      </c>
      <c r="AA228" s="85">
        <f t="shared" si="40"/>
        <v>0</v>
      </c>
      <c r="AB228" s="85">
        <f t="shared" si="41"/>
        <v>0</v>
      </c>
      <c r="AC228" s="101">
        <v>0</v>
      </c>
      <c r="AD228" s="27"/>
    </row>
    <row r="229" spans="1:30" s="120" customFormat="1">
      <c r="A229" s="107">
        <f t="shared" si="35"/>
        <v>225</v>
      </c>
      <c r="B229" s="50" t="s">
        <v>1138</v>
      </c>
      <c r="C229" s="124">
        <v>45756</v>
      </c>
      <c r="D229" s="14">
        <v>2024</v>
      </c>
      <c r="E229" s="77" t="s">
        <v>19</v>
      </c>
      <c r="F229" s="122" t="s">
        <v>19</v>
      </c>
      <c r="G229" s="77" t="s">
        <v>1148</v>
      </c>
      <c r="H229" s="123">
        <v>0</v>
      </c>
      <c r="I229" s="108">
        <v>0</v>
      </c>
      <c r="J229" s="108">
        <v>0</v>
      </c>
      <c r="K229" s="108">
        <f t="shared" si="39"/>
        <v>0</v>
      </c>
      <c r="L229" s="115"/>
      <c r="M229" s="116">
        <v>0</v>
      </c>
      <c r="N229" s="105">
        <v>0</v>
      </c>
      <c r="O229" s="105">
        <v>0</v>
      </c>
      <c r="P229" s="105">
        <v>0</v>
      </c>
      <c r="Q229" s="105">
        <v>0</v>
      </c>
      <c r="R229" s="105">
        <v>0</v>
      </c>
      <c r="S229" s="105">
        <v>0</v>
      </c>
      <c r="T229" s="105">
        <v>0</v>
      </c>
      <c r="U229" s="105">
        <v>0</v>
      </c>
      <c r="V229" s="105">
        <v>0</v>
      </c>
      <c r="W229" s="105">
        <v>0</v>
      </c>
      <c r="X229" s="105">
        <f t="shared" si="31"/>
        <v>0</v>
      </c>
      <c r="Y229" s="105"/>
      <c r="Z229" s="109">
        <f t="shared" si="32"/>
        <v>0</v>
      </c>
      <c r="AA229" s="105">
        <f t="shared" si="40"/>
        <v>0</v>
      </c>
      <c r="AB229" s="105">
        <f t="shared" si="41"/>
        <v>0</v>
      </c>
      <c r="AC229" s="119">
        <v>0</v>
      </c>
      <c r="AD229" s="50"/>
    </row>
    <row r="230" spans="1:30" s="45" customFormat="1">
      <c r="A230" s="43">
        <f t="shared" si="35"/>
        <v>226</v>
      </c>
      <c r="B230" s="15" t="s">
        <v>1203</v>
      </c>
      <c r="C230" s="22">
        <v>46006</v>
      </c>
      <c r="D230" s="14">
        <v>2025</v>
      </c>
      <c r="E230" s="44" t="s">
        <v>68</v>
      </c>
      <c r="F230" s="44" t="s">
        <v>1265</v>
      </c>
      <c r="G230" s="44" t="s">
        <v>1204</v>
      </c>
      <c r="H230" s="60">
        <v>140700000</v>
      </c>
      <c r="I230" s="60">
        <v>14070000</v>
      </c>
      <c r="J230" s="60">
        <v>17024700</v>
      </c>
      <c r="K230" s="60">
        <f t="shared" si="39"/>
        <v>171794700</v>
      </c>
      <c r="L230" s="75"/>
      <c r="M230" s="83">
        <v>0</v>
      </c>
      <c r="N230" s="82">
        <v>0</v>
      </c>
      <c r="O230" s="82">
        <v>0</v>
      </c>
      <c r="P230" s="82">
        <v>0</v>
      </c>
      <c r="Q230" s="82">
        <v>0</v>
      </c>
      <c r="R230" s="82">
        <v>0</v>
      </c>
      <c r="S230" s="82">
        <v>0</v>
      </c>
      <c r="T230" s="82">
        <v>0</v>
      </c>
      <c r="U230" s="82">
        <v>0</v>
      </c>
      <c r="V230" s="82">
        <v>0</v>
      </c>
      <c r="W230" s="82">
        <v>0</v>
      </c>
      <c r="X230" s="82">
        <f t="shared" si="31"/>
        <v>171794700</v>
      </c>
      <c r="Y230" s="82"/>
      <c r="Z230" s="29">
        <f t="shared" si="32"/>
        <v>-17024700</v>
      </c>
      <c r="AA230" s="82">
        <f t="shared" si="40"/>
        <v>-3095400</v>
      </c>
      <c r="AB230" s="82">
        <f t="shared" si="41"/>
        <v>151674600</v>
      </c>
      <c r="AC230" s="98">
        <v>0</v>
      </c>
      <c r="AD230" s="15"/>
    </row>
    <row r="231" spans="1:30" s="70" customFormat="1">
      <c r="A231" s="43">
        <f t="shared" si="35"/>
        <v>227</v>
      </c>
      <c r="B231" s="27" t="s">
        <v>19</v>
      </c>
      <c r="C231" s="125"/>
      <c r="D231" s="48" t="s">
        <v>19</v>
      </c>
      <c r="E231" s="46" t="s">
        <v>19</v>
      </c>
      <c r="F231" s="46" t="s">
        <v>19</v>
      </c>
      <c r="G231" s="46" t="s">
        <v>19</v>
      </c>
      <c r="H231" s="66">
        <v>0</v>
      </c>
      <c r="I231" s="66">
        <v>0</v>
      </c>
      <c r="J231" s="66">
        <v>0</v>
      </c>
      <c r="K231" s="67">
        <f t="shared" si="39"/>
        <v>0</v>
      </c>
      <c r="L231" s="111"/>
      <c r="M231" s="84">
        <v>0</v>
      </c>
      <c r="N231" s="85">
        <v>0</v>
      </c>
      <c r="O231" s="82">
        <v>0</v>
      </c>
      <c r="P231" s="82">
        <v>0</v>
      </c>
      <c r="Q231" s="85">
        <v>0</v>
      </c>
      <c r="R231" s="82">
        <v>0</v>
      </c>
      <c r="S231" s="85">
        <v>0</v>
      </c>
      <c r="T231" s="85">
        <v>0</v>
      </c>
      <c r="U231" s="82">
        <v>0</v>
      </c>
      <c r="V231" s="85">
        <v>0</v>
      </c>
      <c r="W231" s="85">
        <v>0</v>
      </c>
      <c r="X231" s="85">
        <f t="shared" si="31"/>
        <v>0</v>
      </c>
      <c r="Y231" s="85"/>
      <c r="Z231" s="99">
        <f t="shared" si="32"/>
        <v>0</v>
      </c>
      <c r="AA231" s="85">
        <f t="shared" si="40"/>
        <v>0</v>
      </c>
      <c r="AB231" s="85">
        <f t="shared" si="41"/>
        <v>0</v>
      </c>
      <c r="AC231" s="101">
        <v>0</v>
      </c>
      <c r="AD231" s="27"/>
    </row>
    <row r="232" spans="1:30" s="45" customFormat="1">
      <c r="A232" s="43">
        <f t="shared" si="35"/>
        <v>228</v>
      </c>
      <c r="B232" s="15" t="s">
        <v>1207</v>
      </c>
      <c r="C232" s="22">
        <v>46002</v>
      </c>
      <c r="D232" s="14">
        <v>2025</v>
      </c>
      <c r="E232" s="44" t="s">
        <v>98</v>
      </c>
      <c r="F232" s="44" t="s">
        <v>1209</v>
      </c>
      <c r="G232" s="44" t="s">
        <v>1208</v>
      </c>
      <c r="H232" s="62">
        <v>40236000</v>
      </c>
      <c r="I232" s="62">
        <v>2816520</v>
      </c>
      <c r="J232" s="62">
        <v>4735777</v>
      </c>
      <c r="K232" s="60">
        <f t="shared" si="39"/>
        <v>47788297</v>
      </c>
      <c r="L232" s="75"/>
      <c r="M232" s="83">
        <v>0</v>
      </c>
      <c r="N232" s="82">
        <v>0</v>
      </c>
      <c r="O232" s="82">
        <v>0</v>
      </c>
      <c r="P232" s="82">
        <v>0</v>
      </c>
      <c r="Q232" s="82">
        <v>0</v>
      </c>
      <c r="R232" s="82">
        <v>0</v>
      </c>
      <c r="S232" s="82">
        <v>0</v>
      </c>
      <c r="T232" s="82">
        <v>0</v>
      </c>
      <c r="U232" s="82">
        <v>0</v>
      </c>
      <c r="V232" s="82">
        <v>0</v>
      </c>
      <c r="W232" s="82">
        <v>0</v>
      </c>
      <c r="X232" s="82">
        <f t="shared" si="31"/>
        <v>47788297</v>
      </c>
      <c r="Y232" s="82"/>
      <c r="Z232" s="29">
        <f t="shared" si="32"/>
        <v>-4735777</v>
      </c>
      <c r="AA232" s="82">
        <f t="shared" si="40"/>
        <v>-861050.4</v>
      </c>
      <c r="AB232" s="82">
        <f t="shared" si="41"/>
        <v>42191469.600000001</v>
      </c>
      <c r="AC232" s="98">
        <v>0</v>
      </c>
      <c r="AD232" s="15"/>
    </row>
    <row r="233" spans="1:30" s="45" customFormat="1">
      <c r="A233" s="43">
        <f t="shared" si="35"/>
        <v>229</v>
      </c>
      <c r="B233" s="15" t="s">
        <v>1228</v>
      </c>
      <c r="C233" s="22">
        <v>46009</v>
      </c>
      <c r="D233" s="14">
        <v>2025</v>
      </c>
      <c r="E233" s="44" t="s">
        <v>876</v>
      </c>
      <c r="F233" s="44" t="s">
        <v>1202</v>
      </c>
      <c r="G233" s="44" t="s">
        <v>1229</v>
      </c>
      <c r="H233" s="62">
        <v>93218500</v>
      </c>
      <c r="I233" s="62">
        <v>6525295</v>
      </c>
      <c r="J233" s="62">
        <v>10971817</v>
      </c>
      <c r="K233" s="60">
        <f t="shared" si="39"/>
        <v>110715612</v>
      </c>
      <c r="L233" s="75"/>
      <c r="M233" s="83">
        <v>0</v>
      </c>
      <c r="N233" s="82">
        <v>0</v>
      </c>
      <c r="O233" s="82">
        <v>0</v>
      </c>
      <c r="P233" s="82">
        <v>0</v>
      </c>
      <c r="Q233" s="82">
        <v>0</v>
      </c>
      <c r="R233" s="82">
        <v>0</v>
      </c>
      <c r="S233" s="82">
        <v>0</v>
      </c>
      <c r="T233" s="82">
        <v>0</v>
      </c>
      <c r="U233" s="82">
        <v>0</v>
      </c>
      <c r="V233" s="82">
        <v>0</v>
      </c>
      <c r="W233" s="82">
        <v>0</v>
      </c>
      <c r="X233" s="82">
        <f t="shared" si="31"/>
        <v>110715612</v>
      </c>
      <c r="Y233" s="82"/>
      <c r="Z233" s="29">
        <f t="shared" si="32"/>
        <v>-10971817</v>
      </c>
      <c r="AA233" s="82">
        <f>-(I233)*2%</f>
        <v>-130505.90000000001</v>
      </c>
      <c r="AB233" s="82">
        <v>0</v>
      </c>
      <c r="AC233" s="98">
        <f>K233+AA233</f>
        <v>110585106.09999999</v>
      </c>
      <c r="AD233" s="15"/>
    </row>
    <row r="234" spans="1:30" s="45" customFormat="1">
      <c r="A234" s="43">
        <f t="shared" si="35"/>
        <v>230</v>
      </c>
      <c r="B234" s="15" t="s">
        <v>1219</v>
      </c>
      <c r="C234" s="22">
        <v>46009</v>
      </c>
      <c r="D234" s="48">
        <v>2025</v>
      </c>
      <c r="E234" s="44" t="s">
        <v>1220</v>
      </c>
      <c r="F234" s="44" t="s">
        <v>1266</v>
      </c>
      <c r="G234" s="44" t="s">
        <v>1221</v>
      </c>
      <c r="H234" s="62">
        <v>44812500</v>
      </c>
      <c r="I234" s="62">
        <v>0</v>
      </c>
      <c r="J234" s="62">
        <v>4929375</v>
      </c>
      <c r="K234" s="60">
        <f t="shared" si="39"/>
        <v>49741875</v>
      </c>
      <c r="L234" s="75"/>
      <c r="M234" s="83">
        <v>0</v>
      </c>
      <c r="N234" s="82">
        <v>0</v>
      </c>
      <c r="O234" s="82">
        <v>48845625</v>
      </c>
      <c r="P234" s="82">
        <v>0</v>
      </c>
      <c r="Q234" s="82">
        <v>0</v>
      </c>
      <c r="R234" s="82">
        <v>0</v>
      </c>
      <c r="S234" s="82">
        <v>0</v>
      </c>
      <c r="T234" s="82">
        <v>0</v>
      </c>
      <c r="U234" s="82">
        <v>0</v>
      </c>
      <c r="V234" s="82">
        <v>0</v>
      </c>
      <c r="W234" s="82">
        <v>896250</v>
      </c>
      <c r="X234" s="82">
        <f t="shared" si="31"/>
        <v>0</v>
      </c>
      <c r="Y234" s="82"/>
      <c r="Z234" s="29">
        <f t="shared" si="32"/>
        <v>-4929375</v>
      </c>
      <c r="AA234" s="82">
        <f t="shared" si="40"/>
        <v>-896250</v>
      </c>
      <c r="AB234" s="82">
        <f t="shared" si="41"/>
        <v>43916250</v>
      </c>
      <c r="AC234" s="98">
        <v>0</v>
      </c>
      <c r="AD234" s="15"/>
    </row>
    <row r="235" spans="1:30" s="45" customFormat="1">
      <c r="A235" s="43">
        <f t="shared" si="35"/>
        <v>231</v>
      </c>
      <c r="B235" s="15" t="s">
        <v>1222</v>
      </c>
      <c r="C235" s="22">
        <v>46009</v>
      </c>
      <c r="D235" s="48">
        <v>2025</v>
      </c>
      <c r="E235" s="44" t="s">
        <v>68</v>
      </c>
      <c r="F235" s="44" t="s">
        <v>1149</v>
      </c>
      <c r="G235" s="44" t="s">
        <v>1223</v>
      </c>
      <c r="H235" s="62">
        <v>532350532</v>
      </c>
      <c r="I235" s="62">
        <v>53235053</v>
      </c>
      <c r="J235" s="62">
        <v>64414415</v>
      </c>
      <c r="K235" s="60">
        <f t="shared" si="39"/>
        <v>650000000</v>
      </c>
      <c r="L235" s="75"/>
      <c r="M235" s="83">
        <v>0</v>
      </c>
      <c r="N235" s="82">
        <v>0</v>
      </c>
      <c r="O235" s="82">
        <v>0</v>
      </c>
      <c r="P235" s="82">
        <v>0</v>
      </c>
      <c r="Q235" s="82">
        <v>0</v>
      </c>
      <c r="R235" s="82">
        <v>573873873</v>
      </c>
      <c r="S235" s="82">
        <v>0</v>
      </c>
      <c r="T235" s="82">
        <v>0</v>
      </c>
      <c r="U235" s="82">
        <v>0</v>
      </c>
      <c r="V235" s="82">
        <v>0</v>
      </c>
      <c r="W235" s="82">
        <v>76126127</v>
      </c>
      <c r="X235" s="82">
        <f t="shared" si="31"/>
        <v>0</v>
      </c>
      <c r="Y235" s="82"/>
      <c r="Z235" s="29">
        <f t="shared" si="32"/>
        <v>-64414415</v>
      </c>
      <c r="AA235" s="82">
        <f t="shared" si="40"/>
        <v>-11711711.700000001</v>
      </c>
      <c r="AB235" s="82">
        <f t="shared" si="41"/>
        <v>573873873.29999995</v>
      </c>
      <c r="AC235" s="98">
        <v>0</v>
      </c>
      <c r="AD235" s="15"/>
    </row>
    <row r="236" spans="1:30" s="45" customFormat="1">
      <c r="A236" s="43">
        <f t="shared" si="35"/>
        <v>232</v>
      </c>
      <c r="B236" s="15" t="s">
        <v>1224</v>
      </c>
      <c r="C236" s="22">
        <v>46009</v>
      </c>
      <c r="D236" s="48">
        <v>2025</v>
      </c>
      <c r="E236" s="44" t="s">
        <v>68</v>
      </c>
      <c r="F236" s="44" t="s">
        <v>1132</v>
      </c>
      <c r="G236" s="44" t="s">
        <v>1225</v>
      </c>
      <c r="H236" s="62">
        <v>409500410</v>
      </c>
      <c r="I236" s="62">
        <v>40950040</v>
      </c>
      <c r="J236" s="62">
        <v>49549550</v>
      </c>
      <c r="K236" s="60">
        <f t="shared" si="39"/>
        <v>500000000</v>
      </c>
      <c r="L236" s="75"/>
      <c r="M236" s="83">
        <v>0</v>
      </c>
      <c r="N236" s="82">
        <v>0</v>
      </c>
      <c r="O236" s="82">
        <v>0</v>
      </c>
      <c r="P236" s="82">
        <v>0</v>
      </c>
      <c r="Q236" s="82">
        <v>0</v>
      </c>
      <c r="R236" s="82">
        <v>441441441</v>
      </c>
      <c r="S236" s="82">
        <v>0</v>
      </c>
      <c r="T236" s="82">
        <v>0</v>
      </c>
      <c r="U236" s="82">
        <v>0</v>
      </c>
      <c r="V236" s="82">
        <v>0</v>
      </c>
      <c r="W236" s="82">
        <v>58558559</v>
      </c>
      <c r="X236" s="82">
        <f t="shared" si="31"/>
        <v>0</v>
      </c>
      <c r="Y236" s="82"/>
      <c r="Z236" s="29">
        <f t="shared" si="32"/>
        <v>-49549550</v>
      </c>
      <c r="AA236" s="82">
        <f t="shared" si="40"/>
        <v>-9009009</v>
      </c>
      <c r="AB236" s="82">
        <f t="shared" si="41"/>
        <v>441441441</v>
      </c>
      <c r="AC236" s="98">
        <v>0</v>
      </c>
      <c r="AD236" s="15"/>
    </row>
    <row r="237" spans="1:30" s="70" customFormat="1">
      <c r="A237" s="43">
        <f t="shared" si="35"/>
        <v>233</v>
      </c>
      <c r="B237" s="27" t="s">
        <v>19</v>
      </c>
      <c r="C237" s="125"/>
      <c r="D237" s="48" t="s">
        <v>19</v>
      </c>
      <c r="E237" s="46" t="s">
        <v>19</v>
      </c>
      <c r="F237" s="46" t="s">
        <v>19</v>
      </c>
      <c r="G237" s="46" t="s">
        <v>19</v>
      </c>
      <c r="H237" s="66">
        <v>0</v>
      </c>
      <c r="I237" s="66">
        <v>0</v>
      </c>
      <c r="J237" s="66">
        <v>0</v>
      </c>
      <c r="K237" s="67">
        <f t="shared" si="39"/>
        <v>0</v>
      </c>
      <c r="L237" s="111"/>
      <c r="M237" s="84">
        <v>0</v>
      </c>
      <c r="N237" s="85">
        <v>0</v>
      </c>
      <c r="O237" s="82">
        <v>0</v>
      </c>
      <c r="P237" s="82">
        <v>0</v>
      </c>
      <c r="Q237" s="85">
        <v>0</v>
      </c>
      <c r="R237" s="82">
        <v>0</v>
      </c>
      <c r="S237" s="85">
        <v>0</v>
      </c>
      <c r="T237" s="85">
        <v>0</v>
      </c>
      <c r="U237" s="82">
        <v>0</v>
      </c>
      <c r="V237" s="85">
        <v>0</v>
      </c>
      <c r="W237" s="85">
        <v>0</v>
      </c>
      <c r="X237" s="85">
        <f t="shared" si="31"/>
        <v>0</v>
      </c>
      <c r="Y237" s="85"/>
      <c r="Z237" s="99">
        <f t="shared" si="32"/>
        <v>0</v>
      </c>
      <c r="AA237" s="85">
        <f t="shared" si="40"/>
        <v>0</v>
      </c>
      <c r="AB237" s="85">
        <f t="shared" si="41"/>
        <v>0</v>
      </c>
      <c r="AC237" s="101">
        <v>0</v>
      </c>
      <c r="AD237" s="27"/>
    </row>
    <row r="238" spans="1:30" s="45" customFormat="1">
      <c r="A238" s="43">
        <f t="shared" si="35"/>
        <v>234</v>
      </c>
      <c r="B238" s="15" t="s">
        <v>1226</v>
      </c>
      <c r="C238" s="22">
        <v>46009</v>
      </c>
      <c r="D238" s="48">
        <v>2025</v>
      </c>
      <c r="E238" s="44" t="s">
        <v>68</v>
      </c>
      <c r="F238" s="44" t="s">
        <v>989</v>
      </c>
      <c r="G238" s="44" t="s">
        <v>1227</v>
      </c>
      <c r="H238" s="62">
        <v>655200655</v>
      </c>
      <c r="I238" s="62">
        <v>65520066</v>
      </c>
      <c r="J238" s="62">
        <v>79279279</v>
      </c>
      <c r="K238" s="60">
        <f t="shared" si="39"/>
        <v>800000000</v>
      </c>
      <c r="L238" s="75"/>
      <c r="M238" s="83">
        <v>0</v>
      </c>
      <c r="N238" s="82">
        <v>0</v>
      </c>
      <c r="O238" s="82">
        <v>0</v>
      </c>
      <c r="P238" s="82">
        <v>0</v>
      </c>
      <c r="Q238" s="82">
        <v>0</v>
      </c>
      <c r="R238" s="82">
        <v>706306307</v>
      </c>
      <c r="S238" s="82">
        <v>0</v>
      </c>
      <c r="T238" s="82">
        <v>0</v>
      </c>
      <c r="U238" s="82">
        <v>0</v>
      </c>
      <c r="V238" s="82">
        <v>0</v>
      </c>
      <c r="W238" s="82">
        <v>93693693</v>
      </c>
      <c r="X238" s="82">
        <f t="shared" si="31"/>
        <v>0</v>
      </c>
      <c r="Y238" s="82"/>
      <c r="Z238" s="29">
        <f t="shared" si="32"/>
        <v>-79279279</v>
      </c>
      <c r="AA238" s="82">
        <f t="shared" si="40"/>
        <v>-14414414.42</v>
      </c>
      <c r="AB238" s="82">
        <f t="shared" si="41"/>
        <v>706306306.58000004</v>
      </c>
      <c r="AC238" s="98">
        <v>0</v>
      </c>
      <c r="AD238" s="15"/>
    </row>
    <row r="239" spans="1:30" s="45" customFormat="1">
      <c r="A239" s="43">
        <f t="shared" si="35"/>
        <v>235</v>
      </c>
      <c r="B239" s="15" t="s">
        <v>1274</v>
      </c>
      <c r="C239" s="22">
        <v>46020</v>
      </c>
      <c r="D239" s="48">
        <v>2025</v>
      </c>
      <c r="E239" s="44" t="s">
        <v>876</v>
      </c>
      <c r="F239" s="44" t="s">
        <v>1202</v>
      </c>
      <c r="G239" s="44" t="s">
        <v>1275</v>
      </c>
      <c r="H239" s="62">
        <v>4500000</v>
      </c>
      <c r="I239" s="62">
        <v>315000</v>
      </c>
      <c r="J239" s="62">
        <v>529650</v>
      </c>
      <c r="K239" s="60">
        <f t="shared" si="39"/>
        <v>5344650</v>
      </c>
      <c r="L239" s="75"/>
      <c r="M239" s="83">
        <v>0</v>
      </c>
      <c r="N239" s="82">
        <v>0</v>
      </c>
      <c r="O239" s="82">
        <v>0</v>
      </c>
      <c r="P239" s="82">
        <v>0</v>
      </c>
      <c r="Q239" s="82">
        <v>0</v>
      </c>
      <c r="R239" s="82">
        <v>0</v>
      </c>
      <c r="S239" s="82">
        <v>0</v>
      </c>
      <c r="T239" s="82">
        <v>0</v>
      </c>
      <c r="U239" s="82">
        <v>0</v>
      </c>
      <c r="V239" s="82">
        <v>0</v>
      </c>
      <c r="W239" s="82">
        <v>0</v>
      </c>
      <c r="X239" s="82">
        <f t="shared" si="31"/>
        <v>5344650</v>
      </c>
      <c r="Y239" s="82"/>
      <c r="Z239" s="29">
        <f t="shared" si="32"/>
        <v>-529650</v>
      </c>
      <c r="AA239" s="82">
        <f>-(I239)*2%</f>
        <v>-6300</v>
      </c>
      <c r="AB239" s="82">
        <v>0</v>
      </c>
      <c r="AC239" s="98">
        <f>K239+AA239</f>
        <v>5338350</v>
      </c>
      <c r="AD239" s="15"/>
    </row>
    <row r="240" spans="1:30" s="70" customFormat="1">
      <c r="A240" s="43">
        <f t="shared" si="35"/>
        <v>236</v>
      </c>
      <c r="B240" s="27" t="s">
        <v>19</v>
      </c>
      <c r="C240" s="125"/>
      <c r="D240" s="48" t="s">
        <v>19</v>
      </c>
      <c r="E240" s="46" t="s">
        <v>19</v>
      </c>
      <c r="F240" s="46" t="s">
        <v>19</v>
      </c>
      <c r="G240" s="46" t="s">
        <v>19</v>
      </c>
      <c r="H240" s="66">
        <v>0</v>
      </c>
      <c r="I240" s="66">
        <v>0</v>
      </c>
      <c r="J240" s="66">
        <v>0</v>
      </c>
      <c r="K240" s="67">
        <f t="shared" si="39"/>
        <v>0</v>
      </c>
      <c r="L240" s="111"/>
      <c r="M240" s="84">
        <v>0</v>
      </c>
      <c r="N240" s="85">
        <v>0</v>
      </c>
      <c r="O240" s="82">
        <v>0</v>
      </c>
      <c r="P240" s="82">
        <v>0</v>
      </c>
      <c r="Q240" s="85">
        <v>0</v>
      </c>
      <c r="R240" s="82">
        <v>0</v>
      </c>
      <c r="S240" s="85">
        <v>0</v>
      </c>
      <c r="T240" s="85">
        <v>0</v>
      </c>
      <c r="U240" s="82">
        <v>0</v>
      </c>
      <c r="V240" s="85">
        <v>0</v>
      </c>
      <c r="W240" s="85">
        <v>0</v>
      </c>
      <c r="X240" s="85">
        <f t="shared" si="31"/>
        <v>0</v>
      </c>
      <c r="Y240" s="85"/>
      <c r="Z240" s="99">
        <f t="shared" si="32"/>
        <v>0</v>
      </c>
      <c r="AA240" s="85">
        <f t="shared" si="40"/>
        <v>0</v>
      </c>
      <c r="AB240" s="85">
        <f t="shared" si="41"/>
        <v>0</v>
      </c>
      <c r="AC240" s="101">
        <v>0</v>
      </c>
      <c r="AD240" s="27"/>
    </row>
    <row r="241" spans="1:30" s="70" customFormat="1">
      <c r="A241" s="43">
        <f t="shared" si="35"/>
        <v>237</v>
      </c>
      <c r="B241" s="27" t="s">
        <v>19</v>
      </c>
      <c r="C241" s="125"/>
      <c r="D241" s="48" t="s">
        <v>19</v>
      </c>
      <c r="E241" s="46" t="s">
        <v>19</v>
      </c>
      <c r="F241" s="46" t="s">
        <v>19</v>
      </c>
      <c r="G241" s="46" t="s">
        <v>19</v>
      </c>
      <c r="H241" s="66">
        <v>0</v>
      </c>
      <c r="I241" s="66">
        <v>0</v>
      </c>
      <c r="J241" s="66">
        <v>0</v>
      </c>
      <c r="K241" s="67">
        <f t="shared" si="39"/>
        <v>0</v>
      </c>
      <c r="L241" s="111"/>
      <c r="M241" s="84">
        <v>0</v>
      </c>
      <c r="N241" s="85">
        <v>0</v>
      </c>
      <c r="O241" s="82">
        <v>0</v>
      </c>
      <c r="P241" s="82">
        <v>0</v>
      </c>
      <c r="Q241" s="85">
        <v>0</v>
      </c>
      <c r="R241" s="82">
        <v>0</v>
      </c>
      <c r="S241" s="85">
        <v>0</v>
      </c>
      <c r="T241" s="85">
        <v>0</v>
      </c>
      <c r="U241" s="82">
        <v>0</v>
      </c>
      <c r="V241" s="85">
        <v>0</v>
      </c>
      <c r="W241" s="85">
        <v>0</v>
      </c>
      <c r="X241" s="85">
        <f t="shared" si="31"/>
        <v>0</v>
      </c>
      <c r="Y241" s="85"/>
      <c r="Z241" s="99">
        <f t="shared" si="32"/>
        <v>0</v>
      </c>
      <c r="AA241" s="85">
        <f t="shared" si="40"/>
        <v>0</v>
      </c>
      <c r="AB241" s="85">
        <f t="shared" si="41"/>
        <v>0</v>
      </c>
      <c r="AC241" s="101">
        <v>0</v>
      </c>
      <c r="AD241" s="27"/>
    </row>
    <row r="242" spans="1:30" s="45" customFormat="1">
      <c r="A242" s="43">
        <f t="shared" si="35"/>
        <v>238</v>
      </c>
      <c r="B242" s="15" t="s">
        <v>1127</v>
      </c>
      <c r="C242" s="22">
        <v>45996</v>
      </c>
      <c r="D242" s="48">
        <v>2025</v>
      </c>
      <c r="E242" s="44" t="s">
        <v>1128</v>
      </c>
      <c r="F242" s="44" t="s">
        <v>785</v>
      </c>
      <c r="G242" s="44" t="s">
        <v>1129</v>
      </c>
      <c r="H242" s="62">
        <v>910000</v>
      </c>
      <c r="I242" s="62">
        <v>0</v>
      </c>
      <c r="J242" s="62">
        <v>0</v>
      </c>
      <c r="K242" s="60">
        <f t="shared" si="39"/>
        <v>910000</v>
      </c>
      <c r="L242" s="75">
        <v>45922</v>
      </c>
      <c r="M242" s="83">
        <v>910000</v>
      </c>
      <c r="N242" s="82">
        <v>0</v>
      </c>
      <c r="O242" s="82">
        <v>0</v>
      </c>
      <c r="P242" s="82">
        <v>0</v>
      </c>
      <c r="Q242" s="82">
        <v>0</v>
      </c>
      <c r="R242" s="82">
        <v>0</v>
      </c>
      <c r="S242" s="82">
        <v>0</v>
      </c>
      <c r="T242" s="82">
        <v>0</v>
      </c>
      <c r="U242" s="82">
        <v>0</v>
      </c>
      <c r="V242" s="82">
        <v>0</v>
      </c>
      <c r="W242" s="82">
        <v>0</v>
      </c>
      <c r="X242" s="82">
        <f t="shared" si="31"/>
        <v>0</v>
      </c>
      <c r="Y242" s="82"/>
      <c r="Z242" s="47">
        <f t="shared" si="32"/>
        <v>0</v>
      </c>
      <c r="AA242" s="82">
        <f t="shared" si="40"/>
        <v>-18200</v>
      </c>
      <c r="AB242" s="82">
        <f t="shared" si="41"/>
        <v>891800</v>
      </c>
      <c r="AC242" s="98">
        <v>0</v>
      </c>
      <c r="AD242" s="15"/>
    </row>
    <row r="243" spans="1:30" s="45" customFormat="1">
      <c r="A243" s="43">
        <f t="shared" si="35"/>
        <v>239</v>
      </c>
      <c r="B243" s="15" t="s">
        <v>19</v>
      </c>
      <c r="C243" s="22"/>
      <c r="D243" s="48" t="s">
        <v>19</v>
      </c>
      <c r="E243" s="44" t="s">
        <v>19</v>
      </c>
      <c r="F243" s="44" t="s">
        <v>19</v>
      </c>
      <c r="G243" s="44" t="s">
        <v>19</v>
      </c>
      <c r="H243" s="61">
        <v>0</v>
      </c>
      <c r="I243" s="60">
        <v>0</v>
      </c>
      <c r="J243" s="60">
        <v>0</v>
      </c>
      <c r="K243" s="60">
        <f t="shared" ref="K243:K251" si="42">SUM(H243:J243)</f>
        <v>0</v>
      </c>
      <c r="L243" s="75" t="s">
        <v>19</v>
      </c>
      <c r="M243" s="83">
        <v>0</v>
      </c>
      <c r="N243" s="82">
        <v>0</v>
      </c>
      <c r="O243" s="82">
        <v>0</v>
      </c>
      <c r="P243" s="82">
        <v>0</v>
      </c>
      <c r="Q243" s="82">
        <v>0</v>
      </c>
      <c r="R243" s="82">
        <v>0</v>
      </c>
      <c r="S243" s="82">
        <v>0</v>
      </c>
      <c r="T243" s="82">
        <v>0</v>
      </c>
      <c r="U243" s="82">
        <v>0</v>
      </c>
      <c r="V243" s="82">
        <v>0</v>
      </c>
      <c r="W243" s="82">
        <v>0</v>
      </c>
      <c r="X243" s="82">
        <f t="shared" si="31"/>
        <v>0</v>
      </c>
      <c r="Y243" s="82"/>
      <c r="Z243" s="47">
        <f t="shared" si="32"/>
        <v>0</v>
      </c>
      <c r="AA243" s="82">
        <v>0</v>
      </c>
      <c r="AB243" s="82">
        <v>0</v>
      </c>
      <c r="AC243" s="98">
        <v>0</v>
      </c>
      <c r="AD243" s="15"/>
    </row>
    <row r="244" spans="1:30" s="70" customFormat="1">
      <c r="A244" s="43">
        <f t="shared" si="35"/>
        <v>240</v>
      </c>
      <c r="B244" s="27" t="s">
        <v>19</v>
      </c>
      <c r="C244" s="125"/>
      <c r="D244" s="128"/>
      <c r="E244" s="46" t="s">
        <v>19</v>
      </c>
      <c r="F244" s="46" t="s">
        <v>19</v>
      </c>
      <c r="G244" s="46" t="s">
        <v>19</v>
      </c>
      <c r="H244" s="66">
        <v>0</v>
      </c>
      <c r="I244" s="66">
        <v>0</v>
      </c>
      <c r="J244" s="66">
        <v>0</v>
      </c>
      <c r="K244" s="67">
        <f t="shared" si="42"/>
        <v>0</v>
      </c>
      <c r="L244" s="111"/>
      <c r="M244" s="84">
        <v>0</v>
      </c>
      <c r="N244" s="85">
        <v>0</v>
      </c>
      <c r="O244" s="82">
        <v>0</v>
      </c>
      <c r="P244" s="82">
        <v>0</v>
      </c>
      <c r="Q244" s="85">
        <v>0</v>
      </c>
      <c r="R244" s="82">
        <v>0</v>
      </c>
      <c r="S244" s="85">
        <v>0</v>
      </c>
      <c r="T244" s="85">
        <v>0</v>
      </c>
      <c r="U244" s="82">
        <v>0</v>
      </c>
      <c r="V244" s="85">
        <v>0</v>
      </c>
      <c r="W244" s="85">
        <v>0</v>
      </c>
      <c r="X244" s="85">
        <f t="shared" si="31"/>
        <v>0</v>
      </c>
      <c r="Y244" s="85"/>
      <c r="Z244" s="99">
        <f t="shared" si="32"/>
        <v>0</v>
      </c>
      <c r="AA244" s="85">
        <f t="shared" ref="AA244:AA282" si="43">-(H244+I244)*2%</f>
        <v>0</v>
      </c>
      <c r="AB244" s="85">
        <f t="shared" ref="AB244:AB275" si="44">K244+Z244+AA244</f>
        <v>0</v>
      </c>
      <c r="AC244" s="101">
        <v>0</v>
      </c>
      <c r="AD244" s="27"/>
    </row>
    <row r="245" spans="1:30" s="70" customFormat="1">
      <c r="A245" s="65">
        <f t="shared" si="35"/>
        <v>241</v>
      </c>
      <c r="B245" s="27" t="s">
        <v>19</v>
      </c>
      <c r="C245" s="125"/>
      <c r="D245" s="127">
        <v>2026</v>
      </c>
      <c r="E245" s="46" t="s">
        <v>19</v>
      </c>
      <c r="F245" s="46" t="s">
        <v>880</v>
      </c>
      <c r="G245" s="46" t="s">
        <v>19</v>
      </c>
      <c r="H245" s="66">
        <v>0</v>
      </c>
      <c r="I245" s="66">
        <v>0</v>
      </c>
      <c r="J245" s="66">
        <v>0</v>
      </c>
      <c r="K245" s="67">
        <f t="shared" si="42"/>
        <v>0</v>
      </c>
      <c r="L245" s="111"/>
      <c r="M245" s="84">
        <v>0</v>
      </c>
      <c r="N245" s="85">
        <v>0</v>
      </c>
      <c r="O245" s="85">
        <v>0</v>
      </c>
      <c r="P245" s="85">
        <v>0</v>
      </c>
      <c r="Q245" s="85">
        <v>0</v>
      </c>
      <c r="R245" s="85">
        <v>0</v>
      </c>
      <c r="S245" s="85">
        <v>0</v>
      </c>
      <c r="T245" s="85">
        <v>0</v>
      </c>
      <c r="U245" s="85">
        <v>0</v>
      </c>
      <c r="V245" s="85">
        <v>0</v>
      </c>
      <c r="W245" s="85">
        <v>0</v>
      </c>
      <c r="X245" s="85">
        <f t="shared" si="31"/>
        <v>0</v>
      </c>
      <c r="Y245" s="85"/>
      <c r="Z245" s="99">
        <f t="shared" si="32"/>
        <v>0</v>
      </c>
      <c r="AA245" s="85">
        <f t="shared" si="43"/>
        <v>0</v>
      </c>
      <c r="AB245" s="85">
        <f t="shared" si="44"/>
        <v>0</v>
      </c>
      <c r="AC245" s="101">
        <v>0</v>
      </c>
      <c r="AD245" s="27"/>
    </row>
    <row r="246" spans="1:30" s="70" customFormat="1">
      <c r="A246" s="65">
        <f t="shared" si="35"/>
        <v>242</v>
      </c>
      <c r="B246" s="27" t="s">
        <v>19</v>
      </c>
      <c r="C246" s="125"/>
      <c r="D246" s="127" t="s">
        <v>19</v>
      </c>
      <c r="E246" s="46" t="s">
        <v>19</v>
      </c>
      <c r="F246" s="46" t="s">
        <v>19</v>
      </c>
      <c r="G246" s="46" t="s">
        <v>19</v>
      </c>
      <c r="H246" s="66">
        <v>0</v>
      </c>
      <c r="I246" s="66">
        <v>0</v>
      </c>
      <c r="J246" s="66">
        <v>0</v>
      </c>
      <c r="K246" s="67">
        <f t="shared" si="42"/>
        <v>0</v>
      </c>
      <c r="L246" s="111"/>
      <c r="M246" s="84">
        <v>0</v>
      </c>
      <c r="N246" s="85">
        <v>0</v>
      </c>
      <c r="O246" s="85">
        <v>0</v>
      </c>
      <c r="P246" s="85">
        <v>0</v>
      </c>
      <c r="Q246" s="85">
        <v>0</v>
      </c>
      <c r="R246" s="85">
        <v>0</v>
      </c>
      <c r="S246" s="85">
        <v>0</v>
      </c>
      <c r="T246" s="85">
        <v>0</v>
      </c>
      <c r="U246" s="85">
        <v>0</v>
      </c>
      <c r="V246" s="85">
        <v>0</v>
      </c>
      <c r="W246" s="85">
        <v>0</v>
      </c>
      <c r="X246" s="85">
        <f t="shared" si="31"/>
        <v>0</v>
      </c>
      <c r="Y246" s="85"/>
      <c r="Z246" s="99">
        <f t="shared" si="32"/>
        <v>0</v>
      </c>
      <c r="AA246" s="85">
        <f t="shared" si="43"/>
        <v>0</v>
      </c>
      <c r="AB246" s="85">
        <f t="shared" si="44"/>
        <v>0</v>
      </c>
      <c r="AC246" s="101">
        <v>0</v>
      </c>
      <c r="AD246" s="27"/>
    </row>
    <row r="247" spans="1:30" s="70" customFormat="1">
      <c r="A247" s="65">
        <f t="shared" si="35"/>
        <v>243</v>
      </c>
      <c r="B247" s="27" t="s">
        <v>19</v>
      </c>
      <c r="C247" s="125"/>
      <c r="D247" s="127">
        <v>2026</v>
      </c>
      <c r="E247" s="46" t="s">
        <v>19</v>
      </c>
      <c r="F247" s="46" t="s">
        <v>996</v>
      </c>
      <c r="G247" s="46" t="s">
        <v>19</v>
      </c>
      <c r="H247" s="66">
        <v>0</v>
      </c>
      <c r="I247" s="66">
        <v>0</v>
      </c>
      <c r="J247" s="66">
        <v>0</v>
      </c>
      <c r="K247" s="67">
        <f t="shared" si="42"/>
        <v>0</v>
      </c>
      <c r="L247" s="112"/>
      <c r="M247" s="84">
        <v>0</v>
      </c>
      <c r="N247" s="85">
        <v>0</v>
      </c>
      <c r="O247" s="85">
        <v>0</v>
      </c>
      <c r="P247" s="85">
        <v>0</v>
      </c>
      <c r="Q247" s="85">
        <v>0</v>
      </c>
      <c r="R247" s="85">
        <v>0</v>
      </c>
      <c r="S247" s="85">
        <v>0</v>
      </c>
      <c r="T247" s="85">
        <v>0</v>
      </c>
      <c r="U247" s="85">
        <v>0</v>
      </c>
      <c r="V247" s="85">
        <v>0</v>
      </c>
      <c r="W247" s="85">
        <v>0</v>
      </c>
      <c r="X247" s="85">
        <f t="shared" si="31"/>
        <v>0</v>
      </c>
      <c r="Y247" s="85"/>
      <c r="Z247" s="99">
        <f t="shared" si="32"/>
        <v>0</v>
      </c>
      <c r="AA247" s="85">
        <f t="shared" si="43"/>
        <v>0</v>
      </c>
      <c r="AB247" s="85">
        <f t="shared" si="44"/>
        <v>0</v>
      </c>
      <c r="AC247" s="101">
        <v>0</v>
      </c>
      <c r="AD247" s="27"/>
    </row>
    <row r="248" spans="1:30" s="70" customFormat="1">
      <c r="A248" s="65">
        <f t="shared" si="35"/>
        <v>244</v>
      </c>
      <c r="B248" s="27" t="s">
        <v>19</v>
      </c>
      <c r="C248" s="125"/>
      <c r="D248" s="127">
        <v>2026</v>
      </c>
      <c r="E248" s="46" t="s">
        <v>19</v>
      </c>
      <c r="F248" s="46" t="s">
        <v>472</v>
      </c>
      <c r="G248" s="46" t="s">
        <v>19</v>
      </c>
      <c r="H248" s="66">
        <v>0</v>
      </c>
      <c r="I248" s="66">
        <v>0</v>
      </c>
      <c r="J248" s="66">
        <v>0</v>
      </c>
      <c r="K248" s="67">
        <f t="shared" si="42"/>
        <v>0</v>
      </c>
      <c r="L248" s="112"/>
      <c r="M248" s="84">
        <v>0</v>
      </c>
      <c r="N248" s="85">
        <v>0</v>
      </c>
      <c r="O248" s="85">
        <v>0</v>
      </c>
      <c r="P248" s="85">
        <v>0</v>
      </c>
      <c r="Q248" s="85">
        <v>0</v>
      </c>
      <c r="R248" s="85">
        <v>0</v>
      </c>
      <c r="S248" s="85">
        <v>0</v>
      </c>
      <c r="T248" s="85">
        <v>0</v>
      </c>
      <c r="U248" s="85">
        <v>0</v>
      </c>
      <c r="V248" s="85">
        <v>0</v>
      </c>
      <c r="W248" s="85">
        <v>0</v>
      </c>
      <c r="X248" s="85">
        <f t="shared" si="31"/>
        <v>0</v>
      </c>
      <c r="Y248" s="85"/>
      <c r="Z248" s="99">
        <f t="shared" si="32"/>
        <v>0</v>
      </c>
      <c r="AA248" s="85">
        <f t="shared" si="43"/>
        <v>0</v>
      </c>
      <c r="AB248" s="85">
        <f t="shared" si="44"/>
        <v>0</v>
      </c>
      <c r="AC248" s="101">
        <v>0</v>
      </c>
      <c r="AD248" s="27"/>
    </row>
    <row r="249" spans="1:30" s="70" customFormat="1">
      <c r="A249" s="65">
        <f t="shared" si="35"/>
        <v>245</v>
      </c>
      <c r="B249" s="27" t="s">
        <v>19</v>
      </c>
      <c r="C249" s="125"/>
      <c r="D249" s="127">
        <v>2026</v>
      </c>
      <c r="E249" s="46" t="s">
        <v>19</v>
      </c>
      <c r="F249" s="46" t="s">
        <v>480</v>
      </c>
      <c r="G249" s="46" t="s">
        <v>19</v>
      </c>
      <c r="H249" s="66">
        <v>0</v>
      </c>
      <c r="I249" s="66">
        <v>0</v>
      </c>
      <c r="J249" s="66">
        <v>0</v>
      </c>
      <c r="K249" s="67">
        <f t="shared" si="42"/>
        <v>0</v>
      </c>
      <c r="L249" s="112"/>
      <c r="M249" s="84">
        <v>0</v>
      </c>
      <c r="N249" s="85">
        <v>0</v>
      </c>
      <c r="O249" s="85">
        <v>0</v>
      </c>
      <c r="P249" s="85">
        <v>0</v>
      </c>
      <c r="Q249" s="85">
        <v>0</v>
      </c>
      <c r="R249" s="85">
        <v>0</v>
      </c>
      <c r="S249" s="85">
        <v>0</v>
      </c>
      <c r="T249" s="85">
        <v>0</v>
      </c>
      <c r="U249" s="85">
        <v>0</v>
      </c>
      <c r="V249" s="85">
        <v>0</v>
      </c>
      <c r="W249" s="85">
        <v>0</v>
      </c>
      <c r="X249" s="85">
        <f t="shared" si="31"/>
        <v>0</v>
      </c>
      <c r="Y249" s="85"/>
      <c r="Z249" s="99">
        <f t="shared" si="32"/>
        <v>0</v>
      </c>
      <c r="AA249" s="85">
        <f t="shared" si="43"/>
        <v>0</v>
      </c>
      <c r="AB249" s="85">
        <f t="shared" si="44"/>
        <v>0</v>
      </c>
      <c r="AC249" s="101">
        <v>0</v>
      </c>
      <c r="AD249" s="27"/>
    </row>
    <row r="250" spans="1:30" s="70" customFormat="1">
      <c r="A250" s="65">
        <f t="shared" si="35"/>
        <v>246</v>
      </c>
      <c r="B250" s="27" t="s">
        <v>19</v>
      </c>
      <c r="C250" s="125"/>
      <c r="D250" s="127">
        <v>2026</v>
      </c>
      <c r="E250" s="46" t="s">
        <v>19</v>
      </c>
      <c r="F250" s="46" t="s">
        <v>997</v>
      </c>
      <c r="G250" s="46" t="s">
        <v>19</v>
      </c>
      <c r="H250" s="66">
        <v>0</v>
      </c>
      <c r="I250" s="66">
        <v>0</v>
      </c>
      <c r="J250" s="66">
        <v>0</v>
      </c>
      <c r="K250" s="67">
        <f t="shared" si="42"/>
        <v>0</v>
      </c>
      <c r="L250" s="112"/>
      <c r="M250" s="84">
        <v>0</v>
      </c>
      <c r="N250" s="85">
        <v>0</v>
      </c>
      <c r="O250" s="85">
        <v>0</v>
      </c>
      <c r="P250" s="85">
        <v>0</v>
      </c>
      <c r="Q250" s="85">
        <v>0</v>
      </c>
      <c r="R250" s="85">
        <v>0</v>
      </c>
      <c r="S250" s="85">
        <v>0</v>
      </c>
      <c r="T250" s="85">
        <v>0</v>
      </c>
      <c r="U250" s="85">
        <v>0</v>
      </c>
      <c r="V250" s="85">
        <v>0</v>
      </c>
      <c r="W250" s="85">
        <v>0</v>
      </c>
      <c r="X250" s="85">
        <f t="shared" si="31"/>
        <v>0</v>
      </c>
      <c r="Y250" s="85"/>
      <c r="Z250" s="99">
        <f t="shared" si="32"/>
        <v>0</v>
      </c>
      <c r="AA250" s="85">
        <f t="shared" si="43"/>
        <v>0</v>
      </c>
      <c r="AB250" s="85">
        <f t="shared" si="44"/>
        <v>0</v>
      </c>
      <c r="AC250" s="101">
        <v>0</v>
      </c>
      <c r="AD250" s="27"/>
    </row>
    <row r="251" spans="1:30" s="70" customFormat="1">
      <c r="A251" s="65">
        <f t="shared" si="35"/>
        <v>247</v>
      </c>
      <c r="B251" s="27" t="s">
        <v>19</v>
      </c>
      <c r="C251" s="125"/>
      <c r="D251" s="127">
        <v>2026</v>
      </c>
      <c r="E251" s="46" t="s">
        <v>19</v>
      </c>
      <c r="F251" s="46" t="s">
        <v>993</v>
      </c>
      <c r="G251" s="46" t="s">
        <v>19</v>
      </c>
      <c r="H251" s="66">
        <v>0</v>
      </c>
      <c r="I251" s="66">
        <v>0</v>
      </c>
      <c r="J251" s="66">
        <v>0</v>
      </c>
      <c r="K251" s="67">
        <f t="shared" si="42"/>
        <v>0</v>
      </c>
      <c r="L251" s="112"/>
      <c r="M251" s="84">
        <v>0</v>
      </c>
      <c r="N251" s="85">
        <v>0</v>
      </c>
      <c r="O251" s="85">
        <v>0</v>
      </c>
      <c r="P251" s="85">
        <v>0</v>
      </c>
      <c r="Q251" s="85">
        <v>0</v>
      </c>
      <c r="R251" s="85">
        <v>0</v>
      </c>
      <c r="S251" s="85">
        <v>0</v>
      </c>
      <c r="T251" s="85">
        <v>0</v>
      </c>
      <c r="U251" s="85">
        <v>0</v>
      </c>
      <c r="V251" s="85">
        <v>0</v>
      </c>
      <c r="W251" s="85">
        <v>0</v>
      </c>
      <c r="X251" s="85">
        <f t="shared" si="31"/>
        <v>0</v>
      </c>
      <c r="Y251" s="85"/>
      <c r="Z251" s="99">
        <f t="shared" si="32"/>
        <v>0</v>
      </c>
      <c r="AA251" s="85">
        <f t="shared" si="43"/>
        <v>0</v>
      </c>
      <c r="AB251" s="85">
        <f t="shared" si="44"/>
        <v>0</v>
      </c>
      <c r="AC251" s="101">
        <v>0</v>
      </c>
      <c r="AD251" s="27"/>
    </row>
    <row r="252" spans="1:30" s="70" customFormat="1">
      <c r="A252" s="65">
        <f t="shared" si="35"/>
        <v>248</v>
      </c>
      <c r="B252" s="27" t="s">
        <v>19</v>
      </c>
      <c r="C252" s="125"/>
      <c r="D252" s="128"/>
      <c r="E252" s="46" t="s">
        <v>19</v>
      </c>
      <c r="F252" s="46" t="s">
        <v>19</v>
      </c>
      <c r="G252" s="46" t="s">
        <v>19</v>
      </c>
      <c r="H252" s="66">
        <v>0</v>
      </c>
      <c r="I252" s="66">
        <v>0</v>
      </c>
      <c r="J252" s="66">
        <v>0</v>
      </c>
      <c r="K252" s="67">
        <f>SUM(H252:J252)</f>
        <v>0</v>
      </c>
      <c r="L252" s="112"/>
      <c r="M252" s="84">
        <v>0</v>
      </c>
      <c r="N252" s="85">
        <v>0</v>
      </c>
      <c r="O252" s="85">
        <v>0</v>
      </c>
      <c r="P252" s="85">
        <v>0</v>
      </c>
      <c r="Q252" s="85">
        <v>0</v>
      </c>
      <c r="R252" s="85">
        <v>0</v>
      </c>
      <c r="S252" s="85">
        <v>0</v>
      </c>
      <c r="T252" s="85">
        <v>0</v>
      </c>
      <c r="U252" s="85">
        <v>0</v>
      </c>
      <c r="V252" s="85">
        <v>0</v>
      </c>
      <c r="W252" s="85">
        <v>0</v>
      </c>
      <c r="X252" s="85">
        <f t="shared" si="31"/>
        <v>0</v>
      </c>
      <c r="Y252" s="85"/>
      <c r="Z252" s="106">
        <f t="shared" si="32"/>
        <v>0</v>
      </c>
      <c r="AA252" s="85">
        <f t="shared" si="43"/>
        <v>0</v>
      </c>
      <c r="AB252" s="85">
        <f t="shared" si="44"/>
        <v>0</v>
      </c>
      <c r="AC252" s="101">
        <v>0</v>
      </c>
      <c r="AD252" s="27"/>
    </row>
    <row r="253" spans="1:30" s="70" customFormat="1">
      <c r="A253" s="65">
        <f t="shared" si="35"/>
        <v>249</v>
      </c>
      <c r="B253" s="27" t="s">
        <v>19</v>
      </c>
      <c r="C253" s="125"/>
      <c r="D253" s="127">
        <v>2026</v>
      </c>
      <c r="E253" s="46" t="s">
        <v>19</v>
      </c>
      <c r="F253" s="46" t="s">
        <v>999</v>
      </c>
      <c r="G253" s="46" t="s">
        <v>19</v>
      </c>
      <c r="H253" s="66">
        <v>0</v>
      </c>
      <c r="I253" s="66">
        <v>0</v>
      </c>
      <c r="J253" s="66">
        <v>0</v>
      </c>
      <c r="K253" s="67">
        <f t="shared" ref="K253:K286" si="45">SUM(H253:J253)</f>
        <v>0</v>
      </c>
      <c r="L253" s="112"/>
      <c r="M253" s="84">
        <v>0</v>
      </c>
      <c r="N253" s="85">
        <v>0</v>
      </c>
      <c r="O253" s="85">
        <v>0</v>
      </c>
      <c r="P253" s="85">
        <v>0</v>
      </c>
      <c r="Q253" s="85">
        <v>0</v>
      </c>
      <c r="R253" s="85">
        <v>0</v>
      </c>
      <c r="S253" s="85">
        <v>0</v>
      </c>
      <c r="T253" s="85">
        <v>0</v>
      </c>
      <c r="U253" s="85">
        <v>0</v>
      </c>
      <c r="V253" s="85">
        <v>0</v>
      </c>
      <c r="W253" s="85">
        <v>0</v>
      </c>
      <c r="X253" s="85">
        <f t="shared" si="31"/>
        <v>0</v>
      </c>
      <c r="Y253" s="85"/>
      <c r="Z253" s="106">
        <f t="shared" si="32"/>
        <v>0</v>
      </c>
      <c r="AA253" s="85">
        <f t="shared" si="43"/>
        <v>0</v>
      </c>
      <c r="AB253" s="85">
        <f t="shared" si="44"/>
        <v>0</v>
      </c>
      <c r="AC253" s="101">
        <v>0</v>
      </c>
      <c r="AD253" s="27"/>
    </row>
    <row r="254" spans="1:30" s="70" customFormat="1">
      <c r="A254" s="65">
        <f t="shared" si="35"/>
        <v>250</v>
      </c>
      <c r="B254" s="27" t="s">
        <v>19</v>
      </c>
      <c r="C254" s="125"/>
      <c r="D254" s="127">
        <v>2026</v>
      </c>
      <c r="E254" s="46" t="s">
        <v>19</v>
      </c>
      <c r="F254" s="46" t="s">
        <v>475</v>
      </c>
      <c r="G254" s="46" t="s">
        <v>19</v>
      </c>
      <c r="H254" s="66">
        <v>0</v>
      </c>
      <c r="I254" s="66">
        <v>0</v>
      </c>
      <c r="J254" s="66">
        <v>0</v>
      </c>
      <c r="K254" s="67">
        <f t="shared" si="45"/>
        <v>0</v>
      </c>
      <c r="L254" s="112"/>
      <c r="M254" s="84">
        <v>0</v>
      </c>
      <c r="N254" s="85">
        <v>0</v>
      </c>
      <c r="O254" s="85">
        <v>0</v>
      </c>
      <c r="P254" s="85">
        <v>0</v>
      </c>
      <c r="Q254" s="85">
        <v>0</v>
      </c>
      <c r="R254" s="85">
        <v>0</v>
      </c>
      <c r="S254" s="85">
        <v>0</v>
      </c>
      <c r="T254" s="85">
        <v>0</v>
      </c>
      <c r="U254" s="85">
        <v>0</v>
      </c>
      <c r="V254" s="85">
        <v>0</v>
      </c>
      <c r="W254" s="85">
        <v>0</v>
      </c>
      <c r="X254" s="85">
        <f t="shared" si="31"/>
        <v>0</v>
      </c>
      <c r="Y254" s="85"/>
      <c r="Z254" s="106">
        <f t="shared" si="32"/>
        <v>0</v>
      </c>
      <c r="AA254" s="85">
        <f t="shared" si="43"/>
        <v>0</v>
      </c>
      <c r="AB254" s="85">
        <f t="shared" si="44"/>
        <v>0</v>
      </c>
      <c r="AC254" s="101">
        <v>0</v>
      </c>
      <c r="AD254" s="27"/>
    </row>
    <row r="255" spans="1:30" s="70" customFormat="1">
      <c r="A255" s="65">
        <f t="shared" si="35"/>
        <v>251</v>
      </c>
      <c r="B255" s="27" t="s">
        <v>19</v>
      </c>
      <c r="C255" s="125"/>
      <c r="D255" s="127">
        <v>2026</v>
      </c>
      <c r="E255" s="46" t="s">
        <v>19</v>
      </c>
      <c r="F255" s="46" t="s">
        <v>640</v>
      </c>
      <c r="G255" s="46" t="s">
        <v>19</v>
      </c>
      <c r="H255" s="66">
        <v>0</v>
      </c>
      <c r="I255" s="66">
        <v>0</v>
      </c>
      <c r="J255" s="66">
        <v>0</v>
      </c>
      <c r="K255" s="67">
        <f t="shared" si="45"/>
        <v>0</v>
      </c>
      <c r="L255" s="112"/>
      <c r="M255" s="84">
        <v>0</v>
      </c>
      <c r="N255" s="85">
        <v>0</v>
      </c>
      <c r="O255" s="85">
        <v>0</v>
      </c>
      <c r="P255" s="85">
        <v>0</v>
      </c>
      <c r="Q255" s="85">
        <v>0</v>
      </c>
      <c r="R255" s="85">
        <v>0</v>
      </c>
      <c r="S255" s="85">
        <v>0</v>
      </c>
      <c r="T255" s="85">
        <v>0</v>
      </c>
      <c r="U255" s="85">
        <v>0</v>
      </c>
      <c r="V255" s="85">
        <v>0</v>
      </c>
      <c r="W255" s="85">
        <v>0</v>
      </c>
      <c r="X255" s="85">
        <f t="shared" si="31"/>
        <v>0</v>
      </c>
      <c r="Y255" s="85"/>
      <c r="Z255" s="106">
        <f t="shared" si="32"/>
        <v>0</v>
      </c>
      <c r="AA255" s="85">
        <f t="shared" si="43"/>
        <v>0</v>
      </c>
      <c r="AB255" s="85">
        <f t="shared" si="44"/>
        <v>0</v>
      </c>
      <c r="AC255" s="101">
        <v>0</v>
      </c>
      <c r="AD255" s="27"/>
    </row>
    <row r="256" spans="1:30" s="70" customFormat="1">
      <c r="A256" s="65">
        <f t="shared" si="35"/>
        <v>252</v>
      </c>
      <c r="B256" s="27" t="s">
        <v>19</v>
      </c>
      <c r="C256" s="125"/>
      <c r="D256" s="127">
        <v>2026</v>
      </c>
      <c r="E256" s="46" t="s">
        <v>19</v>
      </c>
      <c r="F256" s="46" t="s">
        <v>641</v>
      </c>
      <c r="G256" s="46" t="s">
        <v>19</v>
      </c>
      <c r="H256" s="66">
        <v>0</v>
      </c>
      <c r="I256" s="66">
        <v>0</v>
      </c>
      <c r="J256" s="66">
        <v>0</v>
      </c>
      <c r="K256" s="67">
        <f t="shared" si="45"/>
        <v>0</v>
      </c>
      <c r="L256" s="112"/>
      <c r="M256" s="84">
        <v>0</v>
      </c>
      <c r="N256" s="85">
        <v>0</v>
      </c>
      <c r="O256" s="85">
        <v>0</v>
      </c>
      <c r="P256" s="85">
        <v>0</v>
      </c>
      <c r="Q256" s="85">
        <v>0</v>
      </c>
      <c r="R256" s="85">
        <v>0</v>
      </c>
      <c r="S256" s="85">
        <v>0</v>
      </c>
      <c r="T256" s="85">
        <v>0</v>
      </c>
      <c r="U256" s="85">
        <v>0</v>
      </c>
      <c r="V256" s="85">
        <v>0</v>
      </c>
      <c r="W256" s="85">
        <v>0</v>
      </c>
      <c r="X256" s="85">
        <f t="shared" si="31"/>
        <v>0</v>
      </c>
      <c r="Y256" s="85"/>
      <c r="Z256" s="106">
        <f t="shared" si="32"/>
        <v>0</v>
      </c>
      <c r="AA256" s="85">
        <f t="shared" si="43"/>
        <v>0</v>
      </c>
      <c r="AB256" s="85">
        <f t="shared" si="44"/>
        <v>0</v>
      </c>
      <c r="AC256" s="101">
        <v>0</v>
      </c>
      <c r="AD256" s="27"/>
    </row>
    <row r="257" spans="1:30" s="45" customFormat="1">
      <c r="A257" s="43">
        <f t="shared" si="35"/>
        <v>253</v>
      </c>
      <c r="B257" s="15" t="s">
        <v>1210</v>
      </c>
      <c r="C257" s="22">
        <v>46013</v>
      </c>
      <c r="D257" s="14">
        <v>2025</v>
      </c>
      <c r="E257" s="44" t="s">
        <v>98</v>
      </c>
      <c r="F257" s="45" t="s">
        <v>995</v>
      </c>
      <c r="G257" s="44" t="s">
        <v>19</v>
      </c>
      <c r="H257" s="62">
        <v>70552968</v>
      </c>
      <c r="I257" s="62">
        <v>3607691</v>
      </c>
      <c r="J257" s="62">
        <v>8157672</v>
      </c>
      <c r="K257" s="60">
        <f t="shared" si="45"/>
        <v>82318331</v>
      </c>
      <c r="L257" s="110"/>
      <c r="M257" s="83">
        <v>0</v>
      </c>
      <c r="N257" s="82">
        <v>0</v>
      </c>
      <c r="O257" s="82">
        <v>0</v>
      </c>
      <c r="P257" s="82">
        <v>0</v>
      </c>
      <c r="Q257" s="82">
        <v>0</v>
      </c>
      <c r="R257" s="82">
        <v>0</v>
      </c>
      <c r="S257" s="82">
        <v>0</v>
      </c>
      <c r="T257" s="82">
        <v>0</v>
      </c>
      <c r="U257" s="82">
        <v>0</v>
      </c>
      <c r="V257" s="82">
        <v>0</v>
      </c>
      <c r="W257" s="82">
        <v>0</v>
      </c>
      <c r="X257" s="82">
        <f t="shared" si="31"/>
        <v>82318331</v>
      </c>
      <c r="Y257" s="82"/>
      <c r="Z257" s="29">
        <f t="shared" si="32"/>
        <v>-8157672</v>
      </c>
      <c r="AA257" s="82">
        <f t="shared" si="43"/>
        <v>-1483213.18</v>
      </c>
      <c r="AB257" s="82">
        <f t="shared" si="44"/>
        <v>72677445.819999993</v>
      </c>
      <c r="AC257" s="98">
        <v>0</v>
      </c>
      <c r="AD257" s="15"/>
    </row>
    <row r="258" spans="1:30" s="45" customFormat="1">
      <c r="A258" s="43">
        <f t="shared" si="35"/>
        <v>254</v>
      </c>
      <c r="B258" s="15" t="s">
        <v>1269</v>
      </c>
      <c r="C258" s="22">
        <v>46013</v>
      </c>
      <c r="D258" s="14">
        <v>2025</v>
      </c>
      <c r="E258" s="44" t="s">
        <v>98</v>
      </c>
      <c r="F258" s="44" t="s">
        <v>1055</v>
      </c>
      <c r="G258" s="44" t="s">
        <v>19</v>
      </c>
      <c r="H258" s="62">
        <v>11109554</v>
      </c>
      <c r="I258" s="62">
        <v>150000</v>
      </c>
      <c r="J258" s="62">
        <v>1238551</v>
      </c>
      <c r="K258" s="60">
        <f t="shared" si="45"/>
        <v>12498105</v>
      </c>
      <c r="L258" s="110"/>
      <c r="M258" s="83">
        <v>0</v>
      </c>
      <c r="N258" s="82">
        <v>0</v>
      </c>
      <c r="O258" s="82">
        <v>0</v>
      </c>
      <c r="P258" s="82">
        <v>0</v>
      </c>
      <c r="Q258" s="82">
        <v>0</v>
      </c>
      <c r="R258" s="82">
        <v>0</v>
      </c>
      <c r="S258" s="82">
        <v>0</v>
      </c>
      <c r="T258" s="82">
        <v>0</v>
      </c>
      <c r="U258" s="82">
        <v>0</v>
      </c>
      <c r="V258" s="82">
        <v>0</v>
      </c>
      <c r="W258" s="82">
        <v>0</v>
      </c>
      <c r="X258" s="82">
        <f t="shared" si="31"/>
        <v>12498105</v>
      </c>
      <c r="Y258" s="82"/>
      <c r="Z258" s="29">
        <f t="shared" si="32"/>
        <v>-1238551</v>
      </c>
      <c r="AA258" s="82">
        <f t="shared" si="43"/>
        <v>-225191.08000000002</v>
      </c>
      <c r="AB258" s="82">
        <f t="shared" si="44"/>
        <v>11034362.92</v>
      </c>
      <c r="AC258" s="98">
        <v>0</v>
      </c>
      <c r="AD258" s="15"/>
    </row>
    <row r="259" spans="1:30" s="70" customFormat="1">
      <c r="A259" s="65">
        <f t="shared" si="35"/>
        <v>255</v>
      </c>
      <c r="B259" s="27" t="s">
        <v>19</v>
      </c>
      <c r="C259" s="125"/>
      <c r="D259" s="127">
        <v>2026</v>
      </c>
      <c r="E259" s="46" t="s">
        <v>19</v>
      </c>
      <c r="F259" s="46" t="s">
        <v>994</v>
      </c>
      <c r="G259" s="46" t="s">
        <v>19</v>
      </c>
      <c r="H259" s="66">
        <v>0</v>
      </c>
      <c r="I259" s="66">
        <v>0</v>
      </c>
      <c r="J259" s="66">
        <v>0</v>
      </c>
      <c r="K259" s="67">
        <f t="shared" si="45"/>
        <v>0</v>
      </c>
      <c r="L259" s="112"/>
      <c r="M259" s="84">
        <v>0</v>
      </c>
      <c r="N259" s="85">
        <v>0</v>
      </c>
      <c r="O259" s="85">
        <v>0</v>
      </c>
      <c r="P259" s="85">
        <v>0</v>
      </c>
      <c r="Q259" s="85">
        <v>0</v>
      </c>
      <c r="R259" s="85">
        <v>0</v>
      </c>
      <c r="S259" s="85">
        <v>0</v>
      </c>
      <c r="T259" s="85">
        <v>0</v>
      </c>
      <c r="U259" s="85">
        <v>0</v>
      </c>
      <c r="V259" s="85">
        <v>0</v>
      </c>
      <c r="W259" s="85">
        <v>0</v>
      </c>
      <c r="X259" s="85">
        <f t="shared" si="31"/>
        <v>0</v>
      </c>
      <c r="Y259" s="85"/>
      <c r="Z259" s="106">
        <f t="shared" si="32"/>
        <v>0</v>
      </c>
      <c r="AA259" s="85">
        <f t="shared" si="43"/>
        <v>0</v>
      </c>
      <c r="AB259" s="85">
        <f t="shared" si="44"/>
        <v>0</v>
      </c>
      <c r="AC259" s="101">
        <v>0</v>
      </c>
      <c r="AD259" s="27"/>
    </row>
    <row r="260" spans="1:30" s="70" customFormat="1">
      <c r="A260" s="65">
        <f t="shared" si="35"/>
        <v>256</v>
      </c>
      <c r="B260" s="27" t="s">
        <v>19</v>
      </c>
      <c r="C260" s="125"/>
      <c r="D260" s="127">
        <v>2026</v>
      </c>
      <c r="E260" s="46" t="s">
        <v>19</v>
      </c>
      <c r="F260" s="46" t="s">
        <v>632</v>
      </c>
      <c r="G260" s="46" t="s">
        <v>19</v>
      </c>
      <c r="H260" s="66">
        <v>0</v>
      </c>
      <c r="I260" s="66">
        <v>0</v>
      </c>
      <c r="J260" s="66">
        <v>0</v>
      </c>
      <c r="K260" s="67">
        <f t="shared" si="45"/>
        <v>0</v>
      </c>
      <c r="L260" s="111"/>
      <c r="M260" s="84">
        <v>0</v>
      </c>
      <c r="N260" s="85">
        <v>0</v>
      </c>
      <c r="O260" s="85">
        <v>0</v>
      </c>
      <c r="P260" s="85">
        <v>0</v>
      </c>
      <c r="Q260" s="85">
        <v>0</v>
      </c>
      <c r="R260" s="85">
        <v>0</v>
      </c>
      <c r="S260" s="85">
        <v>0</v>
      </c>
      <c r="T260" s="85">
        <v>0</v>
      </c>
      <c r="U260" s="85">
        <v>0</v>
      </c>
      <c r="V260" s="85">
        <v>0</v>
      </c>
      <c r="W260" s="85">
        <v>0</v>
      </c>
      <c r="X260" s="85">
        <f t="shared" si="31"/>
        <v>0</v>
      </c>
      <c r="Y260" s="85"/>
      <c r="Z260" s="106">
        <f t="shared" si="32"/>
        <v>0</v>
      </c>
      <c r="AA260" s="85">
        <f t="shared" si="43"/>
        <v>0</v>
      </c>
      <c r="AB260" s="85">
        <f t="shared" si="44"/>
        <v>0</v>
      </c>
      <c r="AC260" s="101">
        <v>0</v>
      </c>
      <c r="AD260" s="27"/>
    </row>
    <row r="261" spans="1:30" s="70" customFormat="1">
      <c r="A261" s="43">
        <f t="shared" si="35"/>
        <v>257</v>
      </c>
      <c r="B261" s="27" t="s">
        <v>19</v>
      </c>
      <c r="C261" s="125"/>
      <c r="D261" s="128"/>
      <c r="E261" s="46" t="s">
        <v>19</v>
      </c>
      <c r="F261" s="46" t="s">
        <v>19</v>
      </c>
      <c r="G261" s="46" t="s">
        <v>19</v>
      </c>
      <c r="H261" s="66">
        <v>0</v>
      </c>
      <c r="I261" s="66">
        <v>0</v>
      </c>
      <c r="J261" s="66">
        <v>0</v>
      </c>
      <c r="K261" s="67">
        <f t="shared" si="45"/>
        <v>0</v>
      </c>
      <c r="L261" s="111"/>
      <c r="M261" s="84">
        <v>0</v>
      </c>
      <c r="N261" s="85">
        <v>0</v>
      </c>
      <c r="O261" s="82">
        <v>0</v>
      </c>
      <c r="P261" s="82">
        <v>0</v>
      </c>
      <c r="Q261" s="85">
        <v>0</v>
      </c>
      <c r="R261" s="82">
        <v>0</v>
      </c>
      <c r="S261" s="85">
        <v>0</v>
      </c>
      <c r="T261" s="85">
        <v>0</v>
      </c>
      <c r="U261" s="85">
        <v>0</v>
      </c>
      <c r="V261" s="85">
        <v>0</v>
      </c>
      <c r="W261" s="85">
        <v>0</v>
      </c>
      <c r="X261" s="85">
        <f t="shared" ref="X261:X301" si="46">K261-SUM(M261:W261)</f>
        <v>0</v>
      </c>
      <c r="Y261" s="85"/>
      <c r="Z261" s="106">
        <f t="shared" ref="Z261:Z301" si="47">-J261</f>
        <v>0</v>
      </c>
      <c r="AA261" s="85">
        <f t="shared" si="43"/>
        <v>0</v>
      </c>
      <c r="AB261" s="85">
        <f t="shared" si="44"/>
        <v>0</v>
      </c>
      <c r="AC261" s="101">
        <v>0</v>
      </c>
      <c r="AD261" s="27"/>
    </row>
    <row r="262" spans="1:30" s="70" customFormat="1">
      <c r="A262" s="43">
        <f t="shared" si="35"/>
        <v>258</v>
      </c>
      <c r="B262" s="27" t="s">
        <v>19</v>
      </c>
      <c r="C262" s="125"/>
      <c r="D262" s="128"/>
      <c r="E262" s="46" t="s">
        <v>19</v>
      </c>
      <c r="F262" s="46" t="s">
        <v>19</v>
      </c>
      <c r="G262" s="46" t="s">
        <v>19</v>
      </c>
      <c r="H262" s="66">
        <v>0</v>
      </c>
      <c r="I262" s="66">
        <v>0</v>
      </c>
      <c r="J262" s="66">
        <v>0</v>
      </c>
      <c r="K262" s="67">
        <f t="shared" si="45"/>
        <v>0</v>
      </c>
      <c r="L262" s="111"/>
      <c r="M262" s="84">
        <v>0</v>
      </c>
      <c r="N262" s="85">
        <v>0</v>
      </c>
      <c r="O262" s="82">
        <v>0</v>
      </c>
      <c r="P262" s="82">
        <v>0</v>
      </c>
      <c r="Q262" s="85">
        <v>0</v>
      </c>
      <c r="R262" s="82">
        <v>0</v>
      </c>
      <c r="S262" s="85">
        <v>0</v>
      </c>
      <c r="T262" s="85">
        <v>0</v>
      </c>
      <c r="U262" s="85">
        <v>0</v>
      </c>
      <c r="V262" s="85">
        <v>0</v>
      </c>
      <c r="W262" s="85">
        <v>0</v>
      </c>
      <c r="X262" s="85">
        <f t="shared" si="46"/>
        <v>0</v>
      </c>
      <c r="Y262" s="85"/>
      <c r="Z262" s="106">
        <f t="shared" si="47"/>
        <v>0</v>
      </c>
      <c r="AA262" s="85">
        <f t="shared" si="43"/>
        <v>0</v>
      </c>
      <c r="AB262" s="85">
        <f t="shared" si="44"/>
        <v>0</v>
      </c>
      <c r="AC262" s="101">
        <v>0</v>
      </c>
      <c r="AD262" s="27"/>
    </row>
    <row r="263" spans="1:30" s="70" customFormat="1">
      <c r="A263" s="43">
        <f t="shared" ref="A263:A301" si="48">A262+1</f>
        <v>259</v>
      </c>
      <c r="B263" s="27" t="s">
        <v>19</v>
      </c>
      <c r="C263" s="125"/>
      <c r="D263" s="128"/>
      <c r="E263" s="46" t="s">
        <v>19</v>
      </c>
      <c r="G263" s="46" t="s">
        <v>19</v>
      </c>
      <c r="H263" s="66">
        <v>0</v>
      </c>
      <c r="I263" s="66">
        <v>0</v>
      </c>
      <c r="J263" s="66">
        <v>0</v>
      </c>
      <c r="K263" s="67">
        <f t="shared" si="45"/>
        <v>0</v>
      </c>
      <c r="L263" s="111"/>
      <c r="M263" s="84">
        <v>0</v>
      </c>
      <c r="N263" s="85">
        <v>0</v>
      </c>
      <c r="O263" s="82">
        <v>0</v>
      </c>
      <c r="P263" s="82">
        <v>0</v>
      </c>
      <c r="Q263" s="85">
        <v>0</v>
      </c>
      <c r="R263" s="82">
        <v>0</v>
      </c>
      <c r="S263" s="85">
        <v>0</v>
      </c>
      <c r="T263" s="85">
        <v>0</v>
      </c>
      <c r="U263" s="85">
        <v>0</v>
      </c>
      <c r="V263" s="85">
        <v>0</v>
      </c>
      <c r="W263" s="85">
        <v>0</v>
      </c>
      <c r="X263" s="85">
        <f t="shared" si="46"/>
        <v>0</v>
      </c>
      <c r="Y263" s="85"/>
      <c r="Z263" s="106">
        <f t="shared" si="47"/>
        <v>0</v>
      </c>
      <c r="AA263" s="85">
        <f t="shared" si="43"/>
        <v>0</v>
      </c>
      <c r="AB263" s="85">
        <f t="shared" si="44"/>
        <v>0</v>
      </c>
      <c r="AC263" s="101">
        <v>0</v>
      </c>
      <c r="AD263" s="27"/>
    </row>
    <row r="264" spans="1:30" s="70" customFormat="1">
      <c r="A264" s="43">
        <f t="shared" si="48"/>
        <v>260</v>
      </c>
      <c r="B264" s="27" t="s">
        <v>19</v>
      </c>
      <c r="C264" s="125"/>
      <c r="D264" s="128"/>
      <c r="E264" s="46" t="s">
        <v>19</v>
      </c>
      <c r="F264" s="46" t="s">
        <v>19</v>
      </c>
      <c r="G264" s="46" t="s">
        <v>19</v>
      </c>
      <c r="H264" s="66">
        <v>0</v>
      </c>
      <c r="I264" s="66">
        <v>0</v>
      </c>
      <c r="J264" s="66">
        <v>0</v>
      </c>
      <c r="K264" s="67">
        <f t="shared" si="45"/>
        <v>0</v>
      </c>
      <c r="L264" s="111"/>
      <c r="M264" s="84">
        <v>0</v>
      </c>
      <c r="N264" s="85">
        <v>0</v>
      </c>
      <c r="O264" s="82">
        <v>0</v>
      </c>
      <c r="P264" s="82">
        <v>0</v>
      </c>
      <c r="Q264" s="85">
        <v>0</v>
      </c>
      <c r="R264" s="82">
        <v>0</v>
      </c>
      <c r="S264" s="85">
        <v>0</v>
      </c>
      <c r="T264" s="85">
        <v>0</v>
      </c>
      <c r="U264" s="85">
        <v>0</v>
      </c>
      <c r="V264" s="85">
        <v>0</v>
      </c>
      <c r="W264" s="85">
        <v>0</v>
      </c>
      <c r="X264" s="85">
        <f t="shared" si="46"/>
        <v>0</v>
      </c>
      <c r="Y264" s="85"/>
      <c r="Z264" s="106">
        <f t="shared" si="47"/>
        <v>0</v>
      </c>
      <c r="AA264" s="85">
        <f t="shared" si="43"/>
        <v>0</v>
      </c>
      <c r="AB264" s="85">
        <f t="shared" si="44"/>
        <v>0</v>
      </c>
      <c r="AC264" s="101">
        <v>0</v>
      </c>
      <c r="AD264" s="27"/>
    </row>
    <row r="265" spans="1:30" s="45" customFormat="1">
      <c r="A265" s="43">
        <f t="shared" si="48"/>
        <v>261</v>
      </c>
      <c r="B265" s="15" t="s">
        <v>1272</v>
      </c>
      <c r="C265" s="22">
        <v>46013</v>
      </c>
      <c r="D265" s="14">
        <v>2025</v>
      </c>
      <c r="E265" s="44" t="s">
        <v>98</v>
      </c>
      <c r="F265" s="44" t="s">
        <v>1273</v>
      </c>
      <c r="G265" s="44" t="s">
        <v>19</v>
      </c>
      <c r="H265" s="62">
        <v>21836850</v>
      </c>
      <c r="I265" s="62">
        <v>478726</v>
      </c>
      <c r="J265" s="62">
        <v>2454713</v>
      </c>
      <c r="K265" s="60">
        <f t="shared" si="45"/>
        <v>24770289</v>
      </c>
      <c r="L265" s="75"/>
      <c r="M265" s="83">
        <v>0</v>
      </c>
      <c r="N265" s="82">
        <v>0</v>
      </c>
      <c r="O265" s="82">
        <v>0</v>
      </c>
      <c r="P265" s="82">
        <v>0</v>
      </c>
      <c r="Q265" s="82">
        <v>0</v>
      </c>
      <c r="R265" s="82">
        <v>0</v>
      </c>
      <c r="S265" s="82">
        <v>0</v>
      </c>
      <c r="T265" s="82">
        <v>0</v>
      </c>
      <c r="U265" s="82">
        <v>0</v>
      </c>
      <c r="V265" s="82">
        <v>0</v>
      </c>
      <c r="W265" s="82">
        <v>0</v>
      </c>
      <c r="X265" s="82">
        <f t="shared" si="46"/>
        <v>24770289</v>
      </c>
      <c r="Y265" s="82"/>
      <c r="Z265" s="29">
        <f t="shared" si="47"/>
        <v>-2454713</v>
      </c>
      <c r="AA265" s="82">
        <f t="shared" si="43"/>
        <v>-446311.52</v>
      </c>
      <c r="AB265" s="82">
        <f t="shared" si="44"/>
        <v>21869264.48</v>
      </c>
      <c r="AC265" s="98">
        <v>0</v>
      </c>
      <c r="AD265" s="15"/>
    </row>
    <row r="266" spans="1:30" s="70" customFormat="1">
      <c r="A266" s="43">
        <f t="shared" si="48"/>
        <v>262</v>
      </c>
      <c r="B266" s="27" t="s">
        <v>19</v>
      </c>
      <c r="C266" s="125"/>
      <c r="D266" s="128"/>
      <c r="E266" s="46" t="s">
        <v>19</v>
      </c>
      <c r="F266" s="46" t="s">
        <v>19</v>
      </c>
      <c r="G266" s="46" t="s">
        <v>19</v>
      </c>
      <c r="H266" s="66">
        <v>0</v>
      </c>
      <c r="I266" s="66">
        <v>0</v>
      </c>
      <c r="J266" s="66">
        <v>0</v>
      </c>
      <c r="K266" s="67">
        <f t="shared" si="45"/>
        <v>0</v>
      </c>
      <c r="L266" s="111"/>
      <c r="M266" s="84">
        <v>0</v>
      </c>
      <c r="N266" s="85">
        <v>0</v>
      </c>
      <c r="O266" s="82">
        <v>0</v>
      </c>
      <c r="P266" s="82">
        <v>0</v>
      </c>
      <c r="Q266" s="85">
        <v>0</v>
      </c>
      <c r="R266" s="82">
        <v>0</v>
      </c>
      <c r="S266" s="85">
        <v>0</v>
      </c>
      <c r="T266" s="85">
        <v>0</v>
      </c>
      <c r="U266" s="85">
        <v>0</v>
      </c>
      <c r="V266" s="85">
        <v>0</v>
      </c>
      <c r="W266" s="85">
        <v>0</v>
      </c>
      <c r="X266" s="85">
        <f t="shared" si="46"/>
        <v>0</v>
      </c>
      <c r="Y266" s="85"/>
      <c r="Z266" s="106">
        <f t="shared" si="47"/>
        <v>0</v>
      </c>
      <c r="AA266" s="85">
        <f t="shared" si="43"/>
        <v>0</v>
      </c>
      <c r="AB266" s="85">
        <f t="shared" si="44"/>
        <v>0</v>
      </c>
      <c r="AC266" s="101">
        <v>0</v>
      </c>
      <c r="AD266" s="27"/>
    </row>
    <row r="267" spans="1:30" s="70" customFormat="1">
      <c r="A267" s="43">
        <f t="shared" si="48"/>
        <v>263</v>
      </c>
      <c r="B267" s="27" t="s">
        <v>19</v>
      </c>
      <c r="C267" s="125"/>
      <c r="D267" s="128"/>
      <c r="E267" s="46" t="s">
        <v>19</v>
      </c>
      <c r="F267" s="46" t="s">
        <v>19</v>
      </c>
      <c r="G267" s="46" t="s">
        <v>19</v>
      </c>
      <c r="H267" s="66">
        <v>0</v>
      </c>
      <c r="I267" s="66">
        <v>0</v>
      </c>
      <c r="J267" s="66">
        <v>0</v>
      </c>
      <c r="K267" s="67">
        <f t="shared" si="45"/>
        <v>0</v>
      </c>
      <c r="L267" s="111"/>
      <c r="M267" s="84">
        <v>0</v>
      </c>
      <c r="N267" s="85">
        <v>0</v>
      </c>
      <c r="O267" s="82">
        <v>0</v>
      </c>
      <c r="P267" s="82">
        <v>0</v>
      </c>
      <c r="Q267" s="85">
        <v>0</v>
      </c>
      <c r="R267" s="82">
        <v>0</v>
      </c>
      <c r="S267" s="85">
        <v>0</v>
      </c>
      <c r="T267" s="85">
        <v>0</v>
      </c>
      <c r="U267" s="85">
        <v>0</v>
      </c>
      <c r="V267" s="85">
        <v>0</v>
      </c>
      <c r="W267" s="85">
        <v>0</v>
      </c>
      <c r="X267" s="85">
        <f t="shared" si="46"/>
        <v>0</v>
      </c>
      <c r="Y267" s="85"/>
      <c r="Z267" s="106">
        <f t="shared" si="47"/>
        <v>0</v>
      </c>
      <c r="AA267" s="85">
        <f t="shared" si="43"/>
        <v>0</v>
      </c>
      <c r="AB267" s="85">
        <f t="shared" si="44"/>
        <v>0</v>
      </c>
      <c r="AC267" s="101">
        <v>0</v>
      </c>
      <c r="AD267" s="27"/>
    </row>
    <row r="268" spans="1:30" s="70" customFormat="1">
      <c r="A268" s="43">
        <f t="shared" si="48"/>
        <v>264</v>
      </c>
      <c r="B268" s="27" t="s">
        <v>19</v>
      </c>
      <c r="C268" s="125"/>
      <c r="D268" s="128"/>
      <c r="E268" s="46" t="s">
        <v>19</v>
      </c>
      <c r="F268" s="46" t="s">
        <v>19</v>
      </c>
      <c r="G268" s="46" t="s">
        <v>19</v>
      </c>
      <c r="H268" s="66">
        <v>0</v>
      </c>
      <c r="I268" s="66">
        <v>0</v>
      </c>
      <c r="J268" s="66">
        <v>0</v>
      </c>
      <c r="K268" s="67">
        <f t="shared" si="45"/>
        <v>0</v>
      </c>
      <c r="L268" s="111"/>
      <c r="M268" s="84">
        <v>0</v>
      </c>
      <c r="N268" s="85">
        <v>0</v>
      </c>
      <c r="O268" s="82">
        <v>0</v>
      </c>
      <c r="P268" s="82">
        <v>0</v>
      </c>
      <c r="Q268" s="85">
        <v>0</v>
      </c>
      <c r="R268" s="82">
        <v>0</v>
      </c>
      <c r="S268" s="85">
        <v>0</v>
      </c>
      <c r="T268" s="85">
        <v>0</v>
      </c>
      <c r="U268" s="85">
        <v>0</v>
      </c>
      <c r="V268" s="85">
        <v>0</v>
      </c>
      <c r="W268" s="85">
        <v>0</v>
      </c>
      <c r="X268" s="85">
        <f t="shared" si="46"/>
        <v>0</v>
      </c>
      <c r="Y268" s="85"/>
      <c r="Z268" s="106">
        <f t="shared" si="47"/>
        <v>0</v>
      </c>
      <c r="AA268" s="85">
        <f t="shared" si="43"/>
        <v>0</v>
      </c>
      <c r="AB268" s="85">
        <f t="shared" si="44"/>
        <v>0</v>
      </c>
      <c r="AC268" s="101">
        <v>0</v>
      </c>
      <c r="AD268" s="27"/>
    </row>
    <row r="269" spans="1:30" s="70" customFormat="1">
      <c r="A269" s="43">
        <f t="shared" si="48"/>
        <v>265</v>
      </c>
      <c r="B269" s="27" t="s">
        <v>19</v>
      </c>
      <c r="C269" s="125"/>
      <c r="D269" s="128"/>
      <c r="E269" s="46" t="s">
        <v>19</v>
      </c>
      <c r="F269" s="46" t="s">
        <v>19</v>
      </c>
      <c r="G269" s="46" t="s">
        <v>19</v>
      </c>
      <c r="H269" s="66">
        <v>0</v>
      </c>
      <c r="I269" s="66">
        <v>0</v>
      </c>
      <c r="J269" s="66">
        <v>0</v>
      </c>
      <c r="K269" s="67">
        <f t="shared" si="45"/>
        <v>0</v>
      </c>
      <c r="L269" s="111"/>
      <c r="M269" s="84">
        <v>0</v>
      </c>
      <c r="N269" s="85">
        <v>0</v>
      </c>
      <c r="O269" s="82">
        <v>0</v>
      </c>
      <c r="P269" s="82">
        <v>0</v>
      </c>
      <c r="Q269" s="85">
        <v>0</v>
      </c>
      <c r="R269" s="82">
        <v>0</v>
      </c>
      <c r="S269" s="85">
        <v>0</v>
      </c>
      <c r="T269" s="85">
        <v>0</v>
      </c>
      <c r="U269" s="85">
        <v>0</v>
      </c>
      <c r="V269" s="85">
        <v>0</v>
      </c>
      <c r="W269" s="85">
        <v>0</v>
      </c>
      <c r="X269" s="85">
        <f t="shared" si="46"/>
        <v>0</v>
      </c>
      <c r="Y269" s="85"/>
      <c r="Z269" s="106">
        <f t="shared" si="47"/>
        <v>0</v>
      </c>
      <c r="AA269" s="85">
        <f t="shared" si="43"/>
        <v>0</v>
      </c>
      <c r="AB269" s="85">
        <f t="shared" si="44"/>
        <v>0</v>
      </c>
      <c r="AC269" s="101">
        <v>0</v>
      </c>
      <c r="AD269" s="27"/>
    </row>
    <row r="270" spans="1:30" s="70" customFormat="1">
      <c r="A270" s="43">
        <f t="shared" si="48"/>
        <v>266</v>
      </c>
      <c r="B270" s="27"/>
      <c r="C270" s="125"/>
      <c r="D270" s="49"/>
      <c r="E270" s="46" t="s">
        <v>19</v>
      </c>
      <c r="F270" s="46" t="s">
        <v>19</v>
      </c>
      <c r="G270" s="46" t="s">
        <v>19</v>
      </c>
      <c r="H270" s="66">
        <v>0</v>
      </c>
      <c r="I270" s="67">
        <v>0</v>
      </c>
      <c r="J270" s="67">
        <v>0</v>
      </c>
      <c r="K270" s="67">
        <f t="shared" si="45"/>
        <v>0</v>
      </c>
      <c r="L270" s="111"/>
      <c r="M270" s="84">
        <v>0</v>
      </c>
      <c r="N270" s="85">
        <v>0</v>
      </c>
      <c r="O270" s="82">
        <v>0</v>
      </c>
      <c r="P270" s="82">
        <v>0</v>
      </c>
      <c r="Q270" s="85">
        <v>0</v>
      </c>
      <c r="R270" s="82">
        <v>0</v>
      </c>
      <c r="S270" s="85">
        <v>0</v>
      </c>
      <c r="T270" s="85">
        <v>0</v>
      </c>
      <c r="U270" s="85">
        <v>0</v>
      </c>
      <c r="V270" s="85">
        <v>0</v>
      </c>
      <c r="W270" s="85">
        <v>0</v>
      </c>
      <c r="X270" s="85">
        <f t="shared" si="46"/>
        <v>0</v>
      </c>
      <c r="Y270" s="85"/>
      <c r="Z270" s="106">
        <f t="shared" si="47"/>
        <v>0</v>
      </c>
      <c r="AA270" s="85">
        <f t="shared" si="43"/>
        <v>0</v>
      </c>
      <c r="AB270" s="85">
        <f t="shared" si="44"/>
        <v>0</v>
      </c>
      <c r="AC270" s="101">
        <v>0</v>
      </c>
      <c r="AD270" s="27"/>
    </row>
    <row r="271" spans="1:30" s="70" customFormat="1">
      <c r="A271" s="43">
        <f t="shared" si="48"/>
        <v>267</v>
      </c>
      <c r="B271" s="27" t="s">
        <v>19</v>
      </c>
      <c r="C271" s="125"/>
      <c r="D271" s="128"/>
      <c r="E271" s="46" t="s">
        <v>19</v>
      </c>
      <c r="F271" s="46" t="s">
        <v>19</v>
      </c>
      <c r="G271" s="46" t="s">
        <v>19</v>
      </c>
      <c r="H271" s="66">
        <v>0</v>
      </c>
      <c r="I271" s="66">
        <v>0</v>
      </c>
      <c r="J271" s="66">
        <v>0</v>
      </c>
      <c r="K271" s="67">
        <f t="shared" si="45"/>
        <v>0</v>
      </c>
      <c r="L271" s="111"/>
      <c r="M271" s="84">
        <v>0</v>
      </c>
      <c r="N271" s="85">
        <v>0</v>
      </c>
      <c r="O271" s="82">
        <v>0</v>
      </c>
      <c r="P271" s="82">
        <v>0</v>
      </c>
      <c r="Q271" s="85">
        <v>0</v>
      </c>
      <c r="R271" s="82">
        <v>0</v>
      </c>
      <c r="S271" s="85">
        <v>0</v>
      </c>
      <c r="T271" s="85">
        <v>0</v>
      </c>
      <c r="U271" s="85">
        <v>0</v>
      </c>
      <c r="V271" s="85">
        <v>0</v>
      </c>
      <c r="W271" s="85">
        <v>0</v>
      </c>
      <c r="X271" s="85">
        <f t="shared" si="46"/>
        <v>0</v>
      </c>
      <c r="Y271" s="85"/>
      <c r="Z271" s="106">
        <f t="shared" si="47"/>
        <v>0</v>
      </c>
      <c r="AA271" s="85">
        <f t="shared" si="43"/>
        <v>0</v>
      </c>
      <c r="AB271" s="85">
        <f t="shared" si="44"/>
        <v>0</v>
      </c>
      <c r="AC271" s="101">
        <v>0</v>
      </c>
      <c r="AD271" s="27"/>
    </row>
    <row r="272" spans="1:30" s="45" customFormat="1">
      <c r="A272" s="43">
        <f t="shared" si="48"/>
        <v>268</v>
      </c>
      <c r="B272" s="15" t="s">
        <v>1205</v>
      </c>
      <c r="C272" s="22">
        <v>46001</v>
      </c>
      <c r="D272" s="14">
        <v>2025</v>
      </c>
      <c r="E272" s="44" t="s">
        <v>98</v>
      </c>
      <c r="F272" s="44" t="s">
        <v>1003</v>
      </c>
      <c r="G272" s="44" t="s">
        <v>1206</v>
      </c>
      <c r="H272" s="62">
        <v>57889046</v>
      </c>
      <c r="I272" s="62">
        <v>3011259</v>
      </c>
      <c r="J272" s="62">
        <v>6699034</v>
      </c>
      <c r="K272" s="60">
        <f t="shared" si="45"/>
        <v>67599339</v>
      </c>
      <c r="L272" s="75" t="s">
        <v>19</v>
      </c>
      <c r="M272" s="83">
        <v>0</v>
      </c>
      <c r="N272" s="82">
        <v>0</v>
      </c>
      <c r="O272" s="82">
        <v>0</v>
      </c>
      <c r="P272" s="82">
        <v>0</v>
      </c>
      <c r="Q272" s="82">
        <v>0</v>
      </c>
      <c r="R272" s="82">
        <v>0</v>
      </c>
      <c r="S272" s="82">
        <v>0</v>
      </c>
      <c r="T272" s="82">
        <v>0</v>
      </c>
      <c r="U272" s="82">
        <v>0</v>
      </c>
      <c r="V272" s="82">
        <v>0</v>
      </c>
      <c r="W272" s="82">
        <v>0</v>
      </c>
      <c r="X272" s="82">
        <f t="shared" si="46"/>
        <v>67599339</v>
      </c>
      <c r="Y272" s="82"/>
      <c r="Z272" s="29">
        <f t="shared" si="47"/>
        <v>-6699034</v>
      </c>
      <c r="AA272" s="82">
        <f t="shared" si="43"/>
        <v>-1218006.1000000001</v>
      </c>
      <c r="AB272" s="82">
        <f t="shared" si="44"/>
        <v>59682298.899999999</v>
      </c>
      <c r="AC272" s="98">
        <v>0</v>
      </c>
      <c r="AD272" s="15"/>
    </row>
    <row r="273" spans="1:30" s="45" customFormat="1">
      <c r="A273" s="43">
        <f t="shared" si="48"/>
        <v>269</v>
      </c>
      <c r="B273" s="15" t="s">
        <v>1139</v>
      </c>
      <c r="C273" s="22">
        <v>45994</v>
      </c>
      <c r="D273" s="14">
        <v>2025</v>
      </c>
      <c r="E273" s="44" t="s">
        <v>98</v>
      </c>
      <c r="F273" s="44" t="s">
        <v>1004</v>
      </c>
      <c r="G273" s="44" t="s">
        <v>1140</v>
      </c>
      <c r="H273" s="62">
        <v>25500000</v>
      </c>
      <c r="I273" s="62">
        <v>2550000</v>
      </c>
      <c r="J273" s="62">
        <v>3085500</v>
      </c>
      <c r="K273" s="60">
        <f t="shared" si="45"/>
        <v>31135500</v>
      </c>
      <c r="L273" s="75" t="s">
        <v>19</v>
      </c>
      <c r="M273" s="83">
        <v>0</v>
      </c>
      <c r="N273" s="82">
        <v>0</v>
      </c>
      <c r="O273" s="82">
        <v>0</v>
      </c>
      <c r="P273" s="82">
        <v>0</v>
      </c>
      <c r="Q273" s="82">
        <v>0</v>
      </c>
      <c r="R273" s="82">
        <v>0</v>
      </c>
      <c r="S273" s="82">
        <v>0</v>
      </c>
      <c r="T273" s="82">
        <v>0</v>
      </c>
      <c r="U273" s="82">
        <v>0</v>
      </c>
      <c r="V273" s="82">
        <v>0</v>
      </c>
      <c r="W273" s="82">
        <v>0</v>
      </c>
      <c r="X273" s="82">
        <f t="shared" si="46"/>
        <v>31135500</v>
      </c>
      <c r="Y273" s="82"/>
      <c r="Z273" s="29">
        <f t="shared" si="47"/>
        <v>-3085500</v>
      </c>
      <c r="AA273" s="82">
        <f t="shared" si="43"/>
        <v>-561000</v>
      </c>
      <c r="AB273" s="82">
        <f t="shared" si="44"/>
        <v>27489000</v>
      </c>
      <c r="AC273" s="98">
        <v>0</v>
      </c>
      <c r="AD273" s="15"/>
    </row>
    <row r="274" spans="1:30" s="70" customFormat="1">
      <c r="A274" s="43">
        <f t="shared" si="48"/>
        <v>270</v>
      </c>
      <c r="B274" s="27" t="s">
        <v>19</v>
      </c>
      <c r="C274" s="125"/>
      <c r="D274" s="128"/>
      <c r="E274" s="46" t="s">
        <v>19</v>
      </c>
      <c r="F274" s="46" t="s">
        <v>19</v>
      </c>
      <c r="G274" s="46" t="s">
        <v>19</v>
      </c>
      <c r="H274" s="66">
        <v>0</v>
      </c>
      <c r="I274" s="66">
        <v>0</v>
      </c>
      <c r="J274" s="66">
        <v>0</v>
      </c>
      <c r="K274" s="67">
        <f t="shared" si="45"/>
        <v>0</v>
      </c>
      <c r="L274" s="111"/>
      <c r="M274" s="84">
        <v>0</v>
      </c>
      <c r="N274" s="85">
        <v>0</v>
      </c>
      <c r="O274" s="82">
        <v>0</v>
      </c>
      <c r="P274" s="82">
        <v>0</v>
      </c>
      <c r="Q274" s="85">
        <v>0</v>
      </c>
      <c r="R274" s="82">
        <v>0</v>
      </c>
      <c r="S274" s="85">
        <v>0</v>
      </c>
      <c r="T274" s="85">
        <v>0</v>
      </c>
      <c r="U274" s="85">
        <v>0</v>
      </c>
      <c r="V274" s="85">
        <v>0</v>
      </c>
      <c r="W274" s="85">
        <v>0</v>
      </c>
      <c r="X274" s="85">
        <f t="shared" si="46"/>
        <v>0</v>
      </c>
      <c r="Y274" s="85"/>
      <c r="Z274" s="106">
        <f t="shared" si="47"/>
        <v>0</v>
      </c>
      <c r="AA274" s="85">
        <f t="shared" si="43"/>
        <v>0</v>
      </c>
      <c r="AB274" s="85">
        <f t="shared" si="44"/>
        <v>0</v>
      </c>
      <c r="AC274" s="101">
        <v>0</v>
      </c>
      <c r="AD274" s="27"/>
    </row>
    <row r="275" spans="1:30" s="70" customFormat="1">
      <c r="A275" s="43">
        <f t="shared" si="48"/>
        <v>271</v>
      </c>
      <c r="B275" s="27" t="s">
        <v>19</v>
      </c>
      <c r="C275" s="125"/>
      <c r="D275" s="128"/>
      <c r="E275" s="46" t="s">
        <v>19</v>
      </c>
      <c r="F275" s="46" t="s">
        <v>19</v>
      </c>
      <c r="G275" s="46" t="s">
        <v>19</v>
      </c>
      <c r="H275" s="66">
        <v>0</v>
      </c>
      <c r="I275" s="66">
        <v>0</v>
      </c>
      <c r="J275" s="66">
        <v>0</v>
      </c>
      <c r="K275" s="67">
        <f t="shared" si="45"/>
        <v>0</v>
      </c>
      <c r="L275" s="111"/>
      <c r="M275" s="84">
        <v>0</v>
      </c>
      <c r="N275" s="85">
        <v>0</v>
      </c>
      <c r="O275" s="82">
        <v>0</v>
      </c>
      <c r="P275" s="82">
        <v>0</v>
      </c>
      <c r="Q275" s="85">
        <v>0</v>
      </c>
      <c r="R275" s="82">
        <v>0</v>
      </c>
      <c r="S275" s="85">
        <v>0</v>
      </c>
      <c r="T275" s="85">
        <v>0</v>
      </c>
      <c r="U275" s="85">
        <v>0</v>
      </c>
      <c r="V275" s="85">
        <v>0</v>
      </c>
      <c r="W275" s="85">
        <v>0</v>
      </c>
      <c r="X275" s="85">
        <f t="shared" si="46"/>
        <v>0</v>
      </c>
      <c r="Y275" s="85"/>
      <c r="Z275" s="106">
        <f t="shared" si="47"/>
        <v>0</v>
      </c>
      <c r="AA275" s="85">
        <f t="shared" si="43"/>
        <v>0</v>
      </c>
      <c r="AB275" s="85">
        <f t="shared" si="44"/>
        <v>0</v>
      </c>
      <c r="AC275" s="101">
        <v>0</v>
      </c>
      <c r="AD275" s="27"/>
    </row>
    <row r="276" spans="1:30" s="45" customFormat="1">
      <c r="A276" s="43">
        <f t="shared" si="48"/>
        <v>272</v>
      </c>
      <c r="B276" s="15" t="s">
        <v>1270</v>
      </c>
      <c r="C276" s="22">
        <v>46022</v>
      </c>
      <c r="D276" s="14">
        <v>2025</v>
      </c>
      <c r="E276" s="44" t="s">
        <v>434</v>
      </c>
      <c r="F276" s="44" t="s">
        <v>474</v>
      </c>
      <c r="G276" s="44" t="s">
        <v>878</v>
      </c>
      <c r="H276" s="61">
        <v>3465049</v>
      </c>
      <c r="I276" s="60">
        <v>0</v>
      </c>
      <c r="J276" s="60">
        <v>0</v>
      </c>
      <c r="K276" s="60">
        <f t="shared" si="45"/>
        <v>3465049</v>
      </c>
      <c r="L276" s="75">
        <v>45734</v>
      </c>
      <c r="M276" s="83">
        <v>3465049</v>
      </c>
      <c r="N276" s="82">
        <v>0</v>
      </c>
      <c r="O276" s="82">
        <v>0</v>
      </c>
      <c r="P276" s="82">
        <v>0</v>
      </c>
      <c r="Q276" s="82">
        <v>0</v>
      </c>
      <c r="R276" s="82">
        <v>0</v>
      </c>
      <c r="S276" s="82">
        <v>0</v>
      </c>
      <c r="T276" s="82">
        <v>0</v>
      </c>
      <c r="U276" s="82">
        <v>0</v>
      </c>
      <c r="V276" s="82">
        <v>0</v>
      </c>
      <c r="W276" s="82">
        <v>0</v>
      </c>
      <c r="X276" s="82">
        <f t="shared" si="46"/>
        <v>0</v>
      </c>
      <c r="Y276" s="82"/>
      <c r="Z276" s="29">
        <f t="shared" si="47"/>
        <v>0</v>
      </c>
      <c r="AA276" s="82">
        <f t="shared" si="43"/>
        <v>-69300.98</v>
      </c>
      <c r="AB276" s="82">
        <f t="shared" ref="AB276:AB301" si="49">K276+Z276+AA276</f>
        <v>3395748.02</v>
      </c>
      <c r="AC276" s="98">
        <v>0</v>
      </c>
      <c r="AD276" s="15"/>
    </row>
    <row r="277" spans="1:30" s="70" customFormat="1">
      <c r="A277" s="43">
        <f t="shared" si="48"/>
        <v>273</v>
      </c>
      <c r="B277" s="27"/>
      <c r="C277" s="125"/>
      <c r="D277" s="49"/>
      <c r="E277" s="46" t="s">
        <v>19</v>
      </c>
      <c r="F277" s="46" t="s">
        <v>19</v>
      </c>
      <c r="G277" s="70" t="s">
        <v>19</v>
      </c>
      <c r="H277" s="66">
        <v>0</v>
      </c>
      <c r="I277" s="67">
        <v>0</v>
      </c>
      <c r="J277" s="67">
        <v>0</v>
      </c>
      <c r="K277" s="67">
        <f t="shared" si="45"/>
        <v>0</v>
      </c>
      <c r="L277" s="111"/>
      <c r="M277" s="84">
        <v>0</v>
      </c>
      <c r="N277" s="85">
        <v>0</v>
      </c>
      <c r="O277" s="82">
        <v>0</v>
      </c>
      <c r="P277" s="82">
        <v>0</v>
      </c>
      <c r="Q277" s="85">
        <v>0</v>
      </c>
      <c r="R277" s="82">
        <v>0</v>
      </c>
      <c r="S277" s="85">
        <v>0</v>
      </c>
      <c r="T277" s="85">
        <v>0</v>
      </c>
      <c r="U277" s="85">
        <v>0</v>
      </c>
      <c r="V277" s="85">
        <v>0</v>
      </c>
      <c r="W277" s="85">
        <v>0</v>
      </c>
      <c r="X277" s="85">
        <f t="shared" si="46"/>
        <v>0</v>
      </c>
      <c r="Y277" s="85"/>
      <c r="Z277" s="106">
        <f t="shared" si="47"/>
        <v>0</v>
      </c>
      <c r="AA277" s="85">
        <f t="shared" si="43"/>
        <v>0</v>
      </c>
      <c r="AB277" s="85">
        <f t="shared" si="49"/>
        <v>0</v>
      </c>
      <c r="AC277" s="101">
        <v>0</v>
      </c>
      <c r="AD277" s="27"/>
    </row>
    <row r="278" spans="1:30" s="70" customFormat="1">
      <c r="A278" s="43">
        <f t="shared" si="48"/>
        <v>274</v>
      </c>
      <c r="B278" s="27"/>
      <c r="C278" s="125"/>
      <c r="D278" s="49"/>
      <c r="E278" s="46" t="s">
        <v>19</v>
      </c>
      <c r="F278" s="46" t="s">
        <v>19</v>
      </c>
      <c r="G278" s="70" t="s">
        <v>19</v>
      </c>
      <c r="H278" s="66">
        <v>0</v>
      </c>
      <c r="I278" s="67">
        <v>0</v>
      </c>
      <c r="J278" s="67">
        <v>0</v>
      </c>
      <c r="K278" s="67">
        <f t="shared" si="45"/>
        <v>0</v>
      </c>
      <c r="L278" s="111"/>
      <c r="M278" s="84">
        <v>0</v>
      </c>
      <c r="N278" s="85">
        <v>0</v>
      </c>
      <c r="O278" s="82">
        <v>0</v>
      </c>
      <c r="P278" s="82">
        <v>0</v>
      </c>
      <c r="Q278" s="85">
        <v>0</v>
      </c>
      <c r="R278" s="82">
        <v>0</v>
      </c>
      <c r="S278" s="85">
        <v>0</v>
      </c>
      <c r="T278" s="85">
        <v>0</v>
      </c>
      <c r="U278" s="85">
        <v>0</v>
      </c>
      <c r="V278" s="85">
        <v>0</v>
      </c>
      <c r="W278" s="85">
        <v>0</v>
      </c>
      <c r="X278" s="85">
        <f t="shared" si="46"/>
        <v>0</v>
      </c>
      <c r="Y278" s="85"/>
      <c r="Z278" s="106">
        <f t="shared" si="47"/>
        <v>0</v>
      </c>
      <c r="AA278" s="85">
        <f t="shared" si="43"/>
        <v>0</v>
      </c>
      <c r="AB278" s="85">
        <f t="shared" si="49"/>
        <v>0</v>
      </c>
      <c r="AC278" s="101">
        <v>0</v>
      </c>
      <c r="AD278" s="27"/>
    </row>
    <row r="279" spans="1:30" s="70" customFormat="1">
      <c r="A279" s="43">
        <f t="shared" si="48"/>
        <v>275</v>
      </c>
      <c r="B279" s="27"/>
      <c r="C279" s="125"/>
      <c r="D279" s="49"/>
      <c r="E279" s="46" t="s">
        <v>19</v>
      </c>
      <c r="F279" s="46" t="s">
        <v>19</v>
      </c>
      <c r="G279" s="70" t="s">
        <v>19</v>
      </c>
      <c r="H279" s="66">
        <v>0</v>
      </c>
      <c r="I279" s="67">
        <v>0</v>
      </c>
      <c r="J279" s="67">
        <v>0</v>
      </c>
      <c r="K279" s="67">
        <f t="shared" si="45"/>
        <v>0</v>
      </c>
      <c r="L279" s="111"/>
      <c r="M279" s="84">
        <v>0</v>
      </c>
      <c r="N279" s="85">
        <v>0</v>
      </c>
      <c r="O279" s="82">
        <v>0</v>
      </c>
      <c r="P279" s="82">
        <v>0</v>
      </c>
      <c r="Q279" s="85">
        <v>0</v>
      </c>
      <c r="R279" s="82">
        <v>0</v>
      </c>
      <c r="S279" s="85">
        <v>0</v>
      </c>
      <c r="T279" s="85">
        <v>0</v>
      </c>
      <c r="U279" s="85">
        <v>0</v>
      </c>
      <c r="V279" s="85">
        <v>0</v>
      </c>
      <c r="W279" s="85">
        <v>0</v>
      </c>
      <c r="X279" s="85">
        <f t="shared" si="46"/>
        <v>0</v>
      </c>
      <c r="Y279" s="85"/>
      <c r="Z279" s="106">
        <f t="shared" si="47"/>
        <v>0</v>
      </c>
      <c r="AA279" s="85">
        <f t="shared" si="43"/>
        <v>0</v>
      </c>
      <c r="AB279" s="85">
        <f t="shared" si="49"/>
        <v>0</v>
      </c>
      <c r="AC279" s="101">
        <v>0</v>
      </c>
      <c r="AD279" s="27"/>
    </row>
    <row r="280" spans="1:30" s="45" customFormat="1">
      <c r="A280" s="43">
        <f t="shared" si="48"/>
        <v>276</v>
      </c>
      <c r="B280" s="15" t="s">
        <v>1099</v>
      </c>
      <c r="C280" s="22">
        <v>45968</v>
      </c>
      <c r="D280" s="48">
        <v>2025</v>
      </c>
      <c r="E280" s="44" t="s">
        <v>83</v>
      </c>
      <c r="F280" s="44" t="s">
        <v>296</v>
      </c>
      <c r="G280" s="45" t="s">
        <v>407</v>
      </c>
      <c r="H280" s="62">
        <v>1000000000</v>
      </c>
      <c r="I280" s="60">
        <v>0</v>
      </c>
      <c r="J280" s="60">
        <v>110000000</v>
      </c>
      <c r="K280" s="60">
        <f t="shared" si="45"/>
        <v>1110000000</v>
      </c>
      <c r="L280" s="75">
        <v>45986</v>
      </c>
      <c r="M280" s="83">
        <v>0</v>
      </c>
      <c r="N280" s="82">
        <v>0</v>
      </c>
      <c r="O280" s="82">
        <v>980000000</v>
      </c>
      <c r="P280" s="82">
        <v>0</v>
      </c>
      <c r="Q280" s="82">
        <v>0</v>
      </c>
      <c r="R280" s="82">
        <v>0</v>
      </c>
      <c r="S280" s="82">
        <v>0</v>
      </c>
      <c r="T280" s="82">
        <v>0</v>
      </c>
      <c r="U280" s="82">
        <v>0</v>
      </c>
      <c r="V280" s="82">
        <v>0</v>
      </c>
      <c r="W280" s="82">
        <v>130000000</v>
      </c>
      <c r="X280" s="82">
        <f t="shared" si="46"/>
        <v>0</v>
      </c>
      <c r="Y280" s="82"/>
      <c r="Z280" s="29">
        <f t="shared" si="47"/>
        <v>-110000000</v>
      </c>
      <c r="AA280" s="82">
        <f t="shared" si="43"/>
        <v>-20000000</v>
      </c>
      <c r="AB280" s="82">
        <f t="shared" si="49"/>
        <v>980000000</v>
      </c>
      <c r="AC280" s="98">
        <v>0</v>
      </c>
      <c r="AD280" s="15"/>
    </row>
    <row r="281" spans="1:30" s="120" customFormat="1">
      <c r="A281" s="107">
        <f t="shared" si="48"/>
        <v>277</v>
      </c>
      <c r="B281" s="50" t="s">
        <v>1100</v>
      </c>
      <c r="C281" s="124">
        <v>46002</v>
      </c>
      <c r="D281" s="48">
        <v>2024</v>
      </c>
      <c r="E281" s="77" t="s">
        <v>19</v>
      </c>
      <c r="F281" s="77" t="s">
        <v>19</v>
      </c>
      <c r="G281" s="120" t="s">
        <v>1101</v>
      </c>
      <c r="H281" s="114">
        <v>0</v>
      </c>
      <c r="I281" s="108">
        <v>0</v>
      </c>
      <c r="J281" s="108">
        <v>0</v>
      </c>
      <c r="K281" s="108">
        <f t="shared" si="45"/>
        <v>0</v>
      </c>
      <c r="L281" s="115"/>
      <c r="M281" s="116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f t="shared" si="46"/>
        <v>0</v>
      </c>
      <c r="Y281" s="105"/>
      <c r="Z281" s="117">
        <f t="shared" si="47"/>
        <v>0</v>
      </c>
      <c r="AA281" s="105">
        <f t="shared" si="43"/>
        <v>0</v>
      </c>
      <c r="AB281" s="105">
        <f t="shared" si="49"/>
        <v>0</v>
      </c>
      <c r="AC281" s="119">
        <v>0</v>
      </c>
      <c r="AD281" s="50"/>
    </row>
    <row r="282" spans="1:30" s="45" customFormat="1">
      <c r="A282" s="43">
        <f t="shared" si="48"/>
        <v>278</v>
      </c>
      <c r="B282" s="15" t="s">
        <v>1102</v>
      </c>
      <c r="C282" s="22">
        <v>46007</v>
      </c>
      <c r="D282" s="14">
        <v>2025</v>
      </c>
      <c r="E282" s="44" t="s">
        <v>88</v>
      </c>
      <c r="F282" s="44" t="s">
        <v>1001</v>
      </c>
      <c r="G282" s="45" t="s">
        <v>19</v>
      </c>
      <c r="H282" s="62">
        <v>315727100</v>
      </c>
      <c r="I282" s="60">
        <v>0</v>
      </c>
      <c r="J282" s="60">
        <v>34729981</v>
      </c>
      <c r="K282" s="60">
        <f t="shared" si="45"/>
        <v>350457081</v>
      </c>
      <c r="L282" s="75"/>
      <c r="M282" s="83">
        <v>0</v>
      </c>
      <c r="N282" s="82">
        <v>0</v>
      </c>
      <c r="O282" s="82">
        <v>0</v>
      </c>
      <c r="P282" s="82">
        <v>0</v>
      </c>
      <c r="Q282" s="82">
        <v>0</v>
      </c>
      <c r="R282" s="82">
        <v>0</v>
      </c>
      <c r="S282" s="82">
        <v>0</v>
      </c>
      <c r="T282" s="82">
        <v>0</v>
      </c>
      <c r="U282" s="82">
        <v>0</v>
      </c>
      <c r="V282" s="82">
        <v>0</v>
      </c>
      <c r="W282" s="82">
        <v>0</v>
      </c>
      <c r="X282" s="82">
        <f t="shared" si="46"/>
        <v>350457081</v>
      </c>
      <c r="Y282" s="82"/>
      <c r="Z282" s="29">
        <f t="shared" si="47"/>
        <v>-34729981</v>
      </c>
      <c r="AA282" s="82">
        <f t="shared" si="43"/>
        <v>-6314542</v>
      </c>
      <c r="AB282" s="82">
        <f t="shared" si="49"/>
        <v>309412558</v>
      </c>
      <c r="AC282" s="98">
        <v>0</v>
      </c>
      <c r="AD282" s="15"/>
    </row>
    <row r="283" spans="1:30" s="45" customFormat="1">
      <c r="A283" s="43">
        <f t="shared" si="48"/>
        <v>279</v>
      </c>
      <c r="B283" s="15" t="s">
        <v>1064</v>
      </c>
      <c r="C283" s="22">
        <v>46002</v>
      </c>
      <c r="D283" s="48">
        <v>2025</v>
      </c>
      <c r="E283" s="44" t="s">
        <v>875</v>
      </c>
      <c r="F283" s="44" t="s">
        <v>1060</v>
      </c>
      <c r="G283" s="45" t="s">
        <v>1065</v>
      </c>
      <c r="H283" s="62">
        <v>166400000</v>
      </c>
      <c r="I283" s="60">
        <v>16640000</v>
      </c>
      <c r="J283" s="60">
        <v>20134400</v>
      </c>
      <c r="K283" s="60">
        <f t="shared" si="45"/>
        <v>203174400</v>
      </c>
      <c r="L283" s="75"/>
      <c r="M283" s="83">
        <v>0</v>
      </c>
      <c r="N283" s="82">
        <v>202841600</v>
      </c>
      <c r="O283" s="82">
        <v>0</v>
      </c>
      <c r="P283" s="82">
        <v>0</v>
      </c>
      <c r="Q283" s="82">
        <v>0</v>
      </c>
      <c r="R283" s="82">
        <v>0</v>
      </c>
      <c r="S283" s="82">
        <v>0</v>
      </c>
      <c r="T283" s="82">
        <v>0</v>
      </c>
      <c r="U283" s="82">
        <v>0</v>
      </c>
      <c r="V283" s="82">
        <v>0</v>
      </c>
      <c r="W283" s="82">
        <v>332800</v>
      </c>
      <c r="X283" s="82">
        <f t="shared" si="46"/>
        <v>0</v>
      </c>
      <c r="Y283" s="82"/>
      <c r="Z283" s="29">
        <f t="shared" si="47"/>
        <v>-20134400</v>
      </c>
      <c r="AA283" s="82">
        <f>-(I283)*2%</f>
        <v>-332800</v>
      </c>
      <c r="AB283" s="82">
        <f t="shared" si="49"/>
        <v>182707200</v>
      </c>
      <c r="AC283" s="98">
        <v>0</v>
      </c>
      <c r="AD283" s="15"/>
    </row>
    <row r="284" spans="1:30" s="45" customFormat="1">
      <c r="A284" s="43">
        <f t="shared" si="48"/>
        <v>280</v>
      </c>
      <c r="B284" s="15" t="s">
        <v>1103</v>
      </c>
      <c r="C284" s="22">
        <v>45972</v>
      </c>
      <c r="D284" s="48">
        <v>2025</v>
      </c>
      <c r="E284" s="44" t="s">
        <v>1104</v>
      </c>
      <c r="F284" s="44" t="s">
        <v>989</v>
      </c>
      <c r="G284" s="45" t="s">
        <v>1105</v>
      </c>
      <c r="H284" s="62">
        <v>655200655</v>
      </c>
      <c r="I284" s="60">
        <v>65520066</v>
      </c>
      <c r="J284" s="60">
        <v>79279279</v>
      </c>
      <c r="K284" s="60">
        <f t="shared" si="45"/>
        <v>800000000</v>
      </c>
      <c r="L284" s="75">
        <v>45975</v>
      </c>
      <c r="M284" s="83">
        <v>0</v>
      </c>
      <c r="N284" s="82">
        <v>0</v>
      </c>
      <c r="O284" s="82">
        <v>0</v>
      </c>
      <c r="P284" s="82">
        <v>0</v>
      </c>
      <c r="Q284" s="82">
        <v>0</v>
      </c>
      <c r="R284" s="82">
        <v>0</v>
      </c>
      <c r="S284" s="82">
        <v>706306307</v>
      </c>
      <c r="T284" s="82">
        <v>0</v>
      </c>
      <c r="U284" s="82">
        <v>0</v>
      </c>
      <c r="V284" s="82">
        <v>0</v>
      </c>
      <c r="W284" s="82">
        <v>93693693</v>
      </c>
      <c r="X284" s="82">
        <f t="shared" si="46"/>
        <v>0</v>
      </c>
      <c r="Y284" s="82"/>
      <c r="Z284" s="29">
        <f t="shared" si="47"/>
        <v>-79279279</v>
      </c>
      <c r="AA284" s="82">
        <f t="shared" ref="AA284:AA301" si="50">-(H284+I284)*2%</f>
        <v>-14414414.42</v>
      </c>
      <c r="AB284" s="82">
        <f t="shared" si="49"/>
        <v>706306306.58000004</v>
      </c>
      <c r="AC284" s="98">
        <v>0</v>
      </c>
      <c r="AD284" s="15"/>
    </row>
    <row r="285" spans="1:30" s="45" customFormat="1">
      <c r="A285" s="43">
        <f t="shared" si="48"/>
        <v>281</v>
      </c>
      <c r="B285" s="15" t="s">
        <v>1068</v>
      </c>
      <c r="C285" s="22">
        <v>45972</v>
      </c>
      <c r="D285" s="48">
        <v>2025</v>
      </c>
      <c r="E285" s="44" t="s">
        <v>98</v>
      </c>
      <c r="F285" s="44" t="s">
        <v>782</v>
      </c>
      <c r="G285" s="45" t="s">
        <v>479</v>
      </c>
      <c r="H285" s="62">
        <v>40000000</v>
      </c>
      <c r="I285" s="60">
        <v>4000000</v>
      </c>
      <c r="J285" s="60">
        <v>4840000</v>
      </c>
      <c r="K285" s="60">
        <f t="shared" si="45"/>
        <v>48840000</v>
      </c>
      <c r="L285" s="75"/>
      <c r="M285" s="83">
        <v>0</v>
      </c>
      <c r="N285" s="82">
        <v>0</v>
      </c>
      <c r="O285" s="82">
        <v>43120000</v>
      </c>
      <c r="P285" s="82">
        <v>0</v>
      </c>
      <c r="Q285" s="82">
        <v>0</v>
      </c>
      <c r="R285" s="82">
        <v>0</v>
      </c>
      <c r="S285" s="82">
        <v>0</v>
      </c>
      <c r="T285" s="82">
        <v>0</v>
      </c>
      <c r="U285" s="82">
        <v>0</v>
      </c>
      <c r="V285" s="82">
        <v>0</v>
      </c>
      <c r="W285" s="82">
        <v>5720000</v>
      </c>
      <c r="X285" s="82">
        <f t="shared" si="46"/>
        <v>0</v>
      </c>
      <c r="Y285" s="82"/>
      <c r="Z285" s="29">
        <f t="shared" si="47"/>
        <v>-4840000</v>
      </c>
      <c r="AA285" s="82">
        <f t="shared" si="50"/>
        <v>-880000</v>
      </c>
      <c r="AB285" s="82">
        <f t="shared" si="49"/>
        <v>43120000</v>
      </c>
      <c r="AC285" s="98">
        <v>0</v>
      </c>
      <c r="AD285" s="15"/>
    </row>
    <row r="286" spans="1:30" s="45" customFormat="1">
      <c r="A286" s="43">
        <f t="shared" si="48"/>
        <v>282</v>
      </c>
      <c r="B286" s="15" t="s">
        <v>1106</v>
      </c>
      <c r="C286" s="22">
        <v>45972</v>
      </c>
      <c r="D286" s="14">
        <v>2025</v>
      </c>
      <c r="E286" s="44" t="s">
        <v>1107</v>
      </c>
      <c r="F286" s="44" t="s">
        <v>989</v>
      </c>
      <c r="G286" s="45" t="s">
        <v>1108</v>
      </c>
      <c r="H286" s="62">
        <v>675675676</v>
      </c>
      <c r="I286" s="60">
        <v>54054054</v>
      </c>
      <c r="J286" s="60">
        <v>80270270</v>
      </c>
      <c r="K286" s="60">
        <f t="shared" si="45"/>
        <v>810000000</v>
      </c>
      <c r="L286" s="75"/>
      <c r="M286" s="83">
        <v>0</v>
      </c>
      <c r="N286" s="82">
        <v>0</v>
      </c>
      <c r="O286" s="82">
        <v>0</v>
      </c>
      <c r="P286" s="82">
        <v>0</v>
      </c>
      <c r="Q286" s="82">
        <v>0</v>
      </c>
      <c r="R286" s="82">
        <v>0</v>
      </c>
      <c r="S286" s="82">
        <v>0</v>
      </c>
      <c r="T286" s="82">
        <v>0</v>
      </c>
      <c r="U286" s="82">
        <v>0</v>
      </c>
      <c r="V286" s="82">
        <v>0</v>
      </c>
      <c r="W286" s="82">
        <v>0</v>
      </c>
      <c r="X286" s="82">
        <f t="shared" si="46"/>
        <v>810000000</v>
      </c>
      <c r="Y286" s="82"/>
      <c r="Z286" s="29">
        <f t="shared" si="47"/>
        <v>-80270270</v>
      </c>
      <c r="AA286" s="82">
        <f t="shared" si="50"/>
        <v>-14594594.6</v>
      </c>
      <c r="AB286" s="82">
        <f t="shared" si="49"/>
        <v>715135135.39999998</v>
      </c>
      <c r="AC286" s="98">
        <v>0</v>
      </c>
      <c r="AD286" s="15"/>
    </row>
    <row r="287" spans="1:30" s="45" customFormat="1">
      <c r="A287" s="43">
        <f t="shared" si="48"/>
        <v>283</v>
      </c>
      <c r="B287" s="15" t="s">
        <v>1066</v>
      </c>
      <c r="C287" s="22">
        <v>45974</v>
      </c>
      <c r="D287" s="48">
        <v>2025</v>
      </c>
      <c r="E287" s="44" t="s">
        <v>98</v>
      </c>
      <c r="F287" s="44" t="s">
        <v>470</v>
      </c>
      <c r="G287" s="44" t="s">
        <v>471</v>
      </c>
      <c r="H287" s="60">
        <v>90750000</v>
      </c>
      <c r="I287" s="60">
        <v>6300000</v>
      </c>
      <c r="J287" s="60">
        <v>10675500</v>
      </c>
      <c r="K287" s="60">
        <f t="shared" ref="K287" si="51">SUM(H287:J287)</f>
        <v>107725500</v>
      </c>
      <c r="L287" s="75"/>
      <c r="M287" s="83">
        <v>0</v>
      </c>
      <c r="N287" s="82">
        <v>0</v>
      </c>
      <c r="O287" s="82">
        <v>95109000</v>
      </c>
      <c r="P287" s="82">
        <v>0</v>
      </c>
      <c r="Q287" s="82">
        <v>0</v>
      </c>
      <c r="R287" s="82">
        <v>0</v>
      </c>
      <c r="S287" s="82">
        <v>0</v>
      </c>
      <c r="T287" s="82">
        <v>0</v>
      </c>
      <c r="U287" s="82">
        <v>0</v>
      </c>
      <c r="V287" s="82">
        <v>0</v>
      </c>
      <c r="W287" s="82">
        <v>12616500</v>
      </c>
      <c r="X287" s="82">
        <f t="shared" si="46"/>
        <v>0</v>
      </c>
      <c r="Y287" s="82"/>
      <c r="Z287" s="29">
        <f t="shared" si="47"/>
        <v>-10675500</v>
      </c>
      <c r="AA287" s="82">
        <f t="shared" si="50"/>
        <v>-1941000</v>
      </c>
      <c r="AB287" s="82">
        <f t="shared" si="49"/>
        <v>95109000</v>
      </c>
      <c r="AC287" s="98">
        <v>0</v>
      </c>
      <c r="AD287" s="15"/>
    </row>
    <row r="288" spans="1:30" s="45" customFormat="1">
      <c r="A288" s="43">
        <f t="shared" si="48"/>
        <v>284</v>
      </c>
      <c r="B288" s="15" t="s">
        <v>1109</v>
      </c>
      <c r="C288" s="22">
        <v>45975</v>
      </c>
      <c r="D288" s="48">
        <v>2025</v>
      </c>
      <c r="E288" s="44" t="s">
        <v>66</v>
      </c>
      <c r="F288" s="44" t="s">
        <v>1002</v>
      </c>
      <c r="G288" s="45" t="s">
        <v>19</v>
      </c>
      <c r="H288" s="62">
        <v>5670326000</v>
      </c>
      <c r="I288" s="60">
        <v>396922820</v>
      </c>
      <c r="J288" s="60">
        <v>667397370</v>
      </c>
      <c r="K288" s="60">
        <f t="shared" ref="K288:K301" si="52">SUM(H288:J288)</f>
        <v>6734646190</v>
      </c>
      <c r="L288" s="75">
        <v>45994</v>
      </c>
      <c r="M288" s="83">
        <v>0</v>
      </c>
      <c r="N288" s="82">
        <v>0</v>
      </c>
      <c r="O288" s="82">
        <v>5915567599</v>
      </c>
      <c r="P288" s="82">
        <v>0</v>
      </c>
      <c r="Q288" s="82">
        <v>0</v>
      </c>
      <c r="R288" s="82">
        <v>0</v>
      </c>
      <c r="S288" s="82">
        <v>0</v>
      </c>
      <c r="T288" s="82">
        <v>0</v>
      </c>
      <c r="U288" s="82">
        <v>0</v>
      </c>
      <c r="V288" s="82">
        <v>0</v>
      </c>
      <c r="W288" s="82">
        <v>819078591</v>
      </c>
      <c r="X288" s="82">
        <f t="shared" si="46"/>
        <v>0</v>
      </c>
      <c r="Y288" s="82"/>
      <c r="Z288" s="29">
        <f t="shared" si="47"/>
        <v>-667397370</v>
      </c>
      <c r="AA288" s="82">
        <f t="shared" si="50"/>
        <v>-121344976.40000001</v>
      </c>
      <c r="AB288" s="82">
        <f t="shared" si="49"/>
        <v>5945903843.6000004</v>
      </c>
      <c r="AC288" s="98">
        <v>0</v>
      </c>
      <c r="AD288" s="15"/>
    </row>
    <row r="289" spans="1:30" s="45" customFormat="1">
      <c r="A289" s="43">
        <f t="shared" si="48"/>
        <v>285</v>
      </c>
      <c r="B289" s="15" t="s">
        <v>1110</v>
      </c>
      <c r="C289" s="22">
        <v>45975</v>
      </c>
      <c r="D289" s="14">
        <v>2025</v>
      </c>
      <c r="E289" s="44" t="s">
        <v>19</v>
      </c>
      <c r="F289" s="44" t="s">
        <v>19</v>
      </c>
      <c r="G289" s="45" t="s">
        <v>1111</v>
      </c>
      <c r="H289" s="62">
        <v>0</v>
      </c>
      <c r="I289" s="60">
        <v>0</v>
      </c>
      <c r="J289" s="60">
        <v>0</v>
      </c>
      <c r="K289" s="60">
        <f t="shared" si="52"/>
        <v>0</v>
      </c>
      <c r="L289" s="75"/>
      <c r="M289" s="83">
        <v>0</v>
      </c>
      <c r="N289" s="82">
        <v>0</v>
      </c>
      <c r="O289" s="82">
        <v>0</v>
      </c>
      <c r="P289" s="82">
        <v>0</v>
      </c>
      <c r="Q289" s="82">
        <v>0</v>
      </c>
      <c r="R289" s="82">
        <v>0</v>
      </c>
      <c r="S289" s="82">
        <v>0</v>
      </c>
      <c r="T289" s="82">
        <v>0</v>
      </c>
      <c r="U289" s="82">
        <v>0</v>
      </c>
      <c r="V289" s="82">
        <v>0</v>
      </c>
      <c r="W289" s="82">
        <v>0</v>
      </c>
      <c r="X289" s="82">
        <f t="shared" si="46"/>
        <v>0</v>
      </c>
      <c r="Y289" s="82"/>
      <c r="Z289" s="29">
        <f t="shared" si="47"/>
        <v>0</v>
      </c>
      <c r="AA289" s="82">
        <f t="shared" si="50"/>
        <v>0</v>
      </c>
      <c r="AB289" s="82">
        <f t="shared" si="49"/>
        <v>0</v>
      </c>
      <c r="AC289" s="98">
        <v>0</v>
      </c>
      <c r="AD289" s="15"/>
    </row>
    <row r="290" spans="1:30" s="45" customFormat="1">
      <c r="A290" s="43">
        <f t="shared" si="48"/>
        <v>286</v>
      </c>
      <c r="B290" s="15" t="s">
        <v>1067</v>
      </c>
      <c r="C290" s="22">
        <v>45979</v>
      </c>
      <c r="D290" s="48">
        <v>2025</v>
      </c>
      <c r="E290" s="44" t="s">
        <v>98</v>
      </c>
      <c r="F290" s="44" t="s">
        <v>477</v>
      </c>
      <c r="G290" s="45" t="s">
        <v>478</v>
      </c>
      <c r="H290" s="62">
        <v>199962000</v>
      </c>
      <c r="I290" s="60">
        <v>19996200</v>
      </c>
      <c r="J290" s="60">
        <v>24195402</v>
      </c>
      <c r="K290" s="60">
        <f t="shared" si="52"/>
        <v>244153602</v>
      </c>
      <c r="L290" s="75">
        <v>46008</v>
      </c>
      <c r="M290" s="83">
        <v>0</v>
      </c>
      <c r="N290" s="82">
        <v>0</v>
      </c>
      <c r="O290" s="82">
        <v>215559036</v>
      </c>
      <c r="P290" s="82">
        <v>0</v>
      </c>
      <c r="Q290" s="82">
        <v>0</v>
      </c>
      <c r="R290" s="82">
        <v>0</v>
      </c>
      <c r="S290" s="82">
        <v>0</v>
      </c>
      <c r="T290" s="82">
        <v>0</v>
      </c>
      <c r="U290" s="82">
        <v>0</v>
      </c>
      <c r="V290" s="82">
        <v>0</v>
      </c>
      <c r="W290" s="82">
        <v>28594566</v>
      </c>
      <c r="X290" s="82">
        <f t="shared" si="46"/>
        <v>0</v>
      </c>
      <c r="Y290" s="82"/>
      <c r="Z290" s="29">
        <f t="shared" si="47"/>
        <v>-24195402</v>
      </c>
      <c r="AA290" s="82">
        <f t="shared" si="50"/>
        <v>-4399164</v>
      </c>
      <c r="AB290" s="82">
        <f t="shared" si="49"/>
        <v>215559036</v>
      </c>
      <c r="AC290" s="98">
        <v>0</v>
      </c>
      <c r="AD290" s="15"/>
    </row>
    <row r="291" spans="1:30" s="120" customFormat="1">
      <c r="A291" s="107">
        <f t="shared" si="48"/>
        <v>287</v>
      </c>
      <c r="B291" s="50" t="s">
        <v>1112</v>
      </c>
      <c r="C291" s="124">
        <v>45979</v>
      </c>
      <c r="D291" s="48">
        <v>2024</v>
      </c>
      <c r="E291" s="77" t="s">
        <v>19</v>
      </c>
      <c r="F291" s="77" t="s">
        <v>19</v>
      </c>
      <c r="G291" s="120" t="s">
        <v>1113</v>
      </c>
      <c r="H291" s="114">
        <v>0</v>
      </c>
      <c r="I291" s="108">
        <v>0</v>
      </c>
      <c r="J291" s="108">
        <v>0</v>
      </c>
      <c r="K291" s="108">
        <f t="shared" si="52"/>
        <v>0</v>
      </c>
      <c r="L291" s="115"/>
      <c r="M291" s="116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X291" s="105">
        <f t="shared" si="46"/>
        <v>0</v>
      </c>
      <c r="Y291" s="105"/>
      <c r="Z291" s="117">
        <f t="shared" si="47"/>
        <v>0</v>
      </c>
      <c r="AA291" s="105">
        <f t="shared" si="50"/>
        <v>0</v>
      </c>
      <c r="AB291" s="105">
        <f t="shared" si="49"/>
        <v>0</v>
      </c>
      <c r="AC291" s="119">
        <v>0</v>
      </c>
      <c r="AD291" s="50"/>
    </row>
    <row r="292" spans="1:30" s="45" customFormat="1">
      <c r="A292" s="43">
        <f t="shared" si="48"/>
        <v>288</v>
      </c>
      <c r="B292" s="15" t="s">
        <v>1114</v>
      </c>
      <c r="C292" s="22">
        <v>45979</v>
      </c>
      <c r="D292" s="48">
        <v>2025</v>
      </c>
      <c r="E292" s="44" t="s">
        <v>98</v>
      </c>
      <c r="F292" s="44" t="s">
        <v>785</v>
      </c>
      <c r="G292" s="45" t="s">
        <v>877</v>
      </c>
      <c r="H292" s="62">
        <v>51940430</v>
      </c>
      <c r="I292" s="60">
        <v>1446800</v>
      </c>
      <c r="J292" s="60">
        <v>5872595</v>
      </c>
      <c r="K292" s="60">
        <f t="shared" si="52"/>
        <v>59259825</v>
      </c>
      <c r="L292" s="75"/>
      <c r="M292" s="83">
        <v>0</v>
      </c>
      <c r="N292" s="82">
        <v>0</v>
      </c>
      <c r="O292" s="82">
        <v>52319485</v>
      </c>
      <c r="P292" s="82">
        <v>0</v>
      </c>
      <c r="Q292" s="82">
        <v>0</v>
      </c>
      <c r="R292" s="82">
        <v>0</v>
      </c>
      <c r="S292" s="82">
        <v>0</v>
      </c>
      <c r="T292" s="82">
        <v>0</v>
      </c>
      <c r="U292" s="82">
        <v>0</v>
      </c>
      <c r="V292" s="82">
        <v>0</v>
      </c>
      <c r="W292" s="82">
        <v>6940340</v>
      </c>
      <c r="X292" s="82">
        <f t="shared" si="46"/>
        <v>0</v>
      </c>
      <c r="Y292" s="82"/>
      <c r="Z292" s="29">
        <f t="shared" si="47"/>
        <v>-5872595</v>
      </c>
      <c r="AA292" s="82">
        <f t="shared" si="50"/>
        <v>-1067744.6000000001</v>
      </c>
      <c r="AB292" s="82">
        <f t="shared" si="49"/>
        <v>52319485.399999999</v>
      </c>
      <c r="AC292" s="98">
        <v>0</v>
      </c>
      <c r="AD292" s="15"/>
    </row>
    <row r="293" spans="1:30" s="45" customFormat="1">
      <c r="A293" s="43">
        <f t="shared" si="48"/>
        <v>289</v>
      </c>
      <c r="B293" s="15" t="s">
        <v>1069</v>
      </c>
      <c r="C293" s="22">
        <v>45980</v>
      </c>
      <c r="D293" s="48">
        <v>2025</v>
      </c>
      <c r="E293" s="44" t="s">
        <v>98</v>
      </c>
      <c r="F293" s="44" t="s">
        <v>300</v>
      </c>
      <c r="G293" s="45" t="s">
        <v>473</v>
      </c>
      <c r="H293" s="62">
        <v>163950000</v>
      </c>
      <c r="I293" s="60">
        <v>10829250</v>
      </c>
      <c r="J293" s="60">
        <v>19225718</v>
      </c>
      <c r="K293" s="60">
        <f t="shared" si="52"/>
        <v>194004968</v>
      </c>
      <c r="L293" s="75"/>
      <c r="M293" s="83">
        <v>0</v>
      </c>
      <c r="N293" s="82">
        <v>0</v>
      </c>
      <c r="O293" s="82">
        <v>171283665</v>
      </c>
      <c r="P293" s="82">
        <v>0</v>
      </c>
      <c r="Q293" s="82">
        <v>0</v>
      </c>
      <c r="R293" s="82">
        <v>0</v>
      </c>
      <c r="S293" s="82">
        <v>0</v>
      </c>
      <c r="T293" s="82">
        <v>0</v>
      </c>
      <c r="U293" s="82">
        <v>0</v>
      </c>
      <c r="V293" s="82">
        <v>0</v>
      </c>
      <c r="W293" s="82">
        <v>22721303</v>
      </c>
      <c r="X293" s="82">
        <f t="shared" si="46"/>
        <v>0</v>
      </c>
      <c r="Y293" s="82"/>
      <c r="Z293" s="29">
        <f t="shared" si="47"/>
        <v>-19225718</v>
      </c>
      <c r="AA293" s="82">
        <f t="shared" si="50"/>
        <v>-3495585</v>
      </c>
      <c r="AB293" s="82">
        <f t="shared" si="49"/>
        <v>171283665</v>
      </c>
      <c r="AC293" s="98">
        <v>0</v>
      </c>
      <c r="AD293" s="15"/>
    </row>
    <row r="294" spans="1:30" s="120" customFormat="1">
      <c r="A294" s="107">
        <f t="shared" si="48"/>
        <v>290</v>
      </c>
      <c r="B294" s="50" t="s">
        <v>1115</v>
      </c>
      <c r="C294" s="124">
        <v>45980</v>
      </c>
      <c r="D294" s="48">
        <v>2024</v>
      </c>
      <c r="E294" s="77" t="s">
        <v>19</v>
      </c>
      <c r="F294" s="77" t="s">
        <v>19</v>
      </c>
      <c r="G294" s="120" t="s">
        <v>1116</v>
      </c>
      <c r="H294" s="114">
        <v>0</v>
      </c>
      <c r="I294" s="108">
        <v>0</v>
      </c>
      <c r="J294" s="108">
        <v>0</v>
      </c>
      <c r="K294" s="108">
        <f t="shared" si="52"/>
        <v>0</v>
      </c>
      <c r="L294" s="115"/>
      <c r="M294" s="116">
        <v>0</v>
      </c>
      <c r="N294" s="105">
        <v>0</v>
      </c>
      <c r="O294" s="105">
        <v>0</v>
      </c>
      <c r="P294" s="105">
        <v>0</v>
      </c>
      <c r="Q294" s="105">
        <v>0</v>
      </c>
      <c r="R294" s="105">
        <v>0</v>
      </c>
      <c r="S294" s="105">
        <v>0</v>
      </c>
      <c r="T294" s="105">
        <v>0</v>
      </c>
      <c r="U294" s="105">
        <v>0</v>
      </c>
      <c r="V294" s="105">
        <v>0</v>
      </c>
      <c r="W294" s="105">
        <v>0</v>
      </c>
      <c r="X294" s="105">
        <f t="shared" si="46"/>
        <v>0</v>
      </c>
      <c r="Y294" s="105"/>
      <c r="Z294" s="117">
        <f t="shared" si="47"/>
        <v>0</v>
      </c>
      <c r="AA294" s="105">
        <f t="shared" si="50"/>
        <v>0</v>
      </c>
      <c r="AB294" s="105">
        <f t="shared" si="49"/>
        <v>0</v>
      </c>
      <c r="AC294" s="119">
        <v>0</v>
      </c>
      <c r="AD294" s="50"/>
    </row>
    <row r="295" spans="1:30" s="45" customFormat="1">
      <c r="A295" s="43">
        <f t="shared" si="48"/>
        <v>291</v>
      </c>
      <c r="B295" s="15" t="s">
        <v>1130</v>
      </c>
      <c r="C295" s="22">
        <v>45981</v>
      </c>
      <c r="D295" s="48">
        <v>2025</v>
      </c>
      <c r="E295" s="44" t="s">
        <v>1117</v>
      </c>
      <c r="F295" s="44" t="s">
        <v>989</v>
      </c>
      <c r="G295" s="45" t="s">
        <v>1118</v>
      </c>
      <c r="H295" s="62">
        <v>625625626</v>
      </c>
      <c r="I295" s="60">
        <v>50050050</v>
      </c>
      <c r="J295" s="60">
        <v>74324324</v>
      </c>
      <c r="K295" s="60">
        <f t="shared" si="52"/>
        <v>750000000</v>
      </c>
      <c r="L295" s="75">
        <v>45995</v>
      </c>
      <c r="M295" s="83">
        <v>0</v>
      </c>
      <c r="N295" s="82">
        <v>0</v>
      </c>
      <c r="O295" s="82">
        <v>662162162.44000006</v>
      </c>
      <c r="P295" s="82">
        <v>0</v>
      </c>
      <c r="Q295" s="82">
        <v>0</v>
      </c>
      <c r="R295" s="82">
        <v>0</v>
      </c>
      <c r="S295" s="82">
        <v>0</v>
      </c>
      <c r="T295" s="82">
        <v>0</v>
      </c>
      <c r="U295" s="82">
        <v>0</v>
      </c>
      <c r="V295" s="82">
        <v>0</v>
      </c>
      <c r="W295" s="82">
        <v>87837837.559999943</v>
      </c>
      <c r="X295" s="82">
        <f t="shared" si="46"/>
        <v>0</v>
      </c>
      <c r="Y295" s="82"/>
      <c r="Z295" s="29">
        <f t="shared" si="47"/>
        <v>-74324324</v>
      </c>
      <c r="AA295" s="82">
        <f t="shared" si="50"/>
        <v>-13513513.52</v>
      </c>
      <c r="AB295" s="82">
        <f t="shared" si="49"/>
        <v>662162162.48000002</v>
      </c>
      <c r="AC295" s="98">
        <v>0</v>
      </c>
      <c r="AD295" s="15"/>
    </row>
    <row r="296" spans="1:30" s="120" customFormat="1">
      <c r="A296" s="107">
        <f t="shared" si="48"/>
        <v>292</v>
      </c>
      <c r="B296" s="50" t="s">
        <v>1141</v>
      </c>
      <c r="C296" s="124">
        <v>45999</v>
      </c>
      <c r="D296" s="48">
        <v>2024</v>
      </c>
      <c r="E296" s="77" t="s">
        <v>19</v>
      </c>
      <c r="F296" s="77" t="s">
        <v>19</v>
      </c>
      <c r="G296" s="120" t="s">
        <v>1145</v>
      </c>
      <c r="H296" s="114">
        <v>0</v>
      </c>
      <c r="I296" s="108">
        <v>0</v>
      </c>
      <c r="J296" s="108">
        <v>0</v>
      </c>
      <c r="K296" s="108">
        <f t="shared" si="52"/>
        <v>0</v>
      </c>
      <c r="L296" s="115"/>
      <c r="M296" s="116">
        <v>0</v>
      </c>
      <c r="N296" s="105">
        <v>0</v>
      </c>
      <c r="O296" s="105">
        <v>0</v>
      </c>
      <c r="P296" s="105">
        <v>0</v>
      </c>
      <c r="Q296" s="105">
        <v>0</v>
      </c>
      <c r="R296" s="105">
        <v>0</v>
      </c>
      <c r="S296" s="105">
        <v>0</v>
      </c>
      <c r="T296" s="105">
        <v>0</v>
      </c>
      <c r="U296" s="105">
        <v>0</v>
      </c>
      <c r="V296" s="105">
        <v>0</v>
      </c>
      <c r="W296" s="105">
        <v>0</v>
      </c>
      <c r="X296" s="105">
        <f t="shared" si="46"/>
        <v>0</v>
      </c>
      <c r="Y296" s="105"/>
      <c r="Z296" s="117">
        <f t="shared" si="47"/>
        <v>0</v>
      </c>
      <c r="AA296" s="105">
        <f t="shared" si="50"/>
        <v>0</v>
      </c>
      <c r="AB296" s="105">
        <f t="shared" si="49"/>
        <v>0</v>
      </c>
      <c r="AC296" s="119">
        <v>0</v>
      </c>
      <c r="AD296" s="50"/>
    </row>
    <row r="297" spans="1:30" s="120" customFormat="1">
      <c r="A297" s="107">
        <f t="shared" si="48"/>
        <v>293</v>
      </c>
      <c r="B297" s="50" t="s">
        <v>1142</v>
      </c>
      <c r="C297" s="124">
        <v>45999</v>
      </c>
      <c r="D297" s="48">
        <v>2024</v>
      </c>
      <c r="E297" s="77" t="s">
        <v>19</v>
      </c>
      <c r="F297" s="77" t="s">
        <v>19</v>
      </c>
      <c r="G297" s="120" t="s">
        <v>1146</v>
      </c>
      <c r="H297" s="114">
        <v>0</v>
      </c>
      <c r="I297" s="108">
        <v>0</v>
      </c>
      <c r="J297" s="108">
        <v>0</v>
      </c>
      <c r="K297" s="108">
        <f t="shared" si="52"/>
        <v>0</v>
      </c>
      <c r="L297" s="115"/>
      <c r="M297" s="116">
        <v>0</v>
      </c>
      <c r="N297" s="105">
        <v>0</v>
      </c>
      <c r="O297" s="105">
        <v>0</v>
      </c>
      <c r="P297" s="105">
        <v>0</v>
      </c>
      <c r="Q297" s="105">
        <v>0</v>
      </c>
      <c r="R297" s="105">
        <v>0</v>
      </c>
      <c r="S297" s="105">
        <v>0</v>
      </c>
      <c r="T297" s="105">
        <v>0</v>
      </c>
      <c r="U297" s="105">
        <v>0</v>
      </c>
      <c r="V297" s="105">
        <v>0</v>
      </c>
      <c r="W297" s="105">
        <v>0</v>
      </c>
      <c r="X297" s="105">
        <f t="shared" si="46"/>
        <v>0</v>
      </c>
      <c r="Y297" s="105"/>
      <c r="Z297" s="117">
        <f t="shared" si="47"/>
        <v>0</v>
      </c>
      <c r="AA297" s="105">
        <f t="shared" si="50"/>
        <v>0</v>
      </c>
      <c r="AB297" s="105">
        <f t="shared" si="49"/>
        <v>0</v>
      </c>
      <c r="AC297" s="119">
        <v>0</v>
      </c>
      <c r="AD297" s="50"/>
    </row>
    <row r="298" spans="1:30" s="120" customFormat="1">
      <c r="A298" s="107">
        <f t="shared" si="48"/>
        <v>294</v>
      </c>
      <c r="B298" s="50" t="s">
        <v>1119</v>
      </c>
      <c r="C298" s="124">
        <v>45982</v>
      </c>
      <c r="D298" s="48">
        <v>2024</v>
      </c>
      <c r="E298" s="77" t="s">
        <v>19</v>
      </c>
      <c r="F298" s="77" t="s">
        <v>19</v>
      </c>
      <c r="G298" s="120" t="s">
        <v>1120</v>
      </c>
      <c r="H298" s="114">
        <v>0</v>
      </c>
      <c r="I298" s="108">
        <v>0</v>
      </c>
      <c r="J298" s="108">
        <v>0</v>
      </c>
      <c r="K298" s="108">
        <f t="shared" si="52"/>
        <v>0</v>
      </c>
      <c r="L298" s="115"/>
      <c r="M298" s="116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X298" s="105">
        <f t="shared" si="46"/>
        <v>0</v>
      </c>
      <c r="Y298" s="105"/>
      <c r="Z298" s="117">
        <f t="shared" si="47"/>
        <v>0</v>
      </c>
      <c r="AA298" s="105">
        <f t="shared" si="50"/>
        <v>0</v>
      </c>
      <c r="AB298" s="105">
        <f t="shared" si="49"/>
        <v>0</v>
      </c>
      <c r="AC298" s="119">
        <v>0</v>
      </c>
      <c r="AD298" s="50"/>
    </row>
    <row r="299" spans="1:30" s="120" customFormat="1">
      <c r="A299" s="107">
        <f t="shared" si="48"/>
        <v>295</v>
      </c>
      <c r="B299" s="50" t="s">
        <v>1121</v>
      </c>
      <c r="C299" s="124">
        <v>45982</v>
      </c>
      <c r="D299" s="48">
        <v>2024</v>
      </c>
      <c r="E299" s="77" t="s">
        <v>19</v>
      </c>
      <c r="F299" s="77" t="s">
        <v>19</v>
      </c>
      <c r="G299" s="120" t="s">
        <v>1122</v>
      </c>
      <c r="H299" s="114">
        <v>0</v>
      </c>
      <c r="I299" s="108">
        <v>0</v>
      </c>
      <c r="J299" s="108">
        <v>0</v>
      </c>
      <c r="K299" s="108">
        <f t="shared" si="52"/>
        <v>0</v>
      </c>
      <c r="L299" s="115"/>
      <c r="M299" s="116">
        <v>0</v>
      </c>
      <c r="N299" s="105">
        <v>0</v>
      </c>
      <c r="O299" s="105">
        <v>0</v>
      </c>
      <c r="P299" s="105">
        <v>0</v>
      </c>
      <c r="Q299" s="105">
        <v>0</v>
      </c>
      <c r="R299" s="105">
        <v>0</v>
      </c>
      <c r="S299" s="105">
        <v>0</v>
      </c>
      <c r="T299" s="105">
        <v>0</v>
      </c>
      <c r="U299" s="105">
        <v>0</v>
      </c>
      <c r="V299" s="105">
        <v>0</v>
      </c>
      <c r="W299" s="105">
        <v>0</v>
      </c>
      <c r="X299" s="105">
        <f t="shared" si="46"/>
        <v>0</v>
      </c>
      <c r="Y299" s="105"/>
      <c r="Z299" s="117">
        <f t="shared" si="47"/>
        <v>0</v>
      </c>
      <c r="AA299" s="105">
        <f t="shared" si="50"/>
        <v>0</v>
      </c>
      <c r="AB299" s="105">
        <f t="shared" si="49"/>
        <v>0</v>
      </c>
      <c r="AC299" s="119">
        <v>0</v>
      </c>
      <c r="AD299" s="50"/>
    </row>
    <row r="300" spans="1:30" s="120" customFormat="1">
      <c r="A300" s="107">
        <f t="shared" si="48"/>
        <v>296</v>
      </c>
      <c r="B300" s="50" t="s">
        <v>1123</v>
      </c>
      <c r="C300" s="124">
        <v>45983</v>
      </c>
      <c r="D300" s="48">
        <v>2024</v>
      </c>
      <c r="E300" s="77" t="s">
        <v>19</v>
      </c>
      <c r="F300" s="77" t="s">
        <v>64</v>
      </c>
      <c r="G300" s="120" t="s">
        <v>1124</v>
      </c>
      <c r="H300" s="114">
        <v>0</v>
      </c>
      <c r="I300" s="108">
        <v>0</v>
      </c>
      <c r="J300" s="108">
        <v>0</v>
      </c>
      <c r="K300" s="108">
        <f t="shared" si="52"/>
        <v>0</v>
      </c>
      <c r="L300" s="115"/>
      <c r="M300" s="116">
        <v>0</v>
      </c>
      <c r="N300" s="105">
        <v>0</v>
      </c>
      <c r="O300" s="105">
        <v>0</v>
      </c>
      <c r="P300" s="105">
        <v>0</v>
      </c>
      <c r="Q300" s="105">
        <v>0</v>
      </c>
      <c r="R300" s="105">
        <v>0</v>
      </c>
      <c r="S300" s="105">
        <v>0</v>
      </c>
      <c r="T300" s="105">
        <v>0</v>
      </c>
      <c r="U300" s="105">
        <v>0</v>
      </c>
      <c r="V300" s="105">
        <v>0</v>
      </c>
      <c r="W300" s="105">
        <v>0</v>
      </c>
      <c r="X300" s="105">
        <f t="shared" si="46"/>
        <v>0</v>
      </c>
      <c r="Y300" s="105"/>
      <c r="Z300" s="117">
        <f t="shared" si="47"/>
        <v>0</v>
      </c>
      <c r="AA300" s="105">
        <f t="shared" si="50"/>
        <v>0</v>
      </c>
      <c r="AB300" s="105">
        <f t="shared" si="49"/>
        <v>0</v>
      </c>
      <c r="AC300" s="119">
        <v>0</v>
      </c>
      <c r="AD300" s="50"/>
    </row>
    <row r="301" spans="1:30" s="120" customFormat="1">
      <c r="A301" s="107">
        <f t="shared" si="48"/>
        <v>297</v>
      </c>
      <c r="B301" s="50" t="s">
        <v>1125</v>
      </c>
      <c r="C301" s="124">
        <v>45983</v>
      </c>
      <c r="D301" s="48">
        <v>2024</v>
      </c>
      <c r="E301" s="77" t="s">
        <v>19</v>
      </c>
      <c r="F301" s="77" t="s">
        <v>19</v>
      </c>
      <c r="G301" s="120" t="s">
        <v>1126</v>
      </c>
      <c r="H301" s="114">
        <v>0</v>
      </c>
      <c r="I301" s="108">
        <v>0</v>
      </c>
      <c r="J301" s="108">
        <v>0</v>
      </c>
      <c r="K301" s="108">
        <f t="shared" si="52"/>
        <v>0</v>
      </c>
      <c r="L301" s="115"/>
      <c r="M301" s="116">
        <v>0</v>
      </c>
      <c r="N301" s="105">
        <v>0</v>
      </c>
      <c r="O301" s="105">
        <v>0</v>
      </c>
      <c r="P301" s="105">
        <v>0</v>
      </c>
      <c r="Q301" s="105">
        <v>0</v>
      </c>
      <c r="R301" s="105">
        <v>0</v>
      </c>
      <c r="S301" s="105">
        <v>0</v>
      </c>
      <c r="T301" s="105">
        <v>0</v>
      </c>
      <c r="U301" s="105">
        <v>0</v>
      </c>
      <c r="V301" s="105">
        <v>0</v>
      </c>
      <c r="W301" s="105">
        <v>0</v>
      </c>
      <c r="X301" s="105">
        <f t="shared" si="46"/>
        <v>0</v>
      </c>
      <c r="Y301" s="105"/>
      <c r="Z301" s="117">
        <f t="shared" si="47"/>
        <v>0</v>
      </c>
      <c r="AA301" s="105">
        <f t="shared" si="50"/>
        <v>0</v>
      </c>
      <c r="AB301" s="105">
        <f t="shared" si="49"/>
        <v>0</v>
      </c>
      <c r="AC301" s="119">
        <v>0</v>
      </c>
      <c r="AD301" s="50"/>
    </row>
    <row r="303" spans="1:30">
      <c r="H303" s="71">
        <f>SUBTOTAL(9,H5:H301)</f>
        <v>36645424731</v>
      </c>
      <c r="I303" s="71">
        <f>SUBTOTAL(9,I5:I301)</f>
        <v>1964895450</v>
      </c>
      <c r="J303" s="71">
        <f>SUBTOTAL(9,J5:J301)</f>
        <v>3387129765</v>
      </c>
      <c r="K303" s="71">
        <f>SUBTOTAL(9,K5:K301)</f>
        <v>41997449946</v>
      </c>
      <c r="M303" s="71">
        <f t="shared" ref="M303:X303" si="53">SUBTOTAL(9,M5:M301)</f>
        <v>3219609931</v>
      </c>
      <c r="N303" s="71">
        <f t="shared" si="53"/>
        <v>4487221366</v>
      </c>
      <c r="O303" s="71">
        <f>SUBTOTAL(9,O5:O301)</f>
        <v>16837158203.34</v>
      </c>
      <c r="P303" s="71">
        <f t="shared" si="53"/>
        <v>3819509838.0999999</v>
      </c>
      <c r="Q303" s="71">
        <f t="shared" si="53"/>
        <v>0</v>
      </c>
      <c r="R303" s="71">
        <f t="shared" si="53"/>
        <v>3915394741</v>
      </c>
      <c r="S303" s="71">
        <f t="shared" si="53"/>
        <v>2978073566</v>
      </c>
      <c r="T303" s="71">
        <f t="shared" si="53"/>
        <v>0</v>
      </c>
      <c r="U303" s="71">
        <f t="shared" si="53"/>
        <v>1151031287</v>
      </c>
      <c r="V303" s="71">
        <f t="shared" si="53"/>
        <v>0</v>
      </c>
      <c r="W303" s="71">
        <f t="shared" si="53"/>
        <v>3154953380.5599999</v>
      </c>
      <c r="X303" s="71">
        <f t="shared" si="53"/>
        <v>2434497633</v>
      </c>
      <c r="Z303" s="71">
        <f>SUBTOTAL(9,Z5:Z301)</f>
        <v>-3387129765</v>
      </c>
      <c r="AA303" s="71">
        <f>SUBTOTAL(9,AA5:AA301)</f>
        <v>-557836043.73999989</v>
      </c>
      <c r="AB303" s="71">
        <f>SUBTOTAL(9,AB5:AB301)</f>
        <v>24431355367.079998</v>
      </c>
      <c r="AC303" s="71">
        <f>SUBTOTAL(9,AC5:AC301)</f>
        <v>11182020401.180002</v>
      </c>
    </row>
    <row r="304" spans="1:30">
      <c r="H304" s="71"/>
      <c r="I304" s="71"/>
      <c r="J304" s="71"/>
      <c r="K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Z304" s="71"/>
      <c r="AA304" s="71"/>
      <c r="AB304" s="71"/>
      <c r="AC304" s="71"/>
    </row>
    <row r="305" spans="1:29" s="77" customFormat="1">
      <c r="A305" s="107"/>
      <c r="C305" s="113"/>
      <c r="D305" s="107"/>
      <c r="H305" s="108"/>
      <c r="I305" s="108"/>
      <c r="J305" s="108"/>
      <c r="K305" s="108"/>
      <c r="L305" s="113"/>
      <c r="M305" s="108">
        <v>3219609931</v>
      </c>
      <c r="N305" s="108">
        <v>4487221366</v>
      </c>
      <c r="O305" s="108">
        <v>16837158203.34</v>
      </c>
      <c r="P305" s="108">
        <v>3819509838.0999999</v>
      </c>
      <c r="Q305" s="108"/>
      <c r="R305" s="108">
        <v>3915394741</v>
      </c>
      <c r="S305" s="108">
        <v>2978073566</v>
      </c>
      <c r="T305" s="108"/>
      <c r="U305" s="108">
        <v>1151031287</v>
      </c>
      <c r="V305" s="108"/>
      <c r="W305" s="108">
        <v>3154953380.5599999</v>
      </c>
      <c r="X305" s="108"/>
      <c r="Y305" s="109"/>
      <c r="Z305" s="108"/>
      <c r="AA305" s="108"/>
      <c r="AB305" s="108"/>
      <c r="AC305" s="108"/>
    </row>
    <row r="306" spans="1:29">
      <c r="H306" s="71"/>
      <c r="I306" s="71"/>
      <c r="J306" s="71"/>
      <c r="K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Z306" s="71"/>
      <c r="AA306" s="71"/>
      <c r="AB306" s="71"/>
      <c r="AC306" s="71"/>
    </row>
    <row r="307" spans="1:29" s="46" customFormat="1">
      <c r="A307" s="65"/>
      <c r="C307" s="112"/>
      <c r="D307" s="65"/>
      <c r="H307" s="67"/>
      <c r="I307" s="67"/>
      <c r="J307" s="67"/>
      <c r="K307" s="67"/>
      <c r="L307" s="112"/>
      <c r="M307" s="67">
        <f>M303-M305</f>
        <v>0</v>
      </c>
      <c r="N307" s="67">
        <f>N303-N305</f>
        <v>0</v>
      </c>
      <c r="O307" s="67">
        <f>O303-O305</f>
        <v>0</v>
      </c>
      <c r="P307" s="67">
        <f>P303-P305</f>
        <v>0</v>
      </c>
      <c r="Q307" s="67"/>
      <c r="R307" s="67">
        <f>R303-R305</f>
        <v>0</v>
      </c>
      <c r="S307" s="67">
        <f>S303-S305</f>
        <v>0</v>
      </c>
      <c r="T307" s="67">
        <f>T303-T305</f>
        <v>0</v>
      </c>
      <c r="U307" s="67">
        <f>U303-U305</f>
        <v>0</v>
      </c>
      <c r="V307" s="67"/>
      <c r="W307" s="67">
        <f>W303-W305</f>
        <v>0</v>
      </c>
      <c r="X307" s="67"/>
      <c r="Y307" s="99"/>
      <c r="Z307" s="67"/>
      <c r="AA307" s="67"/>
      <c r="AB307" s="67"/>
      <c r="AC307" s="67"/>
    </row>
    <row r="308" spans="1:29">
      <c r="H308" s="71"/>
      <c r="I308" s="71"/>
      <c r="J308" s="71"/>
      <c r="K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Z308" s="71"/>
      <c r="AA308" s="71"/>
      <c r="AB308" s="71"/>
      <c r="AC308" s="71"/>
    </row>
    <row r="309" spans="1:29" s="46" customFormat="1">
      <c r="A309" s="65"/>
      <c r="B309" s="27" t="s">
        <v>19</v>
      </c>
      <c r="C309" s="125" t="s">
        <v>19</v>
      </c>
      <c r="D309" s="49" t="s">
        <v>19</v>
      </c>
      <c r="E309" s="46" t="s">
        <v>19</v>
      </c>
      <c r="F309" s="46" t="s">
        <v>19</v>
      </c>
      <c r="G309" s="46" t="s">
        <v>19</v>
      </c>
      <c r="H309" s="67" t="s">
        <v>19</v>
      </c>
      <c r="I309" s="67"/>
      <c r="J309" s="67"/>
      <c r="K309" s="67"/>
      <c r="L309" s="112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106"/>
      <c r="Z309" s="106"/>
      <c r="AA309" s="84"/>
      <c r="AB309" s="84"/>
      <c r="AC309" s="84"/>
    </row>
  </sheetData>
  <autoFilter ref="A4:AD301" xr:uid="{1C42E8D8-1C34-4746-A665-F5E7C855E98B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BCA Sho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Harsamto</dc:creator>
  <cp:lastModifiedBy>IT Operations</cp:lastModifiedBy>
  <cp:lastPrinted>2026-02-11T07:29:25Z</cp:lastPrinted>
  <dcterms:created xsi:type="dcterms:W3CDTF">2022-01-08T11:05:28Z</dcterms:created>
  <dcterms:modified xsi:type="dcterms:W3CDTF">2026-04-26T14:39:55Z</dcterms:modified>
</cp:coreProperties>
</file>