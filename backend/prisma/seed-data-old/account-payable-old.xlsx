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-User\Downloads\"/>
    </mc:Choice>
  </mc:AlternateContent>
  <xr:revisionPtr revIDLastSave="0" documentId="13_ncr:1_{BFA3E50E-0327-40BB-AC23-9D68F903EEC5}" xr6:coauthVersionLast="47" xr6:coauthVersionMax="47" xr10:uidLastSave="{00000000-0000-0000-0000-000000000000}"/>
  <bookViews>
    <workbookView xWindow="-103" yWindow="-103" windowWidth="24892" windowHeight="14914" activeTab="2" xr2:uid="{C49568A5-158C-924F-8878-5D75329F86B5}"/>
  </bookViews>
  <sheets>
    <sheet name="AP" sheetId="44" r:id="rId1"/>
    <sheet name="AP PPN WAPU" sheetId="49" r:id="rId2"/>
    <sheet name="AP PPN Non WAPU" sheetId="50" r:id="rId3"/>
  </sheets>
  <definedNames>
    <definedName name="_xlnm._FilterDatabase" localSheetId="0" hidden="1">AP!$A$3:$S$329</definedName>
    <definedName name="_xlnm._FilterDatabase" localSheetId="2" hidden="1">'AP PPN Non WAPU'!$A$4:$O$358</definedName>
    <definedName name="_xlnm._FilterDatabase" localSheetId="1" hidden="1">'AP PPN WAPU'!$A$4:$O$358</definedName>
    <definedName name="_xlnm.Print_Area" localSheetId="0">AP!$A$2:$S$329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7" i="44" l="1"/>
  <c r="S328" i="44" l="1"/>
  <c r="I360" i="50" l="1"/>
  <c r="J360" i="50" l="1"/>
  <c r="H360" i="50"/>
  <c r="K5" i="50"/>
  <c r="K6" i="50" s="1"/>
  <c r="K7" i="50" s="1"/>
  <c r="K8" i="50" s="1"/>
  <c r="K9" i="50" s="1"/>
  <c r="K10" i="50" s="1"/>
  <c r="K11" i="50" s="1"/>
  <c r="K12" i="50" s="1"/>
  <c r="K13" i="50" s="1"/>
  <c r="K14" i="50" s="1"/>
  <c r="K15" i="50" s="1"/>
  <c r="K16" i="50" s="1"/>
  <c r="K17" i="50" s="1"/>
  <c r="K18" i="50" s="1"/>
  <c r="K19" i="50" s="1"/>
  <c r="K20" i="50" s="1"/>
  <c r="K21" i="50" s="1"/>
  <c r="K22" i="50" s="1"/>
  <c r="K23" i="50" s="1"/>
  <c r="K24" i="50" s="1"/>
  <c r="K25" i="50" s="1"/>
  <c r="K26" i="50" s="1"/>
  <c r="K27" i="50" s="1"/>
  <c r="K28" i="50" s="1"/>
  <c r="K29" i="50" s="1"/>
  <c r="K30" i="50" s="1"/>
  <c r="K31" i="50" s="1"/>
  <c r="K32" i="50" s="1"/>
  <c r="K33" i="50" s="1"/>
  <c r="K34" i="50" s="1"/>
  <c r="K35" i="50" s="1"/>
  <c r="K36" i="50" s="1"/>
  <c r="K37" i="50" s="1"/>
  <c r="K38" i="50" s="1"/>
  <c r="K39" i="50" s="1"/>
  <c r="K40" i="50" s="1"/>
  <c r="K41" i="50" s="1"/>
  <c r="K42" i="50" s="1"/>
  <c r="K43" i="50" s="1"/>
  <c r="K44" i="50" s="1"/>
  <c r="K45" i="50" s="1"/>
  <c r="K46" i="50" s="1"/>
  <c r="K47" i="50" s="1"/>
  <c r="K48" i="50" s="1"/>
  <c r="K49" i="50" s="1"/>
  <c r="K50" i="50" s="1"/>
  <c r="K51" i="50" s="1"/>
  <c r="K52" i="50" s="1"/>
  <c r="K53" i="50" s="1"/>
  <c r="K54" i="50" s="1"/>
  <c r="K55" i="50" s="1"/>
  <c r="K56" i="50" s="1"/>
  <c r="K57" i="50" s="1"/>
  <c r="K58" i="50" s="1"/>
  <c r="K59" i="50" s="1"/>
  <c r="K60" i="50" s="1"/>
  <c r="K61" i="50" s="1"/>
  <c r="K62" i="50" s="1"/>
  <c r="K63" i="50" s="1"/>
  <c r="K64" i="50" s="1"/>
  <c r="K65" i="50" s="1"/>
  <c r="K66" i="50" s="1"/>
  <c r="K67" i="50" s="1"/>
  <c r="K68" i="50" s="1"/>
  <c r="K69" i="50" s="1"/>
  <c r="K70" i="50" s="1"/>
  <c r="K71" i="50" s="1"/>
  <c r="K72" i="50" s="1"/>
  <c r="K73" i="50" s="1"/>
  <c r="K74" i="50" s="1"/>
  <c r="K75" i="50" s="1"/>
  <c r="K76" i="50" s="1"/>
  <c r="K77" i="50" s="1"/>
  <c r="K78" i="50" s="1"/>
  <c r="K79" i="50" s="1"/>
  <c r="K80" i="50" s="1"/>
  <c r="K81" i="50" s="1"/>
  <c r="K82" i="50" s="1"/>
  <c r="K83" i="50" s="1"/>
  <c r="K84" i="50" s="1"/>
  <c r="K85" i="50" s="1"/>
  <c r="K86" i="50" s="1"/>
  <c r="K87" i="50" s="1"/>
  <c r="K88" i="50" s="1"/>
  <c r="K89" i="50" s="1"/>
  <c r="K90" i="50" s="1"/>
  <c r="K91" i="50" s="1"/>
  <c r="K92" i="50" s="1"/>
  <c r="K93" i="50" s="1"/>
  <c r="K94" i="50" s="1"/>
  <c r="K95" i="50" s="1"/>
  <c r="K96" i="50" s="1"/>
  <c r="K97" i="50" s="1"/>
  <c r="K98" i="50" s="1"/>
  <c r="K99" i="50" s="1"/>
  <c r="K100" i="50" s="1"/>
  <c r="K101" i="50" s="1"/>
  <c r="K102" i="50" s="1"/>
  <c r="K103" i="50" s="1"/>
  <c r="K104" i="50" s="1"/>
  <c r="K105" i="50" s="1"/>
  <c r="K106" i="50" s="1"/>
  <c r="K107" i="50" s="1"/>
  <c r="K108" i="50" s="1"/>
  <c r="K109" i="50" s="1"/>
  <c r="K110" i="50" s="1"/>
  <c r="K111" i="50" s="1"/>
  <c r="K112" i="50" s="1"/>
  <c r="K113" i="50" s="1"/>
  <c r="K114" i="50" s="1"/>
  <c r="K115" i="50" s="1"/>
  <c r="K116" i="50" s="1"/>
  <c r="K117" i="50" s="1"/>
  <c r="K118" i="50" s="1"/>
  <c r="K119" i="50" s="1"/>
  <c r="K120" i="50" s="1"/>
  <c r="K121" i="50" s="1"/>
  <c r="K122" i="50" s="1"/>
  <c r="K123" i="50" s="1"/>
  <c r="K124" i="50" s="1"/>
  <c r="K125" i="50" s="1"/>
  <c r="K126" i="50" s="1"/>
  <c r="K127" i="50" s="1"/>
  <c r="K128" i="50" s="1"/>
  <c r="K129" i="50" s="1"/>
  <c r="K130" i="50" s="1"/>
  <c r="K131" i="50" s="1"/>
  <c r="K132" i="50" s="1"/>
  <c r="K133" i="50" s="1"/>
  <c r="K134" i="50" s="1"/>
  <c r="K135" i="50" s="1"/>
  <c r="K136" i="50" s="1"/>
  <c r="K137" i="50" s="1"/>
  <c r="K138" i="50" s="1"/>
  <c r="K139" i="50" s="1"/>
  <c r="K140" i="50" s="1"/>
  <c r="K141" i="50" s="1"/>
  <c r="K142" i="50" s="1"/>
  <c r="K143" i="50" s="1"/>
  <c r="K144" i="50" s="1"/>
  <c r="K145" i="50" s="1"/>
  <c r="K146" i="50" s="1"/>
  <c r="K147" i="50" s="1"/>
  <c r="K148" i="50" s="1"/>
  <c r="K149" i="50" s="1"/>
  <c r="K150" i="50" s="1"/>
  <c r="K151" i="50" s="1"/>
  <c r="K152" i="50" s="1"/>
  <c r="K153" i="50" s="1"/>
  <c r="K154" i="50" s="1"/>
  <c r="K155" i="50" s="1"/>
  <c r="K156" i="50" s="1"/>
  <c r="K157" i="50" s="1"/>
  <c r="K158" i="50" s="1"/>
  <c r="K159" i="50" s="1"/>
  <c r="K160" i="50" s="1"/>
  <c r="K161" i="50" s="1"/>
  <c r="K162" i="50" s="1"/>
  <c r="K163" i="50" s="1"/>
  <c r="K164" i="50" s="1"/>
  <c r="K165" i="50" s="1"/>
  <c r="K166" i="50" s="1"/>
  <c r="K167" i="50" s="1"/>
  <c r="K168" i="50" s="1"/>
  <c r="K169" i="50" s="1"/>
  <c r="K170" i="50" s="1"/>
  <c r="K171" i="50" s="1"/>
  <c r="K172" i="50" s="1"/>
  <c r="K173" i="50" s="1"/>
  <c r="K174" i="50" s="1"/>
  <c r="K175" i="50" s="1"/>
  <c r="K176" i="50" s="1"/>
  <c r="K177" i="50" s="1"/>
  <c r="K178" i="50" s="1"/>
  <c r="K179" i="50" s="1"/>
  <c r="K180" i="50" s="1"/>
  <c r="K181" i="50" s="1"/>
  <c r="K182" i="50" s="1"/>
  <c r="K183" i="50" s="1"/>
  <c r="K184" i="50" s="1"/>
  <c r="K185" i="50" s="1"/>
  <c r="K186" i="50" s="1"/>
  <c r="K187" i="50" s="1"/>
  <c r="K188" i="50" s="1"/>
  <c r="K189" i="50" s="1"/>
  <c r="K190" i="50" s="1"/>
  <c r="K191" i="50" s="1"/>
  <c r="K192" i="50" s="1"/>
  <c r="K193" i="50" s="1"/>
  <c r="K194" i="50" s="1"/>
  <c r="K195" i="50" s="1"/>
  <c r="K196" i="50" s="1"/>
  <c r="K197" i="50" s="1"/>
  <c r="K198" i="50" s="1"/>
  <c r="K199" i="50" s="1"/>
  <c r="K200" i="50" s="1"/>
  <c r="K201" i="50" s="1"/>
  <c r="K202" i="50" s="1"/>
  <c r="K203" i="50" s="1"/>
  <c r="K204" i="50" s="1"/>
  <c r="K205" i="50" s="1"/>
  <c r="K206" i="50" s="1"/>
  <c r="K207" i="50" s="1"/>
  <c r="K208" i="50" s="1"/>
  <c r="K209" i="50" s="1"/>
  <c r="K210" i="50" s="1"/>
  <c r="K211" i="50" s="1"/>
  <c r="K212" i="50" s="1"/>
  <c r="K213" i="50" s="1"/>
  <c r="K214" i="50" s="1"/>
  <c r="K215" i="50" s="1"/>
  <c r="K216" i="50" s="1"/>
  <c r="K217" i="50" s="1"/>
  <c r="K218" i="50" s="1"/>
  <c r="K219" i="50" s="1"/>
  <c r="K220" i="50" s="1"/>
  <c r="K221" i="50" s="1"/>
  <c r="K222" i="50" s="1"/>
  <c r="K223" i="50" s="1"/>
  <c r="K224" i="50" s="1"/>
  <c r="K225" i="50" s="1"/>
  <c r="K226" i="50" s="1"/>
  <c r="K227" i="50" s="1"/>
  <c r="K228" i="50" s="1"/>
  <c r="K229" i="50" s="1"/>
  <c r="K230" i="50" s="1"/>
  <c r="K231" i="50" s="1"/>
  <c r="K232" i="50" s="1"/>
  <c r="K233" i="50" s="1"/>
  <c r="K234" i="50" s="1"/>
  <c r="K235" i="50" s="1"/>
  <c r="K236" i="50" s="1"/>
  <c r="K237" i="50" s="1"/>
  <c r="K238" i="50" s="1"/>
  <c r="K239" i="50" s="1"/>
  <c r="K240" i="50" s="1"/>
  <c r="K241" i="50" s="1"/>
  <c r="K242" i="50" s="1"/>
  <c r="K243" i="50" s="1"/>
  <c r="K244" i="50" s="1"/>
  <c r="K245" i="50" s="1"/>
  <c r="K246" i="50" s="1"/>
  <c r="K247" i="50" s="1"/>
  <c r="K248" i="50" s="1"/>
  <c r="K249" i="50" s="1"/>
  <c r="K250" i="50" s="1"/>
  <c r="K251" i="50" s="1"/>
  <c r="K252" i="50" s="1"/>
  <c r="K253" i="50" s="1"/>
  <c r="K254" i="50" s="1"/>
  <c r="K255" i="50" s="1"/>
  <c r="K256" i="50" s="1"/>
  <c r="K257" i="50" s="1"/>
  <c r="K258" i="50" s="1"/>
  <c r="K259" i="50" s="1"/>
  <c r="K260" i="50" s="1"/>
  <c r="K261" i="50" s="1"/>
  <c r="K262" i="50" s="1"/>
  <c r="K263" i="50" s="1"/>
  <c r="K264" i="50" s="1"/>
  <c r="K265" i="50" s="1"/>
  <c r="K266" i="50" s="1"/>
  <c r="K267" i="50" s="1"/>
  <c r="K268" i="50" s="1"/>
  <c r="K269" i="50" s="1"/>
  <c r="K270" i="50" s="1"/>
  <c r="K271" i="50" s="1"/>
  <c r="K272" i="50" s="1"/>
  <c r="K273" i="50" s="1"/>
  <c r="K274" i="50" s="1"/>
  <c r="K275" i="50" s="1"/>
  <c r="K276" i="50" s="1"/>
  <c r="K277" i="50" s="1"/>
  <c r="K278" i="50" s="1"/>
  <c r="K279" i="50" s="1"/>
  <c r="K280" i="50" s="1"/>
  <c r="K281" i="50" s="1"/>
  <c r="K282" i="50" s="1"/>
  <c r="K283" i="50" s="1"/>
  <c r="K284" i="50" s="1"/>
  <c r="K285" i="50" s="1"/>
  <c r="K286" i="50" s="1"/>
  <c r="K287" i="50" s="1"/>
  <c r="K288" i="50" s="1"/>
  <c r="K289" i="50" s="1"/>
  <c r="K290" i="50" s="1"/>
  <c r="K291" i="50" s="1"/>
  <c r="K292" i="50" s="1"/>
  <c r="K293" i="50" s="1"/>
  <c r="K294" i="50" s="1"/>
  <c r="K295" i="50" s="1"/>
  <c r="K296" i="50" s="1"/>
  <c r="K297" i="50" s="1"/>
  <c r="K298" i="50" s="1"/>
  <c r="K299" i="50" s="1"/>
  <c r="K300" i="50" s="1"/>
  <c r="K301" i="50" s="1"/>
  <c r="K302" i="50" s="1"/>
  <c r="K303" i="50" s="1"/>
  <c r="K304" i="50" s="1"/>
  <c r="K305" i="50" s="1"/>
  <c r="K306" i="50" s="1"/>
  <c r="K307" i="50" s="1"/>
  <c r="K308" i="50" s="1"/>
  <c r="K309" i="50" s="1"/>
  <c r="K310" i="50" s="1"/>
  <c r="K311" i="50" s="1"/>
  <c r="K312" i="50" s="1"/>
  <c r="K313" i="50" s="1"/>
  <c r="K314" i="50" s="1"/>
  <c r="K315" i="50" s="1"/>
  <c r="K316" i="50" s="1"/>
  <c r="K317" i="50" s="1"/>
  <c r="K318" i="50" s="1"/>
  <c r="K319" i="50" s="1"/>
  <c r="K320" i="50" s="1"/>
  <c r="K321" i="50" s="1"/>
  <c r="K322" i="50" s="1"/>
  <c r="K323" i="50" s="1"/>
  <c r="K324" i="50" s="1"/>
  <c r="K325" i="50" s="1"/>
  <c r="K326" i="50" s="1"/>
  <c r="K327" i="50" s="1"/>
  <c r="K328" i="50" s="1"/>
  <c r="K329" i="50" s="1"/>
  <c r="K330" i="50" s="1"/>
  <c r="K331" i="50" s="1"/>
  <c r="K332" i="50" s="1"/>
  <c r="K333" i="50" s="1"/>
  <c r="K334" i="50" s="1"/>
  <c r="K335" i="50" s="1"/>
  <c r="K336" i="50" s="1"/>
  <c r="K337" i="50" s="1"/>
  <c r="K338" i="50" s="1"/>
  <c r="K339" i="50" s="1"/>
  <c r="K340" i="50" s="1"/>
  <c r="K341" i="50" s="1"/>
  <c r="K342" i="50" s="1"/>
  <c r="K343" i="50" s="1"/>
  <c r="K344" i="50" s="1"/>
  <c r="K345" i="50" s="1"/>
  <c r="K346" i="50" s="1"/>
  <c r="K347" i="50" s="1"/>
  <c r="K348" i="50" s="1"/>
  <c r="K349" i="50" s="1"/>
  <c r="K350" i="50" s="1"/>
  <c r="K351" i="50" s="1"/>
  <c r="K352" i="50" s="1"/>
  <c r="K353" i="50" s="1"/>
  <c r="K354" i="50" s="1"/>
  <c r="K355" i="50" s="1"/>
  <c r="K356" i="50" s="1"/>
  <c r="K357" i="50" s="1"/>
  <c r="K358" i="50" s="1"/>
  <c r="J360" i="49"/>
  <c r="I360" i="49"/>
  <c r="H360" i="49"/>
  <c r="H364" i="49" s="1"/>
  <c r="K357" i="49"/>
  <c r="K356" i="49"/>
  <c r="K355" i="49"/>
  <c r="K354" i="49"/>
  <c r="K353" i="49"/>
  <c r="K352" i="49"/>
  <c r="K351" i="49"/>
  <c r="K350" i="49"/>
  <c r="K349" i="49"/>
  <c r="K348" i="49"/>
  <c r="K347" i="49"/>
  <c r="K346" i="49"/>
  <c r="K345" i="49"/>
  <c r="K344" i="49"/>
  <c r="K343" i="49"/>
  <c r="K342" i="49"/>
  <c r="K341" i="49"/>
  <c r="K340" i="49"/>
  <c r="K339" i="49"/>
  <c r="K338" i="49"/>
  <c r="K337" i="49"/>
  <c r="K336" i="49"/>
  <c r="K335" i="49"/>
  <c r="K334" i="49"/>
  <c r="K333" i="49"/>
  <c r="K332" i="49"/>
  <c r="K331" i="49"/>
  <c r="K330" i="49"/>
  <c r="K329" i="49"/>
  <c r="K328" i="49"/>
  <c r="K327" i="49"/>
  <c r="K326" i="49"/>
  <c r="K325" i="49"/>
  <c r="K324" i="49"/>
  <c r="K323" i="49"/>
  <c r="K322" i="49"/>
  <c r="K321" i="49"/>
  <c r="K320" i="49"/>
  <c r="K319" i="49"/>
  <c r="K318" i="49"/>
  <c r="K317" i="49"/>
  <c r="K316" i="49"/>
  <c r="K315" i="49"/>
  <c r="K314" i="49"/>
  <c r="K313" i="49"/>
  <c r="K312" i="49"/>
  <c r="K311" i="49"/>
  <c r="K310" i="49"/>
  <c r="K309" i="49"/>
  <c r="K308" i="49"/>
  <c r="K307" i="49"/>
  <c r="K306" i="49"/>
  <c r="K305" i="49"/>
  <c r="K304" i="49"/>
  <c r="K303" i="49"/>
  <c r="K302" i="49"/>
  <c r="K301" i="49"/>
  <c r="K300" i="49"/>
  <c r="K299" i="49"/>
  <c r="K298" i="49"/>
  <c r="K297" i="49"/>
  <c r="K296" i="49"/>
  <c r="K295" i="49"/>
  <c r="K294" i="49"/>
  <c r="K293" i="49"/>
  <c r="K292" i="49"/>
  <c r="K291" i="49"/>
  <c r="K290" i="49"/>
  <c r="K289" i="49"/>
  <c r="K288" i="49"/>
  <c r="K287" i="49"/>
  <c r="K286" i="49"/>
  <c r="K285" i="49"/>
  <c r="K284" i="49"/>
  <c r="K283" i="49"/>
  <c r="K282" i="49"/>
  <c r="K281" i="49"/>
  <c r="K280" i="49"/>
  <c r="K279" i="49"/>
  <c r="K278" i="49"/>
  <c r="K277" i="49"/>
  <c r="K276" i="49"/>
  <c r="K275" i="49"/>
  <c r="K274" i="49"/>
  <c r="K273" i="49"/>
  <c r="K272" i="49"/>
  <c r="K271" i="49"/>
  <c r="K270" i="49"/>
  <c r="K269" i="49"/>
  <c r="K268" i="49"/>
  <c r="K267" i="49"/>
  <c r="K266" i="49"/>
  <c r="K265" i="49"/>
  <c r="K264" i="49"/>
  <c r="K263" i="49"/>
  <c r="K262" i="49"/>
  <c r="K261" i="49"/>
  <c r="K260" i="49"/>
  <c r="K259" i="49"/>
  <c r="K258" i="49"/>
  <c r="K257" i="49"/>
  <c r="K256" i="49"/>
  <c r="K255" i="49"/>
  <c r="K254" i="49"/>
  <c r="K253" i="49"/>
  <c r="K252" i="49"/>
  <c r="K251" i="49"/>
  <c r="K250" i="49"/>
  <c r="K249" i="49"/>
  <c r="K248" i="49"/>
  <c r="K247" i="49"/>
  <c r="K246" i="49"/>
  <c r="K245" i="49"/>
  <c r="K244" i="49"/>
  <c r="K243" i="49"/>
  <c r="K242" i="49"/>
  <c r="K241" i="49"/>
  <c r="K240" i="49"/>
  <c r="K239" i="49"/>
  <c r="K238" i="49"/>
  <c r="K237" i="49"/>
  <c r="K236" i="49"/>
  <c r="K235" i="49"/>
  <c r="K234" i="49"/>
  <c r="K233" i="49"/>
  <c r="K232" i="49"/>
  <c r="K231" i="49"/>
  <c r="K230" i="49"/>
  <c r="K229" i="49"/>
  <c r="K228" i="49"/>
  <c r="K227" i="49"/>
  <c r="K226" i="49"/>
  <c r="K225" i="49"/>
  <c r="K224" i="49"/>
  <c r="K223" i="49"/>
  <c r="K222" i="49"/>
  <c r="K221" i="49"/>
  <c r="K220" i="49"/>
  <c r="K219" i="49"/>
  <c r="K218" i="49"/>
  <c r="K217" i="49"/>
  <c r="K216" i="49"/>
  <c r="K215" i="49"/>
  <c r="K214" i="49"/>
  <c r="K213" i="49"/>
  <c r="K212" i="49"/>
  <c r="K211" i="49"/>
  <c r="K210" i="49"/>
  <c r="K209" i="49"/>
  <c r="K208" i="49"/>
  <c r="K207" i="49"/>
  <c r="K206" i="49"/>
  <c r="K205" i="49"/>
  <c r="K204" i="49"/>
  <c r="K203" i="49"/>
  <c r="K202" i="49"/>
  <c r="K201" i="49"/>
  <c r="K200" i="49"/>
  <c r="K199" i="49"/>
  <c r="K198" i="49"/>
  <c r="K197" i="49"/>
  <c r="K196" i="49"/>
  <c r="K195" i="49"/>
  <c r="K194" i="49"/>
  <c r="K193" i="49"/>
  <c r="K192" i="49"/>
  <c r="K191" i="49"/>
  <c r="K190" i="49"/>
  <c r="K189" i="49"/>
  <c r="K188" i="49"/>
  <c r="K187" i="49"/>
  <c r="K186" i="49"/>
  <c r="K185" i="49"/>
  <c r="K184" i="49"/>
  <c r="K183" i="49"/>
  <c r="K182" i="49"/>
  <c r="K181" i="49"/>
  <c r="K180" i="49"/>
  <c r="K179" i="49"/>
  <c r="K178" i="49"/>
  <c r="K177" i="49"/>
  <c r="K176" i="49"/>
  <c r="K175" i="49"/>
  <c r="K174" i="49"/>
  <c r="K173" i="49"/>
  <c r="K172" i="49"/>
  <c r="K171" i="49"/>
  <c r="K170" i="49"/>
  <c r="K169" i="49"/>
  <c r="K168" i="49"/>
  <c r="K167" i="49"/>
  <c r="K166" i="49"/>
  <c r="K165" i="49"/>
  <c r="K164" i="49"/>
  <c r="K163" i="49"/>
  <c r="K162" i="49"/>
  <c r="K161" i="49"/>
  <c r="K160" i="49"/>
  <c r="K159" i="49"/>
  <c r="K158" i="49"/>
  <c r="K157" i="49"/>
  <c r="K156" i="49"/>
  <c r="K155" i="49"/>
  <c r="K154" i="49"/>
  <c r="K153" i="49"/>
  <c r="K152" i="49"/>
  <c r="K151" i="49"/>
  <c r="K150" i="49"/>
  <c r="K149" i="49"/>
  <c r="K148" i="49"/>
  <c r="K147" i="49"/>
  <c r="K146" i="49"/>
  <c r="K145" i="49"/>
  <c r="K144" i="49"/>
  <c r="K143" i="49"/>
  <c r="K142" i="49"/>
  <c r="K141" i="49"/>
  <c r="K140" i="49"/>
  <c r="K139" i="49"/>
  <c r="K138" i="49"/>
  <c r="K137" i="49"/>
  <c r="K136" i="49"/>
  <c r="K135" i="49"/>
  <c r="K134" i="49"/>
  <c r="K133" i="49"/>
  <c r="K132" i="49"/>
  <c r="K131" i="49"/>
  <c r="K130" i="49"/>
  <c r="K129" i="49"/>
  <c r="K128" i="49"/>
  <c r="K127" i="49"/>
  <c r="K126" i="49"/>
  <c r="K125" i="49"/>
  <c r="K124" i="49"/>
  <c r="K123" i="49"/>
  <c r="K122" i="49"/>
  <c r="K121" i="49"/>
  <c r="K120" i="49"/>
  <c r="K119" i="49"/>
  <c r="K118" i="49"/>
  <c r="K117" i="49"/>
  <c r="K116" i="49"/>
  <c r="K115" i="49"/>
  <c r="K114" i="49"/>
  <c r="K113" i="49"/>
  <c r="K112" i="49"/>
  <c r="K111" i="49"/>
  <c r="K110" i="49"/>
  <c r="K109" i="49"/>
  <c r="K108" i="49"/>
  <c r="K107" i="49"/>
  <c r="K106" i="49"/>
  <c r="K105" i="49"/>
  <c r="K104" i="49"/>
  <c r="K103" i="49"/>
  <c r="K102" i="49"/>
  <c r="K101" i="49"/>
  <c r="K100" i="49"/>
  <c r="K99" i="49"/>
  <c r="K98" i="49"/>
  <c r="K97" i="49"/>
  <c r="K96" i="49"/>
  <c r="K95" i="49"/>
  <c r="K94" i="49"/>
  <c r="K93" i="49"/>
  <c r="K92" i="49"/>
  <c r="K91" i="49"/>
  <c r="K90" i="49"/>
  <c r="K89" i="49"/>
  <c r="K88" i="49"/>
  <c r="K87" i="49"/>
  <c r="K86" i="49"/>
  <c r="K85" i="49"/>
  <c r="K84" i="49"/>
  <c r="K83" i="49"/>
  <c r="K82" i="49"/>
  <c r="K81" i="49"/>
  <c r="K80" i="49"/>
  <c r="K79" i="49"/>
  <c r="K78" i="49"/>
  <c r="K77" i="49"/>
  <c r="K76" i="49"/>
  <c r="K75" i="49"/>
  <c r="K74" i="49"/>
  <c r="K73" i="49"/>
  <c r="K72" i="49"/>
  <c r="K71" i="49"/>
  <c r="K70" i="49"/>
  <c r="K69" i="49"/>
  <c r="K68" i="49"/>
  <c r="K67" i="49"/>
  <c r="K66" i="49"/>
  <c r="K65" i="49"/>
  <c r="K64" i="49"/>
  <c r="K63" i="49"/>
  <c r="K62" i="49"/>
  <c r="K61" i="49"/>
  <c r="K60" i="49"/>
  <c r="K59" i="49"/>
  <c r="K58" i="49"/>
  <c r="K57" i="49"/>
  <c r="K56" i="49"/>
  <c r="K55" i="49"/>
  <c r="K54" i="49"/>
  <c r="K53" i="49"/>
  <c r="K52" i="49"/>
  <c r="K51" i="49"/>
  <c r="K50" i="49"/>
  <c r="K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K11" i="49"/>
  <c r="K10" i="49"/>
  <c r="K9" i="49"/>
  <c r="K8" i="49"/>
  <c r="K7" i="49"/>
  <c r="K6" i="49"/>
  <c r="K5" i="49"/>
  <c r="J361" i="50" l="1"/>
  <c r="K360" i="49"/>
  <c r="S329" i="44" l="1"/>
  <c r="S327" i="44"/>
  <c r="S326" i="44"/>
  <c r="S325" i="44"/>
  <c r="S324" i="44"/>
  <c r="S323" i="44"/>
  <c r="S322" i="44"/>
  <c r="S321" i="44"/>
  <c r="S320" i="44"/>
  <c r="S319" i="44"/>
  <c r="S318" i="44"/>
  <c r="S317" i="44"/>
  <c r="S316" i="44"/>
  <c r="S315" i="44"/>
  <c r="S314" i="44"/>
  <c r="S156" i="44"/>
  <c r="S155" i="44"/>
  <c r="S154" i="44"/>
  <c r="S153" i="44"/>
  <c r="S38" i="44"/>
  <c r="S54" i="44" l="1"/>
  <c r="S52" i="44"/>
  <c r="S55" i="44"/>
  <c r="S51" i="44"/>
  <c r="U51" i="44" s="1"/>
  <c r="S50" i="44" l="1"/>
  <c r="S53" i="44"/>
  <c r="S49" i="44"/>
  <c r="S48" i="44"/>
  <c r="S47" i="44"/>
  <c r="S46" i="44"/>
  <c r="S45" i="44"/>
  <c r="S44" i="44"/>
  <c r="S43" i="44"/>
  <c r="S42" i="44"/>
  <c r="S41" i="44"/>
  <c r="S40" i="44"/>
  <c r="S39" i="44"/>
  <c r="S37" i="44"/>
  <c r="S12" i="44" l="1"/>
  <c r="S149" i="44"/>
  <c r="S33" i="44" l="1"/>
  <c r="S32" i="44"/>
  <c r="S30" i="44" l="1"/>
  <c r="S29" i="44"/>
  <c r="S18" i="44"/>
  <c r="S31" i="44" l="1"/>
  <c r="S28" i="44"/>
  <c r="S27" i="44"/>
  <c r="S26" i="44"/>
  <c r="S25" i="44"/>
  <c r="S24" i="44"/>
  <c r="S23" i="44"/>
  <c r="S22" i="44"/>
  <c r="S21" i="44"/>
  <c r="S20" i="44"/>
  <c r="S19" i="44"/>
  <c r="S17" i="44"/>
  <c r="S16" i="44"/>
  <c r="S15" i="44"/>
  <c r="K5" i="44" l="1"/>
  <c r="S287" i="44" l="1"/>
  <c r="S286" i="44"/>
  <c r="S285" i="44"/>
  <c r="S284" i="44"/>
  <c r="S283" i="44"/>
  <c r="S282" i="44"/>
  <c r="S281" i="44"/>
  <c r="S280" i="44"/>
  <c r="S293" i="44"/>
  <c r="S292" i="44"/>
  <c r="S291" i="44"/>
  <c r="S290" i="44"/>
  <c r="S289" i="44"/>
  <c r="S288" i="44"/>
  <c r="S279" i="44"/>
  <c r="S278" i="44"/>
  <c r="S277" i="44"/>
  <c r="S276" i="44"/>
  <c r="S275" i="44"/>
  <c r="S268" i="44"/>
  <c r="S267" i="44"/>
  <c r="S250" i="44" l="1"/>
  <c r="S208" i="44"/>
  <c r="S207" i="44"/>
  <c r="S146" i="44" l="1"/>
  <c r="S145" i="44"/>
  <c r="S144" i="44"/>
  <c r="S143" i="44"/>
  <c r="S142" i="44"/>
  <c r="S141" i="44"/>
  <c r="S140" i="44"/>
  <c r="S139" i="44"/>
  <c r="S138" i="44"/>
  <c r="S240" i="44"/>
  <c r="S7" i="44"/>
  <c r="S137" i="44"/>
  <c r="S136" i="44"/>
  <c r="S135" i="44"/>
  <c r="S134" i="44"/>
  <c r="Q331" i="44"/>
  <c r="Q335" i="44" s="1"/>
  <c r="P331" i="44"/>
  <c r="P335" i="44" s="1"/>
  <c r="O331" i="44"/>
  <c r="O335" i="44" s="1"/>
  <c r="N331" i="44"/>
  <c r="N335" i="44" s="1"/>
  <c r="M331" i="44"/>
  <c r="M335" i="44" s="1"/>
  <c r="L331" i="44"/>
  <c r="L335" i="44" s="1"/>
  <c r="K331" i="44"/>
  <c r="K335" i="44" s="1"/>
  <c r="I331" i="44"/>
  <c r="I335" i="44" s="1"/>
  <c r="E331" i="44"/>
  <c r="S242" i="44"/>
  <c r="S313" i="44"/>
  <c r="S312" i="44"/>
  <c r="S311" i="44"/>
  <c r="S310" i="44"/>
  <c r="S309" i="44"/>
  <c r="S308" i="44"/>
  <c r="S307" i="44"/>
  <c r="S306" i="44"/>
  <c r="S305" i="44"/>
  <c r="S304" i="44"/>
  <c r="S303" i="44"/>
  <c r="S302" i="44"/>
  <c r="S301" i="44"/>
  <c r="S300" i="44"/>
  <c r="S299" i="44"/>
  <c r="S298" i="44"/>
  <c r="S297" i="44"/>
  <c r="S296" i="44"/>
  <c r="S295" i="44"/>
  <c r="S294" i="44"/>
  <c r="S274" i="44"/>
  <c r="S273" i="44"/>
  <c r="S272" i="44"/>
  <c r="S271" i="44"/>
  <c r="S270" i="44"/>
  <c r="S269" i="44"/>
  <c r="S266" i="44"/>
  <c r="S265" i="44"/>
  <c r="S264" i="44"/>
  <c r="S263" i="44"/>
  <c r="S262" i="44"/>
  <c r="S261" i="44"/>
  <c r="S260" i="44"/>
  <c r="S259" i="44"/>
  <c r="S258" i="44"/>
  <c r="S257" i="44"/>
  <c r="S256" i="44"/>
  <c r="S255" i="44"/>
  <c r="S254" i="44"/>
  <c r="S253" i="44"/>
  <c r="S252" i="44"/>
  <c r="S251" i="44"/>
  <c r="S249" i="44"/>
  <c r="S248" i="44"/>
  <c r="S247" i="44"/>
  <c r="S246" i="44"/>
  <c r="S245" i="44"/>
  <c r="S244" i="44"/>
  <c r="S243" i="44"/>
  <c r="S241" i="44"/>
  <c r="S239" i="44"/>
  <c r="S238" i="44"/>
  <c r="S237" i="44"/>
  <c r="S236" i="44"/>
  <c r="S235" i="44"/>
  <c r="S234" i="44"/>
  <c r="S233" i="44"/>
  <c r="S232" i="44"/>
  <c r="S231" i="44"/>
  <c r="S230" i="44"/>
  <c r="S229" i="44"/>
  <c r="S228" i="44"/>
  <c r="S227" i="44"/>
  <c r="S226" i="44"/>
  <c r="S225" i="44"/>
  <c r="S224" i="44"/>
  <c r="S223" i="44"/>
  <c r="S222" i="44"/>
  <c r="S221" i="44"/>
  <c r="S220" i="44"/>
  <c r="S219" i="44"/>
  <c r="S218" i="44"/>
  <c r="S217" i="44"/>
  <c r="S216" i="44"/>
  <c r="S215" i="44"/>
  <c r="S214" i="44"/>
  <c r="S213" i="44"/>
  <c r="S212" i="44"/>
  <c r="S211" i="44"/>
  <c r="S210" i="44"/>
  <c r="S209" i="44"/>
  <c r="S206" i="44"/>
  <c r="S205" i="44"/>
  <c r="S204" i="44"/>
  <c r="S203" i="44"/>
  <c r="S202" i="44"/>
  <c r="S201" i="44"/>
  <c r="S200" i="44"/>
  <c r="S199" i="44"/>
  <c r="S198" i="44"/>
  <c r="S197" i="44"/>
  <c r="S196" i="44"/>
  <c r="S195" i="44"/>
  <c r="S194" i="44"/>
  <c r="S193" i="44"/>
  <c r="S192" i="44"/>
  <c r="S191" i="44"/>
  <c r="S190" i="44"/>
  <c r="S189" i="44"/>
  <c r="S188" i="44"/>
  <c r="S187" i="44"/>
  <c r="S186" i="44"/>
  <c r="S185" i="44"/>
  <c r="S184" i="44"/>
  <c r="S183" i="44"/>
  <c r="S182" i="44"/>
  <c r="S181" i="44"/>
  <c r="S180" i="44"/>
  <c r="S179" i="44"/>
  <c r="S178" i="44"/>
  <c r="S177" i="44"/>
  <c r="S176" i="44"/>
  <c r="S175" i="44"/>
  <c r="S174" i="44"/>
  <c r="S173" i="44"/>
  <c r="S172" i="44"/>
  <c r="S171" i="44"/>
  <c r="S170" i="44"/>
  <c r="S169" i="44"/>
  <c r="S168" i="44"/>
  <c r="S167" i="44"/>
  <c r="S166" i="44"/>
  <c r="S165" i="44"/>
  <c r="S164" i="44"/>
  <c r="S163" i="44"/>
  <c r="S162" i="44"/>
  <c r="S161" i="44"/>
  <c r="S160" i="44"/>
  <c r="S159" i="44"/>
  <c r="S158" i="44"/>
  <c r="S157" i="44"/>
  <c r="S152" i="44"/>
  <c r="S151" i="44"/>
  <c r="S150" i="44"/>
  <c r="S148" i="44"/>
  <c r="S147" i="44"/>
  <c r="S133" i="44"/>
  <c r="S132" i="44"/>
  <c r="S131" i="44"/>
  <c r="S130" i="44"/>
  <c r="S129" i="44"/>
  <c r="S128" i="44"/>
  <c r="S127" i="44"/>
  <c r="S126" i="44"/>
  <c r="S125" i="44"/>
  <c r="S124" i="44"/>
  <c r="S123" i="44"/>
  <c r="S122" i="44"/>
  <c r="S121" i="44"/>
  <c r="S120" i="44"/>
  <c r="S119" i="44"/>
  <c r="S118" i="44"/>
  <c r="S117" i="44"/>
  <c r="S116" i="44"/>
  <c r="S115" i="44"/>
  <c r="S114" i="44"/>
  <c r="S113" i="44"/>
  <c r="S112" i="44"/>
  <c r="S111" i="44"/>
  <c r="S110" i="44"/>
  <c r="S109" i="44"/>
  <c r="S108" i="44"/>
  <c r="S107" i="44"/>
  <c r="S106" i="44"/>
  <c r="S105" i="44"/>
  <c r="S104" i="44"/>
  <c r="S103" i="44"/>
  <c r="S102" i="44"/>
  <c r="S101" i="44"/>
  <c r="S100" i="44"/>
  <c r="S99" i="44"/>
  <c r="S98" i="44"/>
  <c r="S97" i="44"/>
  <c r="S96" i="44"/>
  <c r="S95" i="44"/>
  <c r="S94" i="44"/>
  <c r="S93" i="44"/>
  <c r="S92" i="44"/>
  <c r="S91" i="44"/>
  <c r="S90" i="44"/>
  <c r="S89" i="44"/>
  <c r="S88" i="44"/>
  <c r="S87" i="44"/>
  <c r="S86" i="44"/>
  <c r="S85" i="44"/>
  <c r="S84" i="44"/>
  <c r="S83" i="44"/>
  <c r="S82" i="44"/>
  <c r="S81" i="44"/>
  <c r="S80" i="44"/>
  <c r="S79" i="44"/>
  <c r="S78" i="44"/>
  <c r="S77" i="44"/>
  <c r="S76" i="44"/>
  <c r="S75" i="44"/>
  <c r="S74" i="44"/>
  <c r="S73" i="44"/>
  <c r="S72" i="44"/>
  <c r="S71" i="44"/>
  <c r="S70" i="44"/>
  <c r="S69" i="44"/>
  <c r="S68" i="44"/>
  <c r="S67" i="44"/>
  <c r="S66" i="44"/>
  <c r="S65" i="44"/>
  <c r="S64" i="44"/>
  <c r="S63" i="44"/>
  <c r="S62" i="44"/>
  <c r="S61" i="44"/>
  <c r="S60" i="44"/>
  <c r="S59" i="44"/>
  <c r="S58" i="44"/>
  <c r="S57" i="44"/>
  <c r="S56" i="44"/>
  <c r="S36" i="44"/>
  <c r="S35" i="44"/>
  <c r="S34" i="44"/>
  <c r="S14" i="44"/>
  <c r="S13" i="44"/>
  <c r="S11" i="44"/>
  <c r="S10" i="44"/>
  <c r="S9" i="44"/>
  <c r="S8" i="44"/>
  <c r="S6" i="44"/>
  <c r="S5" i="44"/>
  <c r="S4" i="44"/>
  <c r="S331" i="44" l="1"/>
  <c r="T73" i="44"/>
  <c r="J331" i="44"/>
  <c r="J335" i="44" s="1"/>
</calcChain>
</file>

<file path=xl/sharedStrings.xml><?xml version="1.0" encoding="utf-8"?>
<sst xmlns="http://schemas.openxmlformats.org/spreadsheetml/2006/main" count="7782" uniqueCount="1131">
  <si>
    <t>COGS</t>
  </si>
  <si>
    <t>Account Payable</t>
  </si>
  <si>
    <t>AP Trade</t>
  </si>
  <si>
    <t>BRI Paralimpiade</t>
  </si>
  <si>
    <t>KPEI Team Building Virtual</t>
  </si>
  <si>
    <t>BRI MOU UMI</t>
  </si>
  <si>
    <t>Photocopy</t>
  </si>
  <si>
    <t>Account Receivable</t>
  </si>
  <si>
    <t>Odhey</t>
  </si>
  <si>
    <t>AP Expense</t>
  </si>
  <si>
    <t>BRI IDX Opening Bell Right Issue</t>
  </si>
  <si>
    <t>Telkomsel Onboarding</t>
  </si>
  <si>
    <t>Salary and THR</t>
  </si>
  <si>
    <t>AP Temporary Loan</t>
  </si>
  <si>
    <t>David Harsamto</t>
  </si>
  <si>
    <t xml:space="preserve"> </t>
  </si>
  <si>
    <t>Overtime</t>
  </si>
  <si>
    <t>Telkomsel Leveraging Message</t>
  </si>
  <si>
    <t>Telephone</t>
  </si>
  <si>
    <t>BRI Gesit</t>
  </si>
  <si>
    <t>Internet and emails</t>
  </si>
  <si>
    <t>Sisa Budget</t>
  </si>
  <si>
    <t>Sisa Budget Saldo Akhir 2020 : Sesuai Meeting AH Yogi - 19-Jan-2021</t>
  </si>
  <si>
    <t xml:space="preserve">Telkomsel Loyalty Program </t>
  </si>
  <si>
    <t>PAYABLE</t>
  </si>
  <si>
    <t>YEAR</t>
  </si>
  <si>
    <t>VENDOR</t>
  </si>
  <si>
    <t>KETERANGAN</t>
  </si>
  <si>
    <t>IDR</t>
  </si>
  <si>
    <t>BTN</t>
  </si>
  <si>
    <t>Cash IDR</t>
  </si>
  <si>
    <t>Non CB</t>
  </si>
  <si>
    <t>Anne Hidayat</t>
  </si>
  <si>
    <t>Temporary Loan for operation expense</t>
  </si>
  <si>
    <t>Elly Hutabarat</t>
  </si>
  <si>
    <t>H S B C</t>
  </si>
  <si>
    <t>AP Others</t>
  </si>
  <si>
    <t>AP Credit Card</t>
  </si>
  <si>
    <t>Mandiri Visa</t>
  </si>
  <si>
    <t>AP Leasing</t>
  </si>
  <si>
    <t>AP Tax</t>
  </si>
  <si>
    <t>Age</t>
  </si>
  <si>
    <t>Alex</t>
  </si>
  <si>
    <t>Analita</t>
  </si>
  <si>
    <t>Frieda</t>
  </si>
  <si>
    <t>Januar</t>
  </si>
  <si>
    <t>Merry</t>
  </si>
  <si>
    <t>Patrice</t>
  </si>
  <si>
    <t>Titing</t>
  </si>
  <si>
    <t>Yogi</t>
  </si>
  <si>
    <t>HSBC</t>
  </si>
  <si>
    <t>Interest Loan</t>
  </si>
  <si>
    <t>Incentive and Bonus</t>
  </si>
  <si>
    <t>Telkomsel Bootcamp and Mentoring TINC</t>
  </si>
  <si>
    <t>Sisa Budget  as per 7 Jan</t>
  </si>
  <si>
    <t>Other Expense</t>
  </si>
  <si>
    <t>Biaya sewa Mobil 1 Unit Ertiga @300.000/days x 6 days tgl 14 - 19 Juni 2021</t>
  </si>
  <si>
    <t>Entertaiment</t>
  </si>
  <si>
    <t>Medical Allowance</t>
  </si>
  <si>
    <t>BRI FGD Lintas Kementerian</t>
  </si>
  <si>
    <t>'Pembayaran biaya swab crew  27 Pax 11 Mei 2021</t>
  </si>
  <si>
    <t xml:space="preserve">Bayar biaya swab crew dan BRI </t>
  </si>
  <si>
    <t>Bayar sewa Hiace Premio 2 hari 10-11 Nov</t>
  </si>
  <si>
    <t>BRI Iwabri Bandung</t>
  </si>
  <si>
    <t>Pembayaran biaya swab PCR crew  42 Pax 12 Sep 2021</t>
  </si>
  <si>
    <t>Inv : 1723 - Pemakaian kendaraan 23-24 Des 2021</t>
  </si>
  <si>
    <t>Swab Antigen 23 Des'21 31 pax</t>
  </si>
  <si>
    <t>BRI Pengukuhan Team Elang</t>
  </si>
  <si>
    <t>'Pembayaran biaya swab crew 12 April 2021 24 Pax</t>
  </si>
  <si>
    <t>BRI RUPST Luar Biasa  Juli</t>
  </si>
  <si>
    <t>Pembayaran biaya swab Antigen crew  43 Pax 21 Juli 2021</t>
  </si>
  <si>
    <t xml:space="preserve">Reimburse Swab antigen Chaplin untuk event </t>
  </si>
  <si>
    <t xml:space="preserve">pembayaran Sewa Mobil Tujuan Sukabumi 02-03 Oktober 2021 ( Ibu Tika) </t>
  </si>
  <si>
    <t xml:space="preserve">Telkomsel Sewa Mobil </t>
  </si>
  <si>
    <t xml:space="preserve">Telkomsel WS Subdir Sales Strategy Group  </t>
  </si>
  <si>
    <t>Inv: 1722 - Pemakaian Innova Reborn Jakarta-Bogor-Jakarta 16 Des'21</t>
  </si>
  <si>
    <t xml:space="preserve">Telkomsel MICE InnoXtion </t>
  </si>
  <si>
    <t xml:space="preserve">Telkomsel Program Games Publishing </t>
  </si>
  <si>
    <t>Telkomsel Undian Jelajah Nusantara</t>
  </si>
  <si>
    <t>Office Rent</t>
  </si>
  <si>
    <t>PPN</t>
  </si>
  <si>
    <t>PPh-23</t>
  </si>
  <si>
    <t>Jan</t>
  </si>
  <si>
    <t>OUTSTANDING</t>
  </si>
  <si>
    <t>Bali Victory</t>
  </si>
  <si>
    <t>AR Prepaid Tax</t>
  </si>
  <si>
    <t>DBS Visa White</t>
  </si>
  <si>
    <t>AP Deposit from customer</t>
  </si>
  <si>
    <t>SALES</t>
  </si>
  <si>
    <t>Honorarium</t>
  </si>
  <si>
    <t>HR Development</t>
  </si>
  <si>
    <t>Sales and Promotion</t>
  </si>
  <si>
    <t>Other Income</t>
  </si>
  <si>
    <t>BRI MotoGP Mandalika</t>
  </si>
  <si>
    <t>BRI Penghargaan Pelampauan Kinerja</t>
  </si>
  <si>
    <t>BRI Transport 2022</t>
  </si>
  <si>
    <t>Telkomsel Support Program BSM AOC</t>
  </si>
  <si>
    <t>Telkomsel Sales Collaboration with EAM Team</t>
  </si>
  <si>
    <t>Telkomsel Recruitment and Assesment</t>
  </si>
  <si>
    <t>Telkomsel Shifting to self service channel MEC</t>
  </si>
  <si>
    <t>University of Twente - Anrgi Workshop</t>
  </si>
  <si>
    <t>Telkomsel Support Campaign Outlet Via My Ads</t>
  </si>
  <si>
    <t>BRI Corporate Card</t>
  </si>
  <si>
    <t>Pembayaran Invoice No. V1726 - Sewa 1 Unit Alphard Bank BRI</t>
  </si>
  <si>
    <t>KBUMN Malam Apresiasi Dukungan Untuk G20</t>
  </si>
  <si>
    <t>Telkomsel byU Explore SMK Jawa Barat</t>
  </si>
  <si>
    <t>Telkomsel Pengadaan Sales Fee Indihome Halo</t>
  </si>
  <si>
    <t>Telkomsel Pengadaan Program Corporate Ambassador for customer</t>
  </si>
  <si>
    <t>Telkomsel Pick Up point by U Q3</t>
  </si>
  <si>
    <t>Telkomsel Youth Battle School Visit Micro Cluster</t>
  </si>
  <si>
    <t xml:space="preserve">Telkomsel Program Talent Mobilty </t>
  </si>
  <si>
    <t>Seyna</t>
  </si>
  <si>
    <t>BRI RUPS Tahunan 2022</t>
  </si>
  <si>
    <t>Helmi</t>
  </si>
  <si>
    <t>PCMI Team</t>
  </si>
  <si>
    <t>Staff Outing</t>
  </si>
  <si>
    <t>Inv : 006762 - Oleh2 u/ bu Dewi DPR &amp; team</t>
  </si>
  <si>
    <t>PV-18278 - BRI Medika</t>
  </si>
  <si>
    <t>Swab antigen crew 14 org 24 Jan'22</t>
  </si>
  <si>
    <t>PV-18738</t>
  </si>
  <si>
    <t>Kwi : V 1725 / 20 Mar'22</t>
  </si>
  <si>
    <t>PV-18951 - BRI Medika</t>
  </si>
  <si>
    <t>Swab antigen crew 72 org 21 Mar'22</t>
  </si>
  <si>
    <t>PV-18569 - BRI Medika</t>
  </si>
  <si>
    <t>Swab antigen crew 22 org, 28 Feb'22</t>
  </si>
  <si>
    <t>PV-21583 - VGM</t>
  </si>
  <si>
    <t>Pembayaran Invoice V-1742 : 1 Unit Alphard (Selfdrive) 25 - 27 Agustus 2022</t>
  </si>
  <si>
    <t>PV-18934 - VGM</t>
  </si>
  <si>
    <t>PV-19332 - VGM</t>
  </si>
  <si>
    <t>Inv : 1727- pemakaian Alphard 20-21 Apr'22</t>
  </si>
  <si>
    <t>PV-21584</t>
  </si>
  <si>
    <t>Pembayaran Invoice V-1741 : 1 Unit Alphard (Iga Mawarni) 28 - 30 November 2022</t>
  </si>
  <si>
    <t>PV-21640 Odhey</t>
  </si>
  <si>
    <t>PO Fee Odhey</t>
  </si>
  <si>
    <t>PV-21326</t>
  </si>
  <si>
    <t>Inv. 1740 - Sewa mobil survey 23/11/22</t>
  </si>
  <si>
    <t>PV-21582</t>
  </si>
  <si>
    <t>Inv. 1743 - Sewa mobil 14 &amp; 17 Des'22</t>
  </si>
  <si>
    <t>PV-19942</t>
  </si>
  <si>
    <t>Pembayaran rent mobil innova - untuk narasumber</t>
  </si>
  <si>
    <t>PV-20648</t>
  </si>
  <si>
    <t xml:space="preserve">pemakaian kendaran 29-30 Sept 2022 ( jakarta - bandung PP ) </t>
  </si>
  <si>
    <t>PV-19401</t>
  </si>
  <si>
    <t>Kwi : V 1728 / 7 Jun 2022</t>
  </si>
  <si>
    <t>Whatsapp Yogi : Rabu, 8-Maret-2023 (approval dari Ibu Anne)</t>
  </si>
  <si>
    <t>Telkomsel Capex Paper Workshop</t>
  </si>
  <si>
    <t>BRI PIISEI GOLF</t>
  </si>
  <si>
    <t>Rizky</t>
  </si>
  <si>
    <t>WAPU</t>
  </si>
  <si>
    <t>Non WAPU</t>
  </si>
  <si>
    <t xml:space="preserve">Telkomsel Sharing Session SOP , Policy and Contracting </t>
  </si>
  <si>
    <t>Mandiri Booth Range</t>
  </si>
  <si>
    <t>Telkomsel Program Sosialisasi AM 2023</t>
  </si>
  <si>
    <t>Telkomsel Digiads Partnership and Performance Review</t>
  </si>
  <si>
    <t>Telkomsel Digiads PNV Market Penetration</t>
  </si>
  <si>
    <t>Telkomsel Digiads Solutions Updated</t>
  </si>
  <si>
    <t>Telkomsel EAM Team and Quarter 2 Cashback Program</t>
  </si>
  <si>
    <t>Mark Asia Cilegon Festival</t>
  </si>
  <si>
    <t>Telkomsel Data Solutions x IT Alignment</t>
  </si>
  <si>
    <t>Telkomsel Field Research and Area Alignment Q3</t>
  </si>
  <si>
    <t>BRI FGD Komisi VI dan XI</t>
  </si>
  <si>
    <t>BRI BTK Brimo Festival</t>
  </si>
  <si>
    <t>Bank Mandiri (Persero) Tbk, PT</t>
  </si>
  <si>
    <t>PLN Indonesia Power HUT ke 28</t>
  </si>
  <si>
    <t>Telkomsel Live Testing RoaMax Haji dan Umroh</t>
  </si>
  <si>
    <t>Telkomsel HCM Project Strategic Worforce Planning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</si>
  <si>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</si>
  <si>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</si>
  <si>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</si>
  <si>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Program Sales Annual Plan 2024</t>
  </si>
  <si>
    <t>BRI Co-Branding Partners Appreciation</t>
  </si>
  <si>
    <t>Telkomsel Alignment Tools and Program and Site Visit Q3</t>
  </si>
  <si>
    <t>Telkomsel Whatsapp Business API Subsrciption : Jul-Des 2023</t>
  </si>
  <si>
    <t>Whatsapp Yogi : Minggu, 30-Des-2023 23:20 WIB</t>
  </si>
  <si>
    <t>eMail Yogi : Sunday, 31-Dec-2023 at 10:44</t>
  </si>
  <si>
    <t>Sisa Budget : Dikoreksi Yogi 31-Des-23 waktu kasih daftar sisa budget 31-12-23</t>
  </si>
  <si>
    <t>Penerbitan Bukti Potong dan Setoran PPh-23 sepanjang 2023</t>
  </si>
  <si>
    <t>Lunas Bunga HSBC 900  HSBCIDJA/NURLAILA HUTABARAT</t>
  </si>
  <si>
    <t>LunasBunga HSBC-902 HSBCIDJA/NURLAILA HUTABARAT</t>
  </si>
  <si>
    <t>Fee Bersih2 GudangSUPRIYADI,</t>
  </si>
  <si>
    <t>Fee Bersih2 GudangADUN SOPANDI,</t>
  </si>
  <si>
    <t>Fee Bersih2 GudangSUKANDA,</t>
  </si>
  <si>
    <t>Fee Bersih2 GudangSUTARNO,</t>
  </si>
  <si>
    <t>UM Bersih2 Gudang TitingYadiSukanda RD HIDIANITJE DRA,</t>
  </si>
  <si>
    <t>Overtime Des      SUKANDA,</t>
  </si>
  <si>
    <t>Overtime Des      MUHAMMAD UJER AWAL,</t>
  </si>
  <si>
    <t>Overtime Des      ADUN SOPANDI,</t>
  </si>
  <si>
    <t>Overtime Desember SUPRIYADI,</t>
  </si>
  <si>
    <t>BRI FGD Kom VI+XI Sisa Budget Cash  YULI NURFIVA YAHYA,</t>
  </si>
  <si>
    <t>PLN IP HUT ke-28  Lee Fee Event     ANANDA PUTRI YUDIS,</t>
  </si>
  <si>
    <t xml:space="preserve">Lunas Sys PCMI RD HIDIANITJE DRA  </t>
  </si>
  <si>
    <t xml:space="preserve">TSel YouthBatt VMC Rm+Bfast Prasidya  GRAHA SANTIKA DYAN </t>
  </si>
  <si>
    <t xml:space="preserve">HP TSel AH Jan RD HIDIANITJE DRA  </t>
  </si>
  <si>
    <t xml:space="preserve">HP Excel AH Dec RD HIDIANITJE DRA  </t>
  </si>
  <si>
    <t xml:space="preserve">BRI Co-Branding PA Mutimedia Content IBRAHIM SALADDIN  </t>
  </si>
  <si>
    <t xml:space="preserve">BRI Co-Branding PA Sewa Tanaman HARTONO  </t>
  </si>
  <si>
    <t xml:space="preserve">BRI Co-Branding PA Sewa MultiCam SUTRISNO  </t>
  </si>
  <si>
    <t xml:space="preserve">BRI Co-Branding PA Sewa EarTech+Ongki ILHAM GUMELAR  </t>
  </si>
  <si>
    <t xml:space="preserve">BRI Co-Branding PA Dokumentasi 19Des KATHERIN VICENTIA  </t>
  </si>
  <si>
    <t xml:space="preserve">BRI BTK Brimo Fest Tiket DPSJKT RD HIDIANITJE DRA  </t>
  </si>
  <si>
    <t>Bonus 2023 (35X) Drivers+MessengersDAVID HARSAMTO,</t>
  </si>
  <si>
    <t>Bonus PCMI 2022   Part-1            DAVID HARSAMTO,</t>
  </si>
  <si>
    <t>TSel MICE Sum LES   0238  BNINIDJA/PACTO 20240119BMRIIDJA010O9934271378</t>
  </si>
  <si>
    <t>Internet Des 2023 MORA TELEMATIKA IN  : Rp. 3.815.000</t>
  </si>
  <si>
    <t>MA Cilegon Fest      00950 MCM InhouseTrf  KE RAMA DWI PUTRA</t>
  </si>
  <si>
    <t>Perum Jasa Tirta II</t>
  </si>
  <si>
    <t>Pertamina (Persero), PT</t>
  </si>
  <si>
    <t>Perum Percetakan Uang RI</t>
  </si>
  <si>
    <t>Perum Lembaga Penyelenggara Pelayanan Navigasi Penerbangan Indonesia</t>
  </si>
  <si>
    <t>Perum Perhutani</t>
  </si>
  <si>
    <t>BCA - Mutasi 2024</t>
  </si>
  <si>
    <t>Bonus PCMI 2022   Part-2            DAVID HARSAMTO,</t>
  </si>
  <si>
    <t>BCA Business - Mutasi 2024</t>
  </si>
  <si>
    <t>Fixed Asset</t>
  </si>
  <si>
    <t>Mandiri - Mutasi 2024</t>
  </si>
  <si>
    <t>DJP Online</t>
  </si>
  <si>
    <t>PPh-21 Masa : Jan - Dec 2023</t>
  </si>
  <si>
    <t>UOB Master</t>
  </si>
  <si>
    <t>Mandiri BoothRangeFee PIC PIK 15Feb R DINAR KUSUMAYANT,</t>
  </si>
  <si>
    <t>BRI Co-Brand PA   SPJ 1D 19Des      JANUAR CAHYO SURYA,</t>
  </si>
  <si>
    <t>BRI Co-Brand PA   SPJ 1D 19Des      SUPRIYADI,</t>
  </si>
  <si>
    <t>BRI Co-Brand PA   Fee ProjectOfficerDEDI PURWANTO SE,</t>
  </si>
  <si>
    <t>Mandiri BoothRangeFee PIC KunCi 8MarR DINAR KUSUMAYANT,</t>
  </si>
  <si>
    <t>Medical Allowance 2023              RD HIDIANITJE DRA,</t>
  </si>
  <si>
    <t xml:space="preserve">BRI Co-Brand PA Sewa Furniture  SAMMY SHAKTI REFFA </t>
  </si>
  <si>
    <t xml:space="preserve">Mandiri BoothRange Retouch Prod PIK  BAMBANG SUPRIYANTO </t>
  </si>
  <si>
    <t xml:space="preserve">Mandiri BoothRange RetouchProdNeoSoho  BAMBANG SUPRIYANTO </t>
  </si>
  <si>
    <t xml:space="preserve">BRI Co-Brand PA Totem+8 Cards  IBNU CHUZAYMAH </t>
  </si>
  <si>
    <t xml:space="preserve">BRI Co-Brand PA Lighting System  MASRUHIN </t>
  </si>
  <si>
    <t xml:space="preserve">Mandiri BoothRange Retouch KuninganCt  BAMBANG SUPRIYANTO </t>
  </si>
  <si>
    <t>H Ultra Club SCBD Bar/fee entry masuk</t>
  </si>
  <si>
    <t>PT Usaha Enternaiment/year end dinner PCMI</t>
  </si>
  <si>
    <t>Beer Hall/minum dan snack di Beerhall</t>
  </si>
  <si>
    <t>DBS Visa W JT-6Feb</t>
  </si>
  <si>
    <t>Telekomunikasi Selular (Telkomsel), PT</t>
  </si>
  <si>
    <t>Bank Negara Indonesia (Persero) Tbk, PT</t>
  </si>
  <si>
    <t>Trimegah Sekuritas Indonesia Tbk, PT</t>
  </si>
  <si>
    <t>Telkomsel Meeting Agency Indihome Sumatera</t>
  </si>
  <si>
    <t>Telkomsel PON XXI - Sumut Aceh</t>
  </si>
  <si>
    <t>Telkomsel FUT Singapura Malaysia</t>
  </si>
  <si>
    <t>Telkomsel Market Survey Modern Channel Q3 - 2024</t>
  </si>
  <si>
    <t>Telkomsel Hari Koperasi Nasional Batam</t>
  </si>
  <si>
    <t>Telkomsel BillCo Kemerdekaan ke 79 Tahun</t>
  </si>
  <si>
    <t>Telkomsel PON XXI Aceh Sumut 2024 (Bang Hadi)</t>
  </si>
  <si>
    <t>Telkomsel Backchecking Produk Halo+ Bold &amp; Supreme GraPARI A3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</si>
  <si>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</si>
  <si>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</si>
  <si>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</si>
  <si>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</si>
  <si>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</si>
  <si>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Focus Action Sumatera</t>
  </si>
  <si>
    <t>Telkomsel API Sales Racing Program</t>
  </si>
  <si>
    <t>Telkomsel Support and Recovery Impact FMC Migrasi Sumatera</t>
  </si>
  <si>
    <t xml:space="preserve">PLN Indonesia Power Inpower Festival </t>
  </si>
  <si>
    <t>Telkomsel Aquabike Toba</t>
  </si>
  <si>
    <t>BRI Tebet</t>
  </si>
  <si>
    <t>BRI Sahardjo</t>
  </si>
  <si>
    <t>BCA Juanda</t>
  </si>
  <si>
    <t>BCA Sahardjo</t>
  </si>
  <si>
    <t>Biaya Pengiriman Dokument Invoicing  PLN IP Area Bali</t>
  </si>
  <si>
    <t>Biaya Pengiriman Dokument Invoicing  PLN IP Area Cilegon</t>
  </si>
  <si>
    <t>Telkomsel Alignment Revenue Sumatera</t>
  </si>
  <si>
    <t>PLN Indonesia Power PIKK Bazaar Festival UMKM</t>
  </si>
  <si>
    <t>Bridgestone Indonesia Tomo Gathering</t>
  </si>
  <si>
    <t>Overtime Desember ADUN SOPANDI,</t>
  </si>
  <si>
    <t>Overtime Desember MUHAMMAD UJER AWAL,</t>
  </si>
  <si>
    <t>Overtime Desember SUKANDA,</t>
  </si>
  <si>
    <t xml:space="preserve">BSIN Tomo Gather Produksi Stage Dll IBNU CHUZAYMAH  </t>
  </si>
  <si>
    <t xml:space="preserve">TSel FocusActSum Visit Posko Siaga ADITYA JAYA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</si>
  <si>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</si>
  <si>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</si>
  <si>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</si>
  <si>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</si>
  <si>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</si>
  <si>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</si>
  <si>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</si>
  <si>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</si>
  <si>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</si>
  <si>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</si>
  <si>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</si>
  <si>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PLN IP PIKK FestBz 4 CrowdControl SANDI FITRIANSYAH  </t>
  </si>
  <si>
    <t xml:space="preserve">PLN IP PIKK FestBz Stage,Gate,FOH,dll IBNU CHUZAYMAH  </t>
  </si>
  <si>
    <t>TSel BOS  03958  MCM InhouseTrf  KE SAFIIH</t>
  </si>
  <si>
    <t xml:space="preserve">TSel Aquabike Toba 03965 MCM InhouseTrf  KE JULIANTI HALIM </t>
  </si>
  <si>
    <t>TSel FocusActSum    03964  BSMDIDJA/AULIA AYU ASYURA</t>
  </si>
  <si>
    <t xml:space="preserve">TSel DRM Meeting A1  03949  MCM InhouseTrf  KE PANTRAVEL </t>
  </si>
  <si>
    <t>TSel FocusActSum     03957 MCM InhouseTrf  KE PANTRAVEL</t>
  </si>
  <si>
    <t xml:space="preserve">TSel PON XII AS Hadi03971   BNINIDJA/HADI PRASTYA UTAMA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</si>
  <si>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</si>
  <si>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</si>
  <si>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</si>
  <si>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</si>
  <si>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TSel RAN NAS Q4     03936  BBIJIDJA/I PUTU EKA UDAYANA RUDITA,ST </t>
  </si>
  <si>
    <t>TSel Aquabike Toba  03935   BNINIDJA/HADI PRASTYA UTAMA</t>
  </si>
  <si>
    <t>TSel API Sales RP   03934   BSMDIDJA/AMANDA LUGAS CAISARIO</t>
  </si>
  <si>
    <t>TSel FocusActSum    04002 BNINIDJA/JOSIA PRANANTA TARIGAN</t>
  </si>
  <si>
    <t xml:space="preserve">TSel AlignRevSum    04026    BSMDIDJA/AULIA AYU ASYURA </t>
  </si>
  <si>
    <t xml:space="preserve">Sewa gedung Des      03793  MCM InhouseTrf  KE PANTRAVEL </t>
  </si>
  <si>
    <t xml:space="preserve">TSel Align Rev Sum  04221  BNINIDJA/FATIMAH RIMA RAMADHANI </t>
  </si>
  <si>
    <t>PLN IP PIKK Fest Bzr Sewa Ramp Cable IFT_TO_ENDRIK SUYANTO ESB:CMSX:000L700F:2501107347182</t>
  </si>
  <si>
    <t>Biaya Pengiriman Dokument Invoicing  PLN IP Area Semarang</t>
  </si>
  <si>
    <t>Straples 5 pcs</t>
  </si>
  <si>
    <t>Isi Straples 8 pax</t>
  </si>
  <si>
    <t xml:space="preserve">TSel AlignRevSum OB&amp;Driver Batam  YOGI PURWO WIDODO </t>
  </si>
  <si>
    <t xml:space="preserve">PLN IP PIKK FestBz LED+Switcher  WIDI SURYA BUDIANA </t>
  </si>
  <si>
    <t xml:space="preserve">BRI BTK Brimo Fest Anggi Marito BPW SAHADEWA BASUN  </t>
  </si>
  <si>
    <t xml:space="preserve">BRI BTK Brimo Fest Bath utilities BOD BPW SAHADEWA BASUN  </t>
  </si>
  <si>
    <t>UBP60215001202FFFFFF029605884375113 : PPh-21 Desember 2024</t>
  </si>
  <si>
    <t>Inter Accounts</t>
  </si>
  <si>
    <t>KBUMN Natal 2024</t>
  </si>
  <si>
    <t>Ayat Silang</t>
  </si>
  <si>
    <t xml:space="preserve">Pembayaran add cost Taxi MS Tour/ Elgin </t>
  </si>
  <si>
    <t>002/PCMI/AR/I/2025</t>
  </si>
  <si>
    <t>003/PCMI/AR/I/2025</t>
  </si>
  <si>
    <t>006/PCMI/AR/I/2025</t>
  </si>
  <si>
    <t>008/PCMI/AR/II/2025</t>
  </si>
  <si>
    <t>012/PCMI/AR/II/2025</t>
  </si>
  <si>
    <t>Shell Indonesia, PT</t>
  </si>
  <si>
    <t xml:space="preserve">TSel EventKnowFest   04790  Trf  KE LINGKARAN EDUKASI KREATIF </t>
  </si>
  <si>
    <t xml:space="preserve">TSel EventKnowFest   04789 Trf  KE LINGKARAN EDUKASI KREATIF </t>
  </si>
  <si>
    <t>217/PCMI/AR/XII/2023</t>
  </si>
  <si>
    <t>269/PCMI/AR/XII/2024</t>
  </si>
  <si>
    <t>270/PCMI/AR/XII/2024</t>
  </si>
  <si>
    <t>PPh-4 Ayat 2</t>
  </si>
  <si>
    <t>PPh-23 yang Dipungut tapi Belum/Tidak Disetor</t>
  </si>
  <si>
    <t>PPh-25 Pajak Badan</t>
  </si>
  <si>
    <t>PPh-25 Pajak Badan Th 2022</t>
  </si>
  <si>
    <t>PPh-25 Pajak Badan Th 2023</t>
  </si>
  <si>
    <t>PPh-21</t>
  </si>
  <si>
    <t>Penerbitan Bukti Potong dan Setoran PPh-21 sepanjang 2023</t>
  </si>
  <si>
    <t>Penerbitan Bukti Potong dan Setoran PPh-23 sepanjang 2024</t>
  </si>
  <si>
    <t>BRI Corp Card JT-Feb</t>
  </si>
  <si>
    <t>Gopay-Gojek - Pengantaran Dokumen Visa Korea-Employee Gathering</t>
  </si>
  <si>
    <t>Starbucks - Pengecekan dan Penyerahan Dokument Visa Korea outting PCM</t>
  </si>
  <si>
    <t>UOB Master JT-Mar</t>
  </si>
  <si>
    <t>CO., LTD. PETITE FRAN GAPYEONG-GUN - Tiket Masuk Petite France 13 Pax</t>
  </si>
  <si>
    <t>KICC_HAEOI Seoul- Tiket Masuk Include Penyeberangan Ferry Nami Island</t>
  </si>
  <si>
    <t>NONGEOBHOISABEOBINJOOS Gapyeong-gun - Tiket Masuk Garden Of Morning Calm</t>
  </si>
  <si>
    <t>CO.,LTD SHOULDER COMPA SEOUL - Sewa Hanbook Gyeongbok Palace</t>
  </si>
  <si>
    <t>KOREA ROPEWAY INDUSTRY SEOUL - Tiket Masuk Include Cable Car Return Namsan Tower</t>
  </si>
  <si>
    <t>Mandiri Visa - JT Mar</t>
  </si>
  <si>
    <t>JOOSIKHWESA SINHWAPOOD INCHEON KR - Lunch At Incheon</t>
  </si>
  <si>
    <t>7-ELEVEN SEOUL KR - Sarapan Untuk Staff</t>
  </si>
  <si>
    <t>SERVICE 1409859INCHEON KR - Sarapan Untuk Staff</t>
  </si>
  <si>
    <t>HAN RIVER BARBECUE SEOUL KR - Dinner Staff</t>
  </si>
  <si>
    <t>SUMHANG 5682954CHUNCHEON-SI KR- Lunch Staff</t>
  </si>
  <si>
    <t>CO.,LTD NAMMUN 6018442CHUNCHEON-SI KR - Jajanan Di Namun Island</t>
  </si>
  <si>
    <t>IGA&amp;YUKHOIMALYEONEO Seoul KR - Lunch Staff</t>
  </si>
  <si>
    <t>CO., LTD TOSOKCHON GINSENSEOUL KR - Lunch Staff</t>
  </si>
  <si>
    <t>DALGANG 0794008SEOUL KR- Bfast,Tissue,Noodle</t>
  </si>
  <si>
    <t>BRI Corp Card JT-Mar</t>
  </si>
  <si>
    <t>Co Ltd Nammun - Beli Kopi 2 Cup Di Nami Island - Pcmi Trip</t>
  </si>
  <si>
    <t>CA-005/24 Yulie</t>
  </si>
  <si>
    <t>Tip bus driver - (180.000 Won * Rp11.9)</t>
  </si>
  <si>
    <t>Roti&amp; otherbfast - (16.000 Won * Rp11.9)</t>
  </si>
  <si>
    <t>Roti&amp; otherbfast - (66.800 Won * Rp11.9)</t>
  </si>
  <si>
    <t>Cash bus - (3.825.000 Won * Rp11.9)</t>
  </si>
  <si>
    <t>Cash untuk staff 12 x @400.000 (4.800.000 Won * Rp11.9)</t>
  </si>
  <si>
    <t>Deposit u/seafood - (130.000 Won * Rp11.9)</t>
  </si>
  <si>
    <t>Cash untuk AH - (400.000 Won * Rp11.9)</t>
  </si>
  <si>
    <t>Cash untuk Staff 12 x @15.000 - (180.000 Won * Rp11.9)</t>
  </si>
  <si>
    <t>Cash untuk Breakfast - (63.700 Won * Rp11.9)</t>
  </si>
  <si>
    <t>Tambahan Breakfast - (22.350 Won * Rp11.9)</t>
  </si>
  <si>
    <t>Breakfast - (13.000 Won * Rp11.9)</t>
  </si>
  <si>
    <t>Tambahan Breakfast - (12.800 Won * Rp11.9)</t>
  </si>
  <si>
    <t>Cash Makan siang 12 x @15,000 - (180.000 Won * Rp11.9)</t>
  </si>
  <si>
    <t>Cash  Malam untk tgl 12 - (180.000 Won * Rp11.9)</t>
  </si>
  <si>
    <t>AutoRent</t>
  </si>
  <si>
    <t>Selisih Lebih Bayar</t>
  </si>
  <si>
    <t>Salary sesuai Laporan Pajak 2023</t>
  </si>
  <si>
    <t>DH</t>
  </si>
  <si>
    <t>Kekurangan BCA 666 atas  Bonus BOD and Shareholder : Rp. 1.000.000.000 x 2</t>
  </si>
  <si>
    <t>Mutasi Mandiri 2025</t>
  </si>
  <si>
    <t>Photocopy Des OSC OFFICE MACHINE : Rp. 736.486</t>
  </si>
  <si>
    <t>WA AH 7-Mar-25 : Alokasi dana staff outing and training Rp. 250.000.000</t>
  </si>
  <si>
    <t>WA AH 7-Mar-25 : KPI - Bonus Staff Perfomance 2024</t>
  </si>
  <si>
    <t>BRI Tebet - Mutasi 2024</t>
  </si>
  <si>
    <t>CGW619001 SUTARNO</t>
  </si>
  <si>
    <t>Cash IDR - Mutasi 2024</t>
  </si>
  <si>
    <t>Cetak Laporan Kegiatan Grow &amp; Green BRI</t>
  </si>
  <si>
    <t>Cetak Laporan Kegiatan Pasar Murah Merdeka</t>
  </si>
  <si>
    <t>MA Cilegon Festival 02400  BNINIDJA/MARKASIA</t>
  </si>
  <si>
    <t>WA EH-AH-DH 6Dec CENAIDJA/DAVID HARSAMTO</t>
  </si>
  <si>
    <t>WA EH-AH-DH 6Dec23 CENAIDJA/DAVID HARSAMTO</t>
  </si>
  <si>
    <t>Mutasi BCA Juanda 2025</t>
  </si>
  <si>
    <t>Mutasi Bank Mandiri 2025</t>
  </si>
  <si>
    <t>Mutasi BRI Sahardjo 2025</t>
  </si>
  <si>
    <t>Mutasi Cash IDR 2025</t>
  </si>
  <si>
    <t>Whatsapp Yogi : 27-feb-2025 18:03 (File Report Telkomsel 2024)</t>
  </si>
  <si>
    <t>Telkomsel Hear Me at GraPARI 2024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</si>
  <si>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</si>
  <si>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</si>
  <si>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</si>
  <si>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</si>
  <si>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</si>
  <si>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BCA Juanda - Mutasi 2025</t>
  </si>
  <si>
    <t>Telkomsel Orbit Household Q4 2024</t>
  </si>
  <si>
    <t>Insight Investments Management, PT</t>
  </si>
  <si>
    <t>Kustodian Sentral Efek Indonesia, PT</t>
  </si>
  <si>
    <t>149/PCMI/AR/X/2024</t>
  </si>
  <si>
    <t>150/PCMI/AR/IX/2024</t>
  </si>
  <si>
    <t>151/PCMI/AR/IX/2024</t>
  </si>
  <si>
    <t>152/PCMI/AR/IX/2024</t>
  </si>
  <si>
    <t>153/PCMI/AR/VII/2024</t>
  </si>
  <si>
    <t>168/PCMI/AR/VII/2024</t>
  </si>
  <si>
    <t>192/PCMI/AR/IX/2024</t>
  </si>
  <si>
    <t>194/PCMI/AR/IX/2024</t>
  </si>
  <si>
    <t>201/PCMI/AR/IX/2024</t>
  </si>
  <si>
    <t>202/PCMI/AR/X/2024</t>
  </si>
  <si>
    <t>207/PCMI/AR/IX/2024</t>
  </si>
  <si>
    <t>209/PCMI/AR/IX/2024</t>
  </si>
  <si>
    <t>215/PCMI/AR/X/2024</t>
  </si>
  <si>
    <t>216/PCMI/AR/XI/2024</t>
  </si>
  <si>
    <t>219/PCMI/AR/XI/2024</t>
  </si>
  <si>
    <t>223/PCMI/AR/XI/2024</t>
  </si>
  <si>
    <t>225/PCMI/AR/XI/2024</t>
  </si>
  <si>
    <t>229/PCMI/AR/XI/2024</t>
  </si>
  <si>
    <t>232/PCMI/AR/XI/2024</t>
  </si>
  <si>
    <t>233/PCMI/AR/XI/2024</t>
  </si>
  <si>
    <t>236/PCMI/AR/XI/2024</t>
  </si>
  <si>
    <t>242/PCMI/AR/XII/2024</t>
  </si>
  <si>
    <t>247/PCMI/AR/XII/2024</t>
  </si>
  <si>
    <t>249/PCMI/AR/XII/2024</t>
  </si>
  <si>
    <t>252/PCMI/AR/XII/2024</t>
  </si>
  <si>
    <t>254/PCMI/AR/XII/2024</t>
  </si>
  <si>
    <t>261/PCMI/AR/XII/2024</t>
  </si>
  <si>
    <t>264/PCMI/AR/XII/2024</t>
  </si>
  <si>
    <t>265/PCMI/AR/XII/2024</t>
  </si>
  <si>
    <t>267/PCMI/AR/XII/2024</t>
  </si>
  <si>
    <t>268/PCMI/AR/XII/2024</t>
  </si>
  <si>
    <t>275/PCMI/AR/XII/2024</t>
  </si>
  <si>
    <t>276/PCMI/AR/XII/2024</t>
  </si>
  <si>
    <t>277/PCMI/AR/XII/2024</t>
  </si>
  <si>
    <t>BTN Mini Olympic</t>
  </si>
  <si>
    <t>Orbitnesia Niaga Mas</t>
  </si>
  <si>
    <t>University of Waterloo</t>
  </si>
  <si>
    <t>Mirae Asset Sekuritas Indonesia, PT</t>
  </si>
  <si>
    <t>SABIC Asia Pacific Pte Ltd</t>
  </si>
  <si>
    <t>193/PCMI/AR/IX/2025</t>
  </si>
  <si>
    <t>PYC (Purnomo Yusgiantoro Center)</t>
  </si>
  <si>
    <t>Bridgestone Tire Indonesia, PT</t>
  </si>
  <si>
    <t xml:space="preserve">TSel EventKnowFest SoundWirelessGense TRIDAYA MEGA SWARA  </t>
  </si>
  <si>
    <t>Tower Bersama Group, PT</t>
  </si>
  <si>
    <t>Mandiri Pasar Murah 2025</t>
  </si>
  <si>
    <t>Intrareps</t>
  </si>
  <si>
    <t>eMail Yogi : Sunday, 31-Dec-2023 at 10:44, WA Yogi 20-Jul-25 Revisi cost</t>
  </si>
  <si>
    <t>PLN NPTKT CapBuildFee PO            ALEXADRUS NULIADY,</t>
  </si>
  <si>
    <t>Jun</t>
  </si>
  <si>
    <t>Jul</t>
  </si>
  <si>
    <t>Aug</t>
  </si>
  <si>
    <t>Sep</t>
  </si>
  <si>
    <t>Oct</t>
  </si>
  <si>
    <t>Nov</t>
  </si>
  <si>
    <t>Feb</t>
  </si>
  <si>
    <t>Apr</t>
  </si>
  <si>
    <t>BRI Brimo Festival 2023</t>
  </si>
  <si>
    <t>Telkomsel Event Knowledge Festival</t>
  </si>
  <si>
    <t>OCBC Visa</t>
  </si>
  <si>
    <t>Belanja masking 2 inch 15 roll, lakban kain 2 inchi 14 roll, DT linchi 2 lusin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</si>
  <si>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</si>
  <si>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</si>
  <si>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</si>
  <si>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</si>
  <si>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</si>
  <si>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</si>
  <si>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</si>
  <si>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</si>
  <si>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</si>
  <si>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</si>
  <si>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</si>
  <si>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</si>
  <si>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</si>
  <si>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</si>
  <si>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</si>
  <si>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</si>
  <si>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</si>
  <si>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PLN National Power Up Teluk KalTim Capacity Building</t>
  </si>
  <si>
    <t>Bank Syariah Indonesia</t>
  </si>
  <si>
    <t>BRI FGD Semarang</t>
  </si>
  <si>
    <t>Mutasi BCA Sahardjo 2025</t>
  </si>
  <si>
    <t>KBUMN Perayaan Natal Bersama 2023</t>
  </si>
  <si>
    <t>KBUMN Natal DP VS Band VIKY SIANIPAR PT : Rp, 133.200.000 : PPn Masukan</t>
  </si>
  <si>
    <t>MANDIRI Mid Plaza</t>
  </si>
  <si>
    <t>IDX ICME Tokyo</t>
  </si>
  <si>
    <t>Non Cash Bank 2025</t>
  </si>
  <si>
    <t>PPh-25 Pajak Badan SPT Th 2024</t>
  </si>
  <si>
    <t>BRI Kunjungan Kerja Bogor DPR Komisi XI</t>
  </si>
  <si>
    <t>HIMBARA FGD Semarang</t>
  </si>
  <si>
    <t>Sembako Palembang</t>
  </si>
  <si>
    <t>Sembako Jakarta</t>
  </si>
  <si>
    <t>Sembako Jayapura</t>
  </si>
  <si>
    <t>Sembako Kupang : Rp. 134.757.000</t>
  </si>
  <si>
    <t>Sembako Semarang</t>
  </si>
  <si>
    <t>Sembako Medan</t>
  </si>
  <si>
    <t>Sembako Bandung</t>
  </si>
  <si>
    <t>Sembako Samarinda</t>
  </si>
  <si>
    <t>Sembako Surabaya</t>
  </si>
  <si>
    <t>Sembako Makasar</t>
  </si>
  <si>
    <t>Sisa sembako Jayapura</t>
  </si>
  <si>
    <t>SETORAN TUNAI PEMBAYARAN MANDIRI FGD IKN,</t>
  </si>
  <si>
    <t>Mandiri FGD IKN</t>
  </si>
  <si>
    <t>Dec</t>
  </si>
  <si>
    <t>CR 12/22 Z27J1  TIKA RISKI ASTARI : WA Tika 2-Jan-26 - Mandiri FGD IKN dari Patrice</t>
  </si>
  <si>
    <t>Mandiri Pasar Murah</t>
  </si>
  <si>
    <t>BRI Journalist Bootcamp</t>
  </si>
  <si>
    <t>BSIN Tomo Gathering</t>
  </si>
  <si>
    <t>BTN Excellence Award</t>
  </si>
  <si>
    <t>Cirebon Power Employee Gathering Bandung</t>
  </si>
  <si>
    <t>PPn Masukan</t>
  </si>
  <si>
    <t>Mar</t>
  </si>
  <si>
    <t>May</t>
  </si>
  <si>
    <t>124/PCMI/AR/VI/2024</t>
  </si>
  <si>
    <t>141/PCMI/AR/IX/2024</t>
  </si>
  <si>
    <t>142/PCMI/AR/IX/2024</t>
  </si>
  <si>
    <t>143/PCMI/AR/IX/2024</t>
  </si>
  <si>
    <t>PLN Indonesia Power, PT</t>
  </si>
  <si>
    <t>203/PCMI/AR/IX/2024</t>
  </si>
  <si>
    <t>231/PCMI/AR/XI/2024</t>
  </si>
  <si>
    <t>238/PCMI/AR/XI/2024</t>
  </si>
  <si>
    <t>PLN Indonesia Power</t>
  </si>
  <si>
    <t>286/PCMI/AR/XII/2024</t>
  </si>
  <si>
    <t>Kurang Bayar</t>
  </si>
  <si>
    <t>PPn Kurang Bayar</t>
  </si>
  <si>
    <t>AP PPN</t>
  </si>
  <si>
    <t>Kurang Bayar PPh-21 Karyawan Th 2024</t>
  </si>
  <si>
    <t>PPh-23 Th 2025</t>
  </si>
  <si>
    <t>PPh-23 Tahun 2025 : Disetor di 23-Jan-2026</t>
  </si>
  <si>
    <t>PPh-4 Ayat 2 Tahun 2025 : Disetor di 23-Jan-2026</t>
  </si>
  <si>
    <t>PPh-4 Ayat 2 yang Dipungut tapi Belum/Tidak Disetor</t>
  </si>
  <si>
    <t>PPN Kurang Bayar</t>
  </si>
  <si>
    <t>PAYMENT IN 2025</t>
  </si>
  <si>
    <t>PPn WAPU - 2023</t>
  </si>
  <si>
    <t>PPn WAPU - 2025</t>
  </si>
  <si>
    <t>PPn WAPU - 2024</t>
  </si>
  <si>
    <t>Masa</t>
  </si>
  <si>
    <t>No Faktur</t>
  </si>
  <si>
    <t>Client / Supplier</t>
  </si>
  <si>
    <t>WAPU - PAID</t>
  </si>
  <si>
    <t>AP PPN WAPU</t>
  </si>
  <si>
    <t>03002500122943847</t>
  </si>
  <si>
    <t>085/91/PCMI/AR/V/2025</t>
  </si>
  <si>
    <t>03002500381561870</t>
  </si>
  <si>
    <t>206/290/PCMI/AR/XI/2025</t>
  </si>
  <si>
    <t>03002500385149558</t>
  </si>
  <si>
    <t>210/296/PCMI/AR/XI/2025</t>
  </si>
  <si>
    <t>03002500384749398</t>
  </si>
  <si>
    <t>208/294/PCMI/AR/XI/2025</t>
  </si>
  <si>
    <t>203/287/PCMI/AR/XI/2025</t>
  </si>
  <si>
    <t>PT Pantravel</t>
  </si>
  <si>
    <t>PT Jasa Tirta Luhur</t>
  </si>
  <si>
    <t>PT OSC Office Machinery</t>
  </si>
  <si>
    <t>PT Jakarta International Expo</t>
  </si>
  <si>
    <t>PT Autorent Lancar Sejahtera</t>
  </si>
  <si>
    <t>Viky Sianipar</t>
  </si>
  <si>
    <t>Lebih bayar PPN April'24 pemindahan ke masa Jan'25 - pembetulan SPT</t>
  </si>
  <si>
    <t>04022500005534614</t>
  </si>
  <si>
    <t>PT Mineral Industri Indonesia</t>
  </si>
  <si>
    <t>04002500011163048</t>
  </si>
  <si>
    <t xml:space="preserve">PT Bank Rakyat Indonesia </t>
  </si>
  <si>
    <t>03002500011162409</t>
  </si>
  <si>
    <t>PT Tridaya Mega Swara</t>
  </si>
  <si>
    <t>PT Enersindo Prima Jaya</t>
  </si>
  <si>
    <t>PT Auvi Delapan Sembilan</t>
  </si>
  <si>
    <t>PT Juara Bike</t>
  </si>
  <si>
    <t>PT Mora Telematika Indonesia Tbk</t>
  </si>
  <si>
    <t>03002500014653112</t>
  </si>
  <si>
    <t>PT Bank Mandiri (Persero)</t>
  </si>
  <si>
    <t>03002500014653802</t>
  </si>
  <si>
    <t>PT Danareksa (Persero)</t>
  </si>
  <si>
    <t>009/9/PCMI/AR/II/2025</t>
  </si>
  <si>
    <t>03002500014653800</t>
  </si>
  <si>
    <t>PT Bank Tabungan Negara</t>
  </si>
  <si>
    <t>007/7/PCMI/AR/II/2025</t>
  </si>
  <si>
    <t>03002500014653801</t>
  </si>
  <si>
    <t>PT Asuransi Jiwa IFG</t>
  </si>
  <si>
    <t>03002500014654394</t>
  </si>
  <si>
    <t>PT Semen Indonesia (Persero) Tbk</t>
  </si>
  <si>
    <t>004/PCMI/AR/II/2025</t>
  </si>
  <si>
    <t>03002500017792281</t>
  </si>
  <si>
    <t>03002500017816620</t>
  </si>
  <si>
    <t>017/17/PCMI/AR/II/2025</t>
  </si>
  <si>
    <t>03002500017823012</t>
  </si>
  <si>
    <t>PT Aneka Tambang Tbk</t>
  </si>
  <si>
    <t>018/18/PCMI/AR/II/2025</t>
  </si>
  <si>
    <t>03002500017828416</t>
  </si>
  <si>
    <t>PT Pupuk Indonesia (Persero)</t>
  </si>
  <si>
    <t>020/20/PCMI/AR/II/2025</t>
  </si>
  <si>
    <t>03002500017831920</t>
  </si>
  <si>
    <t>022/22/PCMI/AR/II/2025</t>
  </si>
  <si>
    <t>03002500017834940</t>
  </si>
  <si>
    <t>PT Asuransi Kredit Indonesia</t>
  </si>
  <si>
    <t>028/28/PCMI/AR/II/2025</t>
  </si>
  <si>
    <t>03002500017838105</t>
  </si>
  <si>
    <t>PT Jasamarga</t>
  </si>
  <si>
    <t>030/30/PCMI/AR/II/2025</t>
  </si>
  <si>
    <t>03002500017841815</t>
  </si>
  <si>
    <t>031/31/PCMI/AR/II/2025</t>
  </si>
  <si>
    <t>03002500017848362</t>
  </si>
  <si>
    <t>PT Vale Indonesia Tbk</t>
  </si>
  <si>
    <t>041/41/PCMI/AR/II/2025</t>
  </si>
  <si>
    <t>03002500017851244</t>
  </si>
  <si>
    <t>032/32/PCMI/AR/II/2025</t>
  </si>
  <si>
    <t>03002500017852923</t>
  </si>
  <si>
    <t>PT Hutama Karya (Persero)</t>
  </si>
  <si>
    <t>034/34/PCMI/AR/II/2025</t>
  </si>
  <si>
    <t>03002500017853709</t>
  </si>
  <si>
    <t>PT Asdp Indonesia Ferry</t>
  </si>
  <si>
    <t>035/35/PCMI/AR/II/2025</t>
  </si>
  <si>
    <t>03002500019298792</t>
  </si>
  <si>
    <t>PT Pelayaran Nasional Indonesia (Persero)</t>
  </si>
  <si>
    <t>033/33/PCMI/AR/II/2025</t>
  </si>
  <si>
    <t>03002500025903117</t>
  </si>
  <si>
    <t>PT Freeport Indonesia</t>
  </si>
  <si>
    <t>045/45/PCMI/AR/II/2025</t>
  </si>
  <si>
    <t>03002500025908592</t>
  </si>
  <si>
    <t>PT Indonesia Asahan Aluminium (Persero)</t>
  </si>
  <si>
    <t>044/44/PCMI/AR/II/2025</t>
  </si>
  <si>
    <t>03002500025913559</t>
  </si>
  <si>
    <t>PT Bukit Asam Tbk</t>
  </si>
  <si>
    <t>043/43/PCMI/AR/II/2025</t>
  </si>
  <si>
    <t>03002500025924487</t>
  </si>
  <si>
    <t>PT Asuransi Jasa Indonesia</t>
  </si>
  <si>
    <t>029/29/PCMI/AR/II/2025</t>
  </si>
  <si>
    <t>03002500025932772</t>
  </si>
  <si>
    <t>PT Jaminan Kredit Indonesia</t>
  </si>
  <si>
    <t>027/27/PCMI/AR/II/2025</t>
  </si>
  <si>
    <t>03002500025938707</t>
  </si>
  <si>
    <t>PT Timah Tbk</t>
  </si>
  <si>
    <t>025/25/PCMI/AR/II/2025</t>
  </si>
  <si>
    <t>03002500025946291</t>
  </si>
  <si>
    <t>PT Perusahaan Listrik Negara (Persero)</t>
  </si>
  <si>
    <t>024//24/PCMI/AR/II/2025</t>
  </si>
  <si>
    <t>03002500025952899</t>
  </si>
  <si>
    <t>PT Pembangunan Perumahan (Persero) Tbk</t>
  </si>
  <si>
    <t>023/23/PCMI/AR/II/2025</t>
  </si>
  <si>
    <t>PT Bank Negara Indonesia (Persero)</t>
  </si>
  <si>
    <t>03002500025973889</t>
  </si>
  <si>
    <t>PT Bahana Pembinaan Usaha Indonesia (Persero)</t>
  </si>
  <si>
    <t>042/42/PCMI/AR/II/2025</t>
  </si>
  <si>
    <t>03002500039062485</t>
  </si>
  <si>
    <t>PT Pelabuhan Indonesia (Persero)</t>
  </si>
  <si>
    <t>021/21/PCMI/AR/II/2025</t>
  </si>
  <si>
    <t>03002500039064622</t>
  </si>
  <si>
    <t>PT Asuransi Kerugian Jasa Raharja</t>
  </si>
  <si>
    <t>026/26/PCMI/AR/II/2025</t>
  </si>
  <si>
    <t>03002500039209950</t>
  </si>
  <si>
    <t>PT Telekomunikasi Selular (Telkomsel)</t>
  </si>
  <si>
    <t>048/48/PCMI/AR/II/2025</t>
  </si>
  <si>
    <t>03002500039210226</t>
  </si>
  <si>
    <t>013/13/PCMI/AR/II/2025</t>
  </si>
  <si>
    <t>03002500044252913</t>
  </si>
  <si>
    <t>PT PLN Indonesia Power</t>
  </si>
  <si>
    <t>050/46/PCMI/AR/II/2025</t>
  </si>
  <si>
    <t>03002500047274067</t>
  </si>
  <si>
    <t>001/1/PCMI/AR/II/2025</t>
  </si>
  <si>
    <t>04002500017787987</t>
  </si>
  <si>
    <t>PT Pertamina (Persero)</t>
  </si>
  <si>
    <t>04002500017797319</t>
  </si>
  <si>
    <t>04002500019294469</t>
  </si>
  <si>
    <t>04002500025991282</t>
  </si>
  <si>
    <t>PT Telkom Indonesia (Persero) Tbk</t>
  </si>
  <si>
    <t>04002500039210369</t>
  </si>
  <si>
    <t>04002500048710035</t>
  </si>
  <si>
    <t>PT Shell Indonesia</t>
  </si>
  <si>
    <t>04002500049895468</t>
  </si>
  <si>
    <t>PT Hariff Daya Tunggal Engineering</t>
  </si>
  <si>
    <t>04012500017780802</t>
  </si>
  <si>
    <t>PT Bintang Langit Multimedia</t>
  </si>
  <si>
    <t>PT Exabytes Network Indonesia</t>
  </si>
  <si>
    <t>03002500051976677</t>
  </si>
  <si>
    <t>054/53/PCMI/AR/III/2025</t>
  </si>
  <si>
    <t>03002500051981633</t>
  </si>
  <si>
    <t>PT Pegadaian</t>
  </si>
  <si>
    <t>014/14/PCMI/AR/III/2025</t>
  </si>
  <si>
    <t>03002500052936857</t>
  </si>
  <si>
    <t>PT Taspen (Persero)</t>
  </si>
  <si>
    <t>016/16/PCMI/AR/II/2025</t>
  </si>
  <si>
    <t>03002500054908612</t>
  </si>
  <si>
    <t>051/151/PCMI/AR/III/2025</t>
  </si>
  <si>
    <t>03002500057769164</t>
  </si>
  <si>
    <t>055/56/PCMI/AR/III/2025</t>
  </si>
  <si>
    <t>03002500062293586</t>
  </si>
  <si>
    <t>057/58/PCMI/AR/III/2025</t>
  </si>
  <si>
    <t>03002500062207923</t>
  </si>
  <si>
    <t xml:space="preserve"> 056/57/PCMI/AR/III/2025</t>
  </si>
  <si>
    <t>03002500062099793</t>
  </si>
  <si>
    <t>019/19/PCMI/AR/III/2025</t>
  </si>
  <si>
    <t>03002500062956755</t>
  </si>
  <si>
    <t>058/60/PCMI/AR/III/2025</t>
  </si>
  <si>
    <t>03002500066353796</t>
  </si>
  <si>
    <t>059/61/PCMI/AR/III/2025</t>
  </si>
  <si>
    <t>03002500067812094</t>
  </si>
  <si>
    <t>PT PLN Nusantara Power</t>
  </si>
  <si>
    <t>046/223/PCMI/AR/III/2025</t>
  </si>
  <si>
    <t>03002500070373069</t>
  </si>
  <si>
    <t>062/64/PCMI/AR/III/2025</t>
  </si>
  <si>
    <t>03002500070725297</t>
  </si>
  <si>
    <t>PT Infrastruktur Telekomunikasi Indonesia</t>
  </si>
  <si>
    <t>063/65/PCMI/AR/III/2025</t>
  </si>
  <si>
    <t>03002500079126607</t>
  </si>
  <si>
    <t>065/68/PCMI/AR/III/2025</t>
  </si>
  <si>
    <t>03002500079408521</t>
  </si>
  <si>
    <t>066/69/PCMI/AR/III/2025</t>
  </si>
  <si>
    <t>03002500079853504</t>
  </si>
  <si>
    <t>049/49/PCMI/AR/III/2025</t>
  </si>
  <si>
    <t>061/62/PCMI/AR/III/2025</t>
  </si>
  <si>
    <t>064/66/PCMI/AR/III/2025</t>
  </si>
  <si>
    <t>PT Abhimata Citra Abadi</t>
  </si>
  <si>
    <t>067/74/PCMI/AR/III/2025</t>
  </si>
  <si>
    <t>PT Suprima Mitra Adihusada</t>
  </si>
  <si>
    <t>03002500091823428</t>
  </si>
  <si>
    <t>047/225/PCMI/AR/IV/2025</t>
  </si>
  <si>
    <t>03002500104735631</t>
  </si>
  <si>
    <t>068/75/PCMI/AR/IV/2025</t>
  </si>
  <si>
    <t>03002500105277353</t>
  </si>
  <si>
    <t>010/10/PCMI/AR/IV/2025</t>
  </si>
  <si>
    <t>03002500106932541</t>
  </si>
  <si>
    <t>071/81/PCMI/AR/IV/2025</t>
  </si>
  <si>
    <t>Faktur PPn sudah dibatalkan</t>
  </si>
  <si>
    <t>04002500108452904</t>
  </si>
  <si>
    <t xml:space="preserve"> 075/213/PCMI/AR/IV/2025</t>
  </si>
  <si>
    <t>04002500108886660</t>
  </si>
  <si>
    <t>PT Profesional Telekomunikasi Indonesia</t>
  </si>
  <si>
    <t>072/78/PCMI/AR/IV/2025</t>
  </si>
  <si>
    <t>04002500108886659</t>
  </si>
  <si>
    <t>073/79/PCMI/AR/IV/2025</t>
  </si>
  <si>
    <t>04002500108886658</t>
  </si>
  <si>
    <t>074/80/PCMI/AR/IV/2025</t>
  </si>
  <si>
    <t>04002500109823706</t>
  </si>
  <si>
    <t>PT Centratama Menara Indonesia</t>
  </si>
  <si>
    <t>079/85/PCMI/AR/IV/2025</t>
  </si>
  <si>
    <t>05002500106162723</t>
  </si>
  <si>
    <t>PT Trimegah Asset Management</t>
  </si>
  <si>
    <t>069/76/PCMI/AR/IV/2025</t>
  </si>
  <si>
    <t>05002500106158606</t>
  </si>
  <si>
    <t>070/77/PCMI/AR/IV/2025</t>
  </si>
  <si>
    <t>05002500108523292</t>
  </si>
  <si>
    <t>076/82/PCMI/AR/IV/2025</t>
  </si>
  <si>
    <t>05012500108615047</t>
  </si>
  <si>
    <t>077/83/PCMI/AR/IV/2025</t>
  </si>
  <si>
    <t>05002500112428211</t>
  </si>
  <si>
    <t>081/87/PCMI/AR/IV/2025</t>
  </si>
  <si>
    <t>Juara Bike</t>
  </si>
  <si>
    <t>03002500126595376</t>
  </si>
  <si>
    <t>087/93/PCMI/AR/V/2025</t>
  </si>
  <si>
    <t>03002500126597689</t>
  </si>
  <si>
    <t>088/94/PCMI/AR/V/2025</t>
  </si>
  <si>
    <t>03002500120225847</t>
  </si>
  <si>
    <t>082/88/PCMI/AR/V/2025</t>
  </si>
  <si>
    <t>03002500120307357</t>
  </si>
  <si>
    <t>083/89/PCMI/AR/V/2025</t>
  </si>
  <si>
    <t>05002500138170215</t>
  </si>
  <si>
    <t>097/103/PCMI/AR/V/2025</t>
  </si>
  <si>
    <t>05002500136071556</t>
  </si>
  <si>
    <t>093/99/PCMI/AR/V/2025</t>
  </si>
  <si>
    <t>03002500125523081</t>
  </si>
  <si>
    <t>086/92/PCMI/AR/V/2025</t>
  </si>
  <si>
    <t>05002500139577894</t>
  </si>
  <si>
    <t>099/105/PCMI/AR/V/2025</t>
  </si>
  <si>
    <t>03002500128418310</t>
  </si>
  <si>
    <t>089/95/PCMI/AR/V/2025</t>
  </si>
  <si>
    <t>05002500136068692</t>
  </si>
  <si>
    <t>092/98/PCMI/AR/V/2025</t>
  </si>
  <si>
    <t>03002500128421026</t>
  </si>
  <si>
    <t>090/96/PCMI/AR/V/2025</t>
  </si>
  <si>
    <t>05002500136074134</t>
  </si>
  <si>
    <t>094/100/PCMI/AR/V/2025</t>
  </si>
  <si>
    <t>03002500128422871</t>
  </si>
  <si>
    <t>091/97/PCMI/AR/V/2025</t>
  </si>
  <si>
    <t>03002500119750219</t>
  </si>
  <si>
    <t>080/86/PCMI/AR/V/2025</t>
  </si>
  <si>
    <t>03002500145203454</t>
  </si>
  <si>
    <t>101/107/PCMI/AR/V/2025</t>
  </si>
  <si>
    <t>05002500138107125</t>
  </si>
  <si>
    <t>095/101/PCMI/AR/V/2025</t>
  </si>
  <si>
    <t>05002500138184177</t>
  </si>
  <si>
    <t>098/104/PCMI/AR/V/2025</t>
  </si>
  <si>
    <t>05002500138143574</t>
  </si>
  <si>
    <t>096/102/PCMI/AR/V/2025</t>
  </si>
  <si>
    <t>03002500119725961</t>
  </si>
  <si>
    <t>078/84/PCMI/AR/V/2025</t>
  </si>
  <si>
    <t>03002500144269650</t>
  </si>
  <si>
    <t>060/59/PCMI/AR/V/2025</t>
  </si>
  <si>
    <t>05002500121530182</t>
  </si>
  <si>
    <t>084/90/PCMI/AR/V/2025</t>
  </si>
  <si>
    <t>Juni 2025</t>
  </si>
  <si>
    <t>PT Biro Perjalanan Wisata Sahadewa Basundari Bali</t>
  </si>
  <si>
    <t>PT Sumber Mulia Hasil Guna</t>
  </si>
  <si>
    <t>PT Qontak Tumbuh Makmur</t>
  </si>
  <si>
    <t>03002500178789737</t>
  </si>
  <si>
    <t>108/117/PCMI/AR/VI/2025</t>
  </si>
  <si>
    <t>03002500184506428</t>
  </si>
  <si>
    <t>111/120/PCMI/AR/VI/2025</t>
  </si>
  <si>
    <t>03002500155179228</t>
  </si>
  <si>
    <t>031/31/PCMI/AR/VI/2025</t>
  </si>
  <si>
    <t>DOUBLE ????</t>
  </si>
  <si>
    <t>05012500154738426</t>
  </si>
  <si>
    <t>BPJS Ketenagakerjaan</t>
  </si>
  <si>
    <t>104/113/PCMI/AR/VI/2025</t>
  </si>
  <si>
    <t>05002500154732973</t>
  </si>
  <si>
    <t>103/112/PCMI/AR/VI/2025</t>
  </si>
  <si>
    <t>05012500154740458</t>
  </si>
  <si>
    <t>105/114/PCMI/AR/VI/2025</t>
  </si>
  <si>
    <t>05002500173810752</t>
  </si>
  <si>
    <t>107/116/PCMI/AR/VI/2025</t>
  </si>
  <si>
    <t>05002500153629003</t>
  </si>
  <si>
    <t>102/111/PCMI/AR/VI/2025</t>
  </si>
  <si>
    <t>05002500186995670</t>
  </si>
  <si>
    <t>112/121/PCMI/AR/VI/2025</t>
  </si>
  <si>
    <t>05012500154744444</t>
  </si>
  <si>
    <t>106/115/PCMI/AR/VI/2025</t>
  </si>
  <si>
    <t>03002500179285948</t>
  </si>
  <si>
    <t>109/118/PCMI/AR/VI/2025</t>
  </si>
  <si>
    <t>03002500180731339</t>
  </si>
  <si>
    <t>110/119/PCMI/AR/VI/2025</t>
  </si>
  <si>
    <t>03002500176308882</t>
  </si>
  <si>
    <t>100/106/PCMI/AR/VI/2025</t>
  </si>
  <si>
    <t>PT Asia Utama Konsultan</t>
  </si>
  <si>
    <t>PT Arista Elektrika Indonesia</t>
  </si>
  <si>
    <t>05002500219206642</t>
  </si>
  <si>
    <t>141/157/PCMI/AR/VII/2025</t>
  </si>
  <si>
    <t>05002500219351702</t>
  </si>
  <si>
    <t>143/160/PCMI/AR/VII/2025</t>
  </si>
  <si>
    <t>05002500201294949</t>
  </si>
  <si>
    <t>139/155/PCMI/AR/VII/2025</t>
  </si>
  <si>
    <t>04002500228443308</t>
  </si>
  <si>
    <t>144/162/PCMI/AR/VIII/2025</t>
  </si>
  <si>
    <t>04002500228445254</t>
  </si>
  <si>
    <t>145/163/PCMI/AR/VIII/2025</t>
  </si>
  <si>
    <t>05002500219342648</t>
  </si>
  <si>
    <t>142/159/PCMI/AR/VII/2025</t>
  </si>
  <si>
    <t>05002500225158754</t>
  </si>
  <si>
    <t>146/164/PCMI/AR/VII/2025</t>
  </si>
  <si>
    <t>05002500196077062</t>
  </si>
  <si>
    <t>116/125/PCMI/AR/VII/2025</t>
  </si>
  <si>
    <t>05002500196066239</t>
  </si>
  <si>
    <t>115/124/PCMI/AR/VII/2025</t>
  </si>
  <si>
    <t>05002500196048777</t>
  </si>
  <si>
    <t>114/123/PCMI/AR/VII/2025</t>
  </si>
  <si>
    <t>05002500196225842</t>
  </si>
  <si>
    <t>137/146/PCMI/AR/VII/2025</t>
  </si>
  <si>
    <t>05002500196215680</t>
  </si>
  <si>
    <t>135/144/PCMI/AR/VII/2025</t>
  </si>
  <si>
    <t>05002500196231564</t>
  </si>
  <si>
    <t>138/147/PCMI/AR/VII/2025</t>
  </si>
  <si>
    <t>05002500196220601</t>
  </si>
  <si>
    <t>136/145/PCMI/AR/VII/2025</t>
  </si>
  <si>
    <t>05002500196210570</t>
  </si>
  <si>
    <t>134/143/PCMI/AR/VII/2025</t>
  </si>
  <si>
    <t>05002500196205966</t>
  </si>
  <si>
    <t>133/142/PCMI/AR/VII/2025</t>
  </si>
  <si>
    <t>05002500196201091</t>
  </si>
  <si>
    <t>132/141/PCMI/AR/VII/2025</t>
  </si>
  <si>
    <t>05002500196194846</t>
  </si>
  <si>
    <t>131/140/PCMI/AR/VII/2025</t>
  </si>
  <si>
    <t>05002500196189693</t>
  </si>
  <si>
    <t>130/139/PCMI/AR/VII/2025</t>
  </si>
  <si>
    <t>05002500196183235</t>
  </si>
  <si>
    <t>129/138/PCMI/AR/VII/2025</t>
  </si>
  <si>
    <t>05002500196177449</t>
  </si>
  <si>
    <t>128/137/PCMI/AR/VII/2025</t>
  </si>
  <si>
    <t>05002500196173842</t>
  </si>
  <si>
    <t>127/136/PCMI/AR/VII/2025</t>
  </si>
  <si>
    <t>05002500196156437</t>
  </si>
  <si>
    <t>126/135/PCMI/AR/VII/2025</t>
  </si>
  <si>
    <t>05002500196150762</t>
  </si>
  <si>
    <t>125/134/PCMI/AR/VII/2025</t>
  </si>
  <si>
    <t>05002500196145990</t>
  </si>
  <si>
    <t>124/133/PCMI/AR/VII/2025</t>
  </si>
  <si>
    <t>05002500196141601</t>
  </si>
  <si>
    <t>123/132/PCMI/AR/VII/2025</t>
  </si>
  <si>
    <t>05002500196085835</t>
  </si>
  <si>
    <t>117/126/PCMI/AR/VII/2025</t>
  </si>
  <si>
    <t>05002500196113487</t>
  </si>
  <si>
    <t>120/129/PCMI/AR/VII/2025</t>
  </si>
  <si>
    <t>05002500196103068</t>
  </si>
  <si>
    <t>119/128/PCMI/AR/VII/2025</t>
  </si>
  <si>
    <t>05002500196091892</t>
  </si>
  <si>
    <t>118/127/PCMI/AR/VII/2025</t>
  </si>
  <si>
    <t>05002500196132683</t>
  </si>
  <si>
    <t>122/131/PCMI/AR/VII/2025</t>
  </si>
  <si>
    <t>05002500196124614</t>
  </si>
  <si>
    <t>121/130/PCMI/AR/VII/2025</t>
  </si>
  <si>
    <t>03002500218441600</t>
  </si>
  <si>
    <t>140/156/PCMI/AR/VII/2025</t>
  </si>
  <si>
    <t>03002500194138765</t>
  </si>
  <si>
    <t>113/122/PCMI/AR/VII/2025</t>
  </si>
  <si>
    <t>Dompet Global Indonesia</t>
  </si>
  <si>
    <t>03012500228951308</t>
  </si>
  <si>
    <t>148/166/PCMI/AR/VIII/2025</t>
  </si>
  <si>
    <t>05012500262951772</t>
  </si>
  <si>
    <t>164/183/PCMI/AR/VIII/2025</t>
  </si>
  <si>
    <t>05002500260277566</t>
  </si>
  <si>
    <t>166/185/PCMI/AR/VIII/2025</t>
  </si>
  <si>
    <t>03012500228951307</t>
  </si>
  <si>
    <t>149/167/PCMI/AR/VIII/2025</t>
  </si>
  <si>
    <t>05002500237139972</t>
  </si>
  <si>
    <t>152/170/PCMI/AR/VIII/2025</t>
  </si>
  <si>
    <t>05002500260277105</t>
  </si>
  <si>
    <t>165/184/PCMI/AR/VIII/2025</t>
  </si>
  <si>
    <t>05002500237146628</t>
  </si>
  <si>
    <t>153/171/PCMI/AR/VIII/2025</t>
  </si>
  <si>
    <t>05002500250251745</t>
  </si>
  <si>
    <t>160/179/PCMI/AR/VIII/2025</t>
  </si>
  <si>
    <t>05002500250238412</t>
  </si>
  <si>
    <t>158/177/PCMI/AR/VIII/2025</t>
  </si>
  <si>
    <t>05002500237153316</t>
  </si>
  <si>
    <t>154/172/PCMI/AR/VIII/2025</t>
  </si>
  <si>
    <t>05002500237159848</t>
  </si>
  <si>
    <t>155/173/PCMI/AR/VIII/2025</t>
  </si>
  <si>
    <t>05002500240453997</t>
  </si>
  <si>
    <t>157/175/PCMI/AR/VIII/2025</t>
  </si>
  <si>
    <t>05002500250253375</t>
  </si>
  <si>
    <t>161/180/PCMI/AR/VIII/2025</t>
  </si>
  <si>
    <t>05002500237165248</t>
  </si>
  <si>
    <t>156/174/PCMI/AR/VIII/2025</t>
  </si>
  <si>
    <t>05002500237132383</t>
  </si>
  <si>
    <t>151/169/PCMI/AR/VIII/2025</t>
  </si>
  <si>
    <t>05002500264207999</t>
  </si>
  <si>
    <t>Cirebon Energi Prasarana</t>
  </si>
  <si>
    <t>169/188/PCMI/AR/VIII/2025</t>
  </si>
  <si>
    <t>05002500237125667</t>
  </si>
  <si>
    <t>150/168/PCMI/AR/VIII/2025</t>
  </si>
  <si>
    <t>03012500228951309</t>
  </si>
  <si>
    <t>147/165/PCMI/AR/VIII/2025</t>
  </si>
  <si>
    <t>03002500260562802</t>
  </si>
  <si>
    <t>167/186/PCMI/AR/VIII/2025</t>
  </si>
  <si>
    <t>03002500254161718</t>
  </si>
  <si>
    <t>163/182/PCMI/AR/VIII/2025</t>
  </si>
  <si>
    <t>04012500260465555</t>
  </si>
  <si>
    <t>168/187/PCMI/AR/VIII/2025</t>
  </si>
  <si>
    <t>04002500250614210</t>
  </si>
  <si>
    <t>162/181/PCMI/AR/VIII/2025</t>
  </si>
  <si>
    <t>05002500250249092</t>
  </si>
  <si>
    <t>159/178/PCMI/AR/VIII/2025</t>
  </si>
  <si>
    <t>Lebih bayar PPN April'54 pemindahan ke masa Sept'25 - pembetulan SPT I</t>
  </si>
  <si>
    <t>Lebih bayar PPN April'54 pemindahan ke masa Sept'25 - pembetulan SPT II</t>
  </si>
  <si>
    <t>03002500269448012</t>
  </si>
  <si>
    <t>172/191/PCMI/AR/IX/2025</t>
  </si>
  <si>
    <t>03002500268305676</t>
  </si>
  <si>
    <t>171/190/PCMI/AR/IX/2025</t>
  </si>
  <si>
    <t>03002500281810540</t>
  </si>
  <si>
    <t>183/202/PCMI/AR/IX/2025</t>
  </si>
  <si>
    <t>04002500271209845</t>
  </si>
  <si>
    <t>174/193/PCMI/AR/IX/2025</t>
  </si>
  <si>
    <t>03002500299526387</t>
  </si>
  <si>
    <t>188/207/PCMI/AR/IX/2025</t>
  </si>
  <si>
    <t>03002500296813440</t>
  </si>
  <si>
    <t>187/206/PCMI/AR/IX/2025</t>
  </si>
  <si>
    <t>03002500296787683</t>
  </si>
  <si>
    <t>186/205/PCMI/AR/IX/2025</t>
  </si>
  <si>
    <t>03002500269873665</t>
  </si>
  <si>
    <t>173/192/PCMI/AR/IX/2025</t>
  </si>
  <si>
    <t>03002500281821744</t>
  </si>
  <si>
    <t>184/203/PCMI/AR/IX/2025</t>
  </si>
  <si>
    <t>03002500290730362</t>
  </si>
  <si>
    <t>185/204/PCMI/AR/IX/2025</t>
  </si>
  <si>
    <t>04002500305345953</t>
  </si>
  <si>
    <t>189/208/PCMI/AR/IX/2025</t>
  </si>
  <si>
    <t>04002500273017124</t>
  </si>
  <si>
    <t>182/201/PCMI/AR/IX/2025</t>
  </si>
  <si>
    <t>04002500273009434</t>
  </si>
  <si>
    <t>181/200/PCMI/AR/IX/2025</t>
  </si>
  <si>
    <t>04002500272987465</t>
  </si>
  <si>
    <t>180/199/PCMI/AR/IX/2025</t>
  </si>
  <si>
    <t>04002500272982773</t>
  </si>
  <si>
    <t>179/198/PCMI/AR/IX/2025</t>
  </si>
  <si>
    <t>04002500272978650</t>
  </si>
  <si>
    <t>178/197/PCMI/AR/IX/2025</t>
  </si>
  <si>
    <t>04002500272975896</t>
  </si>
  <si>
    <t>177/196/PCMI/AR/IX/2025</t>
  </si>
  <si>
    <t>04002500272971726</t>
  </si>
  <si>
    <t>176/195/PCMI/AR/IX/2025</t>
  </si>
  <si>
    <t>04002500272967769</t>
  </si>
  <si>
    <t>175/194/PCMI/AR/IX/2025</t>
  </si>
  <si>
    <t>041379357070027</t>
  </si>
  <si>
    <t>Kas Negara</t>
  </si>
  <si>
    <t>411211-100 : PPN Masa September</t>
  </si>
  <si>
    <t>PT Lingkaran Ganda Berkarya</t>
  </si>
  <si>
    <t>PT Academia Citra Abadi</t>
  </si>
  <si>
    <t>PT Sama Prodiction</t>
  </si>
  <si>
    <t>06 Production</t>
  </si>
  <si>
    <t>05002500349443159</t>
  </si>
  <si>
    <t>077/83/PCMI/AR/X/2025</t>
  </si>
  <si>
    <t>03002500313172242</t>
  </si>
  <si>
    <t>170/189/PCMI/AR/X/2025</t>
  </si>
  <si>
    <t>03002500323729046</t>
  </si>
  <si>
    <t>071/81/PCMI/AR/X/2025</t>
  </si>
  <si>
    <t>03002500327203588</t>
  </si>
  <si>
    <t>190/209/PCMI/AR/X/2025</t>
  </si>
  <si>
    <t>03002500331093445</t>
  </si>
  <si>
    <t>192/211/PCMI/AR/X/2025</t>
  </si>
  <si>
    <t>04002500327207761</t>
  </si>
  <si>
    <t>191/210/PCMI/AR/X/2025</t>
  </si>
  <si>
    <t>041494414897310</t>
  </si>
  <si>
    <t>411211-100 : PPN Masa Oktober</t>
  </si>
  <si>
    <t>Exabytes Network Indonesia</t>
  </si>
  <si>
    <t>Pacto</t>
  </si>
  <si>
    <t>03002500382311059</t>
  </si>
  <si>
    <t>207/291/PCMI/AR/XI/2025)</t>
  </si>
  <si>
    <t>03002500370779004</t>
  </si>
  <si>
    <t>200/283/PCMI/AR/XI/2025</t>
  </si>
  <si>
    <t>03002500378845923</t>
  </si>
  <si>
    <t>202/286/PCMI/AR/XI/2025</t>
  </si>
  <si>
    <t>03002500365532527</t>
  </si>
  <si>
    <t>198/281/PCMI/AR/XI/2025</t>
  </si>
  <si>
    <t>03002500381536626</t>
  </si>
  <si>
    <t>205/289//PCMI/AR/XI/2025</t>
  </si>
  <si>
    <t>03002500385155055</t>
  </si>
  <si>
    <t>211/297/PCMI/AR/XI/2025</t>
  </si>
  <si>
    <t>03012500384797188</t>
  </si>
  <si>
    <t>209/295/PCMI/AR/XI/2025</t>
  </si>
  <si>
    <t>03002500379523402</t>
  </si>
  <si>
    <t>204/288//PCMI/AR/XI/2025</t>
  </si>
  <si>
    <t>03002500365385514</t>
  </si>
  <si>
    <t>198/280/PCMI/AR/XI/2025</t>
  </si>
  <si>
    <t>03002500371860259</t>
  </si>
  <si>
    <t>201/284/PCMI/AR/XI/2025</t>
  </si>
  <si>
    <t>03002500366107257</t>
  </si>
  <si>
    <t>199/282/PCMI/AR/XI/2025</t>
  </si>
  <si>
    <t>04002500364997489</t>
  </si>
  <si>
    <t>196/279/PCMI/AR/XI/2025</t>
  </si>
  <si>
    <t>03002500365104422</t>
  </si>
  <si>
    <t>197/214/PCMI/AR/XI/2025</t>
  </si>
  <si>
    <t>03002500360067239</t>
  </si>
  <si>
    <t>193/276/PCMI/AR/XI/2025</t>
  </si>
  <si>
    <t>Kode Billing : xxxxx Pembayaran PPN Masa Nopember 2025</t>
  </si>
  <si>
    <t>Telkom Indonesia (Persero) PT</t>
  </si>
  <si>
    <t>03002500427597670</t>
  </si>
  <si>
    <t>194/261/PCMI/AR/XII/2025</t>
  </si>
  <si>
    <t>03002500427549257</t>
  </si>
  <si>
    <t>192/254/PCMI/AR/XII/2025</t>
  </si>
  <si>
    <t>03002500427569061</t>
  </si>
  <si>
    <t>193/219/PCMI/AR/XII/2025</t>
  </si>
  <si>
    <t>04012500422143117</t>
  </si>
  <si>
    <t>187/229/PCMI/AR/XII/2025</t>
  </si>
  <si>
    <t>03002500409254361</t>
  </si>
  <si>
    <t>184/277-1/PCMI/AR/XII/2025</t>
  </si>
  <si>
    <t>03002500407653333</t>
  </si>
  <si>
    <t>182/253/PCMI/AR/XII/2025</t>
  </si>
  <si>
    <t>03002500409262858</t>
  </si>
  <si>
    <t xml:space="preserve"> 183/228/PCMI/AR/XII/2025</t>
  </si>
  <si>
    <t>03002500406699544</t>
  </si>
  <si>
    <t>180/268/PCMI/AR/XII/2025</t>
  </si>
  <si>
    <t>03002500434377582</t>
  </si>
  <si>
    <t>196/278/PCMI/AR/XII//2025</t>
  </si>
  <si>
    <t>04002500432274099</t>
  </si>
  <si>
    <t>195/235/PCMI/AR/XII/2025</t>
  </si>
  <si>
    <t>03012500423274525</t>
  </si>
  <si>
    <t>189/231/PCMI/AR/XII/2025</t>
  </si>
  <si>
    <t>03012500423280109</t>
  </si>
  <si>
    <t>191/ 234/PCMI/AR/XII/2025</t>
  </si>
  <si>
    <t>03022500423276527</t>
  </si>
  <si>
    <t>190/232/PCMI/AR/XII/2025</t>
  </si>
  <si>
    <t>04002500423247859</t>
  </si>
  <si>
    <t>Kantor Pusat Otoritas Jasa Keuangan</t>
  </si>
  <si>
    <t>188/230/PCMI/AR/XII/2025</t>
  </si>
  <si>
    <t>05012500402136452</t>
  </si>
  <si>
    <t>178/212/PCMI/AR/XII/2025</t>
  </si>
  <si>
    <t>03002500415619829</t>
  </si>
  <si>
    <t>185/226/PCMI/AR/XII/2025</t>
  </si>
  <si>
    <t>03002500396102232</t>
  </si>
  <si>
    <t>175/269/PCMI/AR/XII/2025</t>
  </si>
  <si>
    <t>03002500402167406</t>
  </si>
  <si>
    <t>179/292/PCMI/AR/XI/2025</t>
  </si>
  <si>
    <t>03002500402097230</t>
  </si>
  <si>
    <t>177/293/PCMI/AR/XI/2025</t>
  </si>
  <si>
    <t>288/PCMI/AR/XII/2024</t>
  </si>
  <si>
    <t>Kode Billing : xxxxx Pembayaran PPN Masa Desember 2025</t>
  </si>
  <si>
    <t>Data di Rincian AP PPN 23-25</t>
  </si>
  <si>
    <t>Tidak ada di daftar Invoice 2025</t>
  </si>
  <si>
    <t>PT Orens Kreasi Indonesia (Irven Harahap)</t>
  </si>
  <si>
    <t>Seharusnya Rp. 38375.697</t>
  </si>
  <si>
    <t>PPn Masa Nopember</t>
  </si>
  <si>
    <t>PPn Masa Desember</t>
  </si>
  <si>
    <t>PPn Masa - Nopember</t>
  </si>
  <si>
    <t>PPn Masa - Desenber</t>
  </si>
  <si>
    <t>PPn Keluaran - PPn Masukan</t>
  </si>
  <si>
    <t>PPn Kurang (Lebih) Bayar</t>
  </si>
  <si>
    <t>PPh-23 sebelum tahun 2025</t>
  </si>
  <si>
    <t>PPh-23 tahun 2025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</si>
  <si>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</si>
  <si>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</si>
  <si>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</si>
  <si>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</si>
  <si>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</si>
  <si>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</si>
  <si>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</si>
  <si>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</si>
  <si>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</si>
  <si>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</si>
  <si>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</si>
  <si>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</si>
  <si>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</si>
  <si>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</si>
  <si>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</si>
  <si>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</si>
  <si>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</si>
  <si>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</si>
  <si>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</si>
  <si>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 xml:space="preserve"> Pembayaran Surat Tagihan Denda PPN Masa Agustus 2025 dan PPH Badan 2024</t>
  </si>
  <si>
    <t>Mutasi BCA Sahardjo 2026</t>
  </si>
  <si>
    <t>Mutasi BCA Juanda 2026</t>
  </si>
  <si>
    <t>Mutasi Mandiri MP 2026</t>
  </si>
  <si>
    <t>Mutasi Bank Mandiri MP 2026</t>
  </si>
  <si>
    <t>STATUS</t>
  </si>
  <si>
    <t>PPN Keluaran</t>
  </si>
  <si>
    <t>Masukan</t>
  </si>
  <si>
    <t>Non Cash Bank to AP PPn WAPU</t>
  </si>
  <si>
    <t>BCA Juanda to AP PPn Non WAPU</t>
  </si>
  <si>
    <t>Mandiri Mid Plaza to AP PPn Non WAPU</t>
  </si>
  <si>
    <t>Lebih bayar PPN April'25 pemindahan ke masa Sept'25 - pembetulan SPT I</t>
  </si>
  <si>
    <t>Lebih bayar PPN April'25 pemindahan ke masa Sept'25 - pembetulan SPT II</t>
  </si>
  <si>
    <t>BATAL</t>
  </si>
  <si>
    <t>Dibatalkan dan Pembetulan Sep</t>
  </si>
  <si>
    <t>PPn Masukan 2025 dilaporkan 2026</t>
  </si>
  <si>
    <t>PPn Masukan April 2024 yang BELUM DILAPORKAN</t>
  </si>
  <si>
    <t>Other Income (Expense)</t>
  </si>
  <si>
    <t>WA Tika 8-Feb-26 : Yang benar TANPA PPN, Faktur 04002500108452904 Rp. 2.200.000 harus dibatalkan</t>
  </si>
  <si>
    <t>Non Cash Bank to AP PPn Non WAPU</t>
  </si>
  <si>
    <t>Pembayaran</t>
  </si>
  <si>
    <t>WA AH : 2025 PL Check as per 13-March - Pengembalian dana ke panitia</t>
  </si>
  <si>
    <t>Sub Ledger 1</t>
  </si>
  <si>
    <t>Sub Ledger 2</t>
  </si>
  <si>
    <t>Sub Ledger 3</t>
  </si>
  <si>
    <t>Faktur</t>
  </si>
  <si>
    <t>Reference</t>
  </si>
  <si>
    <t xml:space="preserve">Account </t>
  </si>
  <si>
    <t>Sub Ledger</t>
  </si>
  <si>
    <t>Period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</si>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</sst>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5" formatCode="_(* #,##0.00_);_(* \(#,##0.00\);_(* &quot;-&quot;_);_(@_)"/>
    <numFmt numFmtId="166" formatCode="[$-409]d\-mmm\-yy;@"/>
    <numFmt numFmtId="167" formatCode="_-* #,##0.00_-;\-* #,##0.00_-;_-* &quot;-&quot;??_-;_-@_-"/>
    <numFmt numFmtId="168" formatCode="_(* #,##0_);_(* \(#,##0\);_(* &quot;-&quot;??_);_(@_)"/>
    <numFmt numFmtId="169" formatCode="_-* #,##0_-;\-* #,##0_-;_-* &quot;-&quot;_-;_-@_-"/>
    <numFmt numFmtId="171" formatCode="[$-409]mmm\-yy;@"/>
  </numFmts>
  <fonts count="29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name val="TimesNewRomanPSMT"/>
    </font>
    <font>
      <sz val="12"/>
      <color rgb="FFFF0000"/>
      <name val="Arial"/>
      <family val="2"/>
    </font>
    <font>
      <sz val="12"/>
      <name val="Times New Roman"/>
      <family val="2"/>
    </font>
    <font>
      <sz val="12"/>
      <color theme="1"/>
      <name val="Calibri"/>
      <family val="2"/>
      <scheme val="minor"/>
    </font>
    <font>
      <b/>
      <sz val="12"/>
      <color rgb="FFFF0000"/>
      <name val="TimesNewRomanPSMT"/>
    </font>
    <font>
      <sz val="11"/>
      <color theme="1"/>
      <name val="Calibri"/>
      <family val="2"/>
      <scheme val="minor"/>
    </font>
    <font>
      <sz val="12"/>
      <color rgb="FF0070C0"/>
      <name val="TimesNewRomanPSMT"/>
    </font>
    <font>
      <sz val="12"/>
      <color rgb="FFFF0000"/>
      <name val="TimesNewRomanPSMT"/>
    </font>
    <font>
      <sz val="12"/>
      <color rgb="FF0070C0"/>
      <name val="TimesNewRomanPSMT"/>
      <family val="2"/>
    </font>
    <font>
      <sz val="12"/>
      <color rgb="FF0070C0"/>
      <name val="Arial"/>
      <family val="2"/>
    </font>
    <font>
      <i/>
      <sz val="12"/>
      <color rgb="FFFF0000"/>
      <name val="TimesNewRomanPSMT"/>
    </font>
    <font>
      <sz val="12"/>
      <color theme="7" tint="-0.499984740745262"/>
      <name val="TimesNewRomanPSM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41" fontId="1" fillId="0" borderId="0" applyFont="0" applyFill="0" applyBorder="0" applyAlignment="0" applyProtection="0"/>
    <xf numFmtId="0" fontId="8" fillId="0" borderId="0"/>
    <xf numFmtId="0" fontId="9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0" fillId="0" borderId="0"/>
    <xf numFmtId="41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166" fontId="0" fillId="0" borderId="0" xfId="0" applyNumberFormat="1" applyAlignment="1">
      <alignment horizontal="center"/>
    </xf>
    <xf numFmtId="0" fontId="4" fillId="0" borderId="0" xfId="0" applyFont="1"/>
    <xf numFmtId="165" fontId="0" fillId="0" borderId="0" xfId="1" applyNumberFormat="1" applyFont="1" applyFill="1"/>
    <xf numFmtId="0" fontId="5" fillId="0" borderId="0" xfId="0" quotePrefix="1" applyFont="1"/>
    <xf numFmtId="165" fontId="4" fillId="0" borderId="0" xfId="1" applyNumberFormat="1" applyFont="1"/>
    <xf numFmtId="0" fontId="9" fillId="0" borderId="0" xfId="2" quotePrefix="1" applyFont="1" applyAlignment="1">
      <alignment horizontal="center"/>
    </xf>
    <xf numFmtId="0" fontId="9" fillId="0" borderId="0" xfId="3"/>
    <xf numFmtId="165" fontId="9" fillId="0" borderId="0" xfId="4" applyNumberFormat="1" applyFont="1" applyFill="1"/>
    <xf numFmtId="0" fontId="10" fillId="0" borderId="0" xfId="2" applyFont="1"/>
    <xf numFmtId="0" fontId="9" fillId="0" borderId="0" xfId="2" applyFont="1"/>
    <xf numFmtId="165" fontId="9" fillId="0" borderId="0" xfId="4" applyNumberFormat="1" applyFont="1" applyFill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3" applyFont="1" applyAlignment="1">
      <alignment horizontal="center"/>
    </xf>
    <xf numFmtId="0" fontId="12" fillId="0" borderId="0" xfId="2" applyFont="1" applyAlignment="1">
      <alignment horizontal="center"/>
    </xf>
    <xf numFmtId="165" fontId="9" fillId="0" borderId="0" xfId="4" applyNumberFormat="1" applyFont="1" applyFill="1" applyAlignment="1">
      <alignment horizontal="center"/>
    </xf>
    <xf numFmtId="0" fontId="9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165" fontId="9" fillId="0" borderId="0" xfId="4" applyNumberFormat="1" applyFont="1" applyFill="1" applyBorder="1"/>
    <xf numFmtId="0" fontId="10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167" fontId="9" fillId="0" borderId="0" xfId="2" applyNumberFormat="1" applyFont="1" applyAlignment="1">
      <alignment horizontal="left"/>
    </xf>
    <xf numFmtId="165" fontId="9" fillId="0" borderId="0" xfId="4" applyNumberFormat="1" applyFont="1" applyFill="1" applyBorder="1" applyAlignment="1">
      <alignment horizontal="left"/>
    </xf>
    <xf numFmtId="43" fontId="9" fillId="0" borderId="0" xfId="2" applyNumberFormat="1" applyFont="1" applyAlignment="1">
      <alignment horizontal="left"/>
    </xf>
    <xf numFmtId="0" fontId="0" fillId="0" borderId="0" xfId="2" quotePrefix="1" applyFont="1" applyAlignment="1">
      <alignment horizontal="center"/>
    </xf>
    <xf numFmtId="0" fontId="9" fillId="0" borderId="0" xfId="3" applyAlignment="1">
      <alignment horizontal="center"/>
    </xf>
    <xf numFmtId="0" fontId="5" fillId="0" borderId="0" xfId="2" applyFont="1" applyAlignment="1">
      <alignment horizontal="center"/>
    </xf>
    <xf numFmtId="0" fontId="9" fillId="0" borderId="0" xfId="3" applyAlignment="1">
      <alignment horizontal="left"/>
    </xf>
    <xf numFmtId="0" fontId="14" fillId="0" borderId="0" xfId="2" applyFont="1"/>
    <xf numFmtId="165" fontId="5" fillId="0" borderId="0" xfId="1" applyNumberFormat="1" applyFont="1" applyFill="1"/>
    <xf numFmtId="0" fontId="5" fillId="0" borderId="0" xfId="0" applyFont="1"/>
    <xf numFmtId="165" fontId="5" fillId="0" borderId="0" xfId="1" applyNumberFormat="1" applyFont="1"/>
    <xf numFmtId="0" fontId="15" fillId="0" borderId="0" xfId="3" applyFont="1"/>
    <xf numFmtId="0" fontId="9" fillId="0" borderId="0" xfId="0" applyFont="1"/>
    <xf numFmtId="0" fontId="16" fillId="0" borderId="0" xfId="0" quotePrefix="1" applyFont="1"/>
    <xf numFmtId="165" fontId="11" fillId="0" borderId="0" xfId="4" applyNumberFormat="1" applyFont="1" applyFill="1"/>
    <xf numFmtId="41" fontId="2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1" fontId="5" fillId="0" borderId="0" xfId="1" applyFont="1" applyFill="1"/>
    <xf numFmtId="41" fontId="5" fillId="0" borderId="0" xfId="1" applyFont="1"/>
    <xf numFmtId="165" fontId="4" fillId="0" borderId="0" xfId="1" applyNumberFormat="1" applyFont="1" applyFill="1"/>
    <xf numFmtId="43" fontId="9" fillId="0" borderId="0" xfId="7" applyFont="1" applyFill="1" applyBorder="1" applyAlignment="1">
      <alignment horizontal="center"/>
    </xf>
    <xf numFmtId="0" fontId="6" fillId="0" borderId="0" xfId="0" applyFont="1"/>
    <xf numFmtId="0" fontId="3" fillId="0" borderId="0" xfId="0" applyFont="1"/>
    <xf numFmtId="165" fontId="15" fillId="0" borderId="0" xfId="4" applyNumberFormat="1" applyFont="1" applyFill="1"/>
    <xf numFmtId="0" fontId="15" fillId="0" borderId="0" xfId="2" applyFont="1"/>
    <xf numFmtId="0" fontId="15" fillId="0" borderId="0" xfId="3" applyFont="1" applyAlignment="1">
      <alignment horizontal="left"/>
    </xf>
    <xf numFmtId="41" fontId="4" fillId="0" borderId="0" xfId="1" applyFont="1"/>
    <xf numFmtId="0" fontId="5" fillId="0" borderId="0" xfId="2" quotePrefix="1" applyFont="1" applyAlignment="1">
      <alignment horizontal="center"/>
    </xf>
    <xf numFmtId="41" fontId="5" fillId="0" borderId="0" xfId="4" quotePrefix="1" applyFont="1" applyFill="1"/>
    <xf numFmtId="165" fontId="9" fillId="0" borderId="0" xfId="1" applyNumberFormat="1" applyFont="1" applyFill="1"/>
    <xf numFmtId="0" fontId="9" fillId="0" borderId="0" xfId="0" applyFont="1" applyAlignment="1">
      <alignment horizontal="left"/>
    </xf>
    <xf numFmtId="165" fontId="11" fillId="0" borderId="0" xfId="4" applyNumberFormat="1" applyFont="1" applyFill="1" applyAlignment="1">
      <alignment horizontal="center"/>
    </xf>
    <xf numFmtId="0" fontId="18" fillId="0" borderId="0" xfId="2" applyFont="1"/>
    <xf numFmtId="0" fontId="5" fillId="0" borderId="0" xfId="3" applyFont="1"/>
    <xf numFmtId="41" fontId="17" fillId="0" borderId="0" xfId="1" applyFont="1"/>
    <xf numFmtId="41" fontId="4" fillId="0" borderId="0" xfId="1" applyFont="1" applyFill="1"/>
    <xf numFmtId="165" fontId="9" fillId="0" borderId="0" xfId="1" applyNumberFormat="1" applyFont="1" applyFill="1" applyBorder="1"/>
    <xf numFmtId="165" fontId="9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5" fontId="19" fillId="0" borderId="0" xfId="1" applyNumberFormat="1" applyFont="1" applyFill="1"/>
    <xf numFmtId="41" fontId="0" fillId="0" borderId="0" xfId="1" applyFont="1"/>
    <xf numFmtId="41" fontId="9" fillId="0" borderId="0" xfId="1" applyFont="1"/>
    <xf numFmtId="41" fontId="21" fillId="0" borderId="0" xfId="1" applyFont="1"/>
    <xf numFmtId="165" fontId="11" fillId="0" borderId="0" xfId="1" applyNumberFormat="1" applyFont="1" applyFill="1" applyBorder="1"/>
    <xf numFmtId="41" fontId="6" fillId="0" borderId="0" xfId="1" applyFont="1"/>
    <xf numFmtId="0" fontId="15" fillId="0" borderId="0" xfId="2" applyFont="1" applyAlignment="1">
      <alignment horizontal="center"/>
    </xf>
    <xf numFmtId="165" fontId="15" fillId="0" borderId="0" xfId="1" applyNumberFormat="1" applyFont="1" applyFill="1" applyBorder="1"/>
    <xf numFmtId="0" fontId="9" fillId="0" borderId="0" xfId="14" applyFont="1" applyAlignment="1">
      <alignment horizontal="left" vertical="center"/>
    </xf>
    <xf numFmtId="0" fontId="9" fillId="0" borderId="0" xfId="14" applyFont="1"/>
    <xf numFmtId="0" fontId="15" fillId="0" borderId="0" xfId="14" applyFont="1"/>
    <xf numFmtId="0" fontId="9" fillId="0" borderId="0" xfId="0" applyFont="1" applyAlignment="1">
      <alignment horizontal="center"/>
    </xf>
    <xf numFmtId="41" fontId="23" fillId="0" borderId="0" xfId="1" applyFont="1"/>
    <xf numFmtId="0" fontId="4" fillId="0" borderId="0" xfId="0" applyFont="1" applyAlignment="1">
      <alignment horizontal="center"/>
    </xf>
    <xf numFmtId="0" fontId="24" fillId="0" borderId="0" xfId="0" applyFont="1"/>
    <xf numFmtId="43" fontId="9" fillId="0" borderId="0" xfId="2" applyNumberFormat="1" applyFont="1"/>
    <xf numFmtId="165" fontId="14" fillId="0" borderId="0" xfId="4" applyNumberFormat="1" applyFont="1" applyFill="1"/>
    <xf numFmtId="0" fontId="25" fillId="0" borderId="0" xfId="0" applyFont="1"/>
    <xf numFmtId="0" fontId="14" fillId="0" borderId="0" xfId="3" applyFont="1"/>
    <xf numFmtId="0" fontId="25" fillId="0" borderId="0" xfId="0" applyFont="1" applyAlignment="1">
      <alignment horizontal="center"/>
    </xf>
    <xf numFmtId="0" fontId="4" fillId="0" borderId="0" xfId="0" quotePrefix="1" applyFont="1"/>
    <xf numFmtId="0" fontId="14" fillId="0" borderId="0" xfId="2" applyFont="1" applyAlignment="1">
      <alignment horizontal="center"/>
    </xf>
    <xf numFmtId="165" fontId="14" fillId="0" borderId="0" xfId="1" applyNumberFormat="1" applyFont="1" applyFill="1" applyBorder="1"/>
    <xf numFmtId="0" fontId="26" fillId="0" borderId="0" xfId="2" applyFont="1"/>
    <xf numFmtId="0" fontId="4" fillId="0" borderId="0" xfId="0" applyFont="1" applyAlignment="1">
      <alignment horizontal="left"/>
    </xf>
    <xf numFmtId="165" fontId="4" fillId="0" borderId="0" xfId="1" applyNumberFormat="1" applyFont="1" applyFill="1" applyAlignment="1">
      <alignment horizontal="center"/>
    </xf>
    <xf numFmtId="41" fontId="2" fillId="0" borderId="0" xfId="1" applyFont="1" applyAlignment="1">
      <alignment horizontal="center"/>
    </xf>
    <xf numFmtId="41" fontId="7" fillId="0" borderId="0" xfId="1" applyFont="1" applyAlignment="1">
      <alignment horizontal="center"/>
    </xf>
    <xf numFmtId="41" fontId="4" fillId="0" borderId="0" xfId="1" applyFont="1" applyAlignment="1">
      <alignment horizontal="center"/>
    </xf>
    <xf numFmtId="0" fontId="9" fillId="0" borderId="0" xfId="8" quotePrefix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1" fontId="25" fillId="0" borderId="0" xfId="1" applyFont="1"/>
    <xf numFmtId="0" fontId="6" fillId="0" borderId="0" xfId="2" quotePrefix="1" applyFont="1" applyAlignment="1">
      <alignment horizontal="center"/>
    </xf>
    <xf numFmtId="0" fontId="6" fillId="0" borderId="0" xfId="2" applyFont="1" applyAlignment="1">
      <alignment horizontal="center"/>
    </xf>
    <xf numFmtId="171" fontId="0" fillId="0" borderId="0" xfId="0" applyNumberFormat="1" applyAlignment="1">
      <alignment horizontal="center"/>
    </xf>
    <xf numFmtId="41" fontId="21" fillId="0" borderId="0" xfId="1" applyFont="1" applyAlignment="1">
      <alignment horizontal="center"/>
    </xf>
    <xf numFmtId="171" fontId="5" fillId="0" borderId="0" xfId="0" applyNumberFormat="1" applyFont="1" applyAlignment="1">
      <alignment horizontal="center"/>
    </xf>
    <xf numFmtId="41" fontId="23" fillId="0" borderId="0" xfId="1" applyFont="1" applyAlignment="1">
      <alignment horizontal="center"/>
    </xf>
    <xf numFmtId="0" fontId="0" fillId="0" borderId="0" xfId="0" applyAlignment="1">
      <alignment horizontal="left"/>
    </xf>
    <xf numFmtId="171" fontId="6" fillId="0" borderId="0" xfId="0" applyNumberFormat="1" applyFont="1" applyAlignment="1">
      <alignment horizontal="center"/>
    </xf>
    <xf numFmtId="168" fontId="14" fillId="0" borderId="0" xfId="20" applyNumberFormat="1" applyFont="1" applyFill="1"/>
    <xf numFmtId="41" fontId="25" fillId="0" borderId="0" xfId="1" applyFont="1" applyFill="1"/>
    <xf numFmtId="0" fontId="5" fillId="0" borderId="0" xfId="0" applyFont="1" applyAlignment="1">
      <alignment horizontal="left"/>
    </xf>
    <xf numFmtId="41" fontId="28" fillId="0" borderId="0" xfId="1" applyFont="1"/>
    <xf numFmtId="0" fontId="25" fillId="0" borderId="0" xfId="0" quotePrefix="1" applyFont="1"/>
    <xf numFmtId="171" fontId="3" fillId="0" borderId="0" xfId="0" applyNumberFormat="1" applyFont="1" applyAlignment="1">
      <alignment horizontal="center"/>
    </xf>
    <xf numFmtId="171" fontId="24" fillId="0" borderId="0" xfId="0" applyNumberFormat="1" applyFont="1" applyAlignment="1">
      <alignment horizontal="center"/>
    </xf>
    <xf numFmtId="41" fontId="24" fillId="0" borderId="0" xfId="1" applyFont="1" applyAlignment="1">
      <alignment horizontal="center"/>
    </xf>
    <xf numFmtId="41" fontId="24" fillId="0" borderId="0" xfId="1" applyFont="1"/>
    <xf numFmtId="171" fontId="4" fillId="0" borderId="0" xfId="0" applyNumberFormat="1" applyFont="1" applyAlignment="1">
      <alignment horizontal="center"/>
    </xf>
    <xf numFmtId="41" fontId="27" fillId="2" borderId="0" xfId="1" applyFont="1" applyFill="1"/>
    <xf numFmtId="171" fontId="24" fillId="2" borderId="0" xfId="0" applyNumberFormat="1" applyFont="1" applyFill="1" applyAlignment="1">
      <alignment horizontal="center"/>
    </xf>
    <xf numFmtId="0" fontId="24" fillId="2" borderId="0" xfId="0" applyFont="1" applyFill="1"/>
    <xf numFmtId="0" fontId="24" fillId="2" borderId="0" xfId="0" applyFont="1" applyFill="1" applyAlignment="1">
      <alignment horizontal="center"/>
    </xf>
    <xf numFmtId="41" fontId="24" fillId="2" borderId="0" xfId="1" applyFont="1" applyFill="1"/>
    <xf numFmtId="0" fontId="24" fillId="0" borderId="0" xfId="0" applyFont="1" applyAlignment="1">
      <alignment horizontal="center"/>
    </xf>
    <xf numFmtId="41" fontId="7" fillId="0" borderId="0" xfId="1" applyFont="1"/>
    <xf numFmtId="41" fontId="7" fillId="0" borderId="0" xfId="1" applyFont="1" applyFill="1"/>
    <xf numFmtId="41" fontId="23" fillId="0" borderId="0" xfId="1" applyFont="1" applyFill="1"/>
    <xf numFmtId="41" fontId="24" fillId="2" borderId="0" xfId="1" applyFont="1" applyFill="1" applyAlignment="1">
      <alignment horizontal="center"/>
    </xf>
    <xf numFmtId="41" fontId="4" fillId="0" borderId="0" xfId="1" applyFont="1" applyFill="1" applyAlignment="1">
      <alignment horizontal="center"/>
    </xf>
    <xf numFmtId="41" fontId="24" fillId="0" borderId="0" xfId="1" applyFont="1" applyFill="1"/>
    <xf numFmtId="41" fontId="7" fillId="0" borderId="0" xfId="1" applyFont="1" applyFill="1" applyAlignment="1">
      <alignment horizontal="center"/>
    </xf>
    <xf numFmtId="0" fontId="27" fillId="0" borderId="0" xfId="0" applyFont="1"/>
    <xf numFmtId="41" fontId="17" fillId="0" borderId="0" xfId="1" applyFont="1" applyAlignment="1">
      <alignment horizontal="center"/>
    </xf>
    <xf numFmtId="168" fontId="9" fillId="0" borderId="0" xfId="20" applyNumberFormat="1" applyFont="1" applyFill="1"/>
    <xf numFmtId="41" fontId="9" fillId="0" borderId="0" xfId="1" applyFont="1" applyFill="1"/>
    <xf numFmtId="165" fontId="11" fillId="0" borderId="0" xfId="4" applyNumberFormat="1" applyFont="1" applyFill="1" applyAlignment="1">
      <alignment horizontal="center"/>
    </xf>
  </cellXfs>
  <cellStyles count="21">
    <cellStyle name="Comma" xfId="20" builtinId="3"/>
    <cellStyle name="Comma [0]" xfId="1" builtinId="6"/>
    <cellStyle name="Comma [0] 2" xfId="4" xr:uid="{E206625D-CE92-B946-878E-6AA0829E898C}"/>
    <cellStyle name="Comma [0] 2 2" xfId="12" xr:uid="{2A804006-5001-5049-84D3-FB258FE2E1AB}"/>
    <cellStyle name="Comma [0] 2 3" xfId="5" xr:uid="{20A799B3-BE5A-964F-BE1E-1391E29E7052}"/>
    <cellStyle name="Comma [0] 2 3 2" xfId="10" xr:uid="{6B5DF09C-6668-004E-832C-859692394773}"/>
    <cellStyle name="Comma [0] 2 3 2 2" xfId="17" xr:uid="{2EC272E1-F154-DE4D-8FFC-1738E0F2B485}"/>
    <cellStyle name="Comma [0] 3" xfId="9" xr:uid="{DCC47050-EC02-4040-8ED8-306B64C985B1}"/>
    <cellStyle name="Comma [0] 4" xfId="16" xr:uid="{5B145FB2-4D0A-B249-B369-54ABF0C38C9B}"/>
    <cellStyle name="Comma 2" xfId="6" xr:uid="{EAAE8118-4A1E-3049-ADC2-FB2BB5557A52}"/>
    <cellStyle name="Comma 2 2" xfId="7" xr:uid="{B0896BE0-35A1-2F49-8BC0-6D90093B48F4}"/>
    <cellStyle name="Comma 3" xfId="13" xr:uid="{D01750FA-08E4-0C47-9357-0F62E9D605A3}"/>
    <cellStyle name="Comma 4" xfId="15" xr:uid="{A2EC2101-5781-AC44-BED5-F1BDBB670F1A}"/>
    <cellStyle name="Normal" xfId="0" builtinId="0"/>
    <cellStyle name="Normal 2" xfId="2" xr:uid="{3B5401B9-DE75-EB48-9DE0-B2B7DAD183EC}"/>
    <cellStyle name="Normal 2 2" xfId="8" xr:uid="{54DAEB53-87F6-084C-A87B-7176E7EB83C2}"/>
    <cellStyle name="Normal 2 3" xfId="19" xr:uid="{FA86753D-0FFC-1948-8EF3-B2B2A5BEC3D7}"/>
    <cellStyle name="Normal 3" xfId="14" xr:uid="{8B874317-EAD8-D042-9017-3A3DD28E4B28}"/>
    <cellStyle name="Normal 3 4 2" xfId="11" xr:uid="{B424239B-ED7C-D142-AC4A-5D267E1997FC}"/>
    <cellStyle name="Normal 3 6" xfId="3" xr:uid="{0DE30895-D5B6-4F42-8773-FC3E05E857CB}"/>
    <cellStyle name="Normal 3 6 2" xfId="18" xr:uid="{8ECA74BB-2D76-474D-9277-CB573693B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47C6-9DB2-EE43-A590-530E996D9E45}">
  <sheetPr>
    <pageSetUpPr fitToPage="1"/>
  </sheetPr>
  <dimension ref="A2:U338"/>
  <sheetViews>
    <sheetView topLeftCell="D102" zoomScale="108" zoomScaleNormal="98" workbookViewId="0">
      <selection activeCell="F21" sqref="F21"/>
    </sheetView>
  </sheetViews>
  <sheetFormatPr defaultColWidth="9.1875" defaultRowHeight="15.45"/>
  <cols>
    <col min="1" max="1" width="23" style="16" customWidth="1"/>
    <col min="2" max="2" width="11.1875" style="16" customWidth="1"/>
    <col min="3" max="3" width="29.3125" style="7" customWidth="1"/>
    <col min="4" max="4" width="67" style="7" customWidth="1"/>
    <col min="5" max="5" width="21.8125" style="59" customWidth="1"/>
    <col min="6" max="6" width="27.6875" style="7" customWidth="1"/>
    <col min="7" max="7" width="65.6875" style="7" customWidth="1"/>
    <col min="8" max="8" width="2.8125" style="9" customWidth="1"/>
    <col min="9" max="9" width="20.3125" style="8" customWidth="1"/>
    <col min="10" max="10" width="18.8125" style="8" customWidth="1"/>
    <col min="11" max="11" width="20.8125" style="8" customWidth="1"/>
    <col min="12" max="12" width="17" style="8" customWidth="1"/>
    <col min="13" max="14" width="19.3125" style="8" customWidth="1"/>
    <col min="15" max="15" width="17" style="8" customWidth="1"/>
    <col min="16" max="16" width="19.6875" style="8" customWidth="1"/>
    <col min="17" max="17" width="18.3125" style="8" customWidth="1"/>
    <col min="18" max="18" width="1.8125" style="8" customWidth="1"/>
    <col min="19" max="19" width="19.8125" style="8" customWidth="1"/>
    <col min="20" max="20" width="29.6875" style="28" customWidth="1"/>
    <col min="21" max="21" width="12.5" style="9" bestFit="1" customWidth="1"/>
    <col min="22" max="16384" width="9.1875" style="9"/>
  </cols>
  <sheetData>
    <row r="2" spans="1:20">
      <c r="A2" s="43"/>
      <c r="B2" s="43"/>
      <c r="E2" s="60"/>
      <c r="I2" s="130" t="s">
        <v>530</v>
      </c>
      <c r="J2" s="130"/>
      <c r="K2" s="130"/>
      <c r="L2" s="130"/>
      <c r="M2" s="130"/>
      <c r="N2" s="130"/>
      <c r="O2" s="130"/>
      <c r="P2" s="130"/>
      <c r="Q2" s="130"/>
      <c r="S2" s="54" t="s">
        <v>83</v>
      </c>
    </row>
    <row r="3" spans="1:20" s="14" customFormat="1">
      <c r="A3" s="12" t="s">
        <v>24</v>
      </c>
      <c r="B3" s="12" t="s">
        <v>25</v>
      </c>
      <c r="C3" s="13" t="s">
        <v>26</v>
      </c>
      <c r="D3" s="13" t="s">
        <v>27</v>
      </c>
      <c r="E3" s="61" t="s">
        <v>28</v>
      </c>
      <c r="F3" s="13"/>
      <c r="G3" s="13"/>
      <c r="I3" s="54" t="s">
        <v>258</v>
      </c>
      <c r="J3" s="54" t="s">
        <v>257</v>
      </c>
      <c r="K3" s="54" t="s">
        <v>482</v>
      </c>
      <c r="L3" s="54" t="s">
        <v>29</v>
      </c>
      <c r="M3" s="54" t="s">
        <v>256</v>
      </c>
      <c r="N3" s="54" t="s">
        <v>255</v>
      </c>
      <c r="O3" s="54" t="s">
        <v>30</v>
      </c>
      <c r="P3" s="54" t="s">
        <v>31</v>
      </c>
      <c r="Q3" s="54" t="s">
        <v>523</v>
      </c>
      <c r="R3" s="15"/>
      <c r="S3" s="54" t="s">
        <v>28</v>
      </c>
      <c r="T3" s="17"/>
    </row>
    <row r="4" spans="1:20" s="19" customFormat="1" ht="15" customHeight="1">
      <c r="A4" s="6" t="s">
        <v>13</v>
      </c>
      <c r="B4" s="16" t="s">
        <v>15</v>
      </c>
      <c r="C4" s="7" t="s">
        <v>32</v>
      </c>
      <c r="D4" s="7" t="s">
        <v>33</v>
      </c>
      <c r="E4" s="18">
        <v>0</v>
      </c>
      <c r="F4" s="7"/>
      <c r="G4" s="7"/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11"/>
      <c r="S4" s="8">
        <f>E4+I4+J4+K4+L4+M4+N4+O4+P4</f>
        <v>0</v>
      </c>
      <c r="T4" s="20"/>
    </row>
    <row r="5" spans="1:20" s="19" customFormat="1" ht="15" customHeight="1">
      <c r="A5" s="6" t="s">
        <v>13</v>
      </c>
      <c r="B5" s="16" t="s">
        <v>15</v>
      </c>
      <c r="C5" s="7" t="s">
        <v>14</v>
      </c>
      <c r="D5" s="7" t="s">
        <v>33</v>
      </c>
      <c r="E5" s="18">
        <v>15566611</v>
      </c>
      <c r="F5" s="7"/>
      <c r="G5" s="7"/>
      <c r="I5" s="8">
        <v>433389</v>
      </c>
      <c r="J5" s="8">
        <v>50000000</v>
      </c>
      <c r="K5" s="8">
        <f>-50000000-1056500</f>
        <v>-51056500</v>
      </c>
      <c r="L5" s="8">
        <v>0</v>
      </c>
      <c r="M5" s="8">
        <v>0</v>
      </c>
      <c r="N5" s="8">
        <v>0</v>
      </c>
      <c r="O5" s="8">
        <v>0</v>
      </c>
      <c r="P5" s="8">
        <v>1056500</v>
      </c>
      <c r="Q5" s="8">
        <v>0</v>
      </c>
      <c r="R5" s="11"/>
      <c r="S5" s="8">
        <f>E5+I5+J5+K5+L5+M5+N5+O5+P5</f>
        <v>16000000</v>
      </c>
      <c r="T5" s="21" t="s">
        <v>15</v>
      </c>
    </row>
    <row r="6" spans="1:20" s="19" customFormat="1" ht="15" customHeight="1">
      <c r="A6" s="6" t="s">
        <v>13</v>
      </c>
      <c r="B6" s="16" t="s">
        <v>15</v>
      </c>
      <c r="C6" s="7" t="s">
        <v>34</v>
      </c>
      <c r="D6" s="7" t="s">
        <v>33</v>
      </c>
      <c r="E6" s="22">
        <v>0</v>
      </c>
      <c r="F6" s="7"/>
      <c r="G6" s="7"/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11"/>
      <c r="S6" s="8">
        <f>E6+I6+J6+K6+L6+M6+N6+O6+P6</f>
        <v>0</v>
      </c>
      <c r="T6" s="23" t="s">
        <v>15</v>
      </c>
    </row>
    <row r="7" spans="1:20" s="19" customFormat="1" ht="15" customHeight="1">
      <c r="A7" s="6" t="s">
        <v>13</v>
      </c>
      <c r="B7" s="16" t="s">
        <v>15</v>
      </c>
      <c r="C7" s="7" t="s">
        <v>444</v>
      </c>
      <c r="D7" s="7" t="s">
        <v>33</v>
      </c>
      <c r="E7" s="22">
        <v>0</v>
      </c>
      <c r="F7" s="7"/>
      <c r="G7" s="7"/>
      <c r="I7" s="8">
        <v>0</v>
      </c>
      <c r="J7" s="8">
        <v>342000000</v>
      </c>
      <c r="K7" s="8">
        <v>12600000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11"/>
      <c r="S7" s="8">
        <f>E7+I7+J7+K7+L7+M7+N7+O7+P7</f>
        <v>354600000</v>
      </c>
      <c r="T7" s="23" t="s">
        <v>15</v>
      </c>
    </row>
    <row r="8" spans="1:20" s="19" customFormat="1" ht="15" customHeight="1">
      <c r="A8" s="6" t="s">
        <v>13</v>
      </c>
      <c r="B8" s="16" t="s">
        <v>15</v>
      </c>
      <c r="C8" s="7" t="s">
        <v>35</v>
      </c>
      <c r="D8" s="7" t="s">
        <v>33</v>
      </c>
      <c r="E8" s="8">
        <v>0</v>
      </c>
      <c r="F8" s="7"/>
      <c r="G8" s="7"/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11"/>
      <c r="S8" s="8">
        <f>E8+I8+J8+K8+L8+M8+N8+O8+P8</f>
        <v>0</v>
      </c>
      <c r="T8" s="20"/>
    </row>
    <row r="9" spans="1:20" s="10" customFormat="1" ht="16" customHeight="1">
      <c r="A9" s="24" t="s">
        <v>37</v>
      </c>
      <c r="B9" s="25" t="s">
        <v>15</v>
      </c>
      <c r="C9" s="7" t="s">
        <v>86</v>
      </c>
      <c r="D9" s="7" t="s">
        <v>15</v>
      </c>
      <c r="E9" s="8">
        <v>0</v>
      </c>
      <c r="F9" s="7" t="s">
        <v>15</v>
      </c>
      <c r="G9" s="7"/>
      <c r="H9" s="9"/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25221305</v>
      </c>
      <c r="Q9" s="8">
        <v>0</v>
      </c>
      <c r="R9" s="8"/>
      <c r="S9" s="8">
        <f>E9+I9+J9+K9+L9+M9+N9+O9+P9</f>
        <v>25221305</v>
      </c>
    </row>
    <row r="10" spans="1:20" s="10" customFormat="1" ht="16" customHeight="1">
      <c r="A10" s="24" t="s">
        <v>37</v>
      </c>
      <c r="B10" s="25" t="s">
        <v>15</v>
      </c>
      <c r="C10" s="7" t="s">
        <v>217</v>
      </c>
      <c r="D10" s="7" t="s">
        <v>15</v>
      </c>
      <c r="E10" s="8">
        <v>121566475</v>
      </c>
      <c r="F10" s="7" t="s">
        <v>15</v>
      </c>
      <c r="G10" s="7"/>
      <c r="H10" s="9"/>
      <c r="I10" s="8">
        <v>0</v>
      </c>
      <c r="J10" s="8">
        <v>0</v>
      </c>
      <c r="K10" s="8">
        <v>-121566475</v>
      </c>
      <c r="L10" s="8">
        <v>0</v>
      </c>
      <c r="M10" s="8">
        <v>0</v>
      </c>
      <c r="N10" s="8">
        <v>0</v>
      </c>
      <c r="O10" s="8">
        <v>0</v>
      </c>
      <c r="P10" s="8">
        <v>180036770</v>
      </c>
      <c r="Q10" s="8">
        <v>0</v>
      </c>
      <c r="R10" s="8"/>
      <c r="S10" s="8">
        <f>E10+I10+J10+K10+L10+M10+N10+O10+P10</f>
        <v>180036770</v>
      </c>
    </row>
    <row r="11" spans="1:20" s="10" customFormat="1" ht="16" customHeight="1">
      <c r="A11" s="24" t="s">
        <v>37</v>
      </c>
      <c r="B11" s="25" t="s">
        <v>15</v>
      </c>
      <c r="C11" s="7" t="s">
        <v>38</v>
      </c>
      <c r="D11" s="7" t="s">
        <v>15</v>
      </c>
      <c r="E11" s="8">
        <v>49811936</v>
      </c>
      <c r="F11" s="7" t="s">
        <v>15</v>
      </c>
      <c r="G11" s="7"/>
      <c r="H11" s="9"/>
      <c r="I11" s="8">
        <v>0</v>
      </c>
      <c r="J11" s="8">
        <v>0</v>
      </c>
      <c r="K11" s="8">
        <v>-49811936</v>
      </c>
      <c r="L11" s="8">
        <v>0</v>
      </c>
      <c r="M11" s="8">
        <v>0</v>
      </c>
      <c r="N11" s="8">
        <v>0</v>
      </c>
      <c r="O11" s="8">
        <v>0</v>
      </c>
      <c r="P11" s="8">
        <v>48200000</v>
      </c>
      <c r="Q11" s="8">
        <v>0</v>
      </c>
      <c r="R11" s="8"/>
      <c r="S11" s="8">
        <f>E11+I11+J11+K11+L11+M11+N11+O11+P11</f>
        <v>48200000</v>
      </c>
    </row>
    <row r="12" spans="1:20" s="10" customFormat="1" ht="16" customHeight="1">
      <c r="A12" s="24" t="s">
        <v>37</v>
      </c>
      <c r="B12" s="25" t="s">
        <v>15</v>
      </c>
      <c r="C12" s="7" t="s">
        <v>102</v>
      </c>
      <c r="D12" s="7" t="s">
        <v>15</v>
      </c>
      <c r="E12" s="8">
        <v>154034667</v>
      </c>
      <c r="F12" s="7" t="s">
        <v>15</v>
      </c>
      <c r="G12" s="7"/>
      <c r="H12" s="9"/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-154034667</v>
      </c>
      <c r="O12" s="8">
        <v>0</v>
      </c>
      <c r="P12" s="8">
        <v>26924174</v>
      </c>
      <c r="Q12" s="8">
        <v>0</v>
      </c>
      <c r="R12" s="8"/>
      <c r="S12" s="8">
        <f>E12+I12+J12+K12+L12+M12+N12+O12+P12</f>
        <v>26924174</v>
      </c>
    </row>
    <row r="13" spans="1:20" s="10" customFormat="1" ht="16" customHeight="1">
      <c r="A13" s="24" t="s">
        <v>37</v>
      </c>
      <c r="B13" s="25" t="s">
        <v>15</v>
      </c>
      <c r="C13" s="7" t="s">
        <v>457</v>
      </c>
      <c r="D13" s="7" t="s">
        <v>15</v>
      </c>
      <c r="E13" s="8">
        <v>0</v>
      </c>
      <c r="F13" s="7" t="s">
        <v>15</v>
      </c>
      <c r="G13" s="7"/>
      <c r="H13" s="9"/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109792173</v>
      </c>
      <c r="Q13" s="8">
        <v>0</v>
      </c>
      <c r="R13" s="8"/>
      <c r="S13" s="8">
        <f>E13+I13+J13+K13+L13+M13+N13+O13+P13</f>
        <v>109792173</v>
      </c>
    </row>
    <row r="14" spans="1:20" s="10" customFormat="1" ht="16" customHeight="1">
      <c r="A14" s="50" t="s">
        <v>87</v>
      </c>
      <c r="B14" s="25" t="s">
        <v>15</v>
      </c>
      <c r="C14" s="7" t="s">
        <v>503</v>
      </c>
      <c r="D14" s="51" t="s">
        <v>488</v>
      </c>
      <c r="E14" s="8">
        <v>0</v>
      </c>
      <c r="F14" s="7" t="s">
        <v>15</v>
      </c>
      <c r="G14" s="7"/>
      <c r="H14" s="9"/>
      <c r="I14" s="8">
        <v>13000000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/>
      <c r="S14" s="8">
        <f>E14+I14+J14+K14+L14+M14+N14+O14+P14</f>
        <v>13000000</v>
      </c>
    </row>
    <row r="15" spans="1:20" s="10" customFormat="1" ht="16" customHeight="1">
      <c r="A15" s="50" t="s">
        <v>87</v>
      </c>
      <c r="B15" s="25" t="s">
        <v>15</v>
      </c>
      <c r="C15" s="7" t="s">
        <v>503</v>
      </c>
      <c r="D15" s="51" t="s">
        <v>489</v>
      </c>
      <c r="E15" s="8">
        <v>0</v>
      </c>
      <c r="F15" s="7" t="s">
        <v>15</v>
      </c>
      <c r="G15" s="7"/>
      <c r="H15" s="9"/>
      <c r="I15" s="8">
        <v>135000000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/>
      <c r="S15" s="8">
        <f>E15+I15+J15+K15+L15+M15+N15+O15+P15</f>
        <v>135000000</v>
      </c>
    </row>
    <row r="16" spans="1:20" s="10" customFormat="1" ht="16" customHeight="1">
      <c r="A16" s="50" t="s">
        <v>87</v>
      </c>
      <c r="B16" s="25" t="s">
        <v>15</v>
      </c>
      <c r="C16" s="7" t="s">
        <v>503</v>
      </c>
      <c r="D16" s="51" t="s">
        <v>490</v>
      </c>
      <c r="E16" s="8">
        <v>0</v>
      </c>
      <c r="F16" s="7" t="s">
        <v>15</v>
      </c>
      <c r="G16" s="7"/>
      <c r="H16" s="9"/>
      <c r="I16" s="8">
        <v>25064000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/>
      <c r="S16" s="8">
        <f>E16+I16+J16+K16+L16+M16+N16+O16+P16</f>
        <v>25064000</v>
      </c>
    </row>
    <row r="17" spans="1:19" s="10" customFormat="1" ht="16" customHeight="1">
      <c r="A17" s="50" t="s">
        <v>87</v>
      </c>
      <c r="B17" s="25" t="s">
        <v>15</v>
      </c>
      <c r="C17" s="7" t="s">
        <v>503</v>
      </c>
      <c r="D17" s="51" t="s">
        <v>491</v>
      </c>
      <c r="E17" s="8">
        <v>0</v>
      </c>
      <c r="F17" s="7" t="s">
        <v>15</v>
      </c>
      <c r="G17" s="7"/>
      <c r="H17" s="9"/>
      <c r="I17" s="8">
        <v>134757000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/>
      <c r="S17" s="8">
        <f>E17+I17+J17+K17+L17+M17+N17+O17+P17</f>
        <v>134757000</v>
      </c>
    </row>
    <row r="18" spans="1:19" s="10" customFormat="1" ht="16" customHeight="1">
      <c r="A18" s="50" t="s">
        <v>87</v>
      </c>
      <c r="B18" s="25" t="s">
        <v>15</v>
      </c>
      <c r="C18" s="7" t="s">
        <v>503</v>
      </c>
      <c r="D18" s="51" t="s">
        <v>491</v>
      </c>
      <c r="E18" s="8">
        <v>0</v>
      </c>
      <c r="F18" s="7" t="s">
        <v>15</v>
      </c>
      <c r="G18" s="7"/>
      <c r="H18" s="9"/>
      <c r="I18" s="8">
        <v>243000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/>
      <c r="S18" s="8">
        <f>E18+I18+J18+K18+L18+M18+N18+O18+P18</f>
        <v>243000</v>
      </c>
    </row>
    <row r="19" spans="1:19" s="10" customFormat="1" ht="16" customHeight="1">
      <c r="A19" s="50" t="s">
        <v>87</v>
      </c>
      <c r="B19" s="25" t="s">
        <v>15</v>
      </c>
      <c r="C19" s="7" t="s">
        <v>503</v>
      </c>
      <c r="D19" s="51" t="s">
        <v>490</v>
      </c>
      <c r="E19" s="8">
        <v>0</v>
      </c>
      <c r="F19" s="7" t="s">
        <v>15</v>
      </c>
      <c r="G19" s="7"/>
      <c r="H19" s="9"/>
      <c r="I19" s="8">
        <v>106060000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/>
      <c r="S19" s="8">
        <f>E19+I19+J19+K19+L19+M19+N19+O19+P19</f>
        <v>106060000</v>
      </c>
    </row>
    <row r="20" spans="1:19" s="10" customFormat="1" ht="16" customHeight="1">
      <c r="A20" s="50" t="s">
        <v>87</v>
      </c>
      <c r="B20" s="25" t="s">
        <v>15</v>
      </c>
      <c r="C20" s="7" t="s">
        <v>503</v>
      </c>
      <c r="D20" s="51" t="s">
        <v>488</v>
      </c>
      <c r="E20" s="8">
        <v>0</v>
      </c>
      <c r="F20" s="7" t="s">
        <v>15</v>
      </c>
      <c r="G20" s="7"/>
      <c r="H20" s="9"/>
      <c r="I20" s="8">
        <v>79650000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/>
      <c r="S20" s="8">
        <f>E20+I20+J20+K20+L20+M20+N20+O20+P20</f>
        <v>79650000</v>
      </c>
    </row>
    <row r="21" spans="1:19" s="10" customFormat="1" ht="16" customHeight="1">
      <c r="A21" s="50" t="s">
        <v>87</v>
      </c>
      <c r="B21" s="25" t="s">
        <v>15</v>
      </c>
      <c r="C21" s="7" t="s">
        <v>503</v>
      </c>
      <c r="D21" s="51" t="s">
        <v>488</v>
      </c>
      <c r="E21" s="8">
        <v>0</v>
      </c>
      <c r="F21" s="7" t="s">
        <v>15</v>
      </c>
      <c r="G21" s="7"/>
      <c r="H21" s="9"/>
      <c r="I21" s="8">
        <v>42350000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/>
      <c r="S21" s="8">
        <f>E21+I21+J21+K21+L21+M21+N21+O21+P21</f>
        <v>42350000</v>
      </c>
    </row>
    <row r="22" spans="1:19" s="10" customFormat="1" ht="16" customHeight="1">
      <c r="A22" s="50" t="s">
        <v>87</v>
      </c>
      <c r="B22" s="25" t="s">
        <v>15</v>
      </c>
      <c r="C22" s="7" t="s">
        <v>503</v>
      </c>
      <c r="D22" s="51" t="s">
        <v>492</v>
      </c>
      <c r="E22" s="8">
        <v>0</v>
      </c>
      <c r="F22" s="7" t="s">
        <v>15</v>
      </c>
      <c r="G22" s="7"/>
      <c r="H22" s="9"/>
      <c r="I22" s="8">
        <v>135000000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/>
      <c r="S22" s="8">
        <f>E22+I22+J22+K22+L22+M22+N22+O22+P22</f>
        <v>135000000</v>
      </c>
    </row>
    <row r="23" spans="1:19" s="10" customFormat="1" ht="16" customHeight="1">
      <c r="A23" s="50" t="s">
        <v>87</v>
      </c>
      <c r="B23" s="25" t="s">
        <v>15</v>
      </c>
      <c r="C23" s="7" t="s">
        <v>503</v>
      </c>
      <c r="D23" s="51" t="s">
        <v>493</v>
      </c>
      <c r="E23" s="8">
        <v>0</v>
      </c>
      <c r="F23" s="7" t="s">
        <v>15</v>
      </c>
      <c r="G23" s="7"/>
      <c r="H23" s="9"/>
      <c r="I23" s="8">
        <v>28431000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/>
      <c r="S23" s="8">
        <f>E23+I23+J23+K23+L23+M23+N23+O23+P23</f>
        <v>28431000</v>
      </c>
    </row>
    <row r="24" spans="1:19" s="10" customFormat="1" ht="16" customHeight="1">
      <c r="A24" s="50" t="s">
        <v>87</v>
      </c>
      <c r="B24" s="25" t="s">
        <v>15</v>
      </c>
      <c r="C24" s="7" t="s">
        <v>503</v>
      </c>
      <c r="D24" s="51" t="s">
        <v>494</v>
      </c>
      <c r="E24" s="8">
        <v>0</v>
      </c>
      <c r="F24" s="7" t="s">
        <v>15</v>
      </c>
      <c r="G24" s="7"/>
      <c r="H24" s="9"/>
      <c r="I24" s="8">
        <v>100845000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/>
      <c r="S24" s="8">
        <f>E24+I24+J24+K24+L24+M24+N24+O24+P24</f>
        <v>100845000</v>
      </c>
    </row>
    <row r="25" spans="1:19" s="10" customFormat="1" ht="16" customHeight="1">
      <c r="A25" s="50" t="s">
        <v>87</v>
      </c>
      <c r="B25" s="25" t="s">
        <v>15</v>
      </c>
      <c r="C25" s="7" t="s">
        <v>503</v>
      </c>
      <c r="D25" s="51" t="s">
        <v>495</v>
      </c>
      <c r="E25" s="8">
        <v>0</v>
      </c>
      <c r="F25" s="7" t="s">
        <v>15</v>
      </c>
      <c r="G25" s="7"/>
      <c r="H25" s="9"/>
      <c r="I25" s="8">
        <v>135000000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/>
      <c r="S25" s="8">
        <f>E25+I25+J25+K25+L25+M25+N25+O25+P25</f>
        <v>135000000</v>
      </c>
    </row>
    <row r="26" spans="1:19" s="10" customFormat="1" ht="16" customHeight="1">
      <c r="A26" s="50" t="s">
        <v>87</v>
      </c>
      <c r="B26" s="25" t="s">
        <v>15</v>
      </c>
      <c r="C26" s="7" t="s">
        <v>503</v>
      </c>
      <c r="D26" s="51" t="s">
        <v>493</v>
      </c>
      <c r="E26" s="8">
        <v>0</v>
      </c>
      <c r="F26" s="7" t="s">
        <v>15</v>
      </c>
      <c r="G26" s="7"/>
      <c r="H26" s="9"/>
      <c r="I26" s="8">
        <v>106569000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/>
      <c r="S26" s="8">
        <f>E26+I26+J26+K26+L26+M26+N26+O26+P26</f>
        <v>106569000</v>
      </c>
    </row>
    <row r="27" spans="1:19" s="10" customFormat="1" ht="16" customHeight="1">
      <c r="A27" s="50" t="s">
        <v>87</v>
      </c>
      <c r="B27" s="25" t="s">
        <v>15</v>
      </c>
      <c r="C27" s="7" t="s">
        <v>503</v>
      </c>
      <c r="D27" s="51" t="s">
        <v>494</v>
      </c>
      <c r="E27" s="8">
        <v>0</v>
      </c>
      <c r="F27" s="7" t="s">
        <v>15</v>
      </c>
      <c r="G27" s="7"/>
      <c r="H27" s="9"/>
      <c r="I27" s="8">
        <v>34155000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/>
      <c r="S27" s="8">
        <f>E27+I27+J27+K27+L27+M27+N27+O27+P27</f>
        <v>34155000</v>
      </c>
    </row>
    <row r="28" spans="1:19" s="10" customFormat="1" ht="16" customHeight="1">
      <c r="A28" s="50" t="s">
        <v>87</v>
      </c>
      <c r="B28" s="25" t="s">
        <v>15</v>
      </c>
      <c r="C28" s="7" t="s">
        <v>503</v>
      </c>
      <c r="D28" s="51" t="s">
        <v>496</v>
      </c>
      <c r="E28" s="8">
        <v>0</v>
      </c>
      <c r="F28" s="7" t="s">
        <v>15</v>
      </c>
      <c r="G28" s="7"/>
      <c r="H28" s="9"/>
      <c r="I28" s="8">
        <v>135000000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/>
      <c r="S28" s="8">
        <f>E28+I28+J28+K28+L28+M28+N28+O28+P28</f>
        <v>135000000</v>
      </c>
    </row>
    <row r="29" spans="1:19" s="10" customFormat="1" ht="16" customHeight="1">
      <c r="A29" s="50" t="s">
        <v>87</v>
      </c>
      <c r="B29" s="25" t="s">
        <v>15</v>
      </c>
      <c r="C29" s="7" t="s">
        <v>503</v>
      </c>
      <c r="D29" s="51" t="s">
        <v>497</v>
      </c>
      <c r="E29" s="8">
        <v>0</v>
      </c>
      <c r="F29" s="7" t="s">
        <v>15</v>
      </c>
      <c r="G29" s="7"/>
      <c r="H29" s="9"/>
      <c r="I29" s="8">
        <v>135000000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/>
      <c r="S29" s="8">
        <f>E29+I29+J29+K29+L29+M29+N29+O29+P29</f>
        <v>135000000</v>
      </c>
    </row>
    <row r="30" spans="1:19" s="10" customFormat="1" ht="16" customHeight="1">
      <c r="A30" s="50" t="s">
        <v>87</v>
      </c>
      <c r="B30" s="25" t="s">
        <v>15</v>
      </c>
      <c r="C30" s="7" t="s">
        <v>503</v>
      </c>
      <c r="D30" s="51" t="s">
        <v>498</v>
      </c>
      <c r="E30" s="8">
        <v>0</v>
      </c>
      <c r="F30" s="7" t="s">
        <v>15</v>
      </c>
      <c r="G30" s="7"/>
      <c r="H30" s="9"/>
      <c r="I30" s="8">
        <v>4000000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/>
      <c r="S30" s="8">
        <f>E30+I30+J30+K30+L30+M30+N30+O30+P30</f>
        <v>4000000</v>
      </c>
    </row>
    <row r="31" spans="1:19" s="10" customFormat="1" ht="16" customHeight="1">
      <c r="A31" s="50" t="s">
        <v>87</v>
      </c>
      <c r="B31" s="25" t="s">
        <v>15</v>
      </c>
      <c r="C31" s="7" t="s">
        <v>503</v>
      </c>
      <c r="D31" s="51" t="s">
        <v>498</v>
      </c>
      <c r="E31" s="8">
        <v>0</v>
      </c>
      <c r="F31" s="7" t="s">
        <v>15</v>
      </c>
      <c r="G31" s="7"/>
      <c r="H31" s="9"/>
      <c r="I31" s="8">
        <v>-124000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/>
      <c r="S31" s="8">
        <f>E31+I31+J31+K31+L31+M31+N31+O31+P31</f>
        <v>-124000</v>
      </c>
    </row>
    <row r="32" spans="1:19" s="10" customFormat="1" ht="16" customHeight="1">
      <c r="A32" s="50" t="s">
        <v>87</v>
      </c>
      <c r="B32" s="25" t="s">
        <v>15</v>
      </c>
      <c r="C32" s="2" t="s">
        <v>500</v>
      </c>
      <c r="D32" s="51" t="s">
        <v>499</v>
      </c>
      <c r="E32" s="8">
        <v>0</v>
      </c>
      <c r="F32" s="7" t="s">
        <v>15</v>
      </c>
      <c r="G32" s="7"/>
      <c r="H32" s="9"/>
      <c r="I32" s="8">
        <v>120000000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/>
      <c r="S32" s="8">
        <f>E32+I32+J32+K32+L32+M32+N32+O32+P32</f>
        <v>120000000</v>
      </c>
    </row>
    <row r="33" spans="1:20" s="10" customFormat="1" ht="16" customHeight="1">
      <c r="A33" s="50" t="s">
        <v>87</v>
      </c>
      <c r="B33" s="25" t="s">
        <v>15</v>
      </c>
      <c r="C33" s="2" t="s">
        <v>500</v>
      </c>
      <c r="D33" s="51" t="s">
        <v>502</v>
      </c>
      <c r="E33" s="8">
        <v>0</v>
      </c>
      <c r="F33" s="7" t="s">
        <v>15</v>
      </c>
      <c r="G33" s="7"/>
      <c r="H33" s="9"/>
      <c r="I33" s="8">
        <v>1000000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/>
      <c r="S33" s="8">
        <f>E33+I33+J33+K33+L33+M33+N33+O33+P33</f>
        <v>1000000</v>
      </c>
    </row>
    <row r="34" spans="1:20" s="10" customFormat="1" ht="16" customHeight="1">
      <c r="A34" s="6" t="s">
        <v>39</v>
      </c>
      <c r="B34" s="26" t="s">
        <v>15</v>
      </c>
      <c r="C34" s="7" t="s">
        <v>15</v>
      </c>
      <c r="D34" s="30" t="s">
        <v>15</v>
      </c>
      <c r="E34" s="8">
        <v>0</v>
      </c>
      <c r="F34" s="7" t="s">
        <v>15</v>
      </c>
      <c r="G34" t="s">
        <v>15</v>
      </c>
      <c r="H34" s="9"/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/>
      <c r="S34" s="8">
        <f>E34+I34+J34+K34+L34+M34+N34+O34+P34</f>
        <v>0</v>
      </c>
    </row>
    <row r="35" spans="1:20" s="10" customFormat="1" ht="16" customHeight="1">
      <c r="A35" s="50" t="s">
        <v>36</v>
      </c>
      <c r="B35" s="25" t="s">
        <v>15</v>
      </c>
      <c r="C35" s="7" t="s">
        <v>14</v>
      </c>
      <c r="D35" s="7" t="s">
        <v>15</v>
      </c>
      <c r="E35" s="8">
        <v>100000000</v>
      </c>
      <c r="F35" s="7" t="s">
        <v>15</v>
      </c>
      <c r="G35" s="7" t="s">
        <v>15</v>
      </c>
      <c r="H35" s="9"/>
      <c r="I35" s="8">
        <v>-100000000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/>
      <c r="S35" s="8">
        <f>E35+I35+J35+K35+L35+M35+N35+O35+P35</f>
        <v>0</v>
      </c>
    </row>
    <row r="36" spans="1:20" s="10" customFormat="1" ht="16" customHeight="1">
      <c r="A36" s="50" t="s">
        <v>36</v>
      </c>
      <c r="B36" s="25" t="s">
        <v>15</v>
      </c>
      <c r="C36" s="7" t="s">
        <v>32</v>
      </c>
      <c r="D36" s="7" t="s">
        <v>15</v>
      </c>
      <c r="E36" s="8">
        <v>100000000</v>
      </c>
      <c r="F36" s="7" t="s">
        <v>15</v>
      </c>
      <c r="G36" s="7" t="s">
        <v>15</v>
      </c>
      <c r="H36" s="9"/>
      <c r="I36" s="8">
        <v>-100000000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/>
      <c r="S36" s="8">
        <f>E36+I36+J36+K36+L36+M36+N36+O36+P36</f>
        <v>0</v>
      </c>
    </row>
    <row r="37" spans="1:20" ht="16" customHeight="1">
      <c r="A37" s="50" t="s">
        <v>40</v>
      </c>
      <c r="B37" s="26" t="s">
        <v>15</v>
      </c>
      <c r="C37" s="27" t="s">
        <v>1079</v>
      </c>
      <c r="D37" s="7" t="s">
        <v>324</v>
      </c>
      <c r="E37" s="8">
        <v>978588</v>
      </c>
      <c r="F37" s="7" t="s">
        <v>15</v>
      </c>
      <c r="G37" s="7" t="s">
        <v>15</v>
      </c>
      <c r="I37" s="8">
        <v>0</v>
      </c>
      <c r="J37" s="46">
        <v>0</v>
      </c>
      <c r="K37" s="8">
        <v>-978588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S37" s="8">
        <f>E37+SUM(I37:Q37)</f>
        <v>0</v>
      </c>
      <c r="T37" s="10"/>
    </row>
    <row r="38" spans="1:20" s="55" customFormat="1" ht="16" customHeight="1">
      <c r="A38" s="95" t="s">
        <v>40</v>
      </c>
      <c r="B38" s="96" t="s">
        <v>15</v>
      </c>
      <c r="C38" s="48" t="s">
        <v>1080</v>
      </c>
      <c r="D38" s="32" t="s">
        <v>324</v>
      </c>
      <c r="E38" s="46">
        <v>0</v>
      </c>
      <c r="F38" s="32" t="s">
        <v>15</v>
      </c>
      <c r="G38" s="32" t="s">
        <v>15</v>
      </c>
      <c r="I38" s="46">
        <v>0</v>
      </c>
      <c r="J38" s="46">
        <v>127688</v>
      </c>
      <c r="K38" s="46">
        <v>1718342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/>
      <c r="S38" s="46">
        <f>E38+SUM(I38:Q38)</f>
        <v>1846030</v>
      </c>
      <c r="T38" s="47"/>
    </row>
    <row r="39" spans="1:20" ht="16" customHeight="1">
      <c r="A39" s="50" t="s">
        <v>40</v>
      </c>
      <c r="B39" s="26" t="s">
        <v>15</v>
      </c>
      <c r="C39" s="27" t="s">
        <v>525</v>
      </c>
      <c r="D39" s="7" t="s">
        <v>526</v>
      </c>
      <c r="E39" s="8">
        <v>0</v>
      </c>
      <c r="F39" s="7" t="s">
        <v>15</v>
      </c>
      <c r="G39" s="7" t="s">
        <v>15</v>
      </c>
      <c r="I39" s="8">
        <v>0</v>
      </c>
      <c r="J39" s="8">
        <v>7328440</v>
      </c>
      <c r="K39" s="8">
        <v>3450224</v>
      </c>
      <c r="L39" s="8">
        <v>0</v>
      </c>
      <c r="M39" s="8">
        <v>0</v>
      </c>
      <c r="N39" s="8">
        <v>0</v>
      </c>
      <c r="O39" s="8">
        <v>0</v>
      </c>
      <c r="P39" s="8">
        <v>546599</v>
      </c>
      <c r="Q39" s="8">
        <v>0</v>
      </c>
      <c r="S39" s="8">
        <f>E39+SUM(I39:Q39)</f>
        <v>11325263</v>
      </c>
      <c r="T39" s="10"/>
    </row>
    <row r="40" spans="1:20" ht="16" customHeight="1">
      <c r="A40" s="50" t="s">
        <v>40</v>
      </c>
      <c r="B40" s="26">
        <v>2022</v>
      </c>
      <c r="C40" s="27" t="s">
        <v>325</v>
      </c>
      <c r="D40" s="7" t="s">
        <v>326</v>
      </c>
      <c r="E40" s="8">
        <v>0</v>
      </c>
      <c r="F40" s="7" t="s">
        <v>15</v>
      </c>
      <c r="G40" s="7" t="s">
        <v>15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S40" s="8">
        <f>E40+SUM(I40:Q40)</f>
        <v>0</v>
      </c>
      <c r="T40" s="10"/>
    </row>
    <row r="41" spans="1:20" ht="16" customHeight="1">
      <c r="A41" s="50" t="s">
        <v>40</v>
      </c>
      <c r="B41" s="26">
        <v>2023</v>
      </c>
      <c r="C41" s="27" t="s">
        <v>325</v>
      </c>
      <c r="D41" s="7" t="s">
        <v>327</v>
      </c>
      <c r="E41" s="8">
        <v>0</v>
      </c>
      <c r="F41" s="7" t="s">
        <v>15</v>
      </c>
      <c r="G41" s="7" t="s">
        <v>15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S41" s="8">
        <f>E41+SUM(I41:Q41)</f>
        <v>0</v>
      </c>
      <c r="T41" s="10"/>
    </row>
    <row r="42" spans="1:20" ht="16" customHeight="1">
      <c r="A42" s="50" t="s">
        <v>40</v>
      </c>
      <c r="B42" s="26">
        <v>2023</v>
      </c>
      <c r="C42" s="27" t="s">
        <v>325</v>
      </c>
      <c r="D42" s="7" t="s">
        <v>327</v>
      </c>
      <c r="E42" s="8">
        <v>0</v>
      </c>
      <c r="F42" s="7" t="s">
        <v>15</v>
      </c>
      <c r="G42" s="7" t="s">
        <v>15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S42" s="8">
        <f>E42+SUM(I42:Q42)</f>
        <v>0</v>
      </c>
      <c r="T42" s="10"/>
    </row>
    <row r="43" spans="1:20" ht="16" customHeight="1">
      <c r="A43" s="50" t="s">
        <v>40</v>
      </c>
      <c r="B43" s="26">
        <v>2023</v>
      </c>
      <c r="C43" s="27" t="s">
        <v>325</v>
      </c>
      <c r="D43" s="7" t="s">
        <v>327</v>
      </c>
      <c r="E43" s="8">
        <v>0</v>
      </c>
      <c r="F43" s="7" t="s">
        <v>15</v>
      </c>
      <c r="G43" s="7" t="s">
        <v>15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S43" s="8">
        <f>E43+SUM(I43:Q43)</f>
        <v>0</v>
      </c>
      <c r="T43" s="10"/>
    </row>
    <row r="44" spans="1:20" ht="16" customHeight="1">
      <c r="A44" s="50" t="s">
        <v>40</v>
      </c>
      <c r="B44" s="26">
        <v>2023</v>
      </c>
      <c r="C44" s="27" t="s">
        <v>325</v>
      </c>
      <c r="D44" s="7" t="s">
        <v>485</v>
      </c>
      <c r="E44" s="8">
        <v>919865320</v>
      </c>
      <c r="F44" s="7" t="s">
        <v>15</v>
      </c>
      <c r="G44" s="7" t="s">
        <v>15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-919865320</v>
      </c>
      <c r="Q44" s="8">
        <v>0</v>
      </c>
      <c r="S44" s="8">
        <f>E44+SUM(I44:Q44)</f>
        <v>0</v>
      </c>
      <c r="T44" s="10"/>
    </row>
    <row r="45" spans="1:20" ht="16" customHeight="1">
      <c r="A45" s="50" t="s">
        <v>40</v>
      </c>
      <c r="B45" s="26">
        <v>2023</v>
      </c>
      <c r="C45" s="27" t="s">
        <v>328</v>
      </c>
      <c r="D45" s="7" t="s">
        <v>329</v>
      </c>
      <c r="E45" s="8">
        <v>0</v>
      </c>
      <c r="F45" s="7" t="s">
        <v>15</v>
      </c>
      <c r="G45" s="7" t="s">
        <v>15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S45" s="8">
        <f>E45+SUM(I45:Q45)</f>
        <v>0</v>
      </c>
      <c r="T45" s="10"/>
    </row>
    <row r="46" spans="1:20" ht="16" customHeight="1">
      <c r="A46" s="50" t="s">
        <v>40</v>
      </c>
      <c r="B46" s="26">
        <v>2023</v>
      </c>
      <c r="C46" s="27" t="s">
        <v>81</v>
      </c>
      <c r="D46" s="7" t="s">
        <v>176</v>
      </c>
      <c r="E46" s="8">
        <v>0</v>
      </c>
      <c r="F46" s="7" t="s">
        <v>15</v>
      </c>
      <c r="G46" s="7" t="s">
        <v>15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S46" s="8">
        <f>E46+SUM(I46:Q46)</f>
        <v>0</v>
      </c>
      <c r="T46" s="10"/>
    </row>
    <row r="47" spans="1:20" ht="16" customHeight="1">
      <c r="A47" s="50" t="s">
        <v>40</v>
      </c>
      <c r="B47" s="26">
        <v>2024</v>
      </c>
      <c r="C47" s="27" t="s">
        <v>81</v>
      </c>
      <c r="D47" s="7" t="s">
        <v>330</v>
      </c>
      <c r="E47" s="8">
        <v>0</v>
      </c>
      <c r="F47" s="7" t="s">
        <v>15</v>
      </c>
      <c r="G47" s="7" t="s">
        <v>15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S47" s="8">
        <f>E47+SUM(I47:Q47)</f>
        <v>0</v>
      </c>
      <c r="T47" s="10"/>
    </row>
    <row r="48" spans="1:20" ht="16" customHeight="1">
      <c r="A48" s="50" t="s">
        <v>40</v>
      </c>
      <c r="B48" s="26">
        <v>2023</v>
      </c>
      <c r="C48" s="27" t="s">
        <v>323</v>
      </c>
      <c r="D48" s="7" t="s">
        <v>528</v>
      </c>
      <c r="E48" s="8">
        <v>0</v>
      </c>
      <c r="F48" s="7" t="s">
        <v>15</v>
      </c>
      <c r="G48" s="7" t="s">
        <v>15</v>
      </c>
      <c r="I48" s="8">
        <v>0</v>
      </c>
      <c r="J48" s="8">
        <v>0</v>
      </c>
      <c r="K48" s="8">
        <v>1801802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S48" s="8">
        <f>E48+SUM(I48:Q48)</f>
        <v>1801802</v>
      </c>
      <c r="T48" s="10"/>
    </row>
    <row r="49" spans="1:21" ht="16" customHeight="1">
      <c r="A49" s="50" t="s">
        <v>40</v>
      </c>
      <c r="B49" s="26">
        <v>2023</v>
      </c>
      <c r="C49" s="27" t="s">
        <v>323</v>
      </c>
      <c r="D49" s="7" t="s">
        <v>527</v>
      </c>
      <c r="E49" s="8">
        <v>0</v>
      </c>
      <c r="F49" s="7" t="s">
        <v>15</v>
      </c>
      <c r="G49" s="7" t="s">
        <v>15</v>
      </c>
      <c r="I49" s="8">
        <v>0</v>
      </c>
      <c r="J49" s="8">
        <v>0</v>
      </c>
      <c r="K49" s="8">
        <v>3603604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S49" s="8">
        <f>E49+SUM(I49:Q49)</f>
        <v>3603604</v>
      </c>
      <c r="T49" s="10"/>
    </row>
    <row r="50" spans="1:21" s="10" customFormat="1" ht="16" customHeight="1">
      <c r="A50" s="6" t="s">
        <v>40</v>
      </c>
      <c r="B50" s="26">
        <v>2023</v>
      </c>
      <c r="C50" s="27" t="s">
        <v>531</v>
      </c>
      <c r="D50" s="27" t="s">
        <v>1069</v>
      </c>
      <c r="E50" s="29">
        <v>19257150</v>
      </c>
      <c r="F50" s="27" t="s">
        <v>15</v>
      </c>
      <c r="G50" s="30" t="s">
        <v>15</v>
      </c>
      <c r="H50" s="30" t="s">
        <v>15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-19257150</v>
      </c>
      <c r="R50" s="8"/>
      <c r="S50" s="8">
        <f>E50+SUM(I50:Q50)</f>
        <v>0</v>
      </c>
    </row>
    <row r="51" spans="1:21" s="10" customFormat="1" ht="16" customHeight="1">
      <c r="A51" s="6" t="s">
        <v>40</v>
      </c>
      <c r="B51" s="26">
        <v>2024</v>
      </c>
      <c r="C51" s="27" t="s">
        <v>533</v>
      </c>
      <c r="D51" s="27" t="s">
        <v>1069</v>
      </c>
      <c r="E51" s="29">
        <v>766597874</v>
      </c>
      <c r="F51" s="27" t="s">
        <v>15</v>
      </c>
      <c r="G51" s="30" t="s">
        <v>15</v>
      </c>
      <c r="H51" s="30" t="s">
        <v>15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-735528458</v>
      </c>
      <c r="R51" s="8"/>
      <c r="S51" s="8">
        <f>E51+SUM(I51:Q51)</f>
        <v>31069416</v>
      </c>
      <c r="T51" s="64">
        <v>31181450</v>
      </c>
      <c r="U51" s="77">
        <f>S51-T51</f>
        <v>-112034</v>
      </c>
    </row>
    <row r="52" spans="1:21" s="10" customFormat="1" ht="16" customHeight="1">
      <c r="A52" s="6" t="s">
        <v>40</v>
      </c>
      <c r="B52" s="26">
        <v>2025</v>
      </c>
      <c r="C52" s="27" t="s">
        <v>532</v>
      </c>
      <c r="D52" s="27" t="s">
        <v>1069</v>
      </c>
      <c r="E52" s="29">
        <v>2784023038</v>
      </c>
      <c r="F52" s="27" t="s">
        <v>15</v>
      </c>
      <c r="G52" s="30" t="s">
        <v>15</v>
      </c>
      <c r="H52" s="30" t="s">
        <v>15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-2600754620</v>
      </c>
      <c r="R52" s="8"/>
      <c r="S52" s="8">
        <f>E52+SUM(I52:Q52)</f>
        <v>183268418</v>
      </c>
    </row>
    <row r="53" spans="1:21" ht="16" customHeight="1">
      <c r="A53" s="50" t="s">
        <v>40</v>
      </c>
      <c r="B53" s="26">
        <v>2023</v>
      </c>
      <c r="C53" s="27" t="s">
        <v>529</v>
      </c>
      <c r="D53" s="27" t="s">
        <v>1076</v>
      </c>
      <c r="E53" s="8">
        <v>11822877</v>
      </c>
      <c r="F53" s="7" t="s">
        <v>15</v>
      </c>
      <c r="G53" s="7" t="s">
        <v>15</v>
      </c>
      <c r="I53" s="8">
        <v>0</v>
      </c>
      <c r="J53" s="8">
        <v>0</v>
      </c>
      <c r="K53" s="8">
        <v>-11822877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S53" s="8">
        <f>E53+SUM(I53:Q53)</f>
        <v>0</v>
      </c>
      <c r="T53" s="10"/>
    </row>
    <row r="54" spans="1:21" s="10" customFormat="1" ht="16" customHeight="1">
      <c r="A54" s="6" t="s">
        <v>40</v>
      </c>
      <c r="B54" s="26">
        <v>2025</v>
      </c>
      <c r="C54" s="27" t="s">
        <v>529</v>
      </c>
      <c r="D54" s="27" t="s">
        <v>1075</v>
      </c>
      <c r="E54" s="29">
        <v>0</v>
      </c>
      <c r="F54" s="27" t="s">
        <v>15</v>
      </c>
      <c r="G54" s="30" t="s">
        <v>15</v>
      </c>
      <c r="H54" s="30" t="s">
        <v>15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16754255</v>
      </c>
      <c r="R54" s="8"/>
      <c r="S54" s="8">
        <f>E54+SUM(I54:Q54)</f>
        <v>16754255</v>
      </c>
    </row>
    <row r="55" spans="1:21" s="10" customFormat="1" ht="16" customHeight="1">
      <c r="A55" s="6" t="s">
        <v>40</v>
      </c>
      <c r="B55" s="26">
        <v>2025</v>
      </c>
      <c r="C55" s="27" t="s">
        <v>529</v>
      </c>
      <c r="D55" s="27" t="s">
        <v>1076</v>
      </c>
      <c r="E55" s="29">
        <v>0</v>
      </c>
      <c r="F55" s="27" t="s">
        <v>15</v>
      </c>
      <c r="G55" s="30" t="s">
        <v>15</v>
      </c>
      <c r="H55" s="30" t="s">
        <v>15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14427195</v>
      </c>
      <c r="R55" s="8"/>
      <c r="S55" s="8">
        <f>E55+SUM(I55:Q55)</f>
        <v>14427195</v>
      </c>
    </row>
    <row r="56" spans="1:21" s="10" customFormat="1" ht="16" customHeight="1">
      <c r="A56" s="6" t="s">
        <v>2</v>
      </c>
      <c r="B56" s="26">
        <v>2018</v>
      </c>
      <c r="C56" s="7" t="s">
        <v>21</v>
      </c>
      <c r="D56" s="7" t="s">
        <v>22</v>
      </c>
      <c r="E56" s="62">
        <v>144630000</v>
      </c>
      <c r="F56" s="7" t="s">
        <v>0</v>
      </c>
      <c r="G56" s="56" t="s">
        <v>23</v>
      </c>
      <c r="H56" s="9"/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-144630000</v>
      </c>
      <c r="Q56" s="8">
        <v>0</v>
      </c>
      <c r="R56" s="8"/>
      <c r="S56" s="46">
        <f>E56+I56+J56+K56+L56+M56+N56+O56+P56</f>
        <v>0</v>
      </c>
    </row>
    <row r="57" spans="1:21" s="10" customFormat="1" ht="16" customHeight="1">
      <c r="A57" s="24" t="s">
        <v>36</v>
      </c>
      <c r="B57" s="25" t="s">
        <v>15</v>
      </c>
      <c r="C57" s="7" t="s">
        <v>41</v>
      </c>
      <c r="D57" s="7" t="s">
        <v>15</v>
      </c>
      <c r="E57" s="8">
        <v>14450000</v>
      </c>
      <c r="F57" s="7" t="s">
        <v>15</v>
      </c>
      <c r="G57" s="7" t="s">
        <v>15</v>
      </c>
      <c r="H57" s="9"/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f>-14450000</f>
        <v>-14450000</v>
      </c>
      <c r="Q57" s="8">
        <v>0</v>
      </c>
      <c r="R57" s="8"/>
      <c r="S57" s="8">
        <f>E57+I57+J57+K57+L57+M57+N57+O57+P57</f>
        <v>0</v>
      </c>
    </row>
    <row r="58" spans="1:21" s="10" customFormat="1" ht="16" customHeight="1">
      <c r="A58" s="24" t="s">
        <v>36</v>
      </c>
      <c r="B58" s="25" t="s">
        <v>15</v>
      </c>
      <c r="C58" s="7" t="s">
        <v>42</v>
      </c>
      <c r="D58" s="7" t="s">
        <v>15</v>
      </c>
      <c r="E58" s="8">
        <v>6338300</v>
      </c>
      <c r="F58" s="7" t="s">
        <v>15</v>
      </c>
      <c r="G58" s="7" t="s">
        <v>15</v>
      </c>
      <c r="H58" s="9"/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-6338300</v>
      </c>
      <c r="Q58" s="8">
        <v>0</v>
      </c>
      <c r="R58" s="8"/>
      <c r="S58" s="8">
        <f>E58+I58+J58+K58+L58+M58+N58+O58+P58</f>
        <v>0</v>
      </c>
    </row>
    <row r="59" spans="1:21" s="10" customFormat="1" ht="16" customHeight="1">
      <c r="A59" s="24" t="s">
        <v>36</v>
      </c>
      <c r="B59" s="25" t="s">
        <v>15</v>
      </c>
      <c r="C59" s="7" t="s">
        <v>43</v>
      </c>
      <c r="D59" s="7" t="s">
        <v>15</v>
      </c>
      <c r="E59" s="8">
        <v>39100</v>
      </c>
      <c r="F59" s="7" t="s">
        <v>15</v>
      </c>
      <c r="G59" s="7" t="s">
        <v>15</v>
      </c>
      <c r="H59" s="9"/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-39100</v>
      </c>
      <c r="Q59" s="8">
        <v>0</v>
      </c>
      <c r="R59" s="8"/>
      <c r="S59" s="8">
        <f>E59+I59+J59+K59+L59+M59+N59+O59+P59</f>
        <v>0</v>
      </c>
    </row>
    <row r="60" spans="1:21" s="10" customFormat="1" ht="16" customHeight="1">
      <c r="A60" s="24" t="s">
        <v>36</v>
      </c>
      <c r="B60" s="25" t="s">
        <v>15</v>
      </c>
      <c r="C60" s="7" t="s">
        <v>14</v>
      </c>
      <c r="D60" s="7" t="s">
        <v>15</v>
      </c>
      <c r="E60" s="8">
        <v>3000000</v>
      </c>
      <c r="F60" s="7" t="s">
        <v>15</v>
      </c>
      <c r="G60" s="7" t="s">
        <v>15</v>
      </c>
      <c r="H60" s="9"/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/>
      <c r="S60" s="8">
        <f>E60+I60+J60+K60+L60+M60+N60+O60+P60</f>
        <v>3000000</v>
      </c>
    </row>
    <row r="61" spans="1:21" s="10" customFormat="1" ht="16" customHeight="1">
      <c r="A61" s="24" t="s">
        <v>36</v>
      </c>
      <c r="B61" s="25" t="s">
        <v>15</v>
      </c>
      <c r="C61" s="7" t="s">
        <v>44</v>
      </c>
      <c r="D61" s="7" t="s">
        <v>15</v>
      </c>
      <c r="E61" s="8">
        <v>15550</v>
      </c>
      <c r="F61" s="7" t="s">
        <v>15</v>
      </c>
      <c r="G61" s="7" t="s">
        <v>15</v>
      </c>
      <c r="H61" s="9"/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-15550</v>
      </c>
      <c r="Q61" s="8">
        <v>0</v>
      </c>
      <c r="R61" s="8"/>
      <c r="S61" s="8">
        <f>E61+I61+J61+K61+L61+M61+N61+O61+P61</f>
        <v>0</v>
      </c>
    </row>
    <row r="62" spans="1:21" s="10" customFormat="1" ht="16" customHeight="1">
      <c r="A62" s="24" t="s">
        <v>36</v>
      </c>
      <c r="B62" s="25" t="s">
        <v>15</v>
      </c>
      <c r="C62" s="7" t="s">
        <v>113</v>
      </c>
      <c r="D62" s="7" t="s">
        <v>15</v>
      </c>
      <c r="E62" s="8">
        <v>778500</v>
      </c>
      <c r="F62" s="7" t="s">
        <v>15</v>
      </c>
      <c r="G62" s="7" t="s">
        <v>15</v>
      </c>
      <c r="H62" s="9"/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-778500</v>
      </c>
      <c r="Q62" s="8">
        <v>0</v>
      </c>
      <c r="R62" s="8"/>
      <c r="S62" s="8">
        <f>E62+I62+J62+K62+L62+M62+N62+O62+P62</f>
        <v>0</v>
      </c>
    </row>
    <row r="63" spans="1:21" s="10" customFormat="1" ht="16" customHeight="1">
      <c r="A63" s="24" t="s">
        <v>36</v>
      </c>
      <c r="B63" s="25" t="s">
        <v>15</v>
      </c>
      <c r="C63" s="7" t="s">
        <v>45</v>
      </c>
      <c r="D63" s="7" t="s">
        <v>15</v>
      </c>
      <c r="E63" s="8">
        <v>0</v>
      </c>
      <c r="F63" s="7" t="s">
        <v>15</v>
      </c>
      <c r="G63" s="7" t="s">
        <v>15</v>
      </c>
      <c r="H63" s="9"/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/>
      <c r="S63" s="8">
        <f>E63+I63+J63+K63+L63+M63+N63+O63+P63</f>
        <v>0</v>
      </c>
    </row>
    <row r="64" spans="1:21" s="10" customFormat="1" ht="16" customHeight="1">
      <c r="A64" s="24" t="s">
        <v>36</v>
      </c>
      <c r="B64" s="25" t="s">
        <v>15</v>
      </c>
      <c r="C64" s="7" t="s">
        <v>46</v>
      </c>
      <c r="D64" s="7" t="s">
        <v>15</v>
      </c>
      <c r="E64" s="8">
        <v>0</v>
      </c>
      <c r="F64" s="7" t="s">
        <v>15</v>
      </c>
      <c r="G64" s="7" t="s">
        <v>15</v>
      </c>
      <c r="H64" s="9"/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/>
      <c r="S64" s="8">
        <f>E64+I64+J64+K64+L64+M64+N64+O64+P64</f>
        <v>0</v>
      </c>
    </row>
    <row r="65" spans="1:20" s="10" customFormat="1" ht="16" customHeight="1">
      <c r="A65" s="24" t="s">
        <v>36</v>
      </c>
      <c r="B65" s="25" t="s">
        <v>15</v>
      </c>
      <c r="C65" s="7" t="s">
        <v>8</v>
      </c>
      <c r="D65" s="7" t="s">
        <v>15</v>
      </c>
      <c r="E65" s="8">
        <v>352765</v>
      </c>
      <c r="F65" s="7" t="s">
        <v>15</v>
      </c>
      <c r="G65" s="7" t="s">
        <v>15</v>
      </c>
      <c r="H65" s="9"/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-352765</v>
      </c>
      <c r="Q65" s="8">
        <v>0</v>
      </c>
      <c r="R65" s="8"/>
      <c r="S65" s="8">
        <f>E65+I65+J65+K65+L65+M65+N65+O65+P65</f>
        <v>0</v>
      </c>
    </row>
    <row r="66" spans="1:20" s="10" customFormat="1" ht="16" customHeight="1">
      <c r="A66" s="50" t="s">
        <v>36</v>
      </c>
      <c r="B66" s="25" t="s">
        <v>15</v>
      </c>
      <c r="C66" s="7" t="s">
        <v>47</v>
      </c>
      <c r="D66" s="7" t="s">
        <v>15</v>
      </c>
      <c r="E66" s="8">
        <v>146401</v>
      </c>
      <c r="F66" s="7" t="s">
        <v>15</v>
      </c>
      <c r="G66" s="7" t="s">
        <v>15</v>
      </c>
      <c r="H66" s="9"/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-146401</v>
      </c>
      <c r="Q66" s="8">
        <v>0</v>
      </c>
      <c r="R66" s="8"/>
      <c r="S66" s="8">
        <f>E66+I66+J66+K66+L66+M66+N66+O66+P66</f>
        <v>0</v>
      </c>
    </row>
    <row r="67" spans="1:20" s="10" customFormat="1" ht="16" customHeight="1">
      <c r="A67" s="24" t="s">
        <v>36</v>
      </c>
      <c r="B67" s="25" t="s">
        <v>15</v>
      </c>
      <c r="C67" s="7" t="s">
        <v>147</v>
      </c>
      <c r="D67" s="7" t="s">
        <v>15</v>
      </c>
      <c r="E67" s="8">
        <v>398000</v>
      </c>
      <c r="F67" s="7" t="s">
        <v>15</v>
      </c>
      <c r="G67" s="7" t="s">
        <v>15</v>
      </c>
      <c r="H67" s="9"/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-398000</v>
      </c>
      <c r="Q67" s="8">
        <v>0</v>
      </c>
      <c r="R67" s="8"/>
      <c r="S67" s="8">
        <f>E67+I67+J67+K67+L67+M67+N67+O67+P67</f>
        <v>0</v>
      </c>
    </row>
    <row r="68" spans="1:20" s="10" customFormat="1" ht="16" customHeight="1">
      <c r="A68" s="24" t="s">
        <v>36</v>
      </c>
      <c r="B68" s="25" t="s">
        <v>15</v>
      </c>
      <c r="C68" s="7" t="s">
        <v>111</v>
      </c>
      <c r="D68" s="7" t="s">
        <v>15</v>
      </c>
      <c r="E68" s="8">
        <v>2893700</v>
      </c>
      <c r="F68" s="7" t="s">
        <v>15</v>
      </c>
      <c r="G68" s="7" t="s">
        <v>15</v>
      </c>
      <c r="H68" s="9"/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-2893700</v>
      </c>
      <c r="Q68" s="8">
        <v>0</v>
      </c>
      <c r="R68" s="8"/>
      <c r="S68" s="8">
        <f>E68+I68+J68+K68+L68+M68+N68+O68+P68</f>
        <v>0</v>
      </c>
    </row>
    <row r="69" spans="1:20" s="10" customFormat="1" ht="16" customHeight="1">
      <c r="A69" s="24" t="s">
        <v>36</v>
      </c>
      <c r="B69" s="25" t="s">
        <v>15</v>
      </c>
      <c r="C69" s="7" t="s">
        <v>48</v>
      </c>
      <c r="D69" s="7" t="s">
        <v>15</v>
      </c>
      <c r="E69" s="8">
        <v>0</v>
      </c>
      <c r="F69" s="7" t="s">
        <v>15</v>
      </c>
      <c r="G69" s="7" t="s">
        <v>15</v>
      </c>
      <c r="H69" s="9"/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/>
      <c r="S69" s="8">
        <f>E69+I69+J69+K69+L69+M69+N69+O69+P69</f>
        <v>0</v>
      </c>
    </row>
    <row r="70" spans="1:20" s="10" customFormat="1" ht="16" customHeight="1">
      <c r="A70" s="24" t="s">
        <v>36</v>
      </c>
      <c r="B70" s="25" t="s">
        <v>15</v>
      </c>
      <c r="C70" s="7" t="s">
        <v>49</v>
      </c>
      <c r="D70" s="7" t="s">
        <v>15</v>
      </c>
      <c r="E70" s="8">
        <v>0</v>
      </c>
      <c r="F70" s="7" t="s">
        <v>15</v>
      </c>
      <c r="G70" s="7" t="s">
        <v>15</v>
      </c>
      <c r="H70" s="9"/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/>
      <c r="S70" s="8">
        <f>E70+I70+J70+K70+L70+M70+N70+O70+P70</f>
        <v>0</v>
      </c>
    </row>
    <row r="71" spans="1:20" s="10" customFormat="1" ht="16" customHeight="1">
      <c r="A71" s="50" t="s">
        <v>36</v>
      </c>
      <c r="B71" s="25" t="s">
        <v>15</v>
      </c>
      <c r="C71" s="7" t="s">
        <v>50</v>
      </c>
      <c r="D71" s="7" t="s">
        <v>15</v>
      </c>
      <c r="E71" s="8">
        <v>32662441.840000004</v>
      </c>
      <c r="F71" s="7" t="s">
        <v>15</v>
      </c>
      <c r="G71" s="7" t="s">
        <v>15</v>
      </c>
      <c r="H71" s="9"/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-32662441.84</v>
      </c>
      <c r="Q71" s="8">
        <v>0</v>
      </c>
      <c r="R71" s="8"/>
      <c r="S71" s="8">
        <f>E71+I71+J71+K71+L71+M71+N71+O71+P71</f>
        <v>0</v>
      </c>
    </row>
    <row r="72" spans="1:20" s="10" customFormat="1" ht="16" customHeight="1">
      <c r="A72" s="6" t="s">
        <v>2</v>
      </c>
      <c r="B72" s="26">
        <v>2020</v>
      </c>
      <c r="C72" s="7" t="s">
        <v>21</v>
      </c>
      <c r="D72" s="7" t="s">
        <v>54</v>
      </c>
      <c r="E72" s="52">
        <v>8124732</v>
      </c>
      <c r="F72" s="7" t="s">
        <v>0</v>
      </c>
      <c r="G72" s="30" t="s">
        <v>53</v>
      </c>
      <c r="H72" s="9"/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/>
      <c r="S72" s="8">
        <f>E72+I72+J72+K72+L72+M72+N72+O72+P72</f>
        <v>8124732</v>
      </c>
    </row>
    <row r="73" spans="1:20" s="10" customFormat="1" ht="16" customHeight="1">
      <c r="A73" s="6" t="s">
        <v>9</v>
      </c>
      <c r="B73" s="26">
        <v>2021</v>
      </c>
      <c r="C73" s="27">
        <v>16432</v>
      </c>
      <c r="D73" s="34" t="s">
        <v>56</v>
      </c>
      <c r="E73" s="3">
        <v>0</v>
      </c>
      <c r="F73" s="7" t="s">
        <v>9</v>
      </c>
      <c r="G73" s="2" t="s">
        <v>57</v>
      </c>
      <c r="H73" t="s">
        <v>15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/>
      <c r="S73" s="8">
        <f>E73+I73+J73+K73+L73+M73+N73+O73+P73</f>
        <v>0</v>
      </c>
      <c r="T73" s="77">
        <f>S73+S75+S133+S151+S152</f>
        <v>250000000</v>
      </c>
    </row>
    <row r="74" spans="1:20" s="10" customFormat="1" ht="16" customHeight="1">
      <c r="A74" s="6" t="s">
        <v>9</v>
      </c>
      <c r="B74" s="26">
        <v>2022</v>
      </c>
      <c r="C74" s="27" t="s">
        <v>114</v>
      </c>
      <c r="D74" s="27" t="s">
        <v>115</v>
      </c>
      <c r="E74" s="3">
        <v>0</v>
      </c>
      <c r="F74" s="27" t="s">
        <v>9</v>
      </c>
      <c r="G74" s="2" t="s">
        <v>90</v>
      </c>
      <c r="H74" t="s">
        <v>15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/>
      <c r="S74" s="8">
        <f>E74+I74+J74+K74+L74+M74+N74+O74+P74</f>
        <v>0</v>
      </c>
    </row>
    <row r="75" spans="1:20" s="10" customFormat="1" ht="16" customHeight="1">
      <c r="A75" s="6" t="s">
        <v>9</v>
      </c>
      <c r="B75" s="26">
        <v>2022</v>
      </c>
      <c r="C75" s="27" t="s">
        <v>84</v>
      </c>
      <c r="D75" s="27" t="s">
        <v>116</v>
      </c>
      <c r="E75" s="3">
        <v>0</v>
      </c>
      <c r="F75" s="27" t="s">
        <v>9</v>
      </c>
      <c r="G75" s="2" t="s">
        <v>91</v>
      </c>
      <c r="H75" t="s">
        <v>15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/>
      <c r="S75" s="8">
        <f>E75+I75+J75+K75+L75+M75+N75+O75+P75</f>
        <v>0</v>
      </c>
    </row>
    <row r="76" spans="1:20" s="10" customFormat="1" ht="16" customHeight="1">
      <c r="A76" s="6" t="s">
        <v>9</v>
      </c>
      <c r="B76" s="26">
        <v>2023</v>
      </c>
      <c r="C76" s="27" t="s">
        <v>210</v>
      </c>
      <c r="D76" s="27" t="s">
        <v>179</v>
      </c>
      <c r="E76" s="8">
        <v>0</v>
      </c>
      <c r="F76" s="27" t="s">
        <v>9</v>
      </c>
      <c r="G76" s="2" t="s">
        <v>89</v>
      </c>
      <c r="H76" t="s">
        <v>15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/>
      <c r="S76" s="8">
        <f>E76+I76+J76+K76+L76+M76+N76+O76+P76</f>
        <v>0</v>
      </c>
    </row>
    <row r="77" spans="1:20" s="10" customFormat="1" ht="16" customHeight="1">
      <c r="A77" s="6" t="s">
        <v>9</v>
      </c>
      <c r="B77" s="26">
        <v>2023</v>
      </c>
      <c r="C77" s="27" t="s">
        <v>210</v>
      </c>
      <c r="D77" s="27" t="s">
        <v>180</v>
      </c>
      <c r="E77" s="8">
        <v>0</v>
      </c>
      <c r="F77" s="27" t="s">
        <v>9</v>
      </c>
      <c r="G77" s="2" t="s">
        <v>89</v>
      </c>
      <c r="H77" t="s">
        <v>15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/>
      <c r="S77" s="8">
        <f>E77+I77+J77+K77+L77+M77+N77+O77+P77</f>
        <v>0</v>
      </c>
    </row>
    <row r="78" spans="1:20" s="10" customFormat="1" ht="16" customHeight="1">
      <c r="A78" s="6" t="s">
        <v>9</v>
      </c>
      <c r="B78" s="26">
        <v>2023</v>
      </c>
      <c r="C78" s="27" t="s">
        <v>210</v>
      </c>
      <c r="D78" s="27" t="s">
        <v>181</v>
      </c>
      <c r="E78" s="8">
        <v>0</v>
      </c>
      <c r="F78" s="27" t="s">
        <v>9</v>
      </c>
      <c r="G78" s="2" t="s">
        <v>89</v>
      </c>
      <c r="H78" t="s">
        <v>15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/>
      <c r="S78" s="8">
        <f>E78+I78+J78+K78+L78+M78+N78+O78+P78</f>
        <v>0</v>
      </c>
    </row>
    <row r="79" spans="1:20" s="10" customFormat="1" ht="16" customHeight="1">
      <c r="A79" s="6" t="s">
        <v>9</v>
      </c>
      <c r="B79" s="26">
        <v>2023</v>
      </c>
      <c r="C79" s="27" t="s">
        <v>210</v>
      </c>
      <c r="D79" s="27" t="s">
        <v>182</v>
      </c>
      <c r="E79" s="8">
        <v>0</v>
      </c>
      <c r="F79" s="27" t="s">
        <v>9</v>
      </c>
      <c r="G79" s="2" t="s">
        <v>89</v>
      </c>
      <c r="H79" t="s">
        <v>15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/>
      <c r="S79" s="8">
        <f>E79+I79+J79+K79+L79+M79+N79+O79+P79</f>
        <v>0</v>
      </c>
    </row>
    <row r="80" spans="1:20" s="10" customFormat="1" ht="16" customHeight="1">
      <c r="A80" s="6" t="s">
        <v>9</v>
      </c>
      <c r="B80" s="26">
        <v>2023</v>
      </c>
      <c r="C80" s="27" t="s">
        <v>210</v>
      </c>
      <c r="D80" s="27" t="s">
        <v>183</v>
      </c>
      <c r="E80" s="8">
        <v>0</v>
      </c>
      <c r="F80" s="27" t="s">
        <v>9</v>
      </c>
      <c r="G80" s="2" t="s">
        <v>89</v>
      </c>
      <c r="H80" t="s">
        <v>15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/>
      <c r="S80" s="8">
        <f>E80+I80+J80+K80+L80+M80+N80+O80+P80</f>
        <v>0</v>
      </c>
    </row>
    <row r="81" spans="1:19" s="10" customFormat="1" ht="16" customHeight="1">
      <c r="A81" s="6" t="s">
        <v>9</v>
      </c>
      <c r="B81" s="26">
        <v>2023</v>
      </c>
      <c r="C81" s="27" t="s">
        <v>210</v>
      </c>
      <c r="D81" s="27" t="s">
        <v>184</v>
      </c>
      <c r="E81" s="8">
        <v>0</v>
      </c>
      <c r="F81" s="27" t="s">
        <v>9</v>
      </c>
      <c r="G81" s="2" t="s">
        <v>16</v>
      </c>
      <c r="H81" t="s">
        <v>15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/>
      <c r="S81" s="8">
        <f>E81+I81+J81+K81+L81+M81+N81+O81+P81</f>
        <v>0</v>
      </c>
    </row>
    <row r="82" spans="1:19" s="10" customFormat="1" ht="16" customHeight="1">
      <c r="A82" s="6" t="s">
        <v>9</v>
      </c>
      <c r="B82" s="26">
        <v>2023</v>
      </c>
      <c r="C82" s="27" t="s">
        <v>210</v>
      </c>
      <c r="D82" s="27" t="s">
        <v>185</v>
      </c>
      <c r="E82" s="8">
        <v>0</v>
      </c>
      <c r="F82" s="27" t="s">
        <v>9</v>
      </c>
      <c r="G82" s="2" t="s">
        <v>16</v>
      </c>
      <c r="H82" t="s">
        <v>15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/>
      <c r="S82" s="8">
        <f>E82+I82+J82+K82+L82+M82+N82+O82+P82</f>
        <v>0</v>
      </c>
    </row>
    <row r="83" spans="1:19" s="10" customFormat="1" ht="16" customHeight="1">
      <c r="A83" s="6" t="s">
        <v>9</v>
      </c>
      <c r="B83" s="26">
        <v>2023</v>
      </c>
      <c r="C83" s="27" t="s">
        <v>210</v>
      </c>
      <c r="D83" s="27" t="s">
        <v>186</v>
      </c>
      <c r="E83" s="8">
        <v>0</v>
      </c>
      <c r="F83" s="27" t="s">
        <v>9</v>
      </c>
      <c r="G83" s="2" t="s">
        <v>16</v>
      </c>
      <c r="H83" t="s">
        <v>15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/>
      <c r="S83" s="8">
        <f>E83+I83+J83+K83+L83+M83+N83+O83+P83</f>
        <v>0</v>
      </c>
    </row>
    <row r="84" spans="1:19" s="10" customFormat="1" ht="16" customHeight="1">
      <c r="A84" s="6" t="s">
        <v>9</v>
      </c>
      <c r="B84" s="26">
        <v>2023</v>
      </c>
      <c r="C84" s="27" t="s">
        <v>210</v>
      </c>
      <c r="D84" s="27" t="s">
        <v>187</v>
      </c>
      <c r="E84" s="8">
        <v>0</v>
      </c>
      <c r="F84" s="27" t="s">
        <v>9</v>
      </c>
      <c r="G84" s="2" t="s">
        <v>16</v>
      </c>
      <c r="H84" t="s">
        <v>15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/>
      <c r="S84" s="8">
        <f>E84+I84+J84+K84+L84+M84+N84+O84+P84</f>
        <v>0</v>
      </c>
    </row>
    <row r="85" spans="1:19" s="10" customFormat="1" ht="16" customHeight="1">
      <c r="A85" s="6" t="s">
        <v>9</v>
      </c>
      <c r="B85" s="26">
        <v>2023</v>
      </c>
      <c r="C85" s="27" t="s">
        <v>210</v>
      </c>
      <c r="D85" s="27" t="s">
        <v>200</v>
      </c>
      <c r="E85" s="8">
        <v>0</v>
      </c>
      <c r="F85" s="27" t="s">
        <v>9</v>
      </c>
      <c r="G85" s="2" t="s">
        <v>52</v>
      </c>
      <c r="H85" t="s">
        <v>15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/>
      <c r="S85" s="8">
        <f>E85+I85+J85+K85+L85+M85+N85+O85+P85</f>
        <v>0</v>
      </c>
    </row>
    <row r="86" spans="1:19" s="10" customFormat="1" ht="16" customHeight="1">
      <c r="A86" s="6" t="s">
        <v>9</v>
      </c>
      <c r="B86" s="26">
        <v>2023</v>
      </c>
      <c r="C86" s="27" t="s">
        <v>210</v>
      </c>
      <c r="D86" s="27" t="s">
        <v>201</v>
      </c>
      <c r="E86" s="8">
        <v>0</v>
      </c>
      <c r="F86" s="27" t="s">
        <v>9</v>
      </c>
      <c r="G86" s="2" t="s">
        <v>52</v>
      </c>
      <c r="H86" t="s">
        <v>15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/>
      <c r="S86" s="8">
        <f>E86+I86+J86+K86+L86+M86+N86+O86+P86</f>
        <v>0</v>
      </c>
    </row>
    <row r="87" spans="1:19" s="10" customFormat="1" ht="16" customHeight="1">
      <c r="A87" s="6" t="s">
        <v>9</v>
      </c>
      <c r="B87" s="26">
        <v>2023</v>
      </c>
      <c r="C87" s="27" t="s">
        <v>210</v>
      </c>
      <c r="D87" s="27" t="s">
        <v>211</v>
      </c>
      <c r="E87" s="8">
        <v>0</v>
      </c>
      <c r="F87" s="27" t="s">
        <v>9</v>
      </c>
      <c r="G87" s="2" t="s">
        <v>52</v>
      </c>
      <c r="H87" t="s">
        <v>15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/>
      <c r="S87" s="8">
        <f>E87+I87+J87+K87+L87+M87+N87+O87+P87</f>
        <v>0</v>
      </c>
    </row>
    <row r="88" spans="1:19" s="10" customFormat="1" ht="16" customHeight="1">
      <c r="A88" s="6" t="s">
        <v>9</v>
      </c>
      <c r="B88" s="26">
        <v>2023</v>
      </c>
      <c r="C88" s="27" t="s">
        <v>210</v>
      </c>
      <c r="D88" s="30" t="s">
        <v>223</v>
      </c>
      <c r="E88" s="5">
        <v>0</v>
      </c>
      <c r="F88" s="27" t="s">
        <v>9</v>
      </c>
      <c r="G88" s="2" t="s">
        <v>58</v>
      </c>
      <c r="H88" s="30" t="s">
        <v>15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/>
      <c r="S88" s="8">
        <f>E88+I88+J88+K88+L88+M88+N88+O88+P88</f>
        <v>0</v>
      </c>
    </row>
    <row r="89" spans="1:19" s="10" customFormat="1" ht="16" customHeight="1">
      <c r="A89" s="6" t="s">
        <v>9</v>
      </c>
      <c r="B89" s="26">
        <v>2023</v>
      </c>
      <c r="C89" s="27" t="s">
        <v>212</v>
      </c>
      <c r="D89" s="27" t="s">
        <v>190</v>
      </c>
      <c r="E89" s="8">
        <v>0</v>
      </c>
      <c r="F89" s="27" t="s">
        <v>9</v>
      </c>
      <c r="G89" s="2" t="s">
        <v>213</v>
      </c>
      <c r="H89" t="s">
        <v>15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/>
      <c r="S89" s="8">
        <f>E89+I89+J89+K89+L89+M89+N89+O89+P89</f>
        <v>0</v>
      </c>
    </row>
    <row r="90" spans="1:19" s="10" customFormat="1" ht="16" customHeight="1">
      <c r="A90" s="6" t="s">
        <v>9</v>
      </c>
      <c r="B90" s="26">
        <v>2023</v>
      </c>
      <c r="C90" s="27" t="s">
        <v>212</v>
      </c>
      <c r="D90" s="27" t="s">
        <v>203</v>
      </c>
      <c r="E90" s="8">
        <v>0</v>
      </c>
      <c r="F90" s="27" t="s">
        <v>9</v>
      </c>
      <c r="G90" s="2" t="s">
        <v>20</v>
      </c>
      <c r="H90" t="s">
        <v>15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/>
      <c r="S90" s="8">
        <f>E90+I90+J90+K90+L90+M90+N90+O90+P90</f>
        <v>0</v>
      </c>
    </row>
    <row r="91" spans="1:19" s="10" customFormat="1" ht="16" customHeight="1">
      <c r="A91" s="6" t="s">
        <v>9</v>
      </c>
      <c r="B91" s="26">
        <v>2023</v>
      </c>
      <c r="C91" s="27" t="s">
        <v>212</v>
      </c>
      <c r="D91" s="27" t="s">
        <v>192</v>
      </c>
      <c r="E91" s="8">
        <v>0</v>
      </c>
      <c r="F91" s="27" t="s">
        <v>9</v>
      </c>
      <c r="G91" s="2" t="s">
        <v>18</v>
      </c>
      <c r="H91" t="s">
        <v>15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/>
      <c r="S91" s="8">
        <f>E91+I91+J91+K91+L91+M91+N91+O91+P91</f>
        <v>0</v>
      </c>
    </row>
    <row r="92" spans="1:19" s="10" customFormat="1" ht="16" customHeight="1">
      <c r="A92" s="6" t="s">
        <v>9</v>
      </c>
      <c r="B92" s="26">
        <v>2023</v>
      </c>
      <c r="C92" s="27" t="s">
        <v>212</v>
      </c>
      <c r="D92" s="27" t="s">
        <v>193</v>
      </c>
      <c r="E92" s="8">
        <v>0</v>
      </c>
      <c r="F92" s="27" t="s">
        <v>9</v>
      </c>
      <c r="G92" s="2" t="s">
        <v>18</v>
      </c>
      <c r="H92" t="s">
        <v>15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/>
      <c r="S92" s="8">
        <f>E92+I92+J92+K92+L92+M92+N92+O92+P92</f>
        <v>0</v>
      </c>
    </row>
    <row r="93" spans="1:19" s="10" customFormat="1" ht="16" customHeight="1">
      <c r="A93" s="6" t="s">
        <v>9</v>
      </c>
      <c r="B93" s="26">
        <v>2023</v>
      </c>
      <c r="C93" s="27" t="s">
        <v>214</v>
      </c>
      <c r="D93" s="27" t="s">
        <v>177</v>
      </c>
      <c r="E93" s="8">
        <v>0</v>
      </c>
      <c r="F93" s="27" t="s">
        <v>9</v>
      </c>
      <c r="G93" s="2" t="s">
        <v>51</v>
      </c>
      <c r="H93" t="s">
        <v>15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/>
      <c r="S93" s="8">
        <f>E93+I93+J93+K93+L93+M93+N93+O93+P93</f>
        <v>0</v>
      </c>
    </row>
    <row r="94" spans="1:19" s="10" customFormat="1" ht="16" customHeight="1">
      <c r="A94" s="6" t="s">
        <v>9</v>
      </c>
      <c r="B94" s="26">
        <v>2023</v>
      </c>
      <c r="C94" s="27" t="s">
        <v>214</v>
      </c>
      <c r="D94" s="27" t="s">
        <v>178</v>
      </c>
      <c r="E94" s="8">
        <v>0</v>
      </c>
      <c r="F94" s="27" t="s">
        <v>9</v>
      </c>
      <c r="G94" s="2" t="s">
        <v>51</v>
      </c>
      <c r="H94" t="s">
        <v>15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/>
      <c r="S94" s="8">
        <f>E94+I94+J94+K94+L94+M94+N94+O94+P94</f>
        <v>0</v>
      </c>
    </row>
    <row r="95" spans="1:19" s="10" customFormat="1" ht="16" customHeight="1">
      <c r="A95" s="6" t="s">
        <v>9</v>
      </c>
      <c r="B95" s="26">
        <v>2023</v>
      </c>
      <c r="C95" s="27" t="s">
        <v>233</v>
      </c>
      <c r="D95" s="2" t="s">
        <v>230</v>
      </c>
      <c r="E95" s="8">
        <v>0</v>
      </c>
      <c r="F95" s="27" t="s">
        <v>9</v>
      </c>
      <c r="G95" s="2" t="s">
        <v>90</v>
      </c>
      <c r="H95" s="30" t="s">
        <v>15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/>
      <c r="S95" s="8">
        <f>E95+I95+J95+K95+L95+M95+N95+O95+P95</f>
        <v>0</v>
      </c>
    </row>
    <row r="96" spans="1:19" s="10" customFormat="1" ht="16" customHeight="1">
      <c r="A96" s="6" t="s">
        <v>9</v>
      </c>
      <c r="B96" s="26">
        <v>2023</v>
      </c>
      <c r="C96" s="27" t="s">
        <v>233</v>
      </c>
      <c r="D96" s="2" t="s">
        <v>230</v>
      </c>
      <c r="E96" s="8">
        <v>0</v>
      </c>
      <c r="F96" s="27" t="s">
        <v>9</v>
      </c>
      <c r="G96" s="2" t="s">
        <v>90</v>
      </c>
      <c r="H96" s="30" t="s">
        <v>15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/>
      <c r="S96" s="8">
        <f>E96+I96+J96+K96+L96+M96+N96+O96+P96</f>
        <v>0</v>
      </c>
    </row>
    <row r="97" spans="1:19" s="10" customFormat="1" ht="16" customHeight="1">
      <c r="A97" s="6" t="s">
        <v>9</v>
      </c>
      <c r="B97" s="26">
        <v>2023</v>
      </c>
      <c r="C97" s="27" t="s">
        <v>233</v>
      </c>
      <c r="D97" s="2" t="s">
        <v>231</v>
      </c>
      <c r="E97" s="8">
        <v>0</v>
      </c>
      <c r="F97" s="27" t="s">
        <v>9</v>
      </c>
      <c r="G97" s="2" t="s">
        <v>90</v>
      </c>
      <c r="H97" s="30" t="s">
        <v>15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/>
      <c r="S97" s="8">
        <f>E97+I97+J97+K97+L97+M97+N97+O97+P97</f>
        <v>0</v>
      </c>
    </row>
    <row r="98" spans="1:19" s="10" customFormat="1" ht="16" customHeight="1">
      <c r="A98" s="6" t="s">
        <v>9</v>
      </c>
      <c r="B98" s="26">
        <v>2023</v>
      </c>
      <c r="C98" s="27" t="s">
        <v>233</v>
      </c>
      <c r="D98" s="2" t="s">
        <v>232</v>
      </c>
      <c r="E98" s="8">
        <v>0</v>
      </c>
      <c r="F98" s="27" t="s">
        <v>9</v>
      </c>
      <c r="G98" s="2" t="s">
        <v>90</v>
      </c>
      <c r="H98" s="30" t="s">
        <v>15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/>
      <c r="S98" s="8">
        <f>E98+I98+J98+K98+L98+M98+N98+O98+P98</f>
        <v>0</v>
      </c>
    </row>
    <row r="99" spans="1:19" s="10" customFormat="1" ht="16" customHeight="1">
      <c r="A99" s="6" t="s">
        <v>9</v>
      </c>
      <c r="B99" s="26">
        <v>2023</v>
      </c>
      <c r="C99" s="27" t="s">
        <v>331</v>
      </c>
      <c r="D99" s="27" t="s">
        <v>332</v>
      </c>
      <c r="E99" s="8">
        <v>0</v>
      </c>
      <c r="F99" s="27" t="s">
        <v>9</v>
      </c>
      <c r="G99" s="2" t="s">
        <v>90</v>
      </c>
      <c r="H99" t="s">
        <v>15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/>
      <c r="S99" s="8">
        <f>E99+I99+J99+K99+L99+M99+N99+O99+P99</f>
        <v>0</v>
      </c>
    </row>
    <row r="100" spans="1:19" s="10" customFormat="1" ht="16" customHeight="1">
      <c r="A100" s="6" t="s">
        <v>9</v>
      </c>
      <c r="B100" s="26">
        <v>2023</v>
      </c>
      <c r="C100" s="27" t="s">
        <v>331</v>
      </c>
      <c r="D100" s="27" t="s">
        <v>333</v>
      </c>
      <c r="E100" s="8">
        <v>0</v>
      </c>
      <c r="F100" s="27" t="s">
        <v>9</v>
      </c>
      <c r="G100" s="2" t="s">
        <v>90</v>
      </c>
      <c r="H100" t="s">
        <v>15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/>
      <c r="S100" s="8">
        <f>E100+I100+J100+K100+L100+M100+N100+O100+P100</f>
        <v>0</v>
      </c>
    </row>
    <row r="101" spans="1:19" s="10" customFormat="1" ht="16" customHeight="1">
      <c r="A101" s="6" t="s">
        <v>9</v>
      </c>
      <c r="B101" s="26">
        <v>2023</v>
      </c>
      <c r="C101" s="27" t="s">
        <v>334</v>
      </c>
      <c r="D101" s="27" t="s">
        <v>335</v>
      </c>
      <c r="E101" s="8">
        <v>0</v>
      </c>
      <c r="F101" s="27" t="s">
        <v>9</v>
      </c>
      <c r="G101" s="2" t="s">
        <v>90</v>
      </c>
      <c r="H101" t="s">
        <v>15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/>
      <c r="S101" s="8">
        <f>E101+I101+J101+K101+L101+M101+N101+O101+P101</f>
        <v>0</v>
      </c>
    </row>
    <row r="102" spans="1:19" s="10" customFormat="1" ht="16" customHeight="1">
      <c r="A102" s="6" t="s">
        <v>9</v>
      </c>
      <c r="B102" s="26">
        <v>2023</v>
      </c>
      <c r="C102" s="27" t="s">
        <v>334</v>
      </c>
      <c r="D102" s="27" t="s">
        <v>336</v>
      </c>
      <c r="E102" s="8">
        <v>0</v>
      </c>
      <c r="F102" s="27" t="s">
        <v>9</v>
      </c>
      <c r="G102" s="2" t="s">
        <v>90</v>
      </c>
      <c r="H102" t="s">
        <v>15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/>
      <c r="S102" s="8">
        <f>E102+I102+J102+K102+L102+M102+N102+O102+P102</f>
        <v>0</v>
      </c>
    </row>
    <row r="103" spans="1:19" s="10" customFormat="1" ht="16" customHeight="1">
      <c r="A103" s="6" t="s">
        <v>9</v>
      </c>
      <c r="B103" s="26">
        <v>2023</v>
      </c>
      <c r="C103" s="27" t="s">
        <v>334</v>
      </c>
      <c r="D103" s="27" t="s">
        <v>337</v>
      </c>
      <c r="E103" s="8">
        <v>0</v>
      </c>
      <c r="F103" s="27" t="s">
        <v>9</v>
      </c>
      <c r="G103" s="2" t="s">
        <v>90</v>
      </c>
      <c r="H103" t="s">
        <v>15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/>
      <c r="S103" s="8">
        <f>E103+I103+J103+K103+L103+M103+N103+O103+P103</f>
        <v>0</v>
      </c>
    </row>
    <row r="104" spans="1:19" s="10" customFormat="1" ht="16" customHeight="1">
      <c r="A104" s="6" t="s">
        <v>9</v>
      </c>
      <c r="B104" s="26">
        <v>2023</v>
      </c>
      <c r="C104" s="27" t="s">
        <v>334</v>
      </c>
      <c r="D104" s="27" t="s">
        <v>338</v>
      </c>
      <c r="E104" s="8">
        <v>0</v>
      </c>
      <c r="F104" s="27" t="s">
        <v>9</v>
      </c>
      <c r="G104" s="2" t="s">
        <v>90</v>
      </c>
      <c r="H104" t="s">
        <v>15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/>
      <c r="S104" s="8">
        <f>E104+I104+J104+K104+L104+M104+N104+O104+P104</f>
        <v>0</v>
      </c>
    </row>
    <row r="105" spans="1:19" s="10" customFormat="1" ht="16" customHeight="1">
      <c r="A105" s="6" t="s">
        <v>9</v>
      </c>
      <c r="B105" s="26">
        <v>2023</v>
      </c>
      <c r="C105" s="27" t="s">
        <v>334</v>
      </c>
      <c r="D105" s="27" t="s">
        <v>339</v>
      </c>
      <c r="E105" s="8">
        <v>0</v>
      </c>
      <c r="F105" s="27" t="s">
        <v>9</v>
      </c>
      <c r="G105" s="2" t="s">
        <v>90</v>
      </c>
      <c r="H105" t="s">
        <v>15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/>
      <c r="S105" s="8">
        <f>E105+I105+J105+K105+L105+M105+N105+O105+P105</f>
        <v>0</v>
      </c>
    </row>
    <row r="106" spans="1:19" s="10" customFormat="1" ht="16" customHeight="1">
      <c r="A106" s="6" t="s">
        <v>9</v>
      </c>
      <c r="B106" s="26">
        <v>2023</v>
      </c>
      <c r="C106" s="27" t="s">
        <v>340</v>
      </c>
      <c r="D106" s="27" t="s">
        <v>341</v>
      </c>
      <c r="E106" s="8">
        <v>0</v>
      </c>
      <c r="F106" s="27" t="s">
        <v>9</v>
      </c>
      <c r="G106" s="2" t="s">
        <v>90</v>
      </c>
      <c r="H106" t="s">
        <v>15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/>
      <c r="S106" s="8">
        <f>E106+I106+J106+K106+L106+M106+N106+O106+P106</f>
        <v>0</v>
      </c>
    </row>
    <row r="107" spans="1:19" s="10" customFormat="1" ht="16" customHeight="1">
      <c r="A107" s="6" t="s">
        <v>9</v>
      </c>
      <c r="B107" s="26">
        <v>2023</v>
      </c>
      <c r="C107" s="27" t="s">
        <v>331</v>
      </c>
      <c r="D107" s="27" t="s">
        <v>342</v>
      </c>
      <c r="E107" s="8">
        <v>0</v>
      </c>
      <c r="F107" s="27" t="s">
        <v>9</v>
      </c>
      <c r="G107" s="2" t="s">
        <v>90</v>
      </c>
      <c r="H107" t="s">
        <v>15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/>
      <c r="S107" s="8">
        <f>E107+I107+J107+K107+L107+M107+N107+O107+P107</f>
        <v>0</v>
      </c>
    </row>
    <row r="108" spans="1:19" s="10" customFormat="1" ht="16" customHeight="1">
      <c r="A108" s="6" t="s">
        <v>9</v>
      </c>
      <c r="B108" s="26">
        <v>2023</v>
      </c>
      <c r="C108" s="27" t="s">
        <v>331</v>
      </c>
      <c r="D108" s="27" t="s">
        <v>343</v>
      </c>
      <c r="E108" s="8">
        <v>0</v>
      </c>
      <c r="F108" s="27" t="s">
        <v>9</v>
      </c>
      <c r="G108" s="2" t="s">
        <v>90</v>
      </c>
      <c r="H108" t="s">
        <v>15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/>
      <c r="S108" s="8">
        <f>E108+I108+J108+K108+L108+M108+N108+O108+P108</f>
        <v>0</v>
      </c>
    </row>
    <row r="109" spans="1:19" s="10" customFormat="1" ht="16" customHeight="1">
      <c r="A109" s="6" t="s">
        <v>9</v>
      </c>
      <c r="B109" s="26">
        <v>2023</v>
      </c>
      <c r="C109" s="27" t="s">
        <v>331</v>
      </c>
      <c r="D109" s="27" t="s">
        <v>344</v>
      </c>
      <c r="E109" s="8">
        <v>0</v>
      </c>
      <c r="F109" s="27" t="s">
        <v>9</v>
      </c>
      <c r="G109" s="2" t="s">
        <v>90</v>
      </c>
      <c r="H109" t="s">
        <v>15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/>
      <c r="S109" s="8">
        <f>E109+I109+J109+K109+L109+M109+N109+O109+P109</f>
        <v>0</v>
      </c>
    </row>
    <row r="110" spans="1:19" s="10" customFormat="1" ht="16" customHeight="1">
      <c r="A110" s="6" t="s">
        <v>9</v>
      </c>
      <c r="B110" s="26">
        <v>2023</v>
      </c>
      <c r="C110" s="27" t="s">
        <v>331</v>
      </c>
      <c r="D110" s="27" t="s">
        <v>345</v>
      </c>
      <c r="E110" s="8">
        <v>0</v>
      </c>
      <c r="F110" s="27" t="s">
        <v>9</v>
      </c>
      <c r="G110" s="2" t="s">
        <v>90</v>
      </c>
      <c r="H110" t="s">
        <v>15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/>
      <c r="S110" s="8">
        <f>E110+I110+J110+K110+L110+M110+N110+O110+P110</f>
        <v>0</v>
      </c>
    </row>
    <row r="111" spans="1:19" s="10" customFormat="1" ht="16" customHeight="1">
      <c r="A111" s="6" t="s">
        <v>9</v>
      </c>
      <c r="B111" s="26">
        <v>2023</v>
      </c>
      <c r="C111" s="27" t="s">
        <v>331</v>
      </c>
      <c r="D111" s="27" t="s">
        <v>346</v>
      </c>
      <c r="E111" s="8">
        <v>0</v>
      </c>
      <c r="F111" s="27" t="s">
        <v>9</v>
      </c>
      <c r="G111" s="2" t="s">
        <v>90</v>
      </c>
      <c r="H111" t="s">
        <v>15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/>
      <c r="S111" s="8">
        <f>E111+I111+J111+K111+L111+M111+N111+O111+P111</f>
        <v>0</v>
      </c>
    </row>
    <row r="112" spans="1:19" s="10" customFormat="1" ht="16" customHeight="1">
      <c r="A112" s="6" t="s">
        <v>9</v>
      </c>
      <c r="B112" s="26">
        <v>2023</v>
      </c>
      <c r="C112" s="27" t="s">
        <v>331</v>
      </c>
      <c r="D112" s="27" t="s">
        <v>347</v>
      </c>
      <c r="E112" s="8">
        <v>0</v>
      </c>
      <c r="F112" s="27" t="s">
        <v>9</v>
      </c>
      <c r="G112" s="2" t="s">
        <v>90</v>
      </c>
      <c r="H112" t="s">
        <v>15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/>
      <c r="S112" s="8">
        <f>E112+I112+J112+K112+L112+M112+N112+O112+P112</f>
        <v>0</v>
      </c>
    </row>
    <row r="113" spans="1:20" s="10" customFormat="1" ht="16" customHeight="1">
      <c r="A113" s="6" t="s">
        <v>9</v>
      </c>
      <c r="B113" s="26">
        <v>2023</v>
      </c>
      <c r="C113" s="27" t="s">
        <v>331</v>
      </c>
      <c r="D113" s="27" t="s">
        <v>348</v>
      </c>
      <c r="E113" s="8">
        <v>0</v>
      </c>
      <c r="F113" s="27" t="s">
        <v>9</v>
      </c>
      <c r="G113" s="2" t="s">
        <v>90</v>
      </c>
      <c r="H113" t="s">
        <v>15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/>
      <c r="S113" s="8">
        <f>E113+I113+J113+K113+L113+M113+N113+O113+P113</f>
        <v>0</v>
      </c>
    </row>
    <row r="114" spans="1:20" s="10" customFormat="1" ht="16" customHeight="1">
      <c r="A114" s="6" t="s">
        <v>9</v>
      </c>
      <c r="B114" s="26">
        <v>2023</v>
      </c>
      <c r="C114" s="27" t="s">
        <v>331</v>
      </c>
      <c r="D114" s="27" t="s">
        <v>349</v>
      </c>
      <c r="E114" s="8">
        <v>0</v>
      </c>
      <c r="F114" s="27" t="s">
        <v>9</v>
      </c>
      <c r="G114" s="2" t="s">
        <v>90</v>
      </c>
      <c r="H114" t="s">
        <v>15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/>
      <c r="S114" s="8">
        <f>E114+I114+J114+K114+L114+M114+N114+O114+P114</f>
        <v>0</v>
      </c>
    </row>
    <row r="115" spans="1:20" s="10" customFormat="1" ht="16" customHeight="1">
      <c r="A115" s="6" t="s">
        <v>9</v>
      </c>
      <c r="B115" s="26">
        <v>2023</v>
      </c>
      <c r="C115" s="27" t="s">
        <v>350</v>
      </c>
      <c r="D115" s="2" t="s">
        <v>351</v>
      </c>
      <c r="E115" s="8">
        <v>0</v>
      </c>
      <c r="F115" s="27" t="s">
        <v>9</v>
      </c>
      <c r="G115" s="2" t="s">
        <v>90</v>
      </c>
      <c r="H115" t="s">
        <v>15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/>
      <c r="S115" s="8">
        <f>E115+I115+J115+K115+L115+M115+N115+O115+P115</f>
        <v>0</v>
      </c>
    </row>
    <row r="116" spans="1:20" s="10" customFormat="1" ht="16" customHeight="1">
      <c r="A116" s="6" t="s">
        <v>9</v>
      </c>
      <c r="B116" s="26">
        <v>2023</v>
      </c>
      <c r="C116" s="53" t="s">
        <v>352</v>
      </c>
      <c r="D116" s="2" t="s">
        <v>353</v>
      </c>
      <c r="E116" s="8">
        <v>0</v>
      </c>
      <c r="F116" s="27" t="s">
        <v>9</v>
      </c>
      <c r="G116" s="2" t="s">
        <v>90</v>
      </c>
      <c r="H116" t="s">
        <v>15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/>
      <c r="S116" s="8">
        <f>E116+I116+J116+K116+L116+M116+N116+O116+P116</f>
        <v>0</v>
      </c>
    </row>
    <row r="117" spans="1:20" s="10" customFormat="1" ht="16" customHeight="1">
      <c r="A117" s="6" t="s">
        <v>9</v>
      </c>
      <c r="B117" s="26">
        <v>2023</v>
      </c>
      <c r="C117" s="53" t="s">
        <v>352</v>
      </c>
      <c r="D117" s="2" t="s">
        <v>354</v>
      </c>
      <c r="E117" s="8">
        <v>0</v>
      </c>
      <c r="F117" s="27" t="s">
        <v>9</v>
      </c>
      <c r="G117" s="2" t="s">
        <v>90</v>
      </c>
      <c r="H117" t="s">
        <v>15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/>
      <c r="S117" s="8">
        <f>E117+I117+J117+K117+L117+M117+N117+O117+P117</f>
        <v>0</v>
      </c>
    </row>
    <row r="118" spans="1:20" s="10" customFormat="1" ht="16" customHeight="1">
      <c r="A118" s="6" t="s">
        <v>9</v>
      </c>
      <c r="B118" s="26">
        <v>2023</v>
      </c>
      <c r="C118" s="53" t="s">
        <v>352</v>
      </c>
      <c r="D118" s="2" t="s">
        <v>355</v>
      </c>
      <c r="E118" s="8">
        <v>0</v>
      </c>
      <c r="F118" s="27" t="s">
        <v>9</v>
      </c>
      <c r="G118" s="2" t="s">
        <v>90</v>
      </c>
      <c r="H118" t="s">
        <v>15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/>
      <c r="S118" s="8">
        <f>E118+I118+J118+K118+L118+M118+N118+O118+P118</f>
        <v>0</v>
      </c>
    </row>
    <row r="119" spans="1:20" s="10" customFormat="1" ht="16" customHeight="1">
      <c r="A119" s="6" t="s">
        <v>9</v>
      </c>
      <c r="B119" s="26">
        <v>2023</v>
      </c>
      <c r="C119" s="53" t="s">
        <v>352</v>
      </c>
      <c r="D119" s="2" t="s">
        <v>356</v>
      </c>
      <c r="E119" s="8">
        <v>0</v>
      </c>
      <c r="F119" s="27" t="s">
        <v>9</v>
      </c>
      <c r="G119" s="2" t="s">
        <v>90</v>
      </c>
      <c r="H119" t="s">
        <v>15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/>
      <c r="S119" s="8">
        <f>E119+I119+J119+K119+L119+M119+N119+O119+P119</f>
        <v>0</v>
      </c>
    </row>
    <row r="120" spans="1:20" s="10" customFormat="1" ht="16" customHeight="1">
      <c r="A120" s="6" t="s">
        <v>9</v>
      </c>
      <c r="B120" s="26">
        <v>2023</v>
      </c>
      <c r="C120" s="53" t="s">
        <v>352</v>
      </c>
      <c r="D120" s="2" t="s">
        <v>357</v>
      </c>
      <c r="E120" s="8">
        <v>0</v>
      </c>
      <c r="F120" s="27" t="s">
        <v>9</v>
      </c>
      <c r="G120" s="2" t="s">
        <v>90</v>
      </c>
      <c r="H120" t="s">
        <v>15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/>
      <c r="S120" s="8">
        <f>E120+I120+J120+K120+L120+M120+N120+O120+P120</f>
        <v>0</v>
      </c>
    </row>
    <row r="121" spans="1:20" s="10" customFormat="1" ht="16" customHeight="1">
      <c r="A121" s="6" t="s">
        <v>9</v>
      </c>
      <c r="B121" s="26">
        <v>2023</v>
      </c>
      <c r="C121" s="53" t="s">
        <v>352</v>
      </c>
      <c r="D121" s="2" t="s">
        <v>358</v>
      </c>
      <c r="E121" s="8">
        <v>0</v>
      </c>
      <c r="F121" s="27" t="s">
        <v>9</v>
      </c>
      <c r="G121" s="2" t="s">
        <v>90</v>
      </c>
      <c r="H121" t="s">
        <v>15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/>
      <c r="S121" s="8">
        <f>E121+I121+J121+K121+L121+M121+N121+O121+P121</f>
        <v>0</v>
      </c>
    </row>
    <row r="122" spans="1:20" s="10" customFormat="1" ht="16" customHeight="1">
      <c r="A122" s="6" t="s">
        <v>9</v>
      </c>
      <c r="B122" s="26">
        <v>2023</v>
      </c>
      <c r="C122" s="53" t="s">
        <v>352</v>
      </c>
      <c r="D122" s="2" t="s">
        <v>359</v>
      </c>
      <c r="E122" s="8">
        <v>0</v>
      </c>
      <c r="F122" s="27" t="s">
        <v>9</v>
      </c>
      <c r="G122" s="2" t="s">
        <v>90</v>
      </c>
      <c r="H122" t="s">
        <v>15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/>
      <c r="S122" s="8">
        <f>E122+I122+J122+K122+L122+M122+N122+O122+P122</f>
        <v>0</v>
      </c>
    </row>
    <row r="123" spans="1:20" s="10" customFormat="1" ht="16" customHeight="1">
      <c r="A123" s="6" t="s">
        <v>9</v>
      </c>
      <c r="B123" s="26">
        <v>2023</v>
      </c>
      <c r="C123" s="53" t="s">
        <v>352</v>
      </c>
      <c r="D123" s="2" t="s">
        <v>360</v>
      </c>
      <c r="E123" s="8">
        <v>0</v>
      </c>
      <c r="F123" s="27" t="s">
        <v>9</v>
      </c>
      <c r="G123" s="2" t="s">
        <v>90</v>
      </c>
      <c r="H123" t="s">
        <v>15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/>
      <c r="S123" s="8">
        <f>E123+I123+J123+K123+L123+M123+N123+O123+P123</f>
        <v>0</v>
      </c>
    </row>
    <row r="124" spans="1:20" s="10" customFormat="1" ht="16" customHeight="1">
      <c r="A124" s="6" t="s">
        <v>9</v>
      </c>
      <c r="B124" s="26">
        <v>2023</v>
      </c>
      <c r="C124" s="53" t="s">
        <v>352</v>
      </c>
      <c r="D124" s="2" t="s">
        <v>361</v>
      </c>
      <c r="E124" s="8">
        <v>0</v>
      </c>
      <c r="F124" s="27" t="s">
        <v>9</v>
      </c>
      <c r="G124" s="2" t="s">
        <v>90</v>
      </c>
      <c r="H124" t="s">
        <v>15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/>
      <c r="S124" s="8">
        <f>E124+I124+J124+K124+L124+M124+N124+O124+P124</f>
        <v>0</v>
      </c>
    </row>
    <row r="125" spans="1:20" s="10" customFormat="1" ht="16" customHeight="1">
      <c r="A125" s="73" t="s">
        <v>9</v>
      </c>
      <c r="B125" s="39">
        <v>2023</v>
      </c>
      <c r="C125" s="53" t="s">
        <v>352</v>
      </c>
      <c r="D125" s="2" t="s">
        <v>362</v>
      </c>
      <c r="E125" s="8">
        <v>0</v>
      </c>
      <c r="F125" s="53" t="s">
        <v>9</v>
      </c>
      <c r="G125" s="2" t="s">
        <v>90</v>
      </c>
      <c r="H125" s="45" t="s">
        <v>15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/>
      <c r="S125" s="8">
        <f>E125+I125+J125+K125+L125+M125+N125+O125+P125</f>
        <v>0</v>
      </c>
      <c r="T125" s="33"/>
    </row>
    <row r="126" spans="1:20" s="10" customFormat="1" ht="16" customHeight="1">
      <c r="A126" s="73" t="s">
        <v>9</v>
      </c>
      <c r="B126" s="39">
        <v>2023</v>
      </c>
      <c r="C126" s="53" t="s">
        <v>352</v>
      </c>
      <c r="D126" s="2" t="s">
        <v>363</v>
      </c>
      <c r="E126" s="8">
        <v>0</v>
      </c>
      <c r="F126" s="53" t="s">
        <v>9</v>
      </c>
      <c r="G126" s="2" t="s">
        <v>90</v>
      </c>
      <c r="H126" s="45" t="s">
        <v>15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/>
      <c r="S126" s="8">
        <f>E126+I126+J126+K126+L126+M126+N126+O126+P126</f>
        <v>0</v>
      </c>
      <c r="T126" s="33"/>
    </row>
    <row r="127" spans="1:20" s="10" customFormat="1" ht="16" customHeight="1">
      <c r="A127" s="73" t="s">
        <v>9</v>
      </c>
      <c r="B127" s="39">
        <v>2023</v>
      </c>
      <c r="C127" s="53" t="s">
        <v>352</v>
      </c>
      <c r="D127" s="2" t="s">
        <v>364</v>
      </c>
      <c r="E127" s="8">
        <v>0</v>
      </c>
      <c r="F127" s="53" t="s">
        <v>9</v>
      </c>
      <c r="G127" s="2" t="s">
        <v>90</v>
      </c>
      <c r="H127" s="45" t="s">
        <v>15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/>
      <c r="S127" s="8">
        <f>E127+I127+J127+K127+L127+M127+N127+O127+P127</f>
        <v>0</v>
      </c>
      <c r="T127" s="33"/>
    </row>
    <row r="128" spans="1:20" s="10" customFormat="1" ht="16" customHeight="1">
      <c r="A128" s="73" t="s">
        <v>9</v>
      </c>
      <c r="B128" s="39">
        <v>2023</v>
      </c>
      <c r="C128" s="53" t="s">
        <v>352</v>
      </c>
      <c r="D128" s="2" t="s">
        <v>365</v>
      </c>
      <c r="E128" s="8">
        <v>0</v>
      </c>
      <c r="F128" s="53" t="s">
        <v>9</v>
      </c>
      <c r="G128" s="2" t="s">
        <v>90</v>
      </c>
      <c r="H128" s="45" t="s">
        <v>15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/>
      <c r="S128" s="8">
        <f>E128+I128+J128+K128+L128+M128+N128+O128+P128</f>
        <v>0</v>
      </c>
      <c r="T128" s="33"/>
    </row>
    <row r="129" spans="1:20" s="10" customFormat="1" ht="16" customHeight="1">
      <c r="A129" s="73" t="s">
        <v>9</v>
      </c>
      <c r="B129" s="39">
        <v>2023</v>
      </c>
      <c r="C129" s="53" t="s">
        <v>352</v>
      </c>
      <c r="D129" s="2" t="s">
        <v>366</v>
      </c>
      <c r="E129" s="8">
        <v>0</v>
      </c>
      <c r="F129" s="53" t="s">
        <v>9</v>
      </c>
      <c r="G129" s="2" t="s">
        <v>90</v>
      </c>
      <c r="H129" s="45" t="s">
        <v>15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/>
      <c r="S129" s="8">
        <f>E129+I129+J129+K129+L129+M129+N129+O129+P129</f>
        <v>0</v>
      </c>
      <c r="T129" s="33"/>
    </row>
    <row r="130" spans="1:20" s="10" customFormat="1" ht="16" customHeight="1">
      <c r="A130" s="73" t="s">
        <v>9</v>
      </c>
      <c r="B130" s="39">
        <v>2023</v>
      </c>
      <c r="C130" s="53" t="s">
        <v>367</v>
      </c>
      <c r="D130" s="2" t="s">
        <v>368</v>
      </c>
      <c r="E130" s="8">
        <v>0</v>
      </c>
      <c r="F130" s="53" t="s">
        <v>9</v>
      </c>
      <c r="G130" s="2" t="s">
        <v>15</v>
      </c>
      <c r="H130" s="45" t="s">
        <v>15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/>
      <c r="S130" s="8">
        <f>E130+I130+J130+K130+L130+M130+N130+O130+P130</f>
        <v>0</v>
      </c>
      <c r="T130" s="33"/>
    </row>
    <row r="131" spans="1:20" s="10" customFormat="1" ht="16" customHeight="1">
      <c r="A131" s="6" t="s">
        <v>9</v>
      </c>
      <c r="B131" s="26">
        <v>2023</v>
      </c>
      <c r="C131" s="27" t="s">
        <v>215</v>
      </c>
      <c r="D131" s="27" t="s">
        <v>216</v>
      </c>
      <c r="E131" s="8">
        <v>0</v>
      </c>
      <c r="F131" s="27" t="s">
        <v>9</v>
      </c>
      <c r="G131" s="2" t="s">
        <v>12</v>
      </c>
      <c r="H131" t="s">
        <v>15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/>
      <c r="S131" s="8">
        <f>E131+I131+J131+K131+L131+M131+N131+O131+P131</f>
        <v>0</v>
      </c>
    </row>
    <row r="132" spans="1:20" s="10" customFormat="1" ht="16" customHeight="1">
      <c r="A132" s="6" t="s">
        <v>9</v>
      </c>
      <c r="B132" s="26">
        <v>2023</v>
      </c>
      <c r="C132" s="27" t="s">
        <v>214</v>
      </c>
      <c r="D132" s="27" t="s">
        <v>369</v>
      </c>
      <c r="E132" s="8">
        <v>0</v>
      </c>
      <c r="F132" s="27" t="s">
        <v>9</v>
      </c>
      <c r="G132" s="2" t="s">
        <v>12</v>
      </c>
      <c r="H132" t="s">
        <v>15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/>
      <c r="S132" s="8">
        <f>E132+I132+J132+K132+L132+M132+N132+O132+P132</f>
        <v>0</v>
      </c>
    </row>
    <row r="133" spans="1:20" s="10" customFormat="1" ht="16" customHeight="1">
      <c r="A133" s="6" t="s">
        <v>9</v>
      </c>
      <c r="B133" s="26">
        <v>2023</v>
      </c>
      <c r="C133" s="27" t="s">
        <v>370</v>
      </c>
      <c r="D133" s="2" t="s">
        <v>371</v>
      </c>
      <c r="E133" s="8">
        <v>317650000</v>
      </c>
      <c r="F133" s="27" t="s">
        <v>9</v>
      </c>
      <c r="G133" s="2" t="s">
        <v>12</v>
      </c>
      <c r="H133" t="s">
        <v>15</v>
      </c>
      <c r="I133" s="8">
        <v>-317650000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/>
      <c r="S133" s="8">
        <f>E133+I133+J133+K133+L133+M133+N133+O133+P133</f>
        <v>0</v>
      </c>
      <c r="T133" s="77" t="s">
        <v>15</v>
      </c>
    </row>
    <row r="134" spans="1:20" s="10" customFormat="1" ht="16" customHeight="1">
      <c r="A134" s="6" t="s">
        <v>9</v>
      </c>
      <c r="B134" s="26">
        <v>2024</v>
      </c>
      <c r="C134" s="27" t="s">
        <v>479</v>
      </c>
      <c r="D134" s="2" t="s">
        <v>264</v>
      </c>
      <c r="E134" s="8">
        <v>640000</v>
      </c>
      <c r="F134" s="27" t="s">
        <v>9</v>
      </c>
      <c r="G134" s="2" t="s">
        <v>12</v>
      </c>
      <c r="H134" t="s">
        <v>15</v>
      </c>
      <c r="I134" s="8">
        <v>-640000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/>
      <c r="S134" s="8">
        <f>E134+I134+J134+K134+L134+M134+N134+O134+P134</f>
        <v>0</v>
      </c>
    </row>
    <row r="135" spans="1:20" s="10" customFormat="1" ht="16" customHeight="1">
      <c r="A135" s="6" t="s">
        <v>9</v>
      </c>
      <c r="B135" s="26">
        <v>2024</v>
      </c>
      <c r="C135" s="27" t="s">
        <v>479</v>
      </c>
      <c r="D135" s="2" t="s">
        <v>187</v>
      </c>
      <c r="E135" s="8">
        <v>480000</v>
      </c>
      <c r="F135" s="27" t="s">
        <v>9</v>
      </c>
      <c r="G135" s="2" t="s">
        <v>12</v>
      </c>
      <c r="H135" t="s">
        <v>15</v>
      </c>
      <c r="I135" s="8">
        <v>-480000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/>
      <c r="S135" s="8">
        <f>E135+I135+J135+K135+L135+M135+N135+O135+P135</f>
        <v>0</v>
      </c>
    </row>
    <row r="136" spans="1:20" s="10" customFormat="1" ht="16" customHeight="1">
      <c r="A136" s="6" t="s">
        <v>9</v>
      </c>
      <c r="B136" s="26">
        <v>2024</v>
      </c>
      <c r="C136" s="27" t="s">
        <v>479</v>
      </c>
      <c r="D136" s="2" t="s">
        <v>265</v>
      </c>
      <c r="E136" s="8">
        <v>820000</v>
      </c>
      <c r="F136" s="27" t="s">
        <v>9</v>
      </c>
      <c r="G136" s="2" t="s">
        <v>12</v>
      </c>
      <c r="H136" t="s">
        <v>15</v>
      </c>
      <c r="I136" s="8">
        <v>-820000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/>
      <c r="S136" s="8">
        <f>E136+I136+J136+K136+L136+M136+N136+O136+P136</f>
        <v>0</v>
      </c>
    </row>
    <row r="137" spans="1:20" s="10" customFormat="1" ht="16" customHeight="1">
      <c r="A137" s="6" t="s">
        <v>9</v>
      </c>
      <c r="B137" s="26">
        <v>2024</v>
      </c>
      <c r="C137" s="27" t="s">
        <v>479</v>
      </c>
      <c r="D137" s="2" t="s">
        <v>266</v>
      </c>
      <c r="E137" s="8">
        <v>2025000</v>
      </c>
      <c r="F137" s="27" t="s">
        <v>9</v>
      </c>
      <c r="G137" s="2" t="s">
        <v>12</v>
      </c>
      <c r="H137" t="s">
        <v>15</v>
      </c>
      <c r="I137" s="8">
        <v>-2025000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/>
      <c r="S137" s="8">
        <f>E137+I137+J137+K137+L137+M137+N137+O137+P137</f>
        <v>0</v>
      </c>
    </row>
    <row r="138" spans="1:20" s="10" customFormat="1" ht="16" customHeight="1">
      <c r="A138" s="6" t="s">
        <v>9</v>
      </c>
      <c r="B138" s="26">
        <v>2024</v>
      </c>
      <c r="C138" s="27" t="s">
        <v>384</v>
      </c>
      <c r="D138" s="2" t="s">
        <v>270</v>
      </c>
      <c r="E138" s="8">
        <v>6500000</v>
      </c>
      <c r="F138" s="27" t="s">
        <v>9</v>
      </c>
      <c r="G138" s="2" t="s">
        <v>90</v>
      </c>
      <c r="H138" t="s">
        <v>15</v>
      </c>
      <c r="I138" s="8">
        <v>0</v>
      </c>
      <c r="J138" s="8">
        <v>-6500000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/>
      <c r="S138" s="8">
        <f>E138+I138+J138+K138+L138+M138+N138+O138+P138</f>
        <v>0</v>
      </c>
    </row>
    <row r="139" spans="1:20" s="10" customFormat="1" ht="16" customHeight="1">
      <c r="A139" s="6" t="s">
        <v>9</v>
      </c>
      <c r="B139" s="26">
        <v>2024</v>
      </c>
      <c r="C139" s="27" t="s">
        <v>384</v>
      </c>
      <c r="D139" s="2" t="s">
        <v>271</v>
      </c>
      <c r="E139" s="8">
        <v>5250000</v>
      </c>
      <c r="F139" s="27" t="s">
        <v>9</v>
      </c>
      <c r="G139" s="2" t="s">
        <v>90</v>
      </c>
      <c r="H139" t="s">
        <v>15</v>
      </c>
      <c r="I139" s="8">
        <v>0</v>
      </c>
      <c r="J139" s="8">
        <v>-5250000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/>
      <c r="S139" s="8">
        <f>E139+I139+J139+K139+L139+M139+N139+O139+P139</f>
        <v>0</v>
      </c>
    </row>
    <row r="140" spans="1:20" s="10" customFormat="1" ht="16" customHeight="1">
      <c r="A140" s="6" t="s">
        <v>9</v>
      </c>
      <c r="B140" s="26">
        <v>2024</v>
      </c>
      <c r="C140" s="27" t="s">
        <v>384</v>
      </c>
      <c r="D140" s="2" t="s">
        <v>273</v>
      </c>
      <c r="E140" s="8">
        <v>66936</v>
      </c>
      <c r="F140" s="27" t="s">
        <v>9</v>
      </c>
      <c r="G140" s="2" t="s">
        <v>18</v>
      </c>
      <c r="H140" t="s">
        <v>15</v>
      </c>
      <c r="I140" s="8">
        <v>0</v>
      </c>
      <c r="J140" s="8">
        <v>-66936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/>
      <c r="S140" s="8">
        <f>E140+I140+J140+K140+L140+M140+N140+O140+P140</f>
        <v>0</v>
      </c>
    </row>
    <row r="141" spans="1:20" s="10" customFormat="1" ht="16" customHeight="1">
      <c r="A141" s="6" t="s">
        <v>9</v>
      </c>
      <c r="B141" s="26">
        <v>2024</v>
      </c>
      <c r="C141" s="27" t="s">
        <v>384</v>
      </c>
      <c r="D141" s="2" t="s">
        <v>274</v>
      </c>
      <c r="E141" s="8">
        <v>98490</v>
      </c>
      <c r="F141" s="27" t="s">
        <v>9</v>
      </c>
      <c r="G141" s="2" t="s">
        <v>18</v>
      </c>
      <c r="H141" t="s">
        <v>15</v>
      </c>
      <c r="I141" s="8">
        <v>0</v>
      </c>
      <c r="J141" s="8">
        <v>-98490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/>
      <c r="S141" s="8">
        <f>E141+I141+J141+K141+L141+M141+N141+O141+P141</f>
        <v>0</v>
      </c>
    </row>
    <row r="142" spans="1:20" s="10" customFormat="1" ht="16" customHeight="1">
      <c r="A142" s="6" t="s">
        <v>9</v>
      </c>
      <c r="B142" s="26">
        <v>2024</v>
      </c>
      <c r="C142" s="27" t="s">
        <v>384</v>
      </c>
      <c r="D142" s="2" t="s">
        <v>275</v>
      </c>
      <c r="E142" s="8">
        <v>66936</v>
      </c>
      <c r="F142" s="27" t="s">
        <v>9</v>
      </c>
      <c r="G142" s="2" t="s">
        <v>18</v>
      </c>
      <c r="H142" t="s">
        <v>15</v>
      </c>
      <c r="I142" s="8">
        <v>0</v>
      </c>
      <c r="J142" s="8">
        <v>-66936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/>
      <c r="S142" s="8">
        <f>E142+I142+J142+K142+L142+M142+N142+O142+P142</f>
        <v>0</v>
      </c>
    </row>
    <row r="143" spans="1:20" s="10" customFormat="1" ht="16" customHeight="1">
      <c r="A143" s="6" t="s">
        <v>9</v>
      </c>
      <c r="B143" s="26">
        <v>2024</v>
      </c>
      <c r="C143" s="27" t="s">
        <v>384</v>
      </c>
      <c r="D143" s="2" t="s">
        <v>276</v>
      </c>
      <c r="E143" s="8">
        <v>66936</v>
      </c>
      <c r="F143" s="27" t="s">
        <v>9</v>
      </c>
      <c r="G143" s="2" t="s">
        <v>18</v>
      </c>
      <c r="H143" t="s">
        <v>15</v>
      </c>
      <c r="I143" s="8">
        <v>0</v>
      </c>
      <c r="J143" s="8">
        <v>-66936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/>
      <c r="S143" s="8">
        <f>E143+I143+J143+K143+L143+M143+N143+O143+P143</f>
        <v>0</v>
      </c>
    </row>
    <row r="144" spans="1:20" s="10" customFormat="1" ht="16" customHeight="1">
      <c r="A144" s="6" t="s">
        <v>9</v>
      </c>
      <c r="B144" s="26">
        <v>2024</v>
      </c>
      <c r="C144" s="27" t="s">
        <v>384</v>
      </c>
      <c r="D144" s="2" t="s">
        <v>277</v>
      </c>
      <c r="E144" s="8">
        <v>66936</v>
      </c>
      <c r="F144" s="27" t="s">
        <v>9</v>
      </c>
      <c r="G144" s="2" t="s">
        <v>18</v>
      </c>
      <c r="H144" t="s">
        <v>15</v>
      </c>
      <c r="I144" s="8">
        <v>0</v>
      </c>
      <c r="J144" s="8">
        <v>-66936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/>
      <c r="S144" s="8">
        <f>E144+I144+J144+K144+L144+M144+N144+O144+P144</f>
        <v>0</v>
      </c>
    </row>
    <row r="145" spans="1:19" s="10" customFormat="1" ht="16" customHeight="1">
      <c r="A145" s="6" t="s">
        <v>9</v>
      </c>
      <c r="B145" s="26">
        <v>2024</v>
      </c>
      <c r="C145" s="27" t="s">
        <v>384</v>
      </c>
      <c r="D145" s="2" t="s">
        <v>278</v>
      </c>
      <c r="E145" s="8">
        <v>66936</v>
      </c>
      <c r="F145" s="27" t="s">
        <v>9</v>
      </c>
      <c r="G145" s="2" t="s">
        <v>18</v>
      </c>
      <c r="H145" t="s">
        <v>15</v>
      </c>
      <c r="I145" s="8">
        <v>0</v>
      </c>
      <c r="J145" s="8">
        <v>-66936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/>
      <c r="S145" s="8">
        <f>E145+I145+J145+K145+L145+M145+N145+O145+P145</f>
        <v>0</v>
      </c>
    </row>
    <row r="146" spans="1:19" s="10" customFormat="1" ht="16" customHeight="1">
      <c r="A146" s="6" t="s">
        <v>9</v>
      </c>
      <c r="B146" s="26">
        <v>2024</v>
      </c>
      <c r="C146" s="27" t="s">
        <v>384</v>
      </c>
      <c r="D146" s="2" t="s">
        <v>279</v>
      </c>
      <c r="E146" s="8">
        <v>66936</v>
      </c>
      <c r="F146" s="27" t="s">
        <v>9</v>
      </c>
      <c r="G146" s="2" t="s">
        <v>18</v>
      </c>
      <c r="H146" t="s">
        <v>15</v>
      </c>
      <c r="I146" s="8">
        <v>0</v>
      </c>
      <c r="J146" s="8">
        <v>-66936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/>
      <c r="S146" s="8">
        <f>E146+I146+J146+K146+L146+M146+N146+O146+P146</f>
        <v>0</v>
      </c>
    </row>
    <row r="147" spans="1:19" s="10" customFormat="1" ht="16" customHeight="1">
      <c r="A147" s="6" t="s">
        <v>9</v>
      </c>
      <c r="B147" s="26">
        <v>2024</v>
      </c>
      <c r="C147" s="27" t="s">
        <v>372</v>
      </c>
      <c r="D147" s="2" t="s">
        <v>307</v>
      </c>
      <c r="E147" s="8">
        <v>21419217</v>
      </c>
      <c r="F147" s="27" t="s">
        <v>9</v>
      </c>
      <c r="G147" s="2" t="s">
        <v>12</v>
      </c>
      <c r="H147" t="s">
        <v>15</v>
      </c>
      <c r="I147" s="8">
        <v>0</v>
      </c>
      <c r="J147" s="8">
        <v>0</v>
      </c>
      <c r="K147" s="8">
        <v>-21419217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/>
      <c r="S147" s="8">
        <f>E147+I147+J147+K147+L147+M147+N147+O147+P147</f>
        <v>0</v>
      </c>
    </row>
    <row r="148" spans="1:19" s="10" customFormat="1" ht="16" customHeight="1">
      <c r="A148" s="6" t="s">
        <v>9</v>
      </c>
      <c r="B148" s="26">
        <v>2024</v>
      </c>
      <c r="C148" s="27" t="s">
        <v>372</v>
      </c>
      <c r="D148" s="2" t="s">
        <v>297</v>
      </c>
      <c r="E148" s="8">
        <v>18198200</v>
      </c>
      <c r="F148" s="27" t="s">
        <v>9</v>
      </c>
      <c r="G148" s="2" t="s">
        <v>79</v>
      </c>
      <c r="H148" t="s">
        <v>15</v>
      </c>
      <c r="I148" s="8">
        <v>0</v>
      </c>
      <c r="J148" s="8">
        <v>0</v>
      </c>
      <c r="K148" s="8">
        <v>-18018020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/>
      <c r="S148" s="8">
        <f>E148+I148+J148+K148+L148+M148+N148+O148+P148</f>
        <v>180180</v>
      </c>
    </row>
    <row r="149" spans="1:19" s="10" customFormat="1" ht="16" customHeight="1">
      <c r="A149" s="6" t="s">
        <v>9</v>
      </c>
      <c r="B149" s="26">
        <v>2024</v>
      </c>
      <c r="C149" s="27" t="s">
        <v>372</v>
      </c>
      <c r="D149" s="2" t="s">
        <v>524</v>
      </c>
      <c r="E149" s="8">
        <v>53505410</v>
      </c>
      <c r="F149" s="27" t="s">
        <v>9</v>
      </c>
      <c r="G149" s="2" t="s">
        <v>12</v>
      </c>
      <c r="H149" t="s">
        <v>15</v>
      </c>
      <c r="I149" s="8">
        <v>0</v>
      </c>
      <c r="J149" s="8">
        <v>0</v>
      </c>
      <c r="K149" s="8">
        <v>-53505410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/>
      <c r="S149" s="8">
        <f>E149+I149+J149+K149+L149+M149+N149+O149+P149</f>
        <v>0</v>
      </c>
    </row>
    <row r="150" spans="1:19" s="10" customFormat="1" ht="16" customHeight="1">
      <c r="A150" s="6" t="s">
        <v>9</v>
      </c>
      <c r="B150" s="26">
        <v>2024</v>
      </c>
      <c r="C150" s="27" t="s">
        <v>257</v>
      </c>
      <c r="D150" s="2" t="s">
        <v>373</v>
      </c>
      <c r="E150" s="8">
        <v>749999</v>
      </c>
      <c r="F150" s="27" t="s">
        <v>9</v>
      </c>
      <c r="G150" s="2" t="s">
        <v>6</v>
      </c>
      <c r="H150" t="s">
        <v>15</v>
      </c>
      <c r="I150" s="8">
        <v>0</v>
      </c>
      <c r="J150" s="8">
        <v>-675675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/>
      <c r="S150" s="8">
        <f>E150+I150+J150+K150+L150+M150+N150+O150+P150</f>
        <v>74324</v>
      </c>
    </row>
    <row r="151" spans="1:19" s="10" customFormat="1" ht="16" customHeight="1">
      <c r="A151" s="6" t="s">
        <v>9</v>
      </c>
      <c r="B151" s="26">
        <v>2024</v>
      </c>
      <c r="C151" s="27" t="s">
        <v>114</v>
      </c>
      <c r="D151" t="s">
        <v>374</v>
      </c>
      <c r="E151" s="8">
        <v>250000000</v>
      </c>
      <c r="F151" s="27" t="s">
        <v>9</v>
      </c>
      <c r="G151" s="2" t="s">
        <v>90</v>
      </c>
      <c r="H151" t="s">
        <v>15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/>
      <c r="S151" s="8">
        <f>E151+I151+J151+K151+L151+M151+N151+O151+P151</f>
        <v>250000000</v>
      </c>
    </row>
    <row r="152" spans="1:19" s="10" customFormat="1" ht="16" customHeight="1">
      <c r="A152" s="6" t="s">
        <v>9</v>
      </c>
      <c r="B152" s="26">
        <v>2024</v>
      </c>
      <c r="C152" s="27" t="s">
        <v>114</v>
      </c>
      <c r="D152" t="s">
        <v>375</v>
      </c>
      <c r="E152" s="8">
        <v>262137500</v>
      </c>
      <c r="F152" s="27" t="s">
        <v>9</v>
      </c>
      <c r="G152" s="2" t="s">
        <v>52</v>
      </c>
      <c r="H152" t="s">
        <v>15</v>
      </c>
      <c r="I152" s="8">
        <v>-262137500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/>
      <c r="S152" s="8">
        <f>E152+I152+J152+K152+L152+M152+N152+O152+P152</f>
        <v>0</v>
      </c>
    </row>
    <row r="153" spans="1:19" s="10" customFormat="1" ht="16" customHeight="1">
      <c r="A153" s="6" t="s">
        <v>9</v>
      </c>
      <c r="B153" s="26">
        <v>2025</v>
      </c>
      <c r="C153" s="27" t="s">
        <v>1101</v>
      </c>
      <c r="D153" t="s">
        <v>1098</v>
      </c>
      <c r="E153" s="8">
        <v>0</v>
      </c>
      <c r="F153" s="27" t="s">
        <v>9</v>
      </c>
      <c r="G153" s="2" t="s">
        <v>16</v>
      </c>
      <c r="H153" t="s">
        <v>15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3595000</v>
      </c>
      <c r="Q153" s="8">
        <v>0</v>
      </c>
      <c r="R153" s="8"/>
      <c r="S153" s="8">
        <f>E153+I153+J153+K153+L153+M153+N153+O153+P153</f>
        <v>3595000</v>
      </c>
    </row>
    <row r="154" spans="1:19" s="10" customFormat="1" ht="16" customHeight="1">
      <c r="A154" s="6" t="s">
        <v>9</v>
      </c>
      <c r="B154" s="26">
        <v>2025</v>
      </c>
      <c r="C154" s="27" t="s">
        <v>1102</v>
      </c>
      <c r="D154" t="s">
        <v>1099</v>
      </c>
      <c r="E154" s="8">
        <v>0</v>
      </c>
      <c r="F154" s="27" t="s">
        <v>9</v>
      </c>
      <c r="G154" s="2" t="s">
        <v>1090</v>
      </c>
      <c r="H154" t="s">
        <v>15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7000000</v>
      </c>
      <c r="Q154" s="8">
        <v>0</v>
      </c>
      <c r="R154" s="8"/>
      <c r="S154" s="8">
        <f>E154+I154+J154+K154+L154+M154+N154+O154+P154</f>
        <v>7000000</v>
      </c>
    </row>
    <row r="155" spans="1:19" s="10" customFormat="1" ht="16" customHeight="1">
      <c r="A155" s="6" t="s">
        <v>9</v>
      </c>
      <c r="B155" s="26">
        <v>2025</v>
      </c>
      <c r="C155" s="27" t="s">
        <v>1103</v>
      </c>
      <c r="D155" t="s">
        <v>1100</v>
      </c>
      <c r="E155" s="8">
        <v>0</v>
      </c>
      <c r="F155" s="27" t="s">
        <v>9</v>
      </c>
      <c r="G155" s="2" t="s">
        <v>55</v>
      </c>
      <c r="H155" t="s">
        <v>15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1678046</v>
      </c>
      <c r="Q155" s="8">
        <v>0</v>
      </c>
      <c r="R155" s="8"/>
      <c r="S155" s="8">
        <f>E155+I155+J155+K155+L155+M155+N155+O155+P155</f>
        <v>1678046</v>
      </c>
    </row>
    <row r="156" spans="1:19" s="10" customFormat="1" ht="16" customHeight="1">
      <c r="A156" s="6" t="s">
        <v>9</v>
      </c>
      <c r="B156" s="26">
        <v>2025</v>
      </c>
      <c r="C156" s="27" t="s">
        <v>1103</v>
      </c>
      <c r="D156" t="s">
        <v>1097</v>
      </c>
      <c r="E156" s="8">
        <v>0</v>
      </c>
      <c r="F156" s="27" t="s">
        <v>9</v>
      </c>
      <c r="G156" s="2" t="s">
        <v>12</v>
      </c>
      <c r="H156" t="s">
        <v>15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1231050</v>
      </c>
      <c r="Q156" s="8">
        <v>0</v>
      </c>
      <c r="R156" s="8"/>
      <c r="S156" s="8">
        <f>E156+I156+J156+K156+L156+M156+N156+O156+P156</f>
        <v>1231050</v>
      </c>
    </row>
    <row r="157" spans="1:19" s="10" customFormat="1" ht="16" customHeight="1">
      <c r="A157" s="6" t="s">
        <v>2</v>
      </c>
      <c r="B157" s="26">
        <v>2021</v>
      </c>
      <c r="C157" s="27">
        <v>16363</v>
      </c>
      <c r="D157" t="s">
        <v>60</v>
      </c>
      <c r="E157" s="3">
        <v>0</v>
      </c>
      <c r="F157" s="7" t="s">
        <v>0</v>
      </c>
      <c r="G157" s="2" t="s">
        <v>59</v>
      </c>
      <c r="H157" t="s">
        <v>15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/>
      <c r="S157" s="8">
        <f>E157+I157+J157+K157+L157+M157+N157+O157+P157</f>
        <v>0</v>
      </c>
    </row>
    <row r="158" spans="1:19" s="10" customFormat="1" ht="16" customHeight="1">
      <c r="A158" s="6" t="s">
        <v>2</v>
      </c>
      <c r="B158" s="26">
        <v>2021</v>
      </c>
      <c r="C158" s="27">
        <v>17481</v>
      </c>
      <c r="D158" t="s">
        <v>61</v>
      </c>
      <c r="E158" s="3">
        <v>0</v>
      </c>
      <c r="F158" s="7" t="s">
        <v>0</v>
      </c>
      <c r="G158" s="2" t="s">
        <v>10</v>
      </c>
      <c r="H158" t="s">
        <v>15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/>
      <c r="S158" s="8">
        <f>E158+I158+J158+K158+L158+M158+N158+O158+P158</f>
        <v>0</v>
      </c>
    </row>
    <row r="159" spans="1:19" s="10" customFormat="1" ht="16" customHeight="1">
      <c r="A159" s="6" t="s">
        <v>2</v>
      </c>
      <c r="B159" s="26">
        <v>2021</v>
      </c>
      <c r="C159" s="27">
        <v>17525</v>
      </c>
      <c r="D159" t="s">
        <v>62</v>
      </c>
      <c r="E159" s="3">
        <v>0</v>
      </c>
      <c r="F159" s="7" t="s">
        <v>0</v>
      </c>
      <c r="G159" s="2" t="s">
        <v>63</v>
      </c>
      <c r="H159" t="s">
        <v>15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/>
      <c r="S159" s="8">
        <f>E159+I159+J159+K159+L159+M159+N159+O159+P159</f>
        <v>0</v>
      </c>
    </row>
    <row r="160" spans="1:19" s="10" customFormat="1" ht="16" customHeight="1">
      <c r="A160" s="6" t="s">
        <v>2</v>
      </c>
      <c r="B160" s="26">
        <v>2021</v>
      </c>
      <c r="C160" s="27">
        <v>17053</v>
      </c>
      <c r="D160" t="s">
        <v>64</v>
      </c>
      <c r="E160" s="3">
        <v>0</v>
      </c>
      <c r="F160" s="7" t="s">
        <v>0</v>
      </c>
      <c r="G160" s="2" t="s">
        <v>5</v>
      </c>
      <c r="H160" t="s">
        <v>15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/>
      <c r="S160" s="8">
        <f>E160+I160+J160+K160+L160+M160+N160+O160+P160</f>
        <v>0</v>
      </c>
    </row>
    <row r="161" spans="1:19" s="10" customFormat="1" ht="16" customHeight="1">
      <c r="A161" s="6" t="s">
        <v>2</v>
      </c>
      <c r="B161" s="26">
        <v>2021</v>
      </c>
      <c r="C161" s="27">
        <v>18097</v>
      </c>
      <c r="D161" s="30" t="s">
        <v>65</v>
      </c>
      <c r="E161" s="29">
        <v>0</v>
      </c>
      <c r="F161" s="7" t="s">
        <v>0</v>
      </c>
      <c r="G161" s="2" t="s">
        <v>3</v>
      </c>
      <c r="H161" s="30"/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/>
      <c r="S161" s="8">
        <f>E161+I161+J161+K161+L161+M161+N161+O161+P161</f>
        <v>0</v>
      </c>
    </row>
    <row r="162" spans="1:19" s="10" customFormat="1" ht="16" customHeight="1">
      <c r="A162" s="6" t="s">
        <v>2</v>
      </c>
      <c r="B162" s="26">
        <v>2021</v>
      </c>
      <c r="C162" s="27">
        <v>18098</v>
      </c>
      <c r="D162" s="30" t="s">
        <v>66</v>
      </c>
      <c r="E162" s="29">
        <v>0</v>
      </c>
      <c r="F162" s="7" t="s">
        <v>0</v>
      </c>
      <c r="G162" s="2" t="s">
        <v>3</v>
      </c>
      <c r="H162" s="30"/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/>
      <c r="S162" s="8">
        <f>E162+I162+J162+K162+L162+M162+N162+O162+P162</f>
        <v>0</v>
      </c>
    </row>
    <row r="163" spans="1:19" s="10" customFormat="1" ht="16" customHeight="1">
      <c r="A163" s="6" t="s">
        <v>2</v>
      </c>
      <c r="B163" s="26">
        <v>2021</v>
      </c>
      <c r="C163" s="27">
        <v>16293</v>
      </c>
      <c r="D163" t="s">
        <v>68</v>
      </c>
      <c r="E163" s="3">
        <v>0</v>
      </c>
      <c r="F163" s="7" t="s">
        <v>0</v>
      </c>
      <c r="G163" s="2" t="s">
        <v>67</v>
      </c>
      <c r="H163" t="s">
        <v>15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/>
      <c r="S163" s="8">
        <f>E163+I163+J163+K163+L163+M163+N163+O163+P163</f>
        <v>0</v>
      </c>
    </row>
    <row r="164" spans="1:19" s="10" customFormat="1" ht="16" customHeight="1">
      <c r="A164" s="6" t="s">
        <v>2</v>
      </c>
      <c r="B164" s="26">
        <v>2021</v>
      </c>
      <c r="C164" s="27">
        <v>17052</v>
      </c>
      <c r="D164" t="s">
        <v>70</v>
      </c>
      <c r="E164" s="3">
        <v>0</v>
      </c>
      <c r="F164" s="7" t="s">
        <v>0</v>
      </c>
      <c r="G164" s="2" t="s">
        <v>69</v>
      </c>
      <c r="H164" t="s">
        <v>15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/>
      <c r="S164" s="8">
        <f>E164+I164+J164+K164+L164+M164+N164+O164+P164</f>
        <v>0</v>
      </c>
    </row>
    <row r="165" spans="1:19" s="10" customFormat="1" ht="16" customHeight="1">
      <c r="A165" s="6" t="s">
        <v>2</v>
      </c>
      <c r="B165" s="26">
        <v>2021</v>
      </c>
      <c r="C165" s="27">
        <v>17734</v>
      </c>
      <c r="D165" t="s">
        <v>71</v>
      </c>
      <c r="E165" s="3">
        <v>0</v>
      </c>
      <c r="F165" s="7" t="s">
        <v>0</v>
      </c>
      <c r="G165" s="2" t="s">
        <v>4</v>
      </c>
      <c r="H165" t="s">
        <v>15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/>
      <c r="S165" s="8">
        <f>E165+I165+J165+K165+L165+M165+N165+O165+P165</f>
        <v>0</v>
      </c>
    </row>
    <row r="166" spans="1:19" s="10" customFormat="1" ht="16" customHeight="1">
      <c r="A166" s="6" t="s">
        <v>2</v>
      </c>
      <c r="B166" s="26">
        <v>2021</v>
      </c>
      <c r="C166" s="27">
        <v>17171</v>
      </c>
      <c r="D166" t="s">
        <v>72</v>
      </c>
      <c r="E166" s="3">
        <v>0</v>
      </c>
      <c r="F166" s="7" t="s">
        <v>0</v>
      </c>
      <c r="G166" s="2" t="s">
        <v>73</v>
      </c>
      <c r="H166" t="s">
        <v>15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/>
      <c r="S166" s="8">
        <f>E166+I166+J166+K166+L166+M166+N166+O166+P166</f>
        <v>0</v>
      </c>
    </row>
    <row r="167" spans="1:19" s="10" customFormat="1" ht="16" customHeight="1">
      <c r="A167" s="6" t="s">
        <v>2</v>
      </c>
      <c r="B167" s="26">
        <v>2021</v>
      </c>
      <c r="C167" s="27">
        <v>18091</v>
      </c>
      <c r="D167" s="30" t="s">
        <v>75</v>
      </c>
      <c r="E167" s="29">
        <v>0</v>
      </c>
      <c r="F167" s="7" t="s">
        <v>0</v>
      </c>
      <c r="G167" s="2" t="s">
        <v>74</v>
      </c>
      <c r="H167" s="30" t="s">
        <v>15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/>
      <c r="S167" s="8">
        <f>E167+I167+J167+K167+L167+M167+N167+O167+P167</f>
        <v>0</v>
      </c>
    </row>
    <row r="168" spans="1:19" s="10" customFormat="1" ht="16" customHeight="1">
      <c r="A168" s="6" t="s">
        <v>2</v>
      </c>
      <c r="B168" s="26">
        <v>2021</v>
      </c>
      <c r="C168" s="27" t="s">
        <v>21</v>
      </c>
      <c r="D168" s="27" t="s">
        <v>21</v>
      </c>
      <c r="E168" s="29">
        <v>5483800</v>
      </c>
      <c r="F168" s="7" t="s">
        <v>0</v>
      </c>
      <c r="G168" s="2" t="s">
        <v>101</v>
      </c>
      <c r="H168" s="30" t="s">
        <v>15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-5483800</v>
      </c>
      <c r="Q168" s="8">
        <v>0</v>
      </c>
      <c r="R168" s="8"/>
      <c r="S168" s="46">
        <f>E168+I168+J168+K168+L168+M168+N168+O168+P168</f>
        <v>0</v>
      </c>
    </row>
    <row r="169" spans="1:19" s="10" customFormat="1" ht="16" customHeight="1">
      <c r="A169" s="6" t="s">
        <v>2</v>
      </c>
      <c r="B169" s="26">
        <v>2021</v>
      </c>
      <c r="C169" s="27" t="s">
        <v>21</v>
      </c>
      <c r="D169" s="27" t="s">
        <v>21</v>
      </c>
      <c r="E169" s="29">
        <v>0</v>
      </c>
      <c r="F169" s="7" t="s">
        <v>0</v>
      </c>
      <c r="G169" s="2" t="s">
        <v>17</v>
      </c>
      <c r="H169" s="30" t="s">
        <v>15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/>
      <c r="S169" s="8">
        <f>E169+I169+J169+K169+L169+M169+N169+O169+P169</f>
        <v>0</v>
      </c>
    </row>
    <row r="170" spans="1:19" s="10" customFormat="1" ht="16" customHeight="1">
      <c r="A170" s="6" t="s">
        <v>2</v>
      </c>
      <c r="B170" s="26">
        <v>2021</v>
      </c>
      <c r="C170" s="27" t="s">
        <v>21</v>
      </c>
      <c r="D170" s="27" t="s">
        <v>175</v>
      </c>
      <c r="E170" s="29">
        <v>5672024</v>
      </c>
      <c r="F170" s="7" t="s">
        <v>0</v>
      </c>
      <c r="G170" s="2" t="s">
        <v>76</v>
      </c>
      <c r="H170" s="30" t="s">
        <v>15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-5672024</v>
      </c>
      <c r="Q170" s="8">
        <v>0</v>
      </c>
      <c r="R170" s="8"/>
      <c r="S170" s="46">
        <f>E170+I170+J170+K170+L170+M170+N170+O170+P170</f>
        <v>0</v>
      </c>
    </row>
    <row r="171" spans="1:19" s="10" customFormat="1" ht="16" customHeight="1">
      <c r="A171" s="6" t="s">
        <v>2</v>
      </c>
      <c r="B171" s="26">
        <v>2021</v>
      </c>
      <c r="C171" s="27" t="s">
        <v>21</v>
      </c>
      <c r="D171" s="27" t="s">
        <v>175</v>
      </c>
      <c r="E171" s="29">
        <v>3111463</v>
      </c>
      <c r="F171" s="7" t="s">
        <v>0</v>
      </c>
      <c r="G171" s="2" t="s">
        <v>11</v>
      </c>
      <c r="H171" s="30" t="s">
        <v>15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-3111463</v>
      </c>
      <c r="Q171" s="8">
        <v>0</v>
      </c>
      <c r="R171" s="8"/>
      <c r="S171" s="46">
        <f>E171+I171+J171+K171+L171+M171+N171+O171+P171</f>
        <v>0</v>
      </c>
    </row>
    <row r="172" spans="1:19" s="10" customFormat="1" ht="16" customHeight="1">
      <c r="A172" s="6" t="s">
        <v>2</v>
      </c>
      <c r="B172" s="26">
        <v>2021</v>
      </c>
      <c r="C172" s="27" t="s">
        <v>21</v>
      </c>
      <c r="D172" s="27" t="s">
        <v>21</v>
      </c>
      <c r="E172" s="29">
        <v>27182168</v>
      </c>
      <c r="F172" s="7" t="s">
        <v>0</v>
      </c>
      <c r="G172" s="2" t="s">
        <v>77</v>
      </c>
      <c r="H172" s="30" t="s">
        <v>15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-27182168</v>
      </c>
      <c r="Q172" s="8">
        <v>0</v>
      </c>
      <c r="R172" s="8"/>
      <c r="S172" s="46">
        <f>E172+I172+J172+K172+L172+M172+N172+O172+P172</f>
        <v>0</v>
      </c>
    </row>
    <row r="173" spans="1:19" s="10" customFormat="1" ht="16" customHeight="1">
      <c r="A173" s="6" t="s">
        <v>2</v>
      </c>
      <c r="B173" s="26">
        <v>2021</v>
      </c>
      <c r="C173" s="27" t="s">
        <v>21</v>
      </c>
      <c r="D173" s="27" t="s">
        <v>21</v>
      </c>
      <c r="E173" s="29">
        <v>7539477</v>
      </c>
      <c r="F173" s="7" t="s">
        <v>0</v>
      </c>
      <c r="G173" s="2" t="s">
        <v>97</v>
      </c>
      <c r="H173" s="30" t="s">
        <v>15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-7539477</v>
      </c>
      <c r="Q173" s="8">
        <v>0</v>
      </c>
      <c r="R173" s="8"/>
      <c r="S173" s="46">
        <f>E173+I173+J173+K173+L173+M173+N173+O173+P173</f>
        <v>0</v>
      </c>
    </row>
    <row r="174" spans="1:19" s="10" customFormat="1" ht="16" customHeight="1">
      <c r="A174" s="6" t="s">
        <v>2</v>
      </c>
      <c r="B174" s="26">
        <v>2021</v>
      </c>
      <c r="C174" s="27" t="s">
        <v>21</v>
      </c>
      <c r="D174" s="27" t="s">
        <v>175</v>
      </c>
      <c r="E174" s="29">
        <v>109793300</v>
      </c>
      <c r="F174" s="7" t="s">
        <v>0</v>
      </c>
      <c r="G174" s="2" t="s">
        <v>78</v>
      </c>
      <c r="H174" s="30" t="s">
        <v>15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-30000000</v>
      </c>
      <c r="Q174" s="8">
        <v>0</v>
      </c>
      <c r="R174" s="8"/>
      <c r="S174" s="8">
        <f>E174+I174+J174+K174+L174+M174+N174+O174+P174</f>
        <v>79793300</v>
      </c>
    </row>
    <row r="175" spans="1:19" s="10" customFormat="1" ht="16" customHeight="1">
      <c r="A175" s="6" t="s">
        <v>2</v>
      </c>
      <c r="B175" s="26">
        <v>2022</v>
      </c>
      <c r="C175" s="27" t="s">
        <v>117</v>
      </c>
      <c r="D175" s="27" t="s">
        <v>118</v>
      </c>
      <c r="E175" s="3">
        <v>0</v>
      </c>
      <c r="F175" s="7" t="s">
        <v>0</v>
      </c>
      <c r="G175" s="30" t="s">
        <v>19</v>
      </c>
      <c r="H175" t="s">
        <v>15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/>
      <c r="S175" s="8">
        <f>E175+I175+J175+K175+L175+M175+N175+O175+P175</f>
        <v>0</v>
      </c>
    </row>
    <row r="176" spans="1:19" s="10" customFormat="1" ht="16" customHeight="1">
      <c r="A176" s="6" t="s">
        <v>2</v>
      </c>
      <c r="B176" s="26">
        <v>2022</v>
      </c>
      <c r="C176" s="27" t="s">
        <v>119</v>
      </c>
      <c r="D176" t="s">
        <v>120</v>
      </c>
      <c r="E176" s="3">
        <v>0</v>
      </c>
      <c r="F176" s="7" t="s">
        <v>0</v>
      </c>
      <c r="G176" s="30" t="s">
        <v>93</v>
      </c>
      <c r="H176" t="s">
        <v>15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/>
      <c r="S176" s="8">
        <f>E176+I176+J176+K176+L176+M176+N176+O176+P176</f>
        <v>0</v>
      </c>
    </row>
    <row r="177" spans="1:19" s="10" customFormat="1" ht="16" customHeight="1">
      <c r="A177" s="6" t="s">
        <v>2</v>
      </c>
      <c r="B177" s="26">
        <v>2022</v>
      </c>
      <c r="C177" s="27" t="s">
        <v>121</v>
      </c>
      <c r="D177" t="s">
        <v>122</v>
      </c>
      <c r="E177" s="3">
        <v>0</v>
      </c>
      <c r="F177" s="7" t="s">
        <v>0</v>
      </c>
      <c r="G177" s="30" t="s">
        <v>94</v>
      </c>
      <c r="H177" t="s">
        <v>15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/>
      <c r="S177" s="8">
        <f>E177+I177+J177+K177+L177+M177+N177+O177+P177</f>
        <v>0</v>
      </c>
    </row>
    <row r="178" spans="1:19" s="10" customFormat="1" ht="16" customHeight="1">
      <c r="A178" s="6" t="s">
        <v>2</v>
      </c>
      <c r="B178" s="26">
        <v>2022</v>
      </c>
      <c r="C178" s="27" t="s">
        <v>123</v>
      </c>
      <c r="D178" t="s">
        <v>124</v>
      </c>
      <c r="E178" s="3">
        <v>0</v>
      </c>
      <c r="F178" s="7" t="s">
        <v>0</v>
      </c>
      <c r="G178" s="30" t="s">
        <v>112</v>
      </c>
      <c r="H178" t="s">
        <v>15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/>
      <c r="S178" s="8">
        <f>E178+I178+J178+K178+L178+M178+N178+O178+P178</f>
        <v>0</v>
      </c>
    </row>
    <row r="179" spans="1:19" s="10" customFormat="1" ht="16" customHeight="1">
      <c r="A179" s="6" t="s">
        <v>2</v>
      </c>
      <c r="B179" s="26">
        <v>2022</v>
      </c>
      <c r="C179" s="27" t="s">
        <v>125</v>
      </c>
      <c r="D179" t="s">
        <v>126</v>
      </c>
      <c r="E179" s="3">
        <v>0</v>
      </c>
      <c r="F179" s="7" t="s">
        <v>0</v>
      </c>
      <c r="G179" s="30" t="s">
        <v>95</v>
      </c>
      <c r="H179" t="s">
        <v>15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/>
      <c r="S179" s="8">
        <f>E179+I179+J179+K179+L179+M179+N179+O179+P179</f>
        <v>0</v>
      </c>
    </row>
    <row r="180" spans="1:19" s="10" customFormat="1" ht="16" customHeight="1">
      <c r="A180" s="6" t="s">
        <v>2</v>
      </c>
      <c r="B180" s="26">
        <v>2022</v>
      </c>
      <c r="C180" s="27" t="s">
        <v>127</v>
      </c>
      <c r="D180" t="s">
        <v>103</v>
      </c>
      <c r="E180" s="3">
        <v>0</v>
      </c>
      <c r="F180" s="7" t="s">
        <v>0</v>
      </c>
      <c r="G180" s="30" t="s">
        <v>95</v>
      </c>
      <c r="H180" t="s">
        <v>15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/>
      <c r="S180" s="8">
        <f>E180+I180+J180+K180+L180+M180+N180+O180+P180</f>
        <v>0</v>
      </c>
    </row>
    <row r="181" spans="1:19" s="10" customFormat="1" ht="16" customHeight="1">
      <c r="A181" s="6" t="s">
        <v>2</v>
      </c>
      <c r="B181" s="26">
        <v>2022</v>
      </c>
      <c r="C181" s="27" t="s">
        <v>128</v>
      </c>
      <c r="D181" t="s">
        <v>129</v>
      </c>
      <c r="E181" s="3">
        <v>0</v>
      </c>
      <c r="F181" s="7" t="s">
        <v>0</v>
      </c>
      <c r="G181" s="30" t="s">
        <v>95</v>
      </c>
      <c r="H181" t="s">
        <v>15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/>
      <c r="S181" s="8">
        <f>E181+I181+J181+K181+L181+M181+N181+O181+P181</f>
        <v>0</v>
      </c>
    </row>
    <row r="182" spans="1:19" s="10" customFormat="1" ht="16" customHeight="1">
      <c r="A182" s="6" t="s">
        <v>2</v>
      </c>
      <c r="B182" s="26">
        <v>2022</v>
      </c>
      <c r="C182" s="27" t="s">
        <v>130</v>
      </c>
      <c r="D182" t="s">
        <v>131</v>
      </c>
      <c r="E182" s="3">
        <v>0</v>
      </c>
      <c r="F182" s="7" t="s">
        <v>0</v>
      </c>
      <c r="G182" s="30" t="s">
        <v>104</v>
      </c>
      <c r="H182" t="s">
        <v>15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/>
      <c r="S182" s="8">
        <f>E182+I182+J182+K182+L182+M182+N182+O182+P182</f>
        <v>0</v>
      </c>
    </row>
    <row r="183" spans="1:19" s="10" customFormat="1" ht="16" customHeight="1">
      <c r="A183" s="6" t="s">
        <v>2</v>
      </c>
      <c r="B183" s="26">
        <v>2022</v>
      </c>
      <c r="C183" s="27" t="s">
        <v>132</v>
      </c>
      <c r="D183" t="s">
        <v>133</v>
      </c>
      <c r="E183" s="3">
        <v>0</v>
      </c>
      <c r="F183" s="7" t="s">
        <v>0</v>
      </c>
      <c r="G183" s="30" t="s">
        <v>104</v>
      </c>
      <c r="H183" t="s">
        <v>15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/>
      <c r="S183" s="8">
        <f>E183+I183+J183+K183+L183+M183+N183+O183+P183</f>
        <v>0</v>
      </c>
    </row>
    <row r="184" spans="1:19" s="10" customFormat="1" ht="16" customHeight="1">
      <c r="A184" s="6" t="s">
        <v>2</v>
      </c>
      <c r="B184" s="26">
        <v>2022</v>
      </c>
      <c r="C184" s="27" t="s">
        <v>134</v>
      </c>
      <c r="D184" t="s">
        <v>135</v>
      </c>
      <c r="E184" s="3">
        <v>0</v>
      </c>
      <c r="F184" s="7" t="s">
        <v>0</v>
      </c>
      <c r="G184" s="30" t="s">
        <v>105</v>
      </c>
      <c r="H184" t="s">
        <v>15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/>
      <c r="S184" s="8">
        <f>E184+I184+J184+K184+L184+M184+N184+O184+P184</f>
        <v>0</v>
      </c>
    </row>
    <row r="185" spans="1:19" s="10" customFormat="1" ht="16" customHeight="1">
      <c r="A185" s="6" t="s">
        <v>2</v>
      </c>
      <c r="B185" s="26">
        <v>2022</v>
      </c>
      <c r="C185" s="27" t="s">
        <v>136</v>
      </c>
      <c r="D185" t="s">
        <v>137</v>
      </c>
      <c r="E185" s="3">
        <v>0</v>
      </c>
      <c r="F185" s="7" t="s">
        <v>0</v>
      </c>
      <c r="G185" s="30" t="s">
        <v>105</v>
      </c>
      <c r="H185" t="s">
        <v>15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/>
      <c r="S185" s="8">
        <f>E185+I185+J185+K185+L185+M185+N185+O185+P185</f>
        <v>0</v>
      </c>
    </row>
    <row r="186" spans="1:19" s="10" customFormat="1" ht="16" customHeight="1">
      <c r="A186" s="6" t="s">
        <v>2</v>
      </c>
      <c r="B186" s="26">
        <v>2022</v>
      </c>
      <c r="C186" s="27" t="s">
        <v>138</v>
      </c>
      <c r="D186" t="s">
        <v>139</v>
      </c>
      <c r="E186" s="3">
        <v>0</v>
      </c>
      <c r="F186" s="7" t="s">
        <v>0</v>
      </c>
      <c r="G186" s="30" t="s">
        <v>99</v>
      </c>
      <c r="H186" t="s">
        <v>15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/>
      <c r="S186" s="8">
        <f>E186+I186+J186+K186+L186+M186+N186+O186+P186</f>
        <v>0</v>
      </c>
    </row>
    <row r="187" spans="1:19" s="10" customFormat="1" ht="16" customHeight="1">
      <c r="A187" s="6" t="s">
        <v>2</v>
      </c>
      <c r="B187" s="26">
        <v>2022</v>
      </c>
      <c r="C187" s="27" t="s">
        <v>140</v>
      </c>
      <c r="D187" t="s">
        <v>141</v>
      </c>
      <c r="E187" s="3">
        <v>0</v>
      </c>
      <c r="F187" s="7" t="s">
        <v>0</v>
      </c>
      <c r="G187" s="30" t="s">
        <v>96</v>
      </c>
      <c r="H187" t="s">
        <v>15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/>
      <c r="S187" s="8">
        <f>E187+I187+J187+K187+L187+M187+N187+O187+P187</f>
        <v>0</v>
      </c>
    </row>
    <row r="188" spans="1:19" s="10" customFormat="1" ht="16" customHeight="1">
      <c r="A188" s="6" t="s">
        <v>2</v>
      </c>
      <c r="B188" s="26">
        <v>2022</v>
      </c>
      <c r="C188" s="27" t="s">
        <v>142</v>
      </c>
      <c r="D188" t="s">
        <v>143</v>
      </c>
      <c r="E188" s="3">
        <v>0</v>
      </c>
      <c r="F188" s="7" t="s">
        <v>0</v>
      </c>
      <c r="G188" s="2" t="s">
        <v>100</v>
      </c>
      <c r="H188" t="s">
        <v>15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/>
      <c r="S188" s="8">
        <f>E188+I188+J188+K188+L188+M188+N188+O188+P188</f>
        <v>0</v>
      </c>
    </row>
    <row r="189" spans="1:19" s="10" customFormat="1" ht="16" customHeight="1">
      <c r="A189" s="6" t="s">
        <v>2</v>
      </c>
      <c r="B189" s="26">
        <v>2022</v>
      </c>
      <c r="C189" s="27" t="s">
        <v>21</v>
      </c>
      <c r="D189" s="30" t="s">
        <v>173</v>
      </c>
      <c r="E189" s="29">
        <v>4403000</v>
      </c>
      <c r="F189" s="7" t="s">
        <v>0</v>
      </c>
      <c r="G189" s="2" t="s">
        <v>107</v>
      </c>
      <c r="H189" s="30" t="s">
        <v>15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-4403000</v>
      </c>
      <c r="Q189" s="8">
        <v>0</v>
      </c>
      <c r="R189" s="8"/>
      <c r="S189" s="46">
        <f>E189+I189+J189+K189+L189+M189+N189+O189+P189</f>
        <v>0</v>
      </c>
    </row>
    <row r="190" spans="1:19" s="10" customFormat="1" ht="16" customHeight="1">
      <c r="A190" s="6" t="s">
        <v>2</v>
      </c>
      <c r="B190" s="26">
        <v>2022</v>
      </c>
      <c r="C190" s="27" t="s">
        <v>21</v>
      </c>
      <c r="D190" s="27" t="s">
        <v>175</v>
      </c>
      <c r="E190" s="29">
        <v>0</v>
      </c>
      <c r="F190" s="7" t="s">
        <v>0</v>
      </c>
      <c r="G190" s="2" t="s">
        <v>106</v>
      </c>
      <c r="H190" s="30" t="s">
        <v>15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/>
      <c r="S190" s="8">
        <f>E190+I190+J190+K190+L190+M190+N190+O190+P190</f>
        <v>0</v>
      </c>
    </row>
    <row r="191" spans="1:19" s="10" customFormat="1" ht="16" customHeight="1">
      <c r="A191" s="6" t="s">
        <v>2</v>
      </c>
      <c r="B191" s="26">
        <v>2022</v>
      </c>
      <c r="C191" s="27" t="s">
        <v>21</v>
      </c>
      <c r="D191" s="30" t="s">
        <v>144</v>
      </c>
      <c r="E191" s="29">
        <v>275647507</v>
      </c>
      <c r="F191" s="7" t="s">
        <v>0</v>
      </c>
      <c r="G191" s="2" t="s">
        <v>108</v>
      </c>
      <c r="H191" s="30" t="s">
        <v>15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/>
      <c r="S191" s="8">
        <f>E191+I191+J191+K191+L191+M191+N191+O191+P191</f>
        <v>275647507</v>
      </c>
    </row>
    <row r="192" spans="1:19" s="10" customFormat="1" ht="16" customHeight="1">
      <c r="A192" s="6" t="s">
        <v>2</v>
      </c>
      <c r="B192" s="26">
        <v>2022</v>
      </c>
      <c r="C192" s="27" t="s">
        <v>21</v>
      </c>
      <c r="D192" s="27" t="s">
        <v>175</v>
      </c>
      <c r="E192" s="29">
        <v>6230368</v>
      </c>
      <c r="F192" s="7" t="s">
        <v>0</v>
      </c>
      <c r="G192" s="2" t="s">
        <v>98</v>
      </c>
      <c r="H192" s="30" t="s">
        <v>15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-6230368</v>
      </c>
      <c r="Q192" s="8">
        <v>0</v>
      </c>
      <c r="R192" s="8"/>
      <c r="S192" s="46">
        <f>E192+I192+J192+K192+L192+M192+N192+O192+P192</f>
        <v>0</v>
      </c>
    </row>
    <row r="193" spans="1:19" s="10" customFormat="1" ht="16" customHeight="1">
      <c r="A193" s="6" t="s">
        <v>2</v>
      </c>
      <c r="B193" s="26">
        <v>2023</v>
      </c>
      <c r="C193" s="27" t="s">
        <v>210</v>
      </c>
      <c r="D193" s="27" t="s">
        <v>188</v>
      </c>
      <c r="E193" s="29">
        <v>0</v>
      </c>
      <c r="F193" s="7" t="s">
        <v>0</v>
      </c>
      <c r="G193" s="2" t="s">
        <v>160</v>
      </c>
      <c r="H193" s="30" t="s">
        <v>15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/>
      <c r="S193" s="8">
        <f>E193+I193+J193+K193+L193+M193+N193+O193+P193</f>
        <v>0</v>
      </c>
    </row>
    <row r="194" spans="1:19" s="10" customFormat="1" ht="16" customHeight="1">
      <c r="A194" s="6" t="s">
        <v>2</v>
      </c>
      <c r="B194" s="26">
        <v>2023</v>
      </c>
      <c r="C194" s="27" t="s">
        <v>210</v>
      </c>
      <c r="D194" s="27" t="s">
        <v>189</v>
      </c>
      <c r="E194" s="29">
        <v>0</v>
      </c>
      <c r="F194" s="7" t="s">
        <v>0</v>
      </c>
      <c r="G194" s="2" t="s">
        <v>163</v>
      </c>
      <c r="H194" s="30" t="s">
        <v>15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/>
      <c r="S194" s="8">
        <f>E194+I194+J194+K194+L194+M194+N194+O194+P194</f>
        <v>0</v>
      </c>
    </row>
    <row r="195" spans="1:19" s="10" customFormat="1" ht="16" customHeight="1">
      <c r="A195" s="6" t="s">
        <v>2</v>
      </c>
      <c r="B195" s="26">
        <v>2023</v>
      </c>
      <c r="C195" s="27" t="s">
        <v>210</v>
      </c>
      <c r="D195" s="27" t="s">
        <v>219</v>
      </c>
      <c r="E195" s="29">
        <v>0</v>
      </c>
      <c r="F195" s="7" t="s">
        <v>0</v>
      </c>
      <c r="G195" s="2" t="s">
        <v>170</v>
      </c>
      <c r="H195" s="30" t="s">
        <v>15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/>
      <c r="S195" s="8">
        <f>E195+I195+J195+K195+L195+M195+N195+O195+P195</f>
        <v>0</v>
      </c>
    </row>
    <row r="196" spans="1:19" s="10" customFormat="1" ht="16" customHeight="1">
      <c r="A196" s="6" t="s">
        <v>2</v>
      </c>
      <c r="B196" s="26">
        <v>2023</v>
      </c>
      <c r="C196" s="27" t="s">
        <v>210</v>
      </c>
      <c r="D196" s="27" t="s">
        <v>220</v>
      </c>
      <c r="E196" s="29">
        <v>0</v>
      </c>
      <c r="F196" s="7" t="s">
        <v>0</v>
      </c>
      <c r="G196" s="2" t="s">
        <v>170</v>
      </c>
      <c r="H196" s="30" t="s">
        <v>15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/>
      <c r="S196" s="8">
        <f>E196+I196+J196+K196+L196+M196+N196+O196+P196</f>
        <v>0</v>
      </c>
    </row>
    <row r="197" spans="1:19" s="10" customFormat="1" ht="16" customHeight="1">
      <c r="A197" s="6" t="s">
        <v>2</v>
      </c>
      <c r="B197" s="26">
        <v>2023</v>
      </c>
      <c r="C197" s="27" t="s">
        <v>210</v>
      </c>
      <c r="D197" s="27" t="s">
        <v>221</v>
      </c>
      <c r="E197" s="29">
        <v>0</v>
      </c>
      <c r="F197" s="7" t="s">
        <v>0</v>
      </c>
      <c r="G197" s="2" t="s">
        <v>170</v>
      </c>
      <c r="H197" s="30" t="s">
        <v>15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/>
      <c r="S197" s="8">
        <f>E197+I197+J197+K197+L197+M197+N197+O197+P197</f>
        <v>0</v>
      </c>
    </row>
    <row r="198" spans="1:19" s="10" customFormat="1" ht="16" customHeight="1">
      <c r="A198" s="6" t="s">
        <v>2</v>
      </c>
      <c r="B198" s="26">
        <v>2023</v>
      </c>
      <c r="C198" s="27" t="s">
        <v>212</v>
      </c>
      <c r="D198" s="27" t="s">
        <v>194</v>
      </c>
      <c r="E198" s="29">
        <v>0</v>
      </c>
      <c r="F198" s="7" t="s">
        <v>0</v>
      </c>
      <c r="G198" s="2" t="s">
        <v>170</v>
      </c>
      <c r="H198" s="30" t="s">
        <v>15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/>
      <c r="S198" s="8">
        <f>E198+I198+J198+K198+L198+M198+N198+O198+P198</f>
        <v>0</v>
      </c>
    </row>
    <row r="199" spans="1:19" s="10" customFormat="1" ht="16" customHeight="1">
      <c r="A199" s="6" t="s">
        <v>2</v>
      </c>
      <c r="B199" s="26">
        <v>2023</v>
      </c>
      <c r="C199" s="27" t="s">
        <v>212</v>
      </c>
      <c r="D199" s="27" t="s">
        <v>195</v>
      </c>
      <c r="E199" s="29">
        <v>0</v>
      </c>
      <c r="F199" s="7" t="s">
        <v>0</v>
      </c>
      <c r="G199" s="2" t="s">
        <v>170</v>
      </c>
      <c r="H199" s="30" t="s">
        <v>15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/>
      <c r="S199" s="8">
        <f>E199+I199+J199+K199+L199+M199+N199+O199+P199</f>
        <v>0</v>
      </c>
    </row>
    <row r="200" spans="1:19" s="10" customFormat="1" ht="16" customHeight="1">
      <c r="A200" s="6" t="s">
        <v>2</v>
      </c>
      <c r="B200" s="26">
        <v>2023</v>
      </c>
      <c r="C200" s="27" t="s">
        <v>212</v>
      </c>
      <c r="D200" s="27" t="s">
        <v>196</v>
      </c>
      <c r="E200" s="29">
        <v>0</v>
      </c>
      <c r="F200" s="7" t="s">
        <v>0</v>
      </c>
      <c r="G200" s="2" t="s">
        <v>170</v>
      </c>
      <c r="H200" s="30" t="s">
        <v>15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/>
      <c r="S200" s="8">
        <f>E200+I200+J200+K200+L200+M200+N200+O200+P200</f>
        <v>0</v>
      </c>
    </row>
    <row r="201" spans="1:19" s="10" customFormat="1" ht="16" customHeight="1">
      <c r="A201" s="6" t="s">
        <v>2</v>
      </c>
      <c r="B201" s="26">
        <v>2023</v>
      </c>
      <c r="C201" s="27" t="s">
        <v>212</v>
      </c>
      <c r="D201" s="27" t="s">
        <v>197</v>
      </c>
      <c r="E201" s="29">
        <v>0</v>
      </c>
      <c r="F201" s="7" t="s">
        <v>0</v>
      </c>
      <c r="G201" s="2" t="s">
        <v>170</v>
      </c>
      <c r="H201" s="30" t="s">
        <v>15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/>
      <c r="S201" s="8">
        <f>E201+I201+J201+K201+L201+M201+N201+O201+P201</f>
        <v>0</v>
      </c>
    </row>
    <row r="202" spans="1:19" s="10" customFormat="1" ht="16" customHeight="1">
      <c r="A202" s="6" t="s">
        <v>2</v>
      </c>
      <c r="B202" s="26">
        <v>2023</v>
      </c>
      <c r="C202" s="27" t="s">
        <v>212</v>
      </c>
      <c r="D202" s="27" t="s">
        <v>198</v>
      </c>
      <c r="E202" s="29">
        <v>0</v>
      </c>
      <c r="F202" s="7" t="s">
        <v>0</v>
      </c>
      <c r="G202" s="2" t="s">
        <v>170</v>
      </c>
      <c r="H202" s="30" t="s">
        <v>15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/>
      <c r="S202" s="8">
        <f>E202+I202+J202+K202+L202+M202+N202+O202+P202</f>
        <v>0</v>
      </c>
    </row>
    <row r="203" spans="1:19" s="10" customFormat="1" ht="16" customHeight="1">
      <c r="A203" s="6" t="s">
        <v>2</v>
      </c>
      <c r="B203" s="26">
        <v>2023</v>
      </c>
      <c r="C203" s="27" t="s">
        <v>212</v>
      </c>
      <c r="D203" s="27" t="s">
        <v>224</v>
      </c>
      <c r="E203" s="29">
        <v>0</v>
      </c>
      <c r="F203" s="7" t="s">
        <v>0</v>
      </c>
      <c r="G203" s="2" t="s">
        <v>170</v>
      </c>
      <c r="H203" s="30" t="s">
        <v>15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/>
      <c r="S203" s="8">
        <f>E203+I203+J203+K203+L203+M203+N203+O203+P203</f>
        <v>0</v>
      </c>
    </row>
    <row r="204" spans="1:19" s="10" customFormat="1" ht="16" customHeight="1">
      <c r="A204" s="6" t="s">
        <v>2</v>
      </c>
      <c r="B204" s="26">
        <v>2023</v>
      </c>
      <c r="C204" s="27" t="s">
        <v>212</v>
      </c>
      <c r="D204" s="27" t="s">
        <v>227</v>
      </c>
      <c r="E204" s="29">
        <v>0</v>
      </c>
      <c r="F204" s="7" t="s">
        <v>0</v>
      </c>
      <c r="G204" s="2" t="s">
        <v>170</v>
      </c>
      <c r="H204" s="30" t="s">
        <v>15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/>
      <c r="S204" s="8">
        <f>E204+I204+J204+K204+L204+M204+N204+O204+P204</f>
        <v>0</v>
      </c>
    </row>
    <row r="205" spans="1:19" s="10" customFormat="1" ht="16" customHeight="1">
      <c r="A205" s="6" t="s">
        <v>2</v>
      </c>
      <c r="B205" s="26">
        <v>2023</v>
      </c>
      <c r="C205" s="27" t="s">
        <v>212</v>
      </c>
      <c r="D205" s="27" t="s">
        <v>228</v>
      </c>
      <c r="E205" s="29">
        <v>0</v>
      </c>
      <c r="F205" s="7" t="s">
        <v>0</v>
      </c>
      <c r="G205" s="2" t="s">
        <v>170</v>
      </c>
      <c r="H205" s="30" t="s">
        <v>15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/>
      <c r="S205" s="8">
        <f>E205+I205+J205+K205+L205+M205+N205+O205+P205</f>
        <v>0</v>
      </c>
    </row>
    <row r="206" spans="1:19" s="10" customFormat="1" ht="16" customHeight="1">
      <c r="A206" s="6" t="s">
        <v>2</v>
      </c>
      <c r="B206" s="26">
        <v>2023</v>
      </c>
      <c r="C206" s="27" t="s">
        <v>212</v>
      </c>
      <c r="D206" s="27" t="s">
        <v>199</v>
      </c>
      <c r="E206" s="29">
        <v>0</v>
      </c>
      <c r="F206" s="7" t="s">
        <v>0</v>
      </c>
      <c r="G206" s="2" t="s">
        <v>161</v>
      </c>
      <c r="H206" s="30" t="s">
        <v>15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/>
      <c r="S206" s="8">
        <f>E206+I206+J206+K206+L206+M206+N206+O206+P206</f>
        <v>0</v>
      </c>
    </row>
    <row r="207" spans="1:19" s="10" customFormat="1" ht="16" customHeight="1">
      <c r="A207" s="6" t="s">
        <v>2</v>
      </c>
      <c r="B207" s="26">
        <v>2024</v>
      </c>
      <c r="C207" s="27" t="s">
        <v>384</v>
      </c>
      <c r="D207" s="2" t="s">
        <v>305</v>
      </c>
      <c r="E207" s="42">
        <v>14717633</v>
      </c>
      <c r="F207" s="7" t="s">
        <v>0</v>
      </c>
      <c r="G207" s="30" t="s">
        <v>455</v>
      </c>
      <c r="H207" s="30" t="s">
        <v>15</v>
      </c>
      <c r="I207" s="5">
        <v>0</v>
      </c>
      <c r="J207" s="8">
        <v>-14717633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/>
      <c r="S207" s="8">
        <f>E207+I207+J207+K207+L207+M207+N207+O207+P207</f>
        <v>0</v>
      </c>
    </row>
    <row r="208" spans="1:19" s="10" customFormat="1" ht="16" customHeight="1">
      <c r="A208" s="6" t="s">
        <v>2</v>
      </c>
      <c r="B208" s="26">
        <v>2024</v>
      </c>
      <c r="C208" s="27" t="s">
        <v>384</v>
      </c>
      <c r="D208" s="2" t="s">
        <v>306</v>
      </c>
      <c r="E208" s="42">
        <v>5120000</v>
      </c>
      <c r="F208" s="7" t="s">
        <v>0</v>
      </c>
      <c r="G208" s="30" t="s">
        <v>455</v>
      </c>
      <c r="H208" s="30" t="s">
        <v>15</v>
      </c>
      <c r="I208" s="5">
        <v>0</v>
      </c>
      <c r="J208" s="8">
        <v>-5120000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/>
      <c r="S208" s="8">
        <f>E208+I208+J208+K208+L208+M208+N208+O208+P208</f>
        <v>0</v>
      </c>
    </row>
    <row r="209" spans="1:19" s="10" customFormat="1" ht="16" customHeight="1">
      <c r="A209" s="6" t="s">
        <v>2</v>
      </c>
      <c r="B209" s="26">
        <v>2023</v>
      </c>
      <c r="C209" s="27" t="s">
        <v>376</v>
      </c>
      <c r="D209" s="27" t="s">
        <v>377</v>
      </c>
      <c r="E209" s="29">
        <v>0</v>
      </c>
      <c r="F209" s="7" t="s">
        <v>0</v>
      </c>
      <c r="G209" t="s">
        <v>146</v>
      </c>
      <c r="H209" s="30" t="s">
        <v>15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/>
      <c r="S209" s="8">
        <f>E209+I209+J209+K209+L209+M209+N209+O209+P209</f>
        <v>0</v>
      </c>
    </row>
    <row r="210" spans="1:19" s="10" customFormat="1" ht="16" customHeight="1">
      <c r="A210" s="6" t="s">
        <v>2</v>
      </c>
      <c r="B210" s="26">
        <v>2023</v>
      </c>
      <c r="C210" s="27" t="s">
        <v>378</v>
      </c>
      <c r="D210" s="27" t="s">
        <v>379</v>
      </c>
      <c r="E210" s="29">
        <v>0</v>
      </c>
      <c r="F210" s="7" t="s">
        <v>0</v>
      </c>
      <c r="G210" t="s">
        <v>146</v>
      </c>
      <c r="H210" s="30" t="s">
        <v>15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/>
      <c r="S210" s="8">
        <f>E210+I210+J210+K210+L210+M210+N210+O210+P210</f>
        <v>0</v>
      </c>
    </row>
    <row r="211" spans="1:19" s="10" customFormat="1" ht="16" customHeight="1">
      <c r="A211" s="6" t="s">
        <v>2</v>
      </c>
      <c r="B211" s="26">
        <v>2023</v>
      </c>
      <c r="C211" s="27" t="s">
        <v>378</v>
      </c>
      <c r="D211" s="27" t="s">
        <v>380</v>
      </c>
      <c r="E211" s="29">
        <v>0</v>
      </c>
      <c r="F211" s="7" t="s">
        <v>0</v>
      </c>
      <c r="G211" t="s">
        <v>146</v>
      </c>
      <c r="H211" s="30" t="s">
        <v>15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/>
      <c r="S211" s="8">
        <f>E211+I211+J211+K211+L211+M211+N211+O211+P211</f>
        <v>0</v>
      </c>
    </row>
    <row r="212" spans="1:19" s="10" customFormat="1" ht="16" customHeight="1">
      <c r="A212" s="6" t="s">
        <v>2</v>
      </c>
      <c r="B212" s="26">
        <v>2023</v>
      </c>
      <c r="C212" s="27" t="s">
        <v>210</v>
      </c>
      <c r="D212" s="30" t="s">
        <v>218</v>
      </c>
      <c r="E212" s="5">
        <v>0</v>
      </c>
      <c r="F212" s="7" t="s">
        <v>0</v>
      </c>
      <c r="G212" s="30" t="s">
        <v>151</v>
      </c>
      <c r="H212" s="30" t="s">
        <v>15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/>
      <c r="S212" s="8">
        <f>E212+I212+J212+K212+L212+M212+N212+O212+P212</f>
        <v>0</v>
      </c>
    </row>
    <row r="213" spans="1:19" s="10" customFormat="1" ht="16" customHeight="1">
      <c r="A213" s="6" t="s">
        <v>2</v>
      </c>
      <c r="B213" s="26">
        <v>2023</v>
      </c>
      <c r="C213" s="27" t="s">
        <v>210</v>
      </c>
      <c r="D213" s="30" t="s">
        <v>222</v>
      </c>
      <c r="E213" s="5">
        <v>0</v>
      </c>
      <c r="F213" s="7" t="s">
        <v>0</v>
      </c>
      <c r="G213" s="30" t="s">
        <v>151</v>
      </c>
      <c r="H213" s="30" t="s">
        <v>15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/>
      <c r="S213" s="8">
        <f>E213+I213+J213+K213+L213+M213+N213+O213+P213</f>
        <v>0</v>
      </c>
    </row>
    <row r="214" spans="1:19" s="10" customFormat="1" ht="16" customHeight="1">
      <c r="A214" s="6" t="s">
        <v>2</v>
      </c>
      <c r="B214" s="26">
        <v>2023</v>
      </c>
      <c r="C214" s="27" t="s">
        <v>212</v>
      </c>
      <c r="D214" s="2" t="s">
        <v>225</v>
      </c>
      <c r="E214" s="5">
        <v>0</v>
      </c>
      <c r="F214" s="7" t="s">
        <v>0</v>
      </c>
      <c r="G214" s="30" t="s">
        <v>151</v>
      </c>
      <c r="H214" s="30" t="s">
        <v>15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/>
      <c r="S214" s="8">
        <f>E214+I214+J214+K214+L214+M214+N214+O214+P214</f>
        <v>0</v>
      </c>
    </row>
    <row r="215" spans="1:19" s="10" customFormat="1" ht="16" customHeight="1">
      <c r="A215" s="6" t="s">
        <v>2</v>
      </c>
      <c r="B215" s="26">
        <v>2023</v>
      </c>
      <c r="C215" s="27" t="s">
        <v>212</v>
      </c>
      <c r="D215" s="2" t="s">
        <v>226</v>
      </c>
      <c r="E215" s="5">
        <v>0</v>
      </c>
      <c r="F215" s="7" t="s">
        <v>0</v>
      </c>
      <c r="G215" s="30" t="s">
        <v>151</v>
      </c>
      <c r="H215" s="30" t="s">
        <v>15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/>
      <c r="S215" s="8">
        <f>E215+I215+J215+K215+L215+M215+N215+O215+P215</f>
        <v>0</v>
      </c>
    </row>
    <row r="216" spans="1:19" s="10" customFormat="1" ht="16" customHeight="1">
      <c r="A216" s="6" t="s">
        <v>2</v>
      </c>
      <c r="B216" s="26">
        <v>2023</v>
      </c>
      <c r="C216" s="27" t="s">
        <v>212</v>
      </c>
      <c r="D216" s="2" t="s">
        <v>229</v>
      </c>
      <c r="E216" s="5">
        <v>0</v>
      </c>
      <c r="F216" s="7" t="s">
        <v>0</v>
      </c>
      <c r="G216" s="30" t="s">
        <v>151</v>
      </c>
      <c r="H216" s="30" t="s">
        <v>15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/>
      <c r="S216" s="8">
        <f>E216+I216+J216+K216+L216+M216+N216+O216+P216</f>
        <v>0</v>
      </c>
    </row>
    <row r="217" spans="1:19" s="10" customFormat="1" ht="16" customHeight="1">
      <c r="A217" s="6" t="s">
        <v>2</v>
      </c>
      <c r="B217" s="26">
        <v>2023</v>
      </c>
      <c r="C217" s="27" t="s">
        <v>214</v>
      </c>
      <c r="D217" s="30" t="s">
        <v>204</v>
      </c>
      <c r="E217" s="31">
        <v>0</v>
      </c>
      <c r="F217" s="7" t="s">
        <v>0</v>
      </c>
      <c r="G217" s="2" t="s">
        <v>157</v>
      </c>
      <c r="H217" s="30" t="s">
        <v>15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/>
      <c r="S217" s="8">
        <f>E217+I217+J217+K217+L217+M217+N217+O217+P217</f>
        <v>0</v>
      </c>
    </row>
    <row r="218" spans="1:19" s="10" customFormat="1" ht="16" customHeight="1">
      <c r="A218" s="6" t="s">
        <v>2</v>
      </c>
      <c r="B218" s="26">
        <v>2023</v>
      </c>
      <c r="C218" s="27" t="s">
        <v>214</v>
      </c>
      <c r="D218" s="30" t="s">
        <v>381</v>
      </c>
      <c r="E218" s="31">
        <v>0</v>
      </c>
      <c r="F218" s="7" t="s">
        <v>0</v>
      </c>
      <c r="G218" s="2" t="s">
        <v>157</v>
      </c>
      <c r="H218" s="30" t="s">
        <v>15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/>
      <c r="S218" s="8">
        <f>E218+I218+J218+K218+L218+M218+N218+O218+P218</f>
        <v>0</v>
      </c>
    </row>
    <row r="219" spans="1:19" s="10" customFormat="1" ht="16" customHeight="1">
      <c r="A219" s="6" t="s">
        <v>2</v>
      </c>
      <c r="B219" s="26">
        <v>2023</v>
      </c>
      <c r="C219" s="27" t="s">
        <v>214</v>
      </c>
      <c r="D219" t="s">
        <v>382</v>
      </c>
      <c r="E219" s="3">
        <v>0</v>
      </c>
      <c r="F219" s="7" t="s">
        <v>0</v>
      </c>
      <c r="G219" s="2" t="s">
        <v>157</v>
      </c>
      <c r="H219" s="30" t="s">
        <v>15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/>
      <c r="S219" s="8">
        <f>E219+I219+J219+K219+L219+M219+N219+O219+P219</f>
        <v>0</v>
      </c>
    </row>
    <row r="220" spans="1:19" s="10" customFormat="1" ht="16" customHeight="1">
      <c r="A220" s="6" t="s">
        <v>2</v>
      </c>
      <c r="B220" s="26">
        <v>2023</v>
      </c>
      <c r="C220" s="27" t="s">
        <v>214</v>
      </c>
      <c r="D220" t="s">
        <v>383</v>
      </c>
      <c r="E220" s="3">
        <v>0</v>
      </c>
      <c r="F220" s="7" t="s">
        <v>0</v>
      </c>
      <c r="G220" s="2" t="s">
        <v>157</v>
      </c>
      <c r="H220" s="30" t="s">
        <v>15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/>
      <c r="S220" s="8">
        <f>E220+I220+J220+K220+L220+M220+N220+O220+P220</f>
        <v>0</v>
      </c>
    </row>
    <row r="221" spans="1:19" s="10" customFormat="1" ht="16" customHeight="1">
      <c r="A221" s="6" t="s">
        <v>2</v>
      </c>
      <c r="B221" s="26">
        <v>2023</v>
      </c>
      <c r="C221" s="27" t="s">
        <v>214</v>
      </c>
      <c r="D221" s="30" t="s">
        <v>202</v>
      </c>
      <c r="E221" s="29">
        <v>0</v>
      </c>
      <c r="F221" s="7" t="s">
        <v>0</v>
      </c>
      <c r="G221" s="2" t="s">
        <v>166</v>
      </c>
      <c r="H221" s="30" t="s">
        <v>15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/>
      <c r="S221" s="8">
        <f>E221+I221+J221+K221+L221+M221+N221+O221+P221</f>
        <v>0</v>
      </c>
    </row>
    <row r="222" spans="1:19" s="10" customFormat="1" ht="16" customHeight="1">
      <c r="A222" s="6" t="s">
        <v>2</v>
      </c>
      <c r="B222" s="26">
        <v>2023</v>
      </c>
      <c r="C222" s="27" t="s">
        <v>21</v>
      </c>
      <c r="D222" s="30" t="s">
        <v>174</v>
      </c>
      <c r="E222" s="29">
        <v>10211600</v>
      </c>
      <c r="F222" s="7" t="s">
        <v>0</v>
      </c>
      <c r="G222" s="2" t="s">
        <v>171</v>
      </c>
      <c r="H222" s="30" t="s">
        <v>15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/>
      <c r="S222" s="8">
        <f>E222+I222+J222+K222+L222+M222+N222+O222+P222</f>
        <v>10211600</v>
      </c>
    </row>
    <row r="223" spans="1:19" s="10" customFormat="1" ht="16" customHeight="1">
      <c r="A223" s="6" t="s">
        <v>2</v>
      </c>
      <c r="B223" s="26">
        <v>2023</v>
      </c>
      <c r="C223" s="27" t="s">
        <v>21</v>
      </c>
      <c r="D223" s="30" t="s">
        <v>174</v>
      </c>
      <c r="E223" s="29">
        <v>2500</v>
      </c>
      <c r="F223" s="7" t="s">
        <v>0</v>
      </c>
      <c r="G223" s="2" t="s">
        <v>145</v>
      </c>
      <c r="H223" s="30" t="s">
        <v>15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-2500</v>
      </c>
      <c r="Q223" s="8">
        <v>0</v>
      </c>
      <c r="R223" s="8"/>
      <c r="S223" s="46">
        <f>E223+I223+J223+K223+L223+M223+N223+O223+P223</f>
        <v>0</v>
      </c>
    </row>
    <row r="224" spans="1:19" s="10" customFormat="1" ht="16" customHeight="1">
      <c r="A224" s="6" t="s">
        <v>2</v>
      </c>
      <c r="B224" s="26">
        <v>2023</v>
      </c>
      <c r="C224" s="27" t="s">
        <v>21</v>
      </c>
      <c r="D224" s="30" t="s">
        <v>174</v>
      </c>
      <c r="E224" s="29">
        <v>7798061</v>
      </c>
      <c r="F224" s="7" t="s">
        <v>0</v>
      </c>
      <c r="G224" s="2" t="s">
        <v>158</v>
      </c>
      <c r="H224" s="30" t="s">
        <v>15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/>
      <c r="S224" s="8">
        <f>E224+I224+J224+K224+L224+M224+N224+O224+P224</f>
        <v>7798061</v>
      </c>
    </row>
    <row r="225" spans="1:19" s="10" customFormat="1" ht="16" customHeight="1">
      <c r="A225" s="6" t="s">
        <v>2</v>
      </c>
      <c r="B225" s="26">
        <v>2023</v>
      </c>
      <c r="C225" s="27" t="s">
        <v>21</v>
      </c>
      <c r="D225" s="30" t="s">
        <v>445</v>
      </c>
      <c r="E225" s="29">
        <v>0</v>
      </c>
      <c r="F225" s="7" t="s">
        <v>0</v>
      </c>
      <c r="G225" s="2" t="s">
        <v>153</v>
      </c>
      <c r="H225" s="30" t="s">
        <v>15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/>
      <c r="S225" s="46">
        <f>E225+I225+J225+K225+L225+M225+N225+O225+P225</f>
        <v>0</v>
      </c>
    </row>
    <row r="226" spans="1:19" s="10" customFormat="1" ht="16" customHeight="1">
      <c r="A226" s="6" t="s">
        <v>2</v>
      </c>
      <c r="B226" s="26">
        <v>2023</v>
      </c>
      <c r="C226" s="27" t="s">
        <v>21</v>
      </c>
      <c r="D226" s="30" t="s">
        <v>445</v>
      </c>
      <c r="E226" s="29">
        <v>0</v>
      </c>
      <c r="F226" s="7" t="s">
        <v>0</v>
      </c>
      <c r="G226" s="2" t="s">
        <v>154</v>
      </c>
      <c r="H226" s="30" t="s">
        <v>15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/>
      <c r="S226" s="46">
        <f>E226+I226+J226+K226+L226+M226+N226+O226+P226</f>
        <v>0</v>
      </c>
    </row>
    <row r="227" spans="1:19" s="10" customFormat="1" ht="16" customHeight="1">
      <c r="A227" s="6" t="s">
        <v>2</v>
      </c>
      <c r="B227" s="26">
        <v>2023</v>
      </c>
      <c r="C227" s="27" t="s">
        <v>21</v>
      </c>
      <c r="D227" s="30" t="s">
        <v>174</v>
      </c>
      <c r="E227" s="29">
        <v>0</v>
      </c>
      <c r="F227" s="7" t="s">
        <v>0</v>
      </c>
      <c r="G227" s="2" t="s">
        <v>155</v>
      </c>
      <c r="H227" s="30" t="s">
        <v>15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/>
      <c r="S227" s="8">
        <f>E227+I227+J227+K227+L227+M227+N227+O227+P227</f>
        <v>0</v>
      </c>
    </row>
    <row r="228" spans="1:19" s="10" customFormat="1" ht="16" customHeight="1">
      <c r="A228" s="6" t="s">
        <v>2</v>
      </c>
      <c r="B228" s="26">
        <v>2023</v>
      </c>
      <c r="C228" s="27" t="s">
        <v>21</v>
      </c>
      <c r="D228" s="30" t="s">
        <v>174</v>
      </c>
      <c r="E228" s="29">
        <v>176833</v>
      </c>
      <c r="F228" s="7" t="s">
        <v>0</v>
      </c>
      <c r="G228" s="2" t="s">
        <v>156</v>
      </c>
      <c r="H228" s="30" t="s">
        <v>15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-176833</v>
      </c>
      <c r="Q228" s="8">
        <v>0</v>
      </c>
      <c r="R228" s="8"/>
      <c r="S228" s="46">
        <f>E228+I228+J228+K228+L228+M228+N228+O228+P228</f>
        <v>0</v>
      </c>
    </row>
    <row r="229" spans="1:19" s="10" customFormat="1" ht="16" customHeight="1">
      <c r="A229" s="6" t="s">
        <v>2</v>
      </c>
      <c r="B229" s="26">
        <v>2023</v>
      </c>
      <c r="C229" s="27" t="s">
        <v>21</v>
      </c>
      <c r="D229" s="30" t="s">
        <v>174</v>
      </c>
      <c r="E229" s="29">
        <v>2214975</v>
      </c>
      <c r="F229" s="7" t="s">
        <v>0</v>
      </c>
      <c r="G229" s="2" t="s">
        <v>159</v>
      </c>
      <c r="H229" s="30" t="s">
        <v>15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-2214975</v>
      </c>
      <c r="Q229" s="8">
        <v>0</v>
      </c>
      <c r="R229" s="8"/>
      <c r="S229" s="46">
        <f>E229+I229+J229+K229+L229+M229+N229+O229+P229</f>
        <v>0</v>
      </c>
    </row>
    <row r="230" spans="1:19" s="10" customFormat="1" ht="16" customHeight="1">
      <c r="A230" s="6" t="s">
        <v>2</v>
      </c>
      <c r="B230" s="26">
        <v>2023</v>
      </c>
      <c r="C230" s="27" t="s">
        <v>21</v>
      </c>
      <c r="D230" s="30" t="s">
        <v>174</v>
      </c>
      <c r="E230" s="29">
        <v>0</v>
      </c>
      <c r="F230" s="7" t="s">
        <v>0</v>
      </c>
      <c r="G230" s="2" t="s">
        <v>165</v>
      </c>
      <c r="H230" s="30" t="s">
        <v>15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/>
      <c r="S230" s="46">
        <f>E230+I230+J230+K230+L230+M230+N230+O230+P230</f>
        <v>0</v>
      </c>
    </row>
    <row r="231" spans="1:19" s="10" customFormat="1" ht="16" customHeight="1">
      <c r="A231" s="6" t="s">
        <v>2</v>
      </c>
      <c r="B231" s="26">
        <v>2023</v>
      </c>
      <c r="C231" s="27" t="s">
        <v>21</v>
      </c>
      <c r="D231" s="30" t="s">
        <v>174</v>
      </c>
      <c r="E231" s="29">
        <v>6328939</v>
      </c>
      <c r="F231" s="7" t="s">
        <v>0</v>
      </c>
      <c r="G231" s="2" t="s">
        <v>164</v>
      </c>
      <c r="H231" s="30" t="s">
        <v>15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/>
      <c r="S231" s="8">
        <f>E231+I231+J231+K231+L231+M231+N231+O231+P231</f>
        <v>6328939</v>
      </c>
    </row>
    <row r="232" spans="1:19" s="10" customFormat="1" ht="16" customHeight="1">
      <c r="A232" s="6" t="s">
        <v>2</v>
      </c>
      <c r="B232" s="26">
        <v>2023</v>
      </c>
      <c r="C232" s="27" t="s">
        <v>21</v>
      </c>
      <c r="D232" s="30" t="s">
        <v>174</v>
      </c>
      <c r="E232" s="29">
        <v>82432</v>
      </c>
      <c r="F232" s="7" t="s">
        <v>0</v>
      </c>
      <c r="G232" s="2" t="s">
        <v>168</v>
      </c>
      <c r="H232" s="30" t="s">
        <v>15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-82432</v>
      </c>
      <c r="Q232" s="8">
        <v>0</v>
      </c>
      <c r="R232" s="8"/>
      <c r="S232" s="46">
        <f>E232+I232+J232+K232+L232+M232+N232+O232+P232</f>
        <v>0</v>
      </c>
    </row>
    <row r="233" spans="1:19" s="10" customFormat="1" ht="16" customHeight="1">
      <c r="A233" s="6" t="s">
        <v>2</v>
      </c>
      <c r="B233" s="26">
        <v>2023</v>
      </c>
      <c r="C233" s="27" t="s">
        <v>21</v>
      </c>
      <c r="D233" s="30" t="s">
        <v>174</v>
      </c>
      <c r="E233" s="29">
        <v>0</v>
      </c>
      <c r="F233" s="7" t="s">
        <v>0</v>
      </c>
      <c r="G233" s="2" t="s">
        <v>169</v>
      </c>
      <c r="H233" s="30" t="s">
        <v>15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/>
      <c r="S233" s="46">
        <f>E233+I233+J233+K233+L233+M233+N233+O233+P233</f>
        <v>0</v>
      </c>
    </row>
    <row r="234" spans="1:19" s="10" customFormat="1" ht="16" customHeight="1">
      <c r="A234" s="6" t="s">
        <v>2</v>
      </c>
      <c r="B234" s="26">
        <v>2023</v>
      </c>
      <c r="C234" s="27" t="s">
        <v>21</v>
      </c>
      <c r="D234" s="30" t="s">
        <v>174</v>
      </c>
      <c r="E234" s="29">
        <v>0</v>
      </c>
      <c r="F234" s="7" t="s">
        <v>0</v>
      </c>
      <c r="G234" s="2" t="s">
        <v>152</v>
      </c>
      <c r="H234" s="30" t="s">
        <v>15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/>
      <c r="S234" s="8">
        <f>E234+I234+J234+K234+L234+M234+N234+O234+P234</f>
        <v>0</v>
      </c>
    </row>
    <row r="235" spans="1:19" s="10" customFormat="1" ht="16" customHeight="1">
      <c r="A235" s="6" t="s">
        <v>2</v>
      </c>
      <c r="B235" s="26">
        <v>2023</v>
      </c>
      <c r="C235" s="27" t="s">
        <v>21</v>
      </c>
      <c r="D235" s="30" t="s">
        <v>174</v>
      </c>
      <c r="E235" s="29">
        <v>523080</v>
      </c>
      <c r="F235" s="7" t="s">
        <v>0</v>
      </c>
      <c r="G235" s="2" t="s">
        <v>110</v>
      </c>
      <c r="H235" s="30" t="s">
        <v>15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-523080</v>
      </c>
      <c r="Q235" s="8">
        <v>0</v>
      </c>
      <c r="R235" s="8"/>
      <c r="S235" s="46">
        <f>E235+I235+J235+K235+L235+M235+N235+O235+P235</f>
        <v>0</v>
      </c>
    </row>
    <row r="236" spans="1:19" s="10" customFormat="1" ht="16" customHeight="1">
      <c r="A236" s="6" t="s">
        <v>2</v>
      </c>
      <c r="B236" s="26">
        <v>2023</v>
      </c>
      <c r="C236" s="27" t="s">
        <v>21</v>
      </c>
      <c r="D236" s="30" t="s">
        <v>174</v>
      </c>
      <c r="E236" s="29">
        <v>396234</v>
      </c>
      <c r="F236" s="7" t="s">
        <v>0</v>
      </c>
      <c r="G236" s="2" t="s">
        <v>150</v>
      </c>
      <c r="H236" s="30" t="s">
        <v>15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-396234</v>
      </c>
      <c r="Q236" s="8">
        <v>0</v>
      </c>
      <c r="R236" s="8"/>
      <c r="S236" s="46">
        <f>E236+I236+J236+K236+L236+M236+N236+O236+P236</f>
        <v>0</v>
      </c>
    </row>
    <row r="237" spans="1:19" s="10" customFormat="1" ht="16" customHeight="1">
      <c r="A237" s="6" t="s">
        <v>2</v>
      </c>
      <c r="B237" s="26">
        <v>2023</v>
      </c>
      <c r="C237" s="27" t="s">
        <v>21</v>
      </c>
      <c r="D237" s="30" t="s">
        <v>174</v>
      </c>
      <c r="E237" s="29">
        <v>30000</v>
      </c>
      <c r="F237" s="7" t="s">
        <v>0</v>
      </c>
      <c r="G237" s="2" t="s">
        <v>167</v>
      </c>
      <c r="H237" s="30" t="s">
        <v>15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-30000</v>
      </c>
      <c r="Q237" s="8">
        <v>0</v>
      </c>
      <c r="R237" s="8"/>
      <c r="S237" s="46">
        <f>E237+I237+J237+K237+L237+M237+N237+O237+P237</f>
        <v>0</v>
      </c>
    </row>
    <row r="238" spans="1:19" s="10" customFormat="1" ht="16" customHeight="1">
      <c r="A238" s="6" t="s">
        <v>2</v>
      </c>
      <c r="B238" s="26">
        <v>2023</v>
      </c>
      <c r="C238" s="27" t="s">
        <v>21</v>
      </c>
      <c r="D238" s="30" t="s">
        <v>174</v>
      </c>
      <c r="E238" s="29">
        <v>0</v>
      </c>
      <c r="F238" s="7" t="s">
        <v>0</v>
      </c>
      <c r="G238" s="2" t="s">
        <v>172</v>
      </c>
      <c r="H238" s="30" t="s">
        <v>15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/>
      <c r="S238" s="8">
        <f>E238+I238+J238+K238+L238+M238+N238+O238+P238</f>
        <v>0</v>
      </c>
    </row>
    <row r="239" spans="1:19" s="10" customFormat="1" ht="16" customHeight="1">
      <c r="A239" s="6" t="s">
        <v>2</v>
      </c>
      <c r="B239" s="26">
        <v>2023</v>
      </c>
      <c r="C239" s="27" t="s">
        <v>21</v>
      </c>
      <c r="D239" s="86" t="s">
        <v>191</v>
      </c>
      <c r="E239" s="87">
        <v>68065254</v>
      </c>
      <c r="F239" s="7" t="s">
        <v>0</v>
      </c>
      <c r="G239" s="2" t="s">
        <v>109</v>
      </c>
      <c r="H239" s="30" t="s">
        <v>15</v>
      </c>
      <c r="I239" s="8">
        <v>0</v>
      </c>
      <c r="J239" s="8">
        <v>0</v>
      </c>
      <c r="K239" s="8">
        <v>-15415256</v>
      </c>
      <c r="L239" s="8">
        <v>0</v>
      </c>
      <c r="M239" s="8">
        <v>0</v>
      </c>
      <c r="N239" s="8">
        <v>0</v>
      </c>
      <c r="O239" s="8">
        <v>0</v>
      </c>
      <c r="P239" s="8">
        <v>-52649998</v>
      </c>
      <c r="Q239" s="8">
        <v>0</v>
      </c>
      <c r="R239" s="8"/>
      <c r="S239" s="46">
        <f>E239+I239+J239+K239+L239+M239+N239+O239+P239</f>
        <v>0</v>
      </c>
    </row>
    <row r="240" spans="1:19" s="10" customFormat="1" ht="16" customHeight="1">
      <c r="A240" s="6" t="s">
        <v>2</v>
      </c>
      <c r="B240" s="26">
        <v>2024</v>
      </c>
      <c r="C240" s="27" t="s">
        <v>479</v>
      </c>
      <c r="D240" s="30" t="s">
        <v>446</v>
      </c>
      <c r="E240" s="5">
        <v>1000000</v>
      </c>
      <c r="F240" s="7" t="s">
        <v>0</v>
      </c>
      <c r="G240" s="30" t="s">
        <v>476</v>
      </c>
      <c r="H240" s="30" t="s">
        <v>15</v>
      </c>
      <c r="I240" s="5">
        <v>-1000000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/>
      <c r="S240" s="8">
        <f>E240+I240+J240+K240+L240+M240+N240+O240+P240</f>
        <v>0</v>
      </c>
    </row>
    <row r="241" spans="1:19" s="10" customFormat="1" ht="16" customHeight="1">
      <c r="A241" s="6" t="s">
        <v>2</v>
      </c>
      <c r="B241" s="26">
        <v>2024</v>
      </c>
      <c r="C241" s="27" t="s">
        <v>384</v>
      </c>
      <c r="D241" s="30" t="s">
        <v>267</v>
      </c>
      <c r="E241" s="5">
        <v>59934100</v>
      </c>
      <c r="F241" s="7" t="s">
        <v>0</v>
      </c>
      <c r="G241" s="30" t="s">
        <v>263</v>
      </c>
      <c r="H241" s="30" t="s">
        <v>15</v>
      </c>
      <c r="I241" s="8">
        <v>0</v>
      </c>
      <c r="J241" s="8">
        <v>-59934100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/>
      <c r="S241" s="8">
        <f>E241+I241+J241+K241+L241+M241+N241+O241+P241</f>
        <v>0</v>
      </c>
    </row>
    <row r="242" spans="1:19" s="10" customFormat="1" ht="16" customHeight="1">
      <c r="A242" s="6" t="s">
        <v>2</v>
      </c>
      <c r="B242" s="39">
        <v>2024</v>
      </c>
      <c r="C242" s="27" t="s">
        <v>395</v>
      </c>
      <c r="D242" s="30" t="s">
        <v>481</v>
      </c>
      <c r="E242" s="42">
        <v>13200000</v>
      </c>
      <c r="F242" s="7" t="s">
        <v>0</v>
      </c>
      <c r="G242" s="2" t="s">
        <v>480</v>
      </c>
      <c r="H242" s="30" t="s">
        <v>15</v>
      </c>
      <c r="I242" s="8">
        <v>0</v>
      </c>
      <c r="J242" s="8">
        <v>-13200000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/>
      <c r="S242" s="8">
        <f>E242+I242+J242+K242+L242+M242+N242+O242+P242</f>
        <v>0</v>
      </c>
    </row>
    <row r="243" spans="1:19" s="10" customFormat="1" ht="16" customHeight="1">
      <c r="A243" s="6" t="s">
        <v>2</v>
      </c>
      <c r="B243" s="26">
        <v>2024</v>
      </c>
      <c r="C243" s="27" t="s">
        <v>384</v>
      </c>
      <c r="D243" s="30" t="s">
        <v>268</v>
      </c>
      <c r="E243" s="5">
        <v>361900</v>
      </c>
      <c r="F243" s="7" t="s">
        <v>0</v>
      </c>
      <c r="G243" s="30" t="s">
        <v>250</v>
      </c>
      <c r="H243" s="30" t="s">
        <v>15</v>
      </c>
      <c r="I243" s="8">
        <v>0</v>
      </c>
      <c r="J243" s="8">
        <v>-361900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/>
      <c r="S243" s="8">
        <f>E243+I243+J243+K243+L243+M243+N243+O243+P243</f>
        <v>0</v>
      </c>
    </row>
    <row r="244" spans="1:19" s="10" customFormat="1" ht="16" customHeight="1">
      <c r="A244" s="6" t="s">
        <v>2</v>
      </c>
      <c r="B244" s="26">
        <v>2024</v>
      </c>
      <c r="C244" s="27" t="s">
        <v>384</v>
      </c>
      <c r="D244" s="30" t="s">
        <v>269</v>
      </c>
      <c r="E244" s="5">
        <v>2686000</v>
      </c>
      <c r="F244" s="7" t="s">
        <v>0</v>
      </c>
      <c r="G244" s="30" t="s">
        <v>261</v>
      </c>
      <c r="H244" s="30" t="s">
        <v>15</v>
      </c>
      <c r="I244" s="8">
        <v>0</v>
      </c>
      <c r="J244" s="5">
        <v>-2686000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/>
      <c r="S244" s="8">
        <f>E244+I244+J244+K244+L244+M244+N244+O244+P244</f>
        <v>0</v>
      </c>
    </row>
    <row r="245" spans="1:19" s="10" customFormat="1" ht="16" customHeight="1">
      <c r="A245" s="6" t="s">
        <v>2</v>
      </c>
      <c r="B245" s="26">
        <v>2024</v>
      </c>
      <c r="C245" s="27" t="s">
        <v>384</v>
      </c>
      <c r="D245" s="30" t="s">
        <v>272</v>
      </c>
      <c r="E245" s="5">
        <v>21783750</v>
      </c>
      <c r="F245" s="7" t="s">
        <v>0</v>
      </c>
      <c r="G245" s="30" t="s">
        <v>262</v>
      </c>
      <c r="H245" s="30" t="s">
        <v>15</v>
      </c>
      <c r="I245" s="8">
        <v>0</v>
      </c>
      <c r="J245" s="5">
        <v>-21783750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/>
      <c r="S245" s="8">
        <f>E245+I245+J245+K245+L245+M245+N245+O245+P245</f>
        <v>0</v>
      </c>
    </row>
    <row r="246" spans="1:19" s="10" customFormat="1" ht="16" customHeight="1">
      <c r="A246" s="6" t="s">
        <v>2</v>
      </c>
      <c r="B246" s="26">
        <v>2024</v>
      </c>
      <c r="C246" s="27" t="s">
        <v>384</v>
      </c>
      <c r="D246" s="30" t="s">
        <v>280</v>
      </c>
      <c r="E246" s="5">
        <v>1600000</v>
      </c>
      <c r="F246" s="7" t="s">
        <v>0</v>
      </c>
      <c r="G246" s="30" t="s">
        <v>262</v>
      </c>
      <c r="H246" s="30" t="s">
        <v>15</v>
      </c>
      <c r="I246" s="8">
        <v>0</v>
      </c>
      <c r="J246" s="5">
        <v>-1600000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/>
      <c r="S246" s="8">
        <f>E246+I246+J246+K246+L246+M246+N246+O246+P246</f>
        <v>0</v>
      </c>
    </row>
    <row r="247" spans="1:19" s="10" customFormat="1" ht="16" customHeight="1">
      <c r="A247" s="6" t="s">
        <v>2</v>
      </c>
      <c r="B247" s="26">
        <v>2024</v>
      </c>
      <c r="C247" s="27" t="s">
        <v>384</v>
      </c>
      <c r="D247" s="30" t="s">
        <v>281</v>
      </c>
      <c r="E247" s="5">
        <v>50084580</v>
      </c>
      <c r="F247" s="7" t="s">
        <v>0</v>
      </c>
      <c r="G247" s="30" t="s">
        <v>262</v>
      </c>
      <c r="H247" s="30" t="s">
        <v>15</v>
      </c>
      <c r="I247" s="8">
        <v>0</v>
      </c>
      <c r="J247" s="5">
        <v>-50084580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/>
      <c r="S247" s="8">
        <f>E247+I247+J247+K247+L247+M247+N247+O247+P247</f>
        <v>0</v>
      </c>
    </row>
    <row r="248" spans="1:19" s="10" customFormat="1" ht="16" customHeight="1">
      <c r="A248" s="6" t="s">
        <v>2</v>
      </c>
      <c r="B248" s="26">
        <v>2024</v>
      </c>
      <c r="C248" s="27" t="s">
        <v>384</v>
      </c>
      <c r="D248" s="30" t="s">
        <v>303</v>
      </c>
      <c r="E248" s="5">
        <v>2300000</v>
      </c>
      <c r="F248" s="7" t="s">
        <v>0</v>
      </c>
      <c r="G248" s="30" t="s">
        <v>261</v>
      </c>
      <c r="H248" s="30" t="s">
        <v>15</v>
      </c>
      <c r="I248" s="8">
        <v>0</v>
      </c>
      <c r="J248" s="5">
        <v>-2300000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/>
      <c r="S248" s="8">
        <f>E248+I248+J248+K248+L248+M248+N248+O248+P248</f>
        <v>0</v>
      </c>
    </row>
    <row r="249" spans="1:19" s="10" customFormat="1" ht="16" customHeight="1">
      <c r="A249" s="6" t="s">
        <v>2</v>
      </c>
      <c r="B249" s="26">
        <v>2024</v>
      </c>
      <c r="C249" s="27" t="s">
        <v>384</v>
      </c>
      <c r="D249" s="30" t="s">
        <v>304</v>
      </c>
      <c r="E249" s="5">
        <v>15500000</v>
      </c>
      <c r="F249" s="7" t="s">
        <v>0</v>
      </c>
      <c r="G249" s="30" t="s">
        <v>262</v>
      </c>
      <c r="H249" s="30" t="s">
        <v>15</v>
      </c>
      <c r="I249" s="8">
        <v>0</v>
      </c>
      <c r="J249" s="8">
        <v>-15500000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/>
      <c r="S249" s="8">
        <f>E249+I249+J249+K249+L249+M249+N249+O249+P249</f>
        <v>0</v>
      </c>
    </row>
    <row r="250" spans="1:19" s="10" customFormat="1" ht="16" customHeight="1">
      <c r="A250" s="6" t="s">
        <v>2</v>
      </c>
      <c r="B250" s="26">
        <v>2024</v>
      </c>
      <c r="C250" s="27" t="s">
        <v>384</v>
      </c>
      <c r="D250" s="2" t="s">
        <v>441</v>
      </c>
      <c r="E250" s="5">
        <v>15145000</v>
      </c>
      <c r="F250" s="7" t="s">
        <v>0</v>
      </c>
      <c r="G250" s="30" t="s">
        <v>456</v>
      </c>
      <c r="H250" s="30" t="s">
        <v>15</v>
      </c>
      <c r="I250" s="5">
        <v>0</v>
      </c>
      <c r="J250" s="8">
        <v>-15145000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/>
      <c r="S250" s="8">
        <f>E250+I250+J250+K250+L250+M250+N250+O250+P250</f>
        <v>0</v>
      </c>
    </row>
    <row r="251" spans="1:19" s="10" customFormat="1" ht="16" customHeight="1">
      <c r="A251" s="6" t="s">
        <v>2</v>
      </c>
      <c r="B251" s="26">
        <v>2024</v>
      </c>
      <c r="C251" s="27" t="s">
        <v>385</v>
      </c>
      <c r="D251" s="30" t="s">
        <v>282</v>
      </c>
      <c r="E251" s="5">
        <v>8035098</v>
      </c>
      <c r="F251" s="7" t="s">
        <v>0</v>
      </c>
      <c r="G251" s="30" t="s">
        <v>247</v>
      </c>
      <c r="H251" s="30" t="s">
        <v>15</v>
      </c>
      <c r="I251" s="8">
        <v>0</v>
      </c>
      <c r="J251" s="8">
        <v>0</v>
      </c>
      <c r="K251" s="29">
        <v>-8035098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/>
      <c r="S251" s="8">
        <f>E251+I251+J251+K251+L251+M251+N251+O251+P251</f>
        <v>0</v>
      </c>
    </row>
    <row r="252" spans="1:19" s="10" customFormat="1" ht="16" customHeight="1">
      <c r="A252" s="6" t="s">
        <v>2</v>
      </c>
      <c r="B252" s="26">
        <v>2024</v>
      </c>
      <c r="C252" s="27" t="s">
        <v>385</v>
      </c>
      <c r="D252" s="30" t="s">
        <v>283</v>
      </c>
      <c r="E252" s="5">
        <v>5662500</v>
      </c>
      <c r="F252" s="7" t="s">
        <v>0</v>
      </c>
      <c r="G252" s="30" t="s">
        <v>254</v>
      </c>
      <c r="H252" s="30" t="s">
        <v>15</v>
      </c>
      <c r="I252" s="8">
        <v>0</v>
      </c>
      <c r="J252" s="8">
        <v>0</v>
      </c>
      <c r="K252" s="8">
        <v>-5662500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/>
      <c r="S252" s="8">
        <f>E252+I252+J252+K252+L252+M252+N252+O252+P252</f>
        <v>0</v>
      </c>
    </row>
    <row r="253" spans="1:19" s="10" customFormat="1" ht="16" customHeight="1">
      <c r="A253" s="6" t="s">
        <v>2</v>
      </c>
      <c r="B253" s="39">
        <v>2024</v>
      </c>
      <c r="C253" s="27" t="s">
        <v>385</v>
      </c>
      <c r="D253" s="30" t="s">
        <v>284</v>
      </c>
      <c r="E253" s="5">
        <v>1067000</v>
      </c>
      <c r="F253" s="7" t="s">
        <v>0</v>
      </c>
      <c r="G253" s="30" t="s">
        <v>250</v>
      </c>
      <c r="H253" s="30" t="s">
        <v>15</v>
      </c>
      <c r="I253" s="8">
        <v>0</v>
      </c>
      <c r="J253" s="8">
        <v>0</v>
      </c>
      <c r="K253" s="5">
        <v>-1067000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/>
      <c r="S253" s="8">
        <f>E253+I253+J253+K253+L253+M253+N253+O253+P253</f>
        <v>0</v>
      </c>
    </row>
    <row r="254" spans="1:19" s="10" customFormat="1" ht="16" customHeight="1">
      <c r="A254" s="6" t="s">
        <v>2</v>
      </c>
      <c r="B254" s="39">
        <v>2024</v>
      </c>
      <c r="C254" s="27" t="s">
        <v>385</v>
      </c>
      <c r="D254" s="30" t="s">
        <v>285</v>
      </c>
      <c r="E254" s="5">
        <v>3355964</v>
      </c>
      <c r="F254" s="7" t="s">
        <v>0</v>
      </c>
      <c r="G254" s="30" t="s">
        <v>248</v>
      </c>
      <c r="H254" s="30" t="s">
        <v>15</v>
      </c>
      <c r="I254" s="8">
        <v>0</v>
      </c>
      <c r="J254" s="8">
        <v>0</v>
      </c>
      <c r="K254" s="29">
        <v>-3355964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/>
      <c r="S254" s="8">
        <f>E254+I254+J254+K254+L254+M254+N254+O254+P254</f>
        <v>0</v>
      </c>
    </row>
    <row r="255" spans="1:19" s="10" customFormat="1" ht="16" customHeight="1">
      <c r="A255" s="6" t="s">
        <v>2</v>
      </c>
      <c r="B255" s="39">
        <v>2024</v>
      </c>
      <c r="C255" s="27" t="s">
        <v>385</v>
      </c>
      <c r="D255" s="30" t="s">
        <v>286</v>
      </c>
      <c r="E255" s="5">
        <v>2138888</v>
      </c>
      <c r="F255" s="7" t="s">
        <v>0</v>
      </c>
      <c r="G255" s="30" t="s">
        <v>250</v>
      </c>
      <c r="H255" s="30" t="s">
        <v>15</v>
      </c>
      <c r="I255" s="8">
        <v>0</v>
      </c>
      <c r="J255" s="8">
        <v>0</v>
      </c>
      <c r="K255" s="5">
        <v>-2138888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/>
      <c r="S255" s="8">
        <f>E255+I255+J255+K255+L255+M255+N255+O255+P255</f>
        <v>0</v>
      </c>
    </row>
    <row r="256" spans="1:19" s="10" customFormat="1" ht="16" customHeight="1">
      <c r="A256" s="6" t="s">
        <v>2</v>
      </c>
      <c r="B256" s="39">
        <v>2024</v>
      </c>
      <c r="C256" s="27" t="s">
        <v>385</v>
      </c>
      <c r="D256" s="30" t="s">
        <v>287</v>
      </c>
      <c r="E256" s="5">
        <v>5178800</v>
      </c>
      <c r="F256" s="7" t="s">
        <v>0</v>
      </c>
      <c r="G256" s="30" t="s">
        <v>243</v>
      </c>
      <c r="H256" s="30" t="s">
        <v>15</v>
      </c>
      <c r="I256" s="8">
        <v>0</v>
      </c>
      <c r="J256" s="8">
        <v>0</v>
      </c>
      <c r="K256" s="8">
        <v>-5178800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/>
      <c r="S256" s="8">
        <f>E256+I256+J256+K256+L256+M256+N256+O256+P256</f>
        <v>0</v>
      </c>
    </row>
    <row r="257" spans="1:19" s="10" customFormat="1" ht="16" customHeight="1">
      <c r="A257" s="6" t="s">
        <v>2</v>
      </c>
      <c r="B257" s="39">
        <v>2024</v>
      </c>
      <c r="C257" s="27" t="s">
        <v>385</v>
      </c>
      <c r="D257" s="30" t="s">
        <v>288</v>
      </c>
      <c r="E257" s="5">
        <v>4901737</v>
      </c>
      <c r="F257" s="7" t="s">
        <v>0</v>
      </c>
      <c r="G257" s="30" t="s">
        <v>261</v>
      </c>
      <c r="H257" s="30" t="s">
        <v>15</v>
      </c>
      <c r="I257" s="8">
        <v>0</v>
      </c>
      <c r="J257" s="8">
        <v>0</v>
      </c>
      <c r="K257" s="29">
        <v>-4901737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/>
      <c r="S257" s="8">
        <f>E257+I257+J257+K257+L257+M257+N257+O257+P257</f>
        <v>0</v>
      </c>
    </row>
    <row r="258" spans="1:19" s="10" customFormat="1" ht="16" customHeight="1">
      <c r="A258" s="6" t="s">
        <v>2</v>
      </c>
      <c r="B258" s="39">
        <v>2024</v>
      </c>
      <c r="C258" s="27" t="s">
        <v>385</v>
      </c>
      <c r="D258" s="30" t="s">
        <v>289</v>
      </c>
      <c r="E258" s="5">
        <v>4613332</v>
      </c>
      <c r="F258" s="7" t="s">
        <v>0</v>
      </c>
      <c r="G258" s="30" t="s">
        <v>261</v>
      </c>
      <c r="H258" s="30" t="s">
        <v>15</v>
      </c>
      <c r="I258" s="8">
        <v>0</v>
      </c>
      <c r="J258" s="8">
        <v>0</v>
      </c>
      <c r="K258" s="29">
        <v>-4613332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/>
      <c r="S258" s="8">
        <f>E258+I258+J258+K258+L258+M258+N258+O258+P258</f>
        <v>0</v>
      </c>
    </row>
    <row r="259" spans="1:19" s="10" customFormat="1" ht="16" customHeight="1">
      <c r="A259" s="6" t="s">
        <v>2</v>
      </c>
      <c r="B259" s="39">
        <v>2024</v>
      </c>
      <c r="C259" s="27" t="s">
        <v>385</v>
      </c>
      <c r="D259" s="30" t="s">
        <v>290</v>
      </c>
      <c r="E259" s="5">
        <v>1021300</v>
      </c>
      <c r="F259" s="7" t="s">
        <v>0</v>
      </c>
      <c r="G259" s="30" t="s">
        <v>247</v>
      </c>
      <c r="H259" s="30" t="s">
        <v>15</v>
      </c>
      <c r="I259" s="8">
        <v>0</v>
      </c>
      <c r="J259" s="8">
        <v>0</v>
      </c>
      <c r="K259" s="8">
        <v>-1021300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/>
      <c r="S259" s="8">
        <f>E259+I259+J259+K259+L259+M259+N259+O259+P259</f>
        <v>0</v>
      </c>
    </row>
    <row r="260" spans="1:19" s="10" customFormat="1" ht="16" customHeight="1">
      <c r="A260" s="6" t="s">
        <v>2</v>
      </c>
      <c r="B260" s="39">
        <v>2024</v>
      </c>
      <c r="C260" s="27" t="s">
        <v>385</v>
      </c>
      <c r="D260" s="30" t="s">
        <v>291</v>
      </c>
      <c r="E260" s="5">
        <v>2909066</v>
      </c>
      <c r="F260" s="7" t="s">
        <v>0</v>
      </c>
      <c r="G260" s="30" t="s">
        <v>250</v>
      </c>
      <c r="H260" s="30" t="s">
        <v>15</v>
      </c>
      <c r="I260" s="8">
        <v>0</v>
      </c>
      <c r="J260" s="8">
        <v>0</v>
      </c>
      <c r="K260" s="5">
        <v>-2909066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/>
      <c r="S260" s="8">
        <f>E260+I260+J260+K260+L260+M260+N260+O260+P260</f>
        <v>0</v>
      </c>
    </row>
    <row r="261" spans="1:19" s="10" customFormat="1" ht="16" customHeight="1">
      <c r="A261" s="6" t="s">
        <v>2</v>
      </c>
      <c r="B261" s="26">
        <v>2024</v>
      </c>
      <c r="C261" s="27" t="s">
        <v>385</v>
      </c>
      <c r="D261" s="30" t="s">
        <v>292</v>
      </c>
      <c r="E261" s="5">
        <v>2755030</v>
      </c>
      <c r="F261" s="7" t="s">
        <v>0</v>
      </c>
      <c r="G261" s="30" t="s">
        <v>241</v>
      </c>
      <c r="H261" s="30" t="s">
        <v>15</v>
      </c>
      <c r="I261" s="8">
        <v>0</v>
      </c>
      <c r="J261" s="8">
        <v>0</v>
      </c>
      <c r="K261" s="8">
        <v>-2755030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/>
      <c r="S261" s="8">
        <f>E261+I261+J261+K261+L261+M261+N261+O261+P261</f>
        <v>0</v>
      </c>
    </row>
    <row r="262" spans="1:19" s="10" customFormat="1" ht="16" customHeight="1">
      <c r="A262" s="6" t="s">
        <v>2</v>
      </c>
      <c r="B262" s="26">
        <v>2024</v>
      </c>
      <c r="C262" s="27" t="s">
        <v>385</v>
      </c>
      <c r="D262" s="30" t="s">
        <v>293</v>
      </c>
      <c r="E262" s="5">
        <v>4586171</v>
      </c>
      <c r="F262" s="7" t="s">
        <v>0</v>
      </c>
      <c r="G262" s="30" t="s">
        <v>254</v>
      </c>
      <c r="H262" s="30" t="s">
        <v>15</v>
      </c>
      <c r="I262" s="8">
        <v>0</v>
      </c>
      <c r="J262" s="8">
        <v>0</v>
      </c>
      <c r="K262" s="8">
        <v>-4586171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/>
      <c r="S262" s="8">
        <f>E262+I262+J262+K262+L262+M262+N262+O262+P262</f>
        <v>0</v>
      </c>
    </row>
    <row r="263" spans="1:19" s="10" customFormat="1" ht="16" customHeight="1">
      <c r="A263" s="6" t="s">
        <v>2</v>
      </c>
      <c r="B263" s="26">
        <v>2024</v>
      </c>
      <c r="C263" s="27" t="s">
        <v>385</v>
      </c>
      <c r="D263" s="30" t="s">
        <v>294</v>
      </c>
      <c r="E263" s="5">
        <v>11360105</v>
      </c>
      <c r="F263" s="7" t="s">
        <v>0</v>
      </c>
      <c r="G263" s="30" t="s">
        <v>251</v>
      </c>
      <c r="H263" s="30" t="s">
        <v>15</v>
      </c>
      <c r="I263" s="8">
        <v>0</v>
      </c>
      <c r="J263" s="8">
        <v>0</v>
      </c>
      <c r="K263" s="8">
        <v>-11360105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/>
      <c r="S263" s="8">
        <f>E263+I263+J263+K263+L263+M263+N263+O263+P263</f>
        <v>0</v>
      </c>
    </row>
    <row r="264" spans="1:19" s="10" customFormat="1" ht="16" customHeight="1">
      <c r="A264" s="6" t="s">
        <v>2</v>
      </c>
      <c r="B264" s="26">
        <v>2024</v>
      </c>
      <c r="C264" s="27" t="s">
        <v>385</v>
      </c>
      <c r="D264" s="30" t="s">
        <v>295</v>
      </c>
      <c r="E264" s="5">
        <v>3019900</v>
      </c>
      <c r="F264" s="7" t="s">
        <v>0</v>
      </c>
      <c r="G264" s="30" t="s">
        <v>250</v>
      </c>
      <c r="H264" s="30" t="s">
        <v>15</v>
      </c>
      <c r="I264" s="8">
        <v>0</v>
      </c>
      <c r="J264" s="8">
        <v>0</v>
      </c>
      <c r="K264" s="5">
        <v>-3019900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/>
      <c r="S264" s="8">
        <f>E264+I264+J264+K264+L264+M264+N264+O264+P264</f>
        <v>0</v>
      </c>
    </row>
    <row r="265" spans="1:19" s="10" customFormat="1" ht="16" customHeight="1">
      <c r="A265" s="6" t="s">
        <v>2</v>
      </c>
      <c r="B265" s="26">
        <v>2024</v>
      </c>
      <c r="C265" s="27" t="s">
        <v>385</v>
      </c>
      <c r="D265" s="30" t="s">
        <v>296</v>
      </c>
      <c r="E265" s="5">
        <v>2597500</v>
      </c>
      <c r="F265" s="7" t="s">
        <v>0</v>
      </c>
      <c r="G265" s="30" t="s">
        <v>261</v>
      </c>
      <c r="H265" s="30" t="s">
        <v>15</v>
      </c>
      <c r="I265" s="8">
        <v>0</v>
      </c>
      <c r="J265" s="8">
        <v>0</v>
      </c>
      <c r="K265" s="29">
        <v>-2597500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/>
      <c r="S265" s="8">
        <f>E265+I265+J265+K265+L265+M265+N265+O265+P265</f>
        <v>0</v>
      </c>
    </row>
    <row r="266" spans="1:19" s="10" customFormat="1" ht="16" customHeight="1">
      <c r="A266" s="6" t="s">
        <v>2</v>
      </c>
      <c r="B266" s="26">
        <v>2024</v>
      </c>
      <c r="C266" s="27" t="s">
        <v>385</v>
      </c>
      <c r="D266" s="30" t="s">
        <v>298</v>
      </c>
      <c r="E266" s="5">
        <v>2095985</v>
      </c>
      <c r="F266" s="7" t="s">
        <v>0</v>
      </c>
      <c r="G266" s="30" t="s">
        <v>261</v>
      </c>
      <c r="H266" s="30" t="s">
        <v>15</v>
      </c>
      <c r="I266" s="8">
        <v>0</v>
      </c>
      <c r="J266" s="8">
        <v>0</v>
      </c>
      <c r="K266" s="29">
        <v>-2095985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/>
      <c r="S266" s="8">
        <f>E266+I266+J266+K266+L266+M266+N266+O266+P266</f>
        <v>0</v>
      </c>
    </row>
    <row r="267" spans="1:19" s="10" customFormat="1" ht="16" customHeight="1">
      <c r="A267" s="6" t="s">
        <v>2</v>
      </c>
      <c r="B267" s="26">
        <v>2024</v>
      </c>
      <c r="C267" s="27" t="s">
        <v>385</v>
      </c>
      <c r="D267" s="30" t="s">
        <v>318</v>
      </c>
      <c r="E267" s="5">
        <v>1340000</v>
      </c>
      <c r="F267" s="7" t="s">
        <v>0</v>
      </c>
      <c r="G267" s="30" t="s">
        <v>456</v>
      </c>
      <c r="H267" s="30" t="s">
        <v>15</v>
      </c>
      <c r="I267" s="5">
        <v>0</v>
      </c>
      <c r="J267" s="8">
        <v>0</v>
      </c>
      <c r="K267" s="5">
        <v>-1340000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/>
      <c r="S267" s="8">
        <f>E267+I267+J267+K267+L267+M267+N267+O267+P267</f>
        <v>0</v>
      </c>
    </row>
    <row r="268" spans="1:19" s="10" customFormat="1" ht="16" customHeight="1">
      <c r="A268" s="6" t="s">
        <v>2</v>
      </c>
      <c r="B268" s="26">
        <v>2024</v>
      </c>
      <c r="C268" s="27" t="s">
        <v>385</v>
      </c>
      <c r="D268" s="30" t="s">
        <v>319</v>
      </c>
      <c r="E268" s="5">
        <v>2084000</v>
      </c>
      <c r="F268" s="7" t="s">
        <v>0</v>
      </c>
      <c r="G268" s="30" t="s">
        <v>456</v>
      </c>
      <c r="H268" s="30" t="s">
        <v>15</v>
      </c>
      <c r="I268" s="5">
        <v>0</v>
      </c>
      <c r="J268" s="8">
        <v>0</v>
      </c>
      <c r="K268" s="5">
        <v>-2084000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/>
      <c r="S268" s="8">
        <f>E268+I268+J268+K268+L268+M268+N268+O268+P268</f>
        <v>0</v>
      </c>
    </row>
    <row r="269" spans="1:19" s="10" customFormat="1" ht="16" customHeight="1">
      <c r="A269" s="6" t="s">
        <v>2</v>
      </c>
      <c r="B269" s="39">
        <v>2024</v>
      </c>
      <c r="C269" s="27" t="s">
        <v>386</v>
      </c>
      <c r="D269" s="30" t="s">
        <v>299</v>
      </c>
      <c r="E269" s="5">
        <v>1500000</v>
      </c>
      <c r="F269" s="7" t="s">
        <v>0</v>
      </c>
      <c r="G269" s="30" t="s">
        <v>262</v>
      </c>
      <c r="H269" s="30" t="s">
        <v>15</v>
      </c>
      <c r="I269" s="8">
        <v>0</v>
      </c>
      <c r="J269" s="8">
        <v>0</v>
      </c>
      <c r="K269" s="8">
        <v>0</v>
      </c>
      <c r="L269" s="8">
        <v>0</v>
      </c>
      <c r="M269" s="8">
        <v>-1500000</v>
      </c>
      <c r="N269" s="8">
        <v>0</v>
      </c>
      <c r="O269" s="8">
        <v>0</v>
      </c>
      <c r="P269" s="8">
        <v>0</v>
      </c>
      <c r="Q269" s="8">
        <v>0</v>
      </c>
      <c r="R269" s="8"/>
      <c r="S269" s="8">
        <f>E269+I269+J269+K269+L269+M269+N269+O269+P269</f>
        <v>0</v>
      </c>
    </row>
    <row r="270" spans="1:19" s="10" customFormat="1" ht="16" customHeight="1">
      <c r="A270" s="6" t="s">
        <v>2</v>
      </c>
      <c r="B270" s="39">
        <v>2024</v>
      </c>
      <c r="C270" s="27" t="s">
        <v>387</v>
      </c>
      <c r="D270" s="30" t="s">
        <v>260</v>
      </c>
      <c r="E270" s="5">
        <v>31000</v>
      </c>
      <c r="F270" s="7" t="s">
        <v>0</v>
      </c>
      <c r="G270" s="30" t="s">
        <v>253</v>
      </c>
      <c r="H270" s="30" t="s">
        <v>15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5">
        <v>-31000</v>
      </c>
      <c r="P270" s="8">
        <v>0</v>
      </c>
      <c r="Q270" s="8">
        <v>0</v>
      </c>
      <c r="R270" s="8"/>
      <c r="S270" s="8">
        <f>E270+I270+J270+K270+L270+M270+N270+O270+P270</f>
        <v>0</v>
      </c>
    </row>
    <row r="271" spans="1:19" s="10" customFormat="1" ht="16" customHeight="1">
      <c r="A271" s="6" t="s">
        <v>2</v>
      </c>
      <c r="B271" s="39">
        <v>2024</v>
      </c>
      <c r="C271" s="27" t="s">
        <v>387</v>
      </c>
      <c r="D271" s="30" t="s">
        <v>300</v>
      </c>
      <c r="E271" s="5">
        <v>19000</v>
      </c>
      <c r="F271" s="7" t="s">
        <v>0</v>
      </c>
      <c r="G271" s="30" t="s">
        <v>253</v>
      </c>
      <c r="H271" s="30" t="s">
        <v>15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5">
        <v>-19000</v>
      </c>
      <c r="P271" s="8">
        <v>0</v>
      </c>
      <c r="Q271" s="8">
        <v>0</v>
      </c>
      <c r="R271" s="8"/>
      <c r="S271" s="8">
        <f>E271+I271+J271+K271+L271+M271+N271+O271+P271</f>
        <v>0</v>
      </c>
    </row>
    <row r="272" spans="1:19" s="10" customFormat="1" ht="16" customHeight="1">
      <c r="A272" s="6" t="s">
        <v>2</v>
      </c>
      <c r="B272" s="39">
        <v>2024</v>
      </c>
      <c r="C272" s="27" t="s">
        <v>387</v>
      </c>
      <c r="D272" s="30" t="s">
        <v>259</v>
      </c>
      <c r="E272" s="5">
        <v>27000</v>
      </c>
      <c r="F272" s="7" t="s">
        <v>0</v>
      </c>
      <c r="G272" s="30" t="s">
        <v>253</v>
      </c>
      <c r="H272" s="30" t="s">
        <v>15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5">
        <v>-27000</v>
      </c>
      <c r="P272" s="8">
        <v>0</v>
      </c>
      <c r="Q272" s="8">
        <v>0</v>
      </c>
      <c r="R272" s="8"/>
      <c r="S272" s="8">
        <f>E272+I272+J272+K272+L272+M272+N272+O272+P272</f>
        <v>0</v>
      </c>
    </row>
    <row r="273" spans="1:19" s="10" customFormat="1" ht="16" customHeight="1">
      <c r="A273" s="6" t="s">
        <v>2</v>
      </c>
      <c r="B273" s="39">
        <v>2024</v>
      </c>
      <c r="C273" s="27" t="s">
        <v>387</v>
      </c>
      <c r="D273" s="30" t="s">
        <v>301</v>
      </c>
      <c r="E273" s="5">
        <v>175000</v>
      </c>
      <c r="F273" s="7" t="s">
        <v>0</v>
      </c>
      <c r="G273" s="30" t="s">
        <v>253</v>
      </c>
      <c r="H273" s="30" t="s">
        <v>15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5">
        <v>-175000</v>
      </c>
      <c r="P273" s="8">
        <v>0</v>
      </c>
      <c r="Q273" s="8">
        <v>0</v>
      </c>
      <c r="R273" s="8"/>
      <c r="S273" s="8">
        <f>E273+I273+J273+K273+L273+M273+N273+O273+P273</f>
        <v>0</v>
      </c>
    </row>
    <row r="274" spans="1:19" s="10" customFormat="1" ht="16" customHeight="1">
      <c r="A274" s="6" t="s">
        <v>2</v>
      </c>
      <c r="B274" s="39">
        <v>2024</v>
      </c>
      <c r="C274" s="27" t="s">
        <v>387</v>
      </c>
      <c r="D274" s="30" t="s">
        <v>302</v>
      </c>
      <c r="E274" s="5">
        <v>80000</v>
      </c>
      <c r="F274" s="7" t="s">
        <v>0</v>
      </c>
      <c r="G274" s="30" t="s">
        <v>253</v>
      </c>
      <c r="H274" s="30" t="s">
        <v>15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5">
        <v>-80000</v>
      </c>
      <c r="P274" s="8">
        <v>0</v>
      </c>
      <c r="Q274" s="8">
        <v>0</v>
      </c>
      <c r="R274" s="8"/>
      <c r="S274" s="8">
        <f>E274+I274+J274+K274+L274+M274+N274+O274+P274</f>
        <v>0</v>
      </c>
    </row>
    <row r="275" spans="1:19" s="10" customFormat="1" ht="16" customHeight="1">
      <c r="A275" s="6" t="s">
        <v>2</v>
      </c>
      <c r="B275" s="39">
        <v>2024</v>
      </c>
      <c r="C275" s="27" t="s">
        <v>387</v>
      </c>
      <c r="D275" s="30" t="s">
        <v>311</v>
      </c>
      <c r="E275" s="5">
        <v>2180000</v>
      </c>
      <c r="F275" s="7" t="s">
        <v>0</v>
      </c>
      <c r="G275" s="30" t="s">
        <v>483</v>
      </c>
      <c r="H275" s="30" t="s">
        <v>15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-2180000</v>
      </c>
      <c r="P275" s="8">
        <v>0</v>
      </c>
      <c r="Q275" s="8">
        <v>0</v>
      </c>
      <c r="R275" s="8"/>
      <c r="S275" s="8">
        <f>E275+I275+J275+K275+L275+M275+N275+O275+P275</f>
        <v>0</v>
      </c>
    </row>
    <row r="276" spans="1:19" s="10" customFormat="1" ht="16" customHeight="1">
      <c r="A276" s="6" t="s">
        <v>2</v>
      </c>
      <c r="B276" s="39">
        <v>2024</v>
      </c>
      <c r="C276" s="27" t="s">
        <v>484</v>
      </c>
      <c r="D276" s="30" t="s">
        <v>458</v>
      </c>
      <c r="E276" s="5">
        <v>551000</v>
      </c>
      <c r="F276" s="7" t="s">
        <v>0</v>
      </c>
      <c r="G276" s="30" t="s">
        <v>456</v>
      </c>
      <c r="H276" s="30" t="s">
        <v>15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-551000</v>
      </c>
      <c r="Q276" s="8">
        <v>0</v>
      </c>
      <c r="R276" s="8"/>
      <c r="S276" s="8">
        <f>E276+I276+J276+K276+L276+M276+N276+O276+P276</f>
        <v>0</v>
      </c>
    </row>
    <row r="277" spans="1:19" s="10" customFormat="1" ht="16" customHeight="1">
      <c r="A277" s="6" t="s">
        <v>2</v>
      </c>
      <c r="B277" s="39">
        <v>2024</v>
      </c>
      <c r="C277" s="27" t="s">
        <v>484</v>
      </c>
      <c r="D277" s="30" t="s">
        <v>459</v>
      </c>
      <c r="E277" s="5">
        <v>194000</v>
      </c>
      <c r="F277" s="7" t="s">
        <v>0</v>
      </c>
      <c r="G277" s="30" t="s">
        <v>456</v>
      </c>
      <c r="H277" s="30" t="s">
        <v>15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-194000</v>
      </c>
      <c r="Q277" s="8">
        <v>0</v>
      </c>
      <c r="R277" s="8"/>
      <c r="S277" s="8">
        <f>E277+I277+J277+K277+L277+M277+N277+O277+P277</f>
        <v>0</v>
      </c>
    </row>
    <row r="278" spans="1:19" s="10" customFormat="1" ht="16" customHeight="1">
      <c r="A278" s="6" t="s">
        <v>2</v>
      </c>
      <c r="B278" s="39">
        <v>2024</v>
      </c>
      <c r="C278" s="27" t="s">
        <v>484</v>
      </c>
      <c r="D278" s="30" t="s">
        <v>460</v>
      </c>
      <c r="E278" s="5">
        <v>97000</v>
      </c>
      <c r="F278" s="7" t="s">
        <v>0</v>
      </c>
      <c r="G278" s="30" t="s">
        <v>456</v>
      </c>
      <c r="H278" s="30" t="s">
        <v>15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-97000</v>
      </c>
      <c r="Q278" s="8">
        <v>0</v>
      </c>
      <c r="R278" s="8"/>
      <c r="S278" s="8">
        <f>E278+I278+J278+K278+L278+M278+N278+O278+P278</f>
        <v>0</v>
      </c>
    </row>
    <row r="279" spans="1:19" s="10" customFormat="1" ht="16" customHeight="1">
      <c r="A279" s="6" t="s">
        <v>2</v>
      </c>
      <c r="B279" s="39">
        <v>2024</v>
      </c>
      <c r="C279" s="27" t="s">
        <v>484</v>
      </c>
      <c r="D279" s="30" t="s">
        <v>461</v>
      </c>
      <c r="E279" s="5">
        <v>196000</v>
      </c>
      <c r="F279" s="7" t="s">
        <v>0</v>
      </c>
      <c r="G279" s="30" t="s">
        <v>456</v>
      </c>
      <c r="H279" s="30" t="s">
        <v>15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-196000</v>
      </c>
      <c r="Q279" s="8">
        <v>0</v>
      </c>
      <c r="R279" s="8"/>
      <c r="S279" s="8">
        <f>E279+I279+J279+K279+L279+M279+N279+O279+P279</f>
        <v>0</v>
      </c>
    </row>
    <row r="280" spans="1:19" s="10" customFormat="1" ht="16" customHeight="1">
      <c r="A280" s="6" t="s">
        <v>2</v>
      </c>
      <c r="B280" s="39">
        <v>2024</v>
      </c>
      <c r="C280" s="27" t="s">
        <v>484</v>
      </c>
      <c r="D280" s="30" t="s">
        <v>462</v>
      </c>
      <c r="E280" s="5">
        <v>14990</v>
      </c>
      <c r="F280" s="7" t="s">
        <v>0</v>
      </c>
      <c r="G280" s="30" t="s">
        <v>456</v>
      </c>
      <c r="H280" s="30" t="s">
        <v>15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-14990</v>
      </c>
      <c r="Q280" s="8">
        <v>0</v>
      </c>
      <c r="R280" s="8"/>
      <c r="S280" s="8">
        <f>E280+I280+J280+K280+L280+M280+N280+O280+P280</f>
        <v>0</v>
      </c>
    </row>
    <row r="281" spans="1:19" s="10" customFormat="1" ht="16" customHeight="1">
      <c r="A281" s="6" t="s">
        <v>2</v>
      </c>
      <c r="B281" s="39">
        <v>2024</v>
      </c>
      <c r="C281" s="27" t="s">
        <v>484</v>
      </c>
      <c r="D281" s="30" t="s">
        <v>463</v>
      </c>
      <c r="E281" s="5">
        <v>60000</v>
      </c>
      <c r="F281" s="7" t="s">
        <v>0</v>
      </c>
      <c r="G281" s="30" t="s">
        <v>456</v>
      </c>
      <c r="H281" s="30" t="s">
        <v>15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-60000</v>
      </c>
      <c r="Q281" s="8">
        <v>0</v>
      </c>
      <c r="R281" s="8"/>
      <c r="S281" s="8">
        <f>E281+I281+J281+K281+L281+M281+N281+O281+P281</f>
        <v>0</v>
      </c>
    </row>
    <row r="282" spans="1:19" s="10" customFormat="1" ht="16" customHeight="1">
      <c r="A282" s="6" t="s">
        <v>2</v>
      </c>
      <c r="B282" s="39">
        <v>2024</v>
      </c>
      <c r="C282" s="27" t="s">
        <v>484</v>
      </c>
      <c r="D282" s="30" t="s">
        <v>464</v>
      </c>
      <c r="E282" s="5">
        <v>400000</v>
      </c>
      <c r="F282" s="7" t="s">
        <v>0</v>
      </c>
      <c r="G282" s="30" t="s">
        <v>456</v>
      </c>
      <c r="H282" s="30" t="s">
        <v>15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-400000</v>
      </c>
      <c r="Q282" s="8">
        <v>0</v>
      </c>
      <c r="R282" s="8"/>
      <c r="S282" s="8">
        <f>E282+I282+J282+K282+L282+M282+N282+O282+P282</f>
        <v>0</v>
      </c>
    </row>
    <row r="283" spans="1:19" s="10" customFormat="1" ht="16" customHeight="1">
      <c r="A283" s="6" t="s">
        <v>2</v>
      </c>
      <c r="B283" s="39">
        <v>2024</v>
      </c>
      <c r="C283" s="27" t="s">
        <v>484</v>
      </c>
      <c r="D283" s="30" t="s">
        <v>465</v>
      </c>
      <c r="E283" s="5">
        <v>79500</v>
      </c>
      <c r="F283" s="7" t="s">
        <v>0</v>
      </c>
      <c r="G283" s="30" t="s">
        <v>456</v>
      </c>
      <c r="H283" s="30" t="s">
        <v>15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-79500</v>
      </c>
      <c r="Q283" s="8">
        <v>0</v>
      </c>
      <c r="R283" s="8"/>
      <c r="S283" s="8">
        <f>E283+I283+J283+K283+L283+M283+N283+O283+P283</f>
        <v>0</v>
      </c>
    </row>
    <row r="284" spans="1:19" s="10" customFormat="1" ht="16" customHeight="1">
      <c r="A284" s="6" t="s">
        <v>2</v>
      </c>
      <c r="B284" s="39">
        <v>2024</v>
      </c>
      <c r="C284" s="27" t="s">
        <v>484</v>
      </c>
      <c r="D284" s="30" t="s">
        <v>466</v>
      </c>
      <c r="E284" s="5">
        <v>150000</v>
      </c>
      <c r="F284" s="7" t="s">
        <v>0</v>
      </c>
      <c r="G284" s="30" t="s">
        <v>456</v>
      </c>
      <c r="H284" s="30" t="s">
        <v>15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-150000</v>
      </c>
      <c r="Q284" s="8">
        <v>0</v>
      </c>
      <c r="R284" s="8"/>
      <c r="S284" s="8">
        <f>E284+I284+J284+K284+L284+M284+N284+O284+P284</f>
        <v>0</v>
      </c>
    </row>
    <row r="285" spans="1:19" s="10" customFormat="1" ht="16" customHeight="1">
      <c r="A285" s="6" t="s">
        <v>2</v>
      </c>
      <c r="B285" s="39">
        <v>2024</v>
      </c>
      <c r="C285" s="27" t="s">
        <v>484</v>
      </c>
      <c r="D285" s="30" t="s">
        <v>467</v>
      </c>
      <c r="E285" s="5">
        <v>150000</v>
      </c>
      <c r="F285" s="7" t="s">
        <v>0</v>
      </c>
      <c r="G285" s="30" t="s">
        <v>456</v>
      </c>
      <c r="H285" s="30" t="s">
        <v>15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-150000</v>
      </c>
      <c r="Q285" s="8">
        <v>0</v>
      </c>
      <c r="R285" s="8"/>
      <c r="S285" s="8">
        <f>E285+I285+J285+K285+L285+M285+N285+O285+P285</f>
        <v>0</v>
      </c>
    </row>
    <row r="286" spans="1:19" s="10" customFormat="1" ht="16" customHeight="1">
      <c r="A286" s="6" t="s">
        <v>2</v>
      </c>
      <c r="B286" s="39">
        <v>2024</v>
      </c>
      <c r="C286" s="27" t="s">
        <v>484</v>
      </c>
      <c r="D286" s="30" t="s">
        <v>468</v>
      </c>
      <c r="E286" s="5">
        <v>150000</v>
      </c>
      <c r="F286" s="7" t="s">
        <v>0</v>
      </c>
      <c r="G286" s="30" t="s">
        <v>456</v>
      </c>
      <c r="H286" s="30" t="s">
        <v>15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-150000</v>
      </c>
      <c r="Q286" s="8">
        <v>0</v>
      </c>
      <c r="R286" s="8"/>
      <c r="S286" s="8">
        <f>E286+I286+J286+K286+L286+M286+N286+O286+P286</f>
        <v>0</v>
      </c>
    </row>
    <row r="287" spans="1:19" s="10" customFormat="1" ht="16" customHeight="1">
      <c r="A287" s="6" t="s">
        <v>2</v>
      </c>
      <c r="B287" s="39">
        <v>2024</v>
      </c>
      <c r="C287" s="27" t="s">
        <v>484</v>
      </c>
      <c r="D287" s="30" t="s">
        <v>469</v>
      </c>
      <c r="E287" s="5">
        <v>150000</v>
      </c>
      <c r="F287" s="7" t="s">
        <v>0</v>
      </c>
      <c r="G287" s="30" t="s">
        <v>456</v>
      </c>
      <c r="H287" s="30" t="s">
        <v>15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-150000</v>
      </c>
      <c r="Q287" s="8">
        <v>0</v>
      </c>
      <c r="R287" s="8"/>
      <c r="S287" s="8">
        <f>E287+I287+J287+K287+L287+M287+N287+O287+P287</f>
        <v>0</v>
      </c>
    </row>
    <row r="288" spans="1:19" s="10" customFormat="1" ht="16" customHeight="1">
      <c r="A288" s="6" t="s">
        <v>2</v>
      </c>
      <c r="B288" s="39">
        <v>2024</v>
      </c>
      <c r="C288" s="27" t="s">
        <v>484</v>
      </c>
      <c r="D288" s="30" t="s">
        <v>470</v>
      </c>
      <c r="E288" s="5">
        <v>150000</v>
      </c>
      <c r="F288" s="7" t="s">
        <v>0</v>
      </c>
      <c r="G288" s="30" t="s">
        <v>456</v>
      </c>
      <c r="H288" s="30" t="s">
        <v>15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-150000</v>
      </c>
      <c r="Q288" s="8">
        <v>0</v>
      </c>
      <c r="R288" s="8"/>
      <c r="S288" s="8">
        <f>E288+I288+J288+K288+L288+M288+N288+O288+P288</f>
        <v>0</v>
      </c>
    </row>
    <row r="289" spans="1:19" s="10" customFormat="1" ht="16" customHeight="1">
      <c r="A289" s="6" t="s">
        <v>2</v>
      </c>
      <c r="B289" s="39">
        <v>2024</v>
      </c>
      <c r="C289" s="27" t="s">
        <v>484</v>
      </c>
      <c r="D289" s="30" t="s">
        <v>471</v>
      </c>
      <c r="E289" s="5">
        <v>150000</v>
      </c>
      <c r="F289" s="7" t="s">
        <v>0</v>
      </c>
      <c r="G289" s="30" t="s">
        <v>456</v>
      </c>
      <c r="H289" s="30" t="s">
        <v>15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-150000</v>
      </c>
      <c r="Q289" s="8">
        <v>0</v>
      </c>
      <c r="R289" s="8"/>
      <c r="S289" s="8">
        <f>E289+I289+J289+K289+L289+M289+N289+O289+P289</f>
        <v>0</v>
      </c>
    </row>
    <row r="290" spans="1:19" s="10" customFormat="1" ht="16" customHeight="1">
      <c r="A290" s="6" t="s">
        <v>2</v>
      </c>
      <c r="B290" s="39">
        <v>2024</v>
      </c>
      <c r="C290" s="27" t="s">
        <v>484</v>
      </c>
      <c r="D290" s="30" t="s">
        <v>472</v>
      </c>
      <c r="E290" s="5">
        <v>150000</v>
      </c>
      <c r="F290" s="7" t="s">
        <v>0</v>
      </c>
      <c r="G290" s="30" t="s">
        <v>456</v>
      </c>
      <c r="H290" s="30" t="s">
        <v>15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-150000</v>
      </c>
      <c r="Q290" s="8">
        <v>0</v>
      </c>
      <c r="R290" s="8"/>
      <c r="S290" s="8">
        <f>E290+I290+J290+K290+L290+M290+N290+O290+P290</f>
        <v>0</v>
      </c>
    </row>
    <row r="291" spans="1:19" s="10" customFormat="1" ht="16" customHeight="1">
      <c r="A291" s="6" t="s">
        <v>2</v>
      </c>
      <c r="B291" s="39">
        <v>2024</v>
      </c>
      <c r="C291" s="27" t="s">
        <v>484</v>
      </c>
      <c r="D291" s="30" t="s">
        <v>473</v>
      </c>
      <c r="E291" s="5">
        <v>150000</v>
      </c>
      <c r="F291" s="7" t="s">
        <v>0</v>
      </c>
      <c r="G291" s="30" t="s">
        <v>456</v>
      </c>
      <c r="H291" s="30" t="s">
        <v>15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-150000</v>
      </c>
      <c r="Q291" s="8">
        <v>0</v>
      </c>
      <c r="R291" s="8"/>
      <c r="S291" s="8">
        <f>E291+I291+J291+K291+L291+M291+N291+O291+P291</f>
        <v>0</v>
      </c>
    </row>
    <row r="292" spans="1:19" s="10" customFormat="1" ht="16" customHeight="1">
      <c r="A292" s="6" t="s">
        <v>2</v>
      </c>
      <c r="B292" s="39">
        <v>2024</v>
      </c>
      <c r="C292" s="27" t="s">
        <v>484</v>
      </c>
      <c r="D292" s="30" t="s">
        <v>474</v>
      </c>
      <c r="E292" s="5">
        <v>150000</v>
      </c>
      <c r="F292" s="7" t="s">
        <v>0</v>
      </c>
      <c r="G292" s="30" t="s">
        <v>456</v>
      </c>
      <c r="H292" s="30" t="s">
        <v>15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-150000</v>
      </c>
      <c r="Q292" s="8">
        <v>0</v>
      </c>
      <c r="R292" s="8"/>
      <c r="S292" s="8">
        <f>E292+I292+J292+K292+L292+M292+N292+O292+P292</f>
        <v>0</v>
      </c>
    </row>
    <row r="293" spans="1:19" s="10" customFormat="1" ht="16" customHeight="1">
      <c r="A293" s="6" t="s">
        <v>2</v>
      </c>
      <c r="B293" s="39">
        <v>2024</v>
      </c>
      <c r="C293" s="27" t="s">
        <v>484</v>
      </c>
      <c r="D293" s="30" t="s">
        <v>475</v>
      </c>
      <c r="E293" s="5">
        <v>2000000</v>
      </c>
      <c r="F293" s="7" t="s">
        <v>0</v>
      </c>
      <c r="G293" s="30" t="s">
        <v>456</v>
      </c>
      <c r="H293" s="30" t="s">
        <v>15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-2000000</v>
      </c>
      <c r="Q293" s="8">
        <v>0</v>
      </c>
      <c r="R293" s="8"/>
      <c r="S293" s="8">
        <f>E293+I293+J293+K293+L293+M293+N293+O293+P293</f>
        <v>0</v>
      </c>
    </row>
    <row r="294" spans="1:19" s="10" customFormat="1" ht="16" customHeight="1">
      <c r="A294" s="6" t="s">
        <v>2</v>
      </c>
      <c r="B294" s="39">
        <v>2024</v>
      </c>
      <c r="C294" s="27" t="s">
        <v>21</v>
      </c>
      <c r="D294" s="30" t="s">
        <v>388</v>
      </c>
      <c r="E294" s="42">
        <v>7397530</v>
      </c>
      <c r="F294" s="7" t="s">
        <v>0</v>
      </c>
      <c r="G294" s="30" t="s">
        <v>251</v>
      </c>
      <c r="H294" s="30" t="s">
        <v>15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-7397530</v>
      </c>
      <c r="Q294" s="8">
        <v>0</v>
      </c>
      <c r="R294" s="8"/>
      <c r="S294" s="8">
        <f>E294+I294+J294+K294+L294+M294+N294+O294+P294</f>
        <v>0</v>
      </c>
    </row>
    <row r="295" spans="1:19" s="10" customFormat="1" ht="16" customHeight="1">
      <c r="A295" s="6" t="s">
        <v>2</v>
      </c>
      <c r="B295" s="39">
        <v>2024</v>
      </c>
      <c r="C295" s="27" t="s">
        <v>21</v>
      </c>
      <c r="D295" s="30" t="s">
        <v>388</v>
      </c>
      <c r="E295" s="42">
        <v>1717810</v>
      </c>
      <c r="F295" s="7" t="s">
        <v>0</v>
      </c>
      <c r="G295" s="30" t="s">
        <v>244</v>
      </c>
      <c r="H295" s="30" t="s">
        <v>15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-1717810</v>
      </c>
      <c r="Q295" s="8">
        <v>0</v>
      </c>
      <c r="R295" s="8"/>
      <c r="S295" s="8">
        <f>E295+I295+J295+K295+L295+M295+N295+O295+P295</f>
        <v>0</v>
      </c>
    </row>
    <row r="296" spans="1:19" s="10" customFormat="1" ht="16" customHeight="1">
      <c r="A296" s="6" t="s">
        <v>2</v>
      </c>
      <c r="B296" s="39">
        <v>2024</v>
      </c>
      <c r="C296" s="27" t="s">
        <v>21</v>
      </c>
      <c r="D296" s="30" t="s">
        <v>388</v>
      </c>
      <c r="E296" s="42">
        <v>946000</v>
      </c>
      <c r="F296" s="7" t="s">
        <v>0</v>
      </c>
      <c r="G296" s="30" t="s">
        <v>242</v>
      </c>
      <c r="H296" s="30" t="s">
        <v>15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-946000</v>
      </c>
      <c r="Q296" s="8">
        <v>0</v>
      </c>
      <c r="R296" s="8"/>
      <c r="S296" s="8">
        <f>E296+I296+J296+K296+L296+M296+N296+O296+P296</f>
        <v>0</v>
      </c>
    </row>
    <row r="297" spans="1:19" s="10" customFormat="1" ht="16" customHeight="1">
      <c r="A297" s="6" t="s">
        <v>2</v>
      </c>
      <c r="B297" s="39">
        <v>2024</v>
      </c>
      <c r="C297" s="27" t="s">
        <v>21</v>
      </c>
      <c r="D297" s="30" t="s">
        <v>388</v>
      </c>
      <c r="E297" s="42">
        <v>384475</v>
      </c>
      <c r="F297" s="7" t="s">
        <v>0</v>
      </c>
      <c r="G297" s="30" t="s">
        <v>247</v>
      </c>
      <c r="H297" s="30" t="s">
        <v>15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-380500</v>
      </c>
      <c r="P297" s="8">
        <v>-3975</v>
      </c>
      <c r="Q297" s="8">
        <v>0</v>
      </c>
      <c r="R297" s="8"/>
      <c r="S297" s="8">
        <f>E297+I297+J297+K297+L297+M297+N297+O297+P297</f>
        <v>0</v>
      </c>
    </row>
    <row r="298" spans="1:19" s="10" customFormat="1" ht="16" customHeight="1">
      <c r="A298" s="6" t="s">
        <v>2</v>
      </c>
      <c r="B298" s="39">
        <v>2024</v>
      </c>
      <c r="C298" s="27" t="s">
        <v>21</v>
      </c>
      <c r="D298" s="30" t="s">
        <v>388</v>
      </c>
      <c r="E298" s="42">
        <v>44322</v>
      </c>
      <c r="F298" s="7" t="s">
        <v>0</v>
      </c>
      <c r="G298" s="30" t="s">
        <v>245</v>
      </c>
      <c r="H298" s="30" t="s">
        <v>15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-44322</v>
      </c>
      <c r="Q298" s="8">
        <v>0</v>
      </c>
      <c r="R298" s="8"/>
      <c r="S298" s="8">
        <f>E298+I298+J298+K298+L298+M298+N298+O298+P298</f>
        <v>0</v>
      </c>
    </row>
    <row r="299" spans="1:19" s="10" customFormat="1" ht="16" customHeight="1">
      <c r="A299" s="6" t="s">
        <v>2</v>
      </c>
      <c r="B299" s="39">
        <v>2024</v>
      </c>
      <c r="C299" s="27" t="s">
        <v>21</v>
      </c>
      <c r="D299" s="30" t="s">
        <v>388</v>
      </c>
      <c r="E299" s="42">
        <v>4448800</v>
      </c>
      <c r="F299" s="7" t="s">
        <v>0</v>
      </c>
      <c r="G299" s="30" t="s">
        <v>250</v>
      </c>
      <c r="H299" s="30" t="s">
        <v>15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-4448800</v>
      </c>
      <c r="Q299" s="8">
        <v>0</v>
      </c>
      <c r="R299" s="8"/>
      <c r="S299" s="8">
        <f>E299+I299+J299+K299+L299+M299+N299+O299+P299</f>
        <v>0</v>
      </c>
    </row>
    <row r="300" spans="1:19" s="10" customFormat="1" ht="16" customHeight="1">
      <c r="A300" s="6" t="s">
        <v>2</v>
      </c>
      <c r="B300" s="39">
        <v>2024</v>
      </c>
      <c r="C300" s="27" t="s">
        <v>21</v>
      </c>
      <c r="D300" s="30" t="s">
        <v>388</v>
      </c>
      <c r="E300" s="42">
        <v>1965606</v>
      </c>
      <c r="F300" s="7" t="s">
        <v>0</v>
      </c>
      <c r="G300" s="30" t="s">
        <v>239</v>
      </c>
      <c r="H300" s="30" t="s">
        <v>15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-1965606</v>
      </c>
      <c r="Q300" s="8">
        <v>0</v>
      </c>
      <c r="R300" s="8"/>
      <c r="S300" s="8">
        <f>E300+I300+J300+K300+L300+M300+N300+O300+P300</f>
        <v>0</v>
      </c>
    </row>
    <row r="301" spans="1:19" s="10" customFormat="1" ht="16" customHeight="1">
      <c r="A301" s="6" t="s">
        <v>2</v>
      </c>
      <c r="B301" s="39">
        <v>2024</v>
      </c>
      <c r="C301" s="27" t="s">
        <v>21</v>
      </c>
      <c r="D301" s="30" t="s">
        <v>388</v>
      </c>
      <c r="E301" s="42">
        <v>3466605</v>
      </c>
      <c r="F301" s="7" t="s">
        <v>0</v>
      </c>
      <c r="G301" s="30" t="s">
        <v>241</v>
      </c>
      <c r="H301" s="30" t="s">
        <v>15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-3466605</v>
      </c>
      <c r="Q301" s="8">
        <v>0</v>
      </c>
      <c r="R301" s="8"/>
      <c r="S301" s="8">
        <f>E301+I301+J301+K301+L301+M301+N301+O301+P301</f>
        <v>0</v>
      </c>
    </row>
    <row r="302" spans="1:19" s="10" customFormat="1" ht="16" customHeight="1">
      <c r="A302" s="6" t="s">
        <v>2</v>
      </c>
      <c r="B302" s="39">
        <v>2024</v>
      </c>
      <c r="C302" s="27" t="s">
        <v>21</v>
      </c>
      <c r="D302" s="30" t="s">
        <v>388</v>
      </c>
      <c r="E302" s="42">
        <v>35440000</v>
      </c>
      <c r="F302" s="7" t="s">
        <v>0</v>
      </c>
      <c r="G302" s="30" t="s">
        <v>389</v>
      </c>
      <c r="H302" s="30" t="s">
        <v>15</v>
      </c>
      <c r="I302" s="8">
        <v>0</v>
      </c>
      <c r="J302" s="8">
        <v>-34913500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/>
      <c r="S302" s="8">
        <f>E302+I302+J302+K302+L302+M302+N302+O302+P302</f>
        <v>526500</v>
      </c>
    </row>
    <row r="303" spans="1:19" s="10" customFormat="1" ht="16" customHeight="1">
      <c r="A303" s="6" t="s">
        <v>2</v>
      </c>
      <c r="B303" s="39">
        <v>2024</v>
      </c>
      <c r="C303" s="27" t="s">
        <v>21</v>
      </c>
      <c r="D303" s="30" t="s">
        <v>388</v>
      </c>
      <c r="E303" s="42">
        <v>16823</v>
      </c>
      <c r="F303" s="7" t="s">
        <v>0</v>
      </c>
      <c r="G303" s="30" t="s">
        <v>240</v>
      </c>
      <c r="H303" s="30" t="s">
        <v>15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-16823</v>
      </c>
      <c r="Q303" s="8">
        <v>0</v>
      </c>
      <c r="R303" s="8"/>
      <c r="S303" s="8">
        <f>E303+I303+J303+K303+L303+M303+N303+O303+P303</f>
        <v>0</v>
      </c>
    </row>
    <row r="304" spans="1:19" s="10" customFormat="1" ht="16" customHeight="1">
      <c r="A304" s="6" t="s">
        <v>2</v>
      </c>
      <c r="B304" s="39">
        <v>2024</v>
      </c>
      <c r="C304" s="27" t="s">
        <v>21</v>
      </c>
      <c r="D304" s="30" t="s">
        <v>388</v>
      </c>
      <c r="E304" s="42">
        <v>634400</v>
      </c>
      <c r="F304" s="7" t="s">
        <v>0</v>
      </c>
      <c r="G304" s="30" t="s">
        <v>237</v>
      </c>
      <c r="H304" s="30" t="s">
        <v>15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-634400</v>
      </c>
      <c r="Q304" s="8">
        <v>0</v>
      </c>
      <c r="R304" s="8"/>
      <c r="S304" s="8">
        <f>E304+I304+J304+K304+L304+M304+N304+O304+P304</f>
        <v>0</v>
      </c>
    </row>
    <row r="305" spans="1:19" s="10" customFormat="1" ht="16" customHeight="1">
      <c r="A305" s="6" t="s">
        <v>2</v>
      </c>
      <c r="B305" s="39">
        <v>2024</v>
      </c>
      <c r="C305" s="27" t="s">
        <v>21</v>
      </c>
      <c r="D305" s="30" t="s">
        <v>390</v>
      </c>
      <c r="E305" s="42">
        <v>4898973</v>
      </c>
      <c r="F305" s="7" t="s">
        <v>0</v>
      </c>
      <c r="G305" s="30" t="s">
        <v>246</v>
      </c>
      <c r="H305" s="30" t="s">
        <v>15</v>
      </c>
      <c r="I305" s="8">
        <v>0</v>
      </c>
      <c r="J305" s="8">
        <v>0</v>
      </c>
      <c r="K305" s="8">
        <v>-3568545</v>
      </c>
      <c r="L305" s="8">
        <v>0</v>
      </c>
      <c r="M305" s="8">
        <v>0</v>
      </c>
      <c r="N305" s="8">
        <v>0</v>
      </c>
      <c r="O305" s="8">
        <v>0</v>
      </c>
      <c r="P305" s="8">
        <v>-1330428</v>
      </c>
      <c r="Q305" s="8">
        <v>0</v>
      </c>
      <c r="R305" s="8"/>
      <c r="S305" s="8">
        <f>E305+I305+J305+K305+L305+M305+N305+O305+P305</f>
        <v>0</v>
      </c>
    </row>
    <row r="306" spans="1:19" s="10" customFormat="1" ht="16" customHeight="1">
      <c r="A306" s="6" t="s">
        <v>2</v>
      </c>
      <c r="B306" s="39">
        <v>2024</v>
      </c>
      <c r="C306" s="27" t="s">
        <v>21</v>
      </c>
      <c r="D306" s="30" t="s">
        <v>388</v>
      </c>
      <c r="E306" s="42">
        <v>23821424</v>
      </c>
      <c r="F306" s="7" t="s">
        <v>0</v>
      </c>
      <c r="G306" s="30" t="s">
        <v>243</v>
      </c>
      <c r="H306" s="30" t="s">
        <v>15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-23821424</v>
      </c>
      <c r="Q306" s="8">
        <v>0</v>
      </c>
      <c r="R306" s="8"/>
      <c r="S306" s="8">
        <f>E306+I306+J306+K306+L306+M306+N306+O306+P306</f>
        <v>0</v>
      </c>
    </row>
    <row r="307" spans="1:19" s="10" customFormat="1" ht="16" customHeight="1">
      <c r="A307" s="6" t="s">
        <v>2</v>
      </c>
      <c r="B307" s="39">
        <v>2024</v>
      </c>
      <c r="C307" s="27" t="s">
        <v>21</v>
      </c>
      <c r="D307" s="30" t="s">
        <v>388</v>
      </c>
      <c r="E307" s="42">
        <v>32037507</v>
      </c>
      <c r="F307" s="7" t="s">
        <v>0</v>
      </c>
      <c r="G307" s="30" t="s">
        <v>238</v>
      </c>
      <c r="H307" s="30" t="s">
        <v>15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-32037507</v>
      </c>
      <c r="Q307" s="8">
        <v>0</v>
      </c>
      <c r="R307" s="8"/>
      <c r="S307" s="8">
        <f>E307+I307+J307+K307+L307+M307+N307+O307+P307</f>
        <v>0</v>
      </c>
    </row>
    <row r="308" spans="1:19" s="10" customFormat="1" ht="16" customHeight="1">
      <c r="A308" s="6" t="s">
        <v>2</v>
      </c>
      <c r="B308" s="39">
        <v>2024</v>
      </c>
      <c r="C308" s="27" t="s">
        <v>21</v>
      </c>
      <c r="D308" s="30" t="s">
        <v>388</v>
      </c>
      <c r="E308" s="42">
        <v>96693309</v>
      </c>
      <c r="F308" s="7" t="s">
        <v>0</v>
      </c>
      <c r="G308" s="30" t="s">
        <v>391</v>
      </c>
      <c r="H308" s="30" t="s">
        <v>15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-96693309</v>
      </c>
      <c r="Q308" s="8">
        <v>0</v>
      </c>
      <c r="R308" s="8"/>
      <c r="S308" s="8">
        <f>E308+I308+J308+K308+L308+M308+N308+O308+P308</f>
        <v>0</v>
      </c>
    </row>
    <row r="309" spans="1:19" s="10" customFormat="1" ht="16" customHeight="1">
      <c r="A309" s="6" t="s">
        <v>2</v>
      </c>
      <c r="B309" s="39">
        <v>2024</v>
      </c>
      <c r="C309" s="27" t="s">
        <v>21</v>
      </c>
      <c r="D309" s="30" t="s">
        <v>388</v>
      </c>
      <c r="E309" s="42">
        <v>15573978</v>
      </c>
      <c r="F309" s="7" t="s">
        <v>0</v>
      </c>
      <c r="G309" s="30" t="s">
        <v>249</v>
      </c>
      <c r="H309" s="30" t="s">
        <v>15</v>
      </c>
      <c r="I309" s="8">
        <v>0</v>
      </c>
      <c r="J309" s="8">
        <v>0</v>
      </c>
      <c r="K309" s="8">
        <v>-354200</v>
      </c>
      <c r="L309" s="8">
        <v>0</v>
      </c>
      <c r="M309" s="8">
        <v>0</v>
      </c>
      <c r="N309" s="8">
        <v>0</v>
      </c>
      <c r="O309" s="8">
        <v>0</v>
      </c>
      <c r="P309" s="8">
        <v>-15219778</v>
      </c>
      <c r="Q309" s="8">
        <v>0</v>
      </c>
      <c r="R309" s="8"/>
      <c r="S309" s="8">
        <f>E309+I309+J309+K309+L309+M309+N309+O309+P309</f>
        <v>0</v>
      </c>
    </row>
    <row r="310" spans="1:19" s="10" customFormat="1" ht="16" customHeight="1">
      <c r="A310" s="6" t="s">
        <v>2</v>
      </c>
      <c r="B310" s="39">
        <v>2024</v>
      </c>
      <c r="C310" s="27" t="s">
        <v>21</v>
      </c>
      <c r="D310" s="30" t="s">
        <v>388</v>
      </c>
      <c r="E310" s="42">
        <v>1405635</v>
      </c>
      <c r="F310" s="7" t="s">
        <v>0</v>
      </c>
      <c r="G310" s="30" t="s">
        <v>392</v>
      </c>
      <c r="H310" s="30" t="s">
        <v>15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-1405635</v>
      </c>
      <c r="Q310" s="8">
        <v>0</v>
      </c>
      <c r="R310" s="8"/>
      <c r="S310" s="8">
        <f>E310+I310+J310+K310+L310+M310+N310+O310+P310</f>
        <v>0</v>
      </c>
    </row>
    <row r="311" spans="1:19" s="10" customFormat="1" ht="16" customHeight="1">
      <c r="A311" s="6" t="s">
        <v>2</v>
      </c>
      <c r="B311" s="39">
        <v>2024</v>
      </c>
      <c r="C311" s="27" t="s">
        <v>21</v>
      </c>
      <c r="D311" s="30" t="s">
        <v>388</v>
      </c>
      <c r="E311" s="42">
        <v>4937500</v>
      </c>
      <c r="F311" s="7" t="s">
        <v>0</v>
      </c>
      <c r="G311" s="30" t="s">
        <v>252</v>
      </c>
      <c r="H311" s="30" t="s">
        <v>15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-4937500</v>
      </c>
      <c r="Q311" s="8">
        <v>0</v>
      </c>
      <c r="R311" s="8"/>
      <c r="S311" s="8">
        <f>E311+I311+J311+K311+L311+M311+N311+O311+P311</f>
        <v>0</v>
      </c>
    </row>
    <row r="312" spans="1:19" s="10" customFormat="1" ht="16" customHeight="1">
      <c r="A312" s="6" t="s">
        <v>2</v>
      </c>
      <c r="B312" s="39">
        <v>2024</v>
      </c>
      <c r="C312" s="27" t="s">
        <v>21</v>
      </c>
      <c r="D312" s="30" t="s">
        <v>388</v>
      </c>
      <c r="E312" s="42">
        <v>583049</v>
      </c>
      <c r="F312" s="7" t="s">
        <v>0</v>
      </c>
      <c r="G312" s="30" t="s">
        <v>393</v>
      </c>
      <c r="H312" s="30" t="s">
        <v>15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-583049</v>
      </c>
      <c r="Q312" s="8">
        <v>0</v>
      </c>
      <c r="R312" s="8"/>
      <c r="S312" s="8">
        <f>E312+I312+J312+K312+L312+M312+N312+O312+P312</f>
        <v>0</v>
      </c>
    </row>
    <row r="313" spans="1:19" s="10" customFormat="1" ht="16" customHeight="1">
      <c r="A313" s="6" t="s">
        <v>2</v>
      </c>
      <c r="B313" s="39">
        <v>2024</v>
      </c>
      <c r="C313" s="27" t="s">
        <v>21</v>
      </c>
      <c r="D313" s="30" t="s">
        <v>388</v>
      </c>
      <c r="E313" s="42">
        <v>1911337</v>
      </c>
      <c r="F313" s="7" t="s">
        <v>0</v>
      </c>
      <c r="G313" s="30" t="s">
        <v>394</v>
      </c>
      <c r="H313" s="30" t="s">
        <v>15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-1911337</v>
      </c>
      <c r="Q313" s="8">
        <v>0</v>
      </c>
      <c r="R313" s="8"/>
      <c r="S313" s="8">
        <f>E313+I313+J313+K313+L313+M313+N313+O313+P313</f>
        <v>0</v>
      </c>
    </row>
    <row r="314" spans="1:19" s="10" customFormat="1" ht="16" customHeight="1">
      <c r="A314" s="6" t="s">
        <v>2</v>
      </c>
      <c r="B314" s="39">
        <v>2025</v>
      </c>
      <c r="C314" s="27" t="s">
        <v>1101</v>
      </c>
      <c r="D314" s="30" t="s">
        <v>1081</v>
      </c>
      <c r="E314" s="42">
        <v>0</v>
      </c>
      <c r="F314" s="7" t="s">
        <v>0</v>
      </c>
      <c r="G314" s="30" t="s">
        <v>486</v>
      </c>
      <c r="H314" s="30" t="s">
        <v>15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14279600</v>
      </c>
      <c r="Q314" s="8">
        <v>0</v>
      </c>
      <c r="R314" s="8"/>
      <c r="S314" s="8">
        <f>E314+I314+J314+K314+L314+M314+N314+O314+P314</f>
        <v>14279600</v>
      </c>
    </row>
    <row r="315" spans="1:19" s="10" customFormat="1" ht="16" customHeight="1">
      <c r="A315" s="6" t="s">
        <v>2</v>
      </c>
      <c r="B315" s="39">
        <v>2025</v>
      </c>
      <c r="C315" s="27" t="s">
        <v>1101</v>
      </c>
      <c r="D315" s="30" t="s">
        <v>1082</v>
      </c>
      <c r="E315" s="42">
        <v>0</v>
      </c>
      <c r="F315" s="7" t="s">
        <v>0</v>
      </c>
      <c r="G315" s="30" t="s">
        <v>478</v>
      </c>
      <c r="H315" s="30" t="s">
        <v>15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7280000</v>
      </c>
      <c r="Q315" s="8">
        <v>0</v>
      </c>
      <c r="R315" s="8"/>
      <c r="S315" s="8">
        <f>E315+I315+J315+K315+L315+M315+N315+O315+P315</f>
        <v>7280000</v>
      </c>
    </row>
    <row r="316" spans="1:19" s="10" customFormat="1" ht="16" customHeight="1">
      <c r="A316" s="6" t="s">
        <v>2</v>
      </c>
      <c r="B316" s="39">
        <v>2025</v>
      </c>
      <c r="C316" s="27" t="s">
        <v>1101</v>
      </c>
      <c r="D316" s="30" t="s">
        <v>1083</v>
      </c>
      <c r="E316" s="42">
        <v>0</v>
      </c>
      <c r="F316" s="7" t="s">
        <v>0</v>
      </c>
      <c r="G316" s="30" t="s">
        <v>487</v>
      </c>
      <c r="H316" s="30" t="s">
        <v>15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1477475</v>
      </c>
      <c r="Q316" s="8">
        <v>0</v>
      </c>
      <c r="R316" s="8"/>
      <c r="S316" s="8">
        <f>E316+I316+J316+K316+L316+M316+N316+O316+P316</f>
        <v>1477475</v>
      </c>
    </row>
    <row r="317" spans="1:19" s="10" customFormat="1" ht="16" customHeight="1">
      <c r="A317" s="6" t="s">
        <v>2</v>
      </c>
      <c r="B317" s="39">
        <v>2025</v>
      </c>
      <c r="C317" s="27" t="s">
        <v>1101</v>
      </c>
      <c r="D317" s="30" t="s">
        <v>1084</v>
      </c>
      <c r="E317" s="42">
        <v>0</v>
      </c>
      <c r="F317" s="7" t="s">
        <v>0</v>
      </c>
      <c r="G317" s="30" t="s">
        <v>443</v>
      </c>
      <c r="H317" s="30" t="s">
        <v>15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1500000</v>
      </c>
      <c r="Q317" s="8">
        <v>0</v>
      </c>
      <c r="R317" s="8"/>
      <c r="S317" s="8">
        <f>E317+I317+J317+K317+L317+M317+N317+O317+P317</f>
        <v>1500000</v>
      </c>
    </row>
    <row r="318" spans="1:19" s="10" customFormat="1" ht="16" customHeight="1">
      <c r="A318" s="6" t="s">
        <v>2</v>
      </c>
      <c r="B318" s="39">
        <v>2025</v>
      </c>
      <c r="C318" s="27" t="s">
        <v>1101</v>
      </c>
      <c r="D318" s="30" t="s">
        <v>1085</v>
      </c>
      <c r="E318" s="42">
        <v>0</v>
      </c>
      <c r="F318" s="7" t="s">
        <v>0</v>
      </c>
      <c r="G318" s="30" t="s">
        <v>505</v>
      </c>
      <c r="H318" s="30" t="s">
        <v>15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3500000</v>
      </c>
      <c r="Q318" s="8">
        <v>0</v>
      </c>
      <c r="R318" s="8"/>
      <c r="S318" s="8">
        <f>E318+I318+J318+K318+L318+M318+N318+O318+P318</f>
        <v>3500000</v>
      </c>
    </row>
    <row r="319" spans="1:19" s="10" customFormat="1" ht="16" customHeight="1">
      <c r="A319" s="6" t="s">
        <v>2</v>
      </c>
      <c r="B319" s="39">
        <v>2025</v>
      </c>
      <c r="C319" s="27" t="s">
        <v>1101</v>
      </c>
      <c r="D319" s="30" t="s">
        <v>1086</v>
      </c>
      <c r="E319" s="42">
        <v>0</v>
      </c>
      <c r="F319" s="7" t="s">
        <v>0</v>
      </c>
      <c r="G319" s="30" t="s">
        <v>507</v>
      </c>
      <c r="H319" s="30" t="s">
        <v>15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2500000</v>
      </c>
      <c r="Q319" s="8">
        <v>0</v>
      </c>
      <c r="R319" s="8"/>
      <c r="S319" s="8">
        <f>E319+I319+J319+K319+L319+M319+N319+O319+P319</f>
        <v>2500000</v>
      </c>
    </row>
    <row r="320" spans="1:19" s="10" customFormat="1" ht="16" customHeight="1">
      <c r="A320" s="6" t="s">
        <v>2</v>
      </c>
      <c r="B320" s="39">
        <v>2025</v>
      </c>
      <c r="C320" s="27" t="s">
        <v>1101</v>
      </c>
      <c r="D320" s="30" t="s">
        <v>1087</v>
      </c>
      <c r="E320" s="42">
        <v>0</v>
      </c>
      <c r="F320" s="7" t="s">
        <v>0</v>
      </c>
      <c r="G320" s="30" t="s">
        <v>506</v>
      </c>
      <c r="H320" s="30" t="s">
        <v>15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1500000</v>
      </c>
      <c r="Q320" s="8">
        <v>0</v>
      </c>
      <c r="R320" s="8"/>
      <c r="S320" s="8">
        <f>E320+I320+J320+K320+L320+M320+N320+O320+P320</f>
        <v>1500000</v>
      </c>
    </row>
    <row r="321" spans="1:20" s="10" customFormat="1" ht="16" customHeight="1">
      <c r="A321" s="6" t="s">
        <v>2</v>
      </c>
      <c r="B321" s="39">
        <v>2025</v>
      </c>
      <c r="C321" s="27" t="s">
        <v>1101</v>
      </c>
      <c r="D321" s="30" t="s">
        <v>1088</v>
      </c>
      <c r="E321" s="42">
        <v>0</v>
      </c>
      <c r="F321" s="7" t="s">
        <v>0</v>
      </c>
      <c r="G321" s="30" t="s">
        <v>433</v>
      </c>
      <c r="H321" s="30" t="s">
        <v>15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3500000</v>
      </c>
      <c r="Q321" s="8">
        <v>0</v>
      </c>
      <c r="R321" s="8"/>
      <c r="S321" s="8">
        <f>E321+I321+J321+K321+L321+M321+N321+O321+P321</f>
        <v>3500000</v>
      </c>
    </row>
    <row r="322" spans="1:20" s="10" customFormat="1" ht="16" customHeight="1">
      <c r="A322" s="6" t="s">
        <v>2</v>
      </c>
      <c r="B322" s="39">
        <v>2025</v>
      </c>
      <c r="C322" s="27" t="s">
        <v>1101</v>
      </c>
      <c r="D322" s="30" t="s">
        <v>1089</v>
      </c>
      <c r="E322" s="42">
        <v>0</v>
      </c>
      <c r="F322" s="7" t="s">
        <v>0</v>
      </c>
      <c r="G322" s="30" t="s">
        <v>504</v>
      </c>
      <c r="H322" s="30" t="s">
        <v>15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3500000</v>
      </c>
      <c r="Q322" s="8">
        <v>0</v>
      </c>
      <c r="R322" s="8"/>
      <c r="S322" s="8">
        <f>E322+I322+J322+K322+L322+M322+N322+O322+P322</f>
        <v>3500000</v>
      </c>
    </row>
    <row r="323" spans="1:20" s="10" customFormat="1" ht="16" customHeight="1">
      <c r="A323" s="6" t="s">
        <v>2</v>
      </c>
      <c r="B323" s="39">
        <v>2025</v>
      </c>
      <c r="C323" s="27" t="s">
        <v>1102</v>
      </c>
      <c r="D323" s="30" t="s">
        <v>1091</v>
      </c>
      <c r="E323" s="42">
        <v>0</v>
      </c>
      <c r="F323" s="7" t="s">
        <v>0</v>
      </c>
      <c r="G323" s="30" t="s">
        <v>396</v>
      </c>
      <c r="H323" s="30" t="s">
        <v>15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2700000</v>
      </c>
      <c r="Q323" s="8">
        <v>0</v>
      </c>
      <c r="R323" s="8"/>
      <c r="S323" s="8">
        <f>E323+I323+J323+K323+L323+M323+N323+O323+P323</f>
        <v>2700000</v>
      </c>
    </row>
    <row r="324" spans="1:20" s="10" customFormat="1" ht="16" customHeight="1">
      <c r="A324" s="6" t="s">
        <v>2</v>
      </c>
      <c r="B324" s="39">
        <v>2025</v>
      </c>
      <c r="C324" s="27" t="s">
        <v>1102</v>
      </c>
      <c r="D324" s="30" t="s">
        <v>1092</v>
      </c>
      <c r="E324" s="42">
        <v>0</v>
      </c>
      <c r="F324" s="7" t="s">
        <v>0</v>
      </c>
      <c r="G324" s="30" t="s">
        <v>396</v>
      </c>
      <c r="H324" s="30" t="s">
        <v>15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8980000</v>
      </c>
      <c r="Q324" s="8">
        <v>0</v>
      </c>
      <c r="R324" s="8"/>
      <c r="S324" s="8">
        <f>E324+I324+J324+K324+L324+M324+N324+O324+P324</f>
        <v>8980000</v>
      </c>
    </row>
    <row r="325" spans="1:20" s="10" customFormat="1" ht="16" customHeight="1">
      <c r="A325" s="6" t="s">
        <v>2</v>
      </c>
      <c r="B325" s="39">
        <v>2025</v>
      </c>
      <c r="C325" s="27" t="s">
        <v>1102</v>
      </c>
      <c r="D325" s="30" t="s">
        <v>1093</v>
      </c>
      <c r="E325" s="42">
        <v>0</v>
      </c>
      <c r="F325" s="7" t="s">
        <v>0</v>
      </c>
      <c r="G325" s="30" t="s">
        <v>396</v>
      </c>
      <c r="H325" s="30" t="s">
        <v>15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3100000</v>
      </c>
      <c r="Q325" s="8">
        <v>0</v>
      </c>
      <c r="R325" s="8"/>
      <c r="S325" s="8">
        <f>E325+I325+J325+K325+L325+M325+N325+O325+P325</f>
        <v>3100000</v>
      </c>
    </row>
    <row r="326" spans="1:20" s="10" customFormat="1" ht="16" customHeight="1">
      <c r="A326" s="6" t="s">
        <v>2</v>
      </c>
      <c r="B326" s="39">
        <v>2025</v>
      </c>
      <c r="C326" s="27" t="s">
        <v>1102</v>
      </c>
      <c r="D326" s="30" t="s">
        <v>1094</v>
      </c>
      <c r="E326" s="42">
        <v>0</v>
      </c>
      <c r="F326" s="7" t="s">
        <v>0</v>
      </c>
      <c r="G326" s="30" t="s">
        <v>396</v>
      </c>
      <c r="H326" s="30" t="s">
        <v>15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12942000</v>
      </c>
      <c r="Q326" s="8">
        <v>0</v>
      </c>
      <c r="R326" s="8"/>
      <c r="S326" s="8">
        <f>E326+I326+J326+K326+L326+M326+N326+O326+P326</f>
        <v>12942000</v>
      </c>
    </row>
    <row r="327" spans="1:20" s="10" customFormat="1" ht="16" customHeight="1">
      <c r="A327" s="6" t="s">
        <v>2</v>
      </c>
      <c r="B327" s="39">
        <v>2025</v>
      </c>
      <c r="C327" s="27" t="s">
        <v>1104</v>
      </c>
      <c r="D327" s="30" t="s">
        <v>1095</v>
      </c>
      <c r="E327" s="42">
        <v>0</v>
      </c>
      <c r="F327" s="7" t="s">
        <v>0</v>
      </c>
      <c r="G327" s="30" t="s">
        <v>478</v>
      </c>
      <c r="H327" s="30" t="s">
        <v>15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2350000</v>
      </c>
      <c r="Q327" s="8">
        <v>0</v>
      </c>
      <c r="R327" s="8"/>
      <c r="S327" s="8">
        <f>E327+I327+J327+K327+L327+M327+N327+O327+P327</f>
        <v>2350000</v>
      </c>
    </row>
    <row r="328" spans="1:20" s="10" customFormat="1" ht="16" customHeight="1">
      <c r="A328" s="6" t="s">
        <v>2</v>
      </c>
      <c r="B328" s="39">
        <v>2025</v>
      </c>
      <c r="C328" s="27" t="s">
        <v>1104</v>
      </c>
      <c r="D328" s="30" t="s">
        <v>1096</v>
      </c>
      <c r="E328" s="42">
        <v>0</v>
      </c>
      <c r="F328" s="7" t="s">
        <v>0</v>
      </c>
      <c r="G328" s="30" t="s">
        <v>396</v>
      </c>
      <c r="H328" s="30" t="s">
        <v>15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3345000</v>
      </c>
      <c r="Q328" s="8">
        <v>0</v>
      </c>
      <c r="R328" s="8"/>
      <c r="S328" s="8">
        <f>E328+I328+J328+K328+L328+M328+N328+O328+P328</f>
        <v>3345000</v>
      </c>
    </row>
    <row r="329" spans="1:20" s="10" customFormat="1" ht="16" customHeight="1">
      <c r="A329" s="6" t="s">
        <v>2</v>
      </c>
      <c r="B329" s="39">
        <v>2025</v>
      </c>
      <c r="C329" s="27" t="s">
        <v>15</v>
      </c>
      <c r="D329" s="30" t="s">
        <v>1121</v>
      </c>
      <c r="E329" s="42">
        <v>0</v>
      </c>
      <c r="F329" s="7" t="s">
        <v>0</v>
      </c>
      <c r="G329" s="30" t="s">
        <v>309</v>
      </c>
      <c r="H329" s="30" t="s">
        <v>15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327642222</v>
      </c>
      <c r="Q329" s="8">
        <v>0</v>
      </c>
      <c r="R329" s="8"/>
      <c r="S329" s="8">
        <f>E329+I329+J329+K329+L329+M329+N329+O329+P329</f>
        <v>327642222</v>
      </c>
    </row>
    <row r="331" spans="1:20" s="28" customFormat="1">
      <c r="A331" s="16"/>
      <c r="B331" s="16"/>
      <c r="C331" s="7"/>
      <c r="D331" s="7"/>
      <c r="E331" s="59">
        <f>SUBTOTAL(9,E4:E330)</f>
        <v>7257557384.8400002</v>
      </c>
      <c r="F331" s="7"/>
      <c r="G331" s="7"/>
      <c r="H331" s="9"/>
      <c r="I331" s="66">
        <f t="shared" ref="I331:Q331" si="0">SUBTOTAL(9,I4:I330)</f>
        <v>686680889</v>
      </c>
      <c r="J331" s="66">
        <f t="shared" si="0"/>
        <v>149183884</v>
      </c>
      <c r="K331" s="66">
        <f t="shared" si="0"/>
        <v>-393065428</v>
      </c>
      <c r="L331" s="66">
        <f t="shared" si="0"/>
        <v>0</v>
      </c>
      <c r="M331" s="66">
        <f t="shared" si="0"/>
        <v>-1500000</v>
      </c>
      <c r="N331" s="66">
        <f t="shared" si="0"/>
        <v>-154034667</v>
      </c>
      <c r="O331" s="66">
        <f t="shared" si="0"/>
        <v>-2892500</v>
      </c>
      <c r="P331" s="66">
        <f t="shared" si="0"/>
        <v>-666414843.84000003</v>
      </c>
      <c r="Q331" s="66">
        <f t="shared" si="0"/>
        <v>-3324358778</v>
      </c>
      <c r="R331" s="35"/>
      <c r="S331" s="66">
        <f>SUBTOTAL(9,S4:S330)</f>
        <v>3551155941</v>
      </c>
    </row>
    <row r="332" spans="1:20" s="18" customFormat="1">
      <c r="A332" s="16"/>
      <c r="B332" s="16"/>
      <c r="C332" s="7"/>
      <c r="D332" s="7" t="s">
        <v>15</v>
      </c>
      <c r="E332" s="59"/>
      <c r="F332" s="7"/>
      <c r="G332" s="7"/>
      <c r="H332" s="9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28"/>
    </row>
    <row r="333" spans="1:20" s="85" customFormat="1">
      <c r="A333" s="83"/>
      <c r="B333" s="83"/>
      <c r="C333" s="80"/>
      <c r="D333" s="80"/>
      <c r="E333" s="84"/>
      <c r="F333" s="80"/>
      <c r="G333" s="80"/>
      <c r="I333" s="78">
        <v>686680889</v>
      </c>
      <c r="J333" s="78">
        <v>149183884</v>
      </c>
      <c r="K333" s="78">
        <v>-393065428</v>
      </c>
      <c r="L333" s="78">
        <v>0</v>
      </c>
      <c r="M333" s="78">
        <v>-1500000</v>
      </c>
      <c r="N333" s="78">
        <v>-154034667</v>
      </c>
      <c r="O333" s="78">
        <v>-2892500</v>
      </c>
      <c r="P333" s="78">
        <v>-935982308</v>
      </c>
      <c r="Q333" s="78">
        <v>0</v>
      </c>
      <c r="R333" s="78"/>
      <c r="S333" s="78"/>
      <c r="T333" s="28"/>
    </row>
    <row r="334" spans="1:20">
      <c r="J334" s="8" t="s">
        <v>15</v>
      </c>
      <c r="K334" s="8" t="s">
        <v>15</v>
      </c>
      <c r="L334" s="8" t="s">
        <v>15</v>
      </c>
      <c r="M334" s="8" t="s">
        <v>15</v>
      </c>
      <c r="N334" s="8" t="s">
        <v>15</v>
      </c>
      <c r="O334" s="8" t="s">
        <v>15</v>
      </c>
      <c r="P334" s="8" t="s">
        <v>15</v>
      </c>
      <c r="Q334" s="8" t="s">
        <v>15</v>
      </c>
    </row>
    <row r="335" spans="1:20" s="55" customFormat="1">
      <c r="A335" s="68"/>
      <c r="B335" s="68"/>
      <c r="C335" s="32"/>
      <c r="D335" s="32"/>
      <c r="E335" s="69"/>
      <c r="F335" s="32"/>
      <c r="G335" s="32"/>
      <c r="I335" s="46">
        <f t="shared" ref="I335:Q335" si="1">I331-I333</f>
        <v>0</v>
      </c>
      <c r="J335" s="46">
        <f t="shared" si="1"/>
        <v>0</v>
      </c>
      <c r="K335" s="46">
        <f t="shared" si="1"/>
        <v>0</v>
      </c>
      <c r="L335" s="46">
        <f t="shared" si="1"/>
        <v>0</v>
      </c>
      <c r="M335" s="46">
        <f t="shared" si="1"/>
        <v>0</v>
      </c>
      <c r="N335" s="46">
        <f t="shared" si="1"/>
        <v>0</v>
      </c>
      <c r="O335" s="46">
        <f t="shared" si="1"/>
        <v>0</v>
      </c>
      <c r="P335" s="46">
        <f t="shared" si="1"/>
        <v>269567464.15999997</v>
      </c>
      <c r="Q335" s="46">
        <f t="shared" si="1"/>
        <v>-3324358778</v>
      </c>
      <c r="R335" s="46"/>
      <c r="S335" s="46"/>
      <c r="T335" s="47"/>
    </row>
    <row r="337" spans="16:16">
      <c r="P337" s="8" t="s">
        <v>15</v>
      </c>
    </row>
    <row r="338" spans="16:16">
      <c r="P338" s="8" t="s">
        <v>15</v>
      </c>
    </row>
  </sheetData>
  <autoFilter ref="A3:S329" xr:uid="{CBF823FE-3832-334D-A267-F2D8B0A33CAA}"/>
  <mergeCells count="1">
    <mergeCell ref="I2:Q2"/>
  </mergeCells>
  <pageMargins left="0.45" right="0.45" top="0.75" bottom="0.75" header="0.3" footer="0.3"/>
  <pageSetup scale="25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607-BD92-614B-99B1-E054508041A6}">
  <dimension ref="A4:P364"/>
  <sheetViews>
    <sheetView topLeftCell="C1" workbookViewId="0">
      <selection activeCell="H21" sqref="H21"/>
    </sheetView>
  </sheetViews>
  <sheetFormatPr defaultColWidth="11" defaultRowHeight="15"/>
  <cols>
    <col min="1" max="1" width="11.6875" style="97" customWidth="1"/>
    <col min="2" max="2" width="20.8125" style="97" customWidth="1"/>
    <col min="3" max="3" width="20.5" customWidth="1"/>
    <col min="4" max="4" width="38.8125" customWidth="1"/>
    <col min="5" max="5" width="25.5" style="37" customWidth="1"/>
    <col min="6" max="7" width="12.1875" style="37" customWidth="1"/>
    <col min="8" max="10" width="16" style="41" customWidth="1"/>
    <col min="11" max="11" width="16" style="63" customWidth="1"/>
    <col min="12" max="12" width="16.8125" customWidth="1"/>
    <col min="13" max="13" width="32.3125" customWidth="1"/>
    <col min="14" max="14" width="28.5" customWidth="1"/>
    <col min="15" max="15" width="28.8125" customWidth="1"/>
  </cols>
  <sheetData>
    <row r="4" spans="1:15">
      <c r="A4" s="97" t="s">
        <v>534</v>
      </c>
      <c r="B4" s="97" t="s">
        <v>1125</v>
      </c>
      <c r="C4" t="s">
        <v>535</v>
      </c>
      <c r="D4" t="s">
        <v>536</v>
      </c>
      <c r="E4" s="37" t="s">
        <v>1126</v>
      </c>
      <c r="F4" s="38" t="s">
        <v>88</v>
      </c>
      <c r="G4" s="38" t="s">
        <v>1105</v>
      </c>
      <c r="H4" s="127" t="s">
        <v>80</v>
      </c>
      <c r="I4" s="127" t="s">
        <v>148</v>
      </c>
      <c r="J4" s="127" t="s">
        <v>537</v>
      </c>
      <c r="K4" s="98" t="s">
        <v>538</v>
      </c>
      <c r="L4" s="63" t="s">
        <v>1127</v>
      </c>
      <c r="M4" s="127" t="s">
        <v>1128</v>
      </c>
      <c r="N4" s="127" t="s">
        <v>1129</v>
      </c>
    </row>
    <row r="5" spans="1:15" ht="15.45">
      <c r="B5" s="97" t="s">
        <v>1106</v>
      </c>
      <c r="D5" t="s">
        <v>234</v>
      </c>
      <c r="E5" s="37" t="s">
        <v>399</v>
      </c>
      <c r="F5" s="37">
        <v>2024</v>
      </c>
      <c r="G5" s="37" t="s">
        <v>148</v>
      </c>
      <c r="H5" s="90">
        <v>47789180</v>
      </c>
      <c r="I5" s="90">
        <v>47789180</v>
      </c>
      <c r="J5" s="90">
        <v>47789180</v>
      </c>
      <c r="K5" s="89">
        <f>I5-J5</f>
        <v>0</v>
      </c>
      <c r="L5" t="s">
        <v>308</v>
      </c>
      <c r="M5" s="2" t="s">
        <v>1108</v>
      </c>
      <c r="N5" s="2" t="s">
        <v>533</v>
      </c>
      <c r="O5" t="s">
        <v>399</v>
      </c>
    </row>
    <row r="6" spans="1:15" ht="15.45">
      <c r="B6" s="97" t="s">
        <v>1106</v>
      </c>
      <c r="D6" t="s">
        <v>234</v>
      </c>
      <c r="E6" s="37" t="s">
        <v>400</v>
      </c>
      <c r="F6" s="37">
        <v>2024</v>
      </c>
      <c r="G6" s="37" t="s">
        <v>148</v>
      </c>
      <c r="H6" s="90">
        <v>19965000</v>
      </c>
      <c r="I6" s="90">
        <v>19965000</v>
      </c>
      <c r="J6" s="90">
        <v>19965000</v>
      </c>
      <c r="K6" s="89">
        <f t="shared" ref="K6:K69" si="0">I6-J6</f>
        <v>0</v>
      </c>
      <c r="L6" t="s">
        <v>308</v>
      </c>
      <c r="M6" s="2" t="s">
        <v>1108</v>
      </c>
      <c r="N6" s="2" t="s">
        <v>533</v>
      </c>
      <c r="O6" t="s">
        <v>400</v>
      </c>
    </row>
    <row r="7" spans="1:15" ht="15.45">
      <c r="B7" s="97" t="s">
        <v>1106</v>
      </c>
      <c r="D7" t="s">
        <v>234</v>
      </c>
      <c r="E7" s="37" t="s">
        <v>402</v>
      </c>
      <c r="F7" s="37">
        <v>2024</v>
      </c>
      <c r="G7" s="37" t="s">
        <v>148</v>
      </c>
      <c r="H7" s="90">
        <v>2696968</v>
      </c>
      <c r="I7" s="90">
        <v>2696968</v>
      </c>
      <c r="J7" s="90">
        <v>2696968</v>
      </c>
      <c r="K7" s="89">
        <f t="shared" si="0"/>
        <v>0</v>
      </c>
      <c r="L7" t="s">
        <v>308</v>
      </c>
      <c r="M7" s="2" t="s">
        <v>1108</v>
      </c>
      <c r="N7" s="2" t="s">
        <v>533</v>
      </c>
      <c r="O7" t="s">
        <v>402</v>
      </c>
    </row>
    <row r="8" spans="1:15" ht="15.45">
      <c r="B8" s="97" t="s">
        <v>1106</v>
      </c>
      <c r="D8" t="s">
        <v>515</v>
      </c>
      <c r="E8" s="37" t="s">
        <v>404</v>
      </c>
      <c r="F8" s="37">
        <v>2024</v>
      </c>
      <c r="G8" s="37" t="s">
        <v>148</v>
      </c>
      <c r="H8" s="90">
        <v>170903425</v>
      </c>
      <c r="I8" s="90">
        <v>170903425</v>
      </c>
      <c r="J8" s="90">
        <v>170903425</v>
      </c>
      <c r="K8" s="89">
        <f t="shared" si="0"/>
        <v>0</v>
      </c>
      <c r="L8" t="s">
        <v>308</v>
      </c>
      <c r="M8" s="2" t="s">
        <v>1108</v>
      </c>
      <c r="N8" s="2" t="s">
        <v>533</v>
      </c>
      <c r="O8" t="s">
        <v>404</v>
      </c>
    </row>
    <row r="9" spans="1:15" ht="15.45">
      <c r="B9" s="97" t="s">
        <v>1106</v>
      </c>
      <c r="D9" t="s">
        <v>234</v>
      </c>
      <c r="E9" s="37" t="s">
        <v>413</v>
      </c>
      <c r="F9" s="37">
        <v>2024</v>
      </c>
      <c r="G9" s="37" t="s">
        <v>148</v>
      </c>
      <c r="H9" s="90">
        <v>10040099</v>
      </c>
      <c r="I9" s="90">
        <v>10040099</v>
      </c>
      <c r="J9" s="90">
        <v>10040099</v>
      </c>
      <c r="K9" s="89">
        <f t="shared" si="0"/>
        <v>0</v>
      </c>
      <c r="L9" t="s">
        <v>308</v>
      </c>
      <c r="M9" s="2" t="s">
        <v>1108</v>
      </c>
      <c r="N9" s="2" t="s">
        <v>533</v>
      </c>
      <c r="O9" t="s">
        <v>413</v>
      </c>
    </row>
    <row r="10" spans="1:15" ht="15.45">
      <c r="B10" s="97" t="s">
        <v>1106</v>
      </c>
      <c r="D10" t="s">
        <v>234</v>
      </c>
      <c r="E10" s="37" t="s">
        <v>418</v>
      </c>
      <c r="F10" s="37">
        <v>2024</v>
      </c>
      <c r="G10" s="37" t="s">
        <v>148</v>
      </c>
      <c r="H10" s="90">
        <v>9483362</v>
      </c>
      <c r="I10" s="90">
        <v>9483362</v>
      </c>
      <c r="J10" s="90">
        <v>9483362</v>
      </c>
      <c r="K10" s="89">
        <f t="shared" si="0"/>
        <v>0</v>
      </c>
      <c r="L10" t="s">
        <v>308</v>
      </c>
      <c r="M10" s="2" t="s">
        <v>1108</v>
      </c>
      <c r="N10" s="2" t="s">
        <v>533</v>
      </c>
      <c r="O10" t="s">
        <v>418</v>
      </c>
    </row>
    <row r="11" spans="1:15" ht="15.45">
      <c r="B11" s="97" t="s">
        <v>1106</v>
      </c>
      <c r="D11" t="s">
        <v>515</v>
      </c>
      <c r="E11" s="37" t="s">
        <v>420</v>
      </c>
      <c r="F11" s="37">
        <v>2024</v>
      </c>
      <c r="G11" s="37" t="s">
        <v>148</v>
      </c>
      <c r="H11" s="90">
        <v>3628790</v>
      </c>
      <c r="I11" s="90">
        <v>3628790</v>
      </c>
      <c r="J11" s="90">
        <v>3628790</v>
      </c>
      <c r="K11" s="89">
        <f t="shared" si="0"/>
        <v>0</v>
      </c>
      <c r="L11" t="s">
        <v>308</v>
      </c>
      <c r="M11" s="2" t="s">
        <v>1108</v>
      </c>
      <c r="N11" s="2" t="s">
        <v>533</v>
      </c>
      <c r="O11" t="s">
        <v>420</v>
      </c>
    </row>
    <row r="12" spans="1:15" ht="15.45">
      <c r="B12" s="97" t="s">
        <v>1106</v>
      </c>
      <c r="D12" t="s">
        <v>515</v>
      </c>
      <c r="E12" s="37" t="s">
        <v>421</v>
      </c>
      <c r="F12" s="37">
        <v>2024</v>
      </c>
      <c r="G12" s="37" t="s">
        <v>148</v>
      </c>
      <c r="H12" s="90">
        <v>1762728</v>
      </c>
      <c r="I12" s="90">
        <v>1762728</v>
      </c>
      <c r="J12" s="90">
        <v>1762728</v>
      </c>
      <c r="K12" s="89">
        <f t="shared" si="0"/>
        <v>0</v>
      </c>
      <c r="L12" t="s">
        <v>308</v>
      </c>
      <c r="M12" s="2" t="s">
        <v>1108</v>
      </c>
      <c r="N12" s="2" t="s">
        <v>533</v>
      </c>
      <c r="O12" t="s">
        <v>421</v>
      </c>
    </row>
    <row r="13" spans="1:15" ht="15.45">
      <c r="B13" s="97" t="s">
        <v>1106</v>
      </c>
      <c r="D13" t="s">
        <v>515</v>
      </c>
      <c r="E13" s="37" t="s">
        <v>423</v>
      </c>
      <c r="F13" s="37">
        <v>2024</v>
      </c>
      <c r="G13" s="37" t="s">
        <v>148</v>
      </c>
      <c r="H13" s="90">
        <v>1774828</v>
      </c>
      <c r="I13" s="90">
        <v>1774828</v>
      </c>
      <c r="J13" s="90">
        <v>1774828</v>
      </c>
      <c r="K13" s="89">
        <f t="shared" si="0"/>
        <v>0</v>
      </c>
      <c r="L13" t="s">
        <v>308</v>
      </c>
      <c r="M13" s="2" t="s">
        <v>1108</v>
      </c>
      <c r="N13" s="2" t="s">
        <v>533</v>
      </c>
      <c r="O13" t="s">
        <v>423</v>
      </c>
    </row>
    <row r="14" spans="1:15" ht="15.45">
      <c r="B14" s="97" t="s">
        <v>1106</v>
      </c>
      <c r="D14" t="s">
        <v>234</v>
      </c>
      <c r="E14" s="37" t="s">
        <v>424</v>
      </c>
      <c r="F14" s="37">
        <v>2024</v>
      </c>
      <c r="G14" s="37" t="s">
        <v>148</v>
      </c>
      <c r="H14" s="90">
        <v>2191805</v>
      </c>
      <c r="I14" s="90">
        <v>2191805</v>
      </c>
      <c r="J14" s="90">
        <v>2191805</v>
      </c>
      <c r="K14" s="89">
        <f t="shared" si="0"/>
        <v>0</v>
      </c>
      <c r="L14" t="s">
        <v>308</v>
      </c>
      <c r="M14" s="2" t="s">
        <v>1108</v>
      </c>
      <c r="N14" s="2" t="s">
        <v>533</v>
      </c>
      <c r="O14" t="s">
        <v>424</v>
      </c>
    </row>
    <row r="15" spans="1:15" ht="15.45">
      <c r="B15" s="97" t="s">
        <v>1106</v>
      </c>
      <c r="D15" t="s">
        <v>234</v>
      </c>
      <c r="E15" s="37" t="s">
        <v>425</v>
      </c>
      <c r="F15" s="37">
        <v>2024</v>
      </c>
      <c r="G15" s="37" t="s">
        <v>148</v>
      </c>
      <c r="H15" s="90">
        <v>1387188</v>
      </c>
      <c r="I15" s="90">
        <v>1387188</v>
      </c>
      <c r="J15" s="90">
        <v>1387188</v>
      </c>
      <c r="K15" s="89">
        <f t="shared" si="0"/>
        <v>0</v>
      </c>
      <c r="L15" t="s">
        <v>308</v>
      </c>
      <c r="M15" s="2" t="s">
        <v>1108</v>
      </c>
      <c r="N15" s="2" t="s">
        <v>533</v>
      </c>
      <c r="O15" t="s">
        <v>425</v>
      </c>
    </row>
    <row r="16" spans="1:15" ht="15.45">
      <c r="B16" s="97" t="s">
        <v>1106</v>
      </c>
      <c r="D16" t="s">
        <v>519</v>
      </c>
      <c r="E16" s="37" t="s">
        <v>426</v>
      </c>
      <c r="F16" s="37">
        <v>2024</v>
      </c>
      <c r="G16" s="37" t="s">
        <v>148</v>
      </c>
      <c r="H16" s="90">
        <v>3025000</v>
      </c>
      <c r="I16" s="90">
        <v>3025000</v>
      </c>
      <c r="J16" s="90">
        <v>3025000</v>
      </c>
      <c r="K16" s="89">
        <f t="shared" si="0"/>
        <v>0</v>
      </c>
      <c r="L16" t="s">
        <v>308</v>
      </c>
      <c r="M16" s="30" t="s">
        <v>1108</v>
      </c>
      <c r="N16" s="2" t="s">
        <v>533</v>
      </c>
      <c r="O16" s="101" t="s">
        <v>426</v>
      </c>
    </row>
    <row r="17" spans="1:15" ht="15.45">
      <c r="B17" s="97" t="s">
        <v>1106</v>
      </c>
      <c r="D17" t="s">
        <v>515</v>
      </c>
      <c r="E17" s="37" t="s">
        <v>427</v>
      </c>
      <c r="F17" s="37">
        <v>2024</v>
      </c>
      <c r="G17" s="37" t="s">
        <v>148</v>
      </c>
      <c r="H17" s="90">
        <v>3036979</v>
      </c>
      <c r="I17" s="90">
        <v>3036979</v>
      </c>
      <c r="J17" s="90">
        <v>3036979</v>
      </c>
      <c r="K17" s="89">
        <f t="shared" si="0"/>
        <v>0</v>
      </c>
      <c r="L17" t="s">
        <v>308</v>
      </c>
      <c r="M17" s="2" t="s">
        <v>1108</v>
      </c>
      <c r="N17" s="2" t="s">
        <v>533</v>
      </c>
      <c r="O17" t="s">
        <v>427</v>
      </c>
    </row>
    <row r="18" spans="1:15" ht="15.45">
      <c r="B18" s="97" t="s">
        <v>1106</v>
      </c>
      <c r="D18" t="s">
        <v>234</v>
      </c>
      <c r="E18" s="37" t="s">
        <v>428</v>
      </c>
      <c r="F18" s="37">
        <v>2024</v>
      </c>
      <c r="G18" s="37" t="s">
        <v>148</v>
      </c>
      <c r="H18" s="90">
        <v>1953820</v>
      </c>
      <c r="I18" s="90">
        <v>1953820</v>
      </c>
      <c r="J18" s="90">
        <v>1953820</v>
      </c>
      <c r="K18" s="89">
        <f t="shared" si="0"/>
        <v>0</v>
      </c>
      <c r="L18" t="s">
        <v>308</v>
      </c>
      <c r="M18" s="2" t="s">
        <v>1108</v>
      </c>
      <c r="N18" s="2" t="s">
        <v>533</v>
      </c>
      <c r="O18" t="s">
        <v>428</v>
      </c>
    </row>
    <row r="19" spans="1:15" ht="15.45">
      <c r="B19" s="97" t="s">
        <v>1106</v>
      </c>
      <c r="D19" t="s">
        <v>234</v>
      </c>
      <c r="E19" s="37" t="s">
        <v>321</v>
      </c>
      <c r="F19" s="37">
        <v>2024</v>
      </c>
      <c r="G19" s="37" t="s">
        <v>148</v>
      </c>
      <c r="H19" s="90">
        <v>3119086</v>
      </c>
      <c r="I19" s="90">
        <v>3119086</v>
      </c>
      <c r="J19" s="90">
        <v>3119086</v>
      </c>
      <c r="K19" s="89">
        <f t="shared" si="0"/>
        <v>0</v>
      </c>
      <c r="L19" t="s">
        <v>308</v>
      </c>
      <c r="M19" s="2" t="s">
        <v>1108</v>
      </c>
      <c r="N19" s="2" t="s">
        <v>533</v>
      </c>
      <c r="O19" t="s">
        <v>321</v>
      </c>
    </row>
    <row r="20" spans="1:15" ht="15.45">
      <c r="B20" s="97" t="s">
        <v>1106</v>
      </c>
      <c r="D20" t="s">
        <v>234</v>
      </c>
      <c r="E20" s="37" t="s">
        <v>322</v>
      </c>
      <c r="F20" s="37">
        <v>2024</v>
      </c>
      <c r="G20" s="37" t="s">
        <v>148</v>
      </c>
      <c r="H20" s="90">
        <v>12476399</v>
      </c>
      <c r="I20" s="90">
        <v>12476399</v>
      </c>
      <c r="J20" s="90">
        <v>12476399</v>
      </c>
      <c r="K20" s="89">
        <f t="shared" si="0"/>
        <v>0</v>
      </c>
      <c r="L20" t="s">
        <v>308</v>
      </c>
      <c r="M20" s="2" t="s">
        <v>1108</v>
      </c>
      <c r="N20" s="2" t="s">
        <v>533</v>
      </c>
      <c r="O20" t="s">
        <v>322</v>
      </c>
    </row>
    <row r="21" spans="1:15" ht="15.45">
      <c r="A21" s="97">
        <v>45658</v>
      </c>
      <c r="B21" s="97" t="s">
        <v>508</v>
      </c>
      <c r="D21" t="s">
        <v>548</v>
      </c>
      <c r="G21" s="37" t="s">
        <v>1107</v>
      </c>
      <c r="H21" s="94">
        <v>1981982</v>
      </c>
      <c r="I21" s="63">
        <v>0</v>
      </c>
      <c r="J21" s="63">
        <v>0</v>
      </c>
      <c r="K21" s="89">
        <f t="shared" si="0"/>
        <v>0</v>
      </c>
      <c r="L21" t="s">
        <v>15</v>
      </c>
      <c r="M21" t="s">
        <v>15</v>
      </c>
      <c r="N21" t="s">
        <v>15</v>
      </c>
      <c r="O21" t="s">
        <v>15</v>
      </c>
    </row>
    <row r="22" spans="1:15" ht="15.45">
      <c r="A22" s="97">
        <v>45658</v>
      </c>
      <c r="B22" s="97" t="s">
        <v>508</v>
      </c>
      <c r="D22" t="s">
        <v>549</v>
      </c>
      <c r="G22" s="37" t="s">
        <v>1107</v>
      </c>
      <c r="H22" s="94">
        <v>1200883</v>
      </c>
      <c r="I22" s="63">
        <v>0</v>
      </c>
      <c r="J22" s="63">
        <v>0</v>
      </c>
      <c r="K22" s="89">
        <f t="shared" si="0"/>
        <v>0</v>
      </c>
      <c r="L22" t="s">
        <v>15</v>
      </c>
      <c r="M22" t="s">
        <v>15</v>
      </c>
      <c r="N22" t="s">
        <v>15</v>
      </c>
      <c r="O22" t="s">
        <v>15</v>
      </c>
    </row>
    <row r="23" spans="1:15" ht="15.45">
      <c r="A23" s="97">
        <v>45658</v>
      </c>
      <c r="B23" s="97" t="s">
        <v>508</v>
      </c>
      <c r="D23" t="s">
        <v>550</v>
      </c>
      <c r="G23" s="37" t="s">
        <v>1107</v>
      </c>
      <c r="H23" s="63">
        <v>74324</v>
      </c>
      <c r="I23" s="63">
        <v>0</v>
      </c>
      <c r="J23" s="63">
        <v>0</v>
      </c>
      <c r="K23" s="89">
        <f t="shared" si="0"/>
        <v>0</v>
      </c>
      <c r="L23" t="s">
        <v>15</v>
      </c>
      <c r="M23" t="s">
        <v>15</v>
      </c>
      <c r="N23" t="s">
        <v>15</v>
      </c>
      <c r="O23" t="s">
        <v>15</v>
      </c>
    </row>
    <row r="24" spans="1:15" ht="15.45">
      <c r="A24" s="97">
        <v>45658</v>
      </c>
      <c r="B24" s="97" t="s">
        <v>508</v>
      </c>
      <c r="D24" t="s">
        <v>551</v>
      </c>
      <c r="G24" s="37" t="s">
        <v>1107</v>
      </c>
      <c r="H24" s="94">
        <v>126142500</v>
      </c>
      <c r="I24" s="63">
        <v>0</v>
      </c>
      <c r="J24" s="63">
        <v>0</v>
      </c>
      <c r="K24" s="89">
        <f t="shared" si="0"/>
        <v>0</v>
      </c>
      <c r="L24" t="s">
        <v>15</v>
      </c>
      <c r="M24" t="s">
        <v>15</v>
      </c>
      <c r="N24" t="s">
        <v>15</v>
      </c>
      <c r="O24" t="s">
        <v>15</v>
      </c>
    </row>
    <row r="25" spans="1:15" ht="15.45">
      <c r="A25" s="97">
        <v>45658</v>
      </c>
      <c r="B25" s="97" t="s">
        <v>508</v>
      </c>
      <c r="D25" t="s">
        <v>552</v>
      </c>
      <c r="G25" s="37" t="s">
        <v>1107</v>
      </c>
      <c r="H25" s="63">
        <v>583000</v>
      </c>
      <c r="I25" s="63">
        <v>0</v>
      </c>
      <c r="J25" s="63">
        <v>0</v>
      </c>
      <c r="K25" s="89">
        <f t="shared" si="0"/>
        <v>0</v>
      </c>
      <c r="L25" t="s">
        <v>15</v>
      </c>
      <c r="M25" t="s">
        <v>15</v>
      </c>
      <c r="N25" t="s">
        <v>15</v>
      </c>
      <c r="O25" t="s">
        <v>15</v>
      </c>
    </row>
    <row r="26" spans="1:15" ht="15.45">
      <c r="A26" s="97">
        <v>45658</v>
      </c>
      <c r="B26" s="97" t="s">
        <v>508</v>
      </c>
      <c r="D26" t="s">
        <v>552</v>
      </c>
      <c r="G26" s="37" t="s">
        <v>1107</v>
      </c>
      <c r="H26" s="63">
        <v>506000</v>
      </c>
      <c r="I26" s="63">
        <v>0</v>
      </c>
      <c r="J26" s="63">
        <v>0</v>
      </c>
      <c r="K26" s="89">
        <f t="shared" si="0"/>
        <v>0</v>
      </c>
      <c r="L26" t="s">
        <v>15</v>
      </c>
      <c r="M26" t="s">
        <v>15</v>
      </c>
      <c r="N26" t="s">
        <v>15</v>
      </c>
      <c r="O26" t="s">
        <v>15</v>
      </c>
    </row>
    <row r="27" spans="1:15" s="76" customFormat="1" ht="15.45">
      <c r="A27" s="109">
        <v>45658</v>
      </c>
      <c r="B27" s="97" t="s">
        <v>508</v>
      </c>
      <c r="D27" s="76" t="s">
        <v>553</v>
      </c>
      <c r="E27" s="118"/>
      <c r="F27" s="118"/>
      <c r="G27" s="37" t="s">
        <v>1107</v>
      </c>
      <c r="H27" s="111">
        <v>13200000</v>
      </c>
      <c r="I27" s="111">
        <v>0</v>
      </c>
      <c r="J27" s="111">
        <v>0</v>
      </c>
      <c r="K27" s="89">
        <f t="shared" si="0"/>
        <v>0</v>
      </c>
      <c r="L27" t="s">
        <v>15</v>
      </c>
      <c r="M27" t="s">
        <v>15</v>
      </c>
      <c r="N27" t="s">
        <v>15</v>
      </c>
      <c r="O27" t="s">
        <v>15</v>
      </c>
    </row>
    <row r="28" spans="1:15" s="76" customFormat="1" ht="15.45">
      <c r="A28" s="109">
        <v>45658</v>
      </c>
      <c r="B28" s="97" t="s">
        <v>15</v>
      </c>
      <c r="D28" s="76" t="s">
        <v>554</v>
      </c>
      <c r="E28" s="118"/>
      <c r="F28" s="118"/>
      <c r="G28" s="37" t="s">
        <v>1107</v>
      </c>
      <c r="H28" s="111">
        <v>261800</v>
      </c>
      <c r="I28" s="111">
        <v>0</v>
      </c>
      <c r="J28" s="111">
        <v>0</v>
      </c>
      <c r="K28" s="89">
        <f t="shared" si="0"/>
        <v>0</v>
      </c>
      <c r="L28" t="s">
        <v>15</v>
      </c>
      <c r="M28" t="s">
        <v>15</v>
      </c>
      <c r="N28" t="s">
        <v>15</v>
      </c>
      <c r="O28" t="s">
        <v>15</v>
      </c>
    </row>
    <row r="29" spans="1:15" ht="15.45">
      <c r="A29" s="97">
        <v>45658</v>
      </c>
      <c r="B29" s="97" t="s">
        <v>1106</v>
      </c>
      <c r="C29" t="s">
        <v>555</v>
      </c>
      <c r="D29" t="s">
        <v>556</v>
      </c>
      <c r="E29" s="39" t="s">
        <v>312</v>
      </c>
      <c r="F29" s="39">
        <v>2025</v>
      </c>
      <c r="G29" s="39" t="s">
        <v>149</v>
      </c>
      <c r="H29" s="74">
        <v>550000</v>
      </c>
      <c r="I29" s="63">
        <v>0</v>
      </c>
      <c r="J29" s="63">
        <v>0</v>
      </c>
      <c r="K29" s="89">
        <f t="shared" si="0"/>
        <v>0</v>
      </c>
      <c r="L29" t="s">
        <v>15</v>
      </c>
      <c r="M29" t="s">
        <v>15</v>
      </c>
      <c r="N29" t="s">
        <v>15</v>
      </c>
      <c r="O29" t="s">
        <v>15</v>
      </c>
    </row>
    <row r="30" spans="1:15" ht="15.45">
      <c r="A30" s="97">
        <v>45658</v>
      </c>
      <c r="B30" s="97" t="s">
        <v>1106</v>
      </c>
      <c r="C30" t="s">
        <v>557</v>
      </c>
      <c r="D30" t="s">
        <v>558</v>
      </c>
      <c r="E30" s="37" t="s">
        <v>314</v>
      </c>
      <c r="F30" s="39">
        <v>2025</v>
      </c>
      <c r="G30" s="39" t="s">
        <v>149</v>
      </c>
      <c r="H30" s="74">
        <v>550000</v>
      </c>
      <c r="I30" s="63">
        <v>0</v>
      </c>
      <c r="J30" s="63">
        <v>0</v>
      </c>
      <c r="K30" s="89">
        <f t="shared" si="0"/>
        <v>0</v>
      </c>
      <c r="L30" t="s">
        <v>15</v>
      </c>
      <c r="M30" t="s">
        <v>15</v>
      </c>
      <c r="N30" t="s">
        <v>15</v>
      </c>
      <c r="O30" t="s">
        <v>15</v>
      </c>
    </row>
    <row r="31" spans="1:15" ht="15.45">
      <c r="A31" s="97">
        <v>45658</v>
      </c>
      <c r="B31" s="97" t="s">
        <v>1106</v>
      </c>
      <c r="C31" t="s">
        <v>559</v>
      </c>
      <c r="D31" t="s">
        <v>558</v>
      </c>
      <c r="E31" s="37" t="s">
        <v>313</v>
      </c>
      <c r="F31" s="37">
        <v>2025</v>
      </c>
      <c r="G31" s="37" t="s">
        <v>148</v>
      </c>
      <c r="H31" s="128">
        <v>74324324</v>
      </c>
      <c r="I31" s="129">
        <v>74324324</v>
      </c>
      <c r="J31" s="129">
        <v>74324324</v>
      </c>
      <c r="K31" s="89">
        <f t="shared" si="0"/>
        <v>0</v>
      </c>
      <c r="L31" t="s">
        <v>308</v>
      </c>
      <c r="M31" s="2" t="s">
        <v>1108</v>
      </c>
      <c r="N31" t="s">
        <v>532</v>
      </c>
      <c r="O31" s="101" t="s">
        <v>313</v>
      </c>
    </row>
    <row r="32" spans="1:15" ht="15.45">
      <c r="A32" s="97">
        <v>45689</v>
      </c>
      <c r="B32" s="97" t="s">
        <v>508</v>
      </c>
      <c r="D32" t="s">
        <v>548</v>
      </c>
      <c r="G32" s="37" t="s">
        <v>1107</v>
      </c>
      <c r="H32" s="94">
        <v>1981982</v>
      </c>
      <c r="I32" s="63">
        <v>0</v>
      </c>
      <c r="J32" s="63">
        <v>0</v>
      </c>
      <c r="K32" s="89">
        <f t="shared" si="0"/>
        <v>0</v>
      </c>
      <c r="L32" t="s">
        <v>15</v>
      </c>
      <c r="M32" t="s">
        <v>15</v>
      </c>
      <c r="N32" t="s">
        <v>15</v>
      </c>
      <c r="O32" t="s">
        <v>15</v>
      </c>
    </row>
    <row r="33" spans="1:15" ht="15.45">
      <c r="A33" s="97">
        <v>45689</v>
      </c>
      <c r="B33" s="97" t="s">
        <v>508</v>
      </c>
      <c r="D33" t="s">
        <v>552</v>
      </c>
      <c r="G33" s="37" t="s">
        <v>1107</v>
      </c>
      <c r="H33" s="63">
        <v>583000</v>
      </c>
      <c r="I33" s="63">
        <v>0</v>
      </c>
      <c r="J33" s="63">
        <v>0</v>
      </c>
      <c r="K33" s="89">
        <f t="shared" si="0"/>
        <v>0</v>
      </c>
      <c r="L33" t="s">
        <v>15</v>
      </c>
      <c r="M33" t="s">
        <v>15</v>
      </c>
      <c r="N33" t="s">
        <v>15</v>
      </c>
      <c r="O33" t="s">
        <v>15</v>
      </c>
    </row>
    <row r="34" spans="1:15" ht="15.45">
      <c r="A34" s="97">
        <v>45689</v>
      </c>
      <c r="B34" s="97" t="s">
        <v>508</v>
      </c>
      <c r="D34" t="s">
        <v>552</v>
      </c>
      <c r="G34" s="37" t="s">
        <v>1107</v>
      </c>
      <c r="H34" s="63">
        <v>506000</v>
      </c>
      <c r="I34" s="63">
        <v>0</v>
      </c>
      <c r="J34" s="63">
        <v>0</v>
      </c>
      <c r="K34" s="89">
        <f t="shared" si="0"/>
        <v>0</v>
      </c>
      <c r="L34" t="s">
        <v>15</v>
      </c>
      <c r="M34" t="s">
        <v>15</v>
      </c>
      <c r="N34" t="s">
        <v>15</v>
      </c>
      <c r="O34" t="s">
        <v>15</v>
      </c>
    </row>
    <row r="35" spans="1:15" ht="15.45">
      <c r="A35" s="97">
        <v>45689</v>
      </c>
      <c r="B35" s="97" t="s">
        <v>508</v>
      </c>
      <c r="D35" t="s">
        <v>551</v>
      </c>
      <c r="G35" s="37" t="s">
        <v>1107</v>
      </c>
      <c r="H35" s="94">
        <v>6836500</v>
      </c>
      <c r="I35" s="63">
        <v>0</v>
      </c>
      <c r="J35" s="63">
        <v>0</v>
      </c>
      <c r="K35" s="89">
        <f t="shared" si="0"/>
        <v>0</v>
      </c>
      <c r="L35" t="s">
        <v>15</v>
      </c>
      <c r="M35" t="s">
        <v>15</v>
      </c>
      <c r="N35" t="s">
        <v>15</v>
      </c>
      <c r="O35" t="s">
        <v>15</v>
      </c>
    </row>
    <row r="36" spans="1:15" ht="15.45">
      <c r="A36" s="97">
        <v>45689</v>
      </c>
      <c r="B36" s="97" t="s">
        <v>508</v>
      </c>
      <c r="D36" t="s">
        <v>551</v>
      </c>
      <c r="G36" s="37" t="s">
        <v>1107</v>
      </c>
      <c r="H36" s="94">
        <v>1515525</v>
      </c>
      <c r="I36" s="63">
        <v>0</v>
      </c>
      <c r="J36" s="63">
        <v>0</v>
      </c>
      <c r="K36" s="89">
        <f t="shared" si="0"/>
        <v>0</v>
      </c>
      <c r="L36" t="s">
        <v>15</v>
      </c>
      <c r="M36" t="s">
        <v>15</v>
      </c>
      <c r="N36" t="s">
        <v>15</v>
      </c>
      <c r="O36" t="s">
        <v>15</v>
      </c>
    </row>
    <row r="37" spans="1:15" ht="15.45">
      <c r="A37" s="97">
        <v>45689</v>
      </c>
      <c r="B37" s="97" t="s">
        <v>508</v>
      </c>
      <c r="D37" t="s">
        <v>560</v>
      </c>
      <c r="G37" s="37" t="s">
        <v>1107</v>
      </c>
      <c r="H37" s="63">
        <v>2370500</v>
      </c>
      <c r="I37" s="63">
        <v>0</v>
      </c>
      <c r="J37" s="63">
        <v>0</v>
      </c>
      <c r="K37" s="89">
        <f t="shared" si="0"/>
        <v>0</v>
      </c>
      <c r="L37" t="s">
        <v>15</v>
      </c>
      <c r="M37" t="s">
        <v>15</v>
      </c>
      <c r="N37" t="s">
        <v>15</v>
      </c>
      <c r="O37" t="s">
        <v>15</v>
      </c>
    </row>
    <row r="38" spans="1:15" ht="15.45">
      <c r="A38" s="97">
        <v>45689</v>
      </c>
      <c r="B38" s="97" t="s">
        <v>508</v>
      </c>
      <c r="D38" t="s">
        <v>550</v>
      </c>
      <c r="G38" s="37" t="s">
        <v>1107</v>
      </c>
      <c r="H38" s="63">
        <v>74324</v>
      </c>
      <c r="I38" s="63">
        <v>0</v>
      </c>
      <c r="J38" s="63">
        <v>0</v>
      </c>
      <c r="K38" s="89">
        <f t="shared" si="0"/>
        <v>0</v>
      </c>
      <c r="L38" t="s">
        <v>15</v>
      </c>
      <c r="M38" t="s">
        <v>15</v>
      </c>
      <c r="N38" t="s">
        <v>15</v>
      </c>
      <c r="O38" t="s">
        <v>15</v>
      </c>
    </row>
    <row r="39" spans="1:15" ht="15.45">
      <c r="A39" s="97">
        <v>45689</v>
      </c>
      <c r="B39" s="97" t="s">
        <v>508</v>
      </c>
      <c r="D39" t="s">
        <v>561</v>
      </c>
      <c r="G39" s="37" t="s">
        <v>1107</v>
      </c>
      <c r="H39" s="63">
        <v>822522</v>
      </c>
      <c r="I39" s="63">
        <v>0</v>
      </c>
      <c r="J39" s="63">
        <v>0</v>
      </c>
      <c r="K39" s="89">
        <f t="shared" si="0"/>
        <v>0</v>
      </c>
      <c r="L39" t="s">
        <v>15</v>
      </c>
      <c r="M39" t="s">
        <v>15</v>
      </c>
      <c r="N39" t="s">
        <v>15</v>
      </c>
      <c r="O39" t="s">
        <v>15</v>
      </c>
    </row>
    <row r="40" spans="1:15" ht="15.45">
      <c r="A40" s="97">
        <v>45689</v>
      </c>
      <c r="B40" s="97" t="s">
        <v>508</v>
      </c>
      <c r="D40" t="s">
        <v>562</v>
      </c>
      <c r="G40" s="37" t="s">
        <v>1107</v>
      </c>
      <c r="H40" s="63">
        <v>22770000</v>
      </c>
      <c r="I40" s="63">
        <v>0</v>
      </c>
      <c r="J40" s="63">
        <v>0</v>
      </c>
      <c r="K40" s="89">
        <f t="shared" si="0"/>
        <v>0</v>
      </c>
      <c r="L40" t="s">
        <v>15</v>
      </c>
      <c r="M40" t="s">
        <v>15</v>
      </c>
      <c r="N40" t="s">
        <v>15</v>
      </c>
      <c r="O40" t="s">
        <v>15</v>
      </c>
    </row>
    <row r="41" spans="1:15" ht="15.45">
      <c r="A41" s="97">
        <v>45689</v>
      </c>
      <c r="B41" s="97" t="s">
        <v>508</v>
      </c>
      <c r="D41" t="s">
        <v>563</v>
      </c>
      <c r="G41" s="37" t="s">
        <v>1107</v>
      </c>
      <c r="H41" s="63">
        <v>8819820</v>
      </c>
      <c r="I41" s="63">
        <v>0</v>
      </c>
      <c r="J41" s="63">
        <v>0</v>
      </c>
      <c r="K41" s="89">
        <f t="shared" si="0"/>
        <v>0</v>
      </c>
      <c r="L41" t="s">
        <v>15</v>
      </c>
      <c r="M41" t="s">
        <v>15</v>
      </c>
      <c r="N41" t="s">
        <v>15</v>
      </c>
      <c r="O41" t="s">
        <v>15</v>
      </c>
    </row>
    <row r="42" spans="1:15" ht="15.45">
      <c r="A42" s="97">
        <v>45689</v>
      </c>
      <c r="B42" s="97" t="s">
        <v>508</v>
      </c>
      <c r="D42" t="s">
        <v>564</v>
      </c>
      <c r="G42" s="37" t="s">
        <v>1107</v>
      </c>
      <c r="H42" s="63">
        <v>385000</v>
      </c>
      <c r="I42" s="63">
        <v>0</v>
      </c>
      <c r="J42" s="63">
        <v>0</v>
      </c>
      <c r="K42" s="89">
        <f t="shared" si="0"/>
        <v>0</v>
      </c>
      <c r="L42" t="s">
        <v>15</v>
      </c>
      <c r="M42" t="s">
        <v>15</v>
      </c>
      <c r="N42" t="s">
        <v>15</v>
      </c>
      <c r="O42" t="s">
        <v>15</v>
      </c>
    </row>
    <row r="43" spans="1:15" ht="15.45">
      <c r="A43" s="97">
        <v>45689</v>
      </c>
      <c r="B43" s="97" t="s">
        <v>508</v>
      </c>
      <c r="D43" t="s">
        <v>564</v>
      </c>
      <c r="G43" s="37" t="s">
        <v>1107</v>
      </c>
      <c r="H43" s="63">
        <v>385000</v>
      </c>
      <c r="I43" s="63">
        <v>0</v>
      </c>
      <c r="J43" s="63">
        <v>0</v>
      </c>
      <c r="K43" s="89">
        <f t="shared" si="0"/>
        <v>0</v>
      </c>
      <c r="L43" t="s">
        <v>15</v>
      </c>
      <c r="M43" t="s">
        <v>15</v>
      </c>
      <c r="N43" t="s">
        <v>15</v>
      </c>
      <c r="O43" t="s">
        <v>15</v>
      </c>
    </row>
    <row r="44" spans="1:15" ht="15.45">
      <c r="A44" s="97">
        <v>45689</v>
      </c>
      <c r="B44" s="97" t="s">
        <v>1106</v>
      </c>
      <c r="C44" t="s">
        <v>565</v>
      </c>
      <c r="D44" t="s">
        <v>566</v>
      </c>
      <c r="E44" s="39" t="s">
        <v>315</v>
      </c>
      <c r="F44" s="37">
        <v>2025</v>
      </c>
      <c r="G44" s="37" t="s">
        <v>148</v>
      </c>
      <c r="H44" s="41">
        <v>74324324</v>
      </c>
      <c r="I44" s="129">
        <v>74324324</v>
      </c>
      <c r="J44" s="129">
        <v>74324324</v>
      </c>
      <c r="K44" s="89">
        <f t="shared" si="0"/>
        <v>0</v>
      </c>
      <c r="L44" t="s">
        <v>308</v>
      </c>
      <c r="M44" s="2" t="s">
        <v>1108</v>
      </c>
      <c r="N44" t="s">
        <v>532</v>
      </c>
      <c r="O44" s="101" t="s">
        <v>315</v>
      </c>
    </row>
    <row r="45" spans="1:15" ht="15.45">
      <c r="A45" s="97">
        <v>45689</v>
      </c>
      <c r="B45" s="97" t="s">
        <v>1106</v>
      </c>
      <c r="C45" t="s">
        <v>567</v>
      </c>
      <c r="D45" t="s">
        <v>568</v>
      </c>
      <c r="E45" s="37" t="s">
        <v>569</v>
      </c>
      <c r="F45" s="37">
        <v>2025</v>
      </c>
      <c r="G45" s="37" t="s">
        <v>148</v>
      </c>
      <c r="H45" s="41">
        <v>9909910</v>
      </c>
      <c r="I45" s="41">
        <v>9909910</v>
      </c>
      <c r="J45" s="41">
        <v>9909910</v>
      </c>
      <c r="K45" s="89">
        <f t="shared" si="0"/>
        <v>0</v>
      </c>
      <c r="L45" t="s">
        <v>308</v>
      </c>
      <c r="M45" s="2" t="s">
        <v>1108</v>
      </c>
      <c r="N45" t="s">
        <v>532</v>
      </c>
      <c r="O45" s="101" t="s">
        <v>569</v>
      </c>
    </row>
    <row r="46" spans="1:15" ht="15.45">
      <c r="A46" s="97">
        <v>45689</v>
      </c>
      <c r="B46" s="97" t="s">
        <v>1106</v>
      </c>
      <c r="C46" t="s">
        <v>570</v>
      </c>
      <c r="D46" t="s">
        <v>571</v>
      </c>
      <c r="E46" s="37" t="s">
        <v>572</v>
      </c>
      <c r="F46" s="37">
        <v>2025</v>
      </c>
      <c r="G46" s="37" t="s">
        <v>148</v>
      </c>
      <c r="H46" s="41">
        <v>24774775</v>
      </c>
      <c r="I46" s="41">
        <v>24774775</v>
      </c>
      <c r="J46" s="41">
        <v>24774775</v>
      </c>
      <c r="K46" s="89">
        <f t="shared" si="0"/>
        <v>0</v>
      </c>
      <c r="L46" t="s">
        <v>308</v>
      </c>
      <c r="M46" s="2" t="s">
        <v>1108</v>
      </c>
      <c r="N46" t="s">
        <v>532</v>
      </c>
      <c r="O46" s="101" t="s">
        <v>315</v>
      </c>
    </row>
    <row r="47" spans="1:15" ht="15.45">
      <c r="A47" s="97">
        <v>45689</v>
      </c>
      <c r="B47" s="97" t="s">
        <v>1106</v>
      </c>
      <c r="C47" t="s">
        <v>573</v>
      </c>
      <c r="D47" t="s">
        <v>574</v>
      </c>
      <c r="E47" s="37" t="s">
        <v>316</v>
      </c>
      <c r="F47" s="37">
        <v>2025</v>
      </c>
      <c r="G47" s="37" t="s">
        <v>148</v>
      </c>
      <c r="H47" s="94">
        <v>5500000</v>
      </c>
      <c r="I47" s="94">
        <v>5500000</v>
      </c>
      <c r="J47" s="94">
        <v>0</v>
      </c>
      <c r="K47" s="89">
        <f t="shared" si="0"/>
        <v>5500000</v>
      </c>
      <c r="L47" t="s">
        <v>1</v>
      </c>
      <c r="M47" t="s">
        <v>40</v>
      </c>
      <c r="N47" t="s">
        <v>532</v>
      </c>
    </row>
    <row r="48" spans="1:15" ht="15.45">
      <c r="A48" s="97">
        <v>45689</v>
      </c>
      <c r="B48" s="97" t="s">
        <v>1106</v>
      </c>
      <c r="C48" t="s">
        <v>575</v>
      </c>
      <c r="D48" t="s">
        <v>576</v>
      </c>
      <c r="E48" s="37" t="s">
        <v>577</v>
      </c>
      <c r="F48" s="37">
        <v>2025</v>
      </c>
      <c r="G48" s="37" t="s">
        <v>148</v>
      </c>
      <c r="H48" s="41">
        <v>8250000</v>
      </c>
      <c r="I48" s="41">
        <v>8250000</v>
      </c>
      <c r="J48" s="41">
        <v>8250000</v>
      </c>
      <c r="K48" s="89">
        <f t="shared" si="0"/>
        <v>0</v>
      </c>
      <c r="L48" t="s">
        <v>308</v>
      </c>
      <c r="M48" s="2" t="s">
        <v>1108</v>
      </c>
      <c r="N48" t="s">
        <v>532</v>
      </c>
      <c r="O48" s="101" t="s">
        <v>577</v>
      </c>
    </row>
    <row r="49" spans="1:15" ht="15.45">
      <c r="A49" s="97">
        <v>45689</v>
      </c>
      <c r="B49" s="97" t="s">
        <v>1106</v>
      </c>
      <c r="C49" t="s">
        <v>578</v>
      </c>
      <c r="D49" t="s">
        <v>571</v>
      </c>
      <c r="E49" s="37" t="s">
        <v>572</v>
      </c>
      <c r="F49" s="37">
        <v>2025</v>
      </c>
      <c r="G49" s="37" t="s">
        <v>148</v>
      </c>
      <c r="H49" s="40">
        <v>1216600</v>
      </c>
      <c r="I49" s="41">
        <v>1216600</v>
      </c>
      <c r="J49" s="41">
        <v>1216600</v>
      </c>
      <c r="K49" s="89">
        <f t="shared" si="0"/>
        <v>0</v>
      </c>
      <c r="L49" t="s">
        <v>308</v>
      </c>
      <c r="M49" s="2" t="s">
        <v>1108</v>
      </c>
      <c r="N49" t="s">
        <v>532</v>
      </c>
      <c r="O49" s="101" t="s">
        <v>572</v>
      </c>
    </row>
    <row r="50" spans="1:15" ht="15.45">
      <c r="A50" s="97">
        <v>45689</v>
      </c>
      <c r="B50" s="97" t="s">
        <v>1106</v>
      </c>
      <c r="C50" t="s">
        <v>579</v>
      </c>
      <c r="D50" t="s">
        <v>556</v>
      </c>
      <c r="E50" s="37" t="s">
        <v>580</v>
      </c>
      <c r="F50" s="37">
        <v>2025</v>
      </c>
      <c r="G50" s="37" t="s">
        <v>148</v>
      </c>
      <c r="H50" s="41">
        <v>24774775</v>
      </c>
      <c r="I50" s="41">
        <v>24774775</v>
      </c>
      <c r="J50" s="41">
        <v>24774775</v>
      </c>
      <c r="K50" s="89">
        <f t="shared" si="0"/>
        <v>0</v>
      </c>
      <c r="L50" t="s">
        <v>308</v>
      </c>
      <c r="M50" s="2" t="s">
        <v>1108</v>
      </c>
      <c r="N50" t="s">
        <v>532</v>
      </c>
      <c r="O50" s="101" t="s">
        <v>580</v>
      </c>
    </row>
    <row r="51" spans="1:15" ht="15.45">
      <c r="A51" s="97">
        <v>45689</v>
      </c>
      <c r="B51" s="97" t="s">
        <v>1106</v>
      </c>
      <c r="C51" t="s">
        <v>581</v>
      </c>
      <c r="D51" t="s">
        <v>582</v>
      </c>
      <c r="E51" s="37" t="s">
        <v>583</v>
      </c>
      <c r="F51" s="37">
        <v>2025</v>
      </c>
      <c r="G51" s="37" t="s">
        <v>148</v>
      </c>
      <c r="H51" s="41">
        <v>7432432</v>
      </c>
      <c r="I51" s="41">
        <v>7432432</v>
      </c>
      <c r="J51" s="41">
        <v>7432432</v>
      </c>
      <c r="K51" s="89">
        <f t="shared" si="0"/>
        <v>0</v>
      </c>
      <c r="L51" t="s">
        <v>308</v>
      </c>
      <c r="M51" s="2" t="s">
        <v>1108</v>
      </c>
      <c r="N51" t="s">
        <v>532</v>
      </c>
      <c r="O51" s="101" t="s">
        <v>583</v>
      </c>
    </row>
    <row r="52" spans="1:15" ht="15.45">
      <c r="A52" s="97">
        <v>45689</v>
      </c>
      <c r="B52" s="97" t="s">
        <v>1106</v>
      </c>
      <c r="C52" t="s">
        <v>584</v>
      </c>
      <c r="D52" t="s">
        <v>585</v>
      </c>
      <c r="E52" s="37" t="s">
        <v>586</v>
      </c>
      <c r="F52" s="37">
        <v>2025</v>
      </c>
      <c r="G52" s="37" t="s">
        <v>148</v>
      </c>
      <c r="H52" s="41">
        <v>24774775</v>
      </c>
      <c r="I52" s="41">
        <v>24774775</v>
      </c>
      <c r="J52" s="41">
        <v>24774775</v>
      </c>
      <c r="K52" s="89">
        <f t="shared" si="0"/>
        <v>0</v>
      </c>
      <c r="L52" t="s">
        <v>308</v>
      </c>
      <c r="M52" s="2" t="s">
        <v>1108</v>
      </c>
      <c r="N52" t="s">
        <v>532</v>
      </c>
      <c r="O52" s="101" t="s">
        <v>586</v>
      </c>
    </row>
    <row r="53" spans="1:15" ht="15.45">
      <c r="A53" s="97">
        <v>45689</v>
      </c>
      <c r="B53" s="97" t="s">
        <v>1106</v>
      </c>
      <c r="C53" t="s">
        <v>587</v>
      </c>
      <c r="D53" t="s">
        <v>209</v>
      </c>
      <c r="E53" s="37" t="s">
        <v>588</v>
      </c>
      <c r="F53" s="37">
        <v>2025</v>
      </c>
      <c r="G53" s="37" t="s">
        <v>148</v>
      </c>
      <c r="H53" s="41">
        <v>9909910</v>
      </c>
      <c r="I53" s="41">
        <v>9909910</v>
      </c>
      <c r="J53" s="41">
        <v>9909910</v>
      </c>
      <c r="K53" s="89">
        <f t="shared" si="0"/>
        <v>0</v>
      </c>
      <c r="L53" t="s">
        <v>308</v>
      </c>
      <c r="M53" s="2" t="s">
        <v>1108</v>
      </c>
      <c r="N53" t="s">
        <v>532</v>
      </c>
      <c r="O53" s="101" t="s">
        <v>588</v>
      </c>
    </row>
    <row r="54" spans="1:15" ht="15.45">
      <c r="A54" s="97">
        <v>45689</v>
      </c>
      <c r="B54" s="97" t="s">
        <v>1106</v>
      </c>
      <c r="C54" t="s">
        <v>589</v>
      </c>
      <c r="D54" t="s">
        <v>590</v>
      </c>
      <c r="E54" s="37" t="s">
        <v>591</v>
      </c>
      <c r="F54" s="37">
        <v>2025</v>
      </c>
      <c r="G54" s="37" t="s">
        <v>148</v>
      </c>
      <c r="H54" s="41">
        <v>4954955</v>
      </c>
      <c r="I54" s="41">
        <v>4954955</v>
      </c>
      <c r="J54" s="41">
        <v>4954955</v>
      </c>
      <c r="K54" s="89">
        <f t="shared" si="0"/>
        <v>0</v>
      </c>
      <c r="L54" t="s">
        <v>308</v>
      </c>
      <c r="M54" s="2" t="s">
        <v>1108</v>
      </c>
      <c r="N54" t="s">
        <v>532</v>
      </c>
      <c r="O54" s="101" t="s">
        <v>591</v>
      </c>
    </row>
    <row r="55" spans="1:15" ht="15.45">
      <c r="A55" s="97">
        <v>45689</v>
      </c>
      <c r="B55" s="97" t="s">
        <v>1106</v>
      </c>
      <c r="C55" t="s">
        <v>592</v>
      </c>
      <c r="D55" t="s">
        <v>593</v>
      </c>
      <c r="E55" s="37" t="s">
        <v>594</v>
      </c>
      <c r="F55" s="37">
        <v>2025</v>
      </c>
      <c r="G55" s="37" t="s">
        <v>148</v>
      </c>
      <c r="H55" s="41">
        <v>4954955</v>
      </c>
      <c r="I55" s="41">
        <v>4954955</v>
      </c>
      <c r="J55" s="41">
        <v>4954955</v>
      </c>
      <c r="K55" s="89">
        <f t="shared" si="0"/>
        <v>0</v>
      </c>
      <c r="L55" t="s">
        <v>308</v>
      </c>
      <c r="M55" s="2" t="s">
        <v>1108</v>
      </c>
      <c r="N55" t="s">
        <v>532</v>
      </c>
      <c r="O55" s="101" t="s">
        <v>594</v>
      </c>
    </row>
    <row r="56" spans="1:15" s="30" customFormat="1" ht="15.45">
      <c r="A56" s="99">
        <v>45689</v>
      </c>
      <c r="B56" s="97" t="s">
        <v>1106</v>
      </c>
      <c r="C56" s="30" t="s">
        <v>595</v>
      </c>
      <c r="D56" s="30" t="s">
        <v>207</v>
      </c>
      <c r="E56" s="39" t="s">
        <v>596</v>
      </c>
      <c r="F56" s="39">
        <v>2025</v>
      </c>
      <c r="G56" s="37" t="s">
        <v>148</v>
      </c>
      <c r="H56" s="41">
        <v>3468469</v>
      </c>
      <c r="I56" s="41">
        <v>3468469</v>
      </c>
      <c r="J56" s="41">
        <v>3468469</v>
      </c>
      <c r="K56" s="89">
        <f t="shared" si="0"/>
        <v>0</v>
      </c>
      <c r="L56" t="s">
        <v>308</v>
      </c>
      <c r="M56" s="2" t="s">
        <v>1108</v>
      </c>
      <c r="N56" t="s">
        <v>532</v>
      </c>
      <c r="O56" s="105" t="s">
        <v>596</v>
      </c>
    </row>
    <row r="57" spans="1:15" ht="15.45">
      <c r="A57" s="97">
        <v>45689</v>
      </c>
      <c r="B57" s="97" t="s">
        <v>1106</v>
      </c>
      <c r="C57" t="s">
        <v>597</v>
      </c>
      <c r="D57" t="s">
        <v>598</v>
      </c>
      <c r="E57" s="37" t="s">
        <v>599</v>
      </c>
      <c r="F57" s="37">
        <v>2025</v>
      </c>
      <c r="G57" s="37" t="s">
        <v>148</v>
      </c>
      <c r="H57" s="41">
        <v>5500000</v>
      </c>
      <c r="I57" s="41">
        <v>5500000</v>
      </c>
      <c r="J57" s="41">
        <v>5500000</v>
      </c>
      <c r="K57" s="89">
        <f t="shared" si="0"/>
        <v>0</v>
      </c>
      <c r="L57" t="s">
        <v>308</v>
      </c>
      <c r="M57" s="2" t="s">
        <v>1108</v>
      </c>
      <c r="N57" t="s">
        <v>532</v>
      </c>
      <c r="O57" s="101" t="s">
        <v>599</v>
      </c>
    </row>
    <row r="58" spans="1:15" ht="15.45">
      <c r="A58" s="97">
        <v>45689</v>
      </c>
      <c r="B58" s="97" t="s">
        <v>1106</v>
      </c>
      <c r="C58" t="s">
        <v>600</v>
      </c>
      <c r="D58" t="s">
        <v>205</v>
      </c>
      <c r="E58" s="37" t="s">
        <v>601</v>
      </c>
      <c r="F58" s="37">
        <v>2025</v>
      </c>
      <c r="G58" s="37" t="s">
        <v>148</v>
      </c>
      <c r="H58" s="41">
        <v>9909910</v>
      </c>
      <c r="I58" s="41">
        <v>9909910</v>
      </c>
      <c r="J58" s="41">
        <v>9909910</v>
      </c>
      <c r="K58" s="89">
        <f t="shared" si="0"/>
        <v>0</v>
      </c>
      <c r="L58" t="s">
        <v>308</v>
      </c>
      <c r="M58" s="2" t="s">
        <v>1108</v>
      </c>
      <c r="N58" t="s">
        <v>532</v>
      </c>
      <c r="O58" s="101" t="s">
        <v>601</v>
      </c>
    </row>
    <row r="59" spans="1:15" ht="15.45">
      <c r="A59" s="97">
        <v>45689</v>
      </c>
      <c r="B59" s="97" t="s">
        <v>1106</v>
      </c>
      <c r="C59" t="s">
        <v>602</v>
      </c>
      <c r="D59" t="s">
        <v>603</v>
      </c>
      <c r="E59" s="37" t="s">
        <v>604</v>
      </c>
      <c r="F59" s="37">
        <v>2025</v>
      </c>
      <c r="G59" s="37" t="s">
        <v>148</v>
      </c>
      <c r="H59" s="41">
        <v>24774775</v>
      </c>
      <c r="I59" s="41">
        <v>24774775</v>
      </c>
      <c r="J59" s="41">
        <v>24774775</v>
      </c>
      <c r="K59" s="89">
        <f t="shared" si="0"/>
        <v>0</v>
      </c>
      <c r="L59" t="s">
        <v>308</v>
      </c>
      <c r="M59" s="2" t="s">
        <v>1108</v>
      </c>
      <c r="N59" t="s">
        <v>532</v>
      </c>
      <c r="O59" s="101" t="s">
        <v>604</v>
      </c>
    </row>
    <row r="60" spans="1:15" ht="15.45">
      <c r="A60" s="97">
        <v>45689</v>
      </c>
      <c r="B60" s="97" t="s">
        <v>1106</v>
      </c>
      <c r="C60" t="s">
        <v>605</v>
      </c>
      <c r="D60" t="s">
        <v>606</v>
      </c>
      <c r="E60" s="37" t="s">
        <v>607</v>
      </c>
      <c r="F60" s="37">
        <v>2025</v>
      </c>
      <c r="G60" s="37" t="s">
        <v>148</v>
      </c>
      <c r="H60" s="41">
        <v>1650000</v>
      </c>
      <c r="I60" s="41">
        <v>1650000</v>
      </c>
      <c r="J60" s="41">
        <v>1650000</v>
      </c>
      <c r="K60" s="89">
        <f t="shared" si="0"/>
        <v>0</v>
      </c>
      <c r="L60" t="s">
        <v>308</v>
      </c>
      <c r="M60" s="2" t="s">
        <v>1108</v>
      </c>
      <c r="N60" t="s">
        <v>532</v>
      </c>
      <c r="O60" s="101" t="s">
        <v>607</v>
      </c>
    </row>
    <row r="61" spans="1:15" ht="15.45">
      <c r="A61" s="97">
        <v>45689</v>
      </c>
      <c r="B61" s="97" t="s">
        <v>1106</v>
      </c>
      <c r="C61" t="s">
        <v>608</v>
      </c>
      <c r="D61" t="s">
        <v>609</v>
      </c>
      <c r="E61" s="37" t="s">
        <v>610</v>
      </c>
      <c r="F61" s="37">
        <v>2025</v>
      </c>
      <c r="G61" s="37" t="s">
        <v>148</v>
      </c>
      <c r="H61" s="40">
        <v>2477478</v>
      </c>
      <c r="I61" s="41">
        <v>2477478</v>
      </c>
      <c r="J61" s="41">
        <v>2477478</v>
      </c>
      <c r="K61" s="89">
        <f t="shared" si="0"/>
        <v>0</v>
      </c>
      <c r="L61" t="s">
        <v>308</v>
      </c>
      <c r="M61" s="2" t="s">
        <v>1108</v>
      </c>
      <c r="N61" t="s">
        <v>532</v>
      </c>
      <c r="O61" s="101" t="s">
        <v>610</v>
      </c>
    </row>
    <row r="62" spans="1:15" ht="15.45">
      <c r="A62" s="97">
        <v>45689</v>
      </c>
      <c r="B62" s="97" t="s">
        <v>1106</v>
      </c>
      <c r="C62" t="s">
        <v>611</v>
      </c>
      <c r="D62" t="s">
        <v>612</v>
      </c>
      <c r="E62" s="37" t="s">
        <v>613</v>
      </c>
      <c r="F62" s="37">
        <v>2025</v>
      </c>
      <c r="G62" s="37" t="s">
        <v>148</v>
      </c>
      <c r="H62" s="41">
        <v>7432432</v>
      </c>
      <c r="I62" s="41">
        <v>7432432</v>
      </c>
      <c r="J62" s="41">
        <v>7432432</v>
      </c>
      <c r="K62" s="89">
        <f t="shared" si="0"/>
        <v>0</v>
      </c>
      <c r="L62" t="s">
        <v>308</v>
      </c>
      <c r="M62" s="2" t="s">
        <v>1108</v>
      </c>
      <c r="N62" t="s">
        <v>532</v>
      </c>
      <c r="O62" s="101" t="s">
        <v>613</v>
      </c>
    </row>
    <row r="63" spans="1:15" ht="15.45">
      <c r="A63" s="97">
        <v>45689</v>
      </c>
      <c r="B63" s="97" t="s">
        <v>1106</v>
      </c>
      <c r="C63" t="s">
        <v>614</v>
      </c>
      <c r="D63" t="s">
        <v>615</v>
      </c>
      <c r="E63" s="37" t="s">
        <v>616</v>
      </c>
      <c r="F63" s="37">
        <v>2025</v>
      </c>
      <c r="G63" s="37" t="s">
        <v>148</v>
      </c>
      <c r="H63" s="41">
        <v>7432432</v>
      </c>
      <c r="I63" s="41">
        <v>7432432</v>
      </c>
      <c r="J63" s="41">
        <v>7432432</v>
      </c>
      <c r="K63" s="89">
        <f t="shared" si="0"/>
        <v>0</v>
      </c>
      <c r="L63" t="s">
        <v>308</v>
      </c>
      <c r="M63" s="2" t="s">
        <v>1108</v>
      </c>
      <c r="N63" t="s">
        <v>532</v>
      </c>
      <c r="O63" s="101" t="s">
        <v>616</v>
      </c>
    </row>
    <row r="64" spans="1:15" ht="15.45">
      <c r="A64" s="97">
        <v>45689</v>
      </c>
      <c r="B64" s="97" t="s">
        <v>1106</v>
      </c>
      <c r="C64" t="s">
        <v>617</v>
      </c>
      <c r="D64" t="s">
        <v>618</v>
      </c>
      <c r="E64" s="37" t="s">
        <v>619</v>
      </c>
      <c r="F64" s="37">
        <v>2025</v>
      </c>
      <c r="G64" s="37" t="s">
        <v>148</v>
      </c>
      <c r="H64" s="41">
        <v>8250000</v>
      </c>
      <c r="I64" s="41">
        <v>8250000</v>
      </c>
      <c r="J64" s="41">
        <v>8250000</v>
      </c>
      <c r="K64" s="89">
        <f t="shared" si="0"/>
        <v>0</v>
      </c>
      <c r="L64" t="s">
        <v>308</v>
      </c>
      <c r="M64" s="2" t="s">
        <v>1108</v>
      </c>
      <c r="N64" t="s">
        <v>532</v>
      </c>
      <c r="O64" s="101" t="s">
        <v>619</v>
      </c>
    </row>
    <row r="65" spans="1:15" ht="15.45">
      <c r="A65" s="97">
        <v>45689</v>
      </c>
      <c r="B65" s="97" t="s">
        <v>1106</v>
      </c>
      <c r="C65" t="s">
        <v>620</v>
      </c>
      <c r="D65" t="s">
        <v>621</v>
      </c>
      <c r="E65" s="37" t="s">
        <v>622</v>
      </c>
      <c r="F65" s="37">
        <v>2025</v>
      </c>
      <c r="G65" s="37" t="s">
        <v>148</v>
      </c>
      <c r="H65" s="41">
        <v>4954955</v>
      </c>
      <c r="I65" s="41">
        <v>4954955</v>
      </c>
      <c r="J65" s="41">
        <v>4954955</v>
      </c>
      <c r="K65" s="89">
        <f t="shared" si="0"/>
        <v>0</v>
      </c>
      <c r="L65" t="s">
        <v>308</v>
      </c>
      <c r="M65" s="2" t="s">
        <v>1108</v>
      </c>
      <c r="N65" t="s">
        <v>532</v>
      </c>
      <c r="O65" s="101" t="s">
        <v>622</v>
      </c>
    </row>
    <row r="66" spans="1:15" ht="15.45">
      <c r="A66" s="97">
        <v>45689</v>
      </c>
      <c r="B66" s="97" t="s">
        <v>1106</v>
      </c>
      <c r="C66" t="s">
        <v>623</v>
      </c>
      <c r="D66" t="s">
        <v>624</v>
      </c>
      <c r="E66" s="37" t="s">
        <v>625</v>
      </c>
      <c r="F66" s="37">
        <v>2025</v>
      </c>
      <c r="G66" s="37" t="s">
        <v>148</v>
      </c>
      <c r="H66" s="41">
        <v>5500000</v>
      </c>
      <c r="I66" s="41">
        <v>5500000</v>
      </c>
      <c r="J66" s="41">
        <v>5500000</v>
      </c>
      <c r="K66" s="89">
        <f t="shared" si="0"/>
        <v>0</v>
      </c>
      <c r="L66" t="s">
        <v>308</v>
      </c>
      <c r="M66" s="2" t="s">
        <v>1108</v>
      </c>
      <c r="N66" t="s">
        <v>532</v>
      </c>
      <c r="O66" s="101" t="s">
        <v>625</v>
      </c>
    </row>
    <row r="67" spans="1:15" ht="15.45">
      <c r="A67" s="97">
        <v>45689</v>
      </c>
      <c r="B67" s="97" t="s">
        <v>1106</v>
      </c>
      <c r="C67" t="s">
        <v>626</v>
      </c>
      <c r="D67" t="s">
        <v>627</v>
      </c>
      <c r="E67" s="37" t="s">
        <v>628</v>
      </c>
      <c r="F67" s="37">
        <v>2025</v>
      </c>
      <c r="G67" s="37" t="s">
        <v>148</v>
      </c>
      <c r="H67" s="94">
        <v>4954955</v>
      </c>
      <c r="I67" s="94">
        <v>4954955</v>
      </c>
      <c r="J67" s="94">
        <v>0</v>
      </c>
      <c r="K67" s="89">
        <f t="shared" si="0"/>
        <v>4954955</v>
      </c>
      <c r="L67" t="s">
        <v>1</v>
      </c>
      <c r="M67" t="s">
        <v>40</v>
      </c>
      <c r="N67" t="s">
        <v>532</v>
      </c>
    </row>
    <row r="68" spans="1:15" ht="15.45">
      <c r="A68" s="97">
        <v>45689</v>
      </c>
      <c r="B68" s="97" t="s">
        <v>1106</v>
      </c>
      <c r="C68" t="s">
        <v>629</v>
      </c>
      <c r="D68" t="s">
        <v>630</v>
      </c>
      <c r="E68" s="37" t="s">
        <v>631</v>
      </c>
      <c r="F68" s="37">
        <v>2025</v>
      </c>
      <c r="G68" s="37" t="s">
        <v>148</v>
      </c>
      <c r="H68" s="41">
        <v>24774775</v>
      </c>
      <c r="I68" s="41">
        <v>24774775</v>
      </c>
      <c r="J68" s="41">
        <v>24774775</v>
      </c>
      <c r="K68" s="89">
        <f t="shared" si="0"/>
        <v>0</v>
      </c>
      <c r="L68" t="s">
        <v>308</v>
      </c>
      <c r="M68" s="2" t="s">
        <v>1108</v>
      </c>
      <c r="N68" t="s">
        <v>532</v>
      </c>
      <c r="O68" s="101" t="s">
        <v>631</v>
      </c>
    </row>
    <row r="69" spans="1:15" ht="15.45">
      <c r="A69" s="97">
        <v>45689</v>
      </c>
      <c r="B69" s="97" t="s">
        <v>1106</v>
      </c>
      <c r="C69" t="s">
        <v>632</v>
      </c>
      <c r="D69" t="s">
        <v>633</v>
      </c>
      <c r="E69" s="37" t="s">
        <v>634</v>
      </c>
      <c r="F69" s="37">
        <v>2025</v>
      </c>
      <c r="G69" s="37" t="s">
        <v>148</v>
      </c>
      <c r="H69" s="41">
        <v>3300000</v>
      </c>
      <c r="I69" s="41">
        <v>3300000</v>
      </c>
      <c r="J69" s="41">
        <v>3300000</v>
      </c>
      <c r="K69" s="89">
        <f t="shared" si="0"/>
        <v>0</v>
      </c>
      <c r="L69" t="s">
        <v>308</v>
      </c>
      <c r="M69" s="2" t="s">
        <v>1108</v>
      </c>
      <c r="N69" t="s">
        <v>532</v>
      </c>
      <c r="O69" s="101" t="s">
        <v>634</v>
      </c>
    </row>
    <row r="70" spans="1:15" ht="15.45">
      <c r="A70" s="97">
        <v>45689</v>
      </c>
      <c r="B70" s="97" t="s">
        <v>1106</v>
      </c>
      <c r="C70" t="s">
        <v>636</v>
      </c>
      <c r="D70" t="s">
        <v>637</v>
      </c>
      <c r="E70" s="37" t="s">
        <v>638</v>
      </c>
      <c r="F70" s="37">
        <v>2025</v>
      </c>
      <c r="G70" s="37" t="s">
        <v>148</v>
      </c>
      <c r="H70" s="41">
        <v>27500000</v>
      </c>
      <c r="I70" s="41">
        <v>27500000</v>
      </c>
      <c r="J70" s="41">
        <v>27500000</v>
      </c>
      <c r="K70" s="89">
        <f t="shared" ref="K70:K133" si="1">I70-J70</f>
        <v>0</v>
      </c>
      <c r="L70" t="s">
        <v>308</v>
      </c>
      <c r="M70" s="2" t="s">
        <v>1108</v>
      </c>
      <c r="N70" t="s">
        <v>532</v>
      </c>
      <c r="O70" s="101" t="s">
        <v>638</v>
      </c>
    </row>
    <row r="71" spans="1:15" ht="15.45">
      <c r="A71" s="97">
        <v>45689</v>
      </c>
      <c r="B71" s="97" t="s">
        <v>1106</v>
      </c>
      <c r="C71" t="s">
        <v>639</v>
      </c>
      <c r="D71" t="s">
        <v>640</v>
      </c>
      <c r="E71" s="37" t="s">
        <v>641</v>
      </c>
      <c r="F71" s="37">
        <v>2025</v>
      </c>
      <c r="G71" s="37" t="s">
        <v>148</v>
      </c>
      <c r="H71" s="41">
        <v>9909910</v>
      </c>
      <c r="I71" s="41">
        <v>9909910</v>
      </c>
      <c r="J71" s="41">
        <v>9909910</v>
      </c>
      <c r="K71" s="89">
        <f t="shared" si="1"/>
        <v>0</v>
      </c>
      <c r="L71" t="s">
        <v>308</v>
      </c>
      <c r="M71" s="2" t="s">
        <v>1108</v>
      </c>
      <c r="N71" t="s">
        <v>532</v>
      </c>
      <c r="O71" s="101" t="s">
        <v>641</v>
      </c>
    </row>
    <row r="72" spans="1:15" ht="15.45">
      <c r="A72" s="97">
        <v>45689</v>
      </c>
      <c r="B72" s="97" t="s">
        <v>1106</v>
      </c>
      <c r="C72" t="s">
        <v>642</v>
      </c>
      <c r="D72" t="s">
        <v>643</v>
      </c>
      <c r="E72" s="37" t="s">
        <v>644</v>
      </c>
      <c r="F72" s="37">
        <v>2025</v>
      </c>
      <c r="G72" s="37" t="s">
        <v>148</v>
      </c>
      <c r="H72" s="41">
        <v>4954955</v>
      </c>
      <c r="I72" s="41">
        <v>4954955</v>
      </c>
      <c r="J72" s="41">
        <v>4954955</v>
      </c>
      <c r="K72" s="89">
        <f t="shared" si="1"/>
        <v>0</v>
      </c>
      <c r="L72" t="s">
        <v>308</v>
      </c>
      <c r="M72" s="2" t="s">
        <v>1108</v>
      </c>
      <c r="N72" s="45" t="s">
        <v>532</v>
      </c>
      <c r="O72" s="101" t="s">
        <v>644</v>
      </c>
    </row>
    <row r="73" spans="1:15" ht="15.45">
      <c r="A73" s="97">
        <v>45689</v>
      </c>
      <c r="B73" s="97" t="s">
        <v>1106</v>
      </c>
      <c r="C73" t="s">
        <v>645</v>
      </c>
      <c r="D73" t="s">
        <v>646</v>
      </c>
      <c r="E73" s="37" t="s">
        <v>647</v>
      </c>
      <c r="F73" s="37">
        <v>2025</v>
      </c>
      <c r="G73" s="37" t="s">
        <v>148</v>
      </c>
      <c r="H73" s="41">
        <v>1190750</v>
      </c>
      <c r="I73" s="41">
        <v>1190750</v>
      </c>
      <c r="J73" s="41">
        <v>1190750</v>
      </c>
      <c r="K73" s="89">
        <f t="shared" si="1"/>
        <v>0</v>
      </c>
      <c r="L73" t="s">
        <v>308</v>
      </c>
      <c r="M73" s="2" t="s">
        <v>1108</v>
      </c>
      <c r="N73" s="45" t="s">
        <v>532</v>
      </c>
      <c r="O73" s="101" t="s">
        <v>647</v>
      </c>
    </row>
    <row r="74" spans="1:15" ht="15.45">
      <c r="A74" s="97">
        <v>45689</v>
      </c>
      <c r="B74" s="97" t="s">
        <v>1106</v>
      </c>
      <c r="C74" t="s">
        <v>648</v>
      </c>
      <c r="D74" t="s">
        <v>646</v>
      </c>
      <c r="E74" s="37" t="s">
        <v>649</v>
      </c>
      <c r="F74" s="37">
        <v>2025</v>
      </c>
      <c r="G74" s="37" t="s">
        <v>148</v>
      </c>
      <c r="H74" s="41">
        <v>1190750</v>
      </c>
      <c r="I74" s="41">
        <v>1190750</v>
      </c>
      <c r="J74" s="41">
        <v>1190750</v>
      </c>
      <c r="K74" s="89">
        <f t="shared" si="1"/>
        <v>0</v>
      </c>
      <c r="L74" t="s">
        <v>308</v>
      </c>
      <c r="M74" s="2" t="s">
        <v>1108</v>
      </c>
      <c r="N74" s="45" t="s">
        <v>532</v>
      </c>
      <c r="O74" s="101" t="s">
        <v>649</v>
      </c>
    </row>
    <row r="75" spans="1:15" s="30" customFormat="1" ht="15.45">
      <c r="A75" s="99">
        <v>45689</v>
      </c>
      <c r="B75" s="97" t="s">
        <v>1106</v>
      </c>
      <c r="C75" s="30" t="s">
        <v>650</v>
      </c>
      <c r="D75" s="30" t="s">
        <v>651</v>
      </c>
      <c r="E75" s="39" t="s">
        <v>652</v>
      </c>
      <c r="F75" s="37">
        <v>2024</v>
      </c>
      <c r="G75" s="37" t="s">
        <v>148</v>
      </c>
      <c r="H75" s="40">
        <v>1859649</v>
      </c>
      <c r="I75" s="40">
        <v>1859649</v>
      </c>
      <c r="J75" s="40">
        <v>1859649</v>
      </c>
      <c r="K75" s="89">
        <f t="shared" si="1"/>
        <v>0</v>
      </c>
      <c r="L75" t="s">
        <v>308</v>
      </c>
      <c r="M75" s="2" t="s">
        <v>1108</v>
      </c>
      <c r="N75" s="2" t="s">
        <v>533</v>
      </c>
      <c r="O75" s="30" t="s">
        <v>422</v>
      </c>
    </row>
    <row r="76" spans="1:15" ht="15.45">
      <c r="A76" s="97">
        <v>45689</v>
      </c>
      <c r="B76" s="97" t="s">
        <v>1106</v>
      </c>
      <c r="C76" t="s">
        <v>653</v>
      </c>
      <c r="D76" t="s">
        <v>208</v>
      </c>
      <c r="E76" s="37" t="s">
        <v>654</v>
      </c>
      <c r="F76" s="37">
        <v>2025</v>
      </c>
      <c r="G76" s="37" t="s">
        <v>148</v>
      </c>
      <c r="H76" s="41">
        <v>8250000</v>
      </c>
      <c r="I76" s="41">
        <v>8250000</v>
      </c>
      <c r="J76" s="41">
        <v>8250000</v>
      </c>
      <c r="K76" s="89">
        <f t="shared" si="1"/>
        <v>0</v>
      </c>
      <c r="L76" t="s">
        <v>308</v>
      </c>
      <c r="M76" s="2" t="s">
        <v>1108</v>
      </c>
      <c r="N76" s="45" t="s">
        <v>532</v>
      </c>
      <c r="O76" s="101" t="s">
        <v>654</v>
      </c>
    </row>
    <row r="77" spans="1:15" ht="15.45">
      <c r="A77" s="97">
        <v>45689</v>
      </c>
      <c r="B77" s="97" t="s">
        <v>1106</v>
      </c>
      <c r="C77" t="s">
        <v>655</v>
      </c>
      <c r="D77" t="s">
        <v>656</v>
      </c>
      <c r="F77" s="39">
        <v>2025</v>
      </c>
      <c r="G77" s="39" t="s">
        <v>149</v>
      </c>
      <c r="H77" s="74">
        <v>550000</v>
      </c>
      <c r="I77" s="63">
        <v>0</v>
      </c>
      <c r="J77" s="63">
        <v>0</v>
      </c>
      <c r="K77" s="89">
        <f t="shared" si="1"/>
        <v>0</v>
      </c>
      <c r="L77" t="s">
        <v>15</v>
      </c>
      <c r="M77" t="s">
        <v>15</v>
      </c>
      <c r="N77" t="s">
        <v>15</v>
      </c>
      <c r="O77" t="s">
        <v>15</v>
      </c>
    </row>
    <row r="78" spans="1:15" ht="15.45">
      <c r="A78" s="97">
        <v>45689</v>
      </c>
      <c r="B78" s="97" t="s">
        <v>1106</v>
      </c>
      <c r="C78" t="s">
        <v>657</v>
      </c>
      <c r="D78" t="s">
        <v>585</v>
      </c>
      <c r="F78" s="37">
        <v>2025</v>
      </c>
      <c r="G78" s="39" t="s">
        <v>149</v>
      </c>
      <c r="H78" s="74">
        <v>693000</v>
      </c>
      <c r="I78" s="63">
        <v>0</v>
      </c>
      <c r="J78" s="63">
        <v>0</v>
      </c>
      <c r="K78" s="89">
        <f t="shared" si="1"/>
        <v>0</v>
      </c>
      <c r="L78" t="s">
        <v>15</v>
      </c>
      <c r="M78" t="s">
        <v>15</v>
      </c>
      <c r="N78" t="s">
        <v>15</v>
      </c>
      <c r="O78" t="s">
        <v>15</v>
      </c>
    </row>
    <row r="79" spans="1:15" ht="15.45">
      <c r="A79" s="97">
        <v>45689</v>
      </c>
      <c r="B79" s="97" t="s">
        <v>1106</v>
      </c>
      <c r="C79" t="s">
        <v>658</v>
      </c>
      <c r="D79" t="s">
        <v>630</v>
      </c>
      <c r="F79" s="37">
        <v>2025</v>
      </c>
      <c r="G79" s="39" t="s">
        <v>149</v>
      </c>
      <c r="H79" s="74">
        <v>572000</v>
      </c>
      <c r="I79" s="63">
        <v>0</v>
      </c>
      <c r="J79" s="63">
        <v>0</v>
      </c>
      <c r="K79" s="89">
        <f t="shared" si="1"/>
        <v>0</v>
      </c>
      <c r="L79" t="s">
        <v>15</v>
      </c>
      <c r="M79" t="s">
        <v>15</v>
      </c>
      <c r="N79" t="s">
        <v>15</v>
      </c>
      <c r="O79" t="s">
        <v>15</v>
      </c>
    </row>
    <row r="80" spans="1:15" ht="15.45">
      <c r="A80" s="97">
        <v>45689</v>
      </c>
      <c r="B80" s="97" t="s">
        <v>1106</v>
      </c>
      <c r="C80" t="s">
        <v>659</v>
      </c>
      <c r="D80" t="s">
        <v>660</v>
      </c>
      <c r="F80" s="37">
        <v>2025</v>
      </c>
      <c r="G80" s="39" t="s">
        <v>149</v>
      </c>
      <c r="H80" s="74">
        <v>577500</v>
      </c>
      <c r="I80" s="63">
        <v>0</v>
      </c>
      <c r="J80" s="63">
        <v>0</v>
      </c>
      <c r="K80" s="89">
        <f t="shared" si="1"/>
        <v>0</v>
      </c>
      <c r="L80" t="s">
        <v>15</v>
      </c>
      <c r="M80" t="s">
        <v>15</v>
      </c>
      <c r="N80" t="s">
        <v>15</v>
      </c>
      <c r="O80" t="s">
        <v>15</v>
      </c>
    </row>
    <row r="81" spans="1:15" ht="15.45">
      <c r="A81" s="97">
        <v>45689</v>
      </c>
      <c r="B81" s="97" t="s">
        <v>1106</v>
      </c>
      <c r="C81" t="s">
        <v>661</v>
      </c>
      <c r="D81" t="s">
        <v>640</v>
      </c>
      <c r="F81" s="39">
        <v>2025</v>
      </c>
      <c r="G81" s="39" t="s">
        <v>149</v>
      </c>
      <c r="H81" s="74">
        <v>550000</v>
      </c>
      <c r="I81" s="63">
        <v>0</v>
      </c>
      <c r="J81" s="63">
        <v>0</v>
      </c>
      <c r="K81" s="89">
        <f t="shared" si="1"/>
        <v>0</v>
      </c>
      <c r="L81" t="s">
        <v>15</v>
      </c>
      <c r="M81" t="s">
        <v>15</v>
      </c>
      <c r="N81" t="s">
        <v>15</v>
      </c>
      <c r="O81" t="s">
        <v>15</v>
      </c>
    </row>
    <row r="82" spans="1:15" ht="15.45">
      <c r="A82" s="97">
        <v>45689</v>
      </c>
      <c r="B82" s="97" t="s">
        <v>1106</v>
      </c>
      <c r="C82" t="s">
        <v>662</v>
      </c>
      <c r="D82" t="s">
        <v>663</v>
      </c>
      <c r="F82" s="37">
        <v>2025</v>
      </c>
      <c r="G82" s="39" t="s">
        <v>149</v>
      </c>
      <c r="H82" s="74">
        <v>78014231</v>
      </c>
      <c r="I82" s="63">
        <v>0</v>
      </c>
      <c r="J82" s="63">
        <v>0</v>
      </c>
      <c r="K82" s="89">
        <f t="shared" si="1"/>
        <v>0</v>
      </c>
      <c r="L82" t="s">
        <v>15</v>
      </c>
      <c r="M82" t="s">
        <v>15</v>
      </c>
      <c r="N82" t="s">
        <v>15</v>
      </c>
      <c r="O82" t="s">
        <v>15</v>
      </c>
    </row>
    <row r="83" spans="1:15" ht="15.45">
      <c r="A83" s="97">
        <v>45689</v>
      </c>
      <c r="B83" s="97" t="s">
        <v>1106</v>
      </c>
      <c r="C83" t="s">
        <v>664</v>
      </c>
      <c r="D83" t="s">
        <v>665</v>
      </c>
      <c r="F83" s="37">
        <v>2025</v>
      </c>
      <c r="G83" s="39" t="s">
        <v>149</v>
      </c>
      <c r="H83" s="74">
        <v>3658763</v>
      </c>
      <c r="I83" s="63">
        <v>0</v>
      </c>
      <c r="J83" s="63">
        <v>0</v>
      </c>
      <c r="K83" s="89">
        <f t="shared" si="1"/>
        <v>0</v>
      </c>
      <c r="L83" t="s">
        <v>15</v>
      </c>
      <c r="M83" t="s">
        <v>15</v>
      </c>
      <c r="N83" t="s">
        <v>15</v>
      </c>
      <c r="O83" t="s">
        <v>15</v>
      </c>
    </row>
    <row r="84" spans="1:15" ht="15.45">
      <c r="A84" s="97">
        <v>45689</v>
      </c>
      <c r="B84" s="97" t="s">
        <v>1106</v>
      </c>
      <c r="C84" t="s">
        <v>666</v>
      </c>
      <c r="D84" t="s">
        <v>635</v>
      </c>
      <c r="F84" s="37">
        <v>2025</v>
      </c>
      <c r="G84" s="39" t="s">
        <v>149</v>
      </c>
      <c r="H84" s="74">
        <v>616000</v>
      </c>
      <c r="I84" s="63">
        <v>0</v>
      </c>
      <c r="J84" s="63">
        <v>0</v>
      </c>
      <c r="K84" s="89">
        <f t="shared" si="1"/>
        <v>0</v>
      </c>
      <c r="L84" t="s">
        <v>15</v>
      </c>
      <c r="M84" t="s">
        <v>15</v>
      </c>
      <c r="N84" t="s">
        <v>15</v>
      </c>
      <c r="O84" t="s">
        <v>15</v>
      </c>
    </row>
    <row r="85" spans="1:15" ht="15.45">
      <c r="A85" s="97">
        <v>45717</v>
      </c>
      <c r="B85" s="97" t="s">
        <v>508</v>
      </c>
      <c r="D85" t="s">
        <v>667</v>
      </c>
      <c r="G85" s="37" t="s">
        <v>1107</v>
      </c>
      <c r="H85" s="63">
        <v>21230000</v>
      </c>
      <c r="I85" s="63">
        <v>0</v>
      </c>
      <c r="J85" s="63">
        <v>0</v>
      </c>
      <c r="K85" s="89">
        <f t="shared" si="1"/>
        <v>0</v>
      </c>
      <c r="L85" t="s">
        <v>15</v>
      </c>
      <c r="M85" t="s">
        <v>15</v>
      </c>
      <c r="N85" t="s">
        <v>15</v>
      </c>
      <c r="O85" t="s">
        <v>15</v>
      </c>
    </row>
    <row r="86" spans="1:15" ht="15.45">
      <c r="A86" s="97">
        <v>45717</v>
      </c>
      <c r="B86" s="97" t="s">
        <v>508</v>
      </c>
      <c r="D86" t="s">
        <v>561</v>
      </c>
      <c r="G86" s="37" t="s">
        <v>1107</v>
      </c>
      <c r="H86" s="63">
        <v>946819</v>
      </c>
      <c r="I86" s="63">
        <v>0</v>
      </c>
      <c r="J86" s="63">
        <v>0</v>
      </c>
      <c r="K86" s="89">
        <f t="shared" si="1"/>
        <v>0</v>
      </c>
      <c r="L86" t="s">
        <v>15</v>
      </c>
      <c r="M86" t="s">
        <v>15</v>
      </c>
      <c r="N86" t="s">
        <v>15</v>
      </c>
      <c r="O86" t="s">
        <v>15</v>
      </c>
    </row>
    <row r="87" spans="1:15" ht="15.45">
      <c r="A87" s="97">
        <v>45717</v>
      </c>
      <c r="B87" s="97" t="s">
        <v>508</v>
      </c>
      <c r="D87" t="s">
        <v>564</v>
      </c>
      <c r="G87" s="37" t="s">
        <v>1107</v>
      </c>
      <c r="H87" s="63">
        <v>385000</v>
      </c>
      <c r="I87" s="63">
        <v>0</v>
      </c>
      <c r="J87" s="63">
        <v>0</v>
      </c>
      <c r="K87" s="89">
        <f t="shared" si="1"/>
        <v>0</v>
      </c>
      <c r="L87" t="s">
        <v>15</v>
      </c>
      <c r="M87" t="s">
        <v>15</v>
      </c>
      <c r="N87" t="s">
        <v>15</v>
      </c>
      <c r="O87" t="s">
        <v>15</v>
      </c>
    </row>
    <row r="88" spans="1:15" ht="15.45">
      <c r="A88" s="97">
        <v>45717</v>
      </c>
      <c r="B88" s="97" t="s">
        <v>508</v>
      </c>
      <c r="D88" t="s">
        <v>552</v>
      </c>
      <c r="G88" s="37" t="s">
        <v>1107</v>
      </c>
      <c r="H88" s="63">
        <v>506000</v>
      </c>
      <c r="I88" s="63">
        <v>0</v>
      </c>
      <c r="J88" s="63">
        <v>0</v>
      </c>
      <c r="K88" s="89">
        <f t="shared" si="1"/>
        <v>0</v>
      </c>
      <c r="L88" t="s">
        <v>15</v>
      </c>
      <c r="M88" t="s">
        <v>15</v>
      </c>
      <c r="N88" t="s">
        <v>15</v>
      </c>
      <c r="O88" t="s">
        <v>15</v>
      </c>
    </row>
    <row r="89" spans="1:15" ht="15.45">
      <c r="A89" s="97">
        <v>45717</v>
      </c>
      <c r="B89" s="97" t="s">
        <v>508</v>
      </c>
      <c r="D89" t="s">
        <v>552</v>
      </c>
      <c r="G89" s="37" t="s">
        <v>1107</v>
      </c>
      <c r="H89" s="63">
        <v>583000</v>
      </c>
      <c r="I89" s="63">
        <v>0</v>
      </c>
      <c r="J89" s="63">
        <v>0</v>
      </c>
      <c r="K89" s="89">
        <f t="shared" si="1"/>
        <v>0</v>
      </c>
      <c r="L89" t="s">
        <v>15</v>
      </c>
      <c r="M89" t="s">
        <v>15</v>
      </c>
      <c r="N89" t="s">
        <v>15</v>
      </c>
      <c r="O89" t="s">
        <v>15</v>
      </c>
    </row>
    <row r="90" spans="1:15" ht="15.45">
      <c r="A90" s="97">
        <v>45717</v>
      </c>
      <c r="B90" s="97" t="s">
        <v>508</v>
      </c>
      <c r="D90" t="s">
        <v>548</v>
      </c>
      <c r="G90" s="37" t="s">
        <v>1107</v>
      </c>
      <c r="H90" s="94">
        <v>1981982</v>
      </c>
      <c r="I90" s="63">
        <v>0</v>
      </c>
      <c r="J90" s="63">
        <v>0</v>
      </c>
      <c r="K90" s="89">
        <f t="shared" si="1"/>
        <v>0</v>
      </c>
      <c r="L90" t="s">
        <v>15</v>
      </c>
      <c r="M90" t="s">
        <v>15</v>
      </c>
      <c r="N90" t="s">
        <v>15</v>
      </c>
      <c r="O90" t="s">
        <v>15</v>
      </c>
    </row>
    <row r="91" spans="1:15" ht="15.45">
      <c r="A91" s="97">
        <v>45717</v>
      </c>
      <c r="B91" s="97" t="s">
        <v>508</v>
      </c>
      <c r="D91" t="s">
        <v>668</v>
      </c>
      <c r="G91" s="37" t="s">
        <v>1107</v>
      </c>
      <c r="H91" s="63">
        <v>261800</v>
      </c>
      <c r="I91" s="63">
        <v>0</v>
      </c>
      <c r="J91" s="63">
        <v>0</v>
      </c>
      <c r="K91" s="89">
        <f t="shared" si="1"/>
        <v>0</v>
      </c>
      <c r="L91" t="s">
        <v>15</v>
      </c>
      <c r="M91" t="s">
        <v>15</v>
      </c>
      <c r="N91" t="s">
        <v>15</v>
      </c>
      <c r="O91" t="s">
        <v>15</v>
      </c>
    </row>
    <row r="92" spans="1:15" ht="15.45">
      <c r="A92" s="97">
        <v>45717</v>
      </c>
      <c r="B92" s="97" t="s">
        <v>508</v>
      </c>
      <c r="D92" t="s">
        <v>550</v>
      </c>
      <c r="G92" s="37" t="s">
        <v>1107</v>
      </c>
      <c r="H92" s="63">
        <v>74324</v>
      </c>
      <c r="I92" s="63">
        <v>0</v>
      </c>
      <c r="J92" s="63">
        <v>0</v>
      </c>
      <c r="K92" s="89">
        <f t="shared" si="1"/>
        <v>0</v>
      </c>
      <c r="L92" t="s">
        <v>15</v>
      </c>
      <c r="M92" t="s">
        <v>15</v>
      </c>
      <c r="N92" t="s">
        <v>15</v>
      </c>
      <c r="O92" t="s">
        <v>15</v>
      </c>
    </row>
    <row r="93" spans="1:15" s="30" customFormat="1" ht="15.45">
      <c r="A93" s="99">
        <v>45717</v>
      </c>
      <c r="B93" s="99" t="s">
        <v>1106</v>
      </c>
      <c r="C93" s="30" t="s">
        <v>669</v>
      </c>
      <c r="D93" s="30" t="s">
        <v>571</v>
      </c>
      <c r="E93" s="39" t="s">
        <v>670</v>
      </c>
      <c r="F93" s="39">
        <v>2025</v>
      </c>
      <c r="G93" s="39" t="s">
        <v>148</v>
      </c>
      <c r="H93" s="41">
        <v>18724750</v>
      </c>
      <c r="I93" s="41">
        <v>18724750</v>
      </c>
      <c r="J93" s="41">
        <v>18724750</v>
      </c>
      <c r="K93" s="89">
        <f t="shared" si="1"/>
        <v>0</v>
      </c>
      <c r="L93" t="s">
        <v>308</v>
      </c>
      <c r="M93" s="2" t="s">
        <v>1108</v>
      </c>
      <c r="N93" s="45" t="s">
        <v>532</v>
      </c>
      <c r="O93" s="105" t="s">
        <v>670</v>
      </c>
    </row>
    <row r="94" spans="1:15" ht="15.45">
      <c r="A94" s="97">
        <v>45717</v>
      </c>
      <c r="B94" s="99" t="s">
        <v>1106</v>
      </c>
      <c r="C94" t="s">
        <v>671</v>
      </c>
      <c r="D94" t="s">
        <v>672</v>
      </c>
      <c r="E94" s="37" t="s">
        <v>673</v>
      </c>
      <c r="F94" s="37">
        <v>2025</v>
      </c>
      <c r="G94" s="39" t="s">
        <v>148</v>
      </c>
      <c r="H94" s="41">
        <v>9909910</v>
      </c>
      <c r="I94" s="41">
        <v>9909910</v>
      </c>
      <c r="J94" s="41">
        <v>9909910</v>
      </c>
      <c r="K94" s="89">
        <f t="shared" si="1"/>
        <v>0</v>
      </c>
      <c r="L94" t="s">
        <v>308</v>
      </c>
      <c r="M94" s="2" t="s">
        <v>1108</v>
      </c>
      <c r="N94" s="45" t="s">
        <v>532</v>
      </c>
      <c r="O94" s="101" t="s">
        <v>673</v>
      </c>
    </row>
    <row r="95" spans="1:15" ht="15.45">
      <c r="A95" s="97">
        <v>45717</v>
      </c>
      <c r="B95" s="99" t="s">
        <v>1106</v>
      </c>
      <c r="C95" t="s">
        <v>674</v>
      </c>
      <c r="D95" t="s">
        <v>675</v>
      </c>
      <c r="E95" s="37" t="s">
        <v>676</v>
      </c>
      <c r="F95" s="37">
        <v>2025</v>
      </c>
      <c r="G95" s="39" t="s">
        <v>148</v>
      </c>
      <c r="H95" s="41">
        <v>24774775</v>
      </c>
      <c r="I95" s="41">
        <v>24774775</v>
      </c>
      <c r="J95" s="41">
        <v>24774775</v>
      </c>
      <c r="K95" s="89">
        <f t="shared" si="1"/>
        <v>0</v>
      </c>
      <c r="L95" t="s">
        <v>308</v>
      </c>
      <c r="M95" s="2" t="s">
        <v>1108</v>
      </c>
      <c r="N95" s="45" t="s">
        <v>532</v>
      </c>
      <c r="O95" s="101" t="s">
        <v>676</v>
      </c>
    </row>
    <row r="96" spans="1:15" s="30" customFormat="1" ht="15.45">
      <c r="A96" s="99">
        <v>45717</v>
      </c>
      <c r="B96" s="99" t="s">
        <v>1106</v>
      </c>
      <c r="C96" s="30" t="s">
        <v>677</v>
      </c>
      <c r="D96" s="30" t="s">
        <v>651</v>
      </c>
      <c r="E96" s="39" t="s">
        <v>678</v>
      </c>
      <c r="F96" s="39">
        <v>2024</v>
      </c>
      <c r="G96" s="39" t="s">
        <v>148</v>
      </c>
      <c r="H96" s="40">
        <v>70516984</v>
      </c>
      <c r="I96" s="40">
        <v>70516984</v>
      </c>
      <c r="J96" s="40">
        <v>70516984</v>
      </c>
      <c r="K96" s="89">
        <f t="shared" si="1"/>
        <v>0</v>
      </c>
      <c r="L96" t="s">
        <v>308</v>
      </c>
      <c r="M96" s="2" t="s">
        <v>1108</v>
      </c>
      <c r="N96" s="2" t="s">
        <v>533</v>
      </c>
      <c r="O96" s="70" t="s">
        <v>401</v>
      </c>
    </row>
    <row r="97" spans="1:15" s="30" customFormat="1" ht="15.45">
      <c r="A97" s="99">
        <v>45717</v>
      </c>
      <c r="B97" s="99" t="s">
        <v>1106</v>
      </c>
      <c r="C97" s="30" t="s">
        <v>679</v>
      </c>
      <c r="D97" s="30" t="s">
        <v>646</v>
      </c>
      <c r="E97" s="39" t="s">
        <v>680</v>
      </c>
      <c r="F97" s="39">
        <v>2024</v>
      </c>
      <c r="G97" s="39" t="s">
        <v>148</v>
      </c>
      <c r="H97" s="40">
        <v>23047200</v>
      </c>
      <c r="I97" s="40">
        <v>23047200</v>
      </c>
      <c r="J97" s="40">
        <v>23047200</v>
      </c>
      <c r="K97" s="89">
        <f t="shared" si="1"/>
        <v>0</v>
      </c>
      <c r="L97" t="s">
        <v>308</v>
      </c>
      <c r="M97" s="2" t="s">
        <v>1108</v>
      </c>
      <c r="N97" s="2" t="s">
        <v>533</v>
      </c>
      <c r="O97" s="71" t="s">
        <v>405</v>
      </c>
    </row>
    <row r="98" spans="1:15" s="30" customFormat="1" ht="15.45">
      <c r="A98" s="99">
        <v>45717</v>
      </c>
      <c r="B98" s="99" t="s">
        <v>1106</v>
      </c>
      <c r="C98" s="30" t="s">
        <v>681</v>
      </c>
      <c r="D98" s="30" t="s">
        <v>571</v>
      </c>
      <c r="E98" s="39" t="s">
        <v>682</v>
      </c>
      <c r="F98" s="39">
        <v>2025</v>
      </c>
      <c r="G98" s="39" t="s">
        <v>148</v>
      </c>
      <c r="H98" s="41">
        <v>22010670</v>
      </c>
      <c r="I98" s="41">
        <v>22010670</v>
      </c>
      <c r="J98" s="41">
        <v>22010670</v>
      </c>
      <c r="K98" s="89">
        <f t="shared" si="1"/>
        <v>0</v>
      </c>
      <c r="L98" t="s">
        <v>308</v>
      </c>
      <c r="M98" s="2" t="s">
        <v>1108</v>
      </c>
      <c r="N98" s="45" t="s">
        <v>532</v>
      </c>
      <c r="O98" s="105" t="s">
        <v>682</v>
      </c>
    </row>
    <row r="99" spans="1:15" ht="15.45">
      <c r="A99" s="97">
        <v>45717</v>
      </c>
      <c r="B99" s="99" t="s">
        <v>1106</v>
      </c>
      <c r="C99" t="s">
        <v>683</v>
      </c>
      <c r="D99" t="s">
        <v>571</v>
      </c>
      <c r="E99" s="37" t="s">
        <v>684</v>
      </c>
      <c r="F99" s="37">
        <v>2025</v>
      </c>
      <c r="G99" s="39" t="s">
        <v>148</v>
      </c>
      <c r="H99" s="41">
        <v>8898120</v>
      </c>
      <c r="I99" s="41">
        <v>8898120</v>
      </c>
      <c r="J99" s="41">
        <v>8898120</v>
      </c>
      <c r="K99" s="89">
        <f t="shared" si="1"/>
        <v>0</v>
      </c>
      <c r="L99" t="s">
        <v>308</v>
      </c>
      <c r="M99" s="2" t="s">
        <v>1108</v>
      </c>
      <c r="N99" s="45" t="s">
        <v>532</v>
      </c>
      <c r="O99" s="101" t="s">
        <v>684</v>
      </c>
    </row>
    <row r="100" spans="1:15" ht="15.45">
      <c r="A100" s="97">
        <v>45717</v>
      </c>
      <c r="B100" s="99" t="s">
        <v>1106</v>
      </c>
      <c r="C100" t="s">
        <v>685</v>
      </c>
      <c r="D100" t="s">
        <v>660</v>
      </c>
      <c r="E100" s="37" t="s">
        <v>686</v>
      </c>
      <c r="F100" s="37">
        <v>2025</v>
      </c>
      <c r="G100" s="39" t="s">
        <v>148</v>
      </c>
      <c r="H100" s="41">
        <v>68750000</v>
      </c>
      <c r="I100" s="41">
        <v>68750000</v>
      </c>
      <c r="J100" s="41">
        <v>68750000</v>
      </c>
      <c r="K100" s="89">
        <f t="shared" si="1"/>
        <v>0</v>
      </c>
      <c r="L100" t="s">
        <v>308</v>
      </c>
      <c r="M100" s="2" t="s">
        <v>1108</v>
      </c>
      <c r="N100" s="45" t="s">
        <v>532</v>
      </c>
      <c r="O100" s="101" t="s">
        <v>686</v>
      </c>
    </row>
    <row r="101" spans="1:15" s="30" customFormat="1" ht="15.45">
      <c r="A101" s="99">
        <v>45717</v>
      </c>
      <c r="B101" s="99" t="s">
        <v>1106</v>
      </c>
      <c r="C101" s="30" t="s">
        <v>687</v>
      </c>
      <c r="D101" s="30" t="s">
        <v>646</v>
      </c>
      <c r="E101" s="39" t="s">
        <v>688</v>
      </c>
      <c r="F101" s="37">
        <v>2024</v>
      </c>
      <c r="G101" s="39" t="s">
        <v>148</v>
      </c>
      <c r="H101" s="40">
        <v>2190177</v>
      </c>
      <c r="I101" s="40">
        <v>2190177</v>
      </c>
      <c r="J101" s="40">
        <v>2190177</v>
      </c>
      <c r="K101" s="89">
        <f t="shared" si="1"/>
        <v>0</v>
      </c>
      <c r="L101" t="s">
        <v>308</v>
      </c>
      <c r="M101" s="2" t="s">
        <v>1108</v>
      </c>
      <c r="N101" s="2" t="s">
        <v>533</v>
      </c>
      <c r="O101" s="71" t="s">
        <v>412</v>
      </c>
    </row>
    <row r="102" spans="1:15" s="30" customFormat="1" ht="15.45">
      <c r="A102" s="99">
        <v>45717</v>
      </c>
      <c r="B102" s="99" t="s">
        <v>1106</v>
      </c>
      <c r="C102" s="30" t="s">
        <v>689</v>
      </c>
      <c r="D102" s="30" t="s">
        <v>646</v>
      </c>
      <c r="E102" s="39" t="s">
        <v>690</v>
      </c>
      <c r="F102" s="39">
        <v>2024</v>
      </c>
      <c r="G102" s="39" t="s">
        <v>148</v>
      </c>
      <c r="H102" s="40">
        <v>42173376</v>
      </c>
      <c r="I102" s="40">
        <v>42173376</v>
      </c>
      <c r="J102" s="40">
        <v>42173376</v>
      </c>
      <c r="K102" s="89">
        <f t="shared" si="1"/>
        <v>0</v>
      </c>
      <c r="L102" t="s">
        <v>308</v>
      </c>
      <c r="M102" s="2" t="s">
        <v>1108</v>
      </c>
      <c r="N102" s="2" t="s">
        <v>533</v>
      </c>
      <c r="O102" s="71" t="s">
        <v>419</v>
      </c>
    </row>
    <row r="103" spans="1:15" s="30" customFormat="1" ht="15.45">
      <c r="A103" s="99">
        <v>45717</v>
      </c>
      <c r="B103" s="99" t="s">
        <v>1106</v>
      </c>
      <c r="C103" s="30" t="s">
        <v>691</v>
      </c>
      <c r="D103" s="30" t="s">
        <v>692</v>
      </c>
      <c r="E103" s="39" t="s">
        <v>693</v>
      </c>
      <c r="F103" s="39">
        <v>2024</v>
      </c>
      <c r="G103" s="39" t="s">
        <v>148</v>
      </c>
      <c r="H103" s="40">
        <v>27014020</v>
      </c>
      <c r="I103" s="40">
        <v>27014020</v>
      </c>
      <c r="J103" s="40">
        <v>27014020</v>
      </c>
      <c r="K103" s="89">
        <f t="shared" si="1"/>
        <v>0</v>
      </c>
      <c r="L103" t="s">
        <v>308</v>
      </c>
      <c r="M103" s="2" t="s">
        <v>1108</v>
      </c>
      <c r="N103" s="2" t="s">
        <v>533</v>
      </c>
      <c r="O103" s="71" t="s">
        <v>414</v>
      </c>
    </row>
    <row r="104" spans="1:15" ht="15.45">
      <c r="A104" s="97">
        <v>45717</v>
      </c>
      <c r="B104" s="99" t="s">
        <v>1106</v>
      </c>
      <c r="C104" t="s">
        <v>694</v>
      </c>
      <c r="D104" t="s">
        <v>646</v>
      </c>
      <c r="E104" s="37" t="s">
        <v>695</v>
      </c>
      <c r="F104" s="37">
        <v>2025</v>
      </c>
      <c r="G104" s="39" t="s">
        <v>148</v>
      </c>
      <c r="H104" s="41">
        <v>1269204</v>
      </c>
      <c r="I104" s="41">
        <v>1269204</v>
      </c>
      <c r="J104" s="41">
        <v>1269204</v>
      </c>
      <c r="K104" s="89">
        <f t="shared" si="1"/>
        <v>0</v>
      </c>
      <c r="L104" t="s">
        <v>308</v>
      </c>
      <c r="M104" s="2" t="s">
        <v>1108</v>
      </c>
      <c r="N104" s="45" t="s">
        <v>532</v>
      </c>
      <c r="O104" s="101" t="s">
        <v>695</v>
      </c>
    </row>
    <row r="105" spans="1:15" ht="15.45">
      <c r="A105" s="97">
        <v>45717</v>
      </c>
      <c r="B105" s="99" t="s">
        <v>1106</v>
      </c>
      <c r="C105" t="s">
        <v>696</v>
      </c>
      <c r="D105" t="s">
        <v>697</v>
      </c>
      <c r="E105" s="37" t="s">
        <v>698</v>
      </c>
      <c r="F105" s="37">
        <v>2025</v>
      </c>
      <c r="G105" s="39" t="s">
        <v>148</v>
      </c>
      <c r="H105" s="41">
        <v>5200641</v>
      </c>
      <c r="I105" s="41">
        <v>5200641</v>
      </c>
      <c r="J105" s="41">
        <v>5200641</v>
      </c>
      <c r="K105" s="89">
        <f t="shared" si="1"/>
        <v>0</v>
      </c>
      <c r="L105" t="s">
        <v>308</v>
      </c>
      <c r="M105" s="2" t="s">
        <v>1108</v>
      </c>
      <c r="N105" s="45" t="s">
        <v>532</v>
      </c>
      <c r="O105" s="101" t="s">
        <v>698</v>
      </c>
    </row>
    <row r="106" spans="1:15" s="30" customFormat="1" ht="15.45">
      <c r="A106" s="99">
        <v>45717</v>
      </c>
      <c r="B106" s="99" t="s">
        <v>1106</v>
      </c>
      <c r="C106" s="30" t="s">
        <v>699</v>
      </c>
      <c r="D106" s="30" t="s">
        <v>646</v>
      </c>
      <c r="E106" s="39" t="s">
        <v>700</v>
      </c>
      <c r="F106" s="39">
        <v>2024</v>
      </c>
      <c r="G106" s="39" t="s">
        <v>148</v>
      </c>
      <c r="H106" s="40">
        <v>67801127</v>
      </c>
      <c r="I106" s="40">
        <v>67801127</v>
      </c>
      <c r="J106" s="40">
        <v>67801127</v>
      </c>
      <c r="K106" s="89">
        <f t="shared" si="1"/>
        <v>0</v>
      </c>
      <c r="L106" t="s">
        <v>308</v>
      </c>
      <c r="M106" s="2" t="s">
        <v>1108</v>
      </c>
      <c r="N106" s="2" t="s">
        <v>533</v>
      </c>
      <c r="O106" s="71" t="s">
        <v>409</v>
      </c>
    </row>
    <row r="107" spans="1:15" s="30" customFormat="1" ht="15.45">
      <c r="A107" s="99">
        <v>45717</v>
      </c>
      <c r="B107" s="99" t="s">
        <v>1106</v>
      </c>
      <c r="C107" s="30" t="s">
        <v>701</v>
      </c>
      <c r="D107" s="30" t="s">
        <v>646</v>
      </c>
      <c r="E107" s="39" t="s">
        <v>702</v>
      </c>
      <c r="F107" s="39">
        <v>2024</v>
      </c>
      <c r="G107" s="39" t="s">
        <v>148</v>
      </c>
      <c r="H107" s="40">
        <v>10008312</v>
      </c>
      <c r="I107" s="40">
        <v>10008312</v>
      </c>
      <c r="J107" s="40">
        <v>10008312</v>
      </c>
      <c r="K107" s="89">
        <f t="shared" si="1"/>
        <v>0</v>
      </c>
      <c r="L107" t="s">
        <v>308</v>
      </c>
      <c r="M107" s="2" t="s">
        <v>1108</v>
      </c>
      <c r="N107" s="2" t="s">
        <v>533</v>
      </c>
      <c r="O107" s="71" t="s">
        <v>432</v>
      </c>
    </row>
    <row r="108" spans="1:15" ht="15.45">
      <c r="A108" s="97">
        <v>45717</v>
      </c>
      <c r="B108" s="99" t="s">
        <v>1106</v>
      </c>
      <c r="C108" t="s">
        <v>703</v>
      </c>
      <c r="D108" t="s">
        <v>646</v>
      </c>
      <c r="E108" s="37" t="s">
        <v>704</v>
      </c>
      <c r="F108" s="37">
        <v>2025</v>
      </c>
      <c r="G108" s="39" t="s">
        <v>148</v>
      </c>
      <c r="H108" s="41">
        <v>1182500</v>
      </c>
      <c r="I108" s="41">
        <v>1182500</v>
      </c>
      <c r="J108" s="41">
        <v>1182500</v>
      </c>
      <c r="K108" s="89">
        <f t="shared" si="1"/>
        <v>0</v>
      </c>
      <c r="L108" t="s">
        <v>308</v>
      </c>
      <c r="M108" s="2" t="s">
        <v>1108</v>
      </c>
      <c r="N108" s="45" t="s">
        <v>532</v>
      </c>
      <c r="O108" s="101" t="s">
        <v>704</v>
      </c>
    </row>
    <row r="109" spans="1:15" ht="15.45">
      <c r="A109" s="97">
        <v>45717</v>
      </c>
      <c r="B109" s="97" t="s">
        <v>508</v>
      </c>
      <c r="D109" t="s">
        <v>663</v>
      </c>
      <c r="E109" s="37" t="s">
        <v>705</v>
      </c>
      <c r="F109" s="37">
        <v>2025</v>
      </c>
      <c r="G109" s="37" t="s">
        <v>149</v>
      </c>
      <c r="H109" s="74">
        <v>14814136</v>
      </c>
      <c r="I109" s="63">
        <v>0</v>
      </c>
      <c r="J109" s="63">
        <v>0</v>
      </c>
      <c r="K109" s="89">
        <f t="shared" si="1"/>
        <v>0</v>
      </c>
      <c r="L109" t="s">
        <v>15</v>
      </c>
      <c r="M109" t="s">
        <v>15</v>
      </c>
      <c r="N109" t="s">
        <v>15</v>
      </c>
      <c r="O109" t="s">
        <v>15</v>
      </c>
    </row>
    <row r="110" spans="1:15" ht="15.45">
      <c r="A110" s="97">
        <v>45717</v>
      </c>
      <c r="B110" s="97" t="s">
        <v>508</v>
      </c>
      <c r="D110" t="s">
        <v>646</v>
      </c>
      <c r="E110" s="37" t="s">
        <v>706</v>
      </c>
      <c r="F110" s="37">
        <v>2025</v>
      </c>
      <c r="G110" s="37" t="s">
        <v>149</v>
      </c>
      <c r="H110" s="74">
        <v>906030</v>
      </c>
      <c r="I110" s="63">
        <v>0</v>
      </c>
      <c r="J110" s="63">
        <v>0</v>
      </c>
      <c r="K110" s="89">
        <f t="shared" si="1"/>
        <v>0</v>
      </c>
      <c r="L110" t="s">
        <v>15</v>
      </c>
      <c r="M110" t="s">
        <v>15</v>
      </c>
      <c r="N110" t="s">
        <v>15</v>
      </c>
      <c r="O110" t="s">
        <v>15</v>
      </c>
    </row>
    <row r="111" spans="1:15" ht="15.45">
      <c r="A111" s="97">
        <v>45717</v>
      </c>
      <c r="B111" s="97" t="s">
        <v>508</v>
      </c>
      <c r="D111" t="s">
        <v>707</v>
      </c>
      <c r="E111" s="37" t="s">
        <v>708</v>
      </c>
      <c r="F111" s="37">
        <v>2025</v>
      </c>
      <c r="G111" s="37" t="s">
        <v>149</v>
      </c>
      <c r="H111" s="74">
        <v>5047299</v>
      </c>
      <c r="I111" s="63">
        <v>0</v>
      </c>
      <c r="J111" s="63">
        <v>0</v>
      </c>
      <c r="K111" s="89">
        <f t="shared" si="1"/>
        <v>0</v>
      </c>
      <c r="L111" t="s">
        <v>15</v>
      </c>
      <c r="M111" t="s">
        <v>15</v>
      </c>
      <c r="N111" t="s">
        <v>15</v>
      </c>
      <c r="O111" t="s">
        <v>15</v>
      </c>
    </row>
    <row r="112" spans="1:15" ht="15.45">
      <c r="A112" s="97">
        <v>45748</v>
      </c>
      <c r="B112" s="97" t="s">
        <v>508</v>
      </c>
      <c r="D112" t="s">
        <v>709</v>
      </c>
      <c r="G112" s="37" t="s">
        <v>1107</v>
      </c>
      <c r="H112" s="94">
        <v>629948</v>
      </c>
      <c r="I112" s="63">
        <v>0</v>
      </c>
      <c r="J112" s="63">
        <v>0</v>
      </c>
      <c r="K112" s="89">
        <f t="shared" si="1"/>
        <v>0</v>
      </c>
      <c r="L112" t="s">
        <v>15</v>
      </c>
      <c r="M112" t="s">
        <v>15</v>
      </c>
      <c r="N112" t="s">
        <v>15</v>
      </c>
      <c r="O112" t="s">
        <v>15</v>
      </c>
    </row>
    <row r="113" spans="1:16" ht="15.45">
      <c r="A113" s="97">
        <v>45748</v>
      </c>
      <c r="B113" s="97" t="s">
        <v>508</v>
      </c>
      <c r="D113" t="s">
        <v>561</v>
      </c>
      <c r="G113" s="37" t="s">
        <v>1107</v>
      </c>
      <c r="H113" s="63">
        <v>3313402</v>
      </c>
      <c r="I113" s="63">
        <v>0</v>
      </c>
      <c r="J113" s="63">
        <v>0</v>
      </c>
      <c r="K113" s="89">
        <f t="shared" si="1"/>
        <v>0</v>
      </c>
      <c r="L113" t="s">
        <v>15</v>
      </c>
      <c r="M113" t="s">
        <v>15</v>
      </c>
      <c r="N113" t="s">
        <v>15</v>
      </c>
      <c r="O113" t="s">
        <v>15</v>
      </c>
    </row>
    <row r="114" spans="1:16" ht="15.45">
      <c r="A114" s="97">
        <v>45748</v>
      </c>
      <c r="B114" s="97" t="s">
        <v>508</v>
      </c>
      <c r="D114" t="s">
        <v>552</v>
      </c>
      <c r="G114" s="37" t="s">
        <v>1107</v>
      </c>
      <c r="H114" s="63">
        <v>583000</v>
      </c>
      <c r="I114" s="63">
        <v>0</v>
      </c>
      <c r="J114" s="63">
        <v>0</v>
      </c>
      <c r="K114" s="89">
        <f t="shared" si="1"/>
        <v>0</v>
      </c>
      <c r="L114" t="s">
        <v>15</v>
      </c>
      <c r="M114" t="s">
        <v>15</v>
      </c>
      <c r="N114" t="s">
        <v>15</v>
      </c>
      <c r="O114" t="s">
        <v>15</v>
      </c>
    </row>
    <row r="115" spans="1:16" ht="15.45">
      <c r="A115" s="97">
        <v>45748</v>
      </c>
      <c r="B115" s="97" t="s">
        <v>508</v>
      </c>
      <c r="D115" t="s">
        <v>552</v>
      </c>
      <c r="G115" s="37" t="s">
        <v>1107</v>
      </c>
      <c r="H115" s="63">
        <v>506000</v>
      </c>
      <c r="I115" s="63">
        <v>0</v>
      </c>
      <c r="J115" s="63">
        <v>0</v>
      </c>
      <c r="K115" s="89">
        <f t="shared" si="1"/>
        <v>0</v>
      </c>
      <c r="L115" t="s">
        <v>15</v>
      </c>
      <c r="M115" t="s">
        <v>15</v>
      </c>
      <c r="N115" t="s">
        <v>15</v>
      </c>
      <c r="O115" t="s">
        <v>15</v>
      </c>
    </row>
    <row r="116" spans="1:16" ht="15.45">
      <c r="A116" s="97">
        <v>45748</v>
      </c>
      <c r="B116" s="97" t="s">
        <v>508</v>
      </c>
      <c r="D116" t="s">
        <v>564</v>
      </c>
      <c r="G116" s="37" t="s">
        <v>1107</v>
      </c>
      <c r="H116" s="63">
        <v>385000</v>
      </c>
      <c r="I116" s="63">
        <v>0</v>
      </c>
      <c r="J116" s="63">
        <v>0</v>
      </c>
      <c r="K116" s="89">
        <f t="shared" si="1"/>
        <v>0</v>
      </c>
      <c r="L116" t="s">
        <v>15</v>
      </c>
      <c r="M116" t="s">
        <v>15</v>
      </c>
      <c r="N116" t="s">
        <v>15</v>
      </c>
      <c r="O116" t="s">
        <v>15</v>
      </c>
    </row>
    <row r="117" spans="1:16" ht="15.45">
      <c r="A117" s="97">
        <v>45748</v>
      </c>
      <c r="B117" s="97" t="s">
        <v>508</v>
      </c>
      <c r="D117" t="s">
        <v>548</v>
      </c>
      <c r="G117" s="37" t="s">
        <v>1107</v>
      </c>
      <c r="H117" s="94">
        <v>1981982</v>
      </c>
      <c r="I117" s="63">
        <v>0</v>
      </c>
      <c r="J117" s="63">
        <v>0</v>
      </c>
      <c r="K117" s="89">
        <f t="shared" si="1"/>
        <v>0</v>
      </c>
      <c r="L117" t="s">
        <v>15</v>
      </c>
      <c r="M117" t="s">
        <v>15</v>
      </c>
      <c r="N117" t="s">
        <v>15</v>
      </c>
      <c r="O117" t="s">
        <v>15</v>
      </c>
    </row>
    <row r="118" spans="1:16" ht="15.45">
      <c r="A118" s="97">
        <v>45748</v>
      </c>
      <c r="B118" s="97" t="s">
        <v>508</v>
      </c>
      <c r="D118" t="s">
        <v>550</v>
      </c>
      <c r="G118" s="37" t="s">
        <v>1107</v>
      </c>
      <c r="H118" s="63">
        <v>74324</v>
      </c>
      <c r="I118" s="63">
        <v>0</v>
      </c>
      <c r="J118" s="63">
        <v>0</v>
      </c>
      <c r="K118" s="89">
        <f t="shared" si="1"/>
        <v>0</v>
      </c>
      <c r="L118" t="s">
        <v>15</v>
      </c>
      <c r="M118" t="s">
        <v>15</v>
      </c>
      <c r="N118" t="s">
        <v>15</v>
      </c>
      <c r="O118" t="s">
        <v>15</v>
      </c>
    </row>
    <row r="119" spans="1:16" ht="15.45">
      <c r="A119" s="97">
        <v>45748</v>
      </c>
      <c r="B119" s="97" t="s">
        <v>508</v>
      </c>
      <c r="D119" t="s">
        <v>560</v>
      </c>
      <c r="G119" s="37" t="s">
        <v>1107</v>
      </c>
      <c r="H119" s="63">
        <v>2211000</v>
      </c>
      <c r="I119" s="63">
        <v>0</v>
      </c>
      <c r="J119" s="63">
        <v>0</v>
      </c>
      <c r="K119" s="89">
        <f t="shared" si="1"/>
        <v>0</v>
      </c>
      <c r="L119" t="s">
        <v>15</v>
      </c>
      <c r="M119" t="s">
        <v>15</v>
      </c>
      <c r="N119" t="s">
        <v>15</v>
      </c>
      <c r="O119" t="s">
        <v>15</v>
      </c>
    </row>
    <row r="120" spans="1:16" s="30" customFormat="1" ht="15.45">
      <c r="A120" s="99">
        <v>45748</v>
      </c>
      <c r="B120" s="99" t="s">
        <v>1106</v>
      </c>
      <c r="C120" s="30" t="s">
        <v>710</v>
      </c>
      <c r="D120" s="30" t="s">
        <v>692</v>
      </c>
      <c r="E120" s="39" t="s">
        <v>711</v>
      </c>
      <c r="F120" s="37">
        <v>2024</v>
      </c>
      <c r="G120" s="37" t="s">
        <v>148</v>
      </c>
      <c r="H120" s="40">
        <v>2006730</v>
      </c>
      <c r="I120" s="40">
        <v>2006730</v>
      </c>
      <c r="J120" s="40">
        <v>2006730</v>
      </c>
      <c r="K120" s="89">
        <f t="shared" si="1"/>
        <v>0</v>
      </c>
      <c r="L120" t="s">
        <v>308</v>
      </c>
      <c r="M120" s="2" t="s">
        <v>1108</v>
      </c>
      <c r="N120" s="2" t="s">
        <v>533</v>
      </c>
      <c r="O120" s="71" t="s">
        <v>415</v>
      </c>
    </row>
    <row r="121" spans="1:16" ht="15.45">
      <c r="A121" s="97">
        <v>45748</v>
      </c>
      <c r="B121" s="99" t="s">
        <v>1106</v>
      </c>
      <c r="C121" t="s">
        <v>712</v>
      </c>
      <c r="D121" t="s">
        <v>558</v>
      </c>
      <c r="E121" s="37" t="s">
        <v>713</v>
      </c>
      <c r="F121" s="37">
        <v>2025</v>
      </c>
      <c r="G121" s="37" t="s">
        <v>148</v>
      </c>
      <c r="H121" s="41">
        <v>9020550</v>
      </c>
      <c r="I121" s="41">
        <v>9020550</v>
      </c>
      <c r="J121" s="41">
        <v>9020550</v>
      </c>
      <c r="K121" s="89">
        <f t="shared" si="1"/>
        <v>0</v>
      </c>
      <c r="L121" t="s">
        <v>308</v>
      </c>
      <c r="M121" s="2" t="s">
        <v>1108</v>
      </c>
      <c r="N121" s="45" t="s">
        <v>532</v>
      </c>
      <c r="O121" s="101" t="s">
        <v>713</v>
      </c>
    </row>
    <row r="122" spans="1:16" ht="15.45">
      <c r="A122" s="97">
        <v>45748</v>
      </c>
      <c r="B122" s="99" t="s">
        <v>1106</v>
      </c>
      <c r="C122" t="s">
        <v>714</v>
      </c>
      <c r="D122" t="s">
        <v>635</v>
      </c>
      <c r="E122" s="37" t="s">
        <v>715</v>
      </c>
      <c r="F122" s="37">
        <v>2025</v>
      </c>
      <c r="G122" s="37" t="s">
        <v>148</v>
      </c>
      <c r="H122" s="41">
        <v>49549550</v>
      </c>
      <c r="I122" s="41">
        <v>49549550</v>
      </c>
      <c r="J122" s="41">
        <v>49549550</v>
      </c>
      <c r="K122" s="89">
        <f t="shared" si="1"/>
        <v>0</v>
      </c>
      <c r="L122" t="s">
        <v>308</v>
      </c>
      <c r="M122" s="2" t="s">
        <v>1108</v>
      </c>
      <c r="N122" s="45" t="s">
        <v>532</v>
      </c>
      <c r="O122" s="101" t="s">
        <v>715</v>
      </c>
    </row>
    <row r="123" spans="1:16" s="76" customFormat="1" ht="15.45">
      <c r="A123" s="109">
        <v>45748</v>
      </c>
      <c r="B123" s="99" t="s">
        <v>1106</v>
      </c>
      <c r="C123" s="76" t="s">
        <v>716</v>
      </c>
      <c r="D123" s="76" t="s">
        <v>646</v>
      </c>
      <c r="E123" s="118" t="s">
        <v>717</v>
      </c>
      <c r="F123" s="118" t="s">
        <v>1113</v>
      </c>
      <c r="G123" s="118" t="s">
        <v>148</v>
      </c>
      <c r="H123" s="124">
        <v>4628197</v>
      </c>
      <c r="I123" s="124">
        <v>0</v>
      </c>
      <c r="J123" s="124">
        <v>0</v>
      </c>
      <c r="K123" s="125">
        <f t="shared" si="1"/>
        <v>0</v>
      </c>
      <c r="L123" s="76" t="s">
        <v>15</v>
      </c>
      <c r="M123" s="76" t="s">
        <v>15</v>
      </c>
      <c r="N123" s="76" t="s">
        <v>15</v>
      </c>
      <c r="O123" s="76" t="s">
        <v>718</v>
      </c>
      <c r="P123" s="76" t="s">
        <v>15</v>
      </c>
    </row>
    <row r="124" spans="1:16" s="2" customFormat="1" ht="15.45">
      <c r="A124" s="112">
        <v>45748</v>
      </c>
      <c r="B124" s="99" t="s">
        <v>1106</v>
      </c>
      <c r="C124" s="2" t="s">
        <v>719</v>
      </c>
      <c r="D124" s="2" t="s">
        <v>1071</v>
      </c>
      <c r="E124" s="75" t="s">
        <v>720</v>
      </c>
      <c r="F124" s="75">
        <v>2024</v>
      </c>
      <c r="G124" s="75" t="s">
        <v>149</v>
      </c>
      <c r="H124" s="49">
        <v>0</v>
      </c>
      <c r="I124" s="49">
        <v>0</v>
      </c>
      <c r="J124" s="49">
        <v>0</v>
      </c>
      <c r="K124" s="89">
        <f t="shared" si="1"/>
        <v>0</v>
      </c>
      <c r="L124" t="s">
        <v>15</v>
      </c>
      <c r="M124" t="s">
        <v>15</v>
      </c>
      <c r="N124" t="s">
        <v>15</v>
      </c>
      <c r="O124" t="s">
        <v>15</v>
      </c>
      <c r="P124" s="2" t="s">
        <v>15</v>
      </c>
    </row>
    <row r="125" spans="1:16" ht="15.45">
      <c r="A125" s="97">
        <v>45748</v>
      </c>
      <c r="B125" s="99" t="s">
        <v>1106</v>
      </c>
      <c r="C125" t="s">
        <v>721</v>
      </c>
      <c r="D125" t="s">
        <v>722</v>
      </c>
      <c r="E125" s="37" t="s">
        <v>723</v>
      </c>
      <c r="F125" s="37">
        <v>2025</v>
      </c>
      <c r="G125" s="75" t="s">
        <v>149</v>
      </c>
      <c r="H125" s="74">
        <v>1516305</v>
      </c>
      <c r="I125" s="49">
        <v>0</v>
      </c>
      <c r="J125" s="49">
        <v>0</v>
      </c>
      <c r="K125" s="89">
        <f t="shared" si="1"/>
        <v>0</v>
      </c>
      <c r="L125" t="s">
        <v>15</v>
      </c>
      <c r="M125" t="s">
        <v>15</v>
      </c>
      <c r="N125" t="s">
        <v>15</v>
      </c>
      <c r="O125" t="s">
        <v>15</v>
      </c>
    </row>
    <row r="126" spans="1:16" ht="15.45">
      <c r="A126" s="97">
        <v>45748</v>
      </c>
      <c r="B126" s="99" t="s">
        <v>1106</v>
      </c>
      <c r="C126" t="s">
        <v>724</v>
      </c>
      <c r="D126" t="s">
        <v>722</v>
      </c>
      <c r="E126" s="37" t="s">
        <v>725</v>
      </c>
      <c r="F126" s="37">
        <v>2025</v>
      </c>
      <c r="G126" s="75" t="s">
        <v>149</v>
      </c>
      <c r="H126" s="74">
        <v>1516305</v>
      </c>
      <c r="I126" s="49">
        <v>0</v>
      </c>
      <c r="J126" s="49">
        <v>0</v>
      </c>
      <c r="K126" s="89">
        <f t="shared" si="1"/>
        <v>0</v>
      </c>
      <c r="L126" t="s">
        <v>15</v>
      </c>
      <c r="M126" t="s">
        <v>15</v>
      </c>
      <c r="N126" t="s">
        <v>15</v>
      </c>
      <c r="O126" t="s">
        <v>15</v>
      </c>
    </row>
    <row r="127" spans="1:16" ht="15.45">
      <c r="A127" s="97">
        <v>45748</v>
      </c>
      <c r="B127" s="99" t="s">
        <v>1106</v>
      </c>
      <c r="C127" t="s">
        <v>726</v>
      </c>
      <c r="D127" t="s">
        <v>722</v>
      </c>
      <c r="E127" s="37" t="s">
        <v>727</v>
      </c>
      <c r="F127" s="37">
        <v>2025</v>
      </c>
      <c r="G127" s="75" t="s">
        <v>149</v>
      </c>
      <c r="H127" s="74">
        <v>758153</v>
      </c>
      <c r="I127" s="49">
        <v>0</v>
      </c>
      <c r="J127" s="49">
        <v>0</v>
      </c>
      <c r="K127" s="89">
        <f t="shared" si="1"/>
        <v>0</v>
      </c>
      <c r="L127" t="s">
        <v>15</v>
      </c>
      <c r="M127" t="s">
        <v>15</v>
      </c>
      <c r="N127" t="s">
        <v>15</v>
      </c>
      <c r="O127" t="s">
        <v>15</v>
      </c>
    </row>
    <row r="128" spans="1:16" ht="15.45">
      <c r="A128" s="97">
        <v>45748</v>
      </c>
      <c r="B128" s="99" t="s">
        <v>1106</v>
      </c>
      <c r="C128" t="s">
        <v>728</v>
      </c>
      <c r="D128" t="s">
        <v>729</v>
      </c>
      <c r="E128" s="37" t="s">
        <v>730</v>
      </c>
      <c r="F128" s="37">
        <v>2025</v>
      </c>
      <c r="G128" s="75" t="s">
        <v>149</v>
      </c>
      <c r="H128" s="74">
        <v>1961381</v>
      </c>
      <c r="I128" s="49">
        <v>0</v>
      </c>
      <c r="J128" s="49">
        <v>0</v>
      </c>
      <c r="K128" s="89">
        <f t="shared" si="1"/>
        <v>0</v>
      </c>
      <c r="L128" t="s">
        <v>15</v>
      </c>
      <c r="M128" t="s">
        <v>15</v>
      </c>
      <c r="N128" t="s">
        <v>15</v>
      </c>
      <c r="O128" t="s">
        <v>15</v>
      </c>
    </row>
    <row r="129" spans="1:15" ht="15.45">
      <c r="A129" s="97">
        <v>45748</v>
      </c>
      <c r="B129" s="99" t="s">
        <v>1106</v>
      </c>
      <c r="C129" t="s">
        <v>731</v>
      </c>
      <c r="D129" t="s">
        <v>732</v>
      </c>
      <c r="E129" s="37" t="s">
        <v>733</v>
      </c>
      <c r="F129" s="37">
        <v>2025</v>
      </c>
      <c r="G129" s="75" t="s">
        <v>149</v>
      </c>
      <c r="H129" s="74">
        <v>4252050</v>
      </c>
      <c r="I129" s="49">
        <v>0</v>
      </c>
      <c r="J129" s="49">
        <v>0</v>
      </c>
      <c r="K129" s="89">
        <f t="shared" si="1"/>
        <v>0</v>
      </c>
      <c r="L129" s="45" t="s">
        <v>15</v>
      </c>
      <c r="M129" s="45" t="s">
        <v>15</v>
      </c>
      <c r="N129" s="45" t="s">
        <v>15</v>
      </c>
      <c r="O129" s="45" t="s">
        <v>15</v>
      </c>
    </row>
    <row r="130" spans="1:15" ht="15.45">
      <c r="A130" s="97">
        <v>45748</v>
      </c>
      <c r="B130" s="99" t="s">
        <v>1106</v>
      </c>
      <c r="C130" t="s">
        <v>734</v>
      </c>
      <c r="D130" t="s">
        <v>732</v>
      </c>
      <c r="E130" s="37" t="s">
        <v>735</v>
      </c>
      <c r="F130" s="37">
        <v>2025</v>
      </c>
      <c r="G130" s="75" t="s">
        <v>149</v>
      </c>
      <c r="H130" s="74">
        <v>187948</v>
      </c>
      <c r="I130" s="49">
        <v>0</v>
      </c>
      <c r="J130" s="49">
        <v>0</v>
      </c>
      <c r="K130" s="89">
        <f t="shared" si="1"/>
        <v>0</v>
      </c>
      <c r="L130" s="45" t="s">
        <v>15</v>
      </c>
      <c r="M130" s="45" t="s">
        <v>15</v>
      </c>
      <c r="N130" s="45" t="s">
        <v>15</v>
      </c>
      <c r="O130" s="45" t="s">
        <v>15</v>
      </c>
    </row>
    <row r="131" spans="1:15" ht="15.45">
      <c r="A131" s="97">
        <v>45748</v>
      </c>
      <c r="B131" s="99" t="s">
        <v>1106</v>
      </c>
      <c r="C131" t="s">
        <v>736</v>
      </c>
      <c r="D131" t="s">
        <v>732</v>
      </c>
      <c r="E131" s="37" t="s">
        <v>737</v>
      </c>
      <c r="F131" s="37">
        <v>2025</v>
      </c>
      <c r="G131" s="75" t="s">
        <v>149</v>
      </c>
      <c r="H131" s="74">
        <v>5243769</v>
      </c>
      <c r="I131" s="49">
        <v>0</v>
      </c>
      <c r="J131" s="49">
        <v>0</v>
      </c>
      <c r="K131" s="89">
        <f t="shared" si="1"/>
        <v>0</v>
      </c>
      <c r="L131" s="45" t="s">
        <v>15</v>
      </c>
      <c r="M131" s="45" t="s">
        <v>15</v>
      </c>
      <c r="N131" s="45" t="s">
        <v>15</v>
      </c>
      <c r="O131" s="45" t="s">
        <v>15</v>
      </c>
    </row>
    <row r="132" spans="1:15" ht="15.45">
      <c r="A132" s="97">
        <v>45748</v>
      </c>
      <c r="B132" s="99" t="s">
        <v>1106</v>
      </c>
      <c r="C132" t="s">
        <v>738</v>
      </c>
      <c r="D132" t="s">
        <v>663</v>
      </c>
      <c r="E132" s="37" t="s">
        <v>739</v>
      </c>
      <c r="F132" s="37">
        <v>2025</v>
      </c>
      <c r="G132" s="75" t="s">
        <v>149</v>
      </c>
      <c r="H132" s="74">
        <v>761179</v>
      </c>
      <c r="I132" s="49">
        <v>0</v>
      </c>
      <c r="J132" s="49">
        <v>0</v>
      </c>
      <c r="K132" s="89">
        <f t="shared" si="1"/>
        <v>0</v>
      </c>
      <c r="L132" s="45" t="s">
        <v>15</v>
      </c>
      <c r="M132" s="45" t="s">
        <v>15</v>
      </c>
      <c r="N132" s="45" t="s">
        <v>15</v>
      </c>
      <c r="O132" s="45" t="s">
        <v>15</v>
      </c>
    </row>
    <row r="133" spans="1:15" ht="15.45">
      <c r="A133" s="97">
        <v>45748</v>
      </c>
      <c r="B133" s="99" t="s">
        <v>1106</v>
      </c>
      <c r="C133" t="s">
        <v>740</v>
      </c>
      <c r="D133" t="s">
        <v>732</v>
      </c>
      <c r="E133" s="37" t="s">
        <v>741</v>
      </c>
      <c r="F133" s="37">
        <v>2025</v>
      </c>
      <c r="G133" s="75" t="s">
        <v>149</v>
      </c>
      <c r="H133" s="74">
        <v>573514</v>
      </c>
      <c r="I133" s="49">
        <v>0</v>
      </c>
      <c r="J133" s="49">
        <v>0</v>
      </c>
      <c r="K133" s="89">
        <f t="shared" si="1"/>
        <v>0</v>
      </c>
      <c r="L133" s="45" t="s">
        <v>15</v>
      </c>
      <c r="M133" s="45" t="s">
        <v>15</v>
      </c>
      <c r="N133" s="45" t="s">
        <v>15</v>
      </c>
      <c r="O133" s="45" t="s">
        <v>15</v>
      </c>
    </row>
    <row r="134" spans="1:15" ht="15.45">
      <c r="A134" s="97">
        <v>45778</v>
      </c>
      <c r="B134" s="97" t="s">
        <v>508</v>
      </c>
      <c r="D134" t="s">
        <v>552</v>
      </c>
      <c r="G134" s="37" t="s">
        <v>1107</v>
      </c>
      <c r="H134" s="63">
        <v>506000</v>
      </c>
      <c r="I134" s="49">
        <v>0</v>
      </c>
      <c r="J134" s="49">
        <v>0</v>
      </c>
      <c r="K134" s="89">
        <f t="shared" ref="K134:K197" si="2">I134-J134</f>
        <v>0</v>
      </c>
      <c r="L134" s="45" t="s">
        <v>15</v>
      </c>
      <c r="M134" s="45" t="s">
        <v>15</v>
      </c>
      <c r="N134" s="45" t="s">
        <v>15</v>
      </c>
      <c r="O134" s="45" t="s">
        <v>15</v>
      </c>
    </row>
    <row r="135" spans="1:15" ht="15.45">
      <c r="A135" s="97">
        <v>45778</v>
      </c>
      <c r="B135" s="97" t="s">
        <v>508</v>
      </c>
      <c r="D135" t="s">
        <v>548</v>
      </c>
      <c r="G135" s="37" t="s">
        <v>1107</v>
      </c>
      <c r="H135" s="94">
        <v>1981982</v>
      </c>
      <c r="I135" s="49">
        <v>0</v>
      </c>
      <c r="J135" s="49">
        <v>0</v>
      </c>
      <c r="K135" s="89">
        <f t="shared" si="2"/>
        <v>0</v>
      </c>
      <c r="L135" s="45" t="s">
        <v>15</v>
      </c>
      <c r="M135" s="45" t="s">
        <v>15</v>
      </c>
      <c r="N135" s="45" t="s">
        <v>15</v>
      </c>
      <c r="O135" s="45" t="s">
        <v>15</v>
      </c>
    </row>
    <row r="136" spans="1:15" ht="15.45">
      <c r="A136" s="97">
        <v>45778</v>
      </c>
      <c r="B136" s="97" t="s">
        <v>508</v>
      </c>
      <c r="D136" t="s">
        <v>561</v>
      </c>
      <c r="G136" s="37" t="s">
        <v>1107</v>
      </c>
      <c r="H136" s="63">
        <v>1309791</v>
      </c>
      <c r="I136" s="49">
        <v>0</v>
      </c>
      <c r="J136" s="49">
        <v>0</v>
      </c>
      <c r="K136" s="89">
        <f t="shared" si="2"/>
        <v>0</v>
      </c>
      <c r="L136" s="45" t="s">
        <v>15</v>
      </c>
      <c r="M136" s="45" t="s">
        <v>15</v>
      </c>
      <c r="N136" s="45" t="s">
        <v>15</v>
      </c>
      <c r="O136" s="45" t="s">
        <v>15</v>
      </c>
    </row>
    <row r="137" spans="1:15" ht="15.45">
      <c r="A137" s="97">
        <v>45778</v>
      </c>
      <c r="B137" s="97" t="s">
        <v>508</v>
      </c>
      <c r="D137" t="s">
        <v>550</v>
      </c>
      <c r="G137" s="37" t="s">
        <v>1107</v>
      </c>
      <c r="H137" s="63">
        <v>74324</v>
      </c>
      <c r="I137" s="49">
        <v>0</v>
      </c>
      <c r="J137" s="49">
        <v>0</v>
      </c>
      <c r="K137" s="89">
        <f t="shared" si="2"/>
        <v>0</v>
      </c>
      <c r="L137" s="45" t="s">
        <v>15</v>
      </c>
      <c r="M137" s="45" t="s">
        <v>15</v>
      </c>
      <c r="N137" s="45" t="s">
        <v>15</v>
      </c>
      <c r="O137" s="45" t="s">
        <v>15</v>
      </c>
    </row>
    <row r="138" spans="1:15" ht="15.45">
      <c r="A138" s="97">
        <v>45778</v>
      </c>
      <c r="B138" s="97" t="s">
        <v>508</v>
      </c>
      <c r="D138" t="s">
        <v>552</v>
      </c>
      <c r="G138" s="37" t="s">
        <v>1107</v>
      </c>
      <c r="H138" s="63">
        <v>583000</v>
      </c>
      <c r="I138" s="49">
        <v>0</v>
      </c>
      <c r="J138" s="49">
        <v>0</v>
      </c>
      <c r="K138" s="89">
        <f t="shared" si="2"/>
        <v>0</v>
      </c>
      <c r="L138" s="45" t="s">
        <v>15</v>
      </c>
      <c r="M138" s="45" t="s">
        <v>15</v>
      </c>
      <c r="N138" s="45" t="s">
        <v>15</v>
      </c>
      <c r="O138" s="45" t="s">
        <v>15</v>
      </c>
    </row>
    <row r="139" spans="1:15" ht="15.45">
      <c r="A139" s="97">
        <v>45778</v>
      </c>
      <c r="B139" s="97" t="s">
        <v>508</v>
      </c>
      <c r="D139" t="s">
        <v>561</v>
      </c>
      <c r="G139" s="37" t="s">
        <v>1107</v>
      </c>
      <c r="H139" s="63">
        <v>8918919</v>
      </c>
      <c r="I139" s="49">
        <v>0</v>
      </c>
      <c r="J139" s="49">
        <v>0</v>
      </c>
      <c r="K139" s="89">
        <f t="shared" si="2"/>
        <v>0</v>
      </c>
      <c r="L139" s="45" t="s">
        <v>15</v>
      </c>
      <c r="M139" s="45" t="s">
        <v>15</v>
      </c>
      <c r="N139" s="45" t="s">
        <v>15</v>
      </c>
      <c r="O139" s="45" t="s">
        <v>15</v>
      </c>
    </row>
    <row r="140" spans="1:15" ht="15.45">
      <c r="A140" s="97">
        <v>45778</v>
      </c>
      <c r="B140" s="97" t="s">
        <v>508</v>
      </c>
      <c r="D140" t="s">
        <v>564</v>
      </c>
      <c r="G140" s="37" t="s">
        <v>1107</v>
      </c>
      <c r="H140" s="63">
        <v>385000</v>
      </c>
      <c r="I140" s="49">
        <v>0</v>
      </c>
      <c r="J140" s="49">
        <v>0</v>
      </c>
      <c r="K140" s="89">
        <f t="shared" si="2"/>
        <v>0</v>
      </c>
      <c r="L140" s="45" t="s">
        <v>15</v>
      </c>
      <c r="M140" s="45" t="s">
        <v>15</v>
      </c>
      <c r="N140" s="45" t="s">
        <v>15</v>
      </c>
      <c r="O140" s="45" t="s">
        <v>15</v>
      </c>
    </row>
    <row r="141" spans="1:15" ht="15.45">
      <c r="A141" s="97">
        <v>45778</v>
      </c>
      <c r="B141" s="97" t="s">
        <v>508</v>
      </c>
      <c r="D141" t="s">
        <v>742</v>
      </c>
      <c r="G141" s="37" t="s">
        <v>1107</v>
      </c>
      <c r="H141" s="63">
        <v>820045</v>
      </c>
      <c r="I141" s="49">
        <v>0</v>
      </c>
      <c r="J141" s="49">
        <v>0</v>
      </c>
      <c r="K141" s="89">
        <f t="shared" si="2"/>
        <v>0</v>
      </c>
      <c r="L141" s="45" t="s">
        <v>15</v>
      </c>
      <c r="M141" s="45" t="s">
        <v>15</v>
      </c>
      <c r="N141" s="45" t="s">
        <v>15</v>
      </c>
      <c r="O141" s="45" t="s">
        <v>15</v>
      </c>
    </row>
    <row r="142" spans="1:15" ht="15.45">
      <c r="A142" s="97">
        <v>45778</v>
      </c>
      <c r="B142" s="97" t="s">
        <v>508</v>
      </c>
      <c r="D142" t="s">
        <v>742</v>
      </c>
      <c r="G142" s="37" t="s">
        <v>1107</v>
      </c>
      <c r="H142" s="63">
        <v>505405</v>
      </c>
      <c r="I142" s="49">
        <v>0</v>
      </c>
      <c r="J142" s="49">
        <v>0</v>
      </c>
      <c r="K142" s="89">
        <f t="shared" si="2"/>
        <v>0</v>
      </c>
      <c r="L142" s="45" t="s">
        <v>15</v>
      </c>
      <c r="M142" s="45" t="s">
        <v>15</v>
      </c>
      <c r="N142" s="45" t="s">
        <v>15</v>
      </c>
      <c r="O142" s="45" t="s">
        <v>15</v>
      </c>
    </row>
    <row r="143" spans="1:15" ht="15.45">
      <c r="A143" s="97">
        <v>45778</v>
      </c>
      <c r="B143" s="97" t="s">
        <v>508</v>
      </c>
      <c r="D143" t="s">
        <v>742</v>
      </c>
      <c r="G143" s="37" t="s">
        <v>1107</v>
      </c>
      <c r="H143" s="63">
        <v>483108</v>
      </c>
      <c r="I143" s="49">
        <v>0</v>
      </c>
      <c r="J143" s="49">
        <v>0</v>
      </c>
      <c r="K143" s="89">
        <f t="shared" si="2"/>
        <v>0</v>
      </c>
      <c r="L143" s="45" t="s">
        <v>15</v>
      </c>
      <c r="M143" s="45" t="s">
        <v>15</v>
      </c>
      <c r="N143" s="45" t="s">
        <v>15</v>
      </c>
      <c r="O143" s="45" t="s">
        <v>15</v>
      </c>
    </row>
    <row r="144" spans="1:15" ht="15.45">
      <c r="A144" s="97">
        <v>45778</v>
      </c>
      <c r="B144" s="97" t="s">
        <v>508</v>
      </c>
      <c r="D144" t="s">
        <v>742</v>
      </c>
      <c r="G144" s="37" t="s">
        <v>1107</v>
      </c>
      <c r="H144" s="63">
        <v>705642</v>
      </c>
      <c r="I144" s="49">
        <v>0</v>
      </c>
      <c r="J144" s="49">
        <v>0</v>
      </c>
      <c r="K144" s="89">
        <f t="shared" si="2"/>
        <v>0</v>
      </c>
      <c r="L144" s="45" t="s">
        <v>15</v>
      </c>
      <c r="M144" s="45" t="s">
        <v>15</v>
      </c>
      <c r="N144" s="45" t="s">
        <v>15</v>
      </c>
      <c r="O144" s="45" t="s">
        <v>15</v>
      </c>
    </row>
    <row r="145" spans="1:15" ht="15.45">
      <c r="A145" s="97">
        <v>45778</v>
      </c>
      <c r="B145" s="97" t="s">
        <v>508</v>
      </c>
      <c r="D145" t="s">
        <v>742</v>
      </c>
      <c r="G145" s="37" t="s">
        <v>1107</v>
      </c>
      <c r="H145" s="63">
        <v>624324</v>
      </c>
      <c r="I145" s="49">
        <v>0</v>
      </c>
      <c r="J145" s="49">
        <v>0</v>
      </c>
      <c r="K145" s="89">
        <f t="shared" si="2"/>
        <v>0</v>
      </c>
      <c r="L145" s="45" t="s">
        <v>15</v>
      </c>
      <c r="M145" s="45" t="s">
        <v>15</v>
      </c>
      <c r="N145" s="45" t="s">
        <v>15</v>
      </c>
      <c r="O145" s="45" t="s">
        <v>15</v>
      </c>
    </row>
    <row r="146" spans="1:15" ht="15.45">
      <c r="A146" s="97">
        <v>45778</v>
      </c>
      <c r="B146" s="97" t="s">
        <v>508</v>
      </c>
      <c r="D146" t="s">
        <v>742</v>
      </c>
      <c r="G146" s="37" t="s">
        <v>1107</v>
      </c>
      <c r="H146" s="63">
        <v>567342</v>
      </c>
      <c r="I146" s="49">
        <v>0</v>
      </c>
      <c r="J146" s="49">
        <v>0</v>
      </c>
      <c r="K146" s="89">
        <f t="shared" si="2"/>
        <v>0</v>
      </c>
      <c r="L146" s="45" t="s">
        <v>15</v>
      </c>
      <c r="M146" s="45" t="s">
        <v>15</v>
      </c>
      <c r="N146" s="45" t="s">
        <v>15</v>
      </c>
      <c r="O146" s="45" t="s">
        <v>15</v>
      </c>
    </row>
    <row r="147" spans="1:15" ht="15.45">
      <c r="A147" s="97">
        <v>45778</v>
      </c>
      <c r="B147" s="97" t="s">
        <v>508</v>
      </c>
      <c r="D147" t="s">
        <v>742</v>
      </c>
      <c r="G147" s="37" t="s">
        <v>1107</v>
      </c>
      <c r="H147" s="63">
        <v>491370</v>
      </c>
      <c r="I147" s="49">
        <v>0</v>
      </c>
      <c r="J147" s="49">
        <v>0</v>
      </c>
      <c r="K147" s="89">
        <f t="shared" si="2"/>
        <v>0</v>
      </c>
      <c r="L147" s="45" t="s">
        <v>15</v>
      </c>
      <c r="M147" s="45" t="s">
        <v>15</v>
      </c>
      <c r="N147" s="45" t="s">
        <v>15</v>
      </c>
      <c r="O147" s="45" t="s">
        <v>15</v>
      </c>
    </row>
    <row r="148" spans="1:15" ht="15.45">
      <c r="A148" s="97">
        <v>45778</v>
      </c>
      <c r="B148" s="97" t="s">
        <v>508</v>
      </c>
      <c r="D148" t="s">
        <v>742</v>
      </c>
      <c r="G148" s="37" t="s">
        <v>1107</v>
      </c>
      <c r="H148" s="63">
        <v>481461</v>
      </c>
      <c r="I148" s="49">
        <v>0</v>
      </c>
      <c r="J148" s="49">
        <v>0</v>
      </c>
      <c r="K148" s="89">
        <f t="shared" si="2"/>
        <v>0</v>
      </c>
      <c r="L148" s="45" t="s">
        <v>15</v>
      </c>
      <c r="M148" s="45" t="s">
        <v>15</v>
      </c>
      <c r="N148" s="45" t="s">
        <v>15</v>
      </c>
      <c r="O148" s="45" t="s">
        <v>15</v>
      </c>
    </row>
    <row r="149" spans="1:15" ht="15.45">
      <c r="A149" s="97">
        <v>45778</v>
      </c>
      <c r="B149" s="97" t="s">
        <v>508</v>
      </c>
      <c r="D149" t="s">
        <v>742</v>
      </c>
      <c r="G149" s="37" t="s">
        <v>1107</v>
      </c>
      <c r="H149" s="63">
        <v>671396</v>
      </c>
      <c r="I149" s="49">
        <v>0</v>
      </c>
      <c r="J149" s="49">
        <v>0</v>
      </c>
      <c r="K149" s="89">
        <f t="shared" si="2"/>
        <v>0</v>
      </c>
      <c r="L149" s="45" t="s">
        <v>15</v>
      </c>
      <c r="M149" s="45" t="s">
        <v>15</v>
      </c>
      <c r="N149" s="45" t="s">
        <v>15</v>
      </c>
      <c r="O149" s="45" t="s">
        <v>15</v>
      </c>
    </row>
    <row r="150" spans="1:15" ht="15.45">
      <c r="A150" s="97">
        <v>45778</v>
      </c>
      <c r="B150" s="97" t="s">
        <v>508</v>
      </c>
      <c r="D150" t="s">
        <v>742</v>
      </c>
      <c r="G150" s="37" t="s">
        <v>1107</v>
      </c>
      <c r="H150" s="63">
        <v>694932</v>
      </c>
      <c r="I150" s="49">
        <v>0</v>
      </c>
      <c r="J150" s="49">
        <v>0</v>
      </c>
      <c r="K150" s="89">
        <f t="shared" si="2"/>
        <v>0</v>
      </c>
      <c r="L150" s="45" t="s">
        <v>15</v>
      </c>
      <c r="M150" s="45" t="s">
        <v>15</v>
      </c>
      <c r="N150" s="45" t="s">
        <v>15</v>
      </c>
      <c r="O150" s="45" t="s">
        <v>15</v>
      </c>
    </row>
    <row r="151" spans="1:15" ht="15.45">
      <c r="A151" s="97">
        <v>45778</v>
      </c>
      <c r="B151" s="97" t="s">
        <v>1106</v>
      </c>
      <c r="C151" t="s">
        <v>743</v>
      </c>
      <c r="D151" t="s">
        <v>571</v>
      </c>
      <c r="E151" s="37" t="s">
        <v>744</v>
      </c>
      <c r="F151" s="37">
        <v>2025</v>
      </c>
      <c r="G151" s="37" t="s">
        <v>148</v>
      </c>
      <c r="H151" s="41">
        <v>56981982</v>
      </c>
      <c r="I151" s="41">
        <v>56981982</v>
      </c>
      <c r="J151" s="41">
        <v>56981982</v>
      </c>
      <c r="K151" s="89">
        <f t="shared" si="2"/>
        <v>0</v>
      </c>
      <c r="L151" t="s">
        <v>308</v>
      </c>
      <c r="M151" s="2" t="s">
        <v>1108</v>
      </c>
      <c r="N151" s="45" t="s">
        <v>532</v>
      </c>
      <c r="O151" s="101" t="s">
        <v>744</v>
      </c>
    </row>
    <row r="152" spans="1:15" ht="15.45">
      <c r="A152" s="97">
        <v>45778</v>
      </c>
      <c r="B152" s="97" t="s">
        <v>1106</v>
      </c>
      <c r="C152" t="s">
        <v>745</v>
      </c>
      <c r="D152" t="s">
        <v>571</v>
      </c>
      <c r="E152" s="37" t="s">
        <v>746</v>
      </c>
      <c r="F152" s="37">
        <v>2025</v>
      </c>
      <c r="G152" s="37" t="s">
        <v>148</v>
      </c>
      <c r="H152" s="41">
        <v>3468468</v>
      </c>
      <c r="I152" s="41">
        <v>3468468</v>
      </c>
      <c r="J152" s="41">
        <v>3468468</v>
      </c>
      <c r="K152" s="89">
        <f t="shared" si="2"/>
        <v>0</v>
      </c>
      <c r="L152" t="s">
        <v>308</v>
      </c>
      <c r="M152" s="2" t="s">
        <v>1108</v>
      </c>
      <c r="N152" s="45" t="s">
        <v>532</v>
      </c>
      <c r="O152" s="101" t="s">
        <v>746</v>
      </c>
    </row>
    <row r="153" spans="1:15" ht="15.45">
      <c r="A153" s="97">
        <v>45778</v>
      </c>
      <c r="B153" s="97" t="s">
        <v>1106</v>
      </c>
      <c r="C153" t="s">
        <v>747</v>
      </c>
      <c r="D153" t="s">
        <v>558</v>
      </c>
      <c r="E153" s="37" t="s">
        <v>748</v>
      </c>
      <c r="F153" s="37">
        <v>2025</v>
      </c>
      <c r="G153" s="37" t="s">
        <v>148</v>
      </c>
      <c r="H153" s="41">
        <v>22573760</v>
      </c>
      <c r="I153" s="41">
        <v>22573760</v>
      </c>
      <c r="J153" s="41">
        <v>22573760</v>
      </c>
      <c r="K153" s="89">
        <f t="shared" si="2"/>
        <v>0</v>
      </c>
      <c r="L153" t="s">
        <v>308</v>
      </c>
      <c r="M153" s="2" t="s">
        <v>1108</v>
      </c>
      <c r="N153" s="45" t="s">
        <v>532</v>
      </c>
      <c r="O153" s="101" t="s">
        <v>748</v>
      </c>
    </row>
    <row r="154" spans="1:15" ht="15.45">
      <c r="A154" s="97">
        <v>45778</v>
      </c>
      <c r="B154" s="97" t="s">
        <v>1106</v>
      </c>
      <c r="C154" t="s">
        <v>749</v>
      </c>
      <c r="D154" t="s">
        <v>558</v>
      </c>
      <c r="E154" s="37" t="s">
        <v>750</v>
      </c>
      <c r="F154" s="37">
        <v>2025</v>
      </c>
      <c r="G154" s="37" t="s">
        <v>148</v>
      </c>
      <c r="H154" s="41">
        <v>29176125</v>
      </c>
      <c r="I154" s="41">
        <v>29176125</v>
      </c>
      <c r="J154" s="41">
        <v>29176125</v>
      </c>
      <c r="K154" s="89">
        <f t="shared" si="2"/>
        <v>0</v>
      </c>
      <c r="L154" t="s">
        <v>308</v>
      </c>
      <c r="M154" s="2" t="s">
        <v>1108</v>
      </c>
      <c r="N154" s="45" t="s">
        <v>532</v>
      </c>
      <c r="O154" s="101" t="s">
        <v>750</v>
      </c>
    </row>
    <row r="155" spans="1:15" ht="15.45">
      <c r="A155" s="97">
        <v>45778</v>
      </c>
      <c r="B155" s="97" t="s">
        <v>1106</v>
      </c>
      <c r="C155" t="s">
        <v>751</v>
      </c>
      <c r="D155" t="s">
        <v>236</v>
      </c>
      <c r="E155" s="37" t="s">
        <v>752</v>
      </c>
      <c r="F155" s="37">
        <v>2025</v>
      </c>
      <c r="G155" s="37" t="s">
        <v>149</v>
      </c>
      <c r="H155" s="74">
        <v>166006</v>
      </c>
      <c r="I155" s="63">
        <v>0</v>
      </c>
      <c r="J155" s="63">
        <v>0</v>
      </c>
      <c r="K155" s="89">
        <f t="shared" si="2"/>
        <v>0</v>
      </c>
      <c r="L155" s="45" t="s">
        <v>15</v>
      </c>
      <c r="M155" s="45" t="s">
        <v>15</v>
      </c>
      <c r="N155" s="45" t="s">
        <v>15</v>
      </c>
      <c r="O155" s="45" t="s">
        <v>15</v>
      </c>
    </row>
    <row r="156" spans="1:15" ht="15.45">
      <c r="A156" s="97">
        <v>45778</v>
      </c>
      <c r="B156" s="97" t="s">
        <v>1106</v>
      </c>
      <c r="C156" t="s">
        <v>753</v>
      </c>
      <c r="D156" t="s">
        <v>732</v>
      </c>
      <c r="E156" s="37" t="s">
        <v>754</v>
      </c>
      <c r="F156" s="37">
        <v>2025</v>
      </c>
      <c r="G156" s="37" t="s">
        <v>149</v>
      </c>
      <c r="H156" s="74">
        <v>774400</v>
      </c>
      <c r="I156" s="63">
        <v>0</v>
      </c>
      <c r="J156" s="63">
        <v>0</v>
      </c>
      <c r="K156" s="89">
        <f t="shared" si="2"/>
        <v>0</v>
      </c>
      <c r="L156" s="45" t="s">
        <v>15</v>
      </c>
      <c r="M156" s="45" t="s">
        <v>15</v>
      </c>
      <c r="N156" s="45" t="s">
        <v>15</v>
      </c>
      <c r="O156" s="45" t="s">
        <v>15</v>
      </c>
    </row>
    <row r="157" spans="1:15" s="30" customFormat="1" ht="15.45">
      <c r="A157" s="99">
        <v>45778</v>
      </c>
      <c r="B157" s="97" t="s">
        <v>1106</v>
      </c>
      <c r="C157" s="4" t="s">
        <v>755</v>
      </c>
      <c r="D157" s="30" t="s">
        <v>646</v>
      </c>
      <c r="E157" s="39" t="s">
        <v>756</v>
      </c>
      <c r="F157" s="39">
        <v>2024</v>
      </c>
      <c r="G157" s="39" t="s">
        <v>148</v>
      </c>
      <c r="H157" s="40">
        <v>7794046</v>
      </c>
      <c r="I157" s="40">
        <v>7794046</v>
      </c>
      <c r="J157" s="40">
        <v>7794046</v>
      </c>
      <c r="K157" s="89">
        <f t="shared" si="2"/>
        <v>0</v>
      </c>
      <c r="L157" t="s">
        <v>308</v>
      </c>
      <c r="M157" s="2" t="s">
        <v>1108</v>
      </c>
      <c r="N157" s="2" t="s">
        <v>533</v>
      </c>
      <c r="O157" s="71" t="s">
        <v>408</v>
      </c>
    </row>
    <row r="158" spans="1:15" ht="15.45">
      <c r="A158" s="97">
        <v>45778</v>
      </c>
      <c r="B158" s="97" t="s">
        <v>1106</v>
      </c>
      <c r="C158" t="s">
        <v>757</v>
      </c>
      <c r="D158" t="s">
        <v>663</v>
      </c>
      <c r="E158" s="37" t="s">
        <v>758</v>
      </c>
      <c r="F158" s="37">
        <v>2025</v>
      </c>
      <c r="G158" s="37" t="s">
        <v>149</v>
      </c>
      <c r="H158" s="74">
        <v>69622</v>
      </c>
      <c r="I158" s="63">
        <v>0</v>
      </c>
      <c r="J158" s="63">
        <v>0</v>
      </c>
      <c r="K158" s="89">
        <f t="shared" si="2"/>
        <v>0</v>
      </c>
      <c r="L158" s="45" t="s">
        <v>15</v>
      </c>
      <c r="M158" s="45" t="s">
        <v>15</v>
      </c>
      <c r="N158" s="45" t="s">
        <v>15</v>
      </c>
      <c r="O158" s="45" t="s">
        <v>15</v>
      </c>
    </row>
    <row r="159" spans="1:15" ht="15.45">
      <c r="A159" s="97">
        <v>45778</v>
      </c>
      <c r="B159" s="97" t="s">
        <v>1106</v>
      </c>
      <c r="C159" t="s">
        <v>759</v>
      </c>
      <c r="D159" t="s">
        <v>646</v>
      </c>
      <c r="E159" s="37" t="s">
        <v>760</v>
      </c>
      <c r="F159" s="37">
        <v>2025</v>
      </c>
      <c r="G159" s="37" t="s">
        <v>148</v>
      </c>
      <c r="H159" s="41">
        <v>1845091</v>
      </c>
      <c r="I159" s="41">
        <v>1845091</v>
      </c>
      <c r="J159" s="41">
        <v>1845091</v>
      </c>
      <c r="K159" s="89">
        <f t="shared" si="2"/>
        <v>0</v>
      </c>
      <c r="L159" t="s">
        <v>308</v>
      </c>
      <c r="M159" s="2" t="s">
        <v>1108</v>
      </c>
      <c r="N159" s="45" t="s">
        <v>532</v>
      </c>
      <c r="O159" s="101" t="s">
        <v>760</v>
      </c>
    </row>
    <row r="160" spans="1:15" s="30" customFormat="1" ht="15.45">
      <c r="A160" s="99">
        <v>45778</v>
      </c>
      <c r="B160" s="97" t="s">
        <v>1106</v>
      </c>
      <c r="C160" s="30" t="s">
        <v>539</v>
      </c>
      <c r="D160" s="30" t="s">
        <v>646</v>
      </c>
      <c r="E160" s="39" t="s">
        <v>540</v>
      </c>
      <c r="F160" s="39">
        <v>2023</v>
      </c>
      <c r="G160" s="39" t="s">
        <v>148</v>
      </c>
      <c r="H160" s="90">
        <v>19257150</v>
      </c>
      <c r="I160" s="90">
        <v>19257150</v>
      </c>
      <c r="J160" s="90">
        <v>19257150</v>
      </c>
      <c r="K160" s="89">
        <f t="shared" si="2"/>
        <v>0</v>
      </c>
      <c r="L160" s="30" t="s">
        <v>308</v>
      </c>
      <c r="M160" s="30" t="s">
        <v>1108</v>
      </c>
      <c r="N160" s="2" t="s">
        <v>531</v>
      </c>
      <c r="O160" s="91" t="s">
        <v>320</v>
      </c>
    </row>
    <row r="161" spans="1:15" ht="15.45">
      <c r="A161" s="97">
        <v>45778</v>
      </c>
      <c r="B161" s="97" t="s">
        <v>1106</v>
      </c>
      <c r="C161" t="s">
        <v>761</v>
      </c>
      <c r="D161" t="s">
        <v>732</v>
      </c>
      <c r="E161" s="37" t="s">
        <v>762</v>
      </c>
      <c r="F161" s="37">
        <v>2025</v>
      </c>
      <c r="G161" s="37" t="s">
        <v>149</v>
      </c>
      <c r="H161" s="74">
        <v>880094</v>
      </c>
      <c r="I161" s="63">
        <v>0</v>
      </c>
      <c r="J161" s="63">
        <v>0</v>
      </c>
      <c r="K161" s="89">
        <f t="shared" si="2"/>
        <v>0</v>
      </c>
      <c r="L161" s="45" t="s">
        <v>15</v>
      </c>
      <c r="M161" s="45" t="s">
        <v>15</v>
      </c>
      <c r="N161" s="45" t="s">
        <v>15</v>
      </c>
      <c r="O161" s="45" t="s">
        <v>15</v>
      </c>
    </row>
    <row r="162" spans="1:15" ht="15.45">
      <c r="A162" s="97">
        <v>45778</v>
      </c>
      <c r="B162" s="97" t="s">
        <v>1106</v>
      </c>
      <c r="C162" t="s">
        <v>763</v>
      </c>
      <c r="D162" t="s">
        <v>646</v>
      </c>
      <c r="E162" s="37" t="s">
        <v>764</v>
      </c>
      <c r="F162" s="37">
        <v>2025</v>
      </c>
      <c r="G162" s="37" t="s">
        <v>148</v>
      </c>
      <c r="H162" s="41">
        <v>2123187</v>
      </c>
      <c r="I162" s="41">
        <v>2123187</v>
      </c>
      <c r="J162" s="41">
        <v>2123187</v>
      </c>
      <c r="K162" s="89">
        <f t="shared" si="2"/>
        <v>0</v>
      </c>
      <c r="L162" t="s">
        <v>308</v>
      </c>
      <c r="M162" s="2" t="s">
        <v>1108</v>
      </c>
      <c r="N162" s="45" t="s">
        <v>532</v>
      </c>
      <c r="O162" s="101" t="s">
        <v>764</v>
      </c>
    </row>
    <row r="163" spans="1:15" ht="15.45">
      <c r="A163" s="97">
        <v>45778</v>
      </c>
      <c r="B163" s="97" t="s">
        <v>1106</v>
      </c>
      <c r="C163" t="s">
        <v>765</v>
      </c>
      <c r="D163" t="s">
        <v>732</v>
      </c>
      <c r="E163" s="37" t="s">
        <v>766</v>
      </c>
      <c r="F163" s="37">
        <v>2025</v>
      </c>
      <c r="G163" s="37" t="s">
        <v>149</v>
      </c>
      <c r="H163" s="74">
        <v>126500</v>
      </c>
      <c r="I163" s="63">
        <v>0</v>
      </c>
      <c r="J163" s="63">
        <v>0</v>
      </c>
      <c r="K163" s="89">
        <f t="shared" si="2"/>
        <v>0</v>
      </c>
      <c r="L163" s="45" t="s">
        <v>15</v>
      </c>
      <c r="M163" s="45" t="s">
        <v>15</v>
      </c>
      <c r="N163" s="45" t="s">
        <v>15</v>
      </c>
      <c r="O163" s="45" t="s">
        <v>15</v>
      </c>
    </row>
    <row r="164" spans="1:15" ht="15.45">
      <c r="A164" s="97">
        <v>45778</v>
      </c>
      <c r="B164" s="97" t="s">
        <v>1106</v>
      </c>
      <c r="C164" t="s">
        <v>767</v>
      </c>
      <c r="D164" t="s">
        <v>646</v>
      </c>
      <c r="E164" s="37" t="s">
        <v>768</v>
      </c>
      <c r="F164" s="37">
        <v>2025</v>
      </c>
      <c r="G164" s="37" t="s">
        <v>148</v>
      </c>
      <c r="H164" s="41">
        <v>2054173</v>
      </c>
      <c r="I164" s="41">
        <v>2054173</v>
      </c>
      <c r="J164" s="41">
        <v>2054173</v>
      </c>
      <c r="K164" s="89">
        <f t="shared" si="2"/>
        <v>0</v>
      </c>
      <c r="L164" t="s">
        <v>308</v>
      </c>
      <c r="M164" s="2" t="s">
        <v>1108</v>
      </c>
      <c r="N164" s="45" t="s">
        <v>532</v>
      </c>
      <c r="O164" s="101" t="s">
        <v>768</v>
      </c>
    </row>
    <row r="165" spans="1:15" s="30" customFormat="1" ht="15.45">
      <c r="A165" s="99">
        <v>45778</v>
      </c>
      <c r="B165" s="97" t="s">
        <v>1106</v>
      </c>
      <c r="C165" s="30" t="s">
        <v>769</v>
      </c>
      <c r="D165" s="30" t="s">
        <v>646</v>
      </c>
      <c r="E165" s="39" t="s">
        <v>770</v>
      </c>
      <c r="F165" s="39">
        <v>2024</v>
      </c>
      <c r="G165" s="39" t="s">
        <v>148</v>
      </c>
      <c r="H165" s="40">
        <v>23163185</v>
      </c>
      <c r="I165" s="40">
        <v>23163185</v>
      </c>
      <c r="J165" s="40">
        <v>23163185</v>
      </c>
      <c r="K165" s="89">
        <f t="shared" si="2"/>
        <v>0</v>
      </c>
      <c r="L165" t="s">
        <v>308</v>
      </c>
      <c r="M165" s="2" t="s">
        <v>1108</v>
      </c>
      <c r="N165" s="2" t="s">
        <v>533</v>
      </c>
      <c r="O165" s="71" t="s">
        <v>431</v>
      </c>
    </row>
    <row r="166" spans="1:15" ht="15.45">
      <c r="A166" s="97">
        <v>45778</v>
      </c>
      <c r="B166" s="97" t="s">
        <v>1106</v>
      </c>
      <c r="C166" t="s">
        <v>771</v>
      </c>
      <c r="D166" t="s">
        <v>646</v>
      </c>
      <c r="E166" s="37" t="s">
        <v>772</v>
      </c>
      <c r="F166" s="37">
        <v>2025</v>
      </c>
      <c r="G166" s="37" t="s">
        <v>148</v>
      </c>
      <c r="H166" s="41">
        <v>6050052</v>
      </c>
      <c r="I166" s="41">
        <v>6050052</v>
      </c>
      <c r="J166" s="41">
        <v>6050052</v>
      </c>
      <c r="K166" s="89">
        <f t="shared" si="2"/>
        <v>0</v>
      </c>
      <c r="L166" t="s">
        <v>308</v>
      </c>
      <c r="M166" s="2" t="s">
        <v>1108</v>
      </c>
      <c r="N166" s="45" t="s">
        <v>532</v>
      </c>
      <c r="O166" s="101" t="s">
        <v>772</v>
      </c>
    </row>
    <row r="167" spans="1:15" ht="15.45">
      <c r="A167" s="97">
        <v>45778</v>
      </c>
      <c r="B167" s="97" t="s">
        <v>1106</v>
      </c>
      <c r="C167" t="s">
        <v>773</v>
      </c>
      <c r="D167" t="s">
        <v>236</v>
      </c>
      <c r="E167" s="37" t="s">
        <v>774</v>
      </c>
      <c r="F167" s="37">
        <v>2025</v>
      </c>
      <c r="G167" s="37" t="s">
        <v>149</v>
      </c>
      <c r="H167" s="74">
        <v>87120</v>
      </c>
      <c r="I167" s="63">
        <v>0</v>
      </c>
      <c r="J167" s="63">
        <v>0</v>
      </c>
      <c r="K167" s="89">
        <f t="shared" si="2"/>
        <v>0</v>
      </c>
      <c r="L167" s="45" t="s">
        <v>15</v>
      </c>
      <c r="M167" s="45" t="s">
        <v>15</v>
      </c>
      <c r="N167" s="45" t="s">
        <v>15</v>
      </c>
      <c r="O167" s="45" t="s">
        <v>15</v>
      </c>
    </row>
    <row r="168" spans="1:15" ht="15.45">
      <c r="A168" s="97">
        <v>45778</v>
      </c>
      <c r="B168" s="97" t="s">
        <v>1106</v>
      </c>
      <c r="C168" t="s">
        <v>775</v>
      </c>
      <c r="D168" t="s">
        <v>236</v>
      </c>
      <c r="E168" s="37" t="s">
        <v>776</v>
      </c>
      <c r="F168" s="37">
        <v>2025</v>
      </c>
      <c r="G168" s="37" t="s">
        <v>149</v>
      </c>
      <c r="H168" s="74">
        <v>132680</v>
      </c>
      <c r="I168" s="63">
        <v>0</v>
      </c>
      <c r="J168" s="63">
        <v>0</v>
      </c>
      <c r="K168" s="89">
        <f t="shared" si="2"/>
        <v>0</v>
      </c>
      <c r="L168" s="45" t="s">
        <v>15</v>
      </c>
      <c r="M168" s="45" t="s">
        <v>15</v>
      </c>
      <c r="N168" s="45" t="s">
        <v>15</v>
      </c>
      <c r="O168" s="45" t="s">
        <v>15</v>
      </c>
    </row>
    <row r="169" spans="1:15" ht="15.45">
      <c r="A169" s="97">
        <v>45778</v>
      </c>
      <c r="B169" s="97" t="s">
        <v>1106</v>
      </c>
      <c r="C169" t="s">
        <v>777</v>
      </c>
      <c r="D169" t="s">
        <v>236</v>
      </c>
      <c r="E169" s="37" t="s">
        <v>778</v>
      </c>
      <c r="F169" s="37">
        <v>2025</v>
      </c>
      <c r="G169" s="37" t="s">
        <v>149</v>
      </c>
      <c r="H169" s="74">
        <v>126553</v>
      </c>
      <c r="I169" s="63">
        <v>0</v>
      </c>
      <c r="J169" s="63">
        <v>0</v>
      </c>
      <c r="K169" s="89">
        <f t="shared" si="2"/>
        <v>0</v>
      </c>
      <c r="L169" s="45" t="s">
        <v>15</v>
      </c>
      <c r="M169" s="45" t="s">
        <v>15</v>
      </c>
      <c r="N169" s="45" t="s">
        <v>15</v>
      </c>
      <c r="O169" s="45" t="s">
        <v>15</v>
      </c>
    </row>
    <row r="170" spans="1:15" s="30" customFormat="1" ht="15.45">
      <c r="A170" s="99">
        <v>45778</v>
      </c>
      <c r="B170" s="97" t="s">
        <v>1106</v>
      </c>
      <c r="C170" s="30" t="s">
        <v>779</v>
      </c>
      <c r="D170" s="30" t="s">
        <v>646</v>
      </c>
      <c r="E170" s="39" t="s">
        <v>780</v>
      </c>
      <c r="F170" s="37">
        <v>2024</v>
      </c>
      <c r="G170" s="37" t="s">
        <v>148</v>
      </c>
      <c r="H170" s="40">
        <v>2309855</v>
      </c>
      <c r="I170" s="40">
        <v>2309855</v>
      </c>
      <c r="J170" s="40">
        <v>2309855</v>
      </c>
      <c r="K170" s="89">
        <f t="shared" si="2"/>
        <v>0</v>
      </c>
      <c r="L170" t="s">
        <v>308</v>
      </c>
      <c r="M170" s="2" t="s">
        <v>1108</v>
      </c>
      <c r="N170" s="2" t="s">
        <v>533</v>
      </c>
      <c r="O170" s="71" t="s">
        <v>406</v>
      </c>
    </row>
    <row r="171" spans="1:15" s="30" customFormat="1" ht="15.45">
      <c r="A171" s="99">
        <v>45778</v>
      </c>
      <c r="B171" s="97" t="s">
        <v>1106</v>
      </c>
      <c r="C171" s="30" t="s">
        <v>781</v>
      </c>
      <c r="D171" s="30" t="s">
        <v>646</v>
      </c>
      <c r="E171" s="39" t="s">
        <v>782</v>
      </c>
      <c r="F171" s="39">
        <v>2024</v>
      </c>
      <c r="G171" s="39" t="s">
        <v>148</v>
      </c>
      <c r="H171" s="40">
        <v>10115710</v>
      </c>
      <c r="I171" s="40">
        <v>10115710</v>
      </c>
      <c r="J171" s="40">
        <v>10115710</v>
      </c>
      <c r="K171" s="89">
        <f t="shared" si="2"/>
        <v>0</v>
      </c>
      <c r="L171" t="s">
        <v>308</v>
      </c>
      <c r="M171" s="2" t="s">
        <v>1108</v>
      </c>
      <c r="N171" s="2" t="s">
        <v>533</v>
      </c>
      <c r="O171" s="30" t="s">
        <v>429</v>
      </c>
    </row>
    <row r="172" spans="1:15" ht="15.45">
      <c r="A172" s="97">
        <v>45778</v>
      </c>
      <c r="B172" s="97" t="s">
        <v>1106</v>
      </c>
      <c r="C172" t="s">
        <v>783</v>
      </c>
      <c r="D172" t="s">
        <v>732</v>
      </c>
      <c r="E172" s="37" t="s">
        <v>784</v>
      </c>
      <c r="F172" s="37">
        <v>2025</v>
      </c>
      <c r="G172" s="37" t="s">
        <v>149</v>
      </c>
      <c r="H172" s="74">
        <v>2247329</v>
      </c>
      <c r="I172" s="63">
        <v>0</v>
      </c>
      <c r="J172" s="63">
        <v>0</v>
      </c>
      <c r="K172" s="89">
        <f t="shared" si="2"/>
        <v>0</v>
      </c>
      <c r="L172" s="45" t="s">
        <v>15</v>
      </c>
      <c r="M172" s="45" t="s">
        <v>15</v>
      </c>
      <c r="N172" s="45" t="s">
        <v>15</v>
      </c>
      <c r="O172" s="45" t="s">
        <v>15</v>
      </c>
    </row>
    <row r="173" spans="1:15" ht="15.45">
      <c r="A173" s="97" t="s">
        <v>785</v>
      </c>
      <c r="B173" s="97" t="s">
        <v>508</v>
      </c>
      <c r="D173" t="s">
        <v>786</v>
      </c>
      <c r="G173" s="37" t="s">
        <v>1107</v>
      </c>
      <c r="H173" s="63">
        <v>67788</v>
      </c>
      <c r="I173" s="63">
        <v>0</v>
      </c>
      <c r="J173" s="63">
        <v>0</v>
      </c>
      <c r="K173" s="89">
        <f t="shared" si="2"/>
        <v>0</v>
      </c>
      <c r="L173" s="45" t="s">
        <v>15</v>
      </c>
      <c r="M173" s="45" t="s">
        <v>15</v>
      </c>
      <c r="N173" s="45" t="s">
        <v>15</v>
      </c>
      <c r="O173" s="45" t="s">
        <v>15</v>
      </c>
    </row>
    <row r="174" spans="1:15" ht="15.45">
      <c r="A174" s="97" t="s">
        <v>785</v>
      </c>
      <c r="B174" s="97" t="s">
        <v>508</v>
      </c>
      <c r="D174" t="s">
        <v>550</v>
      </c>
      <c r="G174" s="37" t="s">
        <v>1107</v>
      </c>
      <c r="H174" s="63">
        <v>74324</v>
      </c>
      <c r="I174" s="63">
        <v>0</v>
      </c>
      <c r="J174" s="63">
        <v>0</v>
      </c>
      <c r="K174" s="89">
        <f t="shared" si="2"/>
        <v>0</v>
      </c>
      <c r="L174" s="45" t="s">
        <v>15</v>
      </c>
      <c r="M174" s="45" t="s">
        <v>15</v>
      </c>
      <c r="N174" s="45" t="s">
        <v>15</v>
      </c>
      <c r="O174" s="45" t="s">
        <v>15</v>
      </c>
    </row>
    <row r="175" spans="1:15" ht="15.45">
      <c r="A175" s="97" t="s">
        <v>785</v>
      </c>
      <c r="B175" s="97" t="s">
        <v>508</v>
      </c>
      <c r="D175" t="s">
        <v>548</v>
      </c>
      <c r="G175" s="37" t="s">
        <v>1107</v>
      </c>
      <c r="H175" s="94">
        <v>1981982</v>
      </c>
      <c r="I175" s="63">
        <v>0</v>
      </c>
      <c r="J175" s="63">
        <v>0</v>
      </c>
      <c r="K175" s="89">
        <f t="shared" si="2"/>
        <v>0</v>
      </c>
      <c r="L175" s="45" t="s">
        <v>15</v>
      </c>
      <c r="M175" s="45" t="s">
        <v>15</v>
      </c>
      <c r="N175" s="45" t="s">
        <v>15</v>
      </c>
      <c r="O175" s="45" t="s">
        <v>15</v>
      </c>
    </row>
    <row r="176" spans="1:15" ht="15.45">
      <c r="A176" s="97" t="s">
        <v>785</v>
      </c>
      <c r="B176" s="97" t="s">
        <v>508</v>
      </c>
      <c r="D176" t="s">
        <v>552</v>
      </c>
      <c r="G176" s="37" t="s">
        <v>1107</v>
      </c>
      <c r="H176" s="63">
        <v>59460</v>
      </c>
      <c r="I176" s="63">
        <v>0</v>
      </c>
      <c r="J176" s="63">
        <v>0</v>
      </c>
      <c r="K176" s="89">
        <f t="shared" si="2"/>
        <v>0</v>
      </c>
      <c r="L176" s="45" t="s">
        <v>15</v>
      </c>
      <c r="M176" s="45" t="s">
        <v>15</v>
      </c>
      <c r="N176" s="45" t="s">
        <v>15</v>
      </c>
      <c r="O176" s="45" t="s">
        <v>15</v>
      </c>
    </row>
    <row r="177" spans="1:16" ht="15.45">
      <c r="A177" s="97" t="s">
        <v>785</v>
      </c>
      <c r="B177" s="97" t="s">
        <v>508</v>
      </c>
      <c r="D177" t="s">
        <v>787</v>
      </c>
      <c r="G177" s="37" t="s">
        <v>1107</v>
      </c>
      <c r="H177" s="63">
        <v>1107829</v>
      </c>
      <c r="I177" s="63">
        <v>0</v>
      </c>
      <c r="J177" s="63">
        <v>0</v>
      </c>
      <c r="K177" s="89">
        <f t="shared" si="2"/>
        <v>0</v>
      </c>
      <c r="L177" s="45" t="s">
        <v>15</v>
      </c>
      <c r="M177" s="45" t="s">
        <v>15</v>
      </c>
      <c r="N177" s="45" t="s">
        <v>15</v>
      </c>
      <c r="O177" s="45" t="s">
        <v>15</v>
      </c>
    </row>
    <row r="178" spans="1:16" ht="15.45">
      <c r="A178" s="97" t="s">
        <v>785</v>
      </c>
      <c r="B178" s="97" t="s">
        <v>508</v>
      </c>
      <c r="D178" t="s">
        <v>788</v>
      </c>
      <c r="G178" s="37" t="s">
        <v>1107</v>
      </c>
      <c r="H178" s="94">
        <v>990000</v>
      </c>
      <c r="I178" s="63">
        <v>0</v>
      </c>
      <c r="J178" s="63">
        <v>0</v>
      </c>
      <c r="K178" s="89">
        <f t="shared" si="2"/>
        <v>0</v>
      </c>
      <c r="L178" s="45" t="s">
        <v>15</v>
      </c>
      <c r="M178" s="45" t="s">
        <v>15</v>
      </c>
      <c r="N178" s="45" t="s">
        <v>15</v>
      </c>
      <c r="O178" s="45" t="s">
        <v>15</v>
      </c>
    </row>
    <row r="179" spans="1:16" ht="15.45">
      <c r="A179" s="97" t="s">
        <v>785</v>
      </c>
      <c r="B179" s="97" t="s">
        <v>508</v>
      </c>
      <c r="D179" t="s">
        <v>552</v>
      </c>
      <c r="G179" s="37" t="s">
        <v>1107</v>
      </c>
      <c r="H179" s="63">
        <v>506000</v>
      </c>
      <c r="I179" s="63">
        <v>0</v>
      </c>
      <c r="J179" s="63">
        <v>0</v>
      </c>
      <c r="K179" s="89">
        <f t="shared" si="2"/>
        <v>0</v>
      </c>
      <c r="L179" s="45" t="s">
        <v>15</v>
      </c>
      <c r="M179" s="45" t="s">
        <v>15</v>
      </c>
      <c r="N179" s="45" t="s">
        <v>15</v>
      </c>
      <c r="O179" s="45" t="s">
        <v>15</v>
      </c>
    </row>
    <row r="180" spans="1:16" ht="15.45">
      <c r="A180" s="97" t="s">
        <v>785</v>
      </c>
      <c r="B180" s="97" t="s">
        <v>508</v>
      </c>
      <c r="D180" t="s">
        <v>561</v>
      </c>
      <c r="G180" s="37" t="s">
        <v>1107</v>
      </c>
      <c r="H180" s="63">
        <v>1819151</v>
      </c>
      <c r="I180" s="63">
        <v>0</v>
      </c>
      <c r="J180" s="63">
        <v>0</v>
      </c>
      <c r="K180" s="89">
        <f t="shared" si="2"/>
        <v>0</v>
      </c>
      <c r="L180" s="45" t="s">
        <v>15</v>
      </c>
      <c r="M180" s="45" t="s">
        <v>15</v>
      </c>
      <c r="N180" s="45" t="s">
        <v>15</v>
      </c>
      <c r="O180" s="45" t="s">
        <v>15</v>
      </c>
    </row>
    <row r="181" spans="1:16" ht="15.45">
      <c r="A181" s="97" t="s">
        <v>785</v>
      </c>
      <c r="B181" s="97" t="s">
        <v>508</v>
      </c>
      <c r="D181" t="s">
        <v>564</v>
      </c>
      <c r="G181" s="37" t="s">
        <v>1107</v>
      </c>
      <c r="H181" s="63">
        <v>385000</v>
      </c>
      <c r="I181" s="63">
        <v>0</v>
      </c>
      <c r="J181" s="63">
        <v>0</v>
      </c>
      <c r="K181" s="89">
        <f t="shared" si="2"/>
        <v>0</v>
      </c>
      <c r="L181" s="45" t="s">
        <v>15</v>
      </c>
      <c r="M181" s="45" t="s">
        <v>15</v>
      </c>
      <c r="N181" s="45" t="s">
        <v>15</v>
      </c>
      <c r="O181" s="45" t="s">
        <v>15</v>
      </c>
    </row>
    <row r="182" spans="1:16" ht="15.45">
      <c r="A182" s="97" t="s">
        <v>785</v>
      </c>
      <c r="B182" s="97" t="s">
        <v>1106</v>
      </c>
      <c r="C182" t="s">
        <v>789</v>
      </c>
      <c r="D182" t="s">
        <v>558</v>
      </c>
      <c r="E182" s="37" t="s">
        <v>790</v>
      </c>
      <c r="F182" s="37">
        <v>2025</v>
      </c>
      <c r="G182" s="37" t="s">
        <v>148</v>
      </c>
      <c r="H182" s="41">
        <v>2972973</v>
      </c>
      <c r="I182" s="41">
        <v>2972973</v>
      </c>
      <c r="J182" s="41">
        <v>2972973</v>
      </c>
      <c r="K182" s="89">
        <f t="shared" si="2"/>
        <v>0</v>
      </c>
      <c r="L182" t="s">
        <v>308</v>
      </c>
      <c r="M182" s="2" t="s">
        <v>1108</v>
      </c>
      <c r="N182" s="45" t="s">
        <v>532</v>
      </c>
      <c r="O182" s="101" t="s">
        <v>790</v>
      </c>
    </row>
    <row r="183" spans="1:16" ht="15.45">
      <c r="A183" s="97" t="s">
        <v>785</v>
      </c>
      <c r="B183" s="97" t="s">
        <v>1106</v>
      </c>
      <c r="C183" t="s">
        <v>791</v>
      </c>
      <c r="D183" t="s">
        <v>558</v>
      </c>
      <c r="E183" s="37" t="s">
        <v>792</v>
      </c>
      <c r="F183" s="37">
        <v>2025</v>
      </c>
      <c r="G183" s="37" t="s">
        <v>148</v>
      </c>
      <c r="H183" s="41">
        <v>24081081</v>
      </c>
      <c r="I183" s="41">
        <v>24081081</v>
      </c>
      <c r="J183" s="41">
        <v>24081081</v>
      </c>
      <c r="K183" s="89">
        <f t="shared" si="2"/>
        <v>0</v>
      </c>
      <c r="L183" t="s">
        <v>308</v>
      </c>
      <c r="M183" s="2" t="s">
        <v>1108</v>
      </c>
      <c r="N183" s="45" t="s">
        <v>532</v>
      </c>
      <c r="O183" s="101" t="s">
        <v>792</v>
      </c>
    </row>
    <row r="184" spans="1:16" s="115" customFormat="1" ht="15.45">
      <c r="A184" s="114" t="s">
        <v>785</v>
      </c>
      <c r="B184" s="97" t="s">
        <v>1106</v>
      </c>
      <c r="C184" s="115" t="s">
        <v>793</v>
      </c>
      <c r="D184" s="115" t="s">
        <v>207</v>
      </c>
      <c r="E184" s="116" t="s">
        <v>794</v>
      </c>
      <c r="F184" s="116"/>
      <c r="G184" s="122" t="s">
        <v>148</v>
      </c>
      <c r="H184" s="117">
        <v>3468469</v>
      </c>
      <c r="I184" s="117">
        <v>0</v>
      </c>
      <c r="J184" s="117">
        <v>0</v>
      </c>
      <c r="K184" s="89">
        <f t="shared" si="2"/>
        <v>0</v>
      </c>
      <c r="L184" s="76" t="s">
        <v>15</v>
      </c>
      <c r="M184" s="76" t="s">
        <v>15</v>
      </c>
      <c r="N184" s="76" t="s">
        <v>15</v>
      </c>
      <c r="O184" s="115" t="s">
        <v>795</v>
      </c>
      <c r="P184" s="113" t="s">
        <v>15</v>
      </c>
    </row>
    <row r="185" spans="1:16" ht="15.45">
      <c r="A185" s="97" t="s">
        <v>785</v>
      </c>
      <c r="B185" s="97" t="s">
        <v>1106</v>
      </c>
      <c r="C185" t="s">
        <v>796</v>
      </c>
      <c r="D185" t="s">
        <v>797</v>
      </c>
      <c r="E185" s="37" t="s">
        <v>798</v>
      </c>
      <c r="F185" s="37">
        <v>2025</v>
      </c>
      <c r="G185" s="37" t="s">
        <v>149</v>
      </c>
      <c r="H185" s="74">
        <v>140800</v>
      </c>
      <c r="I185" s="63">
        <v>0</v>
      </c>
      <c r="J185" s="63">
        <v>0</v>
      </c>
      <c r="K185" s="89">
        <f t="shared" si="2"/>
        <v>0</v>
      </c>
      <c r="L185" s="45" t="s">
        <v>15</v>
      </c>
      <c r="M185" s="45" t="s">
        <v>15</v>
      </c>
      <c r="N185" s="45" t="s">
        <v>15</v>
      </c>
      <c r="O185" s="45" t="s">
        <v>15</v>
      </c>
    </row>
    <row r="186" spans="1:16" ht="15.45">
      <c r="A186" s="97" t="s">
        <v>785</v>
      </c>
      <c r="B186" s="97" t="s">
        <v>1106</v>
      </c>
      <c r="C186" t="s">
        <v>799</v>
      </c>
      <c r="D186" t="s">
        <v>797</v>
      </c>
      <c r="E186" s="37" t="s">
        <v>800</v>
      </c>
      <c r="F186" s="37">
        <v>2025</v>
      </c>
      <c r="G186" s="37" t="s">
        <v>149</v>
      </c>
      <c r="H186" s="74">
        <v>20900</v>
      </c>
      <c r="I186" s="63">
        <v>0</v>
      </c>
      <c r="J186" s="63">
        <v>0</v>
      </c>
      <c r="K186" s="89">
        <f t="shared" si="2"/>
        <v>0</v>
      </c>
      <c r="L186" s="45" t="s">
        <v>15</v>
      </c>
      <c r="M186" s="45" t="s">
        <v>15</v>
      </c>
      <c r="N186" s="45" t="s">
        <v>15</v>
      </c>
      <c r="O186" s="45" t="s">
        <v>15</v>
      </c>
    </row>
    <row r="187" spans="1:16" ht="15.45">
      <c r="A187" s="97" t="s">
        <v>785</v>
      </c>
      <c r="B187" s="97" t="s">
        <v>1106</v>
      </c>
      <c r="C187" t="s">
        <v>801</v>
      </c>
      <c r="D187" t="s">
        <v>797</v>
      </c>
      <c r="E187" s="37" t="s">
        <v>802</v>
      </c>
      <c r="F187" s="37">
        <v>2025</v>
      </c>
      <c r="G187" s="37" t="s">
        <v>149</v>
      </c>
      <c r="H187" s="74">
        <v>140800</v>
      </c>
      <c r="I187" s="63">
        <v>0</v>
      </c>
      <c r="J187" s="63">
        <v>0</v>
      </c>
      <c r="K187" s="89">
        <f t="shared" si="2"/>
        <v>0</v>
      </c>
      <c r="L187" s="45" t="s">
        <v>15</v>
      </c>
      <c r="M187" s="45" t="s">
        <v>15</v>
      </c>
      <c r="N187" s="45" t="s">
        <v>15</v>
      </c>
      <c r="O187" s="45" t="s">
        <v>15</v>
      </c>
    </row>
    <row r="188" spans="1:16" ht="15.45">
      <c r="A188" s="97" t="s">
        <v>785</v>
      </c>
      <c r="B188" s="97" t="s">
        <v>1106</v>
      </c>
      <c r="C188" t="s">
        <v>803</v>
      </c>
      <c r="D188" t="s">
        <v>236</v>
      </c>
      <c r="E188" s="37" t="s">
        <v>804</v>
      </c>
      <c r="F188" s="37">
        <v>2025</v>
      </c>
      <c r="G188" s="37" t="s">
        <v>149</v>
      </c>
      <c r="H188" s="74">
        <v>3568309</v>
      </c>
      <c r="I188" s="63">
        <v>0</v>
      </c>
      <c r="J188" s="63">
        <v>0</v>
      </c>
      <c r="K188" s="89">
        <f t="shared" si="2"/>
        <v>0</v>
      </c>
      <c r="L188" s="45" t="s">
        <v>15</v>
      </c>
      <c r="M188" s="45" t="s">
        <v>15</v>
      </c>
      <c r="N188" s="45" t="s">
        <v>15</v>
      </c>
      <c r="O188" s="45" t="s">
        <v>15</v>
      </c>
    </row>
    <row r="189" spans="1:16" ht="15.45">
      <c r="A189" s="97" t="s">
        <v>785</v>
      </c>
      <c r="B189" s="97" t="s">
        <v>1106</v>
      </c>
      <c r="C189" t="s">
        <v>805</v>
      </c>
      <c r="D189" t="s">
        <v>236</v>
      </c>
      <c r="E189" s="37" t="s">
        <v>806</v>
      </c>
      <c r="F189" s="37">
        <v>2025</v>
      </c>
      <c r="G189" s="37" t="s">
        <v>149</v>
      </c>
      <c r="H189" s="74">
        <v>7136617</v>
      </c>
      <c r="I189" s="63">
        <v>0</v>
      </c>
      <c r="J189" s="63">
        <v>0</v>
      </c>
      <c r="K189" s="89">
        <f t="shared" si="2"/>
        <v>0</v>
      </c>
      <c r="L189" s="45" t="s">
        <v>15</v>
      </c>
      <c r="M189" s="45" t="s">
        <v>15</v>
      </c>
      <c r="N189" s="45" t="s">
        <v>15</v>
      </c>
      <c r="O189" s="45" t="s">
        <v>15</v>
      </c>
    </row>
    <row r="190" spans="1:16" ht="15.45">
      <c r="A190" s="97" t="s">
        <v>785</v>
      </c>
      <c r="B190" s="97" t="s">
        <v>1106</v>
      </c>
      <c r="C190" t="s">
        <v>807</v>
      </c>
      <c r="D190" t="s">
        <v>236</v>
      </c>
      <c r="E190" s="37" t="s">
        <v>808</v>
      </c>
      <c r="F190" s="37">
        <v>2025</v>
      </c>
      <c r="G190" s="37" t="s">
        <v>149</v>
      </c>
      <c r="H190" s="74">
        <v>1189447</v>
      </c>
      <c r="I190" s="63">
        <v>0</v>
      </c>
      <c r="J190" s="63">
        <v>0</v>
      </c>
      <c r="K190" s="89">
        <f t="shared" si="2"/>
        <v>0</v>
      </c>
      <c r="L190" s="45" t="s">
        <v>15</v>
      </c>
      <c r="M190" s="45" t="s">
        <v>15</v>
      </c>
      <c r="N190" s="45" t="s">
        <v>15</v>
      </c>
      <c r="O190" s="45" t="s">
        <v>15</v>
      </c>
    </row>
    <row r="191" spans="1:16" ht="15.45">
      <c r="A191" s="97" t="s">
        <v>785</v>
      </c>
      <c r="B191" s="97" t="s">
        <v>1106</v>
      </c>
      <c r="C191" t="s">
        <v>809</v>
      </c>
      <c r="D191" t="s">
        <v>797</v>
      </c>
      <c r="E191" s="37" t="s">
        <v>810</v>
      </c>
      <c r="F191" s="37">
        <v>2025</v>
      </c>
      <c r="G191" s="37" t="s">
        <v>149</v>
      </c>
      <c r="H191" s="74">
        <v>140800</v>
      </c>
      <c r="I191" s="63">
        <v>0</v>
      </c>
      <c r="J191" s="63">
        <v>0</v>
      </c>
      <c r="K191" s="89">
        <f t="shared" si="2"/>
        <v>0</v>
      </c>
      <c r="L191" s="45" t="s">
        <v>15</v>
      </c>
      <c r="M191" s="45" t="s">
        <v>15</v>
      </c>
      <c r="N191" s="45" t="s">
        <v>15</v>
      </c>
      <c r="O191" s="45" t="s">
        <v>15</v>
      </c>
    </row>
    <row r="192" spans="1:16" ht="15.45">
      <c r="A192" s="97" t="s">
        <v>785</v>
      </c>
      <c r="B192" s="97" t="s">
        <v>1106</v>
      </c>
      <c r="C192" t="s">
        <v>811</v>
      </c>
      <c r="D192" t="s">
        <v>646</v>
      </c>
      <c r="E192" s="37" t="s">
        <v>812</v>
      </c>
      <c r="F192" s="37">
        <v>2025</v>
      </c>
      <c r="G192" s="37" t="s">
        <v>148</v>
      </c>
      <c r="H192" s="40">
        <v>30980400</v>
      </c>
      <c r="I192" s="40">
        <v>30980400</v>
      </c>
      <c r="J192" s="40">
        <v>30980400</v>
      </c>
      <c r="K192" s="89">
        <f t="shared" si="2"/>
        <v>0</v>
      </c>
      <c r="L192" t="s">
        <v>308</v>
      </c>
      <c r="M192" s="2" t="s">
        <v>1108</v>
      </c>
      <c r="N192" s="45" t="s">
        <v>532</v>
      </c>
      <c r="O192" s="101" t="s">
        <v>812</v>
      </c>
    </row>
    <row r="193" spans="1:15" ht="15.45">
      <c r="A193" s="97" t="s">
        <v>785</v>
      </c>
      <c r="B193" s="97" t="s">
        <v>1106</v>
      </c>
      <c r="C193" t="s">
        <v>813</v>
      </c>
      <c r="D193" t="s">
        <v>646</v>
      </c>
      <c r="E193" s="37" t="s">
        <v>814</v>
      </c>
      <c r="F193" s="37">
        <v>2025</v>
      </c>
      <c r="G193" s="37" t="s">
        <v>148</v>
      </c>
      <c r="H193" s="41">
        <v>5489460</v>
      </c>
      <c r="I193" s="41">
        <v>5489460</v>
      </c>
      <c r="J193" s="41">
        <v>5489460</v>
      </c>
      <c r="K193" s="89">
        <f t="shared" si="2"/>
        <v>0</v>
      </c>
      <c r="L193" t="s">
        <v>308</v>
      </c>
      <c r="M193" s="2" t="s">
        <v>1108</v>
      </c>
      <c r="N193" s="45" t="s">
        <v>532</v>
      </c>
      <c r="O193" s="101" t="s">
        <v>814</v>
      </c>
    </row>
    <row r="194" spans="1:15" s="30" customFormat="1" ht="15.45">
      <c r="A194" s="99" t="s">
        <v>785</v>
      </c>
      <c r="B194" s="97" t="s">
        <v>1106</v>
      </c>
      <c r="C194" s="30" t="s">
        <v>815</v>
      </c>
      <c r="D194" s="30" t="s">
        <v>646</v>
      </c>
      <c r="E194" s="39" t="s">
        <v>816</v>
      </c>
      <c r="F194" s="39">
        <v>2024</v>
      </c>
      <c r="G194" s="39" t="s">
        <v>148</v>
      </c>
      <c r="H194" s="40">
        <v>18862729</v>
      </c>
      <c r="I194" s="40">
        <v>18862729</v>
      </c>
      <c r="J194" s="40">
        <v>18862729</v>
      </c>
      <c r="K194" s="89">
        <f t="shared" si="2"/>
        <v>0</v>
      </c>
      <c r="L194" t="s">
        <v>308</v>
      </c>
      <c r="M194" s="2" t="s">
        <v>1108</v>
      </c>
      <c r="N194" s="2" t="s">
        <v>533</v>
      </c>
      <c r="O194" s="71" t="s">
        <v>407</v>
      </c>
    </row>
    <row r="195" spans="1:15" ht="15.45">
      <c r="A195" s="97">
        <v>45839</v>
      </c>
      <c r="B195" s="97" t="s">
        <v>508</v>
      </c>
      <c r="D195" t="s">
        <v>817</v>
      </c>
      <c r="G195" s="37" t="s">
        <v>1107</v>
      </c>
      <c r="H195" s="63">
        <v>94875</v>
      </c>
      <c r="I195" s="63">
        <v>0</v>
      </c>
      <c r="J195" s="63">
        <v>0</v>
      </c>
      <c r="K195" s="89">
        <f t="shared" si="2"/>
        <v>0</v>
      </c>
      <c r="L195" s="45" t="s">
        <v>15</v>
      </c>
      <c r="M195" s="45" t="s">
        <v>15</v>
      </c>
      <c r="N195" s="45" t="s">
        <v>15</v>
      </c>
      <c r="O195" s="45" t="s">
        <v>15</v>
      </c>
    </row>
    <row r="196" spans="1:15" ht="15.45">
      <c r="A196" s="97">
        <v>45839</v>
      </c>
      <c r="B196" s="97" t="s">
        <v>508</v>
      </c>
      <c r="D196" t="s">
        <v>548</v>
      </c>
      <c r="G196" s="37" t="s">
        <v>1107</v>
      </c>
      <c r="H196" s="94">
        <v>1981982</v>
      </c>
      <c r="I196" s="63">
        <v>0</v>
      </c>
      <c r="J196" s="63">
        <v>0</v>
      </c>
      <c r="K196" s="89">
        <f t="shared" si="2"/>
        <v>0</v>
      </c>
      <c r="L196" s="45" t="s">
        <v>15</v>
      </c>
      <c r="M196" s="45" t="s">
        <v>15</v>
      </c>
      <c r="N196" s="45" t="s">
        <v>15</v>
      </c>
      <c r="O196" s="45" t="s">
        <v>15</v>
      </c>
    </row>
    <row r="197" spans="1:15" ht="15.45">
      <c r="A197" s="97">
        <v>45839</v>
      </c>
      <c r="B197" s="97" t="s">
        <v>508</v>
      </c>
      <c r="D197" t="s">
        <v>818</v>
      </c>
      <c r="G197" s="37" t="s">
        <v>1107</v>
      </c>
      <c r="H197" s="63">
        <v>100848964</v>
      </c>
      <c r="I197" s="63">
        <v>0</v>
      </c>
      <c r="J197" s="63">
        <v>0</v>
      </c>
      <c r="K197" s="89">
        <f t="shared" si="2"/>
        <v>0</v>
      </c>
      <c r="L197" s="45" t="s">
        <v>15</v>
      </c>
      <c r="M197" s="45" t="s">
        <v>15</v>
      </c>
      <c r="N197" s="45" t="s">
        <v>15</v>
      </c>
      <c r="O197" s="45" t="s">
        <v>15</v>
      </c>
    </row>
    <row r="198" spans="1:15" ht="15.45">
      <c r="A198" s="97">
        <v>45839</v>
      </c>
      <c r="B198" s="97" t="s">
        <v>508</v>
      </c>
      <c r="D198" t="s">
        <v>552</v>
      </c>
      <c r="G198" s="37" t="s">
        <v>1107</v>
      </c>
      <c r="H198" s="63">
        <v>506000</v>
      </c>
      <c r="I198" s="63">
        <v>0</v>
      </c>
      <c r="J198" s="63">
        <v>0</v>
      </c>
      <c r="K198" s="89">
        <f t="shared" ref="K198:K261" si="3">I198-J198</f>
        <v>0</v>
      </c>
      <c r="L198" s="45" t="s">
        <v>15</v>
      </c>
      <c r="M198" s="45" t="s">
        <v>15</v>
      </c>
      <c r="N198" s="45" t="s">
        <v>15</v>
      </c>
      <c r="O198" s="45" t="s">
        <v>15</v>
      </c>
    </row>
    <row r="199" spans="1:15" ht="15.45">
      <c r="A199" s="97">
        <v>45839</v>
      </c>
      <c r="B199" s="97" t="s">
        <v>508</v>
      </c>
      <c r="D199" t="s">
        <v>787</v>
      </c>
      <c r="G199" s="37" t="s">
        <v>1107</v>
      </c>
      <c r="H199" s="63">
        <v>1018640</v>
      </c>
      <c r="I199" s="63">
        <v>0</v>
      </c>
      <c r="J199" s="63">
        <v>0</v>
      </c>
      <c r="K199" s="89">
        <f t="shared" si="3"/>
        <v>0</v>
      </c>
      <c r="L199" s="45" t="s">
        <v>15</v>
      </c>
      <c r="M199" s="45" t="s">
        <v>15</v>
      </c>
      <c r="N199" s="45" t="s">
        <v>15</v>
      </c>
      <c r="O199" s="45" t="s">
        <v>15</v>
      </c>
    </row>
    <row r="200" spans="1:15" ht="15.45">
      <c r="A200" s="97">
        <v>45839</v>
      </c>
      <c r="B200" s="97" t="s">
        <v>508</v>
      </c>
      <c r="D200" t="s">
        <v>550</v>
      </c>
      <c r="G200" s="37" t="s">
        <v>1107</v>
      </c>
      <c r="H200" s="63">
        <v>74324</v>
      </c>
      <c r="I200" s="63">
        <v>0</v>
      </c>
      <c r="J200" s="63">
        <v>0</v>
      </c>
      <c r="K200" s="89">
        <f t="shared" si="3"/>
        <v>0</v>
      </c>
      <c r="L200" s="45" t="s">
        <v>15</v>
      </c>
      <c r="M200" s="45" t="s">
        <v>15</v>
      </c>
      <c r="N200" s="45" t="s">
        <v>15</v>
      </c>
      <c r="O200" s="45" t="s">
        <v>15</v>
      </c>
    </row>
    <row r="201" spans="1:15" ht="15.45">
      <c r="A201" s="97">
        <v>45839</v>
      </c>
      <c r="B201" s="97" t="s">
        <v>508</v>
      </c>
      <c r="D201" t="s">
        <v>564</v>
      </c>
      <c r="G201" s="37" t="s">
        <v>1107</v>
      </c>
      <c r="H201" s="63">
        <v>385000</v>
      </c>
      <c r="I201" s="63">
        <v>0</v>
      </c>
      <c r="J201" s="63">
        <v>0</v>
      </c>
      <c r="K201" s="89">
        <f t="shared" si="3"/>
        <v>0</v>
      </c>
      <c r="L201" s="45" t="s">
        <v>15</v>
      </c>
      <c r="M201" s="45" t="s">
        <v>15</v>
      </c>
      <c r="N201" s="45" t="s">
        <v>15</v>
      </c>
      <c r="O201" s="45" t="s">
        <v>15</v>
      </c>
    </row>
    <row r="202" spans="1:15" ht="15.45">
      <c r="A202" s="97">
        <v>45839</v>
      </c>
      <c r="B202" s="97" t="s">
        <v>1106</v>
      </c>
      <c r="C202" t="s">
        <v>819</v>
      </c>
      <c r="D202" t="s">
        <v>236</v>
      </c>
      <c r="E202" s="37" t="s">
        <v>820</v>
      </c>
      <c r="F202" s="37">
        <v>2025</v>
      </c>
      <c r="G202" s="37" t="s">
        <v>149</v>
      </c>
      <c r="H202" s="74">
        <v>330000</v>
      </c>
      <c r="I202" s="63">
        <v>0</v>
      </c>
      <c r="J202" s="63">
        <v>0</v>
      </c>
      <c r="K202" s="89">
        <f t="shared" si="3"/>
        <v>0</v>
      </c>
      <c r="L202" s="45" t="s">
        <v>15</v>
      </c>
      <c r="M202" s="45" t="s">
        <v>15</v>
      </c>
      <c r="N202" s="45" t="s">
        <v>15</v>
      </c>
      <c r="O202" s="45" t="s">
        <v>15</v>
      </c>
    </row>
    <row r="203" spans="1:15" ht="15.45">
      <c r="A203" s="97">
        <v>45839</v>
      </c>
      <c r="B203" s="97" t="s">
        <v>1106</v>
      </c>
      <c r="C203" t="s">
        <v>821</v>
      </c>
      <c r="D203" t="s">
        <v>236</v>
      </c>
      <c r="E203" s="37" t="s">
        <v>822</v>
      </c>
      <c r="F203" s="37">
        <v>2025</v>
      </c>
      <c r="G203" s="37" t="s">
        <v>149</v>
      </c>
      <c r="H203" s="74">
        <v>741400</v>
      </c>
      <c r="I203" s="63">
        <v>0</v>
      </c>
      <c r="J203" s="63">
        <v>0</v>
      </c>
      <c r="K203" s="89">
        <f t="shared" si="3"/>
        <v>0</v>
      </c>
      <c r="L203" s="45" t="s">
        <v>15</v>
      </c>
      <c r="M203" s="45" t="s">
        <v>15</v>
      </c>
      <c r="N203" s="45" t="s">
        <v>15</v>
      </c>
      <c r="O203" s="45" t="s">
        <v>15</v>
      </c>
    </row>
    <row r="204" spans="1:15" ht="15.45">
      <c r="A204" s="97">
        <v>45839</v>
      </c>
      <c r="B204" s="97" t="s">
        <v>1106</v>
      </c>
      <c r="C204" t="s">
        <v>823</v>
      </c>
      <c r="D204" t="s">
        <v>317</v>
      </c>
      <c r="E204" s="37" t="s">
        <v>824</v>
      </c>
      <c r="F204" s="37">
        <v>2025</v>
      </c>
      <c r="G204" s="37" t="s">
        <v>149</v>
      </c>
      <c r="H204" s="74">
        <v>1271946</v>
      </c>
      <c r="I204" s="63">
        <v>0</v>
      </c>
      <c r="J204" s="63">
        <v>0</v>
      </c>
      <c r="K204" s="89">
        <f t="shared" si="3"/>
        <v>0</v>
      </c>
      <c r="L204" s="45" t="s">
        <v>15</v>
      </c>
      <c r="M204" s="45" t="s">
        <v>15</v>
      </c>
      <c r="N204" s="45" t="s">
        <v>15</v>
      </c>
      <c r="O204" s="45" t="s">
        <v>15</v>
      </c>
    </row>
    <row r="205" spans="1:15" ht="15.45">
      <c r="A205" s="97">
        <v>45839</v>
      </c>
      <c r="B205" s="97" t="s">
        <v>1106</v>
      </c>
      <c r="C205" t="s">
        <v>825</v>
      </c>
      <c r="D205" t="s">
        <v>398</v>
      </c>
      <c r="E205" s="37" t="s">
        <v>826</v>
      </c>
      <c r="F205" s="37">
        <v>2025</v>
      </c>
      <c r="G205" s="37" t="s">
        <v>149</v>
      </c>
      <c r="H205" s="74">
        <v>33308699</v>
      </c>
      <c r="I205" s="63">
        <v>0</v>
      </c>
      <c r="J205" s="63">
        <v>0</v>
      </c>
      <c r="K205" s="89">
        <f t="shared" si="3"/>
        <v>0</v>
      </c>
      <c r="L205" s="45" t="s">
        <v>15</v>
      </c>
      <c r="M205" s="45" t="s">
        <v>15</v>
      </c>
      <c r="N205" s="45" t="s">
        <v>15</v>
      </c>
      <c r="O205" s="45" t="s">
        <v>15</v>
      </c>
    </row>
    <row r="206" spans="1:15" ht="15.45">
      <c r="A206" s="97">
        <v>45839</v>
      </c>
      <c r="B206" s="97" t="s">
        <v>1106</v>
      </c>
      <c r="C206" t="s">
        <v>827</v>
      </c>
      <c r="D206" t="s">
        <v>398</v>
      </c>
      <c r="E206" s="37" t="s">
        <v>828</v>
      </c>
      <c r="F206" s="37">
        <v>2025</v>
      </c>
      <c r="G206" s="37" t="s">
        <v>149</v>
      </c>
      <c r="H206" s="74">
        <v>44411598</v>
      </c>
      <c r="I206" s="63">
        <v>0</v>
      </c>
      <c r="J206" s="63">
        <v>0</v>
      </c>
      <c r="K206" s="89">
        <f t="shared" si="3"/>
        <v>0</v>
      </c>
      <c r="L206" s="45" t="s">
        <v>15</v>
      </c>
      <c r="M206" s="45" t="s">
        <v>15</v>
      </c>
      <c r="N206" s="45" t="s">
        <v>15</v>
      </c>
      <c r="O206" s="45" t="s">
        <v>15</v>
      </c>
    </row>
    <row r="207" spans="1:15" ht="15.45">
      <c r="A207" s="97">
        <v>45839</v>
      </c>
      <c r="B207" s="97" t="s">
        <v>1106</v>
      </c>
      <c r="C207" t="s">
        <v>829</v>
      </c>
      <c r="D207" t="s">
        <v>236</v>
      </c>
      <c r="E207" s="37" t="s">
        <v>830</v>
      </c>
      <c r="F207" s="37">
        <v>2025</v>
      </c>
      <c r="G207" s="37" t="s">
        <v>149</v>
      </c>
      <c r="H207" s="74">
        <v>288200</v>
      </c>
      <c r="I207" s="63">
        <v>0</v>
      </c>
      <c r="J207" s="63">
        <v>0</v>
      </c>
      <c r="K207" s="89">
        <f t="shared" si="3"/>
        <v>0</v>
      </c>
      <c r="L207" s="45" t="s">
        <v>15</v>
      </c>
      <c r="M207" s="45" t="s">
        <v>15</v>
      </c>
      <c r="N207" s="45" t="s">
        <v>15</v>
      </c>
      <c r="O207" s="45" t="s">
        <v>15</v>
      </c>
    </row>
    <row r="208" spans="1:15" ht="15.45">
      <c r="A208" s="97">
        <v>45839</v>
      </c>
      <c r="B208" s="97" t="s">
        <v>1106</v>
      </c>
      <c r="C208" t="s">
        <v>831</v>
      </c>
      <c r="D208" t="s">
        <v>434</v>
      </c>
      <c r="E208" s="37" t="s">
        <v>832</v>
      </c>
      <c r="F208" s="37">
        <v>2025</v>
      </c>
      <c r="G208" s="37" t="s">
        <v>149</v>
      </c>
      <c r="H208" s="74">
        <v>163986</v>
      </c>
      <c r="I208" s="63">
        <v>0</v>
      </c>
      <c r="J208" s="63">
        <v>0</v>
      </c>
      <c r="K208" s="89">
        <f t="shared" si="3"/>
        <v>0</v>
      </c>
      <c r="L208" s="45" t="s">
        <v>15</v>
      </c>
      <c r="M208" s="45" t="s">
        <v>15</v>
      </c>
      <c r="N208" s="45" t="s">
        <v>15</v>
      </c>
      <c r="O208" s="45" t="s">
        <v>15</v>
      </c>
    </row>
    <row r="209" spans="1:15" ht="15.45">
      <c r="A209" s="97">
        <v>45839</v>
      </c>
      <c r="B209" s="97" t="s">
        <v>1106</v>
      </c>
      <c r="C209" t="s">
        <v>833</v>
      </c>
      <c r="D209" t="s">
        <v>236</v>
      </c>
      <c r="E209" s="37" t="s">
        <v>834</v>
      </c>
      <c r="F209" s="37">
        <v>2025</v>
      </c>
      <c r="G209" s="37" t="s">
        <v>149</v>
      </c>
      <c r="H209" s="74">
        <v>14592</v>
      </c>
      <c r="I209" s="63">
        <v>0</v>
      </c>
      <c r="J209" s="63">
        <v>0</v>
      </c>
      <c r="K209" s="89">
        <f t="shared" si="3"/>
        <v>0</v>
      </c>
      <c r="L209" s="45" t="s">
        <v>15</v>
      </c>
      <c r="M209" s="45" t="s">
        <v>15</v>
      </c>
      <c r="N209" s="45" t="s">
        <v>15</v>
      </c>
      <c r="O209" s="45" t="s">
        <v>15</v>
      </c>
    </row>
    <row r="210" spans="1:15" ht="15.45">
      <c r="A210" s="97">
        <v>45839</v>
      </c>
      <c r="B210" s="97" t="s">
        <v>1106</v>
      </c>
      <c r="C210" t="s">
        <v>835</v>
      </c>
      <c r="D210" t="s">
        <v>236</v>
      </c>
      <c r="E210" s="37" t="s">
        <v>836</v>
      </c>
      <c r="F210" s="37">
        <v>2025</v>
      </c>
      <c r="G210" s="37" t="s">
        <v>149</v>
      </c>
      <c r="H210" s="74">
        <v>248961</v>
      </c>
      <c r="I210" s="63">
        <v>0</v>
      </c>
      <c r="J210" s="63">
        <v>0</v>
      </c>
      <c r="K210" s="89">
        <f t="shared" si="3"/>
        <v>0</v>
      </c>
      <c r="L210" s="45" t="s">
        <v>15</v>
      </c>
      <c r="M210" s="45" t="s">
        <v>15</v>
      </c>
      <c r="N210" s="45" t="s">
        <v>15</v>
      </c>
      <c r="O210" s="45" t="s">
        <v>15</v>
      </c>
    </row>
    <row r="211" spans="1:15" ht="15.45">
      <c r="A211" s="97">
        <v>45839</v>
      </c>
      <c r="B211" s="97" t="s">
        <v>1106</v>
      </c>
      <c r="C211" t="s">
        <v>837</v>
      </c>
      <c r="D211" t="s">
        <v>236</v>
      </c>
      <c r="E211" s="37" t="s">
        <v>838</v>
      </c>
      <c r="F211" s="37">
        <v>2025</v>
      </c>
      <c r="G211" s="37" t="s">
        <v>149</v>
      </c>
      <c r="H211" s="74">
        <v>90580</v>
      </c>
      <c r="I211" s="63">
        <v>0</v>
      </c>
      <c r="J211" s="63">
        <v>0</v>
      </c>
      <c r="K211" s="89">
        <f t="shared" si="3"/>
        <v>0</v>
      </c>
      <c r="L211" s="45" t="s">
        <v>15</v>
      </c>
      <c r="M211" s="45" t="s">
        <v>15</v>
      </c>
      <c r="N211" s="45" t="s">
        <v>15</v>
      </c>
      <c r="O211" s="45" t="s">
        <v>15</v>
      </c>
    </row>
    <row r="212" spans="1:15" ht="15.45">
      <c r="A212" s="97">
        <v>45839</v>
      </c>
      <c r="B212" s="97" t="s">
        <v>1106</v>
      </c>
      <c r="C212" t="s">
        <v>839</v>
      </c>
      <c r="D212" t="s">
        <v>236</v>
      </c>
      <c r="E212" s="37" t="s">
        <v>840</v>
      </c>
      <c r="F212" s="37">
        <v>2025</v>
      </c>
      <c r="G212" s="37" t="s">
        <v>149</v>
      </c>
      <c r="H212" s="74">
        <v>41910</v>
      </c>
      <c r="I212" s="63">
        <v>0</v>
      </c>
      <c r="J212" s="63">
        <v>0</v>
      </c>
      <c r="K212" s="89">
        <f t="shared" si="3"/>
        <v>0</v>
      </c>
      <c r="L212" s="45" t="s">
        <v>15</v>
      </c>
      <c r="M212" s="45" t="s">
        <v>15</v>
      </c>
      <c r="N212" s="45" t="s">
        <v>15</v>
      </c>
      <c r="O212" s="45" t="s">
        <v>15</v>
      </c>
    </row>
    <row r="213" spans="1:15" ht="15.45">
      <c r="A213" s="97">
        <v>45839</v>
      </c>
      <c r="B213" s="97" t="s">
        <v>1106</v>
      </c>
      <c r="C213" t="s">
        <v>841</v>
      </c>
      <c r="D213" t="s">
        <v>236</v>
      </c>
      <c r="E213" s="37" t="s">
        <v>842</v>
      </c>
      <c r="F213" s="37">
        <v>2025</v>
      </c>
      <c r="G213" s="37" t="s">
        <v>149</v>
      </c>
      <c r="H213" s="74">
        <v>51714</v>
      </c>
      <c r="I213" s="63">
        <v>0</v>
      </c>
      <c r="J213" s="63">
        <v>0</v>
      </c>
      <c r="K213" s="89">
        <f t="shared" si="3"/>
        <v>0</v>
      </c>
      <c r="L213" s="45" t="s">
        <v>15</v>
      </c>
      <c r="M213" s="45" t="s">
        <v>15</v>
      </c>
      <c r="N213" s="45" t="s">
        <v>15</v>
      </c>
      <c r="O213" s="45" t="s">
        <v>15</v>
      </c>
    </row>
    <row r="214" spans="1:15" ht="15.45">
      <c r="A214" s="97">
        <v>45839</v>
      </c>
      <c r="B214" s="97" t="s">
        <v>1106</v>
      </c>
      <c r="C214" t="s">
        <v>843</v>
      </c>
      <c r="D214" t="s">
        <v>236</v>
      </c>
      <c r="E214" s="37" t="s">
        <v>844</v>
      </c>
      <c r="F214" s="37">
        <v>2025</v>
      </c>
      <c r="G214" s="37" t="s">
        <v>149</v>
      </c>
      <c r="H214" s="74">
        <v>41910</v>
      </c>
      <c r="I214" s="63">
        <v>0</v>
      </c>
      <c r="J214" s="63">
        <v>0</v>
      </c>
      <c r="K214" s="89">
        <f t="shared" si="3"/>
        <v>0</v>
      </c>
      <c r="L214" s="45" t="s">
        <v>15</v>
      </c>
      <c r="M214" s="45" t="s">
        <v>15</v>
      </c>
      <c r="N214" s="45" t="s">
        <v>15</v>
      </c>
      <c r="O214" s="45" t="s">
        <v>15</v>
      </c>
    </row>
    <row r="215" spans="1:15" ht="15.45">
      <c r="A215" s="97">
        <v>45839</v>
      </c>
      <c r="B215" s="97" t="s">
        <v>1106</v>
      </c>
      <c r="C215" t="s">
        <v>845</v>
      </c>
      <c r="D215" t="s">
        <v>236</v>
      </c>
      <c r="E215" s="37" t="s">
        <v>846</v>
      </c>
      <c r="F215" s="37">
        <v>2025</v>
      </c>
      <c r="G215" s="37" t="s">
        <v>149</v>
      </c>
      <c r="H215" s="74">
        <v>51714</v>
      </c>
      <c r="I215" s="63">
        <v>0</v>
      </c>
      <c r="J215" s="63">
        <v>0</v>
      </c>
      <c r="K215" s="89">
        <f t="shared" si="3"/>
        <v>0</v>
      </c>
      <c r="L215" s="45" t="s">
        <v>15</v>
      </c>
      <c r="M215" s="45" t="s">
        <v>15</v>
      </c>
      <c r="N215" s="45" t="s">
        <v>15</v>
      </c>
      <c r="O215" s="45" t="s">
        <v>15</v>
      </c>
    </row>
    <row r="216" spans="1:15" ht="15.45">
      <c r="A216" s="97">
        <v>45839</v>
      </c>
      <c r="B216" s="97" t="s">
        <v>1106</v>
      </c>
      <c r="C216" t="s">
        <v>847</v>
      </c>
      <c r="D216" t="s">
        <v>236</v>
      </c>
      <c r="E216" s="37" t="s">
        <v>848</v>
      </c>
      <c r="F216" s="37">
        <v>2025</v>
      </c>
      <c r="G216" s="37" t="s">
        <v>149</v>
      </c>
      <c r="H216" s="74">
        <v>296357</v>
      </c>
      <c r="I216" s="63">
        <v>0</v>
      </c>
      <c r="J216" s="63">
        <v>0</v>
      </c>
      <c r="K216" s="89">
        <f t="shared" si="3"/>
        <v>0</v>
      </c>
      <c r="L216" s="45" t="s">
        <v>15</v>
      </c>
      <c r="M216" s="45" t="s">
        <v>15</v>
      </c>
      <c r="N216" s="45" t="s">
        <v>15</v>
      </c>
      <c r="O216" s="45" t="s">
        <v>15</v>
      </c>
    </row>
    <row r="217" spans="1:15" ht="15.45">
      <c r="A217" s="97">
        <v>45839</v>
      </c>
      <c r="B217" s="97" t="s">
        <v>1106</v>
      </c>
      <c r="C217" t="s">
        <v>849</v>
      </c>
      <c r="D217" t="s">
        <v>236</v>
      </c>
      <c r="E217" s="37" t="s">
        <v>850</v>
      </c>
      <c r="F217" s="37">
        <v>2025</v>
      </c>
      <c r="G217" s="37" t="s">
        <v>149</v>
      </c>
      <c r="H217" s="74">
        <v>19800</v>
      </c>
      <c r="I217" s="63">
        <v>0</v>
      </c>
      <c r="J217" s="63">
        <v>0</v>
      </c>
      <c r="K217" s="89">
        <f t="shared" si="3"/>
        <v>0</v>
      </c>
      <c r="L217" s="45" t="s">
        <v>15</v>
      </c>
      <c r="M217" s="45" t="s">
        <v>15</v>
      </c>
      <c r="N217" s="45" t="s">
        <v>15</v>
      </c>
      <c r="O217" s="45" t="s">
        <v>15</v>
      </c>
    </row>
    <row r="218" spans="1:15" ht="15.45">
      <c r="A218" s="97">
        <v>45839</v>
      </c>
      <c r="B218" s="97" t="s">
        <v>1106</v>
      </c>
      <c r="C218" t="s">
        <v>851</v>
      </c>
      <c r="D218" t="s">
        <v>236</v>
      </c>
      <c r="E218" s="37" t="s">
        <v>852</v>
      </c>
      <c r="F218" s="37">
        <v>2025</v>
      </c>
      <c r="G218" s="37" t="s">
        <v>149</v>
      </c>
      <c r="H218" s="74">
        <v>101739</v>
      </c>
      <c r="I218" s="63">
        <v>0</v>
      </c>
      <c r="J218" s="63">
        <v>0</v>
      </c>
      <c r="K218" s="89">
        <f t="shared" si="3"/>
        <v>0</v>
      </c>
      <c r="L218" s="45" t="s">
        <v>15</v>
      </c>
      <c r="M218" s="45" t="s">
        <v>15</v>
      </c>
      <c r="N218" s="45" t="s">
        <v>15</v>
      </c>
      <c r="O218" s="45" t="s">
        <v>15</v>
      </c>
    </row>
    <row r="219" spans="1:15" ht="15.45">
      <c r="A219" s="97">
        <v>45839</v>
      </c>
      <c r="B219" s="97" t="s">
        <v>1106</v>
      </c>
      <c r="C219" t="s">
        <v>853</v>
      </c>
      <c r="D219" t="s">
        <v>236</v>
      </c>
      <c r="E219" s="37" t="s">
        <v>854</v>
      </c>
      <c r="F219" s="37">
        <v>2025</v>
      </c>
      <c r="G219" s="37" t="s">
        <v>149</v>
      </c>
      <c r="H219" s="74">
        <v>28474</v>
      </c>
      <c r="I219" s="63">
        <v>0</v>
      </c>
      <c r="J219" s="63">
        <v>0</v>
      </c>
      <c r="K219" s="89">
        <f t="shared" si="3"/>
        <v>0</v>
      </c>
      <c r="L219" s="45" t="s">
        <v>15</v>
      </c>
      <c r="M219" s="45" t="s">
        <v>15</v>
      </c>
      <c r="N219" s="45" t="s">
        <v>15</v>
      </c>
      <c r="O219" s="45" t="s">
        <v>15</v>
      </c>
    </row>
    <row r="220" spans="1:15" ht="15.45">
      <c r="A220" s="97">
        <v>45839</v>
      </c>
      <c r="B220" s="97" t="s">
        <v>1106</v>
      </c>
      <c r="C220" t="s">
        <v>855</v>
      </c>
      <c r="D220" t="s">
        <v>236</v>
      </c>
      <c r="E220" s="37" t="s">
        <v>856</v>
      </c>
      <c r="F220" s="37">
        <v>2025</v>
      </c>
      <c r="G220" s="37" t="s">
        <v>149</v>
      </c>
      <c r="H220" s="74">
        <v>13205</v>
      </c>
      <c r="I220" s="63">
        <v>0</v>
      </c>
      <c r="J220" s="63">
        <v>0</v>
      </c>
      <c r="K220" s="89">
        <f t="shared" si="3"/>
        <v>0</v>
      </c>
      <c r="L220" s="45" t="s">
        <v>15</v>
      </c>
      <c r="M220" s="45" t="s">
        <v>15</v>
      </c>
      <c r="N220" s="45" t="s">
        <v>15</v>
      </c>
      <c r="O220" s="45" t="s">
        <v>15</v>
      </c>
    </row>
    <row r="221" spans="1:15" ht="15.45">
      <c r="A221" s="97">
        <v>45839</v>
      </c>
      <c r="B221" s="97" t="s">
        <v>1106</v>
      </c>
      <c r="C221" t="s">
        <v>857</v>
      </c>
      <c r="D221" t="s">
        <v>236</v>
      </c>
      <c r="E221" s="37" t="s">
        <v>858</v>
      </c>
      <c r="F221" s="37">
        <v>2025</v>
      </c>
      <c r="G221" s="37" t="s">
        <v>149</v>
      </c>
      <c r="H221" s="74">
        <v>13205</v>
      </c>
      <c r="I221" s="63">
        <v>0</v>
      </c>
      <c r="J221" s="63">
        <v>0</v>
      </c>
      <c r="K221" s="89">
        <f t="shared" si="3"/>
        <v>0</v>
      </c>
      <c r="L221" s="45" t="s">
        <v>15</v>
      </c>
      <c r="M221" s="45" t="s">
        <v>15</v>
      </c>
      <c r="N221" s="45" t="s">
        <v>15</v>
      </c>
      <c r="O221" s="45" t="s">
        <v>15</v>
      </c>
    </row>
    <row r="222" spans="1:15" ht="15.45">
      <c r="A222" s="97">
        <v>45839</v>
      </c>
      <c r="B222" s="97" t="s">
        <v>1106</v>
      </c>
      <c r="C222" t="s">
        <v>859</v>
      </c>
      <c r="D222" t="s">
        <v>236</v>
      </c>
      <c r="E222" s="37" t="s">
        <v>860</v>
      </c>
      <c r="F222" s="37">
        <v>2025</v>
      </c>
      <c r="G222" s="37" t="s">
        <v>149</v>
      </c>
      <c r="H222" s="74">
        <v>13205</v>
      </c>
      <c r="I222" s="63">
        <v>0</v>
      </c>
      <c r="J222" s="63">
        <v>0</v>
      </c>
      <c r="K222" s="89">
        <f t="shared" si="3"/>
        <v>0</v>
      </c>
      <c r="L222" s="45" t="s">
        <v>15</v>
      </c>
      <c r="M222" s="45" t="s">
        <v>15</v>
      </c>
      <c r="N222" s="45" t="s">
        <v>15</v>
      </c>
      <c r="O222" s="45" t="s">
        <v>15</v>
      </c>
    </row>
    <row r="223" spans="1:15" ht="15.45">
      <c r="A223" s="97">
        <v>45839</v>
      </c>
      <c r="B223" s="97" t="s">
        <v>1106</v>
      </c>
      <c r="C223" t="s">
        <v>861</v>
      </c>
      <c r="D223" t="s">
        <v>236</v>
      </c>
      <c r="E223" s="37" t="s">
        <v>862</v>
      </c>
      <c r="F223" s="37">
        <v>2025</v>
      </c>
      <c r="G223" s="37" t="s">
        <v>149</v>
      </c>
      <c r="H223" s="121">
        <v>70409</v>
      </c>
      <c r="I223" s="63">
        <v>0</v>
      </c>
      <c r="J223" s="63">
        <v>0</v>
      </c>
      <c r="K223" s="89">
        <f t="shared" si="3"/>
        <v>0</v>
      </c>
      <c r="L223" s="45" t="s">
        <v>15</v>
      </c>
      <c r="M223" s="45" t="s">
        <v>15</v>
      </c>
      <c r="N223" s="45" t="s">
        <v>15</v>
      </c>
      <c r="O223" s="45" t="s">
        <v>15</v>
      </c>
    </row>
    <row r="224" spans="1:15" ht="15.45">
      <c r="A224" s="97">
        <v>45839</v>
      </c>
      <c r="B224" s="97" t="s">
        <v>1106</v>
      </c>
      <c r="C224" t="s">
        <v>863</v>
      </c>
      <c r="D224" t="s">
        <v>236</v>
      </c>
      <c r="E224" s="37" t="s">
        <v>864</v>
      </c>
      <c r="F224" s="37">
        <v>2025</v>
      </c>
      <c r="G224" s="37" t="s">
        <v>149</v>
      </c>
      <c r="H224" s="74">
        <v>14592</v>
      </c>
      <c r="I224" s="63">
        <v>0</v>
      </c>
      <c r="J224" s="63">
        <v>0</v>
      </c>
      <c r="K224" s="89">
        <f t="shared" si="3"/>
        <v>0</v>
      </c>
      <c r="L224" s="45" t="s">
        <v>15</v>
      </c>
      <c r="M224" s="45" t="s">
        <v>15</v>
      </c>
      <c r="N224" s="45" t="s">
        <v>15</v>
      </c>
      <c r="O224" s="45" t="s">
        <v>15</v>
      </c>
    </row>
    <row r="225" spans="1:15" ht="15.45">
      <c r="A225" s="97">
        <v>45839</v>
      </c>
      <c r="B225" s="97" t="s">
        <v>1106</v>
      </c>
      <c r="C225" t="s">
        <v>865</v>
      </c>
      <c r="D225" t="s">
        <v>236</v>
      </c>
      <c r="E225" s="37" t="s">
        <v>866</v>
      </c>
      <c r="F225" s="37">
        <v>2025</v>
      </c>
      <c r="G225" s="37" t="s">
        <v>149</v>
      </c>
      <c r="H225" s="74">
        <v>14592</v>
      </c>
      <c r="I225" s="63">
        <v>0</v>
      </c>
      <c r="J225" s="63">
        <v>0</v>
      </c>
      <c r="K225" s="89">
        <f t="shared" si="3"/>
        <v>0</v>
      </c>
      <c r="L225" s="45" t="s">
        <v>15</v>
      </c>
      <c r="M225" s="45" t="s">
        <v>15</v>
      </c>
      <c r="N225" s="45" t="s">
        <v>15</v>
      </c>
      <c r="O225" s="45" t="s">
        <v>15</v>
      </c>
    </row>
    <row r="226" spans="1:15" ht="15.45">
      <c r="A226" s="97">
        <v>45839</v>
      </c>
      <c r="B226" s="97" t="s">
        <v>1106</v>
      </c>
      <c r="C226" t="s">
        <v>867</v>
      </c>
      <c r="D226" t="s">
        <v>236</v>
      </c>
      <c r="E226" s="37" t="s">
        <v>868</v>
      </c>
      <c r="F226" s="37">
        <v>2025</v>
      </c>
      <c r="G226" s="37" t="s">
        <v>149</v>
      </c>
      <c r="H226" s="74">
        <v>14592</v>
      </c>
      <c r="I226" s="63">
        <v>0</v>
      </c>
      <c r="J226" s="63">
        <v>0</v>
      </c>
      <c r="K226" s="89">
        <f t="shared" si="3"/>
        <v>0</v>
      </c>
      <c r="L226" s="45" t="s">
        <v>15</v>
      </c>
      <c r="M226" s="45" t="s">
        <v>15</v>
      </c>
      <c r="N226" s="45" t="s">
        <v>15</v>
      </c>
      <c r="O226" s="45" t="s">
        <v>15</v>
      </c>
    </row>
    <row r="227" spans="1:15" ht="15.45">
      <c r="A227" s="97">
        <v>45839</v>
      </c>
      <c r="B227" s="97" t="s">
        <v>1106</v>
      </c>
      <c r="C227" t="s">
        <v>869</v>
      </c>
      <c r="D227" t="s">
        <v>236</v>
      </c>
      <c r="E227" s="37" t="s">
        <v>870</v>
      </c>
      <c r="F227" s="37">
        <v>2025</v>
      </c>
      <c r="G227" s="37" t="s">
        <v>149</v>
      </c>
      <c r="H227" s="74">
        <v>14592</v>
      </c>
      <c r="I227" s="63">
        <v>0</v>
      </c>
      <c r="J227" s="63">
        <v>0</v>
      </c>
      <c r="K227" s="89">
        <f t="shared" si="3"/>
        <v>0</v>
      </c>
      <c r="L227" s="45" t="s">
        <v>15</v>
      </c>
      <c r="M227" s="45" t="s">
        <v>15</v>
      </c>
      <c r="N227" s="45" t="s">
        <v>15</v>
      </c>
      <c r="O227" s="45" t="s">
        <v>15</v>
      </c>
    </row>
    <row r="228" spans="1:15" ht="15.45">
      <c r="A228" s="97">
        <v>45839</v>
      </c>
      <c r="B228" s="97" t="s">
        <v>1106</v>
      </c>
      <c r="C228" t="s">
        <v>871</v>
      </c>
      <c r="D228" t="s">
        <v>236</v>
      </c>
      <c r="E228" s="37" t="s">
        <v>872</v>
      </c>
      <c r="F228" s="92">
        <v>2025</v>
      </c>
      <c r="G228" s="37" t="s">
        <v>149</v>
      </c>
      <c r="H228" s="74">
        <v>14592</v>
      </c>
      <c r="I228" s="63">
        <v>0</v>
      </c>
      <c r="J228" s="63">
        <v>0</v>
      </c>
      <c r="K228" s="89">
        <f t="shared" si="3"/>
        <v>0</v>
      </c>
      <c r="L228" s="45" t="s">
        <v>15</v>
      </c>
      <c r="M228" s="45" t="s">
        <v>15</v>
      </c>
      <c r="N228" s="45" t="s">
        <v>15</v>
      </c>
      <c r="O228" s="45" t="s">
        <v>15</v>
      </c>
    </row>
    <row r="229" spans="1:15" ht="15.45">
      <c r="A229" s="97">
        <v>45839</v>
      </c>
      <c r="B229" s="97" t="s">
        <v>1106</v>
      </c>
      <c r="C229" t="s">
        <v>873</v>
      </c>
      <c r="D229" t="s">
        <v>236</v>
      </c>
      <c r="E229" s="37" t="s">
        <v>874</v>
      </c>
      <c r="F229" s="92">
        <v>2025</v>
      </c>
      <c r="G229" s="37" t="s">
        <v>149</v>
      </c>
      <c r="H229" s="74">
        <v>14592</v>
      </c>
      <c r="I229" s="63">
        <v>0</v>
      </c>
      <c r="J229" s="63">
        <v>0</v>
      </c>
      <c r="K229" s="89">
        <f t="shared" si="3"/>
        <v>0</v>
      </c>
      <c r="L229" s="45" t="s">
        <v>15</v>
      </c>
      <c r="M229" s="45" t="s">
        <v>15</v>
      </c>
      <c r="N229" s="45" t="s">
        <v>15</v>
      </c>
      <c r="O229" s="45" t="s">
        <v>15</v>
      </c>
    </row>
    <row r="230" spans="1:15" ht="15.45">
      <c r="A230" s="97">
        <v>45839</v>
      </c>
      <c r="B230" s="97" t="s">
        <v>1106</v>
      </c>
      <c r="C230" t="s">
        <v>875</v>
      </c>
      <c r="D230" t="s">
        <v>236</v>
      </c>
      <c r="E230" s="37" t="s">
        <v>876</v>
      </c>
      <c r="F230" s="92">
        <v>2025</v>
      </c>
      <c r="G230" s="37" t="s">
        <v>149</v>
      </c>
      <c r="H230" s="74">
        <v>14592</v>
      </c>
      <c r="I230" s="63">
        <v>0</v>
      </c>
      <c r="J230" s="63">
        <v>0</v>
      </c>
      <c r="K230" s="89">
        <f t="shared" si="3"/>
        <v>0</v>
      </c>
      <c r="L230" s="45" t="s">
        <v>15</v>
      </c>
      <c r="M230" s="45" t="s">
        <v>15</v>
      </c>
      <c r="N230" s="45" t="s">
        <v>15</v>
      </c>
      <c r="O230" s="45" t="s">
        <v>15</v>
      </c>
    </row>
    <row r="231" spans="1:15" ht="15.45">
      <c r="A231" s="97">
        <v>45839</v>
      </c>
      <c r="B231" s="97" t="s">
        <v>1106</v>
      </c>
      <c r="C231" t="s">
        <v>877</v>
      </c>
      <c r="D231" t="s">
        <v>236</v>
      </c>
      <c r="E231" s="37" t="s">
        <v>878</v>
      </c>
      <c r="F231" s="92">
        <v>2025</v>
      </c>
      <c r="G231" s="37" t="s">
        <v>149</v>
      </c>
      <c r="H231" s="74">
        <v>29183</v>
      </c>
      <c r="I231" s="63">
        <v>0</v>
      </c>
      <c r="J231" s="63">
        <v>0</v>
      </c>
      <c r="K231" s="89">
        <f t="shared" si="3"/>
        <v>0</v>
      </c>
      <c r="L231" s="45" t="s">
        <v>15</v>
      </c>
      <c r="M231" s="45" t="s">
        <v>15</v>
      </c>
      <c r="N231" s="45" t="s">
        <v>15</v>
      </c>
      <c r="O231" s="45" t="s">
        <v>15</v>
      </c>
    </row>
    <row r="232" spans="1:15" ht="15.45">
      <c r="A232" s="97">
        <v>45839</v>
      </c>
      <c r="B232" s="97" t="s">
        <v>1106</v>
      </c>
      <c r="C232" t="s">
        <v>879</v>
      </c>
      <c r="D232" t="s">
        <v>236</v>
      </c>
      <c r="E232" s="37" t="s">
        <v>880</v>
      </c>
      <c r="F232" s="92">
        <v>2025</v>
      </c>
      <c r="G232" s="37" t="s">
        <v>149</v>
      </c>
      <c r="H232" s="74">
        <v>14592</v>
      </c>
      <c r="I232" s="63">
        <v>0</v>
      </c>
      <c r="J232" s="63">
        <v>0</v>
      </c>
      <c r="K232" s="89">
        <f t="shared" si="3"/>
        <v>0</v>
      </c>
      <c r="L232" s="45" t="s">
        <v>15</v>
      </c>
      <c r="M232" s="45" t="s">
        <v>15</v>
      </c>
      <c r="N232" s="45" t="s">
        <v>15</v>
      </c>
      <c r="O232" s="45" t="s">
        <v>15</v>
      </c>
    </row>
    <row r="233" spans="1:15" ht="15.45">
      <c r="A233" s="97">
        <v>45839</v>
      </c>
      <c r="B233" s="97" t="s">
        <v>1106</v>
      </c>
      <c r="C233" t="s">
        <v>881</v>
      </c>
      <c r="D233" t="s">
        <v>236</v>
      </c>
      <c r="E233" s="37" t="s">
        <v>882</v>
      </c>
      <c r="F233" s="92">
        <v>2025</v>
      </c>
      <c r="G233" s="37" t="s">
        <v>149</v>
      </c>
      <c r="H233" s="74">
        <v>14592</v>
      </c>
      <c r="I233" s="63">
        <v>0</v>
      </c>
      <c r="J233" s="63">
        <v>0</v>
      </c>
      <c r="K233" s="89">
        <f t="shared" si="3"/>
        <v>0</v>
      </c>
      <c r="L233" s="45" t="s">
        <v>15</v>
      </c>
      <c r="M233" s="45" t="s">
        <v>15</v>
      </c>
      <c r="N233" s="45" t="s">
        <v>15</v>
      </c>
      <c r="O233" s="45" t="s">
        <v>15</v>
      </c>
    </row>
    <row r="234" spans="1:15" ht="15.45">
      <c r="A234" s="97">
        <v>45839</v>
      </c>
      <c r="B234" s="97" t="s">
        <v>1106</v>
      </c>
      <c r="C234" t="s">
        <v>883</v>
      </c>
      <c r="D234" t="s">
        <v>646</v>
      </c>
      <c r="E234" s="37" t="s">
        <v>884</v>
      </c>
      <c r="F234" s="37">
        <v>2025</v>
      </c>
      <c r="G234" s="37" t="s">
        <v>148</v>
      </c>
      <c r="H234" s="41">
        <v>3307113</v>
      </c>
      <c r="I234" s="41">
        <v>3307113</v>
      </c>
      <c r="J234" s="41">
        <v>3307113</v>
      </c>
      <c r="K234" s="89">
        <f t="shared" si="3"/>
        <v>0</v>
      </c>
      <c r="L234" t="s">
        <v>308</v>
      </c>
      <c r="M234" s="2" t="s">
        <v>1108</v>
      </c>
      <c r="N234" s="45" t="s">
        <v>532</v>
      </c>
      <c r="O234" s="101" t="s">
        <v>884</v>
      </c>
    </row>
    <row r="235" spans="1:15" s="30" customFormat="1" ht="15.45">
      <c r="A235" s="99">
        <v>45839</v>
      </c>
      <c r="B235" s="97" t="s">
        <v>1106</v>
      </c>
      <c r="C235" s="30" t="s">
        <v>885</v>
      </c>
      <c r="D235" s="30" t="s">
        <v>646</v>
      </c>
      <c r="E235" s="39" t="s">
        <v>886</v>
      </c>
      <c r="F235" s="39">
        <v>2024</v>
      </c>
      <c r="G235" s="39" t="s">
        <v>148</v>
      </c>
      <c r="H235" s="40">
        <v>6739459</v>
      </c>
      <c r="I235" s="40">
        <v>6739459</v>
      </c>
      <c r="J235" s="40">
        <v>6739459</v>
      </c>
      <c r="K235" s="89">
        <f t="shared" si="3"/>
        <v>0</v>
      </c>
      <c r="L235" t="s">
        <v>308</v>
      </c>
      <c r="M235" s="2" t="s">
        <v>1108</v>
      </c>
      <c r="N235" s="2" t="s">
        <v>533</v>
      </c>
      <c r="O235" s="71" t="s">
        <v>416</v>
      </c>
    </row>
    <row r="236" spans="1:15" ht="15.45">
      <c r="A236" s="97">
        <v>45870</v>
      </c>
      <c r="B236" s="97" t="s">
        <v>508</v>
      </c>
      <c r="D236" t="s">
        <v>550</v>
      </c>
      <c r="G236" s="37" t="s">
        <v>1107</v>
      </c>
      <c r="H236" s="63">
        <v>74324</v>
      </c>
      <c r="I236" s="63">
        <v>0</v>
      </c>
      <c r="J236" s="63">
        <v>0</v>
      </c>
      <c r="K236" s="89">
        <f t="shared" si="3"/>
        <v>0</v>
      </c>
      <c r="L236" s="45" t="s">
        <v>15</v>
      </c>
      <c r="M236" s="45" t="s">
        <v>15</v>
      </c>
      <c r="N236" s="45" t="s">
        <v>15</v>
      </c>
      <c r="O236" s="45" t="s">
        <v>15</v>
      </c>
    </row>
    <row r="237" spans="1:15" ht="15.45">
      <c r="A237" s="97">
        <v>45870</v>
      </c>
      <c r="B237" s="97" t="s">
        <v>508</v>
      </c>
      <c r="D237" t="s">
        <v>548</v>
      </c>
      <c r="G237" s="37" t="s">
        <v>1107</v>
      </c>
      <c r="H237" s="94">
        <v>1981982</v>
      </c>
      <c r="I237" s="63">
        <v>0</v>
      </c>
      <c r="J237" s="63">
        <v>0</v>
      </c>
      <c r="K237" s="89">
        <f t="shared" si="3"/>
        <v>0</v>
      </c>
      <c r="L237" s="45" t="s">
        <v>15</v>
      </c>
      <c r="M237" s="45" t="s">
        <v>15</v>
      </c>
      <c r="N237" s="45" t="s">
        <v>15</v>
      </c>
      <c r="O237" s="45" t="s">
        <v>15</v>
      </c>
    </row>
    <row r="238" spans="1:15" ht="15.45">
      <c r="A238" s="97">
        <v>45870</v>
      </c>
      <c r="B238" s="97" t="s">
        <v>508</v>
      </c>
      <c r="D238" t="s">
        <v>887</v>
      </c>
      <c r="G238" s="37" t="s">
        <v>1107</v>
      </c>
      <c r="H238" s="94">
        <v>1111000</v>
      </c>
      <c r="I238" s="63">
        <v>0</v>
      </c>
      <c r="J238" s="63">
        <v>0</v>
      </c>
      <c r="K238" s="89">
        <f t="shared" si="3"/>
        <v>0</v>
      </c>
      <c r="L238" s="45" t="s">
        <v>15</v>
      </c>
      <c r="M238" s="45" t="s">
        <v>15</v>
      </c>
      <c r="N238" s="45" t="s">
        <v>15</v>
      </c>
      <c r="O238" s="45" t="s">
        <v>15</v>
      </c>
    </row>
    <row r="239" spans="1:15" ht="15.45">
      <c r="A239" s="97">
        <v>45870</v>
      </c>
      <c r="B239" s="97" t="s">
        <v>508</v>
      </c>
      <c r="D239" t="s">
        <v>887</v>
      </c>
      <c r="G239" s="37" t="s">
        <v>1107</v>
      </c>
      <c r="H239" s="94">
        <v>4444000</v>
      </c>
      <c r="I239" s="63">
        <v>0</v>
      </c>
      <c r="J239" s="63">
        <v>0</v>
      </c>
      <c r="K239" s="89">
        <f t="shared" si="3"/>
        <v>0</v>
      </c>
      <c r="L239" s="45" t="s">
        <v>15</v>
      </c>
      <c r="M239" s="45" t="s">
        <v>15</v>
      </c>
      <c r="N239" s="45" t="s">
        <v>15</v>
      </c>
      <c r="O239" s="45" t="s">
        <v>15</v>
      </c>
    </row>
    <row r="240" spans="1:15" ht="15.45">
      <c r="A240" s="97">
        <v>45870</v>
      </c>
      <c r="B240" s="97" t="s">
        <v>508</v>
      </c>
      <c r="D240" t="s">
        <v>552</v>
      </c>
      <c r="G240" s="37" t="s">
        <v>1107</v>
      </c>
      <c r="H240" s="63">
        <v>506000</v>
      </c>
      <c r="I240" s="63">
        <v>0</v>
      </c>
      <c r="J240" s="63">
        <v>0</v>
      </c>
      <c r="K240" s="89">
        <f t="shared" si="3"/>
        <v>0</v>
      </c>
      <c r="L240" s="45" t="s">
        <v>15</v>
      </c>
      <c r="M240" s="45" t="s">
        <v>15</v>
      </c>
      <c r="N240" s="45" t="s">
        <v>15</v>
      </c>
      <c r="O240" s="45" t="s">
        <v>15</v>
      </c>
    </row>
    <row r="241" spans="1:15" ht="15.45">
      <c r="A241" s="97">
        <v>45870</v>
      </c>
      <c r="B241" s="97" t="s">
        <v>508</v>
      </c>
      <c r="D241" t="s">
        <v>564</v>
      </c>
      <c r="G241" s="37" t="s">
        <v>1107</v>
      </c>
      <c r="H241" s="63">
        <v>385000</v>
      </c>
      <c r="I241" s="63">
        <v>0</v>
      </c>
      <c r="J241" s="63">
        <v>0</v>
      </c>
      <c r="K241" s="89">
        <f t="shared" si="3"/>
        <v>0</v>
      </c>
      <c r="L241" s="45" t="s">
        <v>15</v>
      </c>
      <c r="M241" s="45" t="s">
        <v>15</v>
      </c>
      <c r="N241" s="45" t="s">
        <v>15</v>
      </c>
      <c r="O241" s="45" t="s">
        <v>15</v>
      </c>
    </row>
    <row r="242" spans="1:15" ht="15.45">
      <c r="A242" s="97">
        <v>45870</v>
      </c>
      <c r="B242" s="97" t="s">
        <v>1106</v>
      </c>
      <c r="C242" t="s">
        <v>888</v>
      </c>
      <c r="D242" t="s">
        <v>571</v>
      </c>
      <c r="E242" s="37" t="s">
        <v>889</v>
      </c>
      <c r="F242" s="37">
        <v>2025</v>
      </c>
      <c r="G242" s="37" t="s">
        <v>148</v>
      </c>
      <c r="H242" s="41">
        <v>89189189</v>
      </c>
      <c r="I242" s="41">
        <v>89189189</v>
      </c>
      <c r="J242" s="41">
        <v>89189189</v>
      </c>
      <c r="K242" s="89">
        <f t="shared" si="3"/>
        <v>0</v>
      </c>
      <c r="L242" t="s">
        <v>308</v>
      </c>
      <c r="M242" s="2" t="s">
        <v>1108</v>
      </c>
      <c r="N242" s="45" t="s">
        <v>532</v>
      </c>
      <c r="O242" s="101" t="s">
        <v>889</v>
      </c>
    </row>
    <row r="243" spans="1:15" ht="15.45">
      <c r="A243" s="97">
        <v>45870</v>
      </c>
      <c r="B243" s="97" t="s">
        <v>1106</v>
      </c>
      <c r="C243" t="s">
        <v>890</v>
      </c>
      <c r="D243" t="s">
        <v>436</v>
      </c>
      <c r="E243" s="37" t="s">
        <v>891</v>
      </c>
      <c r="F243" s="37">
        <v>2025</v>
      </c>
      <c r="G243" s="37" t="s">
        <v>149</v>
      </c>
      <c r="H243" s="74">
        <v>834082</v>
      </c>
      <c r="I243" s="63">
        <v>0</v>
      </c>
      <c r="J243" s="63">
        <v>0</v>
      </c>
      <c r="K243" s="89">
        <f t="shared" si="3"/>
        <v>0</v>
      </c>
      <c r="L243" s="45" t="s">
        <v>15</v>
      </c>
      <c r="M243" s="45" t="s">
        <v>15</v>
      </c>
      <c r="N243" s="45" t="s">
        <v>15</v>
      </c>
      <c r="O243" s="45" t="s">
        <v>15</v>
      </c>
    </row>
    <row r="244" spans="1:15" ht="15.45">
      <c r="A244" s="97">
        <v>45870</v>
      </c>
      <c r="B244" s="97" t="s">
        <v>1106</v>
      </c>
      <c r="C244" t="s">
        <v>892</v>
      </c>
      <c r="D244" t="s">
        <v>397</v>
      </c>
      <c r="E244" s="37" t="s">
        <v>893</v>
      </c>
      <c r="F244" s="37">
        <v>2025</v>
      </c>
      <c r="G244" s="37" t="s">
        <v>149</v>
      </c>
      <c r="H244" s="74">
        <v>224607</v>
      </c>
      <c r="I244" s="63">
        <v>0</v>
      </c>
      <c r="J244" s="63">
        <v>0</v>
      </c>
      <c r="K244" s="89">
        <f t="shared" si="3"/>
        <v>0</v>
      </c>
      <c r="L244" s="45" t="s">
        <v>15</v>
      </c>
      <c r="M244" s="45" t="s">
        <v>15</v>
      </c>
      <c r="N244" s="45" t="s">
        <v>15</v>
      </c>
      <c r="O244" s="45" t="s">
        <v>15</v>
      </c>
    </row>
    <row r="245" spans="1:15" ht="15.45">
      <c r="A245" s="97">
        <v>45870</v>
      </c>
      <c r="B245" s="97" t="s">
        <v>1106</v>
      </c>
      <c r="C245" t="s">
        <v>894</v>
      </c>
      <c r="D245" t="s">
        <v>477</v>
      </c>
      <c r="E245" s="37" t="s">
        <v>895</v>
      </c>
      <c r="F245" s="37">
        <v>2025</v>
      </c>
      <c r="G245" s="37" t="s">
        <v>148</v>
      </c>
      <c r="H245" s="41">
        <v>74324324</v>
      </c>
      <c r="I245" s="129">
        <v>74324324</v>
      </c>
      <c r="J245" s="129">
        <v>74324324</v>
      </c>
      <c r="K245" s="89">
        <f t="shared" si="3"/>
        <v>0</v>
      </c>
      <c r="L245" t="s">
        <v>308</v>
      </c>
      <c r="M245" s="2" t="s">
        <v>1108</v>
      </c>
      <c r="N245" s="45" t="s">
        <v>532</v>
      </c>
      <c r="O245" s="101" t="s">
        <v>895</v>
      </c>
    </row>
    <row r="246" spans="1:15" ht="15.45">
      <c r="A246" s="97">
        <v>45870</v>
      </c>
      <c r="B246" s="97" t="s">
        <v>1106</v>
      </c>
      <c r="C246" t="s">
        <v>896</v>
      </c>
      <c r="D246" t="s">
        <v>236</v>
      </c>
      <c r="E246" s="37" t="s">
        <v>897</v>
      </c>
      <c r="F246" s="37">
        <v>2025</v>
      </c>
      <c r="G246" s="37" t="s">
        <v>149</v>
      </c>
      <c r="H246" s="74">
        <v>161551</v>
      </c>
      <c r="I246" s="63">
        <v>0</v>
      </c>
      <c r="J246" s="63">
        <v>0</v>
      </c>
      <c r="K246" s="89">
        <f t="shared" si="3"/>
        <v>0</v>
      </c>
      <c r="L246" s="45" t="s">
        <v>15</v>
      </c>
      <c r="M246" s="45" t="s">
        <v>15</v>
      </c>
      <c r="N246" s="45" t="s">
        <v>15</v>
      </c>
      <c r="O246" s="45" t="s">
        <v>15</v>
      </c>
    </row>
    <row r="247" spans="1:15" ht="15.45">
      <c r="A247" s="97">
        <v>45870</v>
      </c>
      <c r="B247" s="97" t="s">
        <v>1106</v>
      </c>
      <c r="C247" t="s">
        <v>898</v>
      </c>
      <c r="D247" t="s">
        <v>397</v>
      </c>
      <c r="E247" s="37" t="s">
        <v>899</v>
      </c>
      <c r="F247" s="37">
        <v>2025</v>
      </c>
      <c r="G247" s="37" t="s">
        <v>149</v>
      </c>
      <c r="H247" s="74">
        <v>2091573</v>
      </c>
      <c r="I247" s="63">
        <v>0</v>
      </c>
      <c r="J247" s="63">
        <v>0</v>
      </c>
      <c r="K247" s="89">
        <f t="shared" si="3"/>
        <v>0</v>
      </c>
      <c r="L247" s="45" t="s">
        <v>15</v>
      </c>
      <c r="M247" s="45" t="s">
        <v>15</v>
      </c>
      <c r="N247" s="45" t="s">
        <v>15</v>
      </c>
      <c r="O247" s="45" t="s">
        <v>15</v>
      </c>
    </row>
    <row r="248" spans="1:15" ht="15.45">
      <c r="A248" s="97">
        <v>45870</v>
      </c>
      <c r="B248" s="97" t="s">
        <v>1106</v>
      </c>
      <c r="C248" t="s">
        <v>900</v>
      </c>
      <c r="D248" t="s">
        <v>236</v>
      </c>
      <c r="E248" s="37" t="s">
        <v>901</v>
      </c>
      <c r="F248" s="37">
        <v>2025</v>
      </c>
      <c r="G248" s="37" t="s">
        <v>149</v>
      </c>
      <c r="H248" s="74">
        <v>534518</v>
      </c>
      <c r="I248" s="63">
        <v>0</v>
      </c>
      <c r="J248" s="63">
        <v>0</v>
      </c>
      <c r="K248" s="89">
        <f t="shared" si="3"/>
        <v>0</v>
      </c>
      <c r="L248" s="45" t="s">
        <v>15</v>
      </c>
      <c r="M248" s="45" t="s">
        <v>15</v>
      </c>
      <c r="N248" s="45" t="s">
        <v>15</v>
      </c>
      <c r="O248" s="45" t="s">
        <v>15</v>
      </c>
    </row>
    <row r="249" spans="1:15" ht="15.45">
      <c r="A249" s="97">
        <v>45870</v>
      </c>
      <c r="B249" s="97" t="s">
        <v>1106</v>
      </c>
      <c r="C249" t="s">
        <v>902</v>
      </c>
      <c r="D249" t="s">
        <v>732</v>
      </c>
      <c r="E249" s="37" t="s">
        <v>903</v>
      </c>
      <c r="F249" s="37">
        <v>2025</v>
      </c>
      <c r="G249" s="37" t="s">
        <v>149</v>
      </c>
      <c r="H249" s="74">
        <v>1613850</v>
      </c>
      <c r="I249" s="63">
        <v>0</v>
      </c>
      <c r="J249" s="63">
        <v>0</v>
      </c>
      <c r="K249" s="89">
        <f t="shared" si="3"/>
        <v>0</v>
      </c>
      <c r="L249" s="45" t="s">
        <v>15</v>
      </c>
      <c r="M249" s="45" t="s">
        <v>15</v>
      </c>
      <c r="N249" s="45" t="s">
        <v>15</v>
      </c>
      <c r="O249" s="45" t="s">
        <v>15</v>
      </c>
    </row>
    <row r="250" spans="1:15" ht="15.45">
      <c r="A250" s="97">
        <v>45870</v>
      </c>
      <c r="B250" s="97" t="s">
        <v>1106</v>
      </c>
      <c r="C250" t="s">
        <v>904</v>
      </c>
      <c r="D250" t="s">
        <v>732</v>
      </c>
      <c r="E250" s="37" t="s">
        <v>905</v>
      </c>
      <c r="F250" s="37">
        <v>2025</v>
      </c>
      <c r="G250" s="37" t="s">
        <v>149</v>
      </c>
      <c r="H250" s="74">
        <v>2178000</v>
      </c>
      <c r="I250" s="63">
        <v>0</v>
      </c>
      <c r="J250" s="63">
        <v>0</v>
      </c>
      <c r="K250" s="89">
        <f t="shared" si="3"/>
        <v>0</v>
      </c>
      <c r="L250" s="45" t="s">
        <v>15</v>
      </c>
      <c r="M250" s="45" t="s">
        <v>15</v>
      </c>
      <c r="N250" s="45" t="s">
        <v>15</v>
      </c>
      <c r="O250" s="45" t="s">
        <v>15</v>
      </c>
    </row>
    <row r="251" spans="1:15" ht="15.45">
      <c r="A251" s="97">
        <v>45870</v>
      </c>
      <c r="B251" s="97" t="s">
        <v>1106</v>
      </c>
      <c r="C251" t="s">
        <v>906</v>
      </c>
      <c r="D251" t="s">
        <v>236</v>
      </c>
      <c r="E251" s="37" t="s">
        <v>907</v>
      </c>
      <c r="F251" s="37">
        <v>2025</v>
      </c>
      <c r="G251" s="37" t="s">
        <v>149</v>
      </c>
      <c r="H251" s="74">
        <v>11495</v>
      </c>
      <c r="I251" s="63">
        <v>0</v>
      </c>
      <c r="J251" s="63">
        <v>0</v>
      </c>
      <c r="K251" s="89">
        <f t="shared" si="3"/>
        <v>0</v>
      </c>
      <c r="L251" s="45" t="s">
        <v>15</v>
      </c>
      <c r="M251" s="45" t="s">
        <v>15</v>
      </c>
      <c r="N251" s="45" t="s">
        <v>15</v>
      </c>
      <c r="O251" s="45" t="s">
        <v>15</v>
      </c>
    </row>
    <row r="252" spans="1:15" ht="15.45">
      <c r="A252" s="97">
        <v>45870</v>
      </c>
      <c r="B252" s="97" t="s">
        <v>1106</v>
      </c>
      <c r="C252" t="s">
        <v>908</v>
      </c>
      <c r="D252" t="s">
        <v>236</v>
      </c>
      <c r="E252" s="37" t="s">
        <v>909</v>
      </c>
      <c r="F252" s="37">
        <v>2025</v>
      </c>
      <c r="G252" s="37" t="s">
        <v>149</v>
      </c>
      <c r="H252" s="74">
        <v>1006235</v>
      </c>
      <c r="I252" s="63">
        <v>0</v>
      </c>
      <c r="J252" s="63">
        <v>0</v>
      </c>
      <c r="K252" s="89">
        <f t="shared" si="3"/>
        <v>0</v>
      </c>
      <c r="L252" s="45" t="s">
        <v>15</v>
      </c>
      <c r="M252" s="45" t="s">
        <v>15</v>
      </c>
      <c r="N252" s="45" t="s">
        <v>15</v>
      </c>
      <c r="O252" s="45" t="s">
        <v>15</v>
      </c>
    </row>
    <row r="253" spans="1:15" ht="15.45">
      <c r="A253" s="97">
        <v>45870</v>
      </c>
      <c r="B253" s="97" t="s">
        <v>1106</v>
      </c>
      <c r="C253" t="s">
        <v>910</v>
      </c>
      <c r="D253" t="s">
        <v>236</v>
      </c>
      <c r="E253" s="37" t="s">
        <v>911</v>
      </c>
      <c r="F253" s="37">
        <v>2025</v>
      </c>
      <c r="G253" s="37" t="s">
        <v>149</v>
      </c>
      <c r="H253" s="74">
        <v>281510</v>
      </c>
      <c r="I253" s="63">
        <v>0</v>
      </c>
      <c r="J253" s="63">
        <v>0</v>
      </c>
      <c r="K253" s="89">
        <f t="shared" si="3"/>
        <v>0</v>
      </c>
      <c r="L253" s="45" t="s">
        <v>15</v>
      </c>
      <c r="M253" s="45" t="s">
        <v>15</v>
      </c>
      <c r="N253" s="45" t="s">
        <v>15</v>
      </c>
      <c r="O253" s="45" t="s">
        <v>15</v>
      </c>
    </row>
    <row r="254" spans="1:15" ht="15.45">
      <c r="A254" s="97">
        <v>45870</v>
      </c>
      <c r="B254" s="97" t="s">
        <v>1106</v>
      </c>
      <c r="C254" t="s">
        <v>912</v>
      </c>
      <c r="D254" t="s">
        <v>732</v>
      </c>
      <c r="E254" s="37" t="s">
        <v>913</v>
      </c>
      <c r="F254" s="37">
        <v>2025</v>
      </c>
      <c r="G254" s="37" t="s">
        <v>149</v>
      </c>
      <c r="H254" s="74">
        <v>1629572</v>
      </c>
      <c r="I254" s="63">
        <v>0</v>
      </c>
      <c r="J254" s="63">
        <v>0</v>
      </c>
      <c r="K254" s="89">
        <f t="shared" si="3"/>
        <v>0</v>
      </c>
      <c r="L254" s="45" t="s">
        <v>15</v>
      </c>
      <c r="M254" s="45" t="s">
        <v>15</v>
      </c>
      <c r="N254" s="45" t="s">
        <v>15</v>
      </c>
      <c r="O254" s="45" t="s">
        <v>15</v>
      </c>
    </row>
    <row r="255" spans="1:15" ht="15.45">
      <c r="A255" s="97">
        <v>45870</v>
      </c>
      <c r="B255" s="97" t="s">
        <v>1106</v>
      </c>
      <c r="C255" t="s">
        <v>914</v>
      </c>
      <c r="D255" t="s">
        <v>236</v>
      </c>
      <c r="E255" s="37" t="s">
        <v>915</v>
      </c>
      <c r="F255" s="37">
        <v>2025</v>
      </c>
      <c r="G255" s="37" t="s">
        <v>149</v>
      </c>
      <c r="H255" s="74">
        <v>207515</v>
      </c>
      <c r="I255" s="63">
        <v>0</v>
      </c>
      <c r="J255" s="63">
        <v>0</v>
      </c>
      <c r="K255" s="89">
        <f t="shared" si="3"/>
        <v>0</v>
      </c>
      <c r="L255" s="45" t="s">
        <v>15</v>
      </c>
      <c r="M255" s="45" t="s">
        <v>15</v>
      </c>
      <c r="N255" s="45" t="s">
        <v>15</v>
      </c>
      <c r="O255" s="45" t="s">
        <v>15</v>
      </c>
    </row>
    <row r="256" spans="1:15" ht="15.45">
      <c r="A256" s="97">
        <v>45870</v>
      </c>
      <c r="B256" s="97" t="s">
        <v>1106</v>
      </c>
      <c r="C256" t="s">
        <v>916</v>
      </c>
      <c r="D256" t="s">
        <v>236</v>
      </c>
      <c r="E256" s="37" t="s">
        <v>917</v>
      </c>
      <c r="F256" s="37">
        <v>2025</v>
      </c>
      <c r="G256" s="37" t="s">
        <v>149</v>
      </c>
      <c r="H256" s="74">
        <v>259999</v>
      </c>
      <c r="I256" s="63">
        <v>0</v>
      </c>
      <c r="J256" s="63">
        <v>0</v>
      </c>
      <c r="K256" s="89">
        <f t="shared" si="3"/>
        <v>0</v>
      </c>
      <c r="L256" s="45" t="s">
        <v>15</v>
      </c>
      <c r="M256" s="45" t="s">
        <v>15</v>
      </c>
      <c r="N256" s="45" t="s">
        <v>15</v>
      </c>
      <c r="O256" s="45" t="s">
        <v>15</v>
      </c>
    </row>
    <row r="257" spans="1:15" ht="15.45">
      <c r="A257" s="97">
        <v>45870</v>
      </c>
      <c r="B257" s="97" t="s">
        <v>1106</v>
      </c>
      <c r="C257" t="s">
        <v>918</v>
      </c>
      <c r="D257" t="s">
        <v>919</v>
      </c>
      <c r="E257" s="37" t="s">
        <v>920</v>
      </c>
      <c r="F257" s="37">
        <v>2025</v>
      </c>
      <c r="G257" s="37" t="s">
        <v>149</v>
      </c>
      <c r="H257" s="74">
        <v>7586883</v>
      </c>
      <c r="I257" s="63">
        <v>0</v>
      </c>
      <c r="J257" s="63">
        <v>0</v>
      </c>
      <c r="K257" s="89">
        <f t="shared" si="3"/>
        <v>0</v>
      </c>
      <c r="L257" s="45" t="s">
        <v>15</v>
      </c>
      <c r="M257" s="45" t="s">
        <v>15</v>
      </c>
      <c r="N257" s="45" t="s">
        <v>15</v>
      </c>
      <c r="O257" s="45" t="s">
        <v>15</v>
      </c>
    </row>
    <row r="258" spans="1:15" ht="15.45">
      <c r="A258" s="97">
        <v>45870</v>
      </c>
      <c r="B258" s="97" t="s">
        <v>1106</v>
      </c>
      <c r="C258" t="s">
        <v>921</v>
      </c>
      <c r="D258" t="s">
        <v>236</v>
      </c>
      <c r="E258" s="37" t="s">
        <v>922</v>
      </c>
      <c r="F258" s="37">
        <v>2025</v>
      </c>
      <c r="G258" s="37" t="s">
        <v>149</v>
      </c>
      <c r="H258" s="74">
        <v>263451</v>
      </c>
      <c r="I258" s="63">
        <v>0</v>
      </c>
      <c r="J258" s="63">
        <v>0</v>
      </c>
      <c r="K258" s="89">
        <f t="shared" si="3"/>
        <v>0</v>
      </c>
      <c r="L258" s="45" t="s">
        <v>15</v>
      </c>
      <c r="M258" s="45" t="s">
        <v>15</v>
      </c>
      <c r="N258" s="45" t="s">
        <v>15</v>
      </c>
      <c r="O258" s="45" t="s">
        <v>15</v>
      </c>
    </row>
    <row r="259" spans="1:15" ht="15.45">
      <c r="A259" s="97">
        <v>45870</v>
      </c>
      <c r="B259" s="97" t="s">
        <v>1106</v>
      </c>
      <c r="C259" t="s">
        <v>923</v>
      </c>
      <c r="D259" t="s">
        <v>235</v>
      </c>
      <c r="E259" s="37" t="s">
        <v>924</v>
      </c>
      <c r="F259" s="37">
        <v>2025</v>
      </c>
      <c r="G259" s="37" t="s">
        <v>148</v>
      </c>
      <c r="H259" s="41">
        <v>50954735</v>
      </c>
      <c r="I259" s="41">
        <v>50954735</v>
      </c>
      <c r="J259" s="41">
        <v>50954735</v>
      </c>
      <c r="K259" s="89">
        <f t="shared" si="3"/>
        <v>0</v>
      </c>
      <c r="L259" t="s">
        <v>308</v>
      </c>
      <c r="M259" s="2" t="s">
        <v>1108</v>
      </c>
      <c r="N259" s="45" t="s">
        <v>532</v>
      </c>
      <c r="O259" s="101" t="s">
        <v>924</v>
      </c>
    </row>
    <row r="260" spans="1:15" s="30" customFormat="1" ht="15.45">
      <c r="A260" s="99">
        <v>45870</v>
      </c>
      <c r="B260" s="97" t="s">
        <v>1106</v>
      </c>
      <c r="C260" s="30" t="s">
        <v>925</v>
      </c>
      <c r="D260" s="30" t="s">
        <v>646</v>
      </c>
      <c r="E260" s="39" t="s">
        <v>926</v>
      </c>
      <c r="F260" s="39">
        <v>2024</v>
      </c>
      <c r="G260" s="39" t="s">
        <v>148</v>
      </c>
      <c r="H260" s="40">
        <v>14045497</v>
      </c>
      <c r="I260" s="40">
        <v>14045497</v>
      </c>
      <c r="J260" s="40">
        <v>14045497</v>
      </c>
      <c r="K260" s="89">
        <f t="shared" si="3"/>
        <v>0</v>
      </c>
      <c r="L260" t="s">
        <v>308</v>
      </c>
      <c r="M260" s="2" t="s">
        <v>1108</v>
      </c>
      <c r="N260" s="2" t="s">
        <v>533</v>
      </c>
      <c r="O260" s="70" t="s">
        <v>403</v>
      </c>
    </row>
    <row r="261" spans="1:15" ht="15.45">
      <c r="A261" s="97">
        <v>45870</v>
      </c>
      <c r="B261" s="97" t="s">
        <v>1106</v>
      </c>
      <c r="C261" t="s">
        <v>927</v>
      </c>
      <c r="D261" t="s">
        <v>646</v>
      </c>
      <c r="E261" s="37" t="s">
        <v>928</v>
      </c>
      <c r="F261" s="37">
        <v>2025</v>
      </c>
      <c r="G261" s="37" t="s">
        <v>148</v>
      </c>
      <c r="H261" s="41">
        <v>6968098</v>
      </c>
      <c r="I261" s="41">
        <v>6968098</v>
      </c>
      <c r="J261" s="41">
        <v>6968098</v>
      </c>
      <c r="K261" s="89">
        <f t="shared" si="3"/>
        <v>0</v>
      </c>
      <c r="L261" t="s">
        <v>308</v>
      </c>
      <c r="M261" s="2" t="s">
        <v>1108</v>
      </c>
      <c r="N261" s="45" t="s">
        <v>532</v>
      </c>
      <c r="O261" s="101" t="s">
        <v>928</v>
      </c>
    </row>
    <row r="262" spans="1:15" ht="15.45">
      <c r="A262" s="97">
        <v>45870</v>
      </c>
      <c r="B262" s="97" t="s">
        <v>1106</v>
      </c>
      <c r="C262" t="s">
        <v>929</v>
      </c>
      <c r="D262" t="s">
        <v>437</v>
      </c>
      <c r="E262" s="37" t="s">
        <v>930</v>
      </c>
      <c r="F262" s="37">
        <v>2025</v>
      </c>
      <c r="G262" s="37" t="s">
        <v>149</v>
      </c>
      <c r="H262" s="74">
        <v>3781250</v>
      </c>
      <c r="I262" s="63">
        <v>0</v>
      </c>
      <c r="J262" s="63">
        <v>0</v>
      </c>
      <c r="K262" s="89">
        <f t="shared" ref="K262:K325" si="4">I262-J262</f>
        <v>0</v>
      </c>
      <c r="L262" s="45" t="s">
        <v>15</v>
      </c>
      <c r="M262" s="45" t="s">
        <v>15</v>
      </c>
      <c r="N262" s="45" t="s">
        <v>15</v>
      </c>
      <c r="O262" s="45" t="s">
        <v>15</v>
      </c>
    </row>
    <row r="263" spans="1:15" ht="15.45">
      <c r="A263" s="97">
        <v>45870</v>
      </c>
      <c r="B263" s="97" t="s">
        <v>1106</v>
      </c>
      <c r="C263" t="s">
        <v>931</v>
      </c>
      <c r="D263" t="s">
        <v>435</v>
      </c>
      <c r="E263" s="37" t="s">
        <v>932</v>
      </c>
      <c r="F263" s="37">
        <v>2025</v>
      </c>
      <c r="G263" s="37" t="s">
        <v>149</v>
      </c>
      <c r="H263" s="74">
        <v>726000</v>
      </c>
      <c r="I263" s="63">
        <v>0</v>
      </c>
      <c r="J263" s="63">
        <v>0</v>
      </c>
      <c r="K263" s="89">
        <f t="shared" si="4"/>
        <v>0</v>
      </c>
      <c r="L263" s="45" t="s">
        <v>15</v>
      </c>
      <c r="M263" s="45" t="s">
        <v>15</v>
      </c>
      <c r="N263" s="45" t="s">
        <v>15</v>
      </c>
      <c r="O263" s="45" t="s">
        <v>15</v>
      </c>
    </row>
    <row r="264" spans="1:15" ht="15.45">
      <c r="A264" s="97">
        <v>45870</v>
      </c>
      <c r="B264" s="97" t="s">
        <v>1106</v>
      </c>
      <c r="C264" t="s">
        <v>933</v>
      </c>
      <c r="D264" t="s">
        <v>732</v>
      </c>
      <c r="E264" s="37" t="s">
        <v>934</v>
      </c>
      <c r="F264" s="37">
        <v>2025</v>
      </c>
      <c r="G264" s="37" t="s">
        <v>149</v>
      </c>
      <c r="H264" s="74">
        <v>216224</v>
      </c>
      <c r="I264" s="63">
        <v>0</v>
      </c>
      <c r="J264" s="63">
        <v>0</v>
      </c>
      <c r="K264" s="89">
        <f t="shared" si="4"/>
        <v>0</v>
      </c>
      <c r="L264" s="45" t="s">
        <v>15</v>
      </c>
      <c r="M264" s="45" t="s">
        <v>15</v>
      </c>
      <c r="N264" s="45" t="s">
        <v>15</v>
      </c>
      <c r="O264" s="45" t="s">
        <v>15</v>
      </c>
    </row>
    <row r="265" spans="1:15" ht="15.45">
      <c r="A265" s="97">
        <v>45901</v>
      </c>
      <c r="B265" s="97" t="s">
        <v>508</v>
      </c>
      <c r="D265" t="s">
        <v>548</v>
      </c>
      <c r="G265" s="37" t="s">
        <v>1107</v>
      </c>
      <c r="H265" s="94">
        <v>1981982</v>
      </c>
      <c r="I265" s="63">
        <v>0</v>
      </c>
      <c r="J265" s="63">
        <v>0</v>
      </c>
      <c r="K265" s="89">
        <f t="shared" si="4"/>
        <v>0</v>
      </c>
      <c r="L265" s="45" t="s">
        <v>15</v>
      </c>
      <c r="M265" s="45" t="s">
        <v>15</v>
      </c>
      <c r="N265" s="45" t="s">
        <v>15</v>
      </c>
      <c r="O265" s="45" t="s">
        <v>15</v>
      </c>
    </row>
    <row r="266" spans="1:15" ht="15.45">
      <c r="A266" s="97">
        <v>45901</v>
      </c>
      <c r="B266" s="97" t="s">
        <v>508</v>
      </c>
      <c r="D266" t="s">
        <v>552</v>
      </c>
      <c r="G266" s="37" t="s">
        <v>1107</v>
      </c>
      <c r="H266" s="63">
        <v>506000</v>
      </c>
      <c r="I266" s="63">
        <v>0</v>
      </c>
      <c r="J266" s="63">
        <v>0</v>
      </c>
      <c r="K266" s="89">
        <f t="shared" si="4"/>
        <v>0</v>
      </c>
      <c r="L266" s="45" t="s">
        <v>15</v>
      </c>
      <c r="M266" s="45" t="s">
        <v>15</v>
      </c>
      <c r="N266" s="45" t="s">
        <v>15</v>
      </c>
      <c r="O266" s="45" t="s">
        <v>15</v>
      </c>
    </row>
    <row r="267" spans="1:15" ht="15.45">
      <c r="A267" s="97">
        <v>45901</v>
      </c>
      <c r="B267" s="97" t="s">
        <v>508</v>
      </c>
      <c r="D267" t="s">
        <v>550</v>
      </c>
      <c r="G267" s="37" t="s">
        <v>1107</v>
      </c>
      <c r="H267" s="63">
        <v>74324</v>
      </c>
      <c r="I267" s="63">
        <v>0</v>
      </c>
      <c r="J267" s="63">
        <v>0</v>
      </c>
      <c r="K267" s="89">
        <f t="shared" si="4"/>
        <v>0</v>
      </c>
      <c r="L267" s="45" t="s">
        <v>15</v>
      </c>
      <c r="M267" s="45" t="s">
        <v>15</v>
      </c>
      <c r="N267" s="45" t="s">
        <v>15</v>
      </c>
      <c r="O267" s="45" t="s">
        <v>15</v>
      </c>
    </row>
    <row r="268" spans="1:15" ht="15.45">
      <c r="A268" s="97">
        <v>45901</v>
      </c>
      <c r="B268" s="97" t="s">
        <v>508</v>
      </c>
      <c r="D268" t="s">
        <v>564</v>
      </c>
      <c r="G268" s="37" t="s">
        <v>1107</v>
      </c>
      <c r="H268" s="63">
        <v>385000</v>
      </c>
      <c r="I268" s="63">
        <v>0</v>
      </c>
      <c r="J268" s="63">
        <v>0</v>
      </c>
      <c r="K268" s="89">
        <f t="shared" si="4"/>
        <v>0</v>
      </c>
      <c r="L268" s="45" t="s">
        <v>15</v>
      </c>
      <c r="M268" s="45" t="s">
        <v>15</v>
      </c>
      <c r="N268" s="45" t="s">
        <v>15</v>
      </c>
      <c r="O268" s="45" t="s">
        <v>15</v>
      </c>
    </row>
    <row r="269" spans="1:15" s="44" customFormat="1" ht="15.45">
      <c r="A269" s="102">
        <v>45901</v>
      </c>
      <c r="B269" s="97" t="s">
        <v>508</v>
      </c>
      <c r="D269" s="44" t="s">
        <v>935</v>
      </c>
      <c r="E269" s="93"/>
      <c r="F269" s="93"/>
      <c r="G269" s="37" t="s">
        <v>1107</v>
      </c>
      <c r="H269" s="67">
        <v>9285948</v>
      </c>
      <c r="I269" s="63">
        <v>0</v>
      </c>
      <c r="J269" s="63">
        <v>0</v>
      </c>
      <c r="K269" s="89">
        <f t="shared" si="4"/>
        <v>0</v>
      </c>
      <c r="L269" s="45" t="s">
        <v>15</v>
      </c>
      <c r="M269" s="45" t="s">
        <v>15</v>
      </c>
      <c r="N269" s="45" t="s">
        <v>15</v>
      </c>
      <c r="O269" s="45" t="s">
        <v>15</v>
      </c>
    </row>
    <row r="270" spans="1:15" s="44" customFormat="1" ht="15.45">
      <c r="A270" s="102">
        <v>45901</v>
      </c>
      <c r="B270" s="97" t="s">
        <v>508</v>
      </c>
      <c r="D270" s="44" t="s">
        <v>936</v>
      </c>
      <c r="E270" s="93"/>
      <c r="F270" s="93"/>
      <c r="G270" s="37" t="s">
        <v>1107</v>
      </c>
      <c r="H270" s="67">
        <v>761179</v>
      </c>
      <c r="I270" s="63">
        <v>0</v>
      </c>
      <c r="J270" s="63">
        <v>0</v>
      </c>
      <c r="K270" s="89">
        <f t="shared" si="4"/>
        <v>0</v>
      </c>
      <c r="L270" s="45" t="s">
        <v>15</v>
      </c>
      <c r="M270" s="45" t="s">
        <v>15</v>
      </c>
      <c r="N270" s="45" t="s">
        <v>15</v>
      </c>
      <c r="O270" s="45" t="s">
        <v>15</v>
      </c>
    </row>
    <row r="271" spans="1:15" ht="15.45">
      <c r="A271" s="97">
        <v>45901</v>
      </c>
      <c r="B271" s="97" t="s">
        <v>1106</v>
      </c>
      <c r="C271" t="s">
        <v>937</v>
      </c>
      <c r="D271" t="s">
        <v>558</v>
      </c>
      <c r="E271" s="37" t="s">
        <v>938</v>
      </c>
      <c r="F271" s="37">
        <v>2025</v>
      </c>
      <c r="G271" s="37" t="s">
        <v>148</v>
      </c>
      <c r="H271" s="41">
        <v>25541126</v>
      </c>
      <c r="I271" s="41">
        <v>25541126</v>
      </c>
      <c r="J271" s="41">
        <v>25541126</v>
      </c>
      <c r="K271" s="89">
        <f t="shared" si="4"/>
        <v>0</v>
      </c>
      <c r="L271" t="s">
        <v>308</v>
      </c>
      <c r="M271" s="2" t="s">
        <v>1108</v>
      </c>
      <c r="N271" s="45" t="s">
        <v>532</v>
      </c>
      <c r="O271" s="101" t="s">
        <v>938</v>
      </c>
    </row>
    <row r="272" spans="1:15" ht="15.45">
      <c r="A272" s="97">
        <v>45901</v>
      </c>
      <c r="B272" s="97" t="s">
        <v>1106</v>
      </c>
      <c r="C272" t="s">
        <v>939</v>
      </c>
      <c r="D272" t="s">
        <v>558</v>
      </c>
      <c r="E272" s="37" t="s">
        <v>940</v>
      </c>
      <c r="F272" s="37">
        <v>2025</v>
      </c>
      <c r="G272" s="37" t="s">
        <v>148</v>
      </c>
      <c r="H272" s="41">
        <v>57477478</v>
      </c>
      <c r="I272" s="41">
        <v>57477478</v>
      </c>
      <c r="J272" s="41">
        <v>57477478</v>
      </c>
      <c r="K272" s="89">
        <f t="shared" si="4"/>
        <v>0</v>
      </c>
      <c r="L272" t="s">
        <v>308</v>
      </c>
      <c r="M272" s="2" t="s">
        <v>1108</v>
      </c>
      <c r="N272" s="45" t="s">
        <v>532</v>
      </c>
      <c r="O272" s="101" t="s">
        <v>940</v>
      </c>
    </row>
    <row r="273" spans="1:15" ht="15.45">
      <c r="A273" s="97">
        <v>45901</v>
      </c>
      <c r="B273" s="97" t="s">
        <v>1106</v>
      </c>
      <c r="C273" t="s">
        <v>941</v>
      </c>
      <c r="D273" t="s">
        <v>571</v>
      </c>
      <c r="E273" s="37" t="s">
        <v>942</v>
      </c>
      <c r="F273" s="37">
        <v>2025</v>
      </c>
      <c r="G273" s="37" t="s">
        <v>148</v>
      </c>
      <c r="H273" s="41">
        <v>29729730</v>
      </c>
      <c r="I273" s="41">
        <v>29729730</v>
      </c>
      <c r="J273" s="41">
        <v>29729730</v>
      </c>
      <c r="K273" s="89">
        <f t="shared" si="4"/>
        <v>0</v>
      </c>
      <c r="L273" t="s">
        <v>308</v>
      </c>
      <c r="M273" s="2" t="s">
        <v>1108</v>
      </c>
      <c r="N273" s="45" t="s">
        <v>532</v>
      </c>
      <c r="O273" s="101" t="s">
        <v>942</v>
      </c>
    </row>
    <row r="274" spans="1:15" s="115" customFormat="1" ht="15.45">
      <c r="A274" s="114">
        <v>45901</v>
      </c>
      <c r="B274" s="109" t="s">
        <v>1106</v>
      </c>
      <c r="C274" s="115" t="s">
        <v>943</v>
      </c>
      <c r="D274" s="115" t="s">
        <v>398</v>
      </c>
      <c r="E274" s="116" t="s">
        <v>944</v>
      </c>
      <c r="F274" s="116"/>
      <c r="G274" s="117" t="s">
        <v>149</v>
      </c>
      <c r="H274" s="117">
        <v>49595169</v>
      </c>
      <c r="I274" s="117">
        <v>0</v>
      </c>
      <c r="J274" s="117">
        <v>0</v>
      </c>
      <c r="K274" s="110">
        <f t="shared" si="4"/>
        <v>0</v>
      </c>
      <c r="L274" s="76" t="s">
        <v>15</v>
      </c>
      <c r="M274" s="76" t="s">
        <v>15</v>
      </c>
      <c r="N274" s="76" t="s">
        <v>15</v>
      </c>
      <c r="O274" s="115" t="s">
        <v>1072</v>
      </c>
    </row>
    <row r="275" spans="1:15" s="30" customFormat="1" ht="15.45">
      <c r="A275" s="99">
        <v>45901</v>
      </c>
      <c r="B275" s="97" t="s">
        <v>1106</v>
      </c>
      <c r="C275" s="30" t="s">
        <v>945</v>
      </c>
      <c r="D275" s="30" t="s">
        <v>646</v>
      </c>
      <c r="E275" s="39" t="s">
        <v>946</v>
      </c>
      <c r="F275" s="39">
        <v>2024</v>
      </c>
      <c r="G275" s="39" t="s">
        <v>148</v>
      </c>
      <c r="H275" s="40">
        <v>9251220</v>
      </c>
      <c r="I275" s="40">
        <v>9251220</v>
      </c>
      <c r="J275" s="40">
        <v>9251220</v>
      </c>
      <c r="K275" s="89">
        <f t="shared" si="4"/>
        <v>0</v>
      </c>
      <c r="L275" t="s">
        <v>308</v>
      </c>
      <c r="M275" s="2" t="s">
        <v>1108</v>
      </c>
      <c r="N275" s="2" t="s">
        <v>533</v>
      </c>
      <c r="O275" s="71" t="s">
        <v>417</v>
      </c>
    </row>
    <row r="276" spans="1:15" ht="15.45">
      <c r="A276" s="97">
        <v>45901</v>
      </c>
      <c r="B276" s="97" t="s">
        <v>1106</v>
      </c>
      <c r="C276" t="s">
        <v>947</v>
      </c>
      <c r="D276" t="s">
        <v>646</v>
      </c>
      <c r="E276" s="37" t="s">
        <v>948</v>
      </c>
      <c r="F276" s="37">
        <v>2025</v>
      </c>
      <c r="G276" s="37" t="s">
        <v>148</v>
      </c>
      <c r="H276" s="41">
        <v>6474548</v>
      </c>
      <c r="I276" s="41">
        <v>6474548</v>
      </c>
      <c r="J276" s="41">
        <v>6474548</v>
      </c>
      <c r="K276" s="89">
        <f t="shared" si="4"/>
        <v>0</v>
      </c>
      <c r="L276" t="s">
        <v>308</v>
      </c>
      <c r="M276" s="2" t="s">
        <v>1108</v>
      </c>
      <c r="N276" s="45" t="s">
        <v>532</v>
      </c>
      <c r="O276" s="101" t="s">
        <v>948</v>
      </c>
    </row>
    <row r="277" spans="1:15" s="30" customFormat="1" ht="15.45">
      <c r="A277" s="99">
        <v>45901</v>
      </c>
      <c r="B277" s="97" t="s">
        <v>1106</v>
      </c>
      <c r="C277" s="30" t="s">
        <v>949</v>
      </c>
      <c r="D277" s="30" t="s">
        <v>646</v>
      </c>
      <c r="E277" s="39" t="s">
        <v>950</v>
      </c>
      <c r="F277" s="39">
        <v>2024</v>
      </c>
      <c r="G277" s="39" t="s">
        <v>148</v>
      </c>
      <c r="H277" s="40">
        <v>9188091</v>
      </c>
      <c r="I277" s="40">
        <v>9188091</v>
      </c>
      <c r="J277" s="40">
        <v>9188091</v>
      </c>
      <c r="K277" s="89">
        <f t="shared" si="4"/>
        <v>0</v>
      </c>
      <c r="L277" t="s">
        <v>308</v>
      </c>
      <c r="M277" s="2" t="s">
        <v>1108</v>
      </c>
      <c r="N277" s="2" t="s">
        <v>533</v>
      </c>
      <c r="O277" s="71" t="s">
        <v>430</v>
      </c>
    </row>
    <row r="278" spans="1:15" ht="15.45">
      <c r="A278" s="97">
        <v>45901</v>
      </c>
      <c r="B278" s="97" t="s">
        <v>1106</v>
      </c>
      <c r="C278" t="s">
        <v>951</v>
      </c>
      <c r="D278" t="s">
        <v>646</v>
      </c>
      <c r="E278" s="37" t="s">
        <v>952</v>
      </c>
      <c r="F278" s="37">
        <v>2025</v>
      </c>
      <c r="G278" s="37" t="s">
        <v>148</v>
      </c>
      <c r="H278" s="41">
        <v>4488499</v>
      </c>
      <c r="I278" s="41">
        <v>4488499</v>
      </c>
      <c r="J278" s="41">
        <v>4488499</v>
      </c>
      <c r="K278" s="89">
        <f t="shared" si="4"/>
        <v>0</v>
      </c>
      <c r="L278" t="s">
        <v>308</v>
      </c>
      <c r="M278" s="2" t="s">
        <v>1108</v>
      </c>
      <c r="N278" s="45" t="s">
        <v>532</v>
      </c>
      <c r="O278" s="101" t="s">
        <v>952</v>
      </c>
    </row>
    <row r="279" spans="1:15" ht="15.45">
      <c r="A279" s="97">
        <v>45901</v>
      </c>
      <c r="B279" s="97" t="s">
        <v>1106</v>
      </c>
      <c r="C279" t="s">
        <v>953</v>
      </c>
      <c r="D279" t="s">
        <v>162</v>
      </c>
      <c r="E279" s="37" t="s">
        <v>954</v>
      </c>
      <c r="F279" s="37">
        <v>2025</v>
      </c>
      <c r="G279" s="37" t="s">
        <v>148</v>
      </c>
      <c r="H279" s="41">
        <v>22135023</v>
      </c>
      <c r="I279" s="41">
        <v>22135023</v>
      </c>
      <c r="J279" s="41">
        <v>22135023</v>
      </c>
      <c r="K279" s="89">
        <f t="shared" si="4"/>
        <v>0</v>
      </c>
      <c r="L279" t="s">
        <v>308</v>
      </c>
      <c r="M279" s="2" t="s">
        <v>1108</v>
      </c>
      <c r="N279" s="45" t="s">
        <v>532</v>
      </c>
      <c r="O279" s="101" t="s">
        <v>954</v>
      </c>
    </row>
    <row r="280" spans="1:15" ht="15.45">
      <c r="A280" s="97">
        <v>45901</v>
      </c>
      <c r="B280" s="97" t="s">
        <v>1106</v>
      </c>
      <c r="C280" t="s">
        <v>955</v>
      </c>
      <c r="D280" t="s">
        <v>235</v>
      </c>
      <c r="E280" s="37" t="s">
        <v>956</v>
      </c>
      <c r="F280" s="37">
        <v>2025</v>
      </c>
      <c r="G280" s="37" t="s">
        <v>148</v>
      </c>
      <c r="H280" s="41">
        <v>27747748</v>
      </c>
      <c r="I280" s="41">
        <v>27747748</v>
      </c>
      <c r="J280" s="41">
        <v>27747748</v>
      </c>
      <c r="K280" s="89">
        <f t="shared" si="4"/>
        <v>0</v>
      </c>
      <c r="L280" t="s">
        <v>308</v>
      </c>
      <c r="M280" s="2" t="s">
        <v>1108</v>
      </c>
      <c r="N280" s="45" t="s">
        <v>532</v>
      </c>
      <c r="O280" s="101" t="s">
        <v>956</v>
      </c>
    </row>
    <row r="281" spans="1:15" ht="15.45">
      <c r="A281" s="97">
        <v>45901</v>
      </c>
      <c r="B281" s="97" t="s">
        <v>1106</v>
      </c>
      <c r="C281" t="s">
        <v>957</v>
      </c>
      <c r="D281" t="s">
        <v>440</v>
      </c>
      <c r="E281" s="37" t="s">
        <v>958</v>
      </c>
      <c r="F281" s="37">
        <v>2025</v>
      </c>
      <c r="G281" s="37" t="s">
        <v>149</v>
      </c>
      <c r="H281" s="74">
        <v>83471075</v>
      </c>
      <c r="I281" s="63">
        <v>0</v>
      </c>
      <c r="J281" s="63">
        <v>0</v>
      </c>
      <c r="K281" s="89">
        <f t="shared" si="4"/>
        <v>0</v>
      </c>
      <c r="L281" s="45" t="s">
        <v>15</v>
      </c>
      <c r="M281" s="45" t="s">
        <v>15</v>
      </c>
      <c r="N281" s="45" t="s">
        <v>15</v>
      </c>
    </row>
    <row r="282" spans="1:15" ht="15.45">
      <c r="A282" s="97">
        <v>45901</v>
      </c>
      <c r="B282" s="97" t="s">
        <v>1106</v>
      </c>
      <c r="C282" t="s">
        <v>959</v>
      </c>
      <c r="D282" t="s">
        <v>442</v>
      </c>
      <c r="E282" s="37" t="s">
        <v>960</v>
      </c>
      <c r="F282" s="37">
        <v>2025</v>
      </c>
      <c r="G282" s="37" t="s">
        <v>149</v>
      </c>
      <c r="H282" s="74">
        <v>1778333</v>
      </c>
      <c r="I282" s="63">
        <v>0</v>
      </c>
      <c r="J282" s="63">
        <v>0</v>
      </c>
      <c r="K282" s="89">
        <f t="shared" si="4"/>
        <v>0</v>
      </c>
      <c r="L282" s="45" t="s">
        <v>15</v>
      </c>
      <c r="M282" s="45" t="s">
        <v>15</v>
      </c>
      <c r="N282" s="45" t="s">
        <v>15</v>
      </c>
    </row>
    <row r="283" spans="1:15" ht="15.45">
      <c r="A283" s="97">
        <v>45901</v>
      </c>
      <c r="B283" s="97" t="s">
        <v>1106</v>
      </c>
      <c r="C283" t="s">
        <v>961</v>
      </c>
      <c r="D283" t="s">
        <v>442</v>
      </c>
      <c r="E283" s="37" t="s">
        <v>962</v>
      </c>
      <c r="F283" s="37">
        <v>2025</v>
      </c>
      <c r="G283" s="37" t="s">
        <v>149</v>
      </c>
      <c r="H283" s="74">
        <v>592778</v>
      </c>
      <c r="I283" s="63">
        <v>0</v>
      </c>
      <c r="J283" s="63">
        <v>0</v>
      </c>
      <c r="K283" s="89">
        <f t="shared" si="4"/>
        <v>0</v>
      </c>
      <c r="L283" s="45" t="s">
        <v>15</v>
      </c>
      <c r="M283" s="45" t="s">
        <v>15</v>
      </c>
      <c r="N283" s="45" t="s">
        <v>15</v>
      </c>
    </row>
    <row r="284" spans="1:15" ht="15.45">
      <c r="A284" s="97">
        <v>45901</v>
      </c>
      <c r="B284" s="97" t="s">
        <v>1106</v>
      </c>
      <c r="C284" t="s">
        <v>963</v>
      </c>
      <c r="D284" t="s">
        <v>442</v>
      </c>
      <c r="E284" s="37" t="s">
        <v>964</v>
      </c>
      <c r="F284" s="37">
        <v>2025</v>
      </c>
      <c r="G284" s="37" t="s">
        <v>149</v>
      </c>
      <c r="H284" s="74">
        <v>592778</v>
      </c>
      <c r="I284" s="63">
        <v>0</v>
      </c>
      <c r="J284" s="63">
        <v>0</v>
      </c>
      <c r="K284" s="89">
        <f t="shared" si="4"/>
        <v>0</v>
      </c>
      <c r="L284" s="45" t="s">
        <v>15</v>
      </c>
      <c r="M284" s="45" t="s">
        <v>15</v>
      </c>
      <c r="N284" s="45" t="s">
        <v>15</v>
      </c>
    </row>
    <row r="285" spans="1:15" ht="15.45">
      <c r="A285" s="97">
        <v>45901</v>
      </c>
      <c r="B285" s="97" t="s">
        <v>1106</v>
      </c>
      <c r="C285" t="s">
        <v>965</v>
      </c>
      <c r="D285" t="s">
        <v>442</v>
      </c>
      <c r="E285" s="37" t="s">
        <v>966</v>
      </c>
      <c r="F285" s="37">
        <v>2025</v>
      </c>
      <c r="G285" s="37" t="s">
        <v>149</v>
      </c>
      <c r="H285" s="74">
        <v>592778</v>
      </c>
      <c r="I285" s="63">
        <v>0</v>
      </c>
      <c r="J285" s="63">
        <v>0</v>
      </c>
      <c r="K285" s="89">
        <f t="shared" si="4"/>
        <v>0</v>
      </c>
      <c r="L285" s="45" t="s">
        <v>15</v>
      </c>
      <c r="M285" s="45" t="s">
        <v>15</v>
      </c>
      <c r="N285" s="45" t="s">
        <v>15</v>
      </c>
    </row>
    <row r="286" spans="1:15" ht="15.45">
      <c r="A286" s="97">
        <v>45901</v>
      </c>
      <c r="B286" s="97" t="s">
        <v>1106</v>
      </c>
      <c r="C286" t="s">
        <v>967</v>
      </c>
      <c r="D286" t="s">
        <v>442</v>
      </c>
      <c r="E286" s="37" t="s">
        <v>968</v>
      </c>
      <c r="F286" s="37">
        <v>2025</v>
      </c>
      <c r="G286" s="37" t="s">
        <v>149</v>
      </c>
      <c r="H286" s="74">
        <v>444583</v>
      </c>
      <c r="I286" s="63">
        <v>0</v>
      </c>
      <c r="J286" s="63">
        <v>0</v>
      </c>
      <c r="K286" s="89">
        <f t="shared" si="4"/>
        <v>0</v>
      </c>
      <c r="L286" s="45" t="s">
        <v>15</v>
      </c>
      <c r="M286" s="45" t="s">
        <v>15</v>
      </c>
      <c r="N286" s="45" t="s">
        <v>15</v>
      </c>
    </row>
    <row r="287" spans="1:15" ht="15.45">
      <c r="A287" s="97">
        <v>45901</v>
      </c>
      <c r="B287" s="97" t="s">
        <v>1106</v>
      </c>
      <c r="C287" t="s">
        <v>969</v>
      </c>
      <c r="D287" t="s">
        <v>442</v>
      </c>
      <c r="E287" s="37" t="s">
        <v>970</v>
      </c>
      <c r="F287" s="37">
        <v>2025</v>
      </c>
      <c r="G287" s="37" t="s">
        <v>149</v>
      </c>
      <c r="H287" s="74">
        <v>444583</v>
      </c>
      <c r="I287" s="63">
        <v>0</v>
      </c>
      <c r="J287" s="63">
        <v>0</v>
      </c>
      <c r="K287" s="89">
        <f t="shared" si="4"/>
        <v>0</v>
      </c>
      <c r="L287" s="45" t="s">
        <v>15</v>
      </c>
      <c r="M287" s="45" t="s">
        <v>15</v>
      </c>
      <c r="N287" s="45" t="s">
        <v>15</v>
      </c>
    </row>
    <row r="288" spans="1:15" ht="15.45">
      <c r="A288" s="97">
        <v>45901</v>
      </c>
      <c r="B288" s="97" t="s">
        <v>1106</v>
      </c>
      <c r="C288" t="s">
        <v>971</v>
      </c>
      <c r="D288" t="s">
        <v>442</v>
      </c>
      <c r="E288" s="37" t="s">
        <v>972</v>
      </c>
      <c r="F288" s="37">
        <v>2025</v>
      </c>
      <c r="G288" s="37" t="s">
        <v>149</v>
      </c>
      <c r="H288" s="74">
        <v>444583</v>
      </c>
      <c r="I288" s="63">
        <v>0</v>
      </c>
      <c r="J288" s="63">
        <v>0</v>
      </c>
      <c r="K288" s="89">
        <f t="shared" si="4"/>
        <v>0</v>
      </c>
      <c r="L288" s="45" t="s">
        <v>15</v>
      </c>
      <c r="M288" s="45" t="s">
        <v>15</v>
      </c>
      <c r="N288" s="45" t="s">
        <v>15</v>
      </c>
    </row>
    <row r="289" spans="1:15" ht="15.45">
      <c r="A289" s="97">
        <v>45901</v>
      </c>
      <c r="B289" s="97" t="s">
        <v>1106</v>
      </c>
      <c r="C289" t="s">
        <v>973</v>
      </c>
      <c r="D289" t="s">
        <v>442</v>
      </c>
      <c r="E289" s="37" t="s">
        <v>974</v>
      </c>
      <c r="F289" s="37">
        <v>2025</v>
      </c>
      <c r="G289" s="37" t="s">
        <v>149</v>
      </c>
      <c r="H289" s="74">
        <v>444583</v>
      </c>
      <c r="I289" s="63">
        <v>0</v>
      </c>
      <c r="J289" s="63">
        <v>0</v>
      </c>
      <c r="K289" s="89">
        <f t="shared" si="4"/>
        <v>0</v>
      </c>
      <c r="L289" s="45" t="s">
        <v>15</v>
      </c>
      <c r="M289" s="45" t="s">
        <v>15</v>
      </c>
      <c r="N289" s="45" t="s">
        <v>15</v>
      </c>
    </row>
    <row r="290" spans="1:15" ht="15.45">
      <c r="A290" s="1">
        <v>45959</v>
      </c>
      <c r="B290" s="1" t="s">
        <v>529</v>
      </c>
      <c r="C290" s="107" t="s">
        <v>975</v>
      </c>
      <c r="D290" s="79" t="s">
        <v>976</v>
      </c>
      <c r="E290" s="81" t="s">
        <v>977</v>
      </c>
      <c r="F290" s="81"/>
      <c r="G290" s="81" t="s">
        <v>1120</v>
      </c>
      <c r="H290" s="94">
        <v>6944871</v>
      </c>
      <c r="I290" s="63">
        <v>0</v>
      </c>
      <c r="J290" s="63">
        <v>0</v>
      </c>
      <c r="K290" s="89">
        <f t="shared" si="4"/>
        <v>0</v>
      </c>
      <c r="L290" s="45" t="s">
        <v>15</v>
      </c>
      <c r="M290" s="45" t="s">
        <v>15</v>
      </c>
      <c r="N290" s="45" t="s">
        <v>15</v>
      </c>
      <c r="O290" t="s">
        <v>15</v>
      </c>
    </row>
    <row r="291" spans="1:15" ht="15.45">
      <c r="A291" s="97">
        <v>45931</v>
      </c>
      <c r="B291" s="97" t="s">
        <v>508</v>
      </c>
      <c r="D291" t="s">
        <v>978</v>
      </c>
      <c r="G291" s="37" t="s">
        <v>1107</v>
      </c>
      <c r="H291" s="63">
        <v>8406475</v>
      </c>
      <c r="I291" s="63">
        <v>0</v>
      </c>
      <c r="J291" s="63">
        <v>0</v>
      </c>
      <c r="K291" s="89">
        <f t="shared" si="4"/>
        <v>0</v>
      </c>
      <c r="L291" s="45" t="s">
        <v>15</v>
      </c>
      <c r="M291" s="45" t="s">
        <v>15</v>
      </c>
      <c r="N291" s="45" t="s">
        <v>15</v>
      </c>
      <c r="O291" t="s">
        <v>15</v>
      </c>
    </row>
    <row r="292" spans="1:15" ht="15.45">
      <c r="A292" s="97">
        <v>45931</v>
      </c>
      <c r="B292" s="97" t="s">
        <v>508</v>
      </c>
      <c r="D292" t="s">
        <v>978</v>
      </c>
      <c r="G292" s="37" t="s">
        <v>1107</v>
      </c>
      <c r="H292" s="63">
        <v>8406475</v>
      </c>
      <c r="I292" s="63">
        <v>0</v>
      </c>
      <c r="J292" s="63">
        <v>0</v>
      </c>
      <c r="K292" s="89">
        <f t="shared" si="4"/>
        <v>0</v>
      </c>
      <c r="L292" s="45" t="s">
        <v>15</v>
      </c>
      <c r="M292" s="45" t="s">
        <v>15</v>
      </c>
      <c r="N292" s="45" t="s">
        <v>15</v>
      </c>
      <c r="O292" t="s">
        <v>15</v>
      </c>
    </row>
    <row r="293" spans="1:15" ht="15.45">
      <c r="A293" s="97">
        <v>45931</v>
      </c>
      <c r="B293" s="97" t="s">
        <v>508</v>
      </c>
      <c r="D293" t="s">
        <v>978</v>
      </c>
      <c r="G293" s="37" t="s">
        <v>1107</v>
      </c>
      <c r="H293" s="63">
        <v>2075150</v>
      </c>
      <c r="I293" s="63">
        <v>0</v>
      </c>
      <c r="J293" s="63">
        <v>0</v>
      </c>
      <c r="K293" s="89">
        <f t="shared" si="4"/>
        <v>0</v>
      </c>
      <c r="L293" s="45" t="s">
        <v>15</v>
      </c>
      <c r="M293" s="45" t="s">
        <v>15</v>
      </c>
      <c r="N293" s="45" t="s">
        <v>15</v>
      </c>
      <c r="O293" t="s">
        <v>15</v>
      </c>
    </row>
    <row r="294" spans="1:15" ht="15.45">
      <c r="A294" s="97">
        <v>45931</v>
      </c>
      <c r="B294" s="97" t="s">
        <v>508</v>
      </c>
      <c r="D294" t="s">
        <v>548</v>
      </c>
      <c r="G294" s="37" t="s">
        <v>1107</v>
      </c>
      <c r="H294" s="94">
        <v>1981982</v>
      </c>
      <c r="I294" s="63">
        <v>0</v>
      </c>
      <c r="J294" s="63">
        <v>0</v>
      </c>
      <c r="K294" s="89">
        <f t="shared" si="4"/>
        <v>0</v>
      </c>
      <c r="L294" s="45" t="s">
        <v>15</v>
      </c>
      <c r="M294" s="45" t="s">
        <v>15</v>
      </c>
      <c r="N294" s="45" t="s">
        <v>15</v>
      </c>
      <c r="O294" t="s">
        <v>15</v>
      </c>
    </row>
    <row r="295" spans="1:15" ht="15.45">
      <c r="A295" s="97">
        <v>45931</v>
      </c>
      <c r="B295" s="97" t="s">
        <v>508</v>
      </c>
      <c r="D295" t="s">
        <v>979</v>
      </c>
      <c r="G295" s="37" t="s">
        <v>1107</v>
      </c>
      <c r="H295" s="63">
        <v>7535000</v>
      </c>
      <c r="I295" s="63">
        <v>0</v>
      </c>
      <c r="J295" s="63">
        <v>0</v>
      </c>
      <c r="K295" s="89">
        <f t="shared" si="4"/>
        <v>0</v>
      </c>
      <c r="L295" s="45" t="s">
        <v>15</v>
      </c>
      <c r="M295" s="45" t="s">
        <v>15</v>
      </c>
      <c r="N295" s="45" t="s">
        <v>15</v>
      </c>
      <c r="O295" t="s">
        <v>15</v>
      </c>
    </row>
    <row r="296" spans="1:15" ht="15.45">
      <c r="A296" s="97">
        <v>45931</v>
      </c>
      <c r="B296" s="97" t="s">
        <v>508</v>
      </c>
      <c r="D296" t="s">
        <v>552</v>
      </c>
      <c r="G296" s="37" t="s">
        <v>1107</v>
      </c>
      <c r="H296" s="63">
        <v>506000</v>
      </c>
      <c r="I296" s="63">
        <v>0</v>
      </c>
      <c r="J296" s="63">
        <v>0</v>
      </c>
      <c r="K296" s="89">
        <f t="shared" si="4"/>
        <v>0</v>
      </c>
      <c r="L296" s="45" t="s">
        <v>15</v>
      </c>
      <c r="M296" s="45" t="s">
        <v>15</v>
      </c>
      <c r="N296" s="45" t="s">
        <v>15</v>
      </c>
      <c r="O296" t="s">
        <v>15</v>
      </c>
    </row>
    <row r="297" spans="1:15" ht="15.45">
      <c r="A297" s="97">
        <v>45931</v>
      </c>
      <c r="B297" s="97" t="s">
        <v>508</v>
      </c>
      <c r="D297" t="s">
        <v>817</v>
      </c>
      <c r="G297" s="37" t="s">
        <v>1107</v>
      </c>
      <c r="H297" s="63">
        <v>94875</v>
      </c>
      <c r="I297" s="63">
        <v>0</v>
      </c>
      <c r="J297" s="63">
        <v>0</v>
      </c>
      <c r="K297" s="89">
        <f t="shared" si="4"/>
        <v>0</v>
      </c>
      <c r="L297" s="45" t="s">
        <v>15</v>
      </c>
      <c r="M297" s="45" t="s">
        <v>15</v>
      </c>
      <c r="N297" s="45" t="s">
        <v>15</v>
      </c>
      <c r="O297" t="s">
        <v>15</v>
      </c>
    </row>
    <row r="298" spans="1:15" ht="15.45">
      <c r="A298" s="97">
        <v>45931</v>
      </c>
      <c r="B298" s="97" t="s">
        <v>508</v>
      </c>
      <c r="D298" t="s">
        <v>980</v>
      </c>
      <c r="G298" s="37" t="s">
        <v>1107</v>
      </c>
      <c r="H298" s="63">
        <v>4400000</v>
      </c>
      <c r="I298" s="63">
        <v>0</v>
      </c>
      <c r="J298" s="63">
        <v>0</v>
      </c>
      <c r="K298" s="89">
        <f t="shared" si="4"/>
        <v>0</v>
      </c>
      <c r="L298" s="45" t="s">
        <v>15</v>
      </c>
      <c r="M298" s="45" t="s">
        <v>15</v>
      </c>
      <c r="N298" s="45" t="s">
        <v>15</v>
      </c>
      <c r="O298" t="s">
        <v>15</v>
      </c>
    </row>
    <row r="299" spans="1:15" ht="15.45">
      <c r="A299" s="97">
        <v>45931</v>
      </c>
      <c r="B299" s="97" t="s">
        <v>508</v>
      </c>
      <c r="D299" t="s">
        <v>550</v>
      </c>
      <c r="G299" s="37" t="s">
        <v>1107</v>
      </c>
      <c r="H299" s="63">
        <v>74324</v>
      </c>
      <c r="I299" s="63">
        <v>0</v>
      </c>
      <c r="J299" s="63">
        <v>0</v>
      </c>
      <c r="K299" s="89">
        <f t="shared" si="4"/>
        <v>0</v>
      </c>
      <c r="L299" s="45" t="s">
        <v>15</v>
      </c>
      <c r="M299" s="45" t="s">
        <v>15</v>
      </c>
      <c r="N299" s="45" t="s">
        <v>15</v>
      </c>
      <c r="O299" t="s">
        <v>15</v>
      </c>
    </row>
    <row r="300" spans="1:15" ht="15.45">
      <c r="A300" s="97">
        <v>45931</v>
      </c>
      <c r="B300" s="97" t="s">
        <v>508</v>
      </c>
      <c r="D300" t="s">
        <v>981</v>
      </c>
      <c r="G300" s="37" t="s">
        <v>1107</v>
      </c>
      <c r="H300" s="94">
        <v>24062500</v>
      </c>
      <c r="I300" s="63">
        <v>0</v>
      </c>
      <c r="J300" s="63">
        <v>0</v>
      </c>
      <c r="K300" s="89">
        <f t="shared" si="4"/>
        <v>0</v>
      </c>
      <c r="L300" s="45" t="s">
        <v>15</v>
      </c>
      <c r="M300" s="45" t="s">
        <v>15</v>
      </c>
      <c r="N300" s="45" t="s">
        <v>15</v>
      </c>
      <c r="O300" t="s">
        <v>15</v>
      </c>
    </row>
    <row r="301" spans="1:15" s="115" customFormat="1" ht="15.45">
      <c r="A301" s="114">
        <v>45931</v>
      </c>
      <c r="B301" s="112" t="s">
        <v>1106</v>
      </c>
      <c r="C301" s="115" t="s">
        <v>982</v>
      </c>
      <c r="D301" s="115" t="s">
        <v>317</v>
      </c>
      <c r="E301" s="116" t="s">
        <v>983</v>
      </c>
      <c r="F301" s="116"/>
      <c r="G301" s="116" t="s">
        <v>149</v>
      </c>
      <c r="H301" s="117">
        <v>761179</v>
      </c>
      <c r="I301" s="117">
        <v>0</v>
      </c>
      <c r="J301" s="117">
        <v>0</v>
      </c>
      <c r="K301" s="89">
        <f t="shared" si="4"/>
        <v>0</v>
      </c>
      <c r="L301" s="76" t="s">
        <v>15</v>
      </c>
      <c r="M301" s="76" t="s">
        <v>15</v>
      </c>
      <c r="N301" s="76" t="s">
        <v>15</v>
      </c>
      <c r="O301" s="115" t="s">
        <v>795</v>
      </c>
    </row>
    <row r="302" spans="1:15" ht="15.45">
      <c r="A302" s="97">
        <v>45931</v>
      </c>
      <c r="B302" s="112" t="s">
        <v>1106</v>
      </c>
      <c r="C302" t="s">
        <v>984</v>
      </c>
      <c r="D302" t="s">
        <v>162</v>
      </c>
      <c r="E302" s="37" t="s">
        <v>985</v>
      </c>
      <c r="F302" s="37">
        <v>2025</v>
      </c>
      <c r="G302" s="37" t="s">
        <v>148</v>
      </c>
      <c r="H302" s="41">
        <v>86391721</v>
      </c>
      <c r="I302" s="41">
        <v>86391721</v>
      </c>
      <c r="J302" s="41">
        <v>86391721</v>
      </c>
      <c r="K302" s="89">
        <f t="shared" si="4"/>
        <v>0</v>
      </c>
      <c r="L302" t="s">
        <v>308</v>
      </c>
      <c r="M302" s="2" t="s">
        <v>1108</v>
      </c>
      <c r="N302" s="45" t="s">
        <v>532</v>
      </c>
      <c r="O302" s="101" t="s">
        <v>985</v>
      </c>
    </row>
    <row r="303" spans="1:15" s="30" customFormat="1" ht="15.45">
      <c r="A303" s="99">
        <v>45931</v>
      </c>
      <c r="B303" s="112" t="s">
        <v>1106</v>
      </c>
      <c r="C303" s="30" t="s">
        <v>986</v>
      </c>
      <c r="D303" s="30" t="s">
        <v>646</v>
      </c>
      <c r="E303" s="39" t="s">
        <v>987</v>
      </c>
      <c r="F303" s="37">
        <v>2024</v>
      </c>
      <c r="G303" s="37" t="s">
        <v>148</v>
      </c>
      <c r="H303" s="40">
        <v>4774000</v>
      </c>
      <c r="I303" s="40">
        <v>4774000</v>
      </c>
      <c r="J303" s="40">
        <v>4774000</v>
      </c>
      <c r="K303" s="89">
        <f t="shared" si="4"/>
        <v>0</v>
      </c>
      <c r="L303" t="s">
        <v>308</v>
      </c>
      <c r="M303" s="2" t="s">
        <v>1108</v>
      </c>
      <c r="N303" s="2" t="s">
        <v>533</v>
      </c>
      <c r="O303" s="71" t="s">
        <v>410</v>
      </c>
    </row>
    <row r="304" spans="1:15" s="30" customFormat="1" ht="15.45">
      <c r="A304" s="99">
        <v>45931</v>
      </c>
      <c r="B304" s="112" t="s">
        <v>1106</v>
      </c>
      <c r="C304" s="30" t="s">
        <v>988</v>
      </c>
      <c r="D304" s="30" t="s">
        <v>646</v>
      </c>
      <c r="E304" s="39" t="s">
        <v>989</v>
      </c>
      <c r="F304" s="37">
        <v>2024</v>
      </c>
      <c r="G304" s="37" t="s">
        <v>148</v>
      </c>
      <c r="H304" s="40">
        <v>4513720</v>
      </c>
      <c r="I304" s="40">
        <v>4513720</v>
      </c>
      <c r="J304" s="40">
        <v>4513720</v>
      </c>
      <c r="K304" s="89">
        <f t="shared" si="4"/>
        <v>0</v>
      </c>
      <c r="L304" t="s">
        <v>308</v>
      </c>
      <c r="M304" s="2" t="s">
        <v>1108</v>
      </c>
      <c r="N304" s="2" t="s">
        <v>533</v>
      </c>
      <c r="O304" s="71" t="s">
        <v>411</v>
      </c>
    </row>
    <row r="305" spans="1:15" ht="15.45">
      <c r="A305" s="97">
        <v>45931</v>
      </c>
      <c r="B305" s="112" t="s">
        <v>1106</v>
      </c>
      <c r="C305" t="s">
        <v>990</v>
      </c>
      <c r="D305" t="s">
        <v>646</v>
      </c>
      <c r="E305" s="37" t="s">
        <v>991</v>
      </c>
      <c r="F305" s="37">
        <v>2025</v>
      </c>
      <c r="G305" s="37" t="s">
        <v>148</v>
      </c>
      <c r="H305" s="41">
        <v>3040501</v>
      </c>
      <c r="I305" s="41">
        <v>3040501</v>
      </c>
      <c r="J305" s="41">
        <v>3040501</v>
      </c>
      <c r="K305" s="89">
        <f t="shared" si="4"/>
        <v>0</v>
      </c>
      <c r="L305" t="s">
        <v>308</v>
      </c>
      <c r="M305" s="2" t="s">
        <v>1108</v>
      </c>
      <c r="N305" s="45" t="s">
        <v>532</v>
      </c>
      <c r="O305" s="101" t="s">
        <v>991</v>
      </c>
    </row>
    <row r="306" spans="1:15" ht="15.45">
      <c r="A306" s="97">
        <v>45931</v>
      </c>
      <c r="B306" s="112" t="s">
        <v>1106</v>
      </c>
      <c r="C306" t="s">
        <v>992</v>
      </c>
      <c r="D306" t="s">
        <v>439</v>
      </c>
      <c r="E306" s="37" t="s">
        <v>993</v>
      </c>
      <c r="F306" s="37">
        <v>2025</v>
      </c>
      <c r="G306" s="74" t="s">
        <v>149</v>
      </c>
      <c r="H306" s="74">
        <v>189209790</v>
      </c>
      <c r="I306" s="63">
        <v>0</v>
      </c>
      <c r="J306" s="63">
        <v>0</v>
      </c>
      <c r="K306" s="89">
        <f t="shared" si="4"/>
        <v>0</v>
      </c>
      <c r="L306" s="45" t="s">
        <v>15</v>
      </c>
      <c r="M306" s="45" t="s">
        <v>15</v>
      </c>
      <c r="N306" s="45" t="s">
        <v>15</v>
      </c>
      <c r="O306" t="s">
        <v>15</v>
      </c>
    </row>
    <row r="307" spans="1:15" ht="15.45">
      <c r="A307" s="1">
        <v>45971</v>
      </c>
      <c r="B307" s="1" t="s">
        <v>529</v>
      </c>
      <c r="C307" s="107" t="s">
        <v>994</v>
      </c>
      <c r="D307" s="79" t="s">
        <v>976</v>
      </c>
      <c r="E307" s="81" t="s">
        <v>995</v>
      </c>
      <c r="F307" s="81"/>
      <c r="G307" s="81" t="s">
        <v>1120</v>
      </c>
      <c r="H307" s="94">
        <v>132428188</v>
      </c>
      <c r="I307" s="63">
        <v>0</v>
      </c>
      <c r="J307" s="63">
        <v>0</v>
      </c>
      <c r="K307" s="89">
        <f t="shared" si="4"/>
        <v>0</v>
      </c>
      <c r="L307" s="45" t="s">
        <v>15</v>
      </c>
      <c r="M307" s="45" t="s">
        <v>15</v>
      </c>
      <c r="N307" s="45" t="s">
        <v>15</v>
      </c>
      <c r="O307" t="s">
        <v>15</v>
      </c>
    </row>
    <row r="308" spans="1:15" ht="15.45">
      <c r="A308" s="97">
        <v>45962</v>
      </c>
      <c r="B308" s="97" t="s">
        <v>508</v>
      </c>
      <c r="D308" t="s">
        <v>550</v>
      </c>
      <c r="G308" s="37" t="s">
        <v>1107</v>
      </c>
      <c r="H308" s="63">
        <v>74324</v>
      </c>
      <c r="I308" s="63">
        <v>0</v>
      </c>
      <c r="J308" s="63">
        <v>0</v>
      </c>
      <c r="K308" s="89">
        <f t="shared" si="4"/>
        <v>0</v>
      </c>
      <c r="L308" s="45" t="s">
        <v>15</v>
      </c>
      <c r="M308" s="45" t="s">
        <v>15</v>
      </c>
      <c r="N308" s="45" t="s">
        <v>15</v>
      </c>
      <c r="O308" t="s">
        <v>15</v>
      </c>
    </row>
    <row r="309" spans="1:15" ht="15.45">
      <c r="A309" s="97">
        <v>45962</v>
      </c>
      <c r="B309" s="97" t="s">
        <v>508</v>
      </c>
      <c r="D309" t="s">
        <v>996</v>
      </c>
      <c r="G309" s="37" t="s">
        <v>1107</v>
      </c>
      <c r="H309" s="63">
        <v>21989</v>
      </c>
      <c r="I309" s="63">
        <v>0</v>
      </c>
      <c r="J309" s="63">
        <v>0</v>
      </c>
      <c r="K309" s="89">
        <f t="shared" si="4"/>
        <v>0</v>
      </c>
      <c r="L309" s="45" t="s">
        <v>15</v>
      </c>
      <c r="M309" s="45" t="s">
        <v>15</v>
      </c>
      <c r="N309" s="45" t="s">
        <v>15</v>
      </c>
      <c r="O309" t="s">
        <v>15</v>
      </c>
    </row>
    <row r="310" spans="1:15" ht="15.45">
      <c r="A310" s="97">
        <v>45962</v>
      </c>
      <c r="B310" s="97" t="s">
        <v>508</v>
      </c>
      <c r="D310" t="s">
        <v>548</v>
      </c>
      <c r="G310" s="37" t="s">
        <v>1107</v>
      </c>
      <c r="H310" s="94">
        <v>1981982</v>
      </c>
      <c r="I310" s="63">
        <v>0</v>
      </c>
      <c r="J310" s="63">
        <v>0</v>
      </c>
      <c r="K310" s="89">
        <f t="shared" si="4"/>
        <v>0</v>
      </c>
      <c r="L310" s="45" t="s">
        <v>15</v>
      </c>
      <c r="M310" s="45" t="s">
        <v>15</v>
      </c>
      <c r="N310" s="45" t="s">
        <v>15</v>
      </c>
      <c r="O310" t="s">
        <v>15</v>
      </c>
    </row>
    <row r="311" spans="1:15" ht="15.45">
      <c r="A311" s="97">
        <v>45962</v>
      </c>
      <c r="B311" s="97" t="s">
        <v>508</v>
      </c>
      <c r="D311" t="s">
        <v>552</v>
      </c>
      <c r="G311" s="37" t="s">
        <v>1107</v>
      </c>
      <c r="H311" s="63">
        <v>506000</v>
      </c>
      <c r="I311" s="63">
        <v>0</v>
      </c>
      <c r="J311" s="63">
        <v>0</v>
      </c>
      <c r="K311" s="89">
        <f t="shared" si="4"/>
        <v>0</v>
      </c>
      <c r="L311" s="45" t="s">
        <v>15</v>
      </c>
      <c r="M311" s="45" t="s">
        <v>15</v>
      </c>
      <c r="N311" s="45" t="s">
        <v>15</v>
      </c>
      <c r="O311" t="s">
        <v>15</v>
      </c>
    </row>
    <row r="312" spans="1:15" s="76" customFormat="1" ht="15.45">
      <c r="A312" s="109">
        <v>45962</v>
      </c>
      <c r="B312" s="97" t="s">
        <v>508</v>
      </c>
      <c r="D312" s="76" t="s">
        <v>997</v>
      </c>
      <c r="E312" s="118"/>
      <c r="F312" s="118"/>
      <c r="G312" s="37" t="s">
        <v>1107</v>
      </c>
      <c r="H312" s="111">
        <v>25850</v>
      </c>
      <c r="I312" s="111">
        <v>0</v>
      </c>
      <c r="J312" s="111">
        <v>0</v>
      </c>
      <c r="K312" s="89">
        <f t="shared" si="4"/>
        <v>0</v>
      </c>
      <c r="L312" s="76" t="s">
        <v>1</v>
      </c>
      <c r="M312" s="76" t="s">
        <v>40</v>
      </c>
      <c r="N312" s="76" t="s">
        <v>15</v>
      </c>
    </row>
    <row r="313" spans="1:15" ht="15.45">
      <c r="A313" s="97">
        <v>45962</v>
      </c>
      <c r="B313" s="97" t="s">
        <v>508</v>
      </c>
      <c r="D313" t="s">
        <v>564</v>
      </c>
      <c r="G313" s="37" t="s">
        <v>1107</v>
      </c>
      <c r="H313" s="63">
        <v>385000</v>
      </c>
      <c r="I313" s="63">
        <v>0</v>
      </c>
      <c r="J313" s="63">
        <v>0</v>
      </c>
      <c r="K313" s="89">
        <f t="shared" si="4"/>
        <v>0</v>
      </c>
      <c r="L313" s="45" t="s">
        <v>15</v>
      </c>
      <c r="M313" s="45" t="s">
        <v>15</v>
      </c>
      <c r="N313" s="45" t="s">
        <v>15</v>
      </c>
      <c r="O313" t="s">
        <v>15</v>
      </c>
    </row>
    <row r="314" spans="1:15" s="76" customFormat="1" ht="15.45">
      <c r="A314" s="109">
        <v>45962</v>
      </c>
      <c r="B314" s="97" t="s">
        <v>508</v>
      </c>
      <c r="D314" s="76" t="s">
        <v>564</v>
      </c>
      <c r="E314" s="118"/>
      <c r="F314" s="118"/>
      <c r="G314" s="37" t="s">
        <v>1107</v>
      </c>
      <c r="H314" s="111">
        <v>385000</v>
      </c>
      <c r="I314" s="111">
        <v>0</v>
      </c>
      <c r="J314" s="111">
        <v>0</v>
      </c>
      <c r="K314" s="89">
        <f t="shared" si="4"/>
        <v>0</v>
      </c>
      <c r="L314" s="76" t="s">
        <v>1</v>
      </c>
      <c r="M314" s="76" t="s">
        <v>40</v>
      </c>
      <c r="N314" s="76" t="s">
        <v>15</v>
      </c>
    </row>
    <row r="315" spans="1:15" ht="15.45">
      <c r="A315" s="97">
        <v>45962</v>
      </c>
      <c r="B315" s="97" t="s">
        <v>1106</v>
      </c>
      <c r="C315" t="s">
        <v>998</v>
      </c>
      <c r="D315" t="s">
        <v>477</v>
      </c>
      <c r="E315" s="37" t="s">
        <v>999</v>
      </c>
      <c r="F315" s="37">
        <v>2025</v>
      </c>
      <c r="G315" s="37" t="s">
        <v>148</v>
      </c>
      <c r="H315" s="41">
        <v>74324324</v>
      </c>
      <c r="I315" s="129">
        <v>74324324</v>
      </c>
      <c r="J315" s="129">
        <v>74324324</v>
      </c>
      <c r="K315" s="89">
        <f t="shared" si="4"/>
        <v>0</v>
      </c>
      <c r="L315" t="s">
        <v>308</v>
      </c>
      <c r="M315" s="2" t="s">
        <v>1108</v>
      </c>
      <c r="N315" s="45" t="s">
        <v>532</v>
      </c>
      <c r="O315" s="101" t="s">
        <v>999</v>
      </c>
    </row>
    <row r="316" spans="1:15" ht="15.45">
      <c r="A316" s="97">
        <v>45962</v>
      </c>
      <c r="B316" s="97" t="s">
        <v>1106</v>
      </c>
      <c r="C316" t="s">
        <v>1000</v>
      </c>
      <c r="D316" t="s">
        <v>646</v>
      </c>
      <c r="E316" s="37" t="s">
        <v>1001</v>
      </c>
      <c r="F316" s="37">
        <v>2025</v>
      </c>
      <c r="G316" s="37" t="s">
        <v>148</v>
      </c>
      <c r="H316" s="41">
        <v>10675500</v>
      </c>
      <c r="I316" s="41">
        <v>10675500</v>
      </c>
      <c r="J316" s="41">
        <v>10675500</v>
      </c>
      <c r="K316" s="89">
        <f t="shared" si="4"/>
        <v>0</v>
      </c>
      <c r="L316" t="s">
        <v>308</v>
      </c>
      <c r="M316" s="2" t="s">
        <v>1108</v>
      </c>
      <c r="N316" s="45" t="s">
        <v>532</v>
      </c>
      <c r="O316" s="101" t="s">
        <v>1001</v>
      </c>
    </row>
    <row r="317" spans="1:15" s="30" customFormat="1" ht="15.45">
      <c r="A317" s="99" t="s">
        <v>15</v>
      </c>
      <c r="B317" s="97" t="s">
        <v>1106</v>
      </c>
      <c r="C317" s="30" t="s">
        <v>15</v>
      </c>
      <c r="D317" s="30" t="s">
        <v>646</v>
      </c>
      <c r="E317" s="39" t="s">
        <v>547</v>
      </c>
      <c r="F317" s="39">
        <v>2024</v>
      </c>
      <c r="G317" s="39" t="s">
        <v>148</v>
      </c>
      <c r="H317" s="90">
        <v>11163614</v>
      </c>
      <c r="I317" s="90">
        <v>11163614</v>
      </c>
      <c r="J317" s="90">
        <v>11163614</v>
      </c>
      <c r="K317" s="89">
        <f t="shared" si="4"/>
        <v>0</v>
      </c>
      <c r="L317" t="s">
        <v>308</v>
      </c>
      <c r="M317" s="2" t="s">
        <v>1108</v>
      </c>
      <c r="N317" s="2" t="s">
        <v>533</v>
      </c>
      <c r="O317" s="71" t="s">
        <v>517</v>
      </c>
    </row>
    <row r="318" spans="1:15" ht="15.45">
      <c r="A318" s="97">
        <v>45962</v>
      </c>
      <c r="B318" s="97" t="s">
        <v>1106</v>
      </c>
      <c r="C318" t="s">
        <v>1002</v>
      </c>
      <c r="D318" t="s">
        <v>646</v>
      </c>
      <c r="E318" s="37" t="s">
        <v>1003</v>
      </c>
      <c r="F318" s="37">
        <v>2025</v>
      </c>
      <c r="G318" s="37" t="s">
        <v>148</v>
      </c>
      <c r="H318" s="41">
        <v>24195402</v>
      </c>
      <c r="I318" s="41">
        <v>24195402</v>
      </c>
      <c r="J318" s="41">
        <v>24195402</v>
      </c>
      <c r="K318" s="89">
        <f t="shared" si="4"/>
        <v>0</v>
      </c>
      <c r="L318" t="s">
        <v>308</v>
      </c>
      <c r="M318" s="2" t="s">
        <v>1108</v>
      </c>
      <c r="N318" s="45" t="s">
        <v>532</v>
      </c>
      <c r="O318" s="101" t="s">
        <v>1003</v>
      </c>
    </row>
    <row r="319" spans="1:15" ht="15.45">
      <c r="A319" s="97">
        <v>45962</v>
      </c>
      <c r="B319" s="97" t="s">
        <v>1106</v>
      </c>
      <c r="C319" t="s">
        <v>1004</v>
      </c>
      <c r="D319" t="s">
        <v>646</v>
      </c>
      <c r="E319" s="37" t="s">
        <v>1005</v>
      </c>
      <c r="F319" s="37">
        <v>2025</v>
      </c>
      <c r="G319" s="37" t="s">
        <v>148</v>
      </c>
      <c r="H319" s="41">
        <v>4840000</v>
      </c>
      <c r="I319" s="41">
        <v>4840000</v>
      </c>
      <c r="J319" s="41">
        <v>4840000</v>
      </c>
      <c r="K319" s="89">
        <f t="shared" si="4"/>
        <v>0</v>
      </c>
      <c r="L319" t="s">
        <v>308</v>
      </c>
      <c r="M319" s="2" t="s">
        <v>1108</v>
      </c>
      <c r="N319" s="45" t="s">
        <v>532</v>
      </c>
      <c r="O319" s="101" t="s">
        <v>1005</v>
      </c>
    </row>
    <row r="320" spans="1:15" ht="15.45">
      <c r="A320" s="97">
        <v>45962</v>
      </c>
      <c r="B320" s="97" t="s">
        <v>1106</v>
      </c>
      <c r="C320" t="s">
        <v>1006</v>
      </c>
      <c r="D320" t="s">
        <v>646</v>
      </c>
      <c r="E320" s="37" t="s">
        <v>1007</v>
      </c>
      <c r="F320" s="37">
        <v>2025</v>
      </c>
      <c r="G320" s="37" t="s">
        <v>148</v>
      </c>
      <c r="H320" s="41">
        <v>19225718</v>
      </c>
      <c r="I320" s="41">
        <v>19225718</v>
      </c>
      <c r="J320" s="41">
        <v>19225718</v>
      </c>
      <c r="K320" s="89">
        <f t="shared" si="4"/>
        <v>0</v>
      </c>
      <c r="L320" t="s">
        <v>308</v>
      </c>
      <c r="M320" s="2" t="s">
        <v>1108</v>
      </c>
      <c r="N320" s="45" t="s">
        <v>532</v>
      </c>
      <c r="O320" s="101" t="s">
        <v>1007</v>
      </c>
    </row>
    <row r="321" spans="1:15" s="30" customFormat="1" ht="15.45">
      <c r="A321" s="99">
        <v>45962</v>
      </c>
      <c r="B321" s="97" t="s">
        <v>1106</v>
      </c>
      <c r="C321" s="30" t="s">
        <v>1008</v>
      </c>
      <c r="D321" s="30" t="s">
        <v>646</v>
      </c>
      <c r="E321" s="39" t="s">
        <v>1009</v>
      </c>
      <c r="F321" s="39">
        <v>2024</v>
      </c>
      <c r="G321" s="39" t="s">
        <v>148</v>
      </c>
      <c r="H321" s="40">
        <v>17592069</v>
      </c>
      <c r="I321" s="40">
        <v>17592069</v>
      </c>
      <c r="J321" s="40">
        <v>17592069</v>
      </c>
      <c r="K321" s="89">
        <f t="shared" si="4"/>
        <v>0</v>
      </c>
      <c r="L321" t="s">
        <v>308</v>
      </c>
      <c r="M321" s="2" t="s">
        <v>1108</v>
      </c>
      <c r="N321" s="2" t="s">
        <v>533</v>
      </c>
      <c r="O321" s="70" t="s">
        <v>514</v>
      </c>
    </row>
    <row r="322" spans="1:15" s="30" customFormat="1" ht="15.45">
      <c r="A322" s="99">
        <v>45962</v>
      </c>
      <c r="B322" s="97" t="s">
        <v>1106</v>
      </c>
      <c r="C322" s="30" t="s">
        <v>1010</v>
      </c>
      <c r="D322" s="30" t="s">
        <v>646</v>
      </c>
      <c r="E322" s="39" t="s">
        <v>1011</v>
      </c>
      <c r="F322" s="39">
        <v>2024</v>
      </c>
      <c r="G322" s="39" t="s">
        <v>148</v>
      </c>
      <c r="H322" s="40">
        <v>12444425</v>
      </c>
      <c r="I322" s="40">
        <v>12444425</v>
      </c>
      <c r="J322" s="40">
        <v>12444425</v>
      </c>
      <c r="K322" s="89">
        <f t="shared" si="4"/>
        <v>0</v>
      </c>
      <c r="L322" t="s">
        <v>308</v>
      </c>
      <c r="M322" s="2" t="s">
        <v>1108</v>
      </c>
      <c r="N322" s="2" t="s">
        <v>533</v>
      </c>
      <c r="O322" s="71" t="s">
        <v>518</v>
      </c>
    </row>
    <row r="323" spans="1:15" s="30" customFormat="1" ht="15.45">
      <c r="A323" s="99">
        <v>45962</v>
      </c>
      <c r="B323" s="97" t="s">
        <v>1106</v>
      </c>
      <c r="C323" s="30" t="s">
        <v>545</v>
      </c>
      <c r="D323" s="30" t="s">
        <v>646</v>
      </c>
      <c r="E323" s="39" t="s">
        <v>546</v>
      </c>
      <c r="F323" s="37">
        <v>2024</v>
      </c>
      <c r="G323" s="37" t="s">
        <v>148</v>
      </c>
      <c r="H323" s="90">
        <v>3825250</v>
      </c>
      <c r="I323" s="90">
        <v>3825250</v>
      </c>
      <c r="J323" s="90">
        <v>3825250</v>
      </c>
      <c r="K323" s="89">
        <f t="shared" si="4"/>
        <v>0</v>
      </c>
      <c r="L323" t="s">
        <v>308</v>
      </c>
      <c r="M323" s="2" t="s">
        <v>1108</v>
      </c>
      <c r="N323" s="2" t="s">
        <v>533</v>
      </c>
      <c r="O323" s="71" t="s">
        <v>516</v>
      </c>
    </row>
    <row r="324" spans="1:15" s="30" customFormat="1" ht="15.45">
      <c r="A324" s="99">
        <v>45962</v>
      </c>
      <c r="B324" s="97" t="s">
        <v>1106</v>
      </c>
      <c r="C324" s="30" t="s">
        <v>543</v>
      </c>
      <c r="D324" s="30" t="s">
        <v>646</v>
      </c>
      <c r="E324" s="39" t="s">
        <v>544</v>
      </c>
      <c r="F324" s="39">
        <v>2024</v>
      </c>
      <c r="G324" s="39" t="s">
        <v>148</v>
      </c>
      <c r="H324" s="90">
        <v>17643345</v>
      </c>
      <c r="I324" s="90">
        <v>17643345</v>
      </c>
      <c r="J324" s="90">
        <v>17643345</v>
      </c>
      <c r="K324" s="89">
        <f t="shared" si="4"/>
        <v>0</v>
      </c>
      <c r="L324" t="s">
        <v>308</v>
      </c>
      <c r="M324" s="2" t="s">
        <v>1108</v>
      </c>
      <c r="N324" s="2" t="s">
        <v>533</v>
      </c>
      <c r="O324" s="70" t="s">
        <v>513</v>
      </c>
    </row>
    <row r="325" spans="1:15" s="30" customFormat="1" ht="15.45">
      <c r="A325" s="99">
        <v>45962</v>
      </c>
      <c r="B325" s="97" t="s">
        <v>1106</v>
      </c>
      <c r="C325" s="30" t="s">
        <v>541</v>
      </c>
      <c r="D325" s="30" t="s">
        <v>646</v>
      </c>
      <c r="E325" s="39" t="s">
        <v>542</v>
      </c>
      <c r="F325" s="39">
        <v>2024</v>
      </c>
      <c r="G325" s="39" t="s">
        <v>148</v>
      </c>
      <c r="H325" s="90">
        <v>20250011</v>
      </c>
      <c r="I325" s="90">
        <v>20250011</v>
      </c>
      <c r="J325" s="90">
        <v>20250011</v>
      </c>
      <c r="K325" s="89">
        <f t="shared" si="4"/>
        <v>0</v>
      </c>
      <c r="L325" t="s">
        <v>308</v>
      </c>
      <c r="M325" s="2" t="s">
        <v>1108</v>
      </c>
      <c r="N325" s="2" t="s">
        <v>533</v>
      </c>
      <c r="O325" s="70" t="s">
        <v>512</v>
      </c>
    </row>
    <row r="326" spans="1:15" ht="15.45">
      <c r="A326" s="97">
        <v>45962</v>
      </c>
      <c r="B326" s="97" t="s">
        <v>1106</v>
      </c>
      <c r="C326" t="s">
        <v>1012</v>
      </c>
      <c r="D326" t="s">
        <v>646</v>
      </c>
      <c r="E326" s="37" t="s">
        <v>1013</v>
      </c>
      <c r="F326" s="37">
        <v>2025</v>
      </c>
      <c r="G326" s="37" t="s">
        <v>148</v>
      </c>
      <c r="H326" s="41">
        <v>5872595</v>
      </c>
      <c r="I326" s="41">
        <v>5872595</v>
      </c>
      <c r="J326" s="41">
        <v>5872595</v>
      </c>
      <c r="K326" s="89">
        <f t="shared" ref="K326:K357" si="5">I326-J326</f>
        <v>0</v>
      </c>
      <c r="L326" t="s">
        <v>308</v>
      </c>
      <c r="M326" s="2" t="s">
        <v>1108</v>
      </c>
      <c r="N326" s="45" t="s">
        <v>532</v>
      </c>
      <c r="O326" s="101" t="s">
        <v>1013</v>
      </c>
    </row>
    <row r="327" spans="1:15" ht="15.45">
      <c r="A327" s="97">
        <v>45962</v>
      </c>
      <c r="B327" s="97" t="s">
        <v>1106</v>
      </c>
      <c r="C327" t="s">
        <v>1014</v>
      </c>
      <c r="D327" t="s">
        <v>571</v>
      </c>
      <c r="E327" s="37" t="s">
        <v>1015</v>
      </c>
      <c r="F327" s="37">
        <v>2025</v>
      </c>
      <c r="G327" s="37" t="s">
        <v>148</v>
      </c>
      <c r="H327" s="41">
        <v>79279279</v>
      </c>
      <c r="I327" s="41">
        <v>79279279</v>
      </c>
      <c r="J327" s="41">
        <v>79279279</v>
      </c>
      <c r="K327" s="89">
        <f t="shared" si="5"/>
        <v>0</v>
      </c>
      <c r="L327" t="s">
        <v>308</v>
      </c>
      <c r="M327" s="2" t="s">
        <v>1108</v>
      </c>
      <c r="N327" s="45" t="s">
        <v>532</v>
      </c>
      <c r="O327" s="101" t="s">
        <v>1015</v>
      </c>
    </row>
    <row r="328" spans="1:15" ht="15.45">
      <c r="A328" s="97">
        <v>45962</v>
      </c>
      <c r="B328" s="97" t="s">
        <v>1106</v>
      </c>
      <c r="C328" t="s">
        <v>1016</v>
      </c>
      <c r="D328" t="s">
        <v>162</v>
      </c>
      <c r="E328" s="37" t="s">
        <v>1017</v>
      </c>
      <c r="F328" s="37">
        <v>2025</v>
      </c>
      <c r="G328" s="37" t="s">
        <v>148</v>
      </c>
      <c r="H328" s="41">
        <v>667397370</v>
      </c>
      <c r="I328" s="41">
        <v>667397370</v>
      </c>
      <c r="J328" s="41">
        <v>667397370</v>
      </c>
      <c r="K328" s="89">
        <f t="shared" si="5"/>
        <v>0</v>
      </c>
      <c r="L328" t="s">
        <v>308</v>
      </c>
      <c r="M328" s="2" t="s">
        <v>1108</v>
      </c>
      <c r="N328" s="45" t="s">
        <v>532</v>
      </c>
      <c r="O328" s="101" t="s">
        <v>1017</v>
      </c>
    </row>
    <row r="329" spans="1:15" ht="15.45">
      <c r="A329" s="97">
        <v>45962</v>
      </c>
      <c r="B329" s="97" t="s">
        <v>1106</v>
      </c>
      <c r="C329" t="s">
        <v>1018</v>
      </c>
      <c r="D329" t="s">
        <v>235</v>
      </c>
      <c r="E329" s="37" t="s">
        <v>1019</v>
      </c>
      <c r="F329" s="37">
        <v>2025</v>
      </c>
      <c r="G329" s="37" t="s">
        <v>148</v>
      </c>
      <c r="H329" s="94">
        <v>80270270</v>
      </c>
      <c r="I329" s="94">
        <v>80270270</v>
      </c>
      <c r="J329" s="94">
        <v>0</v>
      </c>
      <c r="K329" s="89">
        <f t="shared" si="5"/>
        <v>80270270</v>
      </c>
      <c r="L329" s="45" t="s">
        <v>1</v>
      </c>
      <c r="M329" t="s">
        <v>40</v>
      </c>
      <c r="N329" t="s">
        <v>532</v>
      </c>
    </row>
    <row r="330" spans="1:15" ht="15.45">
      <c r="A330" s="97">
        <v>45962</v>
      </c>
      <c r="B330" s="97" t="s">
        <v>1106</v>
      </c>
      <c r="C330" t="s">
        <v>1020</v>
      </c>
      <c r="D330" t="s">
        <v>439</v>
      </c>
      <c r="E330" s="37" t="s">
        <v>1021</v>
      </c>
      <c r="F330" s="37">
        <v>2025</v>
      </c>
      <c r="G330" s="74" t="s">
        <v>149</v>
      </c>
      <c r="H330" s="74">
        <v>20134400</v>
      </c>
      <c r="I330" s="63">
        <v>0</v>
      </c>
      <c r="J330" s="63">
        <v>0</v>
      </c>
      <c r="K330" s="89">
        <f t="shared" si="5"/>
        <v>0</v>
      </c>
      <c r="L330" s="45" t="s">
        <v>15</v>
      </c>
      <c r="M330" s="45" t="s">
        <v>15</v>
      </c>
      <c r="N330" s="45" t="s">
        <v>15</v>
      </c>
      <c r="O330" t="s">
        <v>15</v>
      </c>
    </row>
    <row r="331" spans="1:15" ht="15.45">
      <c r="A331" s="97">
        <v>45962</v>
      </c>
      <c r="B331" s="97" t="s">
        <v>1106</v>
      </c>
      <c r="C331" t="s">
        <v>1022</v>
      </c>
      <c r="D331" t="s">
        <v>162</v>
      </c>
      <c r="E331" s="37" t="s">
        <v>1023</v>
      </c>
      <c r="F331" s="37">
        <v>2025</v>
      </c>
      <c r="G331" s="37" t="s">
        <v>148</v>
      </c>
      <c r="H331" s="41">
        <v>84820607</v>
      </c>
      <c r="I331" s="41">
        <v>84820607</v>
      </c>
      <c r="J331" s="41">
        <v>84820607</v>
      </c>
      <c r="K331" s="89">
        <f t="shared" si="5"/>
        <v>0</v>
      </c>
      <c r="L331" t="s">
        <v>308</v>
      </c>
      <c r="M331" s="2" t="s">
        <v>1108</v>
      </c>
      <c r="N331" s="45" t="s">
        <v>532</v>
      </c>
      <c r="O331" s="101" t="s">
        <v>1023</v>
      </c>
    </row>
    <row r="332" spans="1:15" ht="15.45">
      <c r="A332" s="97">
        <v>45962</v>
      </c>
      <c r="B332" s="97" t="s">
        <v>1106</v>
      </c>
      <c r="C332" t="s">
        <v>1024</v>
      </c>
      <c r="D332" t="s">
        <v>206</v>
      </c>
      <c r="E332" s="37" t="s">
        <v>1025</v>
      </c>
      <c r="F332" s="37">
        <v>2025</v>
      </c>
      <c r="G332" s="37" t="s">
        <v>148</v>
      </c>
      <c r="H332" s="41">
        <v>110000000</v>
      </c>
      <c r="I332" s="41">
        <v>110000000</v>
      </c>
      <c r="J332" s="41">
        <v>110000000</v>
      </c>
      <c r="K332" s="89">
        <f t="shared" si="5"/>
        <v>0</v>
      </c>
      <c r="L332" t="s">
        <v>308</v>
      </c>
      <c r="M332" s="2" t="s">
        <v>1108</v>
      </c>
      <c r="N332" t="s">
        <v>532</v>
      </c>
      <c r="O332" s="101" t="s">
        <v>1025</v>
      </c>
    </row>
    <row r="333" spans="1:15" ht="15.45">
      <c r="B333" s="97" t="s">
        <v>529</v>
      </c>
      <c r="C333" s="79" t="s">
        <v>1026</v>
      </c>
      <c r="D333" s="79"/>
      <c r="E333" s="81"/>
      <c r="F333" s="81"/>
      <c r="G333" s="81" t="s">
        <v>1120</v>
      </c>
      <c r="H333" s="94">
        <v>16754255</v>
      </c>
      <c r="I333" s="94">
        <v>0</v>
      </c>
      <c r="J333" s="94">
        <v>0</v>
      </c>
      <c r="K333" s="89">
        <f t="shared" si="5"/>
        <v>0</v>
      </c>
      <c r="L333" s="45" t="s">
        <v>15</v>
      </c>
      <c r="M333" s="45" t="s">
        <v>15</v>
      </c>
      <c r="N333" s="45" t="s">
        <v>15</v>
      </c>
      <c r="O333" t="s">
        <v>15</v>
      </c>
    </row>
    <row r="334" spans="1:15" ht="15.45">
      <c r="A334" s="108">
        <v>45992</v>
      </c>
      <c r="B334" s="108" t="s">
        <v>508</v>
      </c>
      <c r="D334" t="s">
        <v>550</v>
      </c>
      <c r="G334" s="37" t="s">
        <v>1107</v>
      </c>
      <c r="H334" s="63">
        <v>74324</v>
      </c>
      <c r="I334" s="94">
        <v>0</v>
      </c>
      <c r="J334" s="94">
        <v>0</v>
      </c>
      <c r="K334" s="89">
        <f t="shared" si="5"/>
        <v>0</v>
      </c>
      <c r="L334" s="45" t="s">
        <v>15</v>
      </c>
      <c r="M334" s="45" t="s">
        <v>15</v>
      </c>
      <c r="N334" s="45" t="s">
        <v>15</v>
      </c>
      <c r="O334" t="s">
        <v>15</v>
      </c>
    </row>
    <row r="335" spans="1:15" ht="15.45">
      <c r="A335" s="108">
        <v>45992</v>
      </c>
      <c r="B335" s="108" t="s">
        <v>508</v>
      </c>
      <c r="D335" t="s">
        <v>1027</v>
      </c>
      <c r="G335" s="37" t="s">
        <v>1107</v>
      </c>
      <c r="H335" s="63">
        <v>3006295</v>
      </c>
      <c r="I335" s="94">
        <v>0</v>
      </c>
      <c r="J335" s="94">
        <v>0</v>
      </c>
      <c r="K335" s="89">
        <f t="shared" si="5"/>
        <v>0</v>
      </c>
      <c r="L335" s="45" t="s">
        <v>15</v>
      </c>
      <c r="M335" s="45" t="s">
        <v>15</v>
      </c>
      <c r="N335" s="45" t="s">
        <v>15</v>
      </c>
      <c r="O335" t="s">
        <v>15</v>
      </c>
    </row>
    <row r="336" spans="1:15" ht="15.45">
      <c r="A336" s="108">
        <v>45992</v>
      </c>
      <c r="B336" s="108" t="s">
        <v>508</v>
      </c>
      <c r="D336" t="s">
        <v>548</v>
      </c>
      <c r="G336" s="37" t="s">
        <v>1107</v>
      </c>
      <c r="H336" s="94">
        <v>1981982</v>
      </c>
      <c r="I336" s="94">
        <v>0</v>
      </c>
      <c r="J336" s="94">
        <v>0</v>
      </c>
      <c r="K336" s="89">
        <f t="shared" si="5"/>
        <v>0</v>
      </c>
      <c r="L336" s="45" t="s">
        <v>15</v>
      </c>
      <c r="M336" s="45" t="s">
        <v>15</v>
      </c>
      <c r="N336" s="45" t="s">
        <v>15</v>
      </c>
      <c r="O336" t="s">
        <v>15</v>
      </c>
    </row>
    <row r="337" spans="1:15" ht="15.45">
      <c r="A337" s="108">
        <v>45992</v>
      </c>
      <c r="B337" s="108" t="s">
        <v>508</v>
      </c>
      <c r="D337" t="s">
        <v>552</v>
      </c>
      <c r="G337" s="37" t="s">
        <v>1107</v>
      </c>
      <c r="H337" s="63">
        <v>506000</v>
      </c>
      <c r="I337" s="94">
        <v>0</v>
      </c>
      <c r="J337" s="94">
        <v>0</v>
      </c>
      <c r="K337" s="89">
        <f t="shared" si="5"/>
        <v>0</v>
      </c>
      <c r="L337" s="45" t="s">
        <v>15</v>
      </c>
      <c r="M337" s="45" t="s">
        <v>15</v>
      </c>
      <c r="N337" s="45" t="s">
        <v>15</v>
      </c>
      <c r="O337" t="s">
        <v>15</v>
      </c>
    </row>
    <row r="338" spans="1:15" s="76" customFormat="1" ht="15.45">
      <c r="A338" s="109">
        <v>45992</v>
      </c>
      <c r="B338" s="108" t="s">
        <v>508</v>
      </c>
      <c r="D338" s="76" t="s">
        <v>564</v>
      </c>
      <c r="E338" s="118"/>
      <c r="F338" s="118"/>
      <c r="G338" s="37" t="s">
        <v>1107</v>
      </c>
      <c r="H338" s="111">
        <v>385000</v>
      </c>
      <c r="I338" s="111">
        <v>0</v>
      </c>
      <c r="J338" s="111">
        <v>0</v>
      </c>
      <c r="K338" s="89">
        <f t="shared" si="5"/>
        <v>0</v>
      </c>
      <c r="L338" s="76" t="s">
        <v>15</v>
      </c>
      <c r="M338" s="76" t="s">
        <v>15</v>
      </c>
      <c r="N338" s="76" t="s">
        <v>15</v>
      </c>
      <c r="O338" s="76" t="s">
        <v>501</v>
      </c>
    </row>
    <row r="339" spans="1:15" s="30" customFormat="1" ht="15.45">
      <c r="A339" s="99">
        <v>45992</v>
      </c>
      <c r="B339" s="99" t="s">
        <v>1106</v>
      </c>
      <c r="C339" s="30" t="s">
        <v>1028</v>
      </c>
      <c r="D339" s="30" t="s">
        <v>646</v>
      </c>
      <c r="E339" s="39" t="s">
        <v>1029</v>
      </c>
      <c r="F339" s="39">
        <v>2025</v>
      </c>
      <c r="G339" s="39" t="s">
        <v>148</v>
      </c>
      <c r="H339" s="94">
        <v>2454713</v>
      </c>
      <c r="I339" s="94">
        <v>2454713</v>
      </c>
      <c r="J339" s="94">
        <v>0</v>
      </c>
      <c r="K339" s="89">
        <f t="shared" si="5"/>
        <v>2454713</v>
      </c>
      <c r="L339" s="45" t="s">
        <v>1</v>
      </c>
      <c r="M339" t="s">
        <v>40</v>
      </c>
      <c r="N339" t="s">
        <v>532</v>
      </c>
    </row>
    <row r="340" spans="1:15" ht="15.45">
      <c r="A340" s="97">
        <v>45992</v>
      </c>
      <c r="B340" s="99" t="s">
        <v>1106</v>
      </c>
      <c r="C340" t="s">
        <v>1030</v>
      </c>
      <c r="D340" t="s">
        <v>646</v>
      </c>
      <c r="E340" s="37" t="s">
        <v>1031</v>
      </c>
      <c r="F340" s="37">
        <v>2025</v>
      </c>
      <c r="G340" s="37" t="s">
        <v>148</v>
      </c>
      <c r="H340" s="94">
        <v>1238551</v>
      </c>
      <c r="I340" s="94">
        <v>1238551</v>
      </c>
      <c r="J340" s="94">
        <v>0</v>
      </c>
      <c r="K340" s="89">
        <f t="shared" si="5"/>
        <v>1238551</v>
      </c>
      <c r="L340" s="45" t="s">
        <v>1</v>
      </c>
      <c r="M340" t="s">
        <v>40</v>
      </c>
      <c r="N340" t="s">
        <v>532</v>
      </c>
    </row>
    <row r="341" spans="1:15" ht="15.45">
      <c r="A341" s="97">
        <v>45992</v>
      </c>
      <c r="B341" s="99" t="s">
        <v>1106</v>
      </c>
      <c r="C341" t="s">
        <v>1032</v>
      </c>
      <c r="D341" t="s">
        <v>646</v>
      </c>
      <c r="E341" s="37" t="s">
        <v>1033</v>
      </c>
      <c r="F341" s="37">
        <v>2025</v>
      </c>
      <c r="G341" s="37" t="s">
        <v>148</v>
      </c>
      <c r="H341" s="94">
        <v>14417265</v>
      </c>
      <c r="I341" s="94">
        <v>14417265</v>
      </c>
      <c r="J341" s="94">
        <v>0</v>
      </c>
      <c r="K341" s="89">
        <f t="shared" si="5"/>
        <v>14417265</v>
      </c>
      <c r="L341" s="45" t="s">
        <v>1</v>
      </c>
      <c r="M341" t="s">
        <v>40</v>
      </c>
      <c r="N341" t="s">
        <v>532</v>
      </c>
    </row>
    <row r="342" spans="1:15" ht="15.45">
      <c r="A342" s="108">
        <v>45992</v>
      </c>
      <c r="B342" s="99" t="s">
        <v>1106</v>
      </c>
      <c r="C342" t="s">
        <v>1034</v>
      </c>
      <c r="D342" t="s">
        <v>440</v>
      </c>
      <c r="E342" s="37" t="s">
        <v>1035</v>
      </c>
      <c r="F342" s="37">
        <v>2025</v>
      </c>
      <c r="G342" s="74" t="s">
        <v>149</v>
      </c>
      <c r="H342" s="74">
        <v>10971817</v>
      </c>
      <c r="I342" s="94">
        <v>0</v>
      </c>
      <c r="J342" s="94">
        <v>0</v>
      </c>
      <c r="K342" s="89">
        <f t="shared" si="5"/>
        <v>0</v>
      </c>
      <c r="L342" s="45" t="s">
        <v>15</v>
      </c>
      <c r="M342" s="45" t="s">
        <v>15</v>
      </c>
      <c r="N342" s="45" t="s">
        <v>15</v>
      </c>
      <c r="O342" t="s">
        <v>15</v>
      </c>
    </row>
    <row r="343" spans="1:15" s="30" customFormat="1" ht="15.45">
      <c r="A343" s="99">
        <v>45992</v>
      </c>
      <c r="B343" s="99" t="s">
        <v>1106</v>
      </c>
      <c r="C343" s="30" t="s">
        <v>1036</v>
      </c>
      <c r="D343" s="30" t="s">
        <v>646</v>
      </c>
      <c r="E343" s="39" t="s">
        <v>1037</v>
      </c>
      <c r="F343" s="39">
        <v>2024</v>
      </c>
      <c r="G343" s="39" t="s">
        <v>148</v>
      </c>
      <c r="H343" s="40">
        <v>11616246</v>
      </c>
      <c r="I343" s="40">
        <v>11616246</v>
      </c>
      <c r="J343" s="40">
        <v>0</v>
      </c>
      <c r="K343" s="89">
        <f t="shared" si="5"/>
        <v>11616246</v>
      </c>
      <c r="L343" s="45" t="s">
        <v>1</v>
      </c>
      <c r="M343" t="s">
        <v>40</v>
      </c>
      <c r="N343" s="2" t="s">
        <v>533</v>
      </c>
      <c r="O343" s="70" t="s">
        <v>511</v>
      </c>
    </row>
    <row r="344" spans="1:15" ht="15.45">
      <c r="A344" s="108">
        <v>45992</v>
      </c>
      <c r="B344" s="99" t="s">
        <v>1106</v>
      </c>
      <c r="C344" t="s">
        <v>1038</v>
      </c>
      <c r="D344" t="s">
        <v>646</v>
      </c>
      <c r="E344" s="37" t="s">
        <v>1039</v>
      </c>
      <c r="F344" s="37">
        <v>2025</v>
      </c>
      <c r="G344" s="37" t="s">
        <v>148</v>
      </c>
      <c r="H344" s="94">
        <v>8157672</v>
      </c>
      <c r="I344" s="94">
        <v>8157672</v>
      </c>
      <c r="J344" s="94">
        <v>0</v>
      </c>
      <c r="K344" s="89">
        <f t="shared" si="5"/>
        <v>8157672</v>
      </c>
      <c r="L344" s="45" t="s">
        <v>1</v>
      </c>
      <c r="M344" t="s">
        <v>40</v>
      </c>
      <c r="N344" t="s">
        <v>532</v>
      </c>
    </row>
    <row r="345" spans="1:15" ht="15.45">
      <c r="A345" s="108">
        <v>45992</v>
      </c>
      <c r="B345" s="99" t="s">
        <v>1106</v>
      </c>
      <c r="C345" t="s">
        <v>1040</v>
      </c>
      <c r="D345" t="s">
        <v>646</v>
      </c>
      <c r="E345" s="37" t="s">
        <v>1041</v>
      </c>
      <c r="F345" s="37">
        <v>2025</v>
      </c>
      <c r="G345" s="37" t="s">
        <v>148</v>
      </c>
      <c r="H345" s="94">
        <v>4735777</v>
      </c>
      <c r="I345" s="94">
        <v>4735777</v>
      </c>
      <c r="J345" s="94">
        <v>0</v>
      </c>
      <c r="K345" s="89">
        <f t="shared" si="5"/>
        <v>4735777</v>
      </c>
      <c r="L345" s="45" t="s">
        <v>1</v>
      </c>
      <c r="M345" t="s">
        <v>40</v>
      </c>
      <c r="N345" t="s">
        <v>532</v>
      </c>
    </row>
    <row r="346" spans="1:15" ht="15.45">
      <c r="A346" s="108">
        <v>45992</v>
      </c>
      <c r="B346" s="99" t="s">
        <v>1106</v>
      </c>
      <c r="C346" t="s">
        <v>1042</v>
      </c>
      <c r="D346" t="s">
        <v>646</v>
      </c>
      <c r="E346" s="37" t="s">
        <v>1043</v>
      </c>
      <c r="F346" s="37">
        <v>2025</v>
      </c>
      <c r="G346" s="37" t="s">
        <v>148</v>
      </c>
      <c r="H346" s="94">
        <v>6699034</v>
      </c>
      <c r="I346" s="94">
        <v>6699034</v>
      </c>
      <c r="J346" s="94">
        <v>0</v>
      </c>
      <c r="K346" s="89">
        <f t="shared" si="5"/>
        <v>6699034</v>
      </c>
      <c r="L346" s="45" t="s">
        <v>1</v>
      </c>
      <c r="M346" t="s">
        <v>40</v>
      </c>
      <c r="N346" t="s">
        <v>532</v>
      </c>
    </row>
    <row r="347" spans="1:15" ht="15.45">
      <c r="A347" s="108">
        <v>45992</v>
      </c>
      <c r="B347" s="99" t="s">
        <v>1106</v>
      </c>
      <c r="C347" t="s">
        <v>1044</v>
      </c>
      <c r="D347" t="s">
        <v>519</v>
      </c>
      <c r="E347" s="37" t="s">
        <v>1045</v>
      </c>
      <c r="F347" s="37">
        <v>2025</v>
      </c>
      <c r="G347" s="37" t="s">
        <v>148</v>
      </c>
      <c r="H347" s="94">
        <v>34729981</v>
      </c>
      <c r="I347" s="94">
        <v>34729981</v>
      </c>
      <c r="J347" s="94">
        <v>0</v>
      </c>
      <c r="K347" s="89">
        <f t="shared" si="5"/>
        <v>34729981</v>
      </c>
      <c r="L347" s="45" t="s">
        <v>1</v>
      </c>
      <c r="M347" t="s">
        <v>40</v>
      </c>
      <c r="N347" t="s">
        <v>532</v>
      </c>
    </row>
    <row r="348" spans="1:15" s="2" customFormat="1" ht="15.45">
      <c r="A348" s="112">
        <v>45992</v>
      </c>
      <c r="B348" s="112" t="s">
        <v>1106</v>
      </c>
      <c r="C348" s="2" t="s">
        <v>1046</v>
      </c>
      <c r="D348" s="2" t="s">
        <v>440</v>
      </c>
      <c r="E348" s="75" t="s">
        <v>1047</v>
      </c>
      <c r="F348" s="37">
        <v>2025</v>
      </c>
      <c r="G348" s="75" t="s">
        <v>149</v>
      </c>
      <c r="H348" s="58">
        <v>529650</v>
      </c>
      <c r="I348" s="58">
        <v>0</v>
      </c>
      <c r="J348" s="58">
        <v>0</v>
      </c>
      <c r="K348" s="123">
        <f t="shared" si="5"/>
        <v>0</v>
      </c>
      <c r="L348" s="2" t="s">
        <v>15</v>
      </c>
      <c r="M348" s="2" t="s">
        <v>15</v>
      </c>
      <c r="N348" s="2" t="s">
        <v>15</v>
      </c>
      <c r="O348" s="2" t="s">
        <v>15</v>
      </c>
    </row>
    <row r="349" spans="1:15" ht="15.45">
      <c r="A349" s="108">
        <v>45992</v>
      </c>
      <c r="B349" s="99" t="s">
        <v>1106</v>
      </c>
      <c r="C349" t="s">
        <v>1048</v>
      </c>
      <c r="D349" t="s">
        <v>558</v>
      </c>
      <c r="E349" s="37" t="s">
        <v>1049</v>
      </c>
      <c r="F349" s="37">
        <v>2025</v>
      </c>
      <c r="G349" s="37" t="s">
        <v>148</v>
      </c>
      <c r="H349" s="41">
        <v>64414415</v>
      </c>
      <c r="I349" s="41">
        <v>64414415</v>
      </c>
      <c r="J349" s="41">
        <v>64414415</v>
      </c>
      <c r="K349" s="89">
        <f t="shared" si="5"/>
        <v>0</v>
      </c>
      <c r="L349" t="s">
        <v>308</v>
      </c>
      <c r="M349" s="2" t="s">
        <v>1108</v>
      </c>
      <c r="N349" s="45" t="s">
        <v>532</v>
      </c>
      <c r="O349" s="101" t="s">
        <v>1049</v>
      </c>
    </row>
    <row r="350" spans="1:15" ht="15.45">
      <c r="A350" s="108">
        <v>45992</v>
      </c>
      <c r="B350" s="99" t="s">
        <v>1106</v>
      </c>
      <c r="C350" t="s">
        <v>1050</v>
      </c>
      <c r="D350" t="s">
        <v>558</v>
      </c>
      <c r="E350" s="37" t="s">
        <v>1051</v>
      </c>
      <c r="F350" s="37">
        <v>2025</v>
      </c>
      <c r="G350" s="37" t="s">
        <v>148</v>
      </c>
      <c r="H350" s="41">
        <v>79279279</v>
      </c>
      <c r="I350" s="41">
        <v>79279279</v>
      </c>
      <c r="J350" s="41">
        <v>79279279</v>
      </c>
      <c r="K350" s="89">
        <f t="shared" si="5"/>
        <v>0</v>
      </c>
      <c r="L350" t="s">
        <v>308</v>
      </c>
      <c r="M350" s="2" t="s">
        <v>1108</v>
      </c>
      <c r="N350" s="45" t="s">
        <v>532</v>
      </c>
      <c r="O350" s="101" t="s">
        <v>1051</v>
      </c>
    </row>
    <row r="351" spans="1:15" ht="15.45">
      <c r="A351" s="108">
        <v>45992</v>
      </c>
      <c r="B351" s="99" t="s">
        <v>1106</v>
      </c>
      <c r="C351" t="s">
        <v>1052</v>
      </c>
      <c r="D351" t="s">
        <v>558</v>
      </c>
      <c r="E351" s="37" t="s">
        <v>1053</v>
      </c>
      <c r="F351" s="37">
        <v>2025</v>
      </c>
      <c r="G351" s="37" t="s">
        <v>148</v>
      </c>
      <c r="H351" s="41">
        <v>49549550</v>
      </c>
      <c r="I351" s="41">
        <v>49549550</v>
      </c>
      <c r="J351" s="41">
        <v>49549550</v>
      </c>
      <c r="K351" s="89">
        <f t="shared" si="5"/>
        <v>0</v>
      </c>
      <c r="L351" t="s">
        <v>308</v>
      </c>
      <c r="M351" s="2" t="s">
        <v>1108</v>
      </c>
      <c r="N351" s="45" t="s">
        <v>532</v>
      </c>
      <c r="O351" s="101" t="s">
        <v>1053</v>
      </c>
    </row>
    <row r="352" spans="1:15" ht="15.45">
      <c r="A352" s="108">
        <v>45992</v>
      </c>
      <c r="B352" s="99" t="s">
        <v>1106</v>
      </c>
      <c r="C352" t="s">
        <v>1054</v>
      </c>
      <c r="D352" t="s">
        <v>1055</v>
      </c>
      <c r="E352" s="37" t="s">
        <v>1056</v>
      </c>
      <c r="F352" s="37">
        <v>2025</v>
      </c>
      <c r="G352" s="37" t="s">
        <v>149</v>
      </c>
      <c r="H352" s="74">
        <v>4929375</v>
      </c>
      <c r="I352" s="63">
        <v>0</v>
      </c>
      <c r="J352" s="63">
        <v>0</v>
      </c>
      <c r="K352" s="89">
        <f t="shared" si="5"/>
        <v>0</v>
      </c>
      <c r="L352" s="45" t="s">
        <v>15</v>
      </c>
      <c r="M352" s="45" t="s">
        <v>15</v>
      </c>
      <c r="N352" s="45" t="s">
        <v>15</v>
      </c>
      <c r="O352" s="45" t="s">
        <v>15</v>
      </c>
    </row>
    <row r="353" spans="1:15" ht="15.45">
      <c r="A353" s="108">
        <v>45992</v>
      </c>
      <c r="B353" s="99" t="s">
        <v>1106</v>
      </c>
      <c r="C353" t="s">
        <v>1057</v>
      </c>
      <c r="D353" t="s">
        <v>317</v>
      </c>
      <c r="E353" s="37" t="s">
        <v>1058</v>
      </c>
      <c r="F353" s="37">
        <v>2025</v>
      </c>
      <c r="G353" s="37" t="s">
        <v>149</v>
      </c>
      <c r="H353" s="74">
        <v>3949954</v>
      </c>
      <c r="I353" s="63">
        <v>0</v>
      </c>
      <c r="J353" s="63">
        <v>0</v>
      </c>
      <c r="K353" s="89">
        <f t="shared" si="5"/>
        <v>0</v>
      </c>
      <c r="L353" s="45" t="s">
        <v>15</v>
      </c>
      <c r="M353" s="45" t="s">
        <v>15</v>
      </c>
      <c r="N353" s="45" t="s">
        <v>15</v>
      </c>
      <c r="O353" s="45" t="s">
        <v>15</v>
      </c>
    </row>
    <row r="354" spans="1:15" ht="15.45">
      <c r="A354" s="108">
        <v>45992</v>
      </c>
      <c r="B354" s="99" t="s">
        <v>1106</v>
      </c>
      <c r="C354" t="s">
        <v>1059</v>
      </c>
      <c r="D354" t="s">
        <v>558</v>
      </c>
      <c r="E354" s="37" t="s">
        <v>1060</v>
      </c>
      <c r="F354" s="37">
        <v>2025</v>
      </c>
      <c r="G354" s="37" t="s">
        <v>148</v>
      </c>
      <c r="H354" s="94">
        <v>17024700</v>
      </c>
      <c r="I354" s="94">
        <v>17024700</v>
      </c>
      <c r="J354" s="94">
        <v>0</v>
      </c>
      <c r="K354" s="89">
        <f t="shared" si="5"/>
        <v>17024700</v>
      </c>
      <c r="L354" s="45" t="s">
        <v>1</v>
      </c>
      <c r="M354" t="s">
        <v>40</v>
      </c>
      <c r="N354" t="s">
        <v>532</v>
      </c>
    </row>
    <row r="355" spans="1:15" ht="15.45">
      <c r="A355" s="108">
        <v>45992</v>
      </c>
      <c r="B355" s="99" t="s">
        <v>1106</v>
      </c>
      <c r="C355" t="s">
        <v>1061</v>
      </c>
      <c r="D355" t="s">
        <v>646</v>
      </c>
      <c r="E355" s="37" t="s">
        <v>1062</v>
      </c>
      <c r="F355" s="37">
        <v>2025</v>
      </c>
      <c r="G355" s="37" t="s">
        <v>148</v>
      </c>
      <c r="H355" s="94">
        <v>3085500</v>
      </c>
      <c r="I355" s="94">
        <v>3085500</v>
      </c>
      <c r="J355" s="94">
        <v>0</v>
      </c>
      <c r="K355" s="89">
        <f t="shared" si="5"/>
        <v>3085500</v>
      </c>
      <c r="L355" s="45" t="s">
        <v>1</v>
      </c>
      <c r="M355" t="s">
        <v>40</v>
      </c>
      <c r="N355" t="s">
        <v>532</v>
      </c>
    </row>
    <row r="356" spans="1:15" s="30" customFormat="1" ht="15.45">
      <c r="A356" s="99">
        <v>45992</v>
      </c>
      <c r="B356" s="99" t="s">
        <v>1106</v>
      </c>
      <c r="C356" s="30" t="s">
        <v>1063</v>
      </c>
      <c r="D356" s="30" t="s">
        <v>519</v>
      </c>
      <c r="E356" s="39" t="s">
        <v>1064</v>
      </c>
      <c r="F356" s="39">
        <v>2024</v>
      </c>
      <c r="G356" s="39" t="s">
        <v>148</v>
      </c>
      <c r="H356" s="40">
        <v>9603770</v>
      </c>
      <c r="I356" s="40">
        <v>9603770</v>
      </c>
      <c r="J356" s="40">
        <v>0</v>
      </c>
      <c r="K356" s="89">
        <f t="shared" si="5"/>
        <v>9603770</v>
      </c>
      <c r="L356" s="45" t="s">
        <v>1</v>
      </c>
      <c r="M356" t="s">
        <v>40</v>
      </c>
      <c r="N356" s="2" t="s">
        <v>533</v>
      </c>
      <c r="O356" s="71" t="s">
        <v>520</v>
      </c>
    </row>
    <row r="357" spans="1:15" s="30" customFormat="1" ht="15.45">
      <c r="A357" s="99">
        <v>45992</v>
      </c>
      <c r="B357" s="99" t="s">
        <v>1106</v>
      </c>
      <c r="C357" s="30" t="s">
        <v>1065</v>
      </c>
      <c r="D357" s="30" t="s">
        <v>519</v>
      </c>
      <c r="E357" s="39" t="s">
        <v>1066</v>
      </c>
      <c r="F357" s="39">
        <v>2024</v>
      </c>
      <c r="G357" s="39" t="s">
        <v>148</v>
      </c>
      <c r="H357" s="40">
        <v>9849400</v>
      </c>
      <c r="I357" s="40">
        <v>9849400</v>
      </c>
      <c r="J357" s="40">
        <v>0</v>
      </c>
      <c r="K357" s="89">
        <f t="shared" si="5"/>
        <v>9849400</v>
      </c>
      <c r="L357" s="45" t="s">
        <v>1</v>
      </c>
      <c r="M357" t="s">
        <v>40</v>
      </c>
      <c r="N357" s="2" t="s">
        <v>533</v>
      </c>
      <c r="O357" s="71" t="s">
        <v>1067</v>
      </c>
    </row>
    <row r="358" spans="1:15">
      <c r="B358" s="97" t="s">
        <v>529</v>
      </c>
      <c r="C358" s="79" t="s">
        <v>1068</v>
      </c>
      <c r="G358" s="37" t="s">
        <v>1120</v>
      </c>
      <c r="H358" s="63">
        <v>14427195</v>
      </c>
      <c r="I358" s="63">
        <v>0</v>
      </c>
      <c r="J358" s="63">
        <v>0</v>
      </c>
      <c r="L358" s="45" t="s">
        <v>15</v>
      </c>
      <c r="M358" s="45" t="s">
        <v>15</v>
      </c>
      <c r="N358" s="45" t="s">
        <v>15</v>
      </c>
      <c r="O358" s="45" t="s">
        <v>15</v>
      </c>
    </row>
    <row r="360" spans="1:15">
      <c r="H360" s="57">
        <f>SUBTOTAL(9,H5:H359)</f>
        <v>4810349484</v>
      </c>
      <c r="I360" s="57">
        <f>SUBTOTAL(9,I5:I359)</f>
        <v>3569878062</v>
      </c>
      <c r="J360" s="57">
        <f>SUBTOTAL(9,J5:J359)</f>
        <v>3355540228</v>
      </c>
      <c r="K360" s="65">
        <f>SUBTOTAL(9,K5:K359)</f>
        <v>214337834</v>
      </c>
    </row>
    <row r="362" spans="1:15">
      <c r="H362" s="41">
        <v>-3387129765</v>
      </c>
    </row>
    <row r="364" spans="1:15">
      <c r="E364" s="93" t="s">
        <v>438</v>
      </c>
      <c r="F364" s="93"/>
      <c r="G364" s="93"/>
      <c r="H364" s="41">
        <f>H360+H362</f>
        <v>1423219719</v>
      </c>
    </row>
  </sheetData>
  <autoFilter ref="A4:O358" xr:uid="{96423B74-1212-BA49-BA9D-7E4C5FB84250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94CD-C8C9-E44A-A124-96892DD2C87A}">
  <sheetPr filterMode="1"/>
  <dimension ref="A2:P361"/>
  <sheetViews>
    <sheetView tabSelected="1" topLeftCell="F1" zoomScale="88" workbookViewId="0">
      <selection activeCell="K4" sqref="K4"/>
    </sheetView>
  </sheetViews>
  <sheetFormatPr defaultColWidth="11" defaultRowHeight="15.45"/>
  <cols>
    <col min="1" max="1" width="11.6875" style="97" customWidth="1"/>
    <col min="2" max="2" width="20.8125" style="97" customWidth="1"/>
    <col min="3" max="3" width="20.5" customWidth="1"/>
    <col min="4" max="4" width="38.8125" customWidth="1"/>
    <col min="5" max="5" width="25.5" style="37" customWidth="1"/>
    <col min="6" max="7" width="12.1875" style="37" customWidth="1"/>
    <col min="8" max="8" width="16" style="49" customWidth="1"/>
    <col min="9" max="9" width="14.8125" style="63" customWidth="1"/>
    <col min="10" max="10" width="14.8125" style="49" customWidth="1"/>
    <col min="11" max="11" width="14.8125" style="63" customWidth="1"/>
    <col min="12" max="12" width="24.3125" customWidth="1"/>
    <col min="13" max="13" width="43" customWidth="1"/>
    <col min="14" max="14" width="37.1875" customWidth="1"/>
    <col min="15" max="15" width="28.8125" customWidth="1"/>
  </cols>
  <sheetData>
    <row r="2" spans="1:15">
      <c r="J2" s="49" t="s">
        <v>15</v>
      </c>
    </row>
    <row r="4" spans="1:15" ht="15">
      <c r="A4" s="97" t="s">
        <v>534</v>
      </c>
      <c r="B4" s="97" t="s">
        <v>1125</v>
      </c>
      <c r="C4" t="s">
        <v>535</v>
      </c>
      <c r="D4" t="s">
        <v>536</v>
      </c>
      <c r="E4" s="37" t="s">
        <v>1126</v>
      </c>
      <c r="F4" s="38" t="s">
        <v>88</v>
      </c>
      <c r="G4" s="38" t="s">
        <v>1105</v>
      </c>
      <c r="H4" s="127" t="s">
        <v>80</v>
      </c>
      <c r="I4" s="88" t="s">
        <v>149</v>
      </c>
      <c r="J4" s="127" t="s">
        <v>1107</v>
      </c>
      <c r="K4" s="88">
        <v>0</v>
      </c>
      <c r="L4" s="63" t="s">
        <v>1130</v>
      </c>
      <c r="M4" t="s">
        <v>1122</v>
      </c>
      <c r="N4" t="s">
        <v>1123</v>
      </c>
      <c r="O4" t="s">
        <v>1124</v>
      </c>
    </row>
    <row r="5" spans="1:15">
      <c r="B5" s="97" t="s">
        <v>1106</v>
      </c>
      <c r="D5" t="s">
        <v>234</v>
      </c>
      <c r="E5" s="37" t="s">
        <v>399</v>
      </c>
      <c r="F5" s="37">
        <v>2024</v>
      </c>
      <c r="G5" s="37" t="s">
        <v>148</v>
      </c>
      <c r="H5" s="89">
        <v>47789180</v>
      </c>
      <c r="I5" s="89">
        <v>0</v>
      </c>
      <c r="J5" s="89">
        <v>0</v>
      </c>
      <c r="K5" s="89">
        <f>K4-I5+J5</f>
        <v>0</v>
      </c>
      <c r="L5" t="s">
        <v>15</v>
      </c>
      <c r="M5" s="2" t="s">
        <v>15</v>
      </c>
      <c r="N5" s="2" t="s">
        <v>15</v>
      </c>
      <c r="O5" t="s">
        <v>15</v>
      </c>
    </row>
    <row r="6" spans="1:15">
      <c r="B6" s="97" t="s">
        <v>1106</v>
      </c>
      <c r="D6" t="s">
        <v>234</v>
      </c>
      <c r="E6" s="37" t="s">
        <v>400</v>
      </c>
      <c r="F6" s="37">
        <v>2024</v>
      </c>
      <c r="G6" s="37" t="s">
        <v>148</v>
      </c>
      <c r="H6" s="89">
        <v>19965000</v>
      </c>
      <c r="I6" s="89">
        <v>0</v>
      </c>
      <c r="J6" s="89">
        <v>0</v>
      </c>
      <c r="K6" s="89">
        <f t="shared" ref="K6:K69" si="0">K5-I6+J6</f>
        <v>0</v>
      </c>
      <c r="L6" t="s">
        <v>15</v>
      </c>
      <c r="M6" s="2" t="s">
        <v>15</v>
      </c>
      <c r="N6" s="2" t="s">
        <v>15</v>
      </c>
      <c r="O6" t="s">
        <v>15</v>
      </c>
    </row>
    <row r="7" spans="1:15">
      <c r="B7" s="97" t="s">
        <v>1106</v>
      </c>
      <c r="D7" t="s">
        <v>234</v>
      </c>
      <c r="E7" s="37" t="s">
        <v>402</v>
      </c>
      <c r="F7" s="37">
        <v>2024</v>
      </c>
      <c r="G7" s="37" t="s">
        <v>148</v>
      </c>
      <c r="H7" s="89">
        <v>2696968</v>
      </c>
      <c r="I7" s="89">
        <v>0</v>
      </c>
      <c r="J7" s="89">
        <v>0</v>
      </c>
      <c r="K7" s="89">
        <f t="shared" si="0"/>
        <v>0</v>
      </c>
      <c r="L7" t="s">
        <v>15</v>
      </c>
      <c r="M7" s="2" t="s">
        <v>15</v>
      </c>
      <c r="N7" s="2" t="s">
        <v>15</v>
      </c>
      <c r="O7" t="s">
        <v>15</v>
      </c>
    </row>
    <row r="8" spans="1:15">
      <c r="B8" s="97" t="s">
        <v>1106</v>
      </c>
      <c r="D8" t="s">
        <v>515</v>
      </c>
      <c r="E8" s="37" t="s">
        <v>404</v>
      </c>
      <c r="F8" s="37">
        <v>2024</v>
      </c>
      <c r="G8" s="37" t="s">
        <v>148</v>
      </c>
      <c r="H8" s="89">
        <v>170903425</v>
      </c>
      <c r="I8" s="89">
        <v>0</v>
      </c>
      <c r="J8" s="89">
        <v>0</v>
      </c>
      <c r="K8" s="89">
        <f t="shared" si="0"/>
        <v>0</v>
      </c>
      <c r="L8" t="s">
        <v>15</v>
      </c>
      <c r="M8" s="2" t="s">
        <v>15</v>
      </c>
      <c r="N8" s="2" t="s">
        <v>15</v>
      </c>
      <c r="O8" t="s">
        <v>15</v>
      </c>
    </row>
    <row r="9" spans="1:15">
      <c r="B9" s="97" t="s">
        <v>1106</v>
      </c>
      <c r="D9" t="s">
        <v>234</v>
      </c>
      <c r="E9" s="37" t="s">
        <v>413</v>
      </c>
      <c r="F9" s="37">
        <v>2024</v>
      </c>
      <c r="G9" s="37" t="s">
        <v>148</v>
      </c>
      <c r="H9" s="89">
        <v>10040099</v>
      </c>
      <c r="I9" s="89">
        <v>0</v>
      </c>
      <c r="J9" s="89">
        <v>0</v>
      </c>
      <c r="K9" s="89">
        <f t="shared" si="0"/>
        <v>0</v>
      </c>
      <c r="L9" t="s">
        <v>15</v>
      </c>
      <c r="M9" s="2" t="s">
        <v>15</v>
      </c>
      <c r="N9" s="2" t="s">
        <v>15</v>
      </c>
      <c r="O9" t="s">
        <v>15</v>
      </c>
    </row>
    <row r="10" spans="1:15">
      <c r="B10" s="97" t="s">
        <v>1106</v>
      </c>
      <c r="D10" t="s">
        <v>234</v>
      </c>
      <c r="E10" s="37" t="s">
        <v>418</v>
      </c>
      <c r="F10" s="37">
        <v>2024</v>
      </c>
      <c r="G10" s="37" t="s">
        <v>148</v>
      </c>
      <c r="H10" s="89">
        <v>9483362</v>
      </c>
      <c r="I10" s="89">
        <v>0</v>
      </c>
      <c r="J10" s="89">
        <v>0</v>
      </c>
      <c r="K10" s="89">
        <f t="shared" si="0"/>
        <v>0</v>
      </c>
      <c r="L10" t="s">
        <v>15</v>
      </c>
      <c r="M10" s="2" t="s">
        <v>15</v>
      </c>
      <c r="N10" s="2" t="s">
        <v>15</v>
      </c>
      <c r="O10" t="s">
        <v>15</v>
      </c>
    </row>
    <row r="11" spans="1:15">
      <c r="B11" s="97" t="s">
        <v>1106</v>
      </c>
      <c r="D11" t="s">
        <v>515</v>
      </c>
      <c r="E11" s="37" t="s">
        <v>420</v>
      </c>
      <c r="F11" s="37">
        <v>2024</v>
      </c>
      <c r="G11" s="37" t="s">
        <v>148</v>
      </c>
      <c r="H11" s="89">
        <v>3628790</v>
      </c>
      <c r="I11" s="89">
        <v>0</v>
      </c>
      <c r="J11" s="89">
        <v>0</v>
      </c>
      <c r="K11" s="89">
        <f t="shared" si="0"/>
        <v>0</v>
      </c>
      <c r="L11" t="s">
        <v>15</v>
      </c>
      <c r="M11" s="2" t="s">
        <v>15</v>
      </c>
      <c r="N11" s="2" t="s">
        <v>15</v>
      </c>
      <c r="O11" t="s">
        <v>15</v>
      </c>
    </row>
    <row r="12" spans="1:15">
      <c r="B12" s="97" t="s">
        <v>1106</v>
      </c>
      <c r="D12" t="s">
        <v>515</v>
      </c>
      <c r="E12" s="37" t="s">
        <v>421</v>
      </c>
      <c r="F12" s="37">
        <v>2024</v>
      </c>
      <c r="G12" s="37" t="s">
        <v>148</v>
      </c>
      <c r="H12" s="89">
        <v>1762728</v>
      </c>
      <c r="I12" s="89">
        <v>0</v>
      </c>
      <c r="J12" s="89">
        <v>0</v>
      </c>
      <c r="K12" s="89">
        <f t="shared" si="0"/>
        <v>0</v>
      </c>
      <c r="L12" t="s">
        <v>15</v>
      </c>
      <c r="M12" s="2" t="s">
        <v>15</v>
      </c>
      <c r="N12" s="2" t="s">
        <v>15</v>
      </c>
      <c r="O12" t="s">
        <v>15</v>
      </c>
    </row>
    <row r="13" spans="1:15">
      <c r="B13" s="97" t="s">
        <v>1106</v>
      </c>
      <c r="D13" t="s">
        <v>515</v>
      </c>
      <c r="E13" s="37" t="s">
        <v>423</v>
      </c>
      <c r="F13" s="37">
        <v>2024</v>
      </c>
      <c r="G13" s="37" t="s">
        <v>148</v>
      </c>
      <c r="H13" s="89">
        <v>1774828</v>
      </c>
      <c r="I13" s="89">
        <v>0</v>
      </c>
      <c r="J13" s="89">
        <v>0</v>
      </c>
      <c r="K13" s="89">
        <f t="shared" si="0"/>
        <v>0</v>
      </c>
      <c r="L13" t="s">
        <v>15</v>
      </c>
      <c r="M13" s="2" t="s">
        <v>15</v>
      </c>
      <c r="N13" s="2" t="s">
        <v>15</v>
      </c>
      <c r="O13" t="s">
        <v>15</v>
      </c>
    </row>
    <row r="14" spans="1:15">
      <c r="B14" s="97" t="s">
        <v>1106</v>
      </c>
      <c r="D14" t="s">
        <v>234</v>
      </c>
      <c r="E14" s="37" t="s">
        <v>424</v>
      </c>
      <c r="F14" s="37">
        <v>2024</v>
      </c>
      <c r="G14" s="37" t="s">
        <v>148</v>
      </c>
      <c r="H14" s="89">
        <v>2191805</v>
      </c>
      <c r="I14" s="89">
        <v>0</v>
      </c>
      <c r="J14" s="89">
        <v>0</v>
      </c>
      <c r="K14" s="89">
        <f t="shared" si="0"/>
        <v>0</v>
      </c>
      <c r="L14" t="s">
        <v>15</v>
      </c>
      <c r="M14" s="2" t="s">
        <v>15</v>
      </c>
      <c r="N14" s="2" t="s">
        <v>15</v>
      </c>
      <c r="O14" t="s">
        <v>15</v>
      </c>
    </row>
    <row r="15" spans="1:15">
      <c r="B15" s="97" t="s">
        <v>1106</v>
      </c>
      <c r="D15" t="s">
        <v>234</v>
      </c>
      <c r="E15" s="37" t="s">
        <v>425</v>
      </c>
      <c r="F15" s="37">
        <v>2024</v>
      </c>
      <c r="G15" s="37" t="s">
        <v>148</v>
      </c>
      <c r="H15" s="89">
        <v>1387188</v>
      </c>
      <c r="I15" s="89">
        <v>0</v>
      </c>
      <c r="J15" s="89">
        <v>0</v>
      </c>
      <c r="K15" s="89">
        <f t="shared" si="0"/>
        <v>0</v>
      </c>
      <c r="L15" t="s">
        <v>15</v>
      </c>
      <c r="M15" s="2" t="s">
        <v>15</v>
      </c>
      <c r="N15" s="2" t="s">
        <v>15</v>
      </c>
      <c r="O15" t="s">
        <v>15</v>
      </c>
    </row>
    <row r="16" spans="1:15">
      <c r="B16" s="97" t="s">
        <v>1106</v>
      </c>
      <c r="D16" t="s">
        <v>519</v>
      </c>
      <c r="E16" s="37" t="s">
        <v>426</v>
      </c>
      <c r="F16" s="37">
        <v>2024</v>
      </c>
      <c r="G16" s="37" t="s">
        <v>148</v>
      </c>
      <c r="H16" s="100">
        <v>3025000</v>
      </c>
      <c r="I16" s="89">
        <v>0</v>
      </c>
      <c r="J16" s="89">
        <v>0</v>
      </c>
      <c r="K16" s="89">
        <f t="shared" si="0"/>
        <v>0</v>
      </c>
      <c r="L16" t="s">
        <v>15</v>
      </c>
      <c r="M16" s="2" t="s">
        <v>15</v>
      </c>
      <c r="N16" s="2" t="s">
        <v>15</v>
      </c>
      <c r="O16" t="s">
        <v>15</v>
      </c>
    </row>
    <row r="17" spans="1:15">
      <c r="B17" s="97" t="s">
        <v>1106</v>
      </c>
      <c r="D17" t="s">
        <v>515</v>
      </c>
      <c r="E17" s="37" t="s">
        <v>427</v>
      </c>
      <c r="F17" s="37">
        <v>2024</v>
      </c>
      <c r="G17" s="37" t="s">
        <v>148</v>
      </c>
      <c r="H17" s="89">
        <v>3036979</v>
      </c>
      <c r="I17" s="89">
        <v>0</v>
      </c>
      <c r="J17" s="89">
        <v>0</v>
      </c>
      <c r="K17" s="89">
        <f t="shared" si="0"/>
        <v>0</v>
      </c>
      <c r="L17" t="s">
        <v>15</v>
      </c>
      <c r="M17" s="2" t="s">
        <v>15</v>
      </c>
      <c r="N17" s="2" t="s">
        <v>15</v>
      </c>
      <c r="O17" t="s">
        <v>15</v>
      </c>
    </row>
    <row r="18" spans="1:15">
      <c r="B18" s="97" t="s">
        <v>1106</v>
      </c>
      <c r="D18" t="s">
        <v>234</v>
      </c>
      <c r="E18" s="37" t="s">
        <v>428</v>
      </c>
      <c r="F18" s="37">
        <v>2024</v>
      </c>
      <c r="G18" s="37" t="s">
        <v>148</v>
      </c>
      <c r="H18" s="89">
        <v>1953820</v>
      </c>
      <c r="I18" s="89">
        <v>0</v>
      </c>
      <c r="J18" s="89">
        <v>0</v>
      </c>
      <c r="K18" s="89">
        <f t="shared" si="0"/>
        <v>0</v>
      </c>
      <c r="L18" t="s">
        <v>15</v>
      </c>
      <c r="M18" s="2" t="s">
        <v>15</v>
      </c>
      <c r="N18" s="2" t="s">
        <v>15</v>
      </c>
      <c r="O18" t="s">
        <v>15</v>
      </c>
    </row>
    <row r="19" spans="1:15">
      <c r="B19" s="97" t="s">
        <v>1106</v>
      </c>
      <c r="D19" t="s">
        <v>234</v>
      </c>
      <c r="E19" s="37" t="s">
        <v>321</v>
      </c>
      <c r="F19" s="37">
        <v>2024</v>
      </c>
      <c r="G19" s="37" t="s">
        <v>148</v>
      </c>
      <c r="H19" s="89">
        <v>3119086</v>
      </c>
      <c r="I19" s="89">
        <v>0</v>
      </c>
      <c r="J19" s="89">
        <v>0</v>
      </c>
      <c r="K19" s="89">
        <f t="shared" si="0"/>
        <v>0</v>
      </c>
      <c r="L19" t="s">
        <v>15</v>
      </c>
      <c r="M19" s="2" t="s">
        <v>15</v>
      </c>
      <c r="N19" s="2" t="s">
        <v>15</v>
      </c>
      <c r="O19" t="s">
        <v>15</v>
      </c>
    </row>
    <row r="20" spans="1:15">
      <c r="B20" s="97" t="s">
        <v>1106</v>
      </c>
      <c r="D20" t="s">
        <v>234</v>
      </c>
      <c r="E20" s="37" t="s">
        <v>322</v>
      </c>
      <c r="F20" s="37">
        <v>2024</v>
      </c>
      <c r="G20" s="37" t="s">
        <v>148</v>
      </c>
      <c r="H20" s="89">
        <v>12476399</v>
      </c>
      <c r="I20" s="89">
        <v>0</v>
      </c>
      <c r="J20" s="89">
        <v>0</v>
      </c>
      <c r="K20" s="89">
        <f t="shared" si="0"/>
        <v>0</v>
      </c>
      <c r="L20" t="s">
        <v>15</v>
      </c>
      <c r="M20" s="2" t="s">
        <v>15</v>
      </c>
      <c r="N20" s="2" t="s">
        <v>15</v>
      </c>
      <c r="O20" t="s">
        <v>15</v>
      </c>
    </row>
    <row r="21" spans="1:15">
      <c r="A21" s="97">
        <v>45658</v>
      </c>
      <c r="B21" s="97" t="s">
        <v>508</v>
      </c>
      <c r="D21" t="s">
        <v>548</v>
      </c>
      <c r="G21" s="37" t="s">
        <v>1107</v>
      </c>
      <c r="H21" s="49">
        <v>1981982</v>
      </c>
      <c r="I21" s="119">
        <v>0</v>
      </c>
      <c r="J21" s="49">
        <v>1981982</v>
      </c>
      <c r="K21" s="89">
        <f t="shared" si="0"/>
        <v>1981982</v>
      </c>
      <c r="L21" t="s">
        <v>308</v>
      </c>
      <c r="M21" t="s">
        <v>1110</v>
      </c>
      <c r="N21" t="s">
        <v>508</v>
      </c>
      <c r="O21" t="s">
        <v>82</v>
      </c>
    </row>
    <row r="22" spans="1:15">
      <c r="A22" s="97">
        <v>45658</v>
      </c>
      <c r="B22" s="97" t="s">
        <v>508</v>
      </c>
      <c r="D22" t="s">
        <v>549</v>
      </c>
      <c r="G22" s="37" t="s">
        <v>1107</v>
      </c>
      <c r="H22" s="49">
        <v>1200883</v>
      </c>
      <c r="I22" s="119">
        <v>0</v>
      </c>
      <c r="J22" s="49">
        <v>1200883</v>
      </c>
      <c r="K22" s="89">
        <f t="shared" si="0"/>
        <v>3182865</v>
      </c>
      <c r="L22" t="s">
        <v>308</v>
      </c>
      <c r="M22" t="s">
        <v>1110</v>
      </c>
      <c r="N22" t="s">
        <v>508</v>
      </c>
      <c r="O22" t="s">
        <v>82</v>
      </c>
    </row>
    <row r="23" spans="1:15">
      <c r="A23" s="97">
        <v>45658</v>
      </c>
      <c r="B23" s="97" t="s">
        <v>508</v>
      </c>
      <c r="D23" t="s">
        <v>550</v>
      </c>
      <c r="G23" s="37" t="s">
        <v>1107</v>
      </c>
      <c r="H23" s="49">
        <v>74324</v>
      </c>
      <c r="I23" s="119">
        <v>0</v>
      </c>
      <c r="J23" s="49">
        <v>74324</v>
      </c>
      <c r="K23" s="89">
        <f t="shared" si="0"/>
        <v>3257189</v>
      </c>
      <c r="L23" t="s">
        <v>308</v>
      </c>
      <c r="M23" t="s">
        <v>1109</v>
      </c>
      <c r="N23" t="s">
        <v>508</v>
      </c>
      <c r="O23" t="s">
        <v>82</v>
      </c>
    </row>
    <row r="24" spans="1:15">
      <c r="A24" s="97">
        <v>45658</v>
      </c>
      <c r="B24" s="97" t="s">
        <v>508</v>
      </c>
      <c r="D24" t="s">
        <v>551</v>
      </c>
      <c r="G24" s="37" t="s">
        <v>1107</v>
      </c>
      <c r="H24" s="49">
        <v>126142500</v>
      </c>
      <c r="I24" s="119">
        <v>0</v>
      </c>
      <c r="J24" s="49">
        <v>126142500</v>
      </c>
      <c r="K24" s="89">
        <f t="shared" si="0"/>
        <v>129399689</v>
      </c>
      <c r="L24" t="s">
        <v>308</v>
      </c>
      <c r="M24" t="s">
        <v>1110</v>
      </c>
      <c r="N24" t="s">
        <v>508</v>
      </c>
      <c r="O24" t="s">
        <v>82</v>
      </c>
    </row>
    <row r="25" spans="1:15">
      <c r="A25" s="97">
        <v>45658</v>
      </c>
      <c r="B25" s="97" t="s">
        <v>508</v>
      </c>
      <c r="D25" t="s">
        <v>552</v>
      </c>
      <c r="G25" s="37" t="s">
        <v>1107</v>
      </c>
      <c r="H25" s="49">
        <v>583000</v>
      </c>
      <c r="I25" s="119">
        <v>0</v>
      </c>
      <c r="J25" s="49">
        <v>583000</v>
      </c>
      <c r="K25" s="89">
        <f t="shared" si="0"/>
        <v>129982689</v>
      </c>
      <c r="L25" t="s">
        <v>308</v>
      </c>
      <c r="M25" t="s">
        <v>1109</v>
      </c>
      <c r="N25" t="s">
        <v>508</v>
      </c>
      <c r="O25" t="s">
        <v>82</v>
      </c>
    </row>
    <row r="26" spans="1:15">
      <c r="A26" s="97">
        <v>45658</v>
      </c>
      <c r="B26" s="97" t="s">
        <v>508</v>
      </c>
      <c r="D26" t="s">
        <v>552</v>
      </c>
      <c r="G26" s="37" t="s">
        <v>1107</v>
      </c>
      <c r="H26" s="49">
        <v>506000</v>
      </c>
      <c r="I26" s="119">
        <v>0</v>
      </c>
      <c r="J26" s="49">
        <v>506000</v>
      </c>
      <c r="K26" s="89">
        <f t="shared" si="0"/>
        <v>130488689</v>
      </c>
      <c r="L26" t="s">
        <v>308</v>
      </c>
      <c r="M26" t="s">
        <v>1109</v>
      </c>
      <c r="N26" t="s">
        <v>508</v>
      </c>
      <c r="O26" t="s">
        <v>82</v>
      </c>
    </row>
    <row r="27" spans="1:15" s="2" customFormat="1">
      <c r="A27" s="112">
        <v>45658</v>
      </c>
      <c r="B27" s="112" t="s">
        <v>508</v>
      </c>
      <c r="D27" s="2" t="s">
        <v>553</v>
      </c>
      <c r="E27" s="75"/>
      <c r="F27" s="75"/>
      <c r="G27" s="75" t="s">
        <v>1107</v>
      </c>
      <c r="H27" s="49">
        <v>13200000</v>
      </c>
      <c r="I27" s="49">
        <v>0</v>
      </c>
      <c r="J27" s="49">
        <v>13200000</v>
      </c>
      <c r="K27" s="90">
        <f t="shared" si="0"/>
        <v>143688689</v>
      </c>
      <c r="L27" s="2" t="s">
        <v>308</v>
      </c>
      <c r="M27" s="2" t="s">
        <v>1109</v>
      </c>
      <c r="N27" s="2" t="s">
        <v>508</v>
      </c>
      <c r="O27" s="2" t="s">
        <v>82</v>
      </c>
    </row>
    <row r="28" spans="1:15" s="76" customFormat="1">
      <c r="A28" s="109">
        <v>45658</v>
      </c>
      <c r="B28" s="97" t="s">
        <v>15</v>
      </c>
      <c r="D28" s="76" t="s">
        <v>554</v>
      </c>
      <c r="E28" s="118"/>
      <c r="F28" s="118"/>
      <c r="G28" s="37" t="s">
        <v>1107</v>
      </c>
      <c r="H28" s="111">
        <v>261800</v>
      </c>
      <c r="I28" s="111">
        <v>0</v>
      </c>
      <c r="J28" s="111">
        <v>261800</v>
      </c>
      <c r="K28" s="89">
        <f t="shared" si="0"/>
        <v>143950489</v>
      </c>
      <c r="L28" s="76" t="s">
        <v>1117</v>
      </c>
      <c r="M28" s="76" t="s">
        <v>92</v>
      </c>
      <c r="N28" s="76" t="s">
        <v>1078</v>
      </c>
      <c r="O28" s="76" t="s">
        <v>1116</v>
      </c>
    </row>
    <row r="29" spans="1:15">
      <c r="A29" s="97">
        <v>45658</v>
      </c>
      <c r="B29" s="97" t="s">
        <v>1106</v>
      </c>
      <c r="C29" t="s">
        <v>555</v>
      </c>
      <c r="D29" t="s">
        <v>556</v>
      </c>
      <c r="E29" s="39" t="s">
        <v>312</v>
      </c>
      <c r="F29" s="39">
        <v>2025</v>
      </c>
      <c r="G29" s="39" t="s">
        <v>149</v>
      </c>
      <c r="H29" s="74">
        <v>550000</v>
      </c>
      <c r="I29" s="74">
        <v>550000</v>
      </c>
      <c r="J29" s="89">
        <v>0</v>
      </c>
      <c r="K29" s="89">
        <f t="shared" si="0"/>
        <v>143400489</v>
      </c>
      <c r="L29" t="s">
        <v>1</v>
      </c>
      <c r="M29" t="s">
        <v>1077</v>
      </c>
      <c r="N29" t="s">
        <v>1078</v>
      </c>
    </row>
    <row r="30" spans="1:15">
      <c r="A30" s="97">
        <v>45658</v>
      </c>
      <c r="B30" s="97" t="s">
        <v>1106</v>
      </c>
      <c r="C30" t="s">
        <v>557</v>
      </c>
      <c r="D30" t="s">
        <v>558</v>
      </c>
      <c r="E30" s="37" t="s">
        <v>314</v>
      </c>
      <c r="F30" s="39">
        <v>2025</v>
      </c>
      <c r="G30" s="39" t="s">
        <v>149</v>
      </c>
      <c r="H30" s="74">
        <v>550000</v>
      </c>
      <c r="I30" s="74">
        <v>550000</v>
      </c>
      <c r="J30" s="89">
        <v>0</v>
      </c>
      <c r="K30" s="89">
        <f t="shared" si="0"/>
        <v>142850489</v>
      </c>
      <c r="L30" t="s">
        <v>1</v>
      </c>
      <c r="M30" t="s">
        <v>1077</v>
      </c>
      <c r="N30" t="s">
        <v>1078</v>
      </c>
    </row>
    <row r="31" spans="1:15">
      <c r="A31" s="97">
        <v>45658</v>
      </c>
      <c r="B31" s="97" t="s">
        <v>1106</v>
      </c>
      <c r="C31" t="s">
        <v>559</v>
      </c>
      <c r="D31" t="s">
        <v>558</v>
      </c>
      <c r="E31" s="37" t="s">
        <v>313</v>
      </c>
      <c r="F31" s="37">
        <v>2025</v>
      </c>
      <c r="G31" s="37" t="s">
        <v>148</v>
      </c>
      <c r="H31" s="103">
        <v>74324324</v>
      </c>
      <c r="I31" s="119">
        <v>0</v>
      </c>
      <c r="J31" s="89">
        <v>0</v>
      </c>
      <c r="K31" s="89">
        <f t="shared" si="0"/>
        <v>142850489</v>
      </c>
      <c r="L31" t="s">
        <v>15</v>
      </c>
      <c r="M31" s="2" t="s">
        <v>15</v>
      </c>
      <c r="N31" t="s">
        <v>15</v>
      </c>
      <c r="O31" s="101" t="s">
        <v>15</v>
      </c>
    </row>
    <row r="32" spans="1:15" hidden="1">
      <c r="A32" s="97">
        <v>45689</v>
      </c>
      <c r="B32" s="97" t="s">
        <v>508</v>
      </c>
      <c r="D32" t="s">
        <v>548</v>
      </c>
      <c r="G32" s="37" t="s">
        <v>1107</v>
      </c>
      <c r="H32" s="49">
        <v>1981982</v>
      </c>
      <c r="I32" s="119">
        <v>0</v>
      </c>
      <c r="J32" s="49">
        <v>1981982</v>
      </c>
      <c r="K32" s="89">
        <f t="shared" si="0"/>
        <v>144832471</v>
      </c>
      <c r="L32" t="s">
        <v>308</v>
      </c>
      <c r="M32" t="s">
        <v>1110</v>
      </c>
      <c r="N32" t="s">
        <v>508</v>
      </c>
      <c r="O32" t="s">
        <v>453</v>
      </c>
    </row>
    <row r="33" spans="1:15" hidden="1">
      <c r="A33" s="97">
        <v>45689</v>
      </c>
      <c r="B33" s="97" t="s">
        <v>508</v>
      </c>
      <c r="D33" t="s">
        <v>552</v>
      </c>
      <c r="G33" s="37" t="s">
        <v>1107</v>
      </c>
      <c r="H33" s="49">
        <v>583000</v>
      </c>
      <c r="I33" s="119">
        <v>0</v>
      </c>
      <c r="J33" s="49">
        <v>583000</v>
      </c>
      <c r="K33" s="89">
        <f t="shared" si="0"/>
        <v>145415471</v>
      </c>
      <c r="L33" s="2" t="s">
        <v>308</v>
      </c>
      <c r="M33" s="2" t="s">
        <v>1109</v>
      </c>
      <c r="N33" s="2" t="s">
        <v>508</v>
      </c>
      <c r="O33" s="2" t="s">
        <v>453</v>
      </c>
    </row>
    <row r="34" spans="1:15" hidden="1">
      <c r="A34" s="97">
        <v>45689</v>
      </c>
      <c r="B34" s="97" t="s">
        <v>508</v>
      </c>
      <c r="D34" t="s">
        <v>552</v>
      </c>
      <c r="G34" s="37" t="s">
        <v>1107</v>
      </c>
      <c r="H34" s="49">
        <v>506000</v>
      </c>
      <c r="I34" s="119">
        <v>0</v>
      </c>
      <c r="J34" s="49">
        <v>506000</v>
      </c>
      <c r="K34" s="89">
        <f t="shared" si="0"/>
        <v>145921471</v>
      </c>
      <c r="L34" s="2" t="s">
        <v>308</v>
      </c>
      <c r="M34" s="2" t="s">
        <v>1109</v>
      </c>
      <c r="N34" s="2" t="s">
        <v>508</v>
      </c>
      <c r="O34" s="2" t="s">
        <v>453</v>
      </c>
    </row>
    <row r="35" spans="1:15" hidden="1">
      <c r="A35" s="97">
        <v>45689</v>
      </c>
      <c r="B35" s="97" t="s">
        <v>508</v>
      </c>
      <c r="D35" t="s">
        <v>551</v>
      </c>
      <c r="G35" s="37" t="s">
        <v>1107</v>
      </c>
      <c r="H35" s="49">
        <v>6836500</v>
      </c>
      <c r="I35" s="119">
        <v>0</v>
      </c>
      <c r="J35" s="49">
        <v>6836500</v>
      </c>
      <c r="K35" s="89">
        <f t="shared" si="0"/>
        <v>152757971</v>
      </c>
      <c r="L35" t="s">
        <v>308</v>
      </c>
      <c r="M35" t="s">
        <v>1110</v>
      </c>
      <c r="N35" s="33" t="s">
        <v>508</v>
      </c>
      <c r="O35" t="s">
        <v>453</v>
      </c>
    </row>
    <row r="36" spans="1:15" hidden="1">
      <c r="A36" s="97">
        <v>45689</v>
      </c>
      <c r="B36" s="97" t="s">
        <v>508</v>
      </c>
      <c r="D36" t="s">
        <v>551</v>
      </c>
      <c r="G36" s="37" t="s">
        <v>1107</v>
      </c>
      <c r="H36" s="49">
        <v>1515525</v>
      </c>
      <c r="I36" s="119">
        <v>0</v>
      </c>
      <c r="J36" s="49">
        <v>1515525</v>
      </c>
      <c r="K36" s="89">
        <f t="shared" si="0"/>
        <v>154273496</v>
      </c>
      <c r="L36" t="s">
        <v>308</v>
      </c>
      <c r="M36" t="s">
        <v>1110</v>
      </c>
      <c r="N36" t="s">
        <v>508</v>
      </c>
      <c r="O36" t="s">
        <v>453</v>
      </c>
    </row>
    <row r="37" spans="1:15" hidden="1">
      <c r="A37" s="97">
        <v>45689</v>
      </c>
      <c r="B37" s="97" t="s">
        <v>508</v>
      </c>
      <c r="D37" t="s">
        <v>560</v>
      </c>
      <c r="G37" s="37" t="s">
        <v>1107</v>
      </c>
      <c r="H37" s="49">
        <v>2370500</v>
      </c>
      <c r="I37" s="119">
        <v>0</v>
      </c>
      <c r="J37" s="49">
        <v>2370500</v>
      </c>
      <c r="K37" s="89">
        <f t="shared" si="0"/>
        <v>156643996</v>
      </c>
      <c r="L37" s="2" t="s">
        <v>308</v>
      </c>
      <c r="M37" s="2" t="s">
        <v>1109</v>
      </c>
      <c r="N37" s="2" t="s">
        <v>508</v>
      </c>
      <c r="O37" s="2" t="s">
        <v>453</v>
      </c>
    </row>
    <row r="38" spans="1:15" hidden="1">
      <c r="A38" s="97">
        <v>45689</v>
      </c>
      <c r="B38" s="97" t="s">
        <v>508</v>
      </c>
      <c r="D38" t="s">
        <v>550</v>
      </c>
      <c r="G38" s="37" t="s">
        <v>1107</v>
      </c>
      <c r="H38" s="49">
        <v>74324</v>
      </c>
      <c r="I38" s="119">
        <v>0</v>
      </c>
      <c r="J38" s="49">
        <v>74324</v>
      </c>
      <c r="K38" s="89">
        <f t="shared" si="0"/>
        <v>156718320</v>
      </c>
      <c r="L38" s="2" t="s">
        <v>308</v>
      </c>
      <c r="M38" s="2" t="s">
        <v>1109</v>
      </c>
      <c r="N38" s="2" t="s">
        <v>508</v>
      </c>
      <c r="O38" s="2" t="s">
        <v>453</v>
      </c>
    </row>
    <row r="39" spans="1:15" hidden="1">
      <c r="A39" s="97">
        <v>45689</v>
      </c>
      <c r="B39" s="97" t="s">
        <v>508</v>
      </c>
      <c r="D39" t="s">
        <v>561</v>
      </c>
      <c r="G39" s="37" t="s">
        <v>1107</v>
      </c>
      <c r="H39" s="49">
        <v>822522</v>
      </c>
      <c r="I39" s="119">
        <v>0</v>
      </c>
      <c r="J39" s="49">
        <v>822522</v>
      </c>
      <c r="K39" s="89">
        <f t="shared" si="0"/>
        <v>157540842</v>
      </c>
      <c r="L39" s="2" t="s">
        <v>308</v>
      </c>
      <c r="M39" s="2" t="s">
        <v>1109</v>
      </c>
      <c r="N39" s="2" t="s">
        <v>508</v>
      </c>
      <c r="O39" s="2" t="s">
        <v>453</v>
      </c>
    </row>
    <row r="40" spans="1:15" hidden="1">
      <c r="A40" s="97">
        <v>45689</v>
      </c>
      <c r="B40" s="97" t="s">
        <v>508</v>
      </c>
      <c r="D40" t="s">
        <v>562</v>
      </c>
      <c r="G40" s="37" t="s">
        <v>1107</v>
      </c>
      <c r="H40" s="49">
        <v>22770000</v>
      </c>
      <c r="I40" s="119">
        <v>0</v>
      </c>
      <c r="J40" s="49">
        <v>22770000</v>
      </c>
      <c r="K40" s="89">
        <f t="shared" si="0"/>
        <v>180310842</v>
      </c>
      <c r="L40" s="2" t="s">
        <v>308</v>
      </c>
      <c r="M40" s="2" t="s">
        <v>1109</v>
      </c>
      <c r="N40" s="2" t="s">
        <v>508</v>
      </c>
      <c r="O40" s="2" t="s">
        <v>453</v>
      </c>
    </row>
    <row r="41" spans="1:15" hidden="1">
      <c r="A41" s="97">
        <v>45689</v>
      </c>
      <c r="B41" s="97" t="s">
        <v>508</v>
      </c>
      <c r="D41" t="s">
        <v>563</v>
      </c>
      <c r="G41" s="37" t="s">
        <v>1107</v>
      </c>
      <c r="H41" s="49">
        <v>8819820</v>
      </c>
      <c r="I41" s="119">
        <v>0</v>
      </c>
      <c r="J41" s="49">
        <v>8819820</v>
      </c>
      <c r="K41" s="89">
        <f t="shared" si="0"/>
        <v>189130662</v>
      </c>
      <c r="L41" s="2" t="s">
        <v>308</v>
      </c>
      <c r="M41" s="2" t="s">
        <v>1109</v>
      </c>
      <c r="N41" s="2" t="s">
        <v>508</v>
      </c>
      <c r="O41" s="2" t="s">
        <v>453</v>
      </c>
    </row>
    <row r="42" spans="1:15" hidden="1">
      <c r="A42" s="97">
        <v>45689</v>
      </c>
      <c r="B42" s="97" t="s">
        <v>508</v>
      </c>
      <c r="D42" t="s">
        <v>564</v>
      </c>
      <c r="G42" s="37" t="s">
        <v>1107</v>
      </c>
      <c r="H42" s="49">
        <v>385000</v>
      </c>
      <c r="I42" s="119">
        <v>0</v>
      </c>
      <c r="J42" s="49">
        <v>385000</v>
      </c>
      <c r="K42" s="89">
        <f t="shared" si="0"/>
        <v>189515662</v>
      </c>
      <c r="L42" t="s">
        <v>308</v>
      </c>
      <c r="M42" t="s">
        <v>1109</v>
      </c>
      <c r="N42" t="s">
        <v>508</v>
      </c>
      <c r="O42" t="s">
        <v>453</v>
      </c>
    </row>
    <row r="43" spans="1:15" hidden="1">
      <c r="A43" s="97">
        <v>45689</v>
      </c>
      <c r="B43" s="97" t="s">
        <v>508</v>
      </c>
      <c r="D43" t="s">
        <v>564</v>
      </c>
      <c r="G43" s="37" t="s">
        <v>1107</v>
      </c>
      <c r="H43" s="49">
        <v>385000</v>
      </c>
      <c r="I43" s="119">
        <v>0</v>
      </c>
      <c r="J43" s="49">
        <v>385000</v>
      </c>
      <c r="K43" s="89">
        <f t="shared" si="0"/>
        <v>189900662</v>
      </c>
      <c r="L43" t="s">
        <v>308</v>
      </c>
      <c r="M43" t="s">
        <v>1109</v>
      </c>
      <c r="N43" t="s">
        <v>508</v>
      </c>
      <c r="O43" t="s">
        <v>453</v>
      </c>
    </row>
    <row r="44" spans="1:15">
      <c r="A44" s="97">
        <v>45689</v>
      </c>
      <c r="B44" s="97" t="s">
        <v>1106</v>
      </c>
      <c r="C44" t="s">
        <v>565</v>
      </c>
      <c r="D44" t="s">
        <v>566</v>
      </c>
      <c r="E44" s="39" t="s">
        <v>315</v>
      </c>
      <c r="F44" s="37">
        <v>2025</v>
      </c>
      <c r="G44" s="37" t="s">
        <v>148</v>
      </c>
      <c r="H44" s="94">
        <v>74324324</v>
      </c>
      <c r="I44" s="119">
        <v>0</v>
      </c>
      <c r="J44" s="89">
        <v>0</v>
      </c>
      <c r="K44" s="89">
        <f t="shared" si="0"/>
        <v>189900662</v>
      </c>
      <c r="L44" t="s">
        <v>15</v>
      </c>
      <c r="M44" s="2" t="s">
        <v>15</v>
      </c>
      <c r="N44" t="s">
        <v>15</v>
      </c>
      <c r="O44" s="101" t="s">
        <v>15</v>
      </c>
    </row>
    <row r="45" spans="1:15">
      <c r="A45" s="97">
        <v>45689</v>
      </c>
      <c r="B45" s="97" t="s">
        <v>1106</v>
      </c>
      <c r="C45" t="s">
        <v>567</v>
      </c>
      <c r="D45" t="s">
        <v>568</v>
      </c>
      <c r="E45" s="37" t="s">
        <v>569</v>
      </c>
      <c r="F45" s="37">
        <v>2025</v>
      </c>
      <c r="G45" s="37" t="s">
        <v>148</v>
      </c>
      <c r="H45" s="94">
        <v>9909910</v>
      </c>
      <c r="I45" s="119">
        <v>0</v>
      </c>
      <c r="J45" s="89">
        <v>0</v>
      </c>
      <c r="K45" s="89">
        <f t="shared" si="0"/>
        <v>189900662</v>
      </c>
      <c r="L45" t="s">
        <v>15</v>
      </c>
      <c r="M45" s="2" t="s">
        <v>15</v>
      </c>
      <c r="N45" t="s">
        <v>15</v>
      </c>
      <c r="O45" s="101" t="s">
        <v>15</v>
      </c>
    </row>
    <row r="46" spans="1:15">
      <c r="A46" s="97">
        <v>45689</v>
      </c>
      <c r="B46" s="97" t="s">
        <v>1106</v>
      </c>
      <c r="C46" t="s">
        <v>570</v>
      </c>
      <c r="D46" t="s">
        <v>571</v>
      </c>
      <c r="E46" s="37" t="s">
        <v>572</v>
      </c>
      <c r="F46" s="37">
        <v>2025</v>
      </c>
      <c r="G46" s="37" t="s">
        <v>148</v>
      </c>
      <c r="H46" s="94">
        <v>24774775</v>
      </c>
      <c r="I46" s="119">
        <v>0</v>
      </c>
      <c r="J46" s="89">
        <v>0</v>
      </c>
      <c r="K46" s="89">
        <f t="shared" si="0"/>
        <v>189900662</v>
      </c>
      <c r="L46" t="s">
        <v>15</v>
      </c>
      <c r="M46" s="2" t="s">
        <v>15</v>
      </c>
      <c r="N46" t="s">
        <v>15</v>
      </c>
      <c r="O46" s="101" t="s">
        <v>15</v>
      </c>
    </row>
    <row r="47" spans="1:15">
      <c r="A47" s="97">
        <v>45689</v>
      </c>
      <c r="B47" s="97" t="s">
        <v>1106</v>
      </c>
      <c r="C47" t="s">
        <v>573</v>
      </c>
      <c r="D47" t="s">
        <v>574</v>
      </c>
      <c r="E47" s="37" t="s">
        <v>316</v>
      </c>
      <c r="F47" s="37">
        <v>2025</v>
      </c>
      <c r="G47" s="37" t="s">
        <v>148</v>
      </c>
      <c r="H47" s="94">
        <v>5500000</v>
      </c>
      <c r="I47" s="119">
        <v>0</v>
      </c>
      <c r="J47" s="89">
        <v>0</v>
      </c>
      <c r="K47" s="89">
        <f t="shared" si="0"/>
        <v>189900662</v>
      </c>
      <c r="L47" t="s">
        <v>15</v>
      </c>
      <c r="M47" s="2" t="s">
        <v>15</v>
      </c>
      <c r="N47" t="s">
        <v>15</v>
      </c>
      <c r="O47" s="101" t="s">
        <v>15</v>
      </c>
    </row>
    <row r="48" spans="1:15">
      <c r="A48" s="97">
        <v>45689</v>
      </c>
      <c r="B48" s="97" t="s">
        <v>1106</v>
      </c>
      <c r="C48" t="s">
        <v>575</v>
      </c>
      <c r="D48" t="s">
        <v>576</v>
      </c>
      <c r="E48" s="37" t="s">
        <v>577</v>
      </c>
      <c r="F48" s="37">
        <v>2025</v>
      </c>
      <c r="G48" s="37" t="s">
        <v>148</v>
      </c>
      <c r="H48" s="94">
        <v>8250000</v>
      </c>
      <c r="I48" s="119">
        <v>0</v>
      </c>
      <c r="J48" s="89">
        <v>0</v>
      </c>
      <c r="K48" s="89">
        <f t="shared" si="0"/>
        <v>189900662</v>
      </c>
      <c r="L48" t="s">
        <v>15</v>
      </c>
      <c r="M48" s="2" t="s">
        <v>15</v>
      </c>
      <c r="N48" t="s">
        <v>15</v>
      </c>
      <c r="O48" s="101" t="s">
        <v>15</v>
      </c>
    </row>
    <row r="49" spans="1:15">
      <c r="A49" s="97">
        <v>45689</v>
      </c>
      <c r="B49" s="97" t="s">
        <v>1106</v>
      </c>
      <c r="C49" t="s">
        <v>578</v>
      </c>
      <c r="D49" t="s">
        <v>571</v>
      </c>
      <c r="E49" s="37" t="s">
        <v>572</v>
      </c>
      <c r="F49" s="37">
        <v>2025</v>
      </c>
      <c r="G49" s="37" t="s">
        <v>148</v>
      </c>
      <c r="H49" s="104">
        <v>1216600</v>
      </c>
      <c r="I49" s="119">
        <v>0</v>
      </c>
      <c r="J49" s="89">
        <v>0</v>
      </c>
      <c r="K49" s="89">
        <f t="shared" si="0"/>
        <v>189900662</v>
      </c>
      <c r="L49" t="s">
        <v>15</v>
      </c>
      <c r="M49" s="2" t="s">
        <v>15</v>
      </c>
      <c r="N49" t="s">
        <v>15</v>
      </c>
      <c r="O49" s="101" t="s">
        <v>15</v>
      </c>
    </row>
    <row r="50" spans="1:15">
      <c r="A50" s="97">
        <v>45689</v>
      </c>
      <c r="B50" s="97" t="s">
        <v>1106</v>
      </c>
      <c r="C50" t="s">
        <v>579</v>
      </c>
      <c r="D50" t="s">
        <v>556</v>
      </c>
      <c r="E50" s="37" t="s">
        <v>580</v>
      </c>
      <c r="F50" s="37">
        <v>2025</v>
      </c>
      <c r="G50" s="37" t="s">
        <v>148</v>
      </c>
      <c r="H50" s="94">
        <v>24774775</v>
      </c>
      <c r="I50" s="119">
        <v>0</v>
      </c>
      <c r="J50" s="89">
        <v>0</v>
      </c>
      <c r="K50" s="89">
        <f t="shared" si="0"/>
        <v>189900662</v>
      </c>
      <c r="L50" t="s">
        <v>15</v>
      </c>
      <c r="M50" s="2" t="s">
        <v>15</v>
      </c>
      <c r="N50" t="s">
        <v>15</v>
      </c>
      <c r="O50" s="101" t="s">
        <v>15</v>
      </c>
    </row>
    <row r="51" spans="1:15">
      <c r="A51" s="97">
        <v>45689</v>
      </c>
      <c r="B51" s="97" t="s">
        <v>1106</v>
      </c>
      <c r="C51" t="s">
        <v>581</v>
      </c>
      <c r="D51" t="s">
        <v>582</v>
      </c>
      <c r="E51" s="37" t="s">
        <v>583</v>
      </c>
      <c r="F51" s="37">
        <v>2025</v>
      </c>
      <c r="G51" s="37" t="s">
        <v>148</v>
      </c>
      <c r="H51" s="94">
        <v>7432432</v>
      </c>
      <c r="I51" s="119">
        <v>0</v>
      </c>
      <c r="J51" s="89">
        <v>0</v>
      </c>
      <c r="K51" s="89">
        <f t="shared" si="0"/>
        <v>189900662</v>
      </c>
      <c r="L51" t="s">
        <v>15</v>
      </c>
      <c r="M51" s="2" t="s">
        <v>15</v>
      </c>
      <c r="N51" t="s">
        <v>15</v>
      </c>
      <c r="O51" s="101" t="s">
        <v>15</v>
      </c>
    </row>
    <row r="52" spans="1:15">
      <c r="A52" s="97">
        <v>45689</v>
      </c>
      <c r="B52" s="97" t="s">
        <v>1106</v>
      </c>
      <c r="C52" t="s">
        <v>584</v>
      </c>
      <c r="D52" t="s">
        <v>585</v>
      </c>
      <c r="E52" s="37" t="s">
        <v>586</v>
      </c>
      <c r="F52" s="37">
        <v>2025</v>
      </c>
      <c r="G52" s="37" t="s">
        <v>148</v>
      </c>
      <c r="H52" s="94">
        <v>24774775</v>
      </c>
      <c r="I52" s="119">
        <v>0</v>
      </c>
      <c r="J52" s="89">
        <v>0</v>
      </c>
      <c r="K52" s="89">
        <f t="shared" si="0"/>
        <v>189900662</v>
      </c>
      <c r="L52" t="s">
        <v>15</v>
      </c>
      <c r="M52" s="2" t="s">
        <v>15</v>
      </c>
      <c r="N52" t="s">
        <v>15</v>
      </c>
      <c r="O52" s="101" t="s">
        <v>15</v>
      </c>
    </row>
    <row r="53" spans="1:15">
      <c r="A53" s="97">
        <v>45689</v>
      </c>
      <c r="B53" s="97" t="s">
        <v>1106</v>
      </c>
      <c r="C53" t="s">
        <v>587</v>
      </c>
      <c r="D53" t="s">
        <v>209</v>
      </c>
      <c r="E53" s="37" t="s">
        <v>588</v>
      </c>
      <c r="F53" s="37">
        <v>2025</v>
      </c>
      <c r="G53" s="37" t="s">
        <v>148</v>
      </c>
      <c r="H53" s="94">
        <v>9909910</v>
      </c>
      <c r="I53" s="119">
        <v>0</v>
      </c>
      <c r="J53" s="89">
        <v>0</v>
      </c>
      <c r="K53" s="89">
        <f t="shared" si="0"/>
        <v>189900662</v>
      </c>
      <c r="L53" t="s">
        <v>15</v>
      </c>
      <c r="M53" s="2" t="s">
        <v>15</v>
      </c>
      <c r="N53" t="s">
        <v>15</v>
      </c>
      <c r="O53" s="101" t="s">
        <v>15</v>
      </c>
    </row>
    <row r="54" spans="1:15">
      <c r="A54" s="97">
        <v>45689</v>
      </c>
      <c r="B54" s="97" t="s">
        <v>1106</v>
      </c>
      <c r="C54" t="s">
        <v>589</v>
      </c>
      <c r="D54" t="s">
        <v>590</v>
      </c>
      <c r="E54" s="37" t="s">
        <v>591</v>
      </c>
      <c r="F54" s="37">
        <v>2025</v>
      </c>
      <c r="G54" s="37" t="s">
        <v>148</v>
      </c>
      <c r="H54" s="94">
        <v>4954955</v>
      </c>
      <c r="I54" s="119">
        <v>0</v>
      </c>
      <c r="J54" s="89">
        <v>0</v>
      </c>
      <c r="K54" s="89">
        <f t="shared" si="0"/>
        <v>189900662</v>
      </c>
      <c r="L54" t="s">
        <v>15</v>
      </c>
      <c r="M54" s="2" t="s">
        <v>15</v>
      </c>
      <c r="N54" t="s">
        <v>15</v>
      </c>
      <c r="O54" s="101" t="s">
        <v>15</v>
      </c>
    </row>
    <row r="55" spans="1:15">
      <c r="A55" s="97">
        <v>45689</v>
      </c>
      <c r="B55" s="97" t="s">
        <v>1106</v>
      </c>
      <c r="C55" t="s">
        <v>592</v>
      </c>
      <c r="D55" t="s">
        <v>593</v>
      </c>
      <c r="E55" s="37" t="s">
        <v>594</v>
      </c>
      <c r="F55" s="37">
        <v>2025</v>
      </c>
      <c r="G55" s="37" t="s">
        <v>148</v>
      </c>
      <c r="H55" s="94">
        <v>4954955</v>
      </c>
      <c r="I55" s="119">
        <v>0</v>
      </c>
      <c r="J55" s="89">
        <v>0</v>
      </c>
      <c r="K55" s="89">
        <f t="shared" si="0"/>
        <v>189900662</v>
      </c>
      <c r="L55" t="s">
        <v>15</v>
      </c>
      <c r="M55" s="2" t="s">
        <v>15</v>
      </c>
      <c r="N55" t="s">
        <v>15</v>
      </c>
      <c r="O55" s="101" t="s">
        <v>15</v>
      </c>
    </row>
    <row r="56" spans="1:15" s="30" customFormat="1">
      <c r="A56" s="99">
        <v>45689</v>
      </c>
      <c r="B56" s="97" t="s">
        <v>1106</v>
      </c>
      <c r="C56" s="30" t="s">
        <v>595</v>
      </c>
      <c r="D56" s="30" t="s">
        <v>207</v>
      </c>
      <c r="E56" s="39" t="s">
        <v>596</v>
      </c>
      <c r="F56" s="39">
        <v>2025</v>
      </c>
      <c r="G56" s="37" t="s">
        <v>148</v>
      </c>
      <c r="H56" s="94">
        <v>3468469</v>
      </c>
      <c r="I56" s="49">
        <v>0</v>
      </c>
      <c r="J56" s="89">
        <v>0</v>
      </c>
      <c r="K56" s="89">
        <f t="shared" si="0"/>
        <v>189900662</v>
      </c>
      <c r="L56" t="s">
        <v>15</v>
      </c>
      <c r="M56" s="2" t="s">
        <v>15</v>
      </c>
      <c r="N56" t="s">
        <v>15</v>
      </c>
      <c r="O56" s="101" t="s">
        <v>15</v>
      </c>
    </row>
    <row r="57" spans="1:15">
      <c r="A57" s="97">
        <v>45689</v>
      </c>
      <c r="B57" s="97" t="s">
        <v>1106</v>
      </c>
      <c r="C57" t="s">
        <v>597</v>
      </c>
      <c r="D57" t="s">
        <v>598</v>
      </c>
      <c r="E57" s="37" t="s">
        <v>599</v>
      </c>
      <c r="F57" s="37">
        <v>2025</v>
      </c>
      <c r="G57" s="37" t="s">
        <v>148</v>
      </c>
      <c r="H57" s="94">
        <v>5500000</v>
      </c>
      <c r="I57" s="119">
        <v>0</v>
      </c>
      <c r="J57" s="89">
        <v>0</v>
      </c>
      <c r="K57" s="89">
        <f t="shared" si="0"/>
        <v>189900662</v>
      </c>
      <c r="L57" t="s">
        <v>15</v>
      </c>
      <c r="M57" s="2" t="s">
        <v>15</v>
      </c>
      <c r="N57" t="s">
        <v>15</v>
      </c>
      <c r="O57" s="101" t="s">
        <v>15</v>
      </c>
    </row>
    <row r="58" spans="1:15">
      <c r="A58" s="97">
        <v>45689</v>
      </c>
      <c r="B58" s="97" t="s">
        <v>1106</v>
      </c>
      <c r="C58" t="s">
        <v>600</v>
      </c>
      <c r="D58" t="s">
        <v>205</v>
      </c>
      <c r="E58" s="37" t="s">
        <v>601</v>
      </c>
      <c r="F58" s="37">
        <v>2025</v>
      </c>
      <c r="G58" s="37" t="s">
        <v>148</v>
      </c>
      <c r="H58" s="94">
        <v>9909910</v>
      </c>
      <c r="I58" s="119">
        <v>0</v>
      </c>
      <c r="J58" s="89">
        <v>0</v>
      </c>
      <c r="K58" s="89">
        <f t="shared" si="0"/>
        <v>189900662</v>
      </c>
      <c r="L58" t="s">
        <v>15</v>
      </c>
      <c r="M58" s="2" t="s">
        <v>15</v>
      </c>
      <c r="N58" t="s">
        <v>15</v>
      </c>
      <c r="O58" s="101" t="s">
        <v>15</v>
      </c>
    </row>
    <row r="59" spans="1:15">
      <c r="A59" s="97">
        <v>45689</v>
      </c>
      <c r="B59" s="97" t="s">
        <v>1106</v>
      </c>
      <c r="C59" t="s">
        <v>602</v>
      </c>
      <c r="D59" t="s">
        <v>603</v>
      </c>
      <c r="E59" s="37" t="s">
        <v>604</v>
      </c>
      <c r="F59" s="37">
        <v>2025</v>
      </c>
      <c r="G59" s="37" t="s">
        <v>148</v>
      </c>
      <c r="H59" s="94">
        <v>24774775</v>
      </c>
      <c r="I59" s="119">
        <v>0</v>
      </c>
      <c r="J59" s="89">
        <v>0</v>
      </c>
      <c r="K59" s="89">
        <f t="shared" si="0"/>
        <v>189900662</v>
      </c>
      <c r="L59" t="s">
        <v>15</v>
      </c>
      <c r="M59" s="2" t="s">
        <v>15</v>
      </c>
      <c r="N59" t="s">
        <v>15</v>
      </c>
      <c r="O59" s="101" t="s">
        <v>15</v>
      </c>
    </row>
    <row r="60" spans="1:15">
      <c r="A60" s="97">
        <v>45689</v>
      </c>
      <c r="B60" s="97" t="s">
        <v>1106</v>
      </c>
      <c r="C60" t="s">
        <v>605</v>
      </c>
      <c r="D60" t="s">
        <v>606</v>
      </c>
      <c r="E60" s="37" t="s">
        <v>607</v>
      </c>
      <c r="F60" s="37">
        <v>2025</v>
      </c>
      <c r="G60" s="37" t="s">
        <v>148</v>
      </c>
      <c r="H60" s="94">
        <v>1650000</v>
      </c>
      <c r="I60" s="119">
        <v>0</v>
      </c>
      <c r="J60" s="89">
        <v>0</v>
      </c>
      <c r="K60" s="89">
        <f t="shared" si="0"/>
        <v>189900662</v>
      </c>
      <c r="L60" t="s">
        <v>15</v>
      </c>
      <c r="M60" s="2" t="s">
        <v>15</v>
      </c>
      <c r="N60" t="s">
        <v>15</v>
      </c>
      <c r="O60" s="101" t="s">
        <v>15</v>
      </c>
    </row>
    <row r="61" spans="1:15">
      <c r="A61" s="97">
        <v>45689</v>
      </c>
      <c r="B61" s="97" t="s">
        <v>1106</v>
      </c>
      <c r="C61" t="s">
        <v>608</v>
      </c>
      <c r="D61" t="s">
        <v>609</v>
      </c>
      <c r="E61" s="37" t="s">
        <v>610</v>
      </c>
      <c r="F61" s="37">
        <v>2025</v>
      </c>
      <c r="G61" s="37" t="s">
        <v>148</v>
      </c>
      <c r="H61" s="104">
        <v>2477478</v>
      </c>
      <c r="I61" s="119">
        <v>0</v>
      </c>
      <c r="J61" s="89">
        <v>0</v>
      </c>
      <c r="K61" s="89">
        <f t="shared" si="0"/>
        <v>189900662</v>
      </c>
      <c r="L61" t="s">
        <v>15</v>
      </c>
      <c r="M61" s="2" t="s">
        <v>15</v>
      </c>
      <c r="N61" t="s">
        <v>15</v>
      </c>
      <c r="O61" s="101" t="s">
        <v>15</v>
      </c>
    </row>
    <row r="62" spans="1:15">
      <c r="A62" s="97">
        <v>45689</v>
      </c>
      <c r="B62" s="97" t="s">
        <v>1106</v>
      </c>
      <c r="C62" t="s">
        <v>611</v>
      </c>
      <c r="D62" t="s">
        <v>612</v>
      </c>
      <c r="E62" s="37" t="s">
        <v>613</v>
      </c>
      <c r="F62" s="37">
        <v>2025</v>
      </c>
      <c r="G62" s="37" t="s">
        <v>148</v>
      </c>
      <c r="H62" s="94">
        <v>7432432</v>
      </c>
      <c r="I62" s="119">
        <v>0</v>
      </c>
      <c r="J62" s="89">
        <v>0</v>
      </c>
      <c r="K62" s="89">
        <f t="shared" si="0"/>
        <v>189900662</v>
      </c>
      <c r="L62" t="s">
        <v>15</v>
      </c>
      <c r="M62" s="2" t="s">
        <v>15</v>
      </c>
      <c r="N62" t="s">
        <v>15</v>
      </c>
      <c r="O62" s="101" t="s">
        <v>15</v>
      </c>
    </row>
    <row r="63" spans="1:15">
      <c r="A63" s="97">
        <v>45689</v>
      </c>
      <c r="B63" s="97" t="s">
        <v>1106</v>
      </c>
      <c r="C63" t="s">
        <v>614</v>
      </c>
      <c r="D63" t="s">
        <v>615</v>
      </c>
      <c r="E63" s="37" t="s">
        <v>616</v>
      </c>
      <c r="F63" s="37">
        <v>2025</v>
      </c>
      <c r="G63" s="37" t="s">
        <v>148</v>
      </c>
      <c r="H63" s="94">
        <v>7432432</v>
      </c>
      <c r="I63" s="119">
        <v>0</v>
      </c>
      <c r="J63" s="89">
        <v>0</v>
      </c>
      <c r="K63" s="89">
        <f t="shared" si="0"/>
        <v>189900662</v>
      </c>
      <c r="L63" t="s">
        <v>15</v>
      </c>
      <c r="M63" s="2" t="s">
        <v>15</v>
      </c>
      <c r="N63" t="s">
        <v>15</v>
      </c>
      <c r="O63" s="101" t="s">
        <v>15</v>
      </c>
    </row>
    <row r="64" spans="1:15">
      <c r="A64" s="97">
        <v>45689</v>
      </c>
      <c r="B64" s="97" t="s">
        <v>1106</v>
      </c>
      <c r="C64" t="s">
        <v>617</v>
      </c>
      <c r="D64" t="s">
        <v>618</v>
      </c>
      <c r="E64" s="37" t="s">
        <v>619</v>
      </c>
      <c r="F64" s="37">
        <v>2025</v>
      </c>
      <c r="G64" s="37" t="s">
        <v>148</v>
      </c>
      <c r="H64" s="94">
        <v>8250000</v>
      </c>
      <c r="I64" s="119">
        <v>0</v>
      </c>
      <c r="J64" s="89">
        <v>0</v>
      </c>
      <c r="K64" s="89">
        <f t="shared" si="0"/>
        <v>189900662</v>
      </c>
      <c r="L64" t="s">
        <v>15</v>
      </c>
      <c r="M64" s="2" t="s">
        <v>15</v>
      </c>
      <c r="N64" t="s">
        <v>15</v>
      </c>
      <c r="O64" s="101" t="s">
        <v>15</v>
      </c>
    </row>
    <row r="65" spans="1:15">
      <c r="A65" s="97">
        <v>45689</v>
      </c>
      <c r="B65" s="97" t="s">
        <v>1106</v>
      </c>
      <c r="C65" t="s">
        <v>620</v>
      </c>
      <c r="D65" t="s">
        <v>621</v>
      </c>
      <c r="E65" s="37" t="s">
        <v>622</v>
      </c>
      <c r="F65" s="37">
        <v>2025</v>
      </c>
      <c r="G65" s="37" t="s">
        <v>148</v>
      </c>
      <c r="H65" s="94">
        <v>4954955</v>
      </c>
      <c r="I65" s="119">
        <v>0</v>
      </c>
      <c r="J65" s="89">
        <v>0</v>
      </c>
      <c r="K65" s="89">
        <f t="shared" si="0"/>
        <v>189900662</v>
      </c>
      <c r="L65" t="s">
        <v>15</v>
      </c>
      <c r="M65" s="2" t="s">
        <v>15</v>
      </c>
      <c r="N65" t="s">
        <v>15</v>
      </c>
      <c r="O65" s="101" t="s">
        <v>15</v>
      </c>
    </row>
    <row r="66" spans="1:15">
      <c r="A66" s="97">
        <v>45689</v>
      </c>
      <c r="B66" s="97" t="s">
        <v>1106</v>
      </c>
      <c r="C66" t="s">
        <v>623</v>
      </c>
      <c r="D66" t="s">
        <v>624</v>
      </c>
      <c r="E66" s="37" t="s">
        <v>625</v>
      </c>
      <c r="F66" s="37">
        <v>2025</v>
      </c>
      <c r="G66" s="37" t="s">
        <v>148</v>
      </c>
      <c r="H66" s="94">
        <v>5500000</v>
      </c>
      <c r="I66" s="119">
        <v>0</v>
      </c>
      <c r="J66" s="89">
        <v>0</v>
      </c>
      <c r="K66" s="89">
        <f t="shared" si="0"/>
        <v>189900662</v>
      </c>
      <c r="L66" t="s">
        <v>15</v>
      </c>
      <c r="M66" s="2" t="s">
        <v>15</v>
      </c>
      <c r="N66" t="s">
        <v>15</v>
      </c>
      <c r="O66" s="101" t="s">
        <v>15</v>
      </c>
    </row>
    <row r="67" spans="1:15">
      <c r="A67" s="97">
        <v>45689</v>
      </c>
      <c r="B67" s="97" t="s">
        <v>1106</v>
      </c>
      <c r="C67" t="s">
        <v>626</v>
      </c>
      <c r="D67" t="s">
        <v>627</v>
      </c>
      <c r="E67" s="37" t="s">
        <v>628</v>
      </c>
      <c r="F67" s="37">
        <v>2025</v>
      </c>
      <c r="G67" s="37" t="s">
        <v>148</v>
      </c>
      <c r="H67" s="94">
        <v>4954955</v>
      </c>
      <c r="I67" s="119">
        <v>0</v>
      </c>
      <c r="J67" s="89">
        <v>0</v>
      </c>
      <c r="K67" s="89">
        <f t="shared" si="0"/>
        <v>189900662</v>
      </c>
      <c r="L67" t="s">
        <v>15</v>
      </c>
      <c r="M67" s="2" t="s">
        <v>15</v>
      </c>
      <c r="N67" t="s">
        <v>15</v>
      </c>
      <c r="O67" s="101" t="s">
        <v>15</v>
      </c>
    </row>
    <row r="68" spans="1:15">
      <c r="A68" s="97">
        <v>45689</v>
      </c>
      <c r="B68" s="97" t="s">
        <v>1106</v>
      </c>
      <c r="C68" t="s">
        <v>629</v>
      </c>
      <c r="D68" t="s">
        <v>630</v>
      </c>
      <c r="E68" s="37" t="s">
        <v>631</v>
      </c>
      <c r="F68" s="37">
        <v>2025</v>
      </c>
      <c r="G68" s="37" t="s">
        <v>148</v>
      </c>
      <c r="H68" s="94">
        <v>24774775</v>
      </c>
      <c r="I68" s="119">
        <v>0</v>
      </c>
      <c r="J68" s="89">
        <v>0</v>
      </c>
      <c r="K68" s="89">
        <f t="shared" si="0"/>
        <v>189900662</v>
      </c>
      <c r="L68" t="s">
        <v>15</v>
      </c>
      <c r="M68" s="2" t="s">
        <v>15</v>
      </c>
      <c r="N68" t="s">
        <v>15</v>
      </c>
      <c r="O68" s="101" t="s">
        <v>15</v>
      </c>
    </row>
    <row r="69" spans="1:15">
      <c r="A69" s="97">
        <v>45689</v>
      </c>
      <c r="B69" s="97" t="s">
        <v>1106</v>
      </c>
      <c r="C69" t="s">
        <v>632</v>
      </c>
      <c r="D69" t="s">
        <v>633</v>
      </c>
      <c r="E69" s="37" t="s">
        <v>634</v>
      </c>
      <c r="F69" s="37">
        <v>2025</v>
      </c>
      <c r="G69" s="37" t="s">
        <v>148</v>
      </c>
      <c r="H69" s="94">
        <v>3300000</v>
      </c>
      <c r="I69" s="119">
        <v>0</v>
      </c>
      <c r="J69" s="89">
        <v>0</v>
      </c>
      <c r="K69" s="89">
        <f t="shared" si="0"/>
        <v>189900662</v>
      </c>
      <c r="L69" t="s">
        <v>15</v>
      </c>
      <c r="M69" s="2" t="s">
        <v>15</v>
      </c>
      <c r="N69" t="s">
        <v>15</v>
      </c>
      <c r="O69" s="101" t="s">
        <v>15</v>
      </c>
    </row>
    <row r="70" spans="1:15">
      <c r="A70" s="97">
        <v>45689</v>
      </c>
      <c r="B70" s="97" t="s">
        <v>1106</v>
      </c>
      <c r="C70" t="s">
        <v>636</v>
      </c>
      <c r="D70" t="s">
        <v>637</v>
      </c>
      <c r="E70" s="37" t="s">
        <v>638</v>
      </c>
      <c r="F70" s="37">
        <v>2025</v>
      </c>
      <c r="G70" s="37" t="s">
        <v>148</v>
      </c>
      <c r="H70" s="94">
        <v>27500000</v>
      </c>
      <c r="I70" s="119">
        <v>0</v>
      </c>
      <c r="J70" s="89">
        <v>0</v>
      </c>
      <c r="K70" s="89">
        <f t="shared" ref="K70:K133" si="1">K69-I70+J70</f>
        <v>189900662</v>
      </c>
      <c r="L70" t="s">
        <v>15</v>
      </c>
      <c r="M70" s="2" t="s">
        <v>15</v>
      </c>
      <c r="N70" t="s">
        <v>15</v>
      </c>
      <c r="O70" s="101" t="s">
        <v>15</v>
      </c>
    </row>
    <row r="71" spans="1:15">
      <c r="A71" s="97">
        <v>45689</v>
      </c>
      <c r="B71" s="97" t="s">
        <v>1106</v>
      </c>
      <c r="C71" t="s">
        <v>639</v>
      </c>
      <c r="D71" t="s">
        <v>640</v>
      </c>
      <c r="E71" s="37" t="s">
        <v>641</v>
      </c>
      <c r="F71" s="37">
        <v>2025</v>
      </c>
      <c r="G71" s="37" t="s">
        <v>148</v>
      </c>
      <c r="H71" s="94">
        <v>9909910</v>
      </c>
      <c r="I71" s="119">
        <v>0</v>
      </c>
      <c r="J71" s="89">
        <v>0</v>
      </c>
      <c r="K71" s="89">
        <f t="shared" si="1"/>
        <v>189900662</v>
      </c>
      <c r="L71" t="s">
        <v>15</v>
      </c>
      <c r="M71" s="2" t="s">
        <v>15</v>
      </c>
      <c r="N71" t="s">
        <v>15</v>
      </c>
      <c r="O71" s="101" t="s">
        <v>15</v>
      </c>
    </row>
    <row r="72" spans="1:15">
      <c r="A72" s="97">
        <v>45689</v>
      </c>
      <c r="B72" s="97" t="s">
        <v>1106</v>
      </c>
      <c r="C72" t="s">
        <v>642</v>
      </c>
      <c r="D72" t="s">
        <v>643</v>
      </c>
      <c r="E72" s="37" t="s">
        <v>644</v>
      </c>
      <c r="F72" s="37">
        <v>2025</v>
      </c>
      <c r="G72" s="37" t="s">
        <v>148</v>
      </c>
      <c r="H72" s="94">
        <v>4954955</v>
      </c>
      <c r="I72" s="119">
        <v>0</v>
      </c>
      <c r="J72" s="89">
        <v>0</v>
      </c>
      <c r="K72" s="89">
        <f t="shared" si="1"/>
        <v>189900662</v>
      </c>
      <c r="L72" t="s">
        <v>15</v>
      </c>
      <c r="M72" s="2" t="s">
        <v>15</v>
      </c>
      <c r="N72" t="s">
        <v>15</v>
      </c>
      <c r="O72" s="101" t="s">
        <v>15</v>
      </c>
    </row>
    <row r="73" spans="1:15">
      <c r="A73" s="97">
        <v>45689</v>
      </c>
      <c r="B73" s="97" t="s">
        <v>1106</v>
      </c>
      <c r="C73" t="s">
        <v>645</v>
      </c>
      <c r="D73" t="s">
        <v>646</v>
      </c>
      <c r="E73" s="37" t="s">
        <v>647</v>
      </c>
      <c r="F73" s="37">
        <v>2025</v>
      </c>
      <c r="G73" s="37" t="s">
        <v>148</v>
      </c>
      <c r="H73" s="94">
        <v>1190750</v>
      </c>
      <c r="I73" s="119">
        <v>0</v>
      </c>
      <c r="J73" s="89">
        <v>0</v>
      </c>
      <c r="K73" s="89">
        <f t="shared" si="1"/>
        <v>189900662</v>
      </c>
      <c r="L73" t="s">
        <v>15</v>
      </c>
      <c r="M73" s="2" t="s">
        <v>15</v>
      </c>
      <c r="N73" t="s">
        <v>15</v>
      </c>
      <c r="O73" s="101" t="s">
        <v>15</v>
      </c>
    </row>
    <row r="74" spans="1:15">
      <c r="A74" s="97">
        <v>45689</v>
      </c>
      <c r="B74" s="97" t="s">
        <v>1106</v>
      </c>
      <c r="C74" t="s">
        <v>648</v>
      </c>
      <c r="D74" t="s">
        <v>646</v>
      </c>
      <c r="E74" s="37" t="s">
        <v>649</v>
      </c>
      <c r="F74" s="37">
        <v>2025</v>
      </c>
      <c r="G74" s="37" t="s">
        <v>148</v>
      </c>
      <c r="H74" s="94">
        <v>1190750</v>
      </c>
      <c r="I74" s="119">
        <v>0</v>
      </c>
      <c r="J74" s="89">
        <v>0</v>
      </c>
      <c r="K74" s="89">
        <f t="shared" si="1"/>
        <v>189900662</v>
      </c>
      <c r="L74" t="s">
        <v>15</v>
      </c>
      <c r="M74" s="2" t="s">
        <v>15</v>
      </c>
      <c r="N74" t="s">
        <v>15</v>
      </c>
      <c r="O74" s="101" t="s">
        <v>15</v>
      </c>
    </row>
    <row r="75" spans="1:15" s="30" customFormat="1" hidden="1">
      <c r="A75" s="99">
        <v>45689</v>
      </c>
      <c r="B75" s="97" t="s">
        <v>1106</v>
      </c>
      <c r="C75" s="30" t="s">
        <v>650</v>
      </c>
      <c r="D75" s="30" t="s">
        <v>651</v>
      </c>
      <c r="E75" s="39" t="s">
        <v>652</v>
      </c>
      <c r="F75" s="37">
        <v>2024</v>
      </c>
      <c r="G75" s="37" t="s">
        <v>148</v>
      </c>
      <c r="H75" s="40">
        <v>1859649</v>
      </c>
      <c r="I75" s="49">
        <v>0</v>
      </c>
      <c r="J75" s="89">
        <v>0</v>
      </c>
      <c r="K75" s="89">
        <f t="shared" si="1"/>
        <v>189900662</v>
      </c>
      <c r="L75" t="s">
        <v>15</v>
      </c>
      <c r="M75" s="2" t="s">
        <v>15</v>
      </c>
      <c r="N75" t="s">
        <v>15</v>
      </c>
      <c r="O75" s="101" t="s">
        <v>15</v>
      </c>
    </row>
    <row r="76" spans="1:15">
      <c r="A76" s="97">
        <v>45689</v>
      </c>
      <c r="B76" s="97" t="s">
        <v>1106</v>
      </c>
      <c r="C76" t="s">
        <v>653</v>
      </c>
      <c r="D76" t="s">
        <v>208</v>
      </c>
      <c r="E76" s="37" t="s">
        <v>654</v>
      </c>
      <c r="F76" s="37">
        <v>2025</v>
      </c>
      <c r="G76" s="37" t="s">
        <v>148</v>
      </c>
      <c r="H76" s="94">
        <v>8250000</v>
      </c>
      <c r="I76" s="119">
        <v>0</v>
      </c>
      <c r="J76" s="89">
        <v>0</v>
      </c>
      <c r="K76" s="89">
        <f t="shared" si="1"/>
        <v>189900662</v>
      </c>
      <c r="L76" t="s">
        <v>15</v>
      </c>
      <c r="M76" s="2" t="s">
        <v>15</v>
      </c>
      <c r="N76" s="45" t="s">
        <v>15</v>
      </c>
      <c r="O76" s="101" t="s">
        <v>15</v>
      </c>
    </row>
    <row r="77" spans="1:15">
      <c r="A77" s="97">
        <v>45689</v>
      </c>
      <c r="B77" s="97" t="s">
        <v>1106</v>
      </c>
      <c r="C77" t="s">
        <v>655</v>
      </c>
      <c r="D77" t="s">
        <v>656</v>
      </c>
      <c r="F77" s="39">
        <v>2025</v>
      </c>
      <c r="G77" s="39" t="s">
        <v>149</v>
      </c>
      <c r="H77" s="74">
        <v>550000</v>
      </c>
      <c r="I77" s="74">
        <v>550000</v>
      </c>
      <c r="J77" s="89">
        <v>0</v>
      </c>
      <c r="K77" s="89">
        <f t="shared" si="1"/>
        <v>189350662</v>
      </c>
      <c r="L77" t="s">
        <v>1</v>
      </c>
      <c r="M77" t="s">
        <v>1077</v>
      </c>
      <c r="N77" t="s">
        <v>1078</v>
      </c>
    </row>
    <row r="78" spans="1:15">
      <c r="A78" s="97">
        <v>45689</v>
      </c>
      <c r="B78" s="97" t="s">
        <v>1106</v>
      </c>
      <c r="C78" t="s">
        <v>657</v>
      </c>
      <c r="D78" t="s">
        <v>585</v>
      </c>
      <c r="F78" s="37">
        <v>2025</v>
      </c>
      <c r="G78" s="39" t="s">
        <v>149</v>
      </c>
      <c r="H78" s="74">
        <v>693000</v>
      </c>
      <c r="I78" s="74">
        <v>693000</v>
      </c>
      <c r="J78" s="89">
        <v>0</v>
      </c>
      <c r="K78" s="89">
        <f t="shared" si="1"/>
        <v>188657662</v>
      </c>
      <c r="L78" t="s">
        <v>1</v>
      </c>
      <c r="M78" t="s">
        <v>1077</v>
      </c>
      <c r="N78" t="s">
        <v>1078</v>
      </c>
    </row>
    <row r="79" spans="1:15">
      <c r="A79" s="97">
        <v>45689</v>
      </c>
      <c r="B79" s="97" t="s">
        <v>1106</v>
      </c>
      <c r="C79" t="s">
        <v>658</v>
      </c>
      <c r="D79" t="s">
        <v>630</v>
      </c>
      <c r="F79" s="37">
        <v>2025</v>
      </c>
      <c r="G79" s="39" t="s">
        <v>149</v>
      </c>
      <c r="H79" s="74">
        <v>572000</v>
      </c>
      <c r="I79" s="74">
        <v>572000</v>
      </c>
      <c r="J79" s="89">
        <v>0</v>
      </c>
      <c r="K79" s="89">
        <f t="shared" si="1"/>
        <v>188085662</v>
      </c>
      <c r="L79" t="s">
        <v>1</v>
      </c>
      <c r="M79" t="s">
        <v>1077</v>
      </c>
      <c r="N79" t="s">
        <v>1078</v>
      </c>
    </row>
    <row r="80" spans="1:15">
      <c r="A80" s="97">
        <v>45689</v>
      </c>
      <c r="B80" s="97" t="s">
        <v>1106</v>
      </c>
      <c r="C80" t="s">
        <v>659</v>
      </c>
      <c r="D80" t="s">
        <v>660</v>
      </c>
      <c r="F80" s="37">
        <v>2025</v>
      </c>
      <c r="G80" s="39" t="s">
        <v>149</v>
      </c>
      <c r="H80" s="74">
        <v>577500</v>
      </c>
      <c r="I80" s="74">
        <v>577500</v>
      </c>
      <c r="J80" s="89">
        <v>0</v>
      </c>
      <c r="K80" s="89">
        <f t="shared" si="1"/>
        <v>187508162</v>
      </c>
      <c r="L80" t="s">
        <v>1</v>
      </c>
      <c r="M80" t="s">
        <v>1077</v>
      </c>
      <c r="N80" t="s">
        <v>1078</v>
      </c>
    </row>
    <row r="81" spans="1:15">
      <c r="A81" s="97">
        <v>45689</v>
      </c>
      <c r="B81" s="97" t="s">
        <v>1106</v>
      </c>
      <c r="C81" t="s">
        <v>661</v>
      </c>
      <c r="D81" t="s">
        <v>640</v>
      </c>
      <c r="F81" s="39">
        <v>2025</v>
      </c>
      <c r="G81" s="39" t="s">
        <v>149</v>
      </c>
      <c r="H81" s="74">
        <v>550000</v>
      </c>
      <c r="I81" s="74">
        <v>550000</v>
      </c>
      <c r="J81" s="89">
        <v>0</v>
      </c>
      <c r="K81" s="89">
        <f t="shared" si="1"/>
        <v>186958162</v>
      </c>
      <c r="L81" t="s">
        <v>1</v>
      </c>
      <c r="M81" t="s">
        <v>1077</v>
      </c>
      <c r="N81" t="s">
        <v>1078</v>
      </c>
    </row>
    <row r="82" spans="1:15">
      <c r="A82" s="97">
        <v>45689</v>
      </c>
      <c r="B82" s="97" t="s">
        <v>1106</v>
      </c>
      <c r="C82" t="s">
        <v>662</v>
      </c>
      <c r="D82" t="s">
        <v>663</v>
      </c>
      <c r="F82" s="37">
        <v>2025</v>
      </c>
      <c r="G82" s="39" t="s">
        <v>149</v>
      </c>
      <c r="H82" s="74">
        <v>78014231</v>
      </c>
      <c r="I82" s="74">
        <v>78014231</v>
      </c>
      <c r="J82" s="89">
        <v>0</v>
      </c>
      <c r="K82" s="89">
        <f t="shared" si="1"/>
        <v>108943931</v>
      </c>
      <c r="L82" t="s">
        <v>1</v>
      </c>
      <c r="M82" t="s">
        <v>1077</v>
      </c>
      <c r="N82" t="s">
        <v>1078</v>
      </c>
    </row>
    <row r="83" spans="1:15">
      <c r="A83" s="97">
        <v>45689</v>
      </c>
      <c r="B83" s="97" t="s">
        <v>1106</v>
      </c>
      <c r="C83" t="s">
        <v>664</v>
      </c>
      <c r="D83" t="s">
        <v>665</v>
      </c>
      <c r="F83" s="37">
        <v>2025</v>
      </c>
      <c r="G83" s="39" t="s">
        <v>149</v>
      </c>
      <c r="H83" s="74">
        <v>3658763</v>
      </c>
      <c r="I83" s="74">
        <v>3658763</v>
      </c>
      <c r="J83" s="89">
        <v>0</v>
      </c>
      <c r="K83" s="89">
        <f t="shared" si="1"/>
        <v>105285168</v>
      </c>
      <c r="L83" t="s">
        <v>1</v>
      </c>
      <c r="M83" t="s">
        <v>1077</v>
      </c>
      <c r="N83" t="s">
        <v>1078</v>
      </c>
    </row>
    <row r="84" spans="1:15">
      <c r="A84" s="97">
        <v>45689</v>
      </c>
      <c r="B84" s="97" t="s">
        <v>1106</v>
      </c>
      <c r="C84" t="s">
        <v>666</v>
      </c>
      <c r="D84" t="s">
        <v>635</v>
      </c>
      <c r="F84" s="37">
        <v>2025</v>
      </c>
      <c r="G84" s="39" t="s">
        <v>149</v>
      </c>
      <c r="H84" s="74">
        <v>616000</v>
      </c>
      <c r="I84" s="74">
        <v>616000</v>
      </c>
      <c r="J84" s="89">
        <v>0</v>
      </c>
      <c r="K84" s="89">
        <f t="shared" si="1"/>
        <v>104669168</v>
      </c>
      <c r="L84" t="s">
        <v>1</v>
      </c>
      <c r="M84" t="s">
        <v>1077</v>
      </c>
      <c r="N84" t="s">
        <v>1078</v>
      </c>
    </row>
    <row r="85" spans="1:15" hidden="1">
      <c r="A85" s="97">
        <v>45717</v>
      </c>
      <c r="B85" s="97" t="s">
        <v>508</v>
      </c>
      <c r="D85" t="s">
        <v>667</v>
      </c>
      <c r="G85" s="37" t="s">
        <v>1107</v>
      </c>
      <c r="H85" s="49">
        <v>21230000</v>
      </c>
      <c r="I85" s="119">
        <v>0</v>
      </c>
      <c r="J85" s="49">
        <v>21230000</v>
      </c>
      <c r="K85" s="89">
        <f t="shared" si="1"/>
        <v>125899168</v>
      </c>
      <c r="L85" s="2" t="s">
        <v>308</v>
      </c>
      <c r="M85" s="2" t="s">
        <v>1109</v>
      </c>
      <c r="N85" s="2" t="s">
        <v>508</v>
      </c>
      <c r="O85" s="2" t="s">
        <v>509</v>
      </c>
    </row>
    <row r="86" spans="1:15" hidden="1">
      <c r="A86" s="97">
        <v>45717</v>
      </c>
      <c r="B86" s="97" t="s">
        <v>508</v>
      </c>
      <c r="D86" t="s">
        <v>561</v>
      </c>
      <c r="G86" s="37" t="s">
        <v>1107</v>
      </c>
      <c r="H86" s="49">
        <v>946819</v>
      </c>
      <c r="I86" s="119">
        <v>0</v>
      </c>
      <c r="J86" s="49">
        <v>946819</v>
      </c>
      <c r="K86" s="89">
        <f t="shared" si="1"/>
        <v>126845987</v>
      </c>
      <c r="L86" s="2" t="s">
        <v>308</v>
      </c>
      <c r="M86" s="2" t="s">
        <v>1109</v>
      </c>
      <c r="N86" s="2" t="s">
        <v>508</v>
      </c>
      <c r="O86" s="2" t="s">
        <v>509</v>
      </c>
    </row>
    <row r="87" spans="1:15" hidden="1">
      <c r="A87" s="97">
        <v>45717</v>
      </c>
      <c r="B87" s="97" t="s">
        <v>508</v>
      </c>
      <c r="D87" t="s">
        <v>564</v>
      </c>
      <c r="G87" s="37" t="s">
        <v>1107</v>
      </c>
      <c r="H87" s="49">
        <v>385000</v>
      </c>
      <c r="I87" s="119">
        <v>0</v>
      </c>
      <c r="J87" s="49">
        <v>385000</v>
      </c>
      <c r="K87" s="89">
        <f t="shared" si="1"/>
        <v>127230987</v>
      </c>
      <c r="L87" s="2" t="s">
        <v>308</v>
      </c>
      <c r="M87" s="2" t="s">
        <v>1109</v>
      </c>
      <c r="N87" s="2" t="s">
        <v>508</v>
      </c>
      <c r="O87" s="2" t="s">
        <v>509</v>
      </c>
    </row>
    <row r="88" spans="1:15" hidden="1">
      <c r="A88" s="97">
        <v>45717</v>
      </c>
      <c r="B88" s="97" t="s">
        <v>508</v>
      </c>
      <c r="D88" t="s">
        <v>552</v>
      </c>
      <c r="G88" s="37" t="s">
        <v>1107</v>
      </c>
      <c r="H88" s="49">
        <v>506000</v>
      </c>
      <c r="I88" s="119">
        <v>0</v>
      </c>
      <c r="J88" s="49">
        <v>506000</v>
      </c>
      <c r="K88" s="89">
        <f t="shared" si="1"/>
        <v>127736987</v>
      </c>
      <c r="L88" s="2" t="s">
        <v>308</v>
      </c>
      <c r="M88" s="2" t="s">
        <v>1109</v>
      </c>
      <c r="N88" s="2" t="s">
        <v>508</v>
      </c>
      <c r="O88" s="2" t="s">
        <v>509</v>
      </c>
    </row>
    <row r="89" spans="1:15" hidden="1">
      <c r="A89" s="97">
        <v>45717</v>
      </c>
      <c r="B89" s="97" t="s">
        <v>508</v>
      </c>
      <c r="D89" t="s">
        <v>552</v>
      </c>
      <c r="G89" s="37" t="s">
        <v>1107</v>
      </c>
      <c r="H89" s="49">
        <v>583000</v>
      </c>
      <c r="I89" s="119">
        <v>0</v>
      </c>
      <c r="J89" s="49">
        <v>583000</v>
      </c>
      <c r="K89" s="89">
        <f t="shared" si="1"/>
        <v>128319987</v>
      </c>
      <c r="L89" s="2" t="s">
        <v>308</v>
      </c>
      <c r="M89" s="2" t="s">
        <v>1109</v>
      </c>
      <c r="N89" s="2" t="s">
        <v>508</v>
      </c>
      <c r="O89" s="2" t="s">
        <v>509</v>
      </c>
    </row>
    <row r="90" spans="1:15" hidden="1">
      <c r="A90" s="97">
        <v>45717</v>
      </c>
      <c r="B90" s="97" t="s">
        <v>508</v>
      </c>
      <c r="D90" t="s">
        <v>548</v>
      </c>
      <c r="G90" s="37" t="s">
        <v>1107</v>
      </c>
      <c r="H90" s="49">
        <v>1981982</v>
      </c>
      <c r="I90" s="119">
        <v>0</v>
      </c>
      <c r="J90" s="49">
        <v>1981982</v>
      </c>
      <c r="K90" s="89">
        <f t="shared" si="1"/>
        <v>130301969</v>
      </c>
      <c r="L90" t="s">
        <v>308</v>
      </c>
      <c r="M90" t="s">
        <v>1110</v>
      </c>
      <c r="N90" t="s">
        <v>508</v>
      </c>
      <c r="O90" t="s">
        <v>509</v>
      </c>
    </row>
    <row r="91" spans="1:15" hidden="1">
      <c r="A91" s="97">
        <v>45717</v>
      </c>
      <c r="B91" s="97" t="s">
        <v>508</v>
      </c>
      <c r="D91" t="s">
        <v>668</v>
      </c>
      <c r="G91" s="37" t="s">
        <v>1107</v>
      </c>
      <c r="H91" s="49">
        <v>261800</v>
      </c>
      <c r="I91" s="119">
        <v>0</v>
      </c>
      <c r="J91" s="49">
        <v>261800</v>
      </c>
      <c r="K91" s="89">
        <f t="shared" si="1"/>
        <v>130563769</v>
      </c>
      <c r="L91" s="2" t="s">
        <v>308</v>
      </c>
      <c r="M91" s="2" t="s">
        <v>1109</v>
      </c>
      <c r="N91" s="2" t="s">
        <v>508</v>
      </c>
      <c r="O91" s="2" t="s">
        <v>509</v>
      </c>
    </row>
    <row r="92" spans="1:15" hidden="1">
      <c r="A92" s="97">
        <v>45717</v>
      </c>
      <c r="B92" s="97" t="s">
        <v>508</v>
      </c>
      <c r="D92" t="s">
        <v>550</v>
      </c>
      <c r="G92" s="37" t="s">
        <v>1107</v>
      </c>
      <c r="H92" s="49">
        <v>74324</v>
      </c>
      <c r="I92" s="119">
        <v>0</v>
      </c>
      <c r="J92" s="49">
        <v>74324</v>
      </c>
      <c r="K92" s="89">
        <f t="shared" si="1"/>
        <v>130638093</v>
      </c>
      <c r="L92" s="2" t="s">
        <v>308</v>
      </c>
      <c r="M92" s="2" t="s">
        <v>1109</v>
      </c>
      <c r="N92" s="2" t="s">
        <v>508</v>
      </c>
      <c r="O92" s="2" t="s">
        <v>509</v>
      </c>
    </row>
    <row r="93" spans="1:15" s="30" customFormat="1">
      <c r="A93" s="99">
        <v>45717</v>
      </c>
      <c r="B93" s="99" t="s">
        <v>1106</v>
      </c>
      <c r="C93" s="30" t="s">
        <v>669</v>
      </c>
      <c r="D93" s="30" t="s">
        <v>571</v>
      </c>
      <c r="E93" s="39" t="s">
        <v>670</v>
      </c>
      <c r="F93" s="39">
        <v>2025</v>
      </c>
      <c r="G93" s="39" t="s">
        <v>148</v>
      </c>
      <c r="H93" s="94">
        <v>18724750</v>
      </c>
      <c r="I93" s="49">
        <v>0</v>
      </c>
      <c r="J93" s="89">
        <v>0</v>
      </c>
      <c r="K93" s="89">
        <f t="shared" si="1"/>
        <v>130638093</v>
      </c>
      <c r="L93" t="s">
        <v>15</v>
      </c>
      <c r="M93" s="2" t="s">
        <v>15</v>
      </c>
      <c r="N93" s="45" t="s">
        <v>15</v>
      </c>
      <c r="O93" s="105" t="s">
        <v>15</v>
      </c>
    </row>
    <row r="94" spans="1:15">
      <c r="A94" s="97">
        <v>45717</v>
      </c>
      <c r="B94" s="99" t="s">
        <v>1106</v>
      </c>
      <c r="C94" t="s">
        <v>671</v>
      </c>
      <c r="D94" t="s">
        <v>672</v>
      </c>
      <c r="E94" s="37" t="s">
        <v>673</v>
      </c>
      <c r="F94" s="37">
        <v>2025</v>
      </c>
      <c r="G94" s="39" t="s">
        <v>148</v>
      </c>
      <c r="H94" s="94">
        <v>9909910</v>
      </c>
      <c r="I94" s="111">
        <v>0</v>
      </c>
      <c r="J94" s="89">
        <v>0</v>
      </c>
      <c r="K94" s="89">
        <f t="shared" si="1"/>
        <v>130638093</v>
      </c>
      <c r="L94" t="s">
        <v>15</v>
      </c>
      <c r="M94" s="2" t="s">
        <v>15</v>
      </c>
      <c r="N94" s="45" t="s">
        <v>15</v>
      </c>
      <c r="O94" s="105" t="s">
        <v>15</v>
      </c>
    </row>
    <row r="95" spans="1:15">
      <c r="A95" s="97">
        <v>45717</v>
      </c>
      <c r="B95" s="99" t="s">
        <v>1106</v>
      </c>
      <c r="C95" t="s">
        <v>674</v>
      </c>
      <c r="D95" t="s">
        <v>675</v>
      </c>
      <c r="E95" s="37" t="s">
        <v>676</v>
      </c>
      <c r="F95" s="37">
        <v>2025</v>
      </c>
      <c r="G95" s="39" t="s">
        <v>148</v>
      </c>
      <c r="H95" s="94">
        <v>24774775</v>
      </c>
      <c r="I95" s="111">
        <v>0</v>
      </c>
      <c r="J95" s="89">
        <v>0</v>
      </c>
      <c r="K95" s="89">
        <f t="shared" si="1"/>
        <v>130638093</v>
      </c>
      <c r="L95" t="s">
        <v>15</v>
      </c>
      <c r="M95" s="2" t="s">
        <v>15</v>
      </c>
      <c r="N95" s="45" t="s">
        <v>15</v>
      </c>
      <c r="O95" s="105" t="s">
        <v>15</v>
      </c>
    </row>
    <row r="96" spans="1:15" s="30" customFormat="1" hidden="1">
      <c r="A96" s="99">
        <v>45717</v>
      </c>
      <c r="B96" s="99" t="s">
        <v>1106</v>
      </c>
      <c r="C96" s="30" t="s">
        <v>677</v>
      </c>
      <c r="D96" s="30" t="s">
        <v>651</v>
      </c>
      <c r="E96" s="39" t="s">
        <v>678</v>
      </c>
      <c r="F96" s="39">
        <v>2024</v>
      </c>
      <c r="G96" s="39" t="s">
        <v>148</v>
      </c>
      <c r="H96" s="104">
        <v>70516984</v>
      </c>
      <c r="I96" s="49">
        <v>0</v>
      </c>
      <c r="J96" s="89">
        <v>0</v>
      </c>
      <c r="K96" s="89">
        <f t="shared" si="1"/>
        <v>130638093</v>
      </c>
      <c r="L96" t="s">
        <v>15</v>
      </c>
      <c r="M96" s="2" t="s">
        <v>15</v>
      </c>
      <c r="N96" s="45" t="s">
        <v>15</v>
      </c>
      <c r="O96" s="105" t="s">
        <v>15</v>
      </c>
    </row>
    <row r="97" spans="1:15" s="30" customFormat="1" hidden="1">
      <c r="A97" s="99">
        <v>45717</v>
      </c>
      <c r="B97" s="99" t="s">
        <v>1106</v>
      </c>
      <c r="C97" s="30" t="s">
        <v>679</v>
      </c>
      <c r="D97" s="30" t="s">
        <v>646</v>
      </c>
      <c r="E97" s="39" t="s">
        <v>680</v>
      </c>
      <c r="F97" s="39">
        <v>2024</v>
      </c>
      <c r="G97" s="39" t="s">
        <v>148</v>
      </c>
      <c r="H97" s="40">
        <v>23047200</v>
      </c>
      <c r="I97" s="49">
        <v>0</v>
      </c>
      <c r="J97" s="89">
        <v>0</v>
      </c>
      <c r="K97" s="89">
        <f t="shared" si="1"/>
        <v>130638093</v>
      </c>
      <c r="L97" t="s">
        <v>15</v>
      </c>
      <c r="M97" s="2" t="s">
        <v>15</v>
      </c>
      <c r="N97" s="45" t="s">
        <v>15</v>
      </c>
      <c r="O97" s="105" t="s">
        <v>15</v>
      </c>
    </row>
    <row r="98" spans="1:15" s="30" customFormat="1">
      <c r="A98" s="99">
        <v>45717</v>
      </c>
      <c r="B98" s="99" t="s">
        <v>1106</v>
      </c>
      <c r="C98" s="30" t="s">
        <v>681</v>
      </c>
      <c r="D98" s="30" t="s">
        <v>571</v>
      </c>
      <c r="E98" s="39" t="s">
        <v>682</v>
      </c>
      <c r="F98" s="39">
        <v>2025</v>
      </c>
      <c r="G98" s="39" t="s">
        <v>148</v>
      </c>
      <c r="H98" s="94">
        <v>22010670</v>
      </c>
      <c r="I98" s="49">
        <v>0</v>
      </c>
      <c r="J98" s="89">
        <v>0</v>
      </c>
      <c r="K98" s="89">
        <f t="shared" si="1"/>
        <v>130638093</v>
      </c>
      <c r="L98" t="s">
        <v>15</v>
      </c>
      <c r="M98" s="2" t="s">
        <v>15</v>
      </c>
      <c r="N98" s="45" t="s">
        <v>15</v>
      </c>
      <c r="O98" s="105" t="s">
        <v>15</v>
      </c>
    </row>
    <row r="99" spans="1:15">
      <c r="A99" s="97">
        <v>45717</v>
      </c>
      <c r="B99" s="99" t="s">
        <v>1106</v>
      </c>
      <c r="C99" t="s">
        <v>683</v>
      </c>
      <c r="D99" t="s">
        <v>571</v>
      </c>
      <c r="E99" s="37" t="s">
        <v>684</v>
      </c>
      <c r="F99" s="37">
        <v>2025</v>
      </c>
      <c r="G99" s="39" t="s">
        <v>148</v>
      </c>
      <c r="H99" s="94">
        <v>8898120</v>
      </c>
      <c r="I99" s="111">
        <v>0</v>
      </c>
      <c r="J99" s="89">
        <v>0</v>
      </c>
      <c r="K99" s="89">
        <f t="shared" si="1"/>
        <v>130638093</v>
      </c>
      <c r="L99" t="s">
        <v>15</v>
      </c>
      <c r="M99" s="2" t="s">
        <v>15</v>
      </c>
      <c r="N99" s="45" t="s">
        <v>15</v>
      </c>
      <c r="O99" s="105" t="s">
        <v>15</v>
      </c>
    </row>
    <row r="100" spans="1:15">
      <c r="A100" s="97">
        <v>45717</v>
      </c>
      <c r="B100" s="99" t="s">
        <v>1106</v>
      </c>
      <c r="C100" t="s">
        <v>685</v>
      </c>
      <c r="D100" t="s">
        <v>660</v>
      </c>
      <c r="E100" s="37" t="s">
        <v>686</v>
      </c>
      <c r="F100" s="37">
        <v>2025</v>
      </c>
      <c r="G100" s="39" t="s">
        <v>148</v>
      </c>
      <c r="H100" s="106">
        <v>68750000</v>
      </c>
      <c r="I100" s="111">
        <v>0</v>
      </c>
      <c r="J100" s="89">
        <v>0</v>
      </c>
      <c r="K100" s="89">
        <f t="shared" si="1"/>
        <v>130638093</v>
      </c>
      <c r="L100" t="s">
        <v>15</v>
      </c>
      <c r="M100" s="2" t="s">
        <v>15</v>
      </c>
      <c r="N100" s="45" t="s">
        <v>15</v>
      </c>
      <c r="O100" s="105" t="s">
        <v>15</v>
      </c>
    </row>
    <row r="101" spans="1:15" s="30" customFormat="1" hidden="1">
      <c r="A101" s="99">
        <v>45717</v>
      </c>
      <c r="B101" s="99" t="s">
        <v>1106</v>
      </c>
      <c r="C101" s="30" t="s">
        <v>687</v>
      </c>
      <c r="D101" s="30" t="s">
        <v>646</v>
      </c>
      <c r="E101" s="39" t="s">
        <v>688</v>
      </c>
      <c r="F101" s="37">
        <v>2024</v>
      </c>
      <c r="G101" s="39" t="s">
        <v>148</v>
      </c>
      <c r="H101" s="40">
        <v>2190177</v>
      </c>
      <c r="I101" s="49">
        <v>0</v>
      </c>
      <c r="J101" s="89">
        <v>0</v>
      </c>
      <c r="K101" s="89">
        <f t="shared" si="1"/>
        <v>130638093</v>
      </c>
      <c r="L101" t="s">
        <v>15</v>
      </c>
      <c r="M101" s="2" t="s">
        <v>15</v>
      </c>
      <c r="N101" s="45" t="s">
        <v>15</v>
      </c>
      <c r="O101" s="105" t="s">
        <v>15</v>
      </c>
    </row>
    <row r="102" spans="1:15" s="30" customFormat="1" hidden="1">
      <c r="A102" s="99">
        <v>45717</v>
      </c>
      <c r="B102" s="99" t="s">
        <v>1106</v>
      </c>
      <c r="C102" s="30" t="s">
        <v>689</v>
      </c>
      <c r="D102" s="30" t="s">
        <v>646</v>
      </c>
      <c r="E102" s="39" t="s">
        <v>690</v>
      </c>
      <c r="F102" s="39">
        <v>2024</v>
      </c>
      <c r="G102" s="39" t="s">
        <v>148</v>
      </c>
      <c r="H102" s="40">
        <v>42173376</v>
      </c>
      <c r="I102" s="58">
        <v>0</v>
      </c>
      <c r="J102" s="89">
        <v>0</v>
      </c>
      <c r="K102" s="89">
        <f t="shared" si="1"/>
        <v>130638093</v>
      </c>
      <c r="L102" t="s">
        <v>15</v>
      </c>
      <c r="M102" s="2" t="s">
        <v>15</v>
      </c>
      <c r="N102" s="45" t="s">
        <v>15</v>
      </c>
      <c r="O102" s="105" t="s">
        <v>15</v>
      </c>
    </row>
    <row r="103" spans="1:15" s="30" customFormat="1" hidden="1">
      <c r="A103" s="99">
        <v>45717</v>
      </c>
      <c r="B103" s="99" t="s">
        <v>1106</v>
      </c>
      <c r="C103" s="30" t="s">
        <v>691</v>
      </c>
      <c r="D103" s="30" t="s">
        <v>692</v>
      </c>
      <c r="E103" s="39" t="s">
        <v>693</v>
      </c>
      <c r="F103" s="39">
        <v>2024</v>
      </c>
      <c r="G103" s="39" t="s">
        <v>148</v>
      </c>
      <c r="H103" s="104">
        <v>27014020</v>
      </c>
      <c r="I103" s="49">
        <v>0</v>
      </c>
      <c r="J103" s="89">
        <v>0</v>
      </c>
      <c r="K103" s="89">
        <f t="shared" si="1"/>
        <v>130638093</v>
      </c>
      <c r="L103" t="s">
        <v>15</v>
      </c>
      <c r="M103" s="2" t="s">
        <v>15</v>
      </c>
      <c r="N103" s="45" t="s">
        <v>15</v>
      </c>
      <c r="O103" s="105" t="s">
        <v>15</v>
      </c>
    </row>
    <row r="104" spans="1:15">
      <c r="A104" s="97">
        <v>45717</v>
      </c>
      <c r="B104" s="99" t="s">
        <v>1106</v>
      </c>
      <c r="C104" t="s">
        <v>694</v>
      </c>
      <c r="D104" t="s">
        <v>646</v>
      </c>
      <c r="E104" s="37" t="s">
        <v>695</v>
      </c>
      <c r="F104" s="37">
        <v>2025</v>
      </c>
      <c r="G104" s="39" t="s">
        <v>148</v>
      </c>
      <c r="H104" s="94">
        <v>1269204</v>
      </c>
      <c r="I104" s="111">
        <v>0</v>
      </c>
      <c r="J104" s="89">
        <v>0</v>
      </c>
      <c r="K104" s="89">
        <f t="shared" si="1"/>
        <v>130638093</v>
      </c>
      <c r="L104" t="s">
        <v>15</v>
      </c>
      <c r="M104" s="2" t="s">
        <v>15</v>
      </c>
      <c r="N104" s="45" t="s">
        <v>15</v>
      </c>
      <c r="O104" s="105" t="s">
        <v>15</v>
      </c>
    </row>
    <row r="105" spans="1:15">
      <c r="A105" s="97">
        <v>45717</v>
      </c>
      <c r="B105" s="99" t="s">
        <v>1106</v>
      </c>
      <c r="C105" t="s">
        <v>696</v>
      </c>
      <c r="D105" t="s">
        <v>697</v>
      </c>
      <c r="E105" s="37" t="s">
        <v>698</v>
      </c>
      <c r="F105" s="37">
        <v>2025</v>
      </c>
      <c r="G105" s="39" t="s">
        <v>148</v>
      </c>
      <c r="H105" s="94">
        <v>5200641</v>
      </c>
      <c r="I105" s="111">
        <v>0</v>
      </c>
      <c r="J105" s="89">
        <v>0</v>
      </c>
      <c r="K105" s="89">
        <f t="shared" si="1"/>
        <v>130638093</v>
      </c>
      <c r="L105" t="s">
        <v>15</v>
      </c>
      <c r="M105" s="2" t="s">
        <v>15</v>
      </c>
      <c r="N105" s="45" t="s">
        <v>15</v>
      </c>
      <c r="O105" s="105" t="s">
        <v>15</v>
      </c>
    </row>
    <row r="106" spans="1:15" s="30" customFormat="1" hidden="1">
      <c r="A106" s="99">
        <v>45717</v>
      </c>
      <c r="B106" s="99" t="s">
        <v>1106</v>
      </c>
      <c r="C106" s="30" t="s">
        <v>699</v>
      </c>
      <c r="D106" s="30" t="s">
        <v>646</v>
      </c>
      <c r="E106" s="39" t="s">
        <v>700</v>
      </c>
      <c r="F106" s="39">
        <v>2024</v>
      </c>
      <c r="G106" s="39" t="s">
        <v>148</v>
      </c>
      <c r="H106" s="40">
        <v>67801127</v>
      </c>
      <c r="I106" s="58">
        <v>0</v>
      </c>
      <c r="J106" s="89">
        <v>0</v>
      </c>
      <c r="K106" s="89">
        <f t="shared" si="1"/>
        <v>130638093</v>
      </c>
      <c r="L106" t="s">
        <v>15</v>
      </c>
      <c r="M106" s="2" t="s">
        <v>15</v>
      </c>
      <c r="N106" s="45" t="s">
        <v>15</v>
      </c>
      <c r="O106" s="105" t="s">
        <v>15</v>
      </c>
    </row>
    <row r="107" spans="1:15" s="30" customFormat="1" hidden="1">
      <c r="A107" s="99">
        <v>45717</v>
      </c>
      <c r="B107" s="99" t="s">
        <v>1106</v>
      </c>
      <c r="C107" s="30" t="s">
        <v>701</v>
      </c>
      <c r="D107" s="30" t="s">
        <v>646</v>
      </c>
      <c r="E107" s="39" t="s">
        <v>702</v>
      </c>
      <c r="F107" s="39">
        <v>2024</v>
      </c>
      <c r="G107" s="39" t="s">
        <v>148</v>
      </c>
      <c r="H107" s="40">
        <v>10008312</v>
      </c>
      <c r="I107" s="49">
        <v>0</v>
      </c>
      <c r="J107" s="89">
        <v>0</v>
      </c>
      <c r="K107" s="89">
        <f t="shared" si="1"/>
        <v>130638093</v>
      </c>
      <c r="L107" t="s">
        <v>15</v>
      </c>
      <c r="M107" s="2" t="s">
        <v>15</v>
      </c>
      <c r="N107" s="45" t="s">
        <v>15</v>
      </c>
      <c r="O107" s="105" t="s">
        <v>15</v>
      </c>
    </row>
    <row r="108" spans="1:15">
      <c r="A108" s="97">
        <v>45717</v>
      </c>
      <c r="B108" s="99" t="s">
        <v>1106</v>
      </c>
      <c r="C108" t="s">
        <v>703</v>
      </c>
      <c r="D108" t="s">
        <v>646</v>
      </c>
      <c r="E108" s="37" t="s">
        <v>704</v>
      </c>
      <c r="F108" s="37">
        <v>2025</v>
      </c>
      <c r="G108" s="39" t="s">
        <v>148</v>
      </c>
      <c r="H108" s="94">
        <v>1182500</v>
      </c>
      <c r="I108" s="111">
        <v>0</v>
      </c>
      <c r="J108" s="89">
        <v>0</v>
      </c>
      <c r="K108" s="89">
        <f t="shared" si="1"/>
        <v>130638093</v>
      </c>
      <c r="L108" t="s">
        <v>15</v>
      </c>
      <c r="M108" s="2" t="s">
        <v>15</v>
      </c>
      <c r="N108" s="45" t="s">
        <v>15</v>
      </c>
      <c r="O108" s="105" t="s">
        <v>15</v>
      </c>
    </row>
    <row r="109" spans="1:15">
      <c r="A109" s="97">
        <v>45717</v>
      </c>
      <c r="B109" s="97" t="s">
        <v>508</v>
      </c>
      <c r="D109" t="s">
        <v>663</v>
      </c>
      <c r="E109" s="37" t="s">
        <v>705</v>
      </c>
      <c r="F109" s="37">
        <v>2025</v>
      </c>
      <c r="G109" s="37" t="s">
        <v>149</v>
      </c>
      <c r="H109" s="74">
        <v>14814136</v>
      </c>
      <c r="I109" s="74">
        <v>14814136</v>
      </c>
      <c r="J109" s="89">
        <v>0</v>
      </c>
      <c r="K109" s="89">
        <f t="shared" si="1"/>
        <v>115823957</v>
      </c>
      <c r="L109" t="s">
        <v>1</v>
      </c>
      <c r="M109" t="s">
        <v>1077</v>
      </c>
      <c r="N109" t="s">
        <v>1078</v>
      </c>
    </row>
    <row r="110" spans="1:15">
      <c r="A110" s="97">
        <v>45717</v>
      </c>
      <c r="B110" s="97" t="s">
        <v>508</v>
      </c>
      <c r="D110" t="s">
        <v>646</v>
      </c>
      <c r="E110" s="37" t="s">
        <v>706</v>
      </c>
      <c r="F110" s="37">
        <v>2025</v>
      </c>
      <c r="G110" s="37" t="s">
        <v>149</v>
      </c>
      <c r="H110" s="74">
        <v>906030</v>
      </c>
      <c r="I110" s="74">
        <v>906030</v>
      </c>
      <c r="J110" s="89">
        <v>0</v>
      </c>
      <c r="K110" s="89">
        <f t="shared" si="1"/>
        <v>114917927</v>
      </c>
      <c r="L110" t="s">
        <v>1</v>
      </c>
      <c r="M110" t="s">
        <v>1077</v>
      </c>
      <c r="N110" t="s">
        <v>1078</v>
      </c>
    </row>
    <row r="111" spans="1:15">
      <c r="A111" s="97">
        <v>45717</v>
      </c>
      <c r="B111" s="97" t="s">
        <v>508</v>
      </c>
      <c r="D111" t="s">
        <v>707</v>
      </c>
      <c r="E111" s="37" t="s">
        <v>708</v>
      </c>
      <c r="F111" s="37">
        <v>2025</v>
      </c>
      <c r="G111" s="37" t="s">
        <v>149</v>
      </c>
      <c r="H111" s="74">
        <v>5047299</v>
      </c>
      <c r="I111" s="74">
        <v>5047299</v>
      </c>
      <c r="J111" s="89">
        <v>0</v>
      </c>
      <c r="K111" s="89">
        <f t="shared" si="1"/>
        <v>109870628</v>
      </c>
      <c r="L111" t="s">
        <v>1</v>
      </c>
      <c r="M111" t="s">
        <v>1077</v>
      </c>
      <c r="N111" t="s">
        <v>1078</v>
      </c>
    </row>
    <row r="112" spans="1:15" hidden="1">
      <c r="A112" s="97">
        <v>45748</v>
      </c>
      <c r="B112" s="97" t="s">
        <v>508</v>
      </c>
      <c r="D112" t="s">
        <v>709</v>
      </c>
      <c r="G112" s="37" t="s">
        <v>1107</v>
      </c>
      <c r="H112" s="49">
        <v>629948</v>
      </c>
      <c r="I112" s="119">
        <v>0</v>
      </c>
      <c r="J112" s="49">
        <v>629948</v>
      </c>
      <c r="K112" s="89">
        <f t="shared" si="1"/>
        <v>110500576</v>
      </c>
      <c r="L112" t="s">
        <v>308</v>
      </c>
      <c r="M112" t="s">
        <v>1110</v>
      </c>
      <c r="N112" t="s">
        <v>508</v>
      </c>
      <c r="O112" t="s">
        <v>454</v>
      </c>
    </row>
    <row r="113" spans="1:16" hidden="1">
      <c r="A113" s="97">
        <v>45748</v>
      </c>
      <c r="B113" s="97" t="s">
        <v>508</v>
      </c>
      <c r="D113" t="s">
        <v>561</v>
      </c>
      <c r="G113" s="37" t="s">
        <v>1107</v>
      </c>
      <c r="H113" s="49">
        <v>3313402</v>
      </c>
      <c r="I113" s="119">
        <v>0</v>
      </c>
      <c r="J113" s="49">
        <v>3313402</v>
      </c>
      <c r="K113" s="89">
        <f t="shared" si="1"/>
        <v>113813978</v>
      </c>
      <c r="L113" s="2" t="s">
        <v>308</v>
      </c>
      <c r="M113" s="2" t="s">
        <v>1109</v>
      </c>
      <c r="N113" s="2" t="s">
        <v>508</v>
      </c>
      <c r="O113" s="2" t="s">
        <v>454</v>
      </c>
    </row>
    <row r="114" spans="1:16" hidden="1">
      <c r="A114" s="97">
        <v>45748</v>
      </c>
      <c r="B114" s="97" t="s">
        <v>508</v>
      </c>
      <c r="D114" t="s">
        <v>552</v>
      </c>
      <c r="G114" s="37" t="s">
        <v>1107</v>
      </c>
      <c r="H114" s="49">
        <v>583000</v>
      </c>
      <c r="I114" s="119">
        <v>0</v>
      </c>
      <c r="J114" s="49">
        <v>583000</v>
      </c>
      <c r="K114" s="89">
        <f t="shared" si="1"/>
        <v>114396978</v>
      </c>
      <c r="L114" s="2" t="s">
        <v>308</v>
      </c>
      <c r="M114" s="2" t="s">
        <v>1109</v>
      </c>
      <c r="N114" s="2" t="s">
        <v>508</v>
      </c>
      <c r="O114" s="2" t="s">
        <v>454</v>
      </c>
    </row>
    <row r="115" spans="1:16" hidden="1">
      <c r="A115" s="97">
        <v>45748</v>
      </c>
      <c r="B115" s="97" t="s">
        <v>508</v>
      </c>
      <c r="D115" t="s">
        <v>552</v>
      </c>
      <c r="G115" s="37" t="s">
        <v>1107</v>
      </c>
      <c r="H115" s="49">
        <v>506000</v>
      </c>
      <c r="I115" s="119">
        <v>0</v>
      </c>
      <c r="J115" s="49">
        <v>506000</v>
      </c>
      <c r="K115" s="89">
        <f t="shared" si="1"/>
        <v>114902978</v>
      </c>
      <c r="L115" s="2" t="s">
        <v>308</v>
      </c>
      <c r="M115" s="2" t="s">
        <v>1109</v>
      </c>
      <c r="N115" s="2" t="s">
        <v>508</v>
      </c>
      <c r="O115" s="2" t="s">
        <v>454</v>
      </c>
    </row>
    <row r="116" spans="1:16" hidden="1">
      <c r="A116" s="97">
        <v>45748</v>
      </c>
      <c r="B116" s="97" t="s">
        <v>508</v>
      </c>
      <c r="D116" t="s">
        <v>564</v>
      </c>
      <c r="G116" s="37" t="s">
        <v>1107</v>
      </c>
      <c r="H116" s="49">
        <v>385000</v>
      </c>
      <c r="I116" s="119">
        <v>0</v>
      </c>
      <c r="J116" s="49">
        <v>385000</v>
      </c>
      <c r="K116" s="89">
        <f t="shared" si="1"/>
        <v>115287978</v>
      </c>
      <c r="L116" s="2" t="s">
        <v>308</v>
      </c>
      <c r="M116" s="2" t="s">
        <v>1109</v>
      </c>
      <c r="N116" s="2" t="s">
        <v>508</v>
      </c>
      <c r="O116" s="2" t="s">
        <v>454</v>
      </c>
    </row>
    <row r="117" spans="1:16" hidden="1">
      <c r="A117" s="97">
        <v>45748</v>
      </c>
      <c r="B117" s="97" t="s">
        <v>508</v>
      </c>
      <c r="D117" t="s">
        <v>548</v>
      </c>
      <c r="G117" s="37" t="s">
        <v>1107</v>
      </c>
      <c r="H117" s="49">
        <v>1981982</v>
      </c>
      <c r="I117" s="119">
        <v>0</v>
      </c>
      <c r="J117" s="49">
        <v>1981982</v>
      </c>
      <c r="K117" s="89">
        <f t="shared" si="1"/>
        <v>117269960</v>
      </c>
      <c r="L117" t="s">
        <v>308</v>
      </c>
      <c r="M117" t="s">
        <v>1110</v>
      </c>
      <c r="N117" t="s">
        <v>508</v>
      </c>
      <c r="O117" t="s">
        <v>454</v>
      </c>
    </row>
    <row r="118" spans="1:16" hidden="1">
      <c r="A118" s="97">
        <v>45748</v>
      </c>
      <c r="B118" s="97" t="s">
        <v>508</v>
      </c>
      <c r="D118" t="s">
        <v>550</v>
      </c>
      <c r="G118" s="37" t="s">
        <v>1107</v>
      </c>
      <c r="H118" s="49">
        <v>74324</v>
      </c>
      <c r="I118" s="119">
        <v>0</v>
      </c>
      <c r="J118" s="49">
        <v>74324</v>
      </c>
      <c r="K118" s="89">
        <f t="shared" si="1"/>
        <v>117344284</v>
      </c>
      <c r="L118" s="2" t="s">
        <v>308</v>
      </c>
      <c r="M118" s="2" t="s">
        <v>1109</v>
      </c>
      <c r="N118" s="2" t="s">
        <v>508</v>
      </c>
      <c r="O118" s="2" t="s">
        <v>454</v>
      </c>
    </row>
    <row r="119" spans="1:16" hidden="1">
      <c r="A119" s="97">
        <v>45748</v>
      </c>
      <c r="B119" s="97" t="s">
        <v>508</v>
      </c>
      <c r="D119" t="s">
        <v>560</v>
      </c>
      <c r="G119" s="37" t="s">
        <v>1107</v>
      </c>
      <c r="H119" s="49">
        <v>2211000</v>
      </c>
      <c r="I119" s="119">
        <v>0</v>
      </c>
      <c r="J119" s="49">
        <v>2211000</v>
      </c>
      <c r="K119" s="89">
        <f t="shared" si="1"/>
        <v>119555284</v>
      </c>
      <c r="L119" s="2" t="s">
        <v>308</v>
      </c>
      <c r="M119" s="2" t="s">
        <v>1109</v>
      </c>
      <c r="N119" s="2" t="s">
        <v>508</v>
      </c>
      <c r="O119" s="2" t="s">
        <v>454</v>
      </c>
    </row>
    <row r="120" spans="1:16" s="30" customFormat="1" hidden="1">
      <c r="A120" s="99">
        <v>45748</v>
      </c>
      <c r="B120" s="99" t="s">
        <v>1106</v>
      </c>
      <c r="C120" s="30" t="s">
        <v>710</v>
      </c>
      <c r="D120" s="30" t="s">
        <v>692</v>
      </c>
      <c r="E120" s="39" t="s">
        <v>711</v>
      </c>
      <c r="F120" s="37">
        <v>2024</v>
      </c>
      <c r="G120" s="37" t="s">
        <v>148</v>
      </c>
      <c r="H120" s="104">
        <v>2006730</v>
      </c>
      <c r="I120" s="49">
        <v>0</v>
      </c>
      <c r="J120" s="89">
        <v>0</v>
      </c>
      <c r="K120" s="89">
        <f t="shared" si="1"/>
        <v>119555284</v>
      </c>
      <c r="L120" t="s">
        <v>15</v>
      </c>
      <c r="M120" s="2" t="s">
        <v>15</v>
      </c>
      <c r="N120" s="2" t="s">
        <v>15</v>
      </c>
      <c r="O120" s="71" t="s">
        <v>15</v>
      </c>
    </row>
    <row r="121" spans="1:16">
      <c r="A121" s="97">
        <v>45748</v>
      </c>
      <c r="B121" s="99" t="s">
        <v>1106</v>
      </c>
      <c r="C121" t="s">
        <v>712</v>
      </c>
      <c r="D121" t="s">
        <v>558</v>
      </c>
      <c r="E121" s="37" t="s">
        <v>713</v>
      </c>
      <c r="F121" s="37">
        <v>2025</v>
      </c>
      <c r="G121" s="37" t="s">
        <v>148</v>
      </c>
      <c r="H121" s="94">
        <v>9020550</v>
      </c>
      <c r="I121" s="119">
        <v>0</v>
      </c>
      <c r="J121" s="89">
        <v>0</v>
      </c>
      <c r="K121" s="89">
        <f t="shared" si="1"/>
        <v>119555284</v>
      </c>
      <c r="L121" t="s">
        <v>15</v>
      </c>
      <c r="M121" s="2" t="s">
        <v>15</v>
      </c>
      <c r="N121" s="2" t="s">
        <v>15</v>
      </c>
      <c r="O121" s="71" t="s">
        <v>15</v>
      </c>
    </row>
    <row r="122" spans="1:16">
      <c r="A122" s="97">
        <v>45748</v>
      </c>
      <c r="B122" s="99" t="s">
        <v>1106</v>
      </c>
      <c r="C122" t="s">
        <v>714</v>
      </c>
      <c r="D122" t="s">
        <v>635</v>
      </c>
      <c r="E122" s="37" t="s">
        <v>715</v>
      </c>
      <c r="F122" s="37">
        <v>2025</v>
      </c>
      <c r="G122" s="37" t="s">
        <v>148</v>
      </c>
      <c r="H122" s="94">
        <v>49549550</v>
      </c>
      <c r="I122" s="119">
        <v>0</v>
      </c>
      <c r="J122" s="89">
        <v>0</v>
      </c>
      <c r="K122" s="89">
        <f t="shared" si="1"/>
        <v>119555284</v>
      </c>
      <c r="L122" t="s">
        <v>15</v>
      </c>
      <c r="M122" s="2" t="s">
        <v>15</v>
      </c>
      <c r="N122" s="2" t="s">
        <v>15</v>
      </c>
      <c r="O122" s="71" t="s">
        <v>15</v>
      </c>
    </row>
    <row r="123" spans="1:16" s="76" customFormat="1">
      <c r="A123" s="109">
        <v>45748</v>
      </c>
      <c r="B123" s="102" t="s">
        <v>1106</v>
      </c>
      <c r="C123" s="76" t="s">
        <v>716</v>
      </c>
      <c r="D123" s="76" t="s">
        <v>646</v>
      </c>
      <c r="E123" s="118" t="s">
        <v>717</v>
      </c>
      <c r="F123" s="118"/>
      <c r="G123" s="118" t="s">
        <v>148</v>
      </c>
      <c r="H123" s="111">
        <v>4628197</v>
      </c>
      <c r="I123" s="111">
        <v>0</v>
      </c>
      <c r="J123" s="111">
        <v>0</v>
      </c>
      <c r="K123" s="110">
        <f t="shared" si="1"/>
        <v>119555284</v>
      </c>
      <c r="L123" s="44" t="s">
        <v>15</v>
      </c>
      <c r="M123" s="76" t="s">
        <v>15</v>
      </c>
      <c r="N123" s="76" t="s">
        <v>15</v>
      </c>
      <c r="O123" s="72" t="s">
        <v>15</v>
      </c>
      <c r="P123" s="72" t="s">
        <v>1070</v>
      </c>
    </row>
    <row r="124" spans="1:16" s="2" customFormat="1" hidden="1">
      <c r="A124" s="112">
        <v>45748</v>
      </c>
      <c r="B124" s="99" t="s">
        <v>1106</v>
      </c>
      <c r="C124" s="82" t="s">
        <v>719</v>
      </c>
      <c r="D124" s="2" t="s">
        <v>1071</v>
      </c>
      <c r="E124" s="75" t="s">
        <v>720</v>
      </c>
      <c r="F124" s="75">
        <v>2024</v>
      </c>
      <c r="G124" s="75" t="s">
        <v>149</v>
      </c>
      <c r="H124" s="49">
        <v>0</v>
      </c>
      <c r="I124" s="49">
        <v>0</v>
      </c>
      <c r="J124" s="49">
        <v>0</v>
      </c>
      <c r="K124" s="89">
        <f t="shared" si="1"/>
        <v>119555284</v>
      </c>
      <c r="L124" t="s">
        <v>1</v>
      </c>
      <c r="M124" t="s">
        <v>1077</v>
      </c>
      <c r="N124" t="s">
        <v>1078</v>
      </c>
      <c r="P124" s="126" t="s">
        <v>1118</v>
      </c>
    </row>
    <row r="125" spans="1:16">
      <c r="A125" s="97">
        <v>45748</v>
      </c>
      <c r="B125" s="99" t="s">
        <v>1106</v>
      </c>
      <c r="C125" t="s">
        <v>721</v>
      </c>
      <c r="D125" t="s">
        <v>722</v>
      </c>
      <c r="E125" s="37" t="s">
        <v>723</v>
      </c>
      <c r="F125" s="37">
        <v>2025</v>
      </c>
      <c r="G125" s="75" t="s">
        <v>149</v>
      </c>
      <c r="H125" s="74">
        <v>1516305</v>
      </c>
      <c r="I125" s="74">
        <v>1516305</v>
      </c>
      <c r="J125" s="74">
        <v>0</v>
      </c>
      <c r="K125" s="89">
        <f t="shared" si="1"/>
        <v>118038979</v>
      </c>
      <c r="L125" t="s">
        <v>1</v>
      </c>
      <c r="M125" t="s">
        <v>1077</v>
      </c>
      <c r="N125" t="s">
        <v>1078</v>
      </c>
    </row>
    <row r="126" spans="1:16">
      <c r="A126" s="97">
        <v>45748</v>
      </c>
      <c r="B126" s="99" t="s">
        <v>1106</v>
      </c>
      <c r="C126" t="s">
        <v>724</v>
      </c>
      <c r="D126" t="s">
        <v>722</v>
      </c>
      <c r="E126" s="37" t="s">
        <v>725</v>
      </c>
      <c r="F126" s="37">
        <v>2025</v>
      </c>
      <c r="G126" s="75" t="s">
        <v>149</v>
      </c>
      <c r="H126" s="74">
        <v>1516305</v>
      </c>
      <c r="I126" s="74">
        <v>1516305</v>
      </c>
      <c r="J126" s="74">
        <v>0</v>
      </c>
      <c r="K126" s="89">
        <f t="shared" si="1"/>
        <v>116522674</v>
      </c>
      <c r="L126" t="s">
        <v>1</v>
      </c>
      <c r="M126" t="s">
        <v>1077</v>
      </c>
      <c r="N126" t="s">
        <v>1078</v>
      </c>
    </row>
    <row r="127" spans="1:16">
      <c r="A127" s="97">
        <v>45748</v>
      </c>
      <c r="B127" s="99" t="s">
        <v>1106</v>
      </c>
      <c r="C127" t="s">
        <v>726</v>
      </c>
      <c r="D127" t="s">
        <v>722</v>
      </c>
      <c r="E127" s="37" t="s">
        <v>727</v>
      </c>
      <c r="F127" s="37">
        <v>2025</v>
      </c>
      <c r="G127" s="75" t="s">
        <v>149</v>
      </c>
      <c r="H127" s="74">
        <v>758153</v>
      </c>
      <c r="I127" s="74">
        <v>758153</v>
      </c>
      <c r="J127" s="74">
        <v>0</v>
      </c>
      <c r="K127" s="89">
        <f t="shared" si="1"/>
        <v>115764521</v>
      </c>
      <c r="L127" t="s">
        <v>1</v>
      </c>
      <c r="M127" t="s">
        <v>1077</v>
      </c>
      <c r="N127" t="s">
        <v>1078</v>
      </c>
    </row>
    <row r="128" spans="1:16">
      <c r="A128" s="97">
        <v>45748</v>
      </c>
      <c r="B128" s="99" t="s">
        <v>1106</v>
      </c>
      <c r="C128" t="s">
        <v>728</v>
      </c>
      <c r="D128" t="s">
        <v>729</v>
      </c>
      <c r="E128" s="37" t="s">
        <v>730</v>
      </c>
      <c r="F128" s="37">
        <v>2025</v>
      </c>
      <c r="G128" s="75" t="s">
        <v>149</v>
      </c>
      <c r="H128" s="74">
        <v>1961381</v>
      </c>
      <c r="I128" s="74">
        <v>1961381</v>
      </c>
      <c r="J128" s="74">
        <v>0</v>
      </c>
      <c r="K128" s="89">
        <f t="shared" si="1"/>
        <v>113803140</v>
      </c>
      <c r="L128" t="s">
        <v>1</v>
      </c>
      <c r="M128" t="s">
        <v>1077</v>
      </c>
      <c r="N128" t="s">
        <v>1078</v>
      </c>
    </row>
    <row r="129" spans="1:15">
      <c r="A129" s="97">
        <v>45748</v>
      </c>
      <c r="B129" s="99" t="s">
        <v>1106</v>
      </c>
      <c r="C129" t="s">
        <v>731</v>
      </c>
      <c r="D129" t="s">
        <v>732</v>
      </c>
      <c r="E129" s="37" t="s">
        <v>733</v>
      </c>
      <c r="F129" s="37">
        <v>2025</v>
      </c>
      <c r="G129" s="75" t="s">
        <v>149</v>
      </c>
      <c r="H129" s="74">
        <v>4252050</v>
      </c>
      <c r="I129" s="74">
        <v>4252050</v>
      </c>
      <c r="J129" s="74">
        <v>0</v>
      </c>
      <c r="K129" s="89">
        <f t="shared" si="1"/>
        <v>109551090</v>
      </c>
      <c r="L129" t="s">
        <v>1</v>
      </c>
      <c r="M129" t="s">
        <v>1077</v>
      </c>
      <c r="N129" t="s">
        <v>1078</v>
      </c>
    </row>
    <row r="130" spans="1:15">
      <c r="A130" s="97">
        <v>45748</v>
      </c>
      <c r="B130" s="99" t="s">
        <v>1106</v>
      </c>
      <c r="C130" t="s">
        <v>734</v>
      </c>
      <c r="D130" t="s">
        <v>732</v>
      </c>
      <c r="E130" s="37" t="s">
        <v>735</v>
      </c>
      <c r="F130" s="37">
        <v>2025</v>
      </c>
      <c r="G130" s="75" t="s">
        <v>149</v>
      </c>
      <c r="H130" s="74">
        <v>187948</v>
      </c>
      <c r="I130" s="74">
        <v>187948</v>
      </c>
      <c r="J130" s="74">
        <v>0</v>
      </c>
      <c r="K130" s="89">
        <f t="shared" si="1"/>
        <v>109363142</v>
      </c>
      <c r="L130" t="s">
        <v>1</v>
      </c>
      <c r="M130" t="s">
        <v>1077</v>
      </c>
      <c r="N130" t="s">
        <v>1078</v>
      </c>
    </row>
    <row r="131" spans="1:15">
      <c r="A131" s="97">
        <v>45748</v>
      </c>
      <c r="B131" s="99" t="s">
        <v>1106</v>
      </c>
      <c r="C131" t="s">
        <v>736</v>
      </c>
      <c r="D131" t="s">
        <v>732</v>
      </c>
      <c r="E131" s="37" t="s">
        <v>737</v>
      </c>
      <c r="F131" s="37">
        <v>2025</v>
      </c>
      <c r="G131" s="75" t="s">
        <v>149</v>
      </c>
      <c r="H131" s="74">
        <v>5243769</v>
      </c>
      <c r="I131" s="74">
        <v>5243769</v>
      </c>
      <c r="J131" s="74">
        <v>0</v>
      </c>
      <c r="K131" s="89">
        <f t="shared" si="1"/>
        <v>104119373</v>
      </c>
      <c r="L131" t="s">
        <v>1</v>
      </c>
      <c r="M131" t="s">
        <v>1077</v>
      </c>
      <c r="N131" t="s">
        <v>1078</v>
      </c>
    </row>
    <row r="132" spans="1:15">
      <c r="A132" s="97">
        <v>45748</v>
      </c>
      <c r="B132" s="99" t="s">
        <v>1106</v>
      </c>
      <c r="C132" t="s">
        <v>738</v>
      </c>
      <c r="D132" t="s">
        <v>663</v>
      </c>
      <c r="E132" s="37" t="s">
        <v>739</v>
      </c>
      <c r="F132" s="37" t="s">
        <v>15</v>
      </c>
      <c r="G132" s="75" t="s">
        <v>149</v>
      </c>
      <c r="H132" s="74">
        <v>761179</v>
      </c>
      <c r="I132" s="74">
        <v>761179</v>
      </c>
      <c r="J132" s="74">
        <v>0</v>
      </c>
      <c r="K132" s="89">
        <f t="shared" si="1"/>
        <v>103358194</v>
      </c>
      <c r="L132" t="s">
        <v>310</v>
      </c>
      <c r="M132" t="s">
        <v>310</v>
      </c>
      <c r="N132" t="s">
        <v>1114</v>
      </c>
    </row>
    <row r="133" spans="1:15">
      <c r="A133" s="97">
        <v>45748</v>
      </c>
      <c r="B133" s="99" t="s">
        <v>1106</v>
      </c>
      <c r="C133" t="s">
        <v>740</v>
      </c>
      <c r="D133" t="s">
        <v>732</v>
      </c>
      <c r="E133" s="37" t="s">
        <v>741</v>
      </c>
      <c r="F133" s="37">
        <v>2025</v>
      </c>
      <c r="G133" s="75" t="s">
        <v>149</v>
      </c>
      <c r="H133" s="74">
        <v>573514</v>
      </c>
      <c r="I133" s="74">
        <v>573514</v>
      </c>
      <c r="J133" s="74">
        <v>0</v>
      </c>
      <c r="K133" s="89">
        <f t="shared" si="1"/>
        <v>102784680</v>
      </c>
      <c r="L133" t="s">
        <v>1</v>
      </c>
      <c r="M133" t="s">
        <v>1077</v>
      </c>
      <c r="N133" t="s">
        <v>1078</v>
      </c>
    </row>
    <row r="134" spans="1:15" hidden="1">
      <c r="A134" s="97">
        <v>45778</v>
      </c>
      <c r="B134" s="97" t="s">
        <v>508</v>
      </c>
      <c r="D134" t="s">
        <v>552</v>
      </c>
      <c r="G134" s="37" t="s">
        <v>1107</v>
      </c>
      <c r="H134" s="49">
        <v>506000</v>
      </c>
      <c r="I134" s="119">
        <v>0</v>
      </c>
      <c r="J134" s="49">
        <v>506000</v>
      </c>
      <c r="K134" s="89">
        <f t="shared" ref="K134:K197" si="2">K133-I134+J134</f>
        <v>103290680</v>
      </c>
      <c r="L134" s="2" t="s">
        <v>308</v>
      </c>
      <c r="M134" s="2" t="s">
        <v>1109</v>
      </c>
      <c r="N134" s="2" t="s">
        <v>508</v>
      </c>
      <c r="O134" s="2" t="s">
        <v>510</v>
      </c>
    </row>
    <row r="135" spans="1:15" hidden="1">
      <c r="A135" s="97">
        <v>45778</v>
      </c>
      <c r="B135" s="97" t="s">
        <v>508</v>
      </c>
      <c r="D135" t="s">
        <v>548</v>
      </c>
      <c r="G135" s="37" t="s">
        <v>1107</v>
      </c>
      <c r="H135" s="49">
        <v>1981982</v>
      </c>
      <c r="I135" s="119">
        <v>0</v>
      </c>
      <c r="J135" s="49">
        <v>1981982</v>
      </c>
      <c r="K135" s="89">
        <f t="shared" si="2"/>
        <v>105272662</v>
      </c>
      <c r="L135" t="s">
        <v>308</v>
      </c>
      <c r="M135" t="s">
        <v>1110</v>
      </c>
      <c r="N135" t="s">
        <v>508</v>
      </c>
      <c r="O135" t="s">
        <v>510</v>
      </c>
    </row>
    <row r="136" spans="1:15" hidden="1">
      <c r="A136" s="97">
        <v>45778</v>
      </c>
      <c r="B136" s="97" t="s">
        <v>508</v>
      </c>
      <c r="D136" t="s">
        <v>561</v>
      </c>
      <c r="G136" s="37" t="s">
        <v>1107</v>
      </c>
      <c r="H136" s="49">
        <v>1309791</v>
      </c>
      <c r="I136" s="119">
        <v>0</v>
      </c>
      <c r="J136" s="49">
        <v>1309791</v>
      </c>
      <c r="K136" s="89">
        <f t="shared" si="2"/>
        <v>106582453</v>
      </c>
      <c r="L136" s="2" t="s">
        <v>308</v>
      </c>
      <c r="M136" s="2" t="s">
        <v>1109</v>
      </c>
      <c r="N136" s="2" t="s">
        <v>508</v>
      </c>
      <c r="O136" s="2" t="s">
        <v>510</v>
      </c>
    </row>
    <row r="137" spans="1:15" hidden="1">
      <c r="A137" s="97">
        <v>45778</v>
      </c>
      <c r="B137" s="97" t="s">
        <v>508</v>
      </c>
      <c r="D137" t="s">
        <v>550</v>
      </c>
      <c r="G137" s="37" t="s">
        <v>1107</v>
      </c>
      <c r="H137" s="49">
        <v>74324</v>
      </c>
      <c r="I137" s="119">
        <v>0</v>
      </c>
      <c r="J137" s="49">
        <v>74324</v>
      </c>
      <c r="K137" s="89">
        <f t="shared" si="2"/>
        <v>106656777</v>
      </c>
      <c r="L137" s="2" t="s">
        <v>308</v>
      </c>
      <c r="M137" s="2" t="s">
        <v>1109</v>
      </c>
      <c r="N137" s="2" t="s">
        <v>508</v>
      </c>
      <c r="O137" s="2" t="s">
        <v>510</v>
      </c>
    </row>
    <row r="138" spans="1:15" hidden="1">
      <c r="A138" s="97">
        <v>45778</v>
      </c>
      <c r="B138" s="97" t="s">
        <v>508</v>
      </c>
      <c r="D138" t="s">
        <v>552</v>
      </c>
      <c r="G138" s="37" t="s">
        <v>1107</v>
      </c>
      <c r="H138" s="49">
        <v>583000</v>
      </c>
      <c r="I138" s="119">
        <v>0</v>
      </c>
      <c r="J138" s="49">
        <v>583000</v>
      </c>
      <c r="K138" s="89">
        <f t="shared" si="2"/>
        <v>107239777</v>
      </c>
      <c r="L138" s="2" t="s">
        <v>308</v>
      </c>
      <c r="M138" s="2" t="s">
        <v>1109</v>
      </c>
      <c r="N138" s="2" t="s">
        <v>508</v>
      </c>
      <c r="O138" s="2" t="s">
        <v>510</v>
      </c>
    </row>
    <row r="139" spans="1:15" hidden="1">
      <c r="A139" s="97">
        <v>45778</v>
      </c>
      <c r="B139" s="97" t="s">
        <v>508</v>
      </c>
      <c r="D139" t="s">
        <v>561</v>
      </c>
      <c r="G139" s="37" t="s">
        <v>1107</v>
      </c>
      <c r="H139" s="49">
        <v>8918919</v>
      </c>
      <c r="I139" s="119">
        <v>0</v>
      </c>
      <c r="J139" s="49">
        <v>8918919</v>
      </c>
      <c r="K139" s="89">
        <f t="shared" si="2"/>
        <v>116158696</v>
      </c>
      <c r="L139" s="2" t="s">
        <v>308</v>
      </c>
      <c r="M139" s="2" t="s">
        <v>1109</v>
      </c>
      <c r="N139" s="2" t="s">
        <v>508</v>
      </c>
      <c r="O139" s="2" t="s">
        <v>510</v>
      </c>
    </row>
    <row r="140" spans="1:15" hidden="1">
      <c r="A140" s="97">
        <v>45778</v>
      </c>
      <c r="B140" s="97" t="s">
        <v>508</v>
      </c>
      <c r="D140" t="s">
        <v>564</v>
      </c>
      <c r="G140" s="37" t="s">
        <v>1107</v>
      </c>
      <c r="H140" s="49">
        <v>385000</v>
      </c>
      <c r="I140" s="119">
        <v>0</v>
      </c>
      <c r="J140" s="49">
        <v>385000</v>
      </c>
      <c r="K140" s="89">
        <f t="shared" si="2"/>
        <v>116543696</v>
      </c>
      <c r="L140" s="2" t="s">
        <v>308</v>
      </c>
      <c r="M140" s="2" t="s">
        <v>1109</v>
      </c>
      <c r="N140" s="2" t="s">
        <v>508</v>
      </c>
      <c r="O140" s="2" t="s">
        <v>510</v>
      </c>
    </row>
    <row r="141" spans="1:15" hidden="1">
      <c r="A141" s="97">
        <v>45778</v>
      </c>
      <c r="B141" s="97" t="s">
        <v>508</v>
      </c>
      <c r="D141" t="s">
        <v>742</v>
      </c>
      <c r="G141" s="37" t="s">
        <v>1107</v>
      </c>
      <c r="H141" s="49">
        <v>820045</v>
      </c>
      <c r="I141" s="119">
        <v>0</v>
      </c>
      <c r="J141" s="49">
        <v>820045</v>
      </c>
      <c r="K141" s="89">
        <f t="shared" si="2"/>
        <v>117363741</v>
      </c>
      <c r="L141" s="2" t="s">
        <v>308</v>
      </c>
      <c r="M141" s="2" t="s">
        <v>1109</v>
      </c>
      <c r="N141" s="2" t="s">
        <v>508</v>
      </c>
      <c r="O141" s="2" t="s">
        <v>510</v>
      </c>
    </row>
    <row r="142" spans="1:15" hidden="1">
      <c r="A142" s="97">
        <v>45778</v>
      </c>
      <c r="B142" s="97" t="s">
        <v>508</v>
      </c>
      <c r="D142" t="s">
        <v>742</v>
      </c>
      <c r="G142" s="37" t="s">
        <v>1107</v>
      </c>
      <c r="H142" s="49">
        <v>505405</v>
      </c>
      <c r="I142" s="119">
        <v>0</v>
      </c>
      <c r="J142" s="49">
        <v>505405</v>
      </c>
      <c r="K142" s="89">
        <f t="shared" si="2"/>
        <v>117869146</v>
      </c>
      <c r="L142" s="2" t="s">
        <v>308</v>
      </c>
      <c r="M142" s="2" t="s">
        <v>1109</v>
      </c>
      <c r="N142" s="2" t="s">
        <v>508</v>
      </c>
      <c r="O142" s="2" t="s">
        <v>510</v>
      </c>
    </row>
    <row r="143" spans="1:15" hidden="1">
      <c r="A143" s="97">
        <v>45778</v>
      </c>
      <c r="B143" s="97" t="s">
        <v>508</v>
      </c>
      <c r="D143" t="s">
        <v>742</v>
      </c>
      <c r="G143" s="37" t="s">
        <v>1107</v>
      </c>
      <c r="H143" s="49">
        <v>483108</v>
      </c>
      <c r="I143" s="119">
        <v>0</v>
      </c>
      <c r="J143" s="49">
        <v>483108</v>
      </c>
      <c r="K143" s="89">
        <f t="shared" si="2"/>
        <v>118352254</v>
      </c>
      <c r="L143" s="2" t="s">
        <v>308</v>
      </c>
      <c r="M143" s="2" t="s">
        <v>1109</v>
      </c>
      <c r="N143" s="2" t="s">
        <v>508</v>
      </c>
      <c r="O143" s="2" t="s">
        <v>510</v>
      </c>
    </row>
    <row r="144" spans="1:15" hidden="1">
      <c r="A144" s="97">
        <v>45778</v>
      </c>
      <c r="B144" s="97" t="s">
        <v>508</v>
      </c>
      <c r="D144" t="s">
        <v>742</v>
      </c>
      <c r="G144" s="37" t="s">
        <v>1107</v>
      </c>
      <c r="H144" s="49">
        <v>705642</v>
      </c>
      <c r="I144" s="119">
        <v>0</v>
      </c>
      <c r="J144" s="49">
        <v>705642</v>
      </c>
      <c r="K144" s="89">
        <f t="shared" si="2"/>
        <v>119057896</v>
      </c>
      <c r="L144" s="2" t="s">
        <v>308</v>
      </c>
      <c r="M144" s="2" t="s">
        <v>1109</v>
      </c>
      <c r="N144" s="2" t="s">
        <v>508</v>
      </c>
      <c r="O144" s="2" t="s">
        <v>510</v>
      </c>
    </row>
    <row r="145" spans="1:15" hidden="1">
      <c r="A145" s="97">
        <v>45778</v>
      </c>
      <c r="B145" s="97" t="s">
        <v>508</v>
      </c>
      <c r="D145" t="s">
        <v>742</v>
      </c>
      <c r="G145" s="37" t="s">
        <v>1107</v>
      </c>
      <c r="H145" s="49">
        <v>624324</v>
      </c>
      <c r="I145" s="119">
        <v>0</v>
      </c>
      <c r="J145" s="49">
        <v>624324</v>
      </c>
      <c r="K145" s="89">
        <f t="shared" si="2"/>
        <v>119682220</v>
      </c>
      <c r="L145" s="2" t="s">
        <v>308</v>
      </c>
      <c r="M145" s="2" t="s">
        <v>1109</v>
      </c>
      <c r="N145" s="2" t="s">
        <v>508</v>
      </c>
      <c r="O145" s="2" t="s">
        <v>510</v>
      </c>
    </row>
    <row r="146" spans="1:15" hidden="1">
      <c r="A146" s="97">
        <v>45778</v>
      </c>
      <c r="B146" s="97" t="s">
        <v>508</v>
      </c>
      <c r="D146" t="s">
        <v>742</v>
      </c>
      <c r="G146" s="37" t="s">
        <v>1107</v>
      </c>
      <c r="H146" s="49">
        <v>567342</v>
      </c>
      <c r="I146" s="119">
        <v>0</v>
      </c>
      <c r="J146" s="49">
        <v>567342</v>
      </c>
      <c r="K146" s="89">
        <f t="shared" si="2"/>
        <v>120249562</v>
      </c>
      <c r="L146" s="2" t="s">
        <v>308</v>
      </c>
      <c r="M146" s="2" t="s">
        <v>1109</v>
      </c>
      <c r="N146" s="2" t="s">
        <v>508</v>
      </c>
      <c r="O146" s="2" t="s">
        <v>510</v>
      </c>
    </row>
    <row r="147" spans="1:15" hidden="1">
      <c r="A147" s="97">
        <v>45778</v>
      </c>
      <c r="B147" s="97" t="s">
        <v>508</v>
      </c>
      <c r="D147" t="s">
        <v>742</v>
      </c>
      <c r="G147" s="37" t="s">
        <v>1107</v>
      </c>
      <c r="H147" s="49">
        <v>491370</v>
      </c>
      <c r="I147" s="119">
        <v>0</v>
      </c>
      <c r="J147" s="49">
        <v>491370</v>
      </c>
      <c r="K147" s="89">
        <f t="shared" si="2"/>
        <v>120740932</v>
      </c>
      <c r="L147" s="2" t="s">
        <v>308</v>
      </c>
      <c r="M147" s="2" t="s">
        <v>1109</v>
      </c>
      <c r="N147" s="2" t="s">
        <v>508</v>
      </c>
      <c r="O147" s="2" t="s">
        <v>510</v>
      </c>
    </row>
    <row r="148" spans="1:15" hidden="1">
      <c r="A148" s="97">
        <v>45778</v>
      </c>
      <c r="B148" s="97" t="s">
        <v>508</v>
      </c>
      <c r="D148" t="s">
        <v>742</v>
      </c>
      <c r="G148" s="37" t="s">
        <v>1107</v>
      </c>
      <c r="H148" s="49">
        <v>481461</v>
      </c>
      <c r="I148" s="119">
        <v>0</v>
      </c>
      <c r="J148" s="49">
        <v>481461</v>
      </c>
      <c r="K148" s="89">
        <f t="shared" si="2"/>
        <v>121222393</v>
      </c>
      <c r="L148" s="2" t="s">
        <v>308</v>
      </c>
      <c r="M148" s="2" t="s">
        <v>1109</v>
      </c>
      <c r="N148" s="2" t="s">
        <v>508</v>
      </c>
      <c r="O148" s="2" t="s">
        <v>510</v>
      </c>
    </row>
    <row r="149" spans="1:15" hidden="1">
      <c r="A149" s="97">
        <v>45778</v>
      </c>
      <c r="B149" s="97" t="s">
        <v>508</v>
      </c>
      <c r="D149" t="s">
        <v>742</v>
      </c>
      <c r="G149" s="37" t="s">
        <v>1107</v>
      </c>
      <c r="H149" s="49">
        <v>671396</v>
      </c>
      <c r="I149" s="119">
        <v>0</v>
      </c>
      <c r="J149" s="49">
        <v>671396</v>
      </c>
      <c r="K149" s="89">
        <f t="shared" si="2"/>
        <v>121893789</v>
      </c>
      <c r="L149" s="2" t="s">
        <v>308</v>
      </c>
      <c r="M149" s="2" t="s">
        <v>1109</v>
      </c>
      <c r="N149" s="2" t="s">
        <v>508</v>
      </c>
      <c r="O149" s="2" t="s">
        <v>510</v>
      </c>
    </row>
    <row r="150" spans="1:15" hidden="1">
      <c r="A150" s="97">
        <v>45778</v>
      </c>
      <c r="B150" s="97" t="s">
        <v>508</v>
      </c>
      <c r="D150" t="s">
        <v>742</v>
      </c>
      <c r="G150" s="37" t="s">
        <v>1107</v>
      </c>
      <c r="H150" s="49">
        <v>694932</v>
      </c>
      <c r="I150" s="119">
        <v>0</v>
      </c>
      <c r="J150" s="49">
        <v>694932</v>
      </c>
      <c r="K150" s="89">
        <f t="shared" si="2"/>
        <v>122588721</v>
      </c>
      <c r="L150" s="2" t="s">
        <v>308</v>
      </c>
      <c r="M150" s="2" t="s">
        <v>1109</v>
      </c>
      <c r="N150" s="2" t="s">
        <v>508</v>
      </c>
      <c r="O150" s="2" t="s">
        <v>510</v>
      </c>
    </row>
    <row r="151" spans="1:15">
      <c r="A151" s="97">
        <v>45778</v>
      </c>
      <c r="B151" s="97" t="s">
        <v>1106</v>
      </c>
      <c r="C151" t="s">
        <v>743</v>
      </c>
      <c r="D151" t="s">
        <v>571</v>
      </c>
      <c r="E151" s="37" t="s">
        <v>744</v>
      </c>
      <c r="F151" s="37">
        <v>2025</v>
      </c>
      <c r="G151" s="37" t="s">
        <v>148</v>
      </c>
      <c r="H151" s="94">
        <v>56981982</v>
      </c>
      <c r="I151" s="119">
        <v>0</v>
      </c>
      <c r="J151" s="89">
        <v>0</v>
      </c>
      <c r="K151" s="89">
        <f t="shared" si="2"/>
        <v>122588721</v>
      </c>
      <c r="L151" t="s">
        <v>15</v>
      </c>
      <c r="M151" s="2" t="s">
        <v>15</v>
      </c>
      <c r="N151" s="45" t="s">
        <v>15</v>
      </c>
      <c r="O151" s="101" t="s">
        <v>15</v>
      </c>
    </row>
    <row r="152" spans="1:15">
      <c r="A152" s="97">
        <v>45778</v>
      </c>
      <c r="B152" s="97" t="s">
        <v>1106</v>
      </c>
      <c r="C152" t="s">
        <v>745</v>
      </c>
      <c r="D152" t="s">
        <v>571</v>
      </c>
      <c r="E152" s="37" t="s">
        <v>746</v>
      </c>
      <c r="F152" s="37">
        <v>2025</v>
      </c>
      <c r="G152" s="37" t="s">
        <v>148</v>
      </c>
      <c r="H152" s="94">
        <v>3468468</v>
      </c>
      <c r="I152" s="119">
        <v>0</v>
      </c>
      <c r="J152" s="89">
        <v>0</v>
      </c>
      <c r="K152" s="89">
        <f t="shared" si="2"/>
        <v>122588721</v>
      </c>
      <c r="L152" t="s">
        <v>15</v>
      </c>
      <c r="M152" s="2" t="s">
        <v>15</v>
      </c>
      <c r="N152" s="45" t="s">
        <v>15</v>
      </c>
      <c r="O152" s="101" t="s">
        <v>15</v>
      </c>
    </row>
    <row r="153" spans="1:15">
      <c r="A153" s="97">
        <v>45778</v>
      </c>
      <c r="B153" s="97" t="s">
        <v>1106</v>
      </c>
      <c r="C153" t="s">
        <v>747</v>
      </c>
      <c r="D153" t="s">
        <v>558</v>
      </c>
      <c r="E153" s="37" t="s">
        <v>748</v>
      </c>
      <c r="F153" s="37">
        <v>2025</v>
      </c>
      <c r="G153" s="37" t="s">
        <v>148</v>
      </c>
      <c r="H153" s="94">
        <v>22573760</v>
      </c>
      <c r="I153" s="119">
        <v>0</v>
      </c>
      <c r="J153" s="89">
        <v>0</v>
      </c>
      <c r="K153" s="89">
        <f t="shared" si="2"/>
        <v>122588721</v>
      </c>
      <c r="L153" t="s">
        <v>15</v>
      </c>
      <c r="M153" s="2" t="s">
        <v>15</v>
      </c>
      <c r="N153" s="45" t="s">
        <v>15</v>
      </c>
      <c r="O153" s="101" t="s">
        <v>15</v>
      </c>
    </row>
    <row r="154" spans="1:15">
      <c r="A154" s="97">
        <v>45778</v>
      </c>
      <c r="B154" s="97" t="s">
        <v>1106</v>
      </c>
      <c r="C154" t="s">
        <v>749</v>
      </c>
      <c r="D154" t="s">
        <v>558</v>
      </c>
      <c r="E154" s="37" t="s">
        <v>750</v>
      </c>
      <c r="F154" s="37">
        <v>2025</v>
      </c>
      <c r="G154" s="37" t="s">
        <v>148</v>
      </c>
      <c r="H154" s="94">
        <v>29176125</v>
      </c>
      <c r="I154" s="119">
        <v>0</v>
      </c>
      <c r="J154" s="89">
        <v>0</v>
      </c>
      <c r="K154" s="89">
        <f t="shared" si="2"/>
        <v>122588721</v>
      </c>
      <c r="L154" t="s">
        <v>15</v>
      </c>
      <c r="M154" s="2" t="s">
        <v>15</v>
      </c>
      <c r="N154" s="45" t="s">
        <v>15</v>
      </c>
      <c r="O154" s="101" t="s">
        <v>15</v>
      </c>
    </row>
    <row r="155" spans="1:15">
      <c r="A155" s="97">
        <v>45778</v>
      </c>
      <c r="B155" s="97" t="s">
        <v>1106</v>
      </c>
      <c r="C155" t="s">
        <v>751</v>
      </c>
      <c r="D155" t="s">
        <v>236</v>
      </c>
      <c r="E155" s="37" t="s">
        <v>752</v>
      </c>
      <c r="F155" s="37">
        <v>2025</v>
      </c>
      <c r="G155" s="37" t="s">
        <v>149</v>
      </c>
      <c r="H155" s="74">
        <v>166006</v>
      </c>
      <c r="I155" s="74">
        <v>166006</v>
      </c>
      <c r="J155" s="74">
        <v>0</v>
      </c>
      <c r="K155" s="89">
        <f t="shared" si="2"/>
        <v>122422715</v>
      </c>
      <c r="L155" s="45" t="s">
        <v>1</v>
      </c>
      <c r="M155" s="45" t="s">
        <v>1077</v>
      </c>
      <c r="N155" s="45" t="s">
        <v>1078</v>
      </c>
    </row>
    <row r="156" spans="1:15">
      <c r="A156" s="97">
        <v>45778</v>
      </c>
      <c r="B156" s="97" t="s">
        <v>1106</v>
      </c>
      <c r="C156" t="s">
        <v>753</v>
      </c>
      <c r="D156" t="s">
        <v>732</v>
      </c>
      <c r="E156" s="37" t="s">
        <v>754</v>
      </c>
      <c r="F156" s="37">
        <v>2025</v>
      </c>
      <c r="G156" s="37" t="s">
        <v>149</v>
      </c>
      <c r="H156" s="74">
        <v>774400</v>
      </c>
      <c r="I156" s="74">
        <v>774400</v>
      </c>
      <c r="J156" s="74">
        <v>0</v>
      </c>
      <c r="K156" s="89">
        <f t="shared" si="2"/>
        <v>121648315</v>
      </c>
      <c r="L156" s="45" t="s">
        <v>1</v>
      </c>
      <c r="M156" s="45" t="s">
        <v>1077</v>
      </c>
      <c r="N156" s="45" t="s">
        <v>1078</v>
      </c>
    </row>
    <row r="157" spans="1:15" s="30" customFormat="1" hidden="1">
      <c r="A157" s="99">
        <v>45778</v>
      </c>
      <c r="B157" s="97" t="s">
        <v>1106</v>
      </c>
      <c r="C157" s="4" t="s">
        <v>755</v>
      </c>
      <c r="D157" s="30" t="s">
        <v>646</v>
      </c>
      <c r="E157" s="39" t="s">
        <v>756</v>
      </c>
      <c r="F157" s="39">
        <v>2024</v>
      </c>
      <c r="G157" s="39" t="s">
        <v>148</v>
      </c>
      <c r="H157" s="40">
        <v>7794046</v>
      </c>
      <c r="I157" s="49">
        <v>0</v>
      </c>
      <c r="J157" s="89">
        <v>0</v>
      </c>
      <c r="K157" s="89">
        <f t="shared" si="2"/>
        <v>121648315</v>
      </c>
      <c r="L157" t="s">
        <v>15</v>
      </c>
      <c r="M157" s="2" t="s">
        <v>15</v>
      </c>
      <c r="N157" s="2" t="s">
        <v>15</v>
      </c>
      <c r="O157" s="71" t="s">
        <v>15</v>
      </c>
    </row>
    <row r="158" spans="1:15">
      <c r="A158" s="97">
        <v>45778</v>
      </c>
      <c r="B158" s="97" t="s">
        <v>1106</v>
      </c>
      <c r="C158" t="s">
        <v>757</v>
      </c>
      <c r="D158" t="s">
        <v>663</v>
      </c>
      <c r="E158" s="37" t="s">
        <v>758</v>
      </c>
      <c r="F158" s="37">
        <v>2025</v>
      </c>
      <c r="G158" s="37" t="s">
        <v>149</v>
      </c>
      <c r="H158" s="74">
        <v>69622</v>
      </c>
      <c r="I158" s="74">
        <v>69622</v>
      </c>
      <c r="J158" s="74">
        <v>0</v>
      </c>
      <c r="K158" s="89">
        <f t="shared" si="2"/>
        <v>121578693</v>
      </c>
      <c r="L158" s="45" t="s">
        <v>1</v>
      </c>
      <c r="M158" s="45" t="s">
        <v>1077</v>
      </c>
      <c r="N158" s="45" t="s">
        <v>1078</v>
      </c>
    </row>
    <row r="159" spans="1:15">
      <c r="A159" s="97">
        <v>45778</v>
      </c>
      <c r="B159" s="97" t="s">
        <v>1106</v>
      </c>
      <c r="C159" t="s">
        <v>759</v>
      </c>
      <c r="D159" t="s">
        <v>646</v>
      </c>
      <c r="E159" s="37" t="s">
        <v>760</v>
      </c>
      <c r="F159" s="37">
        <v>2025</v>
      </c>
      <c r="G159" s="37" t="s">
        <v>148</v>
      </c>
      <c r="H159" s="94">
        <v>1845091</v>
      </c>
      <c r="I159" s="119">
        <v>0</v>
      </c>
      <c r="J159" s="89">
        <v>0</v>
      </c>
      <c r="K159" s="89">
        <f t="shared" si="2"/>
        <v>121578693</v>
      </c>
      <c r="L159" t="s">
        <v>15</v>
      </c>
      <c r="M159" s="2" t="s">
        <v>15</v>
      </c>
      <c r="N159" s="45" t="s">
        <v>15</v>
      </c>
      <c r="O159" s="101" t="s">
        <v>15</v>
      </c>
    </row>
    <row r="160" spans="1:15" s="30" customFormat="1" hidden="1">
      <c r="A160" s="99">
        <v>45778</v>
      </c>
      <c r="B160" s="97" t="s">
        <v>1106</v>
      </c>
      <c r="C160" s="30" t="s">
        <v>539</v>
      </c>
      <c r="D160" s="30" t="s">
        <v>646</v>
      </c>
      <c r="E160" s="39" t="s">
        <v>540</v>
      </c>
      <c r="F160" s="39">
        <v>2023</v>
      </c>
      <c r="G160" s="39" t="s">
        <v>148</v>
      </c>
      <c r="H160" s="90">
        <v>19257150</v>
      </c>
      <c r="I160" s="49">
        <v>0</v>
      </c>
      <c r="J160" s="89">
        <v>0</v>
      </c>
      <c r="K160" s="89">
        <f t="shared" si="2"/>
        <v>121578693</v>
      </c>
      <c r="L160" t="s">
        <v>15</v>
      </c>
      <c r="M160" s="2" t="s">
        <v>15</v>
      </c>
      <c r="N160" s="45" t="s">
        <v>15</v>
      </c>
      <c r="O160" s="101" t="s">
        <v>15</v>
      </c>
    </row>
    <row r="161" spans="1:15">
      <c r="A161" s="97">
        <v>45778</v>
      </c>
      <c r="B161" s="97" t="s">
        <v>1106</v>
      </c>
      <c r="C161" t="s">
        <v>761</v>
      </c>
      <c r="D161" t="s">
        <v>732</v>
      </c>
      <c r="E161" s="37" t="s">
        <v>762</v>
      </c>
      <c r="F161" s="37">
        <v>2025</v>
      </c>
      <c r="G161" s="37" t="s">
        <v>149</v>
      </c>
      <c r="H161" s="74">
        <v>880094</v>
      </c>
      <c r="I161" s="74">
        <v>880094</v>
      </c>
      <c r="J161" s="74">
        <v>0</v>
      </c>
      <c r="K161" s="89">
        <f t="shared" si="2"/>
        <v>120698599</v>
      </c>
      <c r="L161" s="45" t="s">
        <v>1</v>
      </c>
      <c r="M161" s="45" t="s">
        <v>1077</v>
      </c>
      <c r="N161" s="45" t="s">
        <v>1078</v>
      </c>
    </row>
    <row r="162" spans="1:15">
      <c r="A162" s="97">
        <v>45778</v>
      </c>
      <c r="B162" s="97" t="s">
        <v>1106</v>
      </c>
      <c r="C162" t="s">
        <v>763</v>
      </c>
      <c r="D162" t="s">
        <v>646</v>
      </c>
      <c r="E162" s="37" t="s">
        <v>764</v>
      </c>
      <c r="F162" s="37">
        <v>2025</v>
      </c>
      <c r="G162" s="37" t="s">
        <v>148</v>
      </c>
      <c r="H162" s="94">
        <v>2123187</v>
      </c>
      <c r="I162" s="119">
        <v>0</v>
      </c>
      <c r="J162" s="89">
        <v>0</v>
      </c>
      <c r="K162" s="89">
        <f t="shared" si="2"/>
        <v>120698599</v>
      </c>
      <c r="L162" t="s">
        <v>15</v>
      </c>
      <c r="M162" s="2" t="s">
        <v>15</v>
      </c>
      <c r="N162" s="45" t="s">
        <v>15</v>
      </c>
      <c r="O162" s="101" t="s">
        <v>15</v>
      </c>
    </row>
    <row r="163" spans="1:15">
      <c r="A163" s="97">
        <v>45778</v>
      </c>
      <c r="B163" s="97" t="s">
        <v>1106</v>
      </c>
      <c r="C163" t="s">
        <v>765</v>
      </c>
      <c r="D163" t="s">
        <v>732</v>
      </c>
      <c r="E163" s="37" t="s">
        <v>766</v>
      </c>
      <c r="F163" s="37">
        <v>2025</v>
      </c>
      <c r="G163" s="37" t="s">
        <v>149</v>
      </c>
      <c r="H163" s="74">
        <v>126500</v>
      </c>
      <c r="I163" s="74">
        <v>126500</v>
      </c>
      <c r="J163" s="74">
        <v>0</v>
      </c>
      <c r="K163" s="89">
        <f t="shared" si="2"/>
        <v>120572099</v>
      </c>
      <c r="L163" s="45" t="s">
        <v>1</v>
      </c>
      <c r="M163" s="45" t="s">
        <v>1077</v>
      </c>
      <c r="N163" s="45" t="s">
        <v>1078</v>
      </c>
    </row>
    <row r="164" spans="1:15">
      <c r="A164" s="97">
        <v>45778</v>
      </c>
      <c r="B164" s="97" t="s">
        <v>1106</v>
      </c>
      <c r="C164" t="s">
        <v>767</v>
      </c>
      <c r="D164" t="s">
        <v>646</v>
      </c>
      <c r="E164" s="37" t="s">
        <v>768</v>
      </c>
      <c r="F164" s="37">
        <v>2025</v>
      </c>
      <c r="G164" s="37" t="s">
        <v>148</v>
      </c>
      <c r="H164" s="94">
        <v>2054173</v>
      </c>
      <c r="I164" s="119">
        <v>0</v>
      </c>
      <c r="J164" s="89">
        <v>0</v>
      </c>
      <c r="K164" s="89">
        <f t="shared" si="2"/>
        <v>120572099</v>
      </c>
      <c r="L164" t="s">
        <v>15</v>
      </c>
      <c r="M164" s="2" t="s">
        <v>15</v>
      </c>
      <c r="N164" s="45" t="s">
        <v>15</v>
      </c>
      <c r="O164" s="101" t="s">
        <v>15</v>
      </c>
    </row>
    <row r="165" spans="1:15" s="30" customFormat="1" hidden="1">
      <c r="A165" s="99">
        <v>45778</v>
      </c>
      <c r="B165" s="97" t="s">
        <v>1106</v>
      </c>
      <c r="C165" s="30" t="s">
        <v>769</v>
      </c>
      <c r="D165" s="30" t="s">
        <v>646</v>
      </c>
      <c r="E165" s="39" t="s">
        <v>770</v>
      </c>
      <c r="F165" s="39">
        <v>2024</v>
      </c>
      <c r="G165" s="39" t="s">
        <v>148</v>
      </c>
      <c r="H165" s="40">
        <v>23163185</v>
      </c>
      <c r="I165" s="49">
        <v>0</v>
      </c>
      <c r="J165" s="89">
        <v>0</v>
      </c>
      <c r="K165" s="89">
        <f t="shared" si="2"/>
        <v>120572099</v>
      </c>
      <c r="L165" t="s">
        <v>15</v>
      </c>
      <c r="M165" s="2" t="s">
        <v>15</v>
      </c>
      <c r="N165" s="45" t="s">
        <v>15</v>
      </c>
      <c r="O165" s="101" t="s">
        <v>15</v>
      </c>
    </row>
    <row r="166" spans="1:15">
      <c r="A166" s="97">
        <v>45778</v>
      </c>
      <c r="B166" s="97" t="s">
        <v>1106</v>
      </c>
      <c r="C166" t="s">
        <v>771</v>
      </c>
      <c r="D166" t="s">
        <v>646</v>
      </c>
      <c r="E166" s="37" t="s">
        <v>772</v>
      </c>
      <c r="F166" s="37">
        <v>2025</v>
      </c>
      <c r="G166" s="37" t="s">
        <v>148</v>
      </c>
      <c r="H166" s="94">
        <v>6050052</v>
      </c>
      <c r="I166" s="119">
        <v>0</v>
      </c>
      <c r="J166" s="89">
        <v>0</v>
      </c>
      <c r="K166" s="89">
        <f t="shared" si="2"/>
        <v>120572099</v>
      </c>
      <c r="L166" t="s">
        <v>15</v>
      </c>
      <c r="M166" s="2" t="s">
        <v>15</v>
      </c>
      <c r="N166" s="45" t="s">
        <v>15</v>
      </c>
      <c r="O166" s="101" t="s">
        <v>15</v>
      </c>
    </row>
    <row r="167" spans="1:15">
      <c r="A167" s="97">
        <v>45778</v>
      </c>
      <c r="B167" s="97" t="s">
        <v>1106</v>
      </c>
      <c r="C167" t="s">
        <v>773</v>
      </c>
      <c r="D167" t="s">
        <v>236</v>
      </c>
      <c r="E167" s="37" t="s">
        <v>774</v>
      </c>
      <c r="F167" s="37">
        <v>2025</v>
      </c>
      <c r="G167" s="37" t="s">
        <v>149</v>
      </c>
      <c r="H167" s="74">
        <v>87120</v>
      </c>
      <c r="I167" s="74">
        <v>87120</v>
      </c>
      <c r="J167" s="74">
        <v>0</v>
      </c>
      <c r="K167" s="89">
        <f t="shared" si="2"/>
        <v>120484979</v>
      </c>
      <c r="L167" s="45" t="s">
        <v>1</v>
      </c>
      <c r="M167" s="45" t="s">
        <v>1077</v>
      </c>
      <c r="N167" s="45" t="s">
        <v>1078</v>
      </c>
    </row>
    <row r="168" spans="1:15">
      <c r="A168" s="97">
        <v>45778</v>
      </c>
      <c r="B168" s="97" t="s">
        <v>1106</v>
      </c>
      <c r="C168" t="s">
        <v>775</v>
      </c>
      <c r="D168" t="s">
        <v>236</v>
      </c>
      <c r="E168" s="37" t="s">
        <v>776</v>
      </c>
      <c r="F168" s="37">
        <v>2025</v>
      </c>
      <c r="G168" s="37" t="s">
        <v>149</v>
      </c>
      <c r="H168" s="74">
        <v>132680</v>
      </c>
      <c r="I168" s="74">
        <v>132680</v>
      </c>
      <c r="J168" s="74">
        <v>0</v>
      </c>
      <c r="K168" s="89">
        <f t="shared" si="2"/>
        <v>120352299</v>
      </c>
      <c r="L168" s="45" t="s">
        <v>1</v>
      </c>
      <c r="M168" s="45" t="s">
        <v>1077</v>
      </c>
      <c r="N168" s="45" t="s">
        <v>1078</v>
      </c>
    </row>
    <row r="169" spans="1:15">
      <c r="A169" s="97">
        <v>45778</v>
      </c>
      <c r="B169" s="97" t="s">
        <v>1106</v>
      </c>
      <c r="C169" t="s">
        <v>777</v>
      </c>
      <c r="D169" t="s">
        <v>236</v>
      </c>
      <c r="E169" s="37" t="s">
        <v>778</v>
      </c>
      <c r="F169" s="37">
        <v>2025</v>
      </c>
      <c r="G169" s="37" t="s">
        <v>149</v>
      </c>
      <c r="H169" s="74">
        <v>126553</v>
      </c>
      <c r="I169" s="74">
        <v>126553</v>
      </c>
      <c r="J169" s="74">
        <v>0</v>
      </c>
      <c r="K169" s="89">
        <f t="shared" si="2"/>
        <v>120225746</v>
      </c>
      <c r="L169" s="45" t="s">
        <v>1</v>
      </c>
      <c r="M169" s="45" t="s">
        <v>1077</v>
      </c>
      <c r="N169" s="45" t="s">
        <v>1078</v>
      </c>
    </row>
    <row r="170" spans="1:15" s="30" customFormat="1" hidden="1">
      <c r="A170" s="99">
        <v>45778</v>
      </c>
      <c r="B170" s="97" t="s">
        <v>1106</v>
      </c>
      <c r="C170" s="30" t="s">
        <v>779</v>
      </c>
      <c r="D170" s="30" t="s">
        <v>646</v>
      </c>
      <c r="E170" s="39" t="s">
        <v>780</v>
      </c>
      <c r="F170" s="37">
        <v>2024</v>
      </c>
      <c r="G170" s="37" t="s">
        <v>148</v>
      </c>
      <c r="H170" s="40">
        <v>2309855</v>
      </c>
      <c r="I170" s="49">
        <v>0</v>
      </c>
      <c r="J170" s="89">
        <v>0</v>
      </c>
      <c r="K170" s="89">
        <f t="shared" si="2"/>
        <v>120225746</v>
      </c>
      <c r="L170" t="s">
        <v>15</v>
      </c>
      <c r="M170" s="2" t="s">
        <v>15</v>
      </c>
      <c r="N170" s="45" t="s">
        <v>15</v>
      </c>
      <c r="O170" s="101" t="s">
        <v>15</v>
      </c>
    </row>
    <row r="171" spans="1:15" s="30" customFormat="1" hidden="1">
      <c r="A171" s="99">
        <v>45778</v>
      </c>
      <c r="B171" s="97" t="s">
        <v>1106</v>
      </c>
      <c r="C171" s="30" t="s">
        <v>781</v>
      </c>
      <c r="D171" s="30" t="s">
        <v>646</v>
      </c>
      <c r="E171" s="39" t="s">
        <v>782</v>
      </c>
      <c r="F171" s="39">
        <v>2024</v>
      </c>
      <c r="G171" s="39" t="s">
        <v>148</v>
      </c>
      <c r="H171" s="40">
        <v>10115710</v>
      </c>
      <c r="I171" s="49">
        <v>0</v>
      </c>
      <c r="J171" s="89">
        <v>0</v>
      </c>
      <c r="K171" s="89">
        <f t="shared" si="2"/>
        <v>120225746</v>
      </c>
      <c r="L171" t="s">
        <v>15</v>
      </c>
      <c r="M171" s="2" t="s">
        <v>15</v>
      </c>
      <c r="N171" s="45" t="s">
        <v>15</v>
      </c>
      <c r="O171" s="101" t="s">
        <v>15</v>
      </c>
    </row>
    <row r="172" spans="1:15">
      <c r="A172" s="97">
        <v>45778</v>
      </c>
      <c r="B172" s="97" t="s">
        <v>1106</v>
      </c>
      <c r="C172" t="s">
        <v>783</v>
      </c>
      <c r="D172" t="s">
        <v>732</v>
      </c>
      <c r="E172" s="37" t="s">
        <v>784</v>
      </c>
      <c r="F172" s="37">
        <v>2025</v>
      </c>
      <c r="G172" s="37" t="s">
        <v>149</v>
      </c>
      <c r="H172" s="74">
        <v>2247329</v>
      </c>
      <c r="I172" s="74">
        <v>2247329</v>
      </c>
      <c r="J172" s="74">
        <v>0</v>
      </c>
      <c r="K172" s="89">
        <f t="shared" si="2"/>
        <v>117978417</v>
      </c>
      <c r="L172" s="45" t="s">
        <v>1</v>
      </c>
      <c r="M172" s="45" t="s">
        <v>1077</v>
      </c>
      <c r="N172" s="45" t="s">
        <v>1078</v>
      </c>
    </row>
    <row r="173" spans="1:15" hidden="1">
      <c r="A173" s="97" t="s">
        <v>785</v>
      </c>
      <c r="B173" s="97" t="s">
        <v>508</v>
      </c>
      <c r="D173" t="s">
        <v>786</v>
      </c>
      <c r="G173" s="37" t="s">
        <v>1107</v>
      </c>
      <c r="H173" s="49">
        <v>67788</v>
      </c>
      <c r="I173" s="119">
        <v>0</v>
      </c>
      <c r="J173" s="49">
        <v>67788</v>
      </c>
      <c r="K173" s="89">
        <f t="shared" si="2"/>
        <v>118046205</v>
      </c>
      <c r="L173" s="2" t="s">
        <v>308</v>
      </c>
      <c r="M173" s="2" t="s">
        <v>1109</v>
      </c>
      <c r="N173" s="2" t="s">
        <v>508</v>
      </c>
      <c r="O173" s="2" t="s">
        <v>447</v>
      </c>
    </row>
    <row r="174" spans="1:15" hidden="1">
      <c r="A174" s="97" t="s">
        <v>785</v>
      </c>
      <c r="B174" s="97" t="s">
        <v>508</v>
      </c>
      <c r="D174" t="s">
        <v>550</v>
      </c>
      <c r="G174" s="37" t="s">
        <v>1107</v>
      </c>
      <c r="H174" s="49">
        <v>74324</v>
      </c>
      <c r="I174" s="119">
        <v>0</v>
      </c>
      <c r="J174" s="49">
        <v>74324</v>
      </c>
      <c r="K174" s="89">
        <f t="shared" si="2"/>
        <v>118120529</v>
      </c>
      <c r="L174" s="2" t="s">
        <v>308</v>
      </c>
      <c r="M174" s="2" t="s">
        <v>1109</v>
      </c>
      <c r="N174" s="2" t="s">
        <v>508</v>
      </c>
      <c r="O174" s="2" t="s">
        <v>447</v>
      </c>
    </row>
    <row r="175" spans="1:15" hidden="1">
      <c r="A175" s="97" t="s">
        <v>785</v>
      </c>
      <c r="B175" s="97" t="s">
        <v>508</v>
      </c>
      <c r="D175" t="s">
        <v>548</v>
      </c>
      <c r="G175" s="37" t="s">
        <v>1107</v>
      </c>
      <c r="H175" s="49">
        <v>1981982</v>
      </c>
      <c r="I175" s="119">
        <v>0</v>
      </c>
      <c r="J175" s="49">
        <v>1981982</v>
      </c>
      <c r="K175" s="89">
        <f t="shared" si="2"/>
        <v>120102511</v>
      </c>
      <c r="L175" t="s">
        <v>308</v>
      </c>
      <c r="M175" t="s">
        <v>1110</v>
      </c>
      <c r="N175" t="s">
        <v>508</v>
      </c>
      <c r="O175" t="s">
        <v>447</v>
      </c>
    </row>
    <row r="176" spans="1:15" hidden="1">
      <c r="A176" s="97" t="s">
        <v>785</v>
      </c>
      <c r="B176" s="97" t="s">
        <v>508</v>
      </c>
      <c r="D176" t="s">
        <v>552</v>
      </c>
      <c r="G176" s="37" t="s">
        <v>1107</v>
      </c>
      <c r="H176" s="49">
        <v>59460</v>
      </c>
      <c r="I176" s="119">
        <v>0</v>
      </c>
      <c r="J176" s="49">
        <v>59460</v>
      </c>
      <c r="K176" s="89">
        <f t="shared" si="2"/>
        <v>120161971</v>
      </c>
      <c r="L176" s="2" t="s">
        <v>308</v>
      </c>
      <c r="M176" s="2" t="s">
        <v>1109</v>
      </c>
      <c r="N176" s="2" t="s">
        <v>508</v>
      </c>
      <c r="O176" s="2" t="s">
        <v>447</v>
      </c>
    </row>
    <row r="177" spans="1:16" hidden="1">
      <c r="A177" s="97" t="s">
        <v>785</v>
      </c>
      <c r="B177" s="97" t="s">
        <v>508</v>
      </c>
      <c r="D177" t="s">
        <v>787</v>
      </c>
      <c r="G177" s="37" t="s">
        <v>1107</v>
      </c>
      <c r="H177" s="49">
        <v>1107829</v>
      </c>
      <c r="I177" s="119">
        <v>0</v>
      </c>
      <c r="J177" s="49">
        <v>1107829</v>
      </c>
      <c r="K177" s="89">
        <f t="shared" si="2"/>
        <v>121269800</v>
      </c>
      <c r="L177" t="s">
        <v>308</v>
      </c>
      <c r="M177" t="s">
        <v>1119</v>
      </c>
      <c r="N177" s="2" t="s">
        <v>508</v>
      </c>
      <c r="O177" s="2" t="s">
        <v>447</v>
      </c>
    </row>
    <row r="178" spans="1:16" hidden="1">
      <c r="A178" s="97" t="s">
        <v>785</v>
      </c>
      <c r="B178" s="97" t="s">
        <v>508</v>
      </c>
      <c r="D178" t="s">
        <v>788</v>
      </c>
      <c r="G178" s="37" t="s">
        <v>1107</v>
      </c>
      <c r="H178" s="49">
        <v>990000</v>
      </c>
      <c r="I178" s="119">
        <v>0</v>
      </c>
      <c r="J178" s="49">
        <v>990000</v>
      </c>
      <c r="K178" s="89">
        <f t="shared" si="2"/>
        <v>122259800</v>
      </c>
      <c r="L178" t="s">
        <v>308</v>
      </c>
      <c r="M178" t="s">
        <v>1110</v>
      </c>
      <c r="N178" t="s">
        <v>508</v>
      </c>
      <c r="O178" t="s">
        <v>447</v>
      </c>
    </row>
    <row r="179" spans="1:16" hidden="1">
      <c r="A179" s="97" t="s">
        <v>785</v>
      </c>
      <c r="B179" s="97" t="s">
        <v>508</v>
      </c>
      <c r="D179" t="s">
        <v>552</v>
      </c>
      <c r="G179" s="37" t="s">
        <v>1107</v>
      </c>
      <c r="H179" s="49">
        <v>506000</v>
      </c>
      <c r="I179" s="119">
        <v>0</v>
      </c>
      <c r="J179" s="49">
        <v>506000</v>
      </c>
      <c r="K179" s="89">
        <f t="shared" si="2"/>
        <v>122765800</v>
      </c>
      <c r="L179" s="2" t="s">
        <v>308</v>
      </c>
      <c r="M179" s="2" t="s">
        <v>1109</v>
      </c>
      <c r="N179" s="2" t="s">
        <v>508</v>
      </c>
      <c r="O179" s="2" t="s">
        <v>447</v>
      </c>
    </row>
    <row r="180" spans="1:16" hidden="1">
      <c r="A180" s="97" t="s">
        <v>785</v>
      </c>
      <c r="B180" s="97" t="s">
        <v>508</v>
      </c>
      <c r="D180" t="s">
        <v>561</v>
      </c>
      <c r="G180" s="37" t="s">
        <v>1107</v>
      </c>
      <c r="H180" s="49">
        <v>1819151</v>
      </c>
      <c r="I180" s="119">
        <v>0</v>
      </c>
      <c r="J180" s="49">
        <v>1819151</v>
      </c>
      <c r="K180" s="89">
        <f t="shared" si="2"/>
        <v>124584951</v>
      </c>
      <c r="L180" s="2" t="s">
        <v>308</v>
      </c>
      <c r="M180" s="2" t="s">
        <v>1109</v>
      </c>
      <c r="N180" s="2" t="s">
        <v>508</v>
      </c>
      <c r="O180" s="2" t="s">
        <v>447</v>
      </c>
    </row>
    <row r="181" spans="1:16" hidden="1">
      <c r="A181" s="97" t="s">
        <v>785</v>
      </c>
      <c r="B181" s="97" t="s">
        <v>508</v>
      </c>
      <c r="D181" t="s">
        <v>564</v>
      </c>
      <c r="G181" s="37" t="s">
        <v>1107</v>
      </c>
      <c r="H181" s="49">
        <v>385000</v>
      </c>
      <c r="I181" s="119">
        <v>0</v>
      </c>
      <c r="J181" s="49">
        <v>385000</v>
      </c>
      <c r="K181" s="89">
        <f t="shared" si="2"/>
        <v>124969951</v>
      </c>
      <c r="L181" s="2" t="s">
        <v>308</v>
      </c>
      <c r="M181" s="2" t="s">
        <v>1109</v>
      </c>
      <c r="N181" s="2" t="s">
        <v>508</v>
      </c>
      <c r="O181" s="2" t="s">
        <v>447</v>
      </c>
    </row>
    <row r="182" spans="1:16">
      <c r="A182" s="97" t="s">
        <v>785</v>
      </c>
      <c r="B182" s="97" t="s">
        <v>1106</v>
      </c>
      <c r="C182" t="s">
        <v>789</v>
      </c>
      <c r="D182" t="s">
        <v>558</v>
      </c>
      <c r="E182" s="37" t="s">
        <v>790</v>
      </c>
      <c r="F182" s="37">
        <v>2025</v>
      </c>
      <c r="G182" s="37" t="s">
        <v>148</v>
      </c>
      <c r="H182" s="94">
        <v>2972973</v>
      </c>
      <c r="I182" s="119">
        <v>0</v>
      </c>
      <c r="J182" s="89">
        <v>0</v>
      </c>
      <c r="K182" s="89">
        <f t="shared" si="2"/>
        <v>124969951</v>
      </c>
      <c r="L182" t="s">
        <v>15</v>
      </c>
      <c r="M182" s="2" t="s">
        <v>15</v>
      </c>
      <c r="N182" s="45" t="s">
        <v>15</v>
      </c>
      <c r="O182" s="101" t="s">
        <v>15</v>
      </c>
    </row>
    <row r="183" spans="1:16">
      <c r="A183" s="97" t="s">
        <v>785</v>
      </c>
      <c r="B183" s="97" t="s">
        <v>1106</v>
      </c>
      <c r="C183" t="s">
        <v>791</v>
      </c>
      <c r="D183" t="s">
        <v>558</v>
      </c>
      <c r="E183" s="37" t="s">
        <v>792</v>
      </c>
      <c r="F183" s="37">
        <v>2025</v>
      </c>
      <c r="G183" s="37" t="s">
        <v>148</v>
      </c>
      <c r="H183" s="94">
        <v>24081081</v>
      </c>
      <c r="I183" s="119">
        <v>0</v>
      </c>
      <c r="J183" s="89">
        <v>0</v>
      </c>
      <c r="K183" s="89">
        <f t="shared" si="2"/>
        <v>124969951</v>
      </c>
      <c r="L183" t="s">
        <v>15</v>
      </c>
      <c r="M183" s="2" t="s">
        <v>15</v>
      </c>
      <c r="N183" s="45" t="s">
        <v>15</v>
      </c>
      <c r="O183" s="101" t="s">
        <v>15</v>
      </c>
    </row>
    <row r="184" spans="1:16" s="115" customFormat="1">
      <c r="A184" s="114" t="s">
        <v>785</v>
      </c>
      <c r="B184" s="97" t="s">
        <v>1106</v>
      </c>
      <c r="C184" s="115" t="s">
        <v>793</v>
      </c>
      <c r="D184" s="115" t="s">
        <v>207</v>
      </c>
      <c r="E184" s="116" t="s">
        <v>794</v>
      </c>
      <c r="F184" s="116"/>
      <c r="G184" s="117" t="s">
        <v>148</v>
      </c>
      <c r="H184" s="117">
        <v>3468469</v>
      </c>
      <c r="I184" s="117">
        <v>0</v>
      </c>
      <c r="J184" s="117">
        <v>0</v>
      </c>
      <c r="K184" s="89">
        <f t="shared" si="2"/>
        <v>124969951</v>
      </c>
      <c r="L184" s="76" t="s">
        <v>1</v>
      </c>
      <c r="M184" s="76" t="s">
        <v>1077</v>
      </c>
      <c r="N184" s="76" t="s">
        <v>1078</v>
      </c>
      <c r="O184" s="115" t="s">
        <v>795</v>
      </c>
      <c r="P184" s="113" t="s">
        <v>15</v>
      </c>
    </row>
    <row r="185" spans="1:16">
      <c r="A185" s="97" t="s">
        <v>785</v>
      </c>
      <c r="B185" s="97" t="s">
        <v>1106</v>
      </c>
      <c r="C185" t="s">
        <v>796</v>
      </c>
      <c r="D185" t="s">
        <v>797</v>
      </c>
      <c r="E185" s="37" t="s">
        <v>798</v>
      </c>
      <c r="F185" s="37">
        <v>2025</v>
      </c>
      <c r="G185" s="37" t="s">
        <v>149</v>
      </c>
      <c r="H185" s="74">
        <v>140800</v>
      </c>
      <c r="I185" s="74">
        <v>140800</v>
      </c>
      <c r="J185" s="74">
        <v>0</v>
      </c>
      <c r="K185" s="89">
        <f t="shared" si="2"/>
        <v>124829151</v>
      </c>
      <c r="L185" s="45" t="s">
        <v>1</v>
      </c>
      <c r="M185" s="45" t="s">
        <v>1077</v>
      </c>
      <c r="N185" s="45" t="s">
        <v>1078</v>
      </c>
    </row>
    <row r="186" spans="1:16">
      <c r="A186" s="97" t="s">
        <v>785</v>
      </c>
      <c r="B186" s="97" t="s">
        <v>1106</v>
      </c>
      <c r="C186" t="s">
        <v>799</v>
      </c>
      <c r="D186" t="s">
        <v>797</v>
      </c>
      <c r="E186" s="37" t="s">
        <v>800</v>
      </c>
      <c r="F186" s="37">
        <v>2025</v>
      </c>
      <c r="G186" s="37" t="s">
        <v>149</v>
      </c>
      <c r="H186" s="74">
        <v>20900</v>
      </c>
      <c r="I186" s="74">
        <v>20900</v>
      </c>
      <c r="J186" s="74">
        <v>0</v>
      </c>
      <c r="K186" s="89">
        <f t="shared" si="2"/>
        <v>124808251</v>
      </c>
      <c r="L186" s="45" t="s">
        <v>1</v>
      </c>
      <c r="M186" s="45" t="s">
        <v>1077</v>
      </c>
      <c r="N186" s="45" t="s">
        <v>1078</v>
      </c>
    </row>
    <row r="187" spans="1:16">
      <c r="A187" s="97" t="s">
        <v>785</v>
      </c>
      <c r="B187" s="97" t="s">
        <v>1106</v>
      </c>
      <c r="C187" t="s">
        <v>801</v>
      </c>
      <c r="D187" t="s">
        <v>797</v>
      </c>
      <c r="E187" s="37" t="s">
        <v>802</v>
      </c>
      <c r="F187" s="37">
        <v>2025</v>
      </c>
      <c r="G187" s="37" t="s">
        <v>149</v>
      </c>
      <c r="H187" s="74">
        <v>140800</v>
      </c>
      <c r="I187" s="74">
        <v>140800</v>
      </c>
      <c r="J187" s="74">
        <v>0</v>
      </c>
      <c r="K187" s="89">
        <f t="shared" si="2"/>
        <v>124667451</v>
      </c>
      <c r="L187" s="45" t="s">
        <v>1</v>
      </c>
      <c r="M187" s="45" t="s">
        <v>1077</v>
      </c>
      <c r="N187" s="45" t="s">
        <v>1078</v>
      </c>
    </row>
    <row r="188" spans="1:16">
      <c r="A188" s="97" t="s">
        <v>785</v>
      </c>
      <c r="B188" s="97" t="s">
        <v>1106</v>
      </c>
      <c r="C188" t="s">
        <v>803</v>
      </c>
      <c r="D188" t="s">
        <v>236</v>
      </c>
      <c r="E188" s="37" t="s">
        <v>804</v>
      </c>
      <c r="F188" s="37">
        <v>2025</v>
      </c>
      <c r="G188" s="37" t="s">
        <v>149</v>
      </c>
      <c r="H188" s="74">
        <v>3568309</v>
      </c>
      <c r="I188" s="74">
        <v>3568309</v>
      </c>
      <c r="J188" s="74">
        <v>0</v>
      </c>
      <c r="K188" s="89">
        <f t="shared" si="2"/>
        <v>121099142</v>
      </c>
      <c r="L188" s="45" t="s">
        <v>1</v>
      </c>
      <c r="M188" s="45" t="s">
        <v>1077</v>
      </c>
      <c r="N188" s="45" t="s">
        <v>1078</v>
      </c>
    </row>
    <row r="189" spans="1:16">
      <c r="A189" s="97" t="s">
        <v>785</v>
      </c>
      <c r="B189" s="97" t="s">
        <v>1106</v>
      </c>
      <c r="C189" t="s">
        <v>805</v>
      </c>
      <c r="D189" t="s">
        <v>236</v>
      </c>
      <c r="E189" s="37" t="s">
        <v>806</v>
      </c>
      <c r="F189" s="37">
        <v>2025</v>
      </c>
      <c r="G189" s="37" t="s">
        <v>149</v>
      </c>
      <c r="H189" s="74">
        <v>7136617</v>
      </c>
      <c r="I189" s="74">
        <v>7136617</v>
      </c>
      <c r="J189" s="74">
        <v>0</v>
      </c>
      <c r="K189" s="89">
        <f t="shared" si="2"/>
        <v>113962525</v>
      </c>
      <c r="L189" s="45" t="s">
        <v>1</v>
      </c>
      <c r="M189" s="45" t="s">
        <v>1077</v>
      </c>
      <c r="N189" s="45" t="s">
        <v>1078</v>
      </c>
    </row>
    <row r="190" spans="1:16">
      <c r="A190" s="97" t="s">
        <v>785</v>
      </c>
      <c r="B190" s="97" t="s">
        <v>1106</v>
      </c>
      <c r="C190" t="s">
        <v>807</v>
      </c>
      <c r="D190" t="s">
        <v>236</v>
      </c>
      <c r="E190" s="37" t="s">
        <v>808</v>
      </c>
      <c r="F190" s="37">
        <v>2025</v>
      </c>
      <c r="G190" s="37" t="s">
        <v>149</v>
      </c>
      <c r="H190" s="74">
        <v>1189447</v>
      </c>
      <c r="I190" s="74">
        <v>1189447</v>
      </c>
      <c r="J190" s="74">
        <v>0</v>
      </c>
      <c r="K190" s="89">
        <f t="shared" si="2"/>
        <v>112773078</v>
      </c>
      <c r="L190" s="45" t="s">
        <v>1</v>
      </c>
      <c r="M190" s="45" t="s">
        <v>1077</v>
      </c>
      <c r="N190" s="45" t="s">
        <v>1078</v>
      </c>
    </row>
    <row r="191" spans="1:16">
      <c r="A191" s="97" t="s">
        <v>785</v>
      </c>
      <c r="B191" s="97" t="s">
        <v>1106</v>
      </c>
      <c r="C191" t="s">
        <v>809</v>
      </c>
      <c r="D191" t="s">
        <v>797</v>
      </c>
      <c r="E191" s="37" t="s">
        <v>810</v>
      </c>
      <c r="F191" s="37">
        <v>2025</v>
      </c>
      <c r="G191" s="37" t="s">
        <v>149</v>
      </c>
      <c r="H191" s="74">
        <v>140800</v>
      </c>
      <c r="I191" s="74">
        <v>140800</v>
      </c>
      <c r="J191" s="74">
        <v>0</v>
      </c>
      <c r="K191" s="89">
        <f t="shared" si="2"/>
        <v>112632278</v>
      </c>
      <c r="L191" s="45" t="s">
        <v>1</v>
      </c>
      <c r="M191" s="45" t="s">
        <v>1077</v>
      </c>
      <c r="N191" s="45" t="s">
        <v>1078</v>
      </c>
    </row>
    <row r="192" spans="1:16">
      <c r="A192" s="97" t="s">
        <v>785</v>
      </c>
      <c r="B192" s="97" t="s">
        <v>1106</v>
      </c>
      <c r="C192" t="s">
        <v>811</v>
      </c>
      <c r="D192" t="s">
        <v>646</v>
      </c>
      <c r="E192" s="37" t="s">
        <v>812</v>
      </c>
      <c r="F192" s="37">
        <v>2025</v>
      </c>
      <c r="G192" s="37" t="s">
        <v>148</v>
      </c>
      <c r="H192" s="104">
        <v>30980400</v>
      </c>
      <c r="I192" s="120">
        <v>0</v>
      </c>
      <c r="J192" s="89">
        <v>0</v>
      </c>
      <c r="K192" s="89">
        <f t="shared" si="2"/>
        <v>112632278</v>
      </c>
      <c r="L192" t="s">
        <v>15</v>
      </c>
      <c r="M192" s="2" t="s">
        <v>15</v>
      </c>
      <c r="N192" s="45" t="s">
        <v>15</v>
      </c>
      <c r="O192" s="101" t="s">
        <v>15</v>
      </c>
    </row>
    <row r="193" spans="1:15">
      <c r="A193" s="97" t="s">
        <v>785</v>
      </c>
      <c r="B193" s="97" t="s">
        <v>1106</v>
      </c>
      <c r="C193" t="s">
        <v>813</v>
      </c>
      <c r="D193" t="s">
        <v>646</v>
      </c>
      <c r="E193" s="37" t="s">
        <v>814</v>
      </c>
      <c r="F193" s="37">
        <v>2025</v>
      </c>
      <c r="G193" s="37" t="s">
        <v>148</v>
      </c>
      <c r="H193" s="94">
        <v>5489460</v>
      </c>
      <c r="I193" s="119">
        <v>0</v>
      </c>
      <c r="J193" s="89">
        <v>0</v>
      </c>
      <c r="K193" s="89">
        <f t="shared" si="2"/>
        <v>112632278</v>
      </c>
      <c r="L193" t="s">
        <v>15</v>
      </c>
      <c r="M193" s="2" t="s">
        <v>15</v>
      </c>
      <c r="N193" s="45" t="s">
        <v>15</v>
      </c>
      <c r="O193" s="101" t="s">
        <v>15</v>
      </c>
    </row>
    <row r="194" spans="1:15" s="30" customFormat="1" hidden="1">
      <c r="A194" s="99" t="s">
        <v>785</v>
      </c>
      <c r="B194" s="97" t="s">
        <v>1106</v>
      </c>
      <c r="C194" s="30" t="s">
        <v>815</v>
      </c>
      <c r="D194" s="30" t="s">
        <v>646</v>
      </c>
      <c r="E194" s="39" t="s">
        <v>816</v>
      </c>
      <c r="F194" s="39">
        <v>2024</v>
      </c>
      <c r="G194" s="39" t="s">
        <v>148</v>
      </c>
      <c r="H194" s="40">
        <v>18862729</v>
      </c>
      <c r="I194" s="49">
        <v>0</v>
      </c>
      <c r="J194" s="89">
        <v>0</v>
      </c>
      <c r="K194" s="89">
        <f t="shared" si="2"/>
        <v>112632278</v>
      </c>
      <c r="L194" t="s">
        <v>15</v>
      </c>
      <c r="M194" s="2" t="s">
        <v>15</v>
      </c>
      <c r="N194" s="45" t="s">
        <v>15</v>
      </c>
      <c r="O194" s="101" t="s">
        <v>15</v>
      </c>
    </row>
    <row r="195" spans="1:15" hidden="1">
      <c r="A195" s="97">
        <v>45839</v>
      </c>
      <c r="B195" s="97" t="s">
        <v>508</v>
      </c>
      <c r="D195" t="s">
        <v>817</v>
      </c>
      <c r="G195" s="37" t="s">
        <v>1107</v>
      </c>
      <c r="H195" s="49">
        <v>94875</v>
      </c>
      <c r="I195" s="119">
        <v>0</v>
      </c>
      <c r="J195" s="49">
        <v>94875</v>
      </c>
      <c r="K195" s="89">
        <f t="shared" si="2"/>
        <v>112727153</v>
      </c>
      <c r="L195" s="2" t="s">
        <v>308</v>
      </c>
      <c r="M195" s="2" t="s">
        <v>1109</v>
      </c>
      <c r="N195" s="2" t="s">
        <v>508</v>
      </c>
      <c r="O195" s="2" t="s">
        <v>448</v>
      </c>
    </row>
    <row r="196" spans="1:15" hidden="1">
      <c r="A196" s="97">
        <v>45839</v>
      </c>
      <c r="B196" s="97" t="s">
        <v>508</v>
      </c>
      <c r="D196" t="s">
        <v>548</v>
      </c>
      <c r="G196" s="37" t="s">
        <v>1107</v>
      </c>
      <c r="H196" s="49">
        <v>1981982</v>
      </c>
      <c r="I196" s="119">
        <v>0</v>
      </c>
      <c r="J196" s="49">
        <v>1981982</v>
      </c>
      <c r="K196" s="89">
        <f t="shared" si="2"/>
        <v>114709135</v>
      </c>
      <c r="L196" t="s">
        <v>308</v>
      </c>
      <c r="M196" t="s">
        <v>1110</v>
      </c>
      <c r="N196" t="s">
        <v>508</v>
      </c>
      <c r="O196" t="s">
        <v>448</v>
      </c>
    </row>
    <row r="197" spans="1:15" hidden="1">
      <c r="A197" s="97">
        <v>45839</v>
      </c>
      <c r="B197" s="97" t="s">
        <v>508</v>
      </c>
      <c r="D197" t="s">
        <v>818</v>
      </c>
      <c r="G197" s="37" t="s">
        <v>1107</v>
      </c>
      <c r="H197" s="49">
        <v>100848964</v>
      </c>
      <c r="I197" s="119">
        <v>0</v>
      </c>
      <c r="J197" s="49">
        <v>100848964</v>
      </c>
      <c r="K197" s="89">
        <f t="shared" si="2"/>
        <v>215558099</v>
      </c>
      <c r="L197" s="2" t="s">
        <v>308</v>
      </c>
      <c r="M197" s="2" t="s">
        <v>1109</v>
      </c>
      <c r="N197" s="2" t="s">
        <v>508</v>
      </c>
      <c r="O197" s="2" t="s">
        <v>448</v>
      </c>
    </row>
    <row r="198" spans="1:15" hidden="1">
      <c r="A198" s="97">
        <v>45839</v>
      </c>
      <c r="B198" s="97" t="s">
        <v>508</v>
      </c>
      <c r="D198" t="s">
        <v>552</v>
      </c>
      <c r="G198" s="37" t="s">
        <v>1107</v>
      </c>
      <c r="H198" s="49">
        <v>506000</v>
      </c>
      <c r="I198" s="119">
        <v>0</v>
      </c>
      <c r="J198" s="49">
        <v>506000</v>
      </c>
      <c r="K198" s="89">
        <f t="shared" ref="K198:K261" si="3">K197-I198+J198</f>
        <v>216064099</v>
      </c>
      <c r="L198" s="2" t="s">
        <v>308</v>
      </c>
      <c r="M198" s="2" t="s">
        <v>1109</v>
      </c>
      <c r="N198" s="2" t="s">
        <v>508</v>
      </c>
      <c r="O198" s="2" t="s">
        <v>448</v>
      </c>
    </row>
    <row r="199" spans="1:15" hidden="1">
      <c r="A199" s="97">
        <v>45839</v>
      </c>
      <c r="B199" s="97" t="s">
        <v>508</v>
      </c>
      <c r="D199" t="s">
        <v>787</v>
      </c>
      <c r="G199" s="37" t="s">
        <v>1107</v>
      </c>
      <c r="H199" s="49">
        <v>1018640</v>
      </c>
      <c r="I199" s="119">
        <v>0</v>
      </c>
      <c r="J199" s="49">
        <v>1018640</v>
      </c>
      <c r="K199" s="89">
        <f t="shared" si="3"/>
        <v>217082739</v>
      </c>
      <c r="L199" t="s">
        <v>308</v>
      </c>
      <c r="M199" t="s">
        <v>1119</v>
      </c>
      <c r="N199" t="s">
        <v>508</v>
      </c>
      <c r="O199" s="2" t="s">
        <v>448</v>
      </c>
    </row>
    <row r="200" spans="1:15" hidden="1">
      <c r="A200" s="97">
        <v>45839</v>
      </c>
      <c r="B200" s="97" t="s">
        <v>508</v>
      </c>
      <c r="D200" t="s">
        <v>550</v>
      </c>
      <c r="G200" s="37" t="s">
        <v>1107</v>
      </c>
      <c r="H200" s="49">
        <v>74324</v>
      </c>
      <c r="I200" s="119">
        <v>0</v>
      </c>
      <c r="J200" s="49">
        <v>74324</v>
      </c>
      <c r="K200" s="89">
        <f t="shared" si="3"/>
        <v>217157063</v>
      </c>
      <c r="L200" s="2" t="s">
        <v>308</v>
      </c>
      <c r="M200" s="2" t="s">
        <v>1109</v>
      </c>
      <c r="N200" s="2" t="s">
        <v>508</v>
      </c>
      <c r="O200" s="2" t="s">
        <v>448</v>
      </c>
    </row>
    <row r="201" spans="1:15" hidden="1">
      <c r="A201" s="97">
        <v>45839</v>
      </c>
      <c r="B201" s="97" t="s">
        <v>508</v>
      </c>
      <c r="D201" t="s">
        <v>564</v>
      </c>
      <c r="G201" s="37" t="s">
        <v>1107</v>
      </c>
      <c r="H201" s="49">
        <v>385000</v>
      </c>
      <c r="I201" s="119">
        <v>0</v>
      </c>
      <c r="J201" s="49">
        <v>385000</v>
      </c>
      <c r="K201" s="89">
        <f t="shared" si="3"/>
        <v>217542063</v>
      </c>
      <c r="L201" s="2" t="s">
        <v>308</v>
      </c>
      <c r="M201" s="2" t="s">
        <v>1109</v>
      </c>
      <c r="N201" s="2" t="s">
        <v>508</v>
      </c>
      <c r="O201" s="2" t="s">
        <v>448</v>
      </c>
    </row>
    <row r="202" spans="1:15">
      <c r="A202" s="97">
        <v>45839</v>
      </c>
      <c r="B202" s="97" t="s">
        <v>1106</v>
      </c>
      <c r="C202" t="s">
        <v>819</v>
      </c>
      <c r="D202" t="s">
        <v>236</v>
      </c>
      <c r="E202" s="37" t="s">
        <v>820</v>
      </c>
      <c r="F202" s="37">
        <v>2025</v>
      </c>
      <c r="G202" s="37" t="s">
        <v>149</v>
      </c>
      <c r="H202" s="74">
        <v>330000</v>
      </c>
      <c r="I202" s="74">
        <v>330000</v>
      </c>
      <c r="J202" s="74">
        <v>0</v>
      </c>
      <c r="K202" s="89">
        <f t="shared" si="3"/>
        <v>217212063</v>
      </c>
      <c r="L202" s="45" t="s">
        <v>1</v>
      </c>
      <c r="M202" s="45" t="s">
        <v>1077</v>
      </c>
      <c r="N202" s="45" t="s">
        <v>1078</v>
      </c>
    </row>
    <row r="203" spans="1:15">
      <c r="A203" s="97">
        <v>45839</v>
      </c>
      <c r="B203" s="97" t="s">
        <v>1106</v>
      </c>
      <c r="C203" t="s">
        <v>821</v>
      </c>
      <c r="D203" t="s">
        <v>236</v>
      </c>
      <c r="E203" s="37" t="s">
        <v>822</v>
      </c>
      <c r="F203" s="37">
        <v>2025</v>
      </c>
      <c r="G203" s="37" t="s">
        <v>149</v>
      </c>
      <c r="H203" s="74">
        <v>741400</v>
      </c>
      <c r="I203" s="74">
        <v>741400</v>
      </c>
      <c r="J203" s="74">
        <v>0</v>
      </c>
      <c r="K203" s="89">
        <f t="shared" si="3"/>
        <v>216470663</v>
      </c>
      <c r="L203" s="45" t="s">
        <v>1</v>
      </c>
      <c r="M203" s="45" t="s">
        <v>1077</v>
      </c>
      <c r="N203" s="45" t="s">
        <v>1078</v>
      </c>
    </row>
    <row r="204" spans="1:15">
      <c r="A204" s="97">
        <v>45839</v>
      </c>
      <c r="B204" s="97" t="s">
        <v>1106</v>
      </c>
      <c r="C204" t="s">
        <v>823</v>
      </c>
      <c r="D204" t="s">
        <v>317</v>
      </c>
      <c r="E204" s="37" t="s">
        <v>824</v>
      </c>
      <c r="F204" s="37">
        <v>2025</v>
      </c>
      <c r="G204" s="37" t="s">
        <v>149</v>
      </c>
      <c r="H204" s="74">
        <v>1271946</v>
      </c>
      <c r="I204" s="74">
        <v>1271946</v>
      </c>
      <c r="J204" s="74">
        <v>0</v>
      </c>
      <c r="K204" s="89">
        <f t="shared" si="3"/>
        <v>215198717</v>
      </c>
      <c r="L204" s="45" t="s">
        <v>1</v>
      </c>
      <c r="M204" s="45" t="s">
        <v>1077</v>
      </c>
      <c r="N204" s="45" t="s">
        <v>1078</v>
      </c>
    </row>
    <row r="205" spans="1:15">
      <c r="A205" s="97">
        <v>45839</v>
      </c>
      <c r="B205" s="97" t="s">
        <v>1106</v>
      </c>
      <c r="C205" t="s">
        <v>825</v>
      </c>
      <c r="D205" t="s">
        <v>398</v>
      </c>
      <c r="E205" s="37" t="s">
        <v>826</v>
      </c>
      <c r="F205" s="37">
        <v>2025</v>
      </c>
      <c r="G205" s="37" t="s">
        <v>149</v>
      </c>
      <c r="H205" s="74">
        <v>33308699</v>
      </c>
      <c r="I205" s="74">
        <v>33308699</v>
      </c>
      <c r="J205" s="74">
        <v>0</v>
      </c>
      <c r="K205" s="89">
        <f t="shared" si="3"/>
        <v>181890018</v>
      </c>
      <c r="L205" s="45" t="s">
        <v>1</v>
      </c>
      <c r="M205" s="45" t="s">
        <v>1077</v>
      </c>
      <c r="N205" s="45" t="s">
        <v>1078</v>
      </c>
    </row>
    <row r="206" spans="1:15">
      <c r="A206" s="97">
        <v>45839</v>
      </c>
      <c r="B206" s="97" t="s">
        <v>1106</v>
      </c>
      <c r="C206" t="s">
        <v>827</v>
      </c>
      <c r="D206" t="s">
        <v>398</v>
      </c>
      <c r="E206" s="37" t="s">
        <v>828</v>
      </c>
      <c r="F206" s="37">
        <v>2025</v>
      </c>
      <c r="G206" s="37" t="s">
        <v>149</v>
      </c>
      <c r="H206" s="74">
        <v>44411598</v>
      </c>
      <c r="I206" s="74">
        <v>44411598</v>
      </c>
      <c r="J206" s="74">
        <v>0</v>
      </c>
      <c r="K206" s="89">
        <f t="shared" si="3"/>
        <v>137478420</v>
      </c>
      <c r="L206" s="45" t="s">
        <v>1</v>
      </c>
      <c r="M206" s="45" t="s">
        <v>1077</v>
      </c>
      <c r="N206" s="45" t="s">
        <v>1078</v>
      </c>
    </row>
    <row r="207" spans="1:15">
      <c r="A207" s="97">
        <v>45839</v>
      </c>
      <c r="B207" s="97" t="s">
        <v>1106</v>
      </c>
      <c r="C207" t="s">
        <v>829</v>
      </c>
      <c r="D207" t="s">
        <v>236</v>
      </c>
      <c r="E207" s="37" t="s">
        <v>830</v>
      </c>
      <c r="F207" s="37">
        <v>2025</v>
      </c>
      <c r="G207" s="37" t="s">
        <v>149</v>
      </c>
      <c r="H207" s="74">
        <v>288200</v>
      </c>
      <c r="I207" s="74">
        <v>288200</v>
      </c>
      <c r="J207" s="74">
        <v>0</v>
      </c>
      <c r="K207" s="89">
        <f t="shared" si="3"/>
        <v>137190220</v>
      </c>
      <c r="L207" s="45" t="s">
        <v>1</v>
      </c>
      <c r="M207" s="45" t="s">
        <v>1077</v>
      </c>
      <c r="N207" s="45" t="s">
        <v>1078</v>
      </c>
    </row>
    <row r="208" spans="1:15">
      <c r="A208" s="97">
        <v>45839</v>
      </c>
      <c r="B208" s="97" t="s">
        <v>1106</v>
      </c>
      <c r="C208" t="s">
        <v>831</v>
      </c>
      <c r="D208" t="s">
        <v>434</v>
      </c>
      <c r="E208" s="37" t="s">
        <v>832</v>
      </c>
      <c r="F208" s="37">
        <v>2025</v>
      </c>
      <c r="G208" s="37" t="s">
        <v>149</v>
      </c>
      <c r="H208" s="74">
        <v>163986</v>
      </c>
      <c r="I208" s="74">
        <v>163986</v>
      </c>
      <c r="J208" s="74">
        <v>0</v>
      </c>
      <c r="K208" s="89">
        <f t="shared" si="3"/>
        <v>137026234</v>
      </c>
      <c r="L208" s="45" t="s">
        <v>1</v>
      </c>
      <c r="M208" s="45" t="s">
        <v>1077</v>
      </c>
      <c r="N208" s="45" t="s">
        <v>1078</v>
      </c>
    </row>
    <row r="209" spans="1:14">
      <c r="A209" s="97">
        <v>45839</v>
      </c>
      <c r="B209" s="97" t="s">
        <v>1106</v>
      </c>
      <c r="C209" t="s">
        <v>833</v>
      </c>
      <c r="D209" t="s">
        <v>236</v>
      </c>
      <c r="E209" s="37" t="s">
        <v>834</v>
      </c>
      <c r="F209" s="37">
        <v>2025</v>
      </c>
      <c r="G209" s="37" t="s">
        <v>149</v>
      </c>
      <c r="H209" s="74">
        <v>14592</v>
      </c>
      <c r="I209" s="74">
        <v>14592</v>
      </c>
      <c r="J209" s="74">
        <v>0</v>
      </c>
      <c r="K209" s="89">
        <f t="shared" si="3"/>
        <v>137011642</v>
      </c>
      <c r="L209" s="45" t="s">
        <v>1</v>
      </c>
      <c r="M209" s="45" t="s">
        <v>1077</v>
      </c>
      <c r="N209" s="45" t="s">
        <v>1078</v>
      </c>
    </row>
    <row r="210" spans="1:14">
      <c r="A210" s="97">
        <v>45839</v>
      </c>
      <c r="B210" s="97" t="s">
        <v>1106</v>
      </c>
      <c r="C210" t="s">
        <v>835</v>
      </c>
      <c r="D210" t="s">
        <v>236</v>
      </c>
      <c r="E210" s="37" t="s">
        <v>836</v>
      </c>
      <c r="F210" s="37">
        <v>2025</v>
      </c>
      <c r="G210" s="37" t="s">
        <v>149</v>
      </c>
      <c r="H210" s="74">
        <v>248961</v>
      </c>
      <c r="I210" s="74">
        <v>248961</v>
      </c>
      <c r="J210" s="74">
        <v>0</v>
      </c>
      <c r="K210" s="89">
        <f t="shared" si="3"/>
        <v>136762681</v>
      </c>
      <c r="L210" s="45" t="s">
        <v>1</v>
      </c>
      <c r="M210" s="45" t="s">
        <v>1077</v>
      </c>
      <c r="N210" s="45" t="s">
        <v>1078</v>
      </c>
    </row>
    <row r="211" spans="1:14">
      <c r="A211" s="97">
        <v>45839</v>
      </c>
      <c r="B211" s="97" t="s">
        <v>1106</v>
      </c>
      <c r="C211" t="s">
        <v>837</v>
      </c>
      <c r="D211" t="s">
        <v>236</v>
      </c>
      <c r="E211" s="37" t="s">
        <v>838</v>
      </c>
      <c r="F211" s="37">
        <v>2025</v>
      </c>
      <c r="G211" s="37" t="s">
        <v>149</v>
      </c>
      <c r="H211" s="74">
        <v>90580</v>
      </c>
      <c r="I211" s="74">
        <v>90580</v>
      </c>
      <c r="J211" s="74">
        <v>0</v>
      </c>
      <c r="K211" s="89">
        <f t="shared" si="3"/>
        <v>136672101</v>
      </c>
      <c r="L211" s="45" t="s">
        <v>1</v>
      </c>
      <c r="M211" s="45" t="s">
        <v>1077</v>
      </c>
      <c r="N211" s="45" t="s">
        <v>1078</v>
      </c>
    </row>
    <row r="212" spans="1:14">
      <c r="A212" s="97">
        <v>45839</v>
      </c>
      <c r="B212" s="97" t="s">
        <v>1106</v>
      </c>
      <c r="C212" t="s">
        <v>839</v>
      </c>
      <c r="D212" t="s">
        <v>236</v>
      </c>
      <c r="E212" s="37" t="s">
        <v>840</v>
      </c>
      <c r="F212" s="37">
        <v>2025</v>
      </c>
      <c r="G212" s="37" t="s">
        <v>149</v>
      </c>
      <c r="H212" s="74">
        <v>41910</v>
      </c>
      <c r="I212" s="74">
        <v>41910</v>
      </c>
      <c r="J212" s="74">
        <v>0</v>
      </c>
      <c r="K212" s="89">
        <f t="shared" si="3"/>
        <v>136630191</v>
      </c>
      <c r="L212" s="45" t="s">
        <v>1</v>
      </c>
      <c r="M212" s="45" t="s">
        <v>1077</v>
      </c>
      <c r="N212" s="45" t="s">
        <v>1078</v>
      </c>
    </row>
    <row r="213" spans="1:14">
      <c r="A213" s="97">
        <v>45839</v>
      </c>
      <c r="B213" s="97" t="s">
        <v>1106</v>
      </c>
      <c r="C213" t="s">
        <v>841</v>
      </c>
      <c r="D213" t="s">
        <v>236</v>
      </c>
      <c r="E213" s="37" t="s">
        <v>842</v>
      </c>
      <c r="F213" s="37">
        <v>2025</v>
      </c>
      <c r="G213" s="37" t="s">
        <v>149</v>
      </c>
      <c r="H213" s="74">
        <v>51714</v>
      </c>
      <c r="I213" s="74">
        <v>51714</v>
      </c>
      <c r="J213" s="74">
        <v>0</v>
      </c>
      <c r="K213" s="89">
        <f t="shared" si="3"/>
        <v>136578477</v>
      </c>
      <c r="L213" s="45" t="s">
        <v>1</v>
      </c>
      <c r="M213" s="45" t="s">
        <v>1077</v>
      </c>
      <c r="N213" s="45" t="s">
        <v>1078</v>
      </c>
    </row>
    <row r="214" spans="1:14">
      <c r="A214" s="97">
        <v>45839</v>
      </c>
      <c r="B214" s="97" t="s">
        <v>1106</v>
      </c>
      <c r="C214" t="s">
        <v>843</v>
      </c>
      <c r="D214" t="s">
        <v>236</v>
      </c>
      <c r="E214" s="37" t="s">
        <v>844</v>
      </c>
      <c r="F214" s="37">
        <v>2025</v>
      </c>
      <c r="G214" s="37" t="s">
        <v>149</v>
      </c>
      <c r="H214" s="74">
        <v>41910</v>
      </c>
      <c r="I214" s="74">
        <v>41910</v>
      </c>
      <c r="J214" s="74">
        <v>0</v>
      </c>
      <c r="K214" s="89">
        <f t="shared" si="3"/>
        <v>136536567</v>
      </c>
      <c r="L214" s="45" t="s">
        <v>1</v>
      </c>
      <c r="M214" s="45" t="s">
        <v>1077</v>
      </c>
      <c r="N214" s="45" t="s">
        <v>1078</v>
      </c>
    </row>
    <row r="215" spans="1:14">
      <c r="A215" s="97">
        <v>45839</v>
      </c>
      <c r="B215" s="97" t="s">
        <v>1106</v>
      </c>
      <c r="C215" t="s">
        <v>845</v>
      </c>
      <c r="D215" t="s">
        <v>236</v>
      </c>
      <c r="E215" s="37" t="s">
        <v>846</v>
      </c>
      <c r="F215" s="37">
        <v>2025</v>
      </c>
      <c r="G215" s="37" t="s">
        <v>149</v>
      </c>
      <c r="H215" s="74">
        <v>51714</v>
      </c>
      <c r="I215" s="74">
        <v>51714</v>
      </c>
      <c r="J215" s="74">
        <v>0</v>
      </c>
      <c r="K215" s="89">
        <f t="shared" si="3"/>
        <v>136484853</v>
      </c>
      <c r="L215" s="45" t="s">
        <v>1</v>
      </c>
      <c r="M215" s="45" t="s">
        <v>1077</v>
      </c>
      <c r="N215" s="45" t="s">
        <v>1078</v>
      </c>
    </row>
    <row r="216" spans="1:14">
      <c r="A216" s="97">
        <v>45839</v>
      </c>
      <c r="B216" s="97" t="s">
        <v>1106</v>
      </c>
      <c r="C216" t="s">
        <v>847</v>
      </c>
      <c r="D216" t="s">
        <v>236</v>
      </c>
      <c r="E216" s="37" t="s">
        <v>848</v>
      </c>
      <c r="F216" s="37">
        <v>2025</v>
      </c>
      <c r="G216" s="37" t="s">
        <v>149</v>
      </c>
      <c r="H216" s="74">
        <v>296357</v>
      </c>
      <c r="I216" s="74">
        <v>296357</v>
      </c>
      <c r="J216" s="74">
        <v>0</v>
      </c>
      <c r="K216" s="89">
        <f t="shared" si="3"/>
        <v>136188496</v>
      </c>
      <c r="L216" s="45" t="s">
        <v>1</v>
      </c>
      <c r="M216" s="45" t="s">
        <v>1077</v>
      </c>
      <c r="N216" s="45" t="s">
        <v>1078</v>
      </c>
    </row>
    <row r="217" spans="1:14">
      <c r="A217" s="97">
        <v>45839</v>
      </c>
      <c r="B217" s="97" t="s">
        <v>1106</v>
      </c>
      <c r="C217" t="s">
        <v>849</v>
      </c>
      <c r="D217" t="s">
        <v>236</v>
      </c>
      <c r="E217" s="37" t="s">
        <v>850</v>
      </c>
      <c r="F217" s="37">
        <v>2025</v>
      </c>
      <c r="G217" s="37" t="s">
        <v>149</v>
      </c>
      <c r="H217" s="74">
        <v>19800</v>
      </c>
      <c r="I217" s="74">
        <v>19800</v>
      </c>
      <c r="J217" s="74">
        <v>0</v>
      </c>
      <c r="K217" s="89">
        <f t="shared" si="3"/>
        <v>136168696</v>
      </c>
      <c r="L217" s="45" t="s">
        <v>1</v>
      </c>
      <c r="M217" s="45" t="s">
        <v>1077</v>
      </c>
      <c r="N217" s="45" t="s">
        <v>1078</v>
      </c>
    </row>
    <row r="218" spans="1:14">
      <c r="A218" s="97">
        <v>45839</v>
      </c>
      <c r="B218" s="97" t="s">
        <v>1106</v>
      </c>
      <c r="C218" t="s">
        <v>851</v>
      </c>
      <c r="D218" t="s">
        <v>236</v>
      </c>
      <c r="E218" s="37" t="s">
        <v>852</v>
      </c>
      <c r="F218" s="37">
        <v>2025</v>
      </c>
      <c r="G218" s="37" t="s">
        <v>149</v>
      </c>
      <c r="H218" s="74">
        <v>101739</v>
      </c>
      <c r="I218" s="74">
        <v>101739</v>
      </c>
      <c r="J218" s="74">
        <v>0</v>
      </c>
      <c r="K218" s="89">
        <f t="shared" si="3"/>
        <v>136066957</v>
      </c>
      <c r="L218" s="45" t="s">
        <v>1</v>
      </c>
      <c r="M218" s="45" t="s">
        <v>1077</v>
      </c>
      <c r="N218" s="45" t="s">
        <v>1078</v>
      </c>
    </row>
    <row r="219" spans="1:14">
      <c r="A219" s="97">
        <v>45839</v>
      </c>
      <c r="B219" s="97" t="s">
        <v>1106</v>
      </c>
      <c r="C219" t="s">
        <v>853</v>
      </c>
      <c r="D219" t="s">
        <v>236</v>
      </c>
      <c r="E219" s="37" t="s">
        <v>854</v>
      </c>
      <c r="F219" s="37">
        <v>2025</v>
      </c>
      <c r="G219" s="37" t="s">
        <v>149</v>
      </c>
      <c r="H219" s="74">
        <v>28474</v>
      </c>
      <c r="I219" s="74">
        <v>28474</v>
      </c>
      <c r="J219" s="74">
        <v>0</v>
      </c>
      <c r="K219" s="89">
        <f t="shared" si="3"/>
        <v>136038483</v>
      </c>
      <c r="L219" s="45" t="s">
        <v>1</v>
      </c>
      <c r="M219" s="45" t="s">
        <v>1077</v>
      </c>
      <c r="N219" s="45" t="s">
        <v>1078</v>
      </c>
    </row>
    <row r="220" spans="1:14">
      <c r="A220" s="97">
        <v>45839</v>
      </c>
      <c r="B220" s="97" t="s">
        <v>1106</v>
      </c>
      <c r="C220" t="s">
        <v>855</v>
      </c>
      <c r="D220" t="s">
        <v>236</v>
      </c>
      <c r="E220" s="37" t="s">
        <v>856</v>
      </c>
      <c r="F220" s="37">
        <v>2025</v>
      </c>
      <c r="G220" s="37" t="s">
        <v>149</v>
      </c>
      <c r="H220" s="74">
        <v>13205</v>
      </c>
      <c r="I220" s="74">
        <v>13205</v>
      </c>
      <c r="J220" s="74">
        <v>0</v>
      </c>
      <c r="K220" s="89">
        <f t="shared" si="3"/>
        <v>136025278</v>
      </c>
      <c r="L220" s="45" t="s">
        <v>1</v>
      </c>
      <c r="M220" s="45" t="s">
        <v>1077</v>
      </c>
      <c r="N220" s="45" t="s">
        <v>1078</v>
      </c>
    </row>
    <row r="221" spans="1:14">
      <c r="A221" s="97">
        <v>45839</v>
      </c>
      <c r="B221" s="97" t="s">
        <v>1106</v>
      </c>
      <c r="C221" t="s">
        <v>857</v>
      </c>
      <c r="D221" t="s">
        <v>236</v>
      </c>
      <c r="E221" s="37" t="s">
        <v>858</v>
      </c>
      <c r="F221" s="37">
        <v>2025</v>
      </c>
      <c r="G221" s="37" t="s">
        <v>149</v>
      </c>
      <c r="H221" s="74">
        <v>13205</v>
      </c>
      <c r="I221" s="74">
        <v>13205</v>
      </c>
      <c r="J221" s="74">
        <v>0</v>
      </c>
      <c r="K221" s="89">
        <f t="shared" si="3"/>
        <v>136012073</v>
      </c>
      <c r="L221" s="45" t="s">
        <v>1</v>
      </c>
      <c r="M221" s="45" t="s">
        <v>1077</v>
      </c>
      <c r="N221" s="45" t="s">
        <v>1078</v>
      </c>
    </row>
    <row r="222" spans="1:14">
      <c r="A222" s="97">
        <v>45839</v>
      </c>
      <c r="B222" s="97" t="s">
        <v>1106</v>
      </c>
      <c r="C222" t="s">
        <v>859</v>
      </c>
      <c r="D222" t="s">
        <v>236</v>
      </c>
      <c r="E222" s="37" t="s">
        <v>860</v>
      </c>
      <c r="F222" s="37">
        <v>2025</v>
      </c>
      <c r="G222" s="37" t="s">
        <v>149</v>
      </c>
      <c r="H222" s="74">
        <v>13205</v>
      </c>
      <c r="I222" s="74">
        <v>13205</v>
      </c>
      <c r="J222" s="74">
        <v>0</v>
      </c>
      <c r="K222" s="89">
        <f t="shared" si="3"/>
        <v>135998868</v>
      </c>
      <c r="L222" s="45" t="s">
        <v>1</v>
      </c>
      <c r="M222" s="45" t="s">
        <v>1077</v>
      </c>
      <c r="N222" s="45" t="s">
        <v>1078</v>
      </c>
    </row>
    <row r="223" spans="1:14">
      <c r="A223" s="97">
        <v>45839</v>
      </c>
      <c r="B223" s="97" t="s">
        <v>1106</v>
      </c>
      <c r="C223" t="s">
        <v>861</v>
      </c>
      <c r="D223" t="s">
        <v>236</v>
      </c>
      <c r="E223" s="37" t="s">
        <v>862</v>
      </c>
      <c r="F223" s="37">
        <v>2025</v>
      </c>
      <c r="G223" s="37" t="s">
        <v>149</v>
      </c>
      <c r="H223" s="121">
        <v>70409</v>
      </c>
      <c r="I223" s="121">
        <v>70409</v>
      </c>
      <c r="J223" s="74">
        <v>0</v>
      </c>
      <c r="K223" s="89">
        <f t="shared" si="3"/>
        <v>135928459</v>
      </c>
      <c r="L223" s="45" t="s">
        <v>1</v>
      </c>
      <c r="M223" s="45" t="s">
        <v>1077</v>
      </c>
      <c r="N223" s="45" t="s">
        <v>1078</v>
      </c>
    </row>
    <row r="224" spans="1:14">
      <c r="A224" s="97">
        <v>45839</v>
      </c>
      <c r="B224" s="97" t="s">
        <v>1106</v>
      </c>
      <c r="C224" t="s">
        <v>863</v>
      </c>
      <c r="D224" t="s">
        <v>236</v>
      </c>
      <c r="E224" s="37" t="s">
        <v>864</v>
      </c>
      <c r="F224" s="37">
        <v>2025</v>
      </c>
      <c r="G224" s="37" t="s">
        <v>149</v>
      </c>
      <c r="H224" s="74">
        <v>14592</v>
      </c>
      <c r="I224" s="74">
        <v>14592</v>
      </c>
      <c r="J224" s="74">
        <v>0</v>
      </c>
      <c r="K224" s="89">
        <f t="shared" si="3"/>
        <v>135913867</v>
      </c>
      <c r="L224" s="45" t="s">
        <v>1</v>
      </c>
      <c r="M224" s="45" t="s">
        <v>1077</v>
      </c>
      <c r="N224" s="45" t="s">
        <v>1078</v>
      </c>
    </row>
    <row r="225" spans="1:15">
      <c r="A225" s="97">
        <v>45839</v>
      </c>
      <c r="B225" s="97" t="s">
        <v>1106</v>
      </c>
      <c r="C225" t="s">
        <v>865</v>
      </c>
      <c r="D225" t="s">
        <v>236</v>
      </c>
      <c r="E225" s="37" t="s">
        <v>866</v>
      </c>
      <c r="F225" s="37">
        <v>2025</v>
      </c>
      <c r="G225" s="37" t="s">
        <v>149</v>
      </c>
      <c r="H225" s="74">
        <v>14592</v>
      </c>
      <c r="I225" s="74">
        <v>14592</v>
      </c>
      <c r="J225" s="74">
        <v>0</v>
      </c>
      <c r="K225" s="89">
        <f t="shared" si="3"/>
        <v>135899275</v>
      </c>
      <c r="L225" s="45" t="s">
        <v>1</v>
      </c>
      <c r="M225" s="45" t="s">
        <v>1077</v>
      </c>
      <c r="N225" s="45" t="s">
        <v>1078</v>
      </c>
    </row>
    <row r="226" spans="1:15">
      <c r="A226" s="97">
        <v>45839</v>
      </c>
      <c r="B226" s="97" t="s">
        <v>1106</v>
      </c>
      <c r="C226" t="s">
        <v>867</v>
      </c>
      <c r="D226" t="s">
        <v>236</v>
      </c>
      <c r="E226" s="37" t="s">
        <v>868</v>
      </c>
      <c r="F226" s="37">
        <v>2025</v>
      </c>
      <c r="G226" s="37" t="s">
        <v>149</v>
      </c>
      <c r="H226" s="74">
        <v>14592</v>
      </c>
      <c r="I226" s="74">
        <v>14592</v>
      </c>
      <c r="J226" s="74">
        <v>0</v>
      </c>
      <c r="K226" s="89">
        <f t="shared" si="3"/>
        <v>135884683</v>
      </c>
      <c r="L226" s="45" t="s">
        <v>1</v>
      </c>
      <c r="M226" s="45" t="s">
        <v>1077</v>
      </c>
      <c r="N226" s="45" t="s">
        <v>1078</v>
      </c>
    </row>
    <row r="227" spans="1:15">
      <c r="A227" s="97">
        <v>45839</v>
      </c>
      <c r="B227" s="97" t="s">
        <v>1106</v>
      </c>
      <c r="C227" t="s">
        <v>869</v>
      </c>
      <c r="D227" t="s">
        <v>236</v>
      </c>
      <c r="E227" s="37" t="s">
        <v>870</v>
      </c>
      <c r="F227" s="37">
        <v>2025</v>
      </c>
      <c r="G227" s="37" t="s">
        <v>149</v>
      </c>
      <c r="H227" s="74">
        <v>14592</v>
      </c>
      <c r="I227" s="74">
        <v>14592</v>
      </c>
      <c r="J227" s="74">
        <v>0</v>
      </c>
      <c r="K227" s="89">
        <f t="shared" si="3"/>
        <v>135870091</v>
      </c>
      <c r="L227" s="45" t="s">
        <v>1</v>
      </c>
      <c r="M227" s="45" t="s">
        <v>1077</v>
      </c>
      <c r="N227" s="45" t="s">
        <v>1078</v>
      </c>
    </row>
    <row r="228" spans="1:15">
      <c r="A228" s="97">
        <v>45839</v>
      </c>
      <c r="B228" s="97" t="s">
        <v>1106</v>
      </c>
      <c r="C228" t="s">
        <v>871</v>
      </c>
      <c r="D228" t="s">
        <v>236</v>
      </c>
      <c r="E228" s="37" t="s">
        <v>872</v>
      </c>
      <c r="F228" s="92">
        <v>2025</v>
      </c>
      <c r="G228" s="37" t="s">
        <v>149</v>
      </c>
      <c r="H228" s="74">
        <v>14592</v>
      </c>
      <c r="I228" s="74">
        <v>14592</v>
      </c>
      <c r="J228" s="74">
        <v>0</v>
      </c>
      <c r="K228" s="89">
        <f t="shared" si="3"/>
        <v>135855499</v>
      </c>
      <c r="L228" s="45" t="s">
        <v>1</v>
      </c>
      <c r="M228" s="45" t="s">
        <v>1077</v>
      </c>
      <c r="N228" s="45" t="s">
        <v>1078</v>
      </c>
    </row>
    <row r="229" spans="1:15">
      <c r="A229" s="97">
        <v>45839</v>
      </c>
      <c r="B229" s="97" t="s">
        <v>1106</v>
      </c>
      <c r="C229" t="s">
        <v>873</v>
      </c>
      <c r="D229" t="s">
        <v>236</v>
      </c>
      <c r="E229" s="37" t="s">
        <v>874</v>
      </c>
      <c r="F229" s="92">
        <v>2025</v>
      </c>
      <c r="G229" s="37" t="s">
        <v>149</v>
      </c>
      <c r="H229" s="74">
        <v>14592</v>
      </c>
      <c r="I229" s="74">
        <v>14592</v>
      </c>
      <c r="J229" s="74">
        <v>0</v>
      </c>
      <c r="K229" s="89">
        <f t="shared" si="3"/>
        <v>135840907</v>
      </c>
      <c r="L229" s="45" t="s">
        <v>1</v>
      </c>
      <c r="M229" s="45" t="s">
        <v>1077</v>
      </c>
      <c r="N229" s="45" t="s">
        <v>1078</v>
      </c>
    </row>
    <row r="230" spans="1:15">
      <c r="A230" s="97">
        <v>45839</v>
      </c>
      <c r="B230" s="97" t="s">
        <v>1106</v>
      </c>
      <c r="C230" t="s">
        <v>875</v>
      </c>
      <c r="D230" t="s">
        <v>236</v>
      </c>
      <c r="E230" s="37" t="s">
        <v>876</v>
      </c>
      <c r="F230" s="92">
        <v>2025</v>
      </c>
      <c r="G230" s="37" t="s">
        <v>149</v>
      </c>
      <c r="H230" s="74">
        <v>14592</v>
      </c>
      <c r="I230" s="74">
        <v>14592</v>
      </c>
      <c r="J230" s="74">
        <v>0</v>
      </c>
      <c r="K230" s="89">
        <f t="shared" si="3"/>
        <v>135826315</v>
      </c>
      <c r="L230" s="45" t="s">
        <v>1</v>
      </c>
      <c r="M230" s="45" t="s">
        <v>1077</v>
      </c>
      <c r="N230" s="45" t="s">
        <v>1078</v>
      </c>
    </row>
    <row r="231" spans="1:15">
      <c r="A231" s="97">
        <v>45839</v>
      </c>
      <c r="B231" s="97" t="s">
        <v>1106</v>
      </c>
      <c r="C231" t="s">
        <v>877</v>
      </c>
      <c r="D231" t="s">
        <v>236</v>
      </c>
      <c r="E231" s="37" t="s">
        <v>878</v>
      </c>
      <c r="F231" s="92">
        <v>2025</v>
      </c>
      <c r="G231" s="37" t="s">
        <v>149</v>
      </c>
      <c r="H231" s="74">
        <v>29183</v>
      </c>
      <c r="I231" s="74">
        <v>29183</v>
      </c>
      <c r="J231" s="74">
        <v>0</v>
      </c>
      <c r="K231" s="89">
        <f t="shared" si="3"/>
        <v>135797132</v>
      </c>
      <c r="L231" s="45" t="s">
        <v>1</v>
      </c>
      <c r="M231" s="45" t="s">
        <v>1077</v>
      </c>
      <c r="N231" s="45" t="s">
        <v>1078</v>
      </c>
    </row>
    <row r="232" spans="1:15">
      <c r="A232" s="97">
        <v>45839</v>
      </c>
      <c r="B232" s="97" t="s">
        <v>1106</v>
      </c>
      <c r="C232" t="s">
        <v>879</v>
      </c>
      <c r="D232" t="s">
        <v>236</v>
      </c>
      <c r="E232" s="37" t="s">
        <v>880</v>
      </c>
      <c r="F232" s="92">
        <v>2025</v>
      </c>
      <c r="G232" s="37" t="s">
        <v>149</v>
      </c>
      <c r="H232" s="74">
        <v>14592</v>
      </c>
      <c r="I232" s="74">
        <v>14592</v>
      </c>
      <c r="J232" s="74">
        <v>0</v>
      </c>
      <c r="K232" s="89">
        <f t="shared" si="3"/>
        <v>135782540</v>
      </c>
      <c r="L232" s="45" t="s">
        <v>1</v>
      </c>
      <c r="M232" s="45" t="s">
        <v>1077</v>
      </c>
      <c r="N232" s="45" t="s">
        <v>1078</v>
      </c>
    </row>
    <row r="233" spans="1:15">
      <c r="A233" s="97">
        <v>45839</v>
      </c>
      <c r="B233" s="97" t="s">
        <v>1106</v>
      </c>
      <c r="C233" t="s">
        <v>881</v>
      </c>
      <c r="D233" t="s">
        <v>236</v>
      </c>
      <c r="E233" s="37" t="s">
        <v>882</v>
      </c>
      <c r="F233" s="92">
        <v>2025</v>
      </c>
      <c r="G233" s="37" t="s">
        <v>149</v>
      </c>
      <c r="H233" s="74">
        <v>14592</v>
      </c>
      <c r="I233" s="74">
        <v>14592</v>
      </c>
      <c r="J233" s="74">
        <v>0</v>
      </c>
      <c r="K233" s="89">
        <f t="shared" si="3"/>
        <v>135767948</v>
      </c>
      <c r="L233" s="45" t="s">
        <v>1</v>
      </c>
      <c r="M233" s="45" t="s">
        <v>1077</v>
      </c>
      <c r="N233" s="45" t="s">
        <v>1078</v>
      </c>
    </row>
    <row r="234" spans="1:15">
      <c r="A234" s="97">
        <v>45839</v>
      </c>
      <c r="B234" s="97" t="s">
        <v>1106</v>
      </c>
      <c r="C234" t="s">
        <v>883</v>
      </c>
      <c r="D234" t="s">
        <v>646</v>
      </c>
      <c r="E234" s="37" t="s">
        <v>884</v>
      </c>
      <c r="F234" s="37">
        <v>2025</v>
      </c>
      <c r="G234" s="37" t="s">
        <v>148</v>
      </c>
      <c r="H234" s="94">
        <v>3307113</v>
      </c>
      <c r="I234" s="119">
        <v>0</v>
      </c>
      <c r="J234" s="89">
        <v>0</v>
      </c>
      <c r="K234" s="89">
        <f t="shared" si="3"/>
        <v>135767948</v>
      </c>
      <c r="L234" t="s">
        <v>15</v>
      </c>
      <c r="M234" s="2" t="s">
        <v>15</v>
      </c>
      <c r="N234" s="45" t="s">
        <v>15</v>
      </c>
      <c r="O234" s="101" t="s">
        <v>15</v>
      </c>
    </row>
    <row r="235" spans="1:15" s="30" customFormat="1" hidden="1">
      <c r="A235" s="99">
        <v>45839</v>
      </c>
      <c r="B235" s="97" t="s">
        <v>1106</v>
      </c>
      <c r="C235" s="30" t="s">
        <v>885</v>
      </c>
      <c r="D235" s="30" t="s">
        <v>646</v>
      </c>
      <c r="E235" s="39" t="s">
        <v>886</v>
      </c>
      <c r="F235" s="39">
        <v>2024</v>
      </c>
      <c r="G235" s="39" t="s">
        <v>148</v>
      </c>
      <c r="H235" s="40">
        <v>6739459</v>
      </c>
      <c r="I235" s="49">
        <v>0</v>
      </c>
      <c r="J235" s="89">
        <v>0</v>
      </c>
      <c r="K235" s="89">
        <f t="shared" si="3"/>
        <v>135767948</v>
      </c>
      <c r="L235" t="s">
        <v>15</v>
      </c>
      <c r="M235" s="2" t="s">
        <v>15</v>
      </c>
      <c r="N235" s="45" t="s">
        <v>15</v>
      </c>
      <c r="O235" s="101" t="s">
        <v>15</v>
      </c>
    </row>
    <row r="236" spans="1:15" hidden="1">
      <c r="A236" s="97">
        <v>45870</v>
      </c>
      <c r="B236" s="97" t="s">
        <v>508</v>
      </c>
      <c r="D236" t="s">
        <v>550</v>
      </c>
      <c r="G236" s="37" t="s">
        <v>1107</v>
      </c>
      <c r="H236" s="49">
        <v>74324</v>
      </c>
      <c r="I236" s="119">
        <v>0</v>
      </c>
      <c r="J236" s="49">
        <v>74324</v>
      </c>
      <c r="K236" s="89">
        <f t="shared" si="3"/>
        <v>135842272</v>
      </c>
      <c r="L236" s="2" t="s">
        <v>308</v>
      </c>
      <c r="M236" s="2" t="s">
        <v>1109</v>
      </c>
      <c r="N236" s="2" t="s">
        <v>508</v>
      </c>
      <c r="O236" s="2" t="s">
        <v>449</v>
      </c>
    </row>
    <row r="237" spans="1:15" hidden="1">
      <c r="A237" s="97">
        <v>45870</v>
      </c>
      <c r="B237" s="97" t="s">
        <v>508</v>
      </c>
      <c r="D237" t="s">
        <v>548</v>
      </c>
      <c r="G237" s="37" t="s">
        <v>1107</v>
      </c>
      <c r="H237" s="49">
        <v>1981982</v>
      </c>
      <c r="I237" s="119">
        <v>0</v>
      </c>
      <c r="J237" s="49">
        <v>1981982</v>
      </c>
      <c r="K237" s="89">
        <f t="shared" si="3"/>
        <v>137824254</v>
      </c>
      <c r="L237" s="45" t="s">
        <v>308</v>
      </c>
      <c r="M237" s="45" t="s">
        <v>1110</v>
      </c>
      <c r="N237" s="30" t="s">
        <v>508</v>
      </c>
      <c r="O237" t="s">
        <v>449</v>
      </c>
    </row>
    <row r="238" spans="1:15" hidden="1">
      <c r="A238" s="97">
        <v>45870</v>
      </c>
      <c r="B238" s="97" t="s">
        <v>508</v>
      </c>
      <c r="D238" t="s">
        <v>887</v>
      </c>
      <c r="G238" s="37" t="s">
        <v>1107</v>
      </c>
      <c r="H238" s="49">
        <v>1111000</v>
      </c>
      <c r="I238" s="119">
        <v>0</v>
      </c>
      <c r="J238" s="49">
        <v>1111000</v>
      </c>
      <c r="K238" s="89">
        <f t="shared" si="3"/>
        <v>138935254</v>
      </c>
      <c r="L238" s="45" t="s">
        <v>308</v>
      </c>
      <c r="M238" s="45" t="s">
        <v>1110</v>
      </c>
      <c r="N238" s="30" t="s">
        <v>508</v>
      </c>
      <c r="O238" t="s">
        <v>449</v>
      </c>
    </row>
    <row r="239" spans="1:15" hidden="1">
      <c r="A239" s="97">
        <v>45870</v>
      </c>
      <c r="B239" s="97" t="s">
        <v>508</v>
      </c>
      <c r="D239" t="s">
        <v>887</v>
      </c>
      <c r="G239" s="37" t="s">
        <v>1107</v>
      </c>
      <c r="H239" s="49">
        <v>4444000</v>
      </c>
      <c r="I239" s="119">
        <v>0</v>
      </c>
      <c r="J239" s="49">
        <v>4444000</v>
      </c>
      <c r="K239" s="89">
        <f t="shared" si="3"/>
        <v>143379254</v>
      </c>
      <c r="L239" t="s">
        <v>308</v>
      </c>
      <c r="M239" t="s">
        <v>1110</v>
      </c>
      <c r="N239" t="s">
        <v>508</v>
      </c>
      <c r="O239" t="s">
        <v>449</v>
      </c>
    </row>
    <row r="240" spans="1:15" hidden="1">
      <c r="A240" s="97">
        <v>45870</v>
      </c>
      <c r="B240" s="97" t="s">
        <v>508</v>
      </c>
      <c r="D240" t="s">
        <v>552</v>
      </c>
      <c r="G240" s="37" t="s">
        <v>1107</v>
      </c>
      <c r="H240" s="49">
        <v>506000</v>
      </c>
      <c r="I240" s="119">
        <v>0</v>
      </c>
      <c r="J240" s="49">
        <v>506000</v>
      </c>
      <c r="K240" s="89">
        <f t="shared" si="3"/>
        <v>143885254</v>
      </c>
      <c r="L240" s="2" t="s">
        <v>308</v>
      </c>
      <c r="M240" s="2" t="s">
        <v>1109</v>
      </c>
      <c r="N240" s="2" t="s">
        <v>508</v>
      </c>
      <c r="O240" s="2" t="s">
        <v>449</v>
      </c>
    </row>
    <row r="241" spans="1:15" hidden="1">
      <c r="A241" s="97">
        <v>45870</v>
      </c>
      <c r="B241" s="97" t="s">
        <v>508</v>
      </c>
      <c r="D241" t="s">
        <v>564</v>
      </c>
      <c r="G241" s="37" t="s">
        <v>1107</v>
      </c>
      <c r="H241" s="49">
        <v>385000</v>
      </c>
      <c r="I241" s="119">
        <v>0</v>
      </c>
      <c r="J241" s="49">
        <v>385000</v>
      </c>
      <c r="K241" s="89">
        <f t="shared" si="3"/>
        <v>144270254</v>
      </c>
      <c r="L241" t="s">
        <v>308</v>
      </c>
      <c r="M241" t="s">
        <v>1109</v>
      </c>
      <c r="N241" t="s">
        <v>508</v>
      </c>
      <c r="O241" t="s">
        <v>449</v>
      </c>
    </row>
    <row r="242" spans="1:15">
      <c r="A242" s="97">
        <v>45870</v>
      </c>
      <c r="B242" s="97" t="s">
        <v>1106</v>
      </c>
      <c r="C242" t="s">
        <v>888</v>
      </c>
      <c r="D242" t="s">
        <v>571</v>
      </c>
      <c r="E242" s="37" t="s">
        <v>889</v>
      </c>
      <c r="F242" s="37">
        <v>2025</v>
      </c>
      <c r="G242" s="37" t="s">
        <v>148</v>
      </c>
      <c r="H242" s="94">
        <v>89189189</v>
      </c>
      <c r="I242" s="119">
        <v>0</v>
      </c>
      <c r="J242" s="89">
        <v>0</v>
      </c>
      <c r="K242" s="89">
        <f t="shared" si="3"/>
        <v>144270254</v>
      </c>
      <c r="L242" t="s">
        <v>15</v>
      </c>
      <c r="M242" s="2" t="s">
        <v>15</v>
      </c>
      <c r="N242" s="45" t="s">
        <v>15</v>
      </c>
      <c r="O242" s="101" t="s">
        <v>15</v>
      </c>
    </row>
    <row r="243" spans="1:15">
      <c r="A243" s="97">
        <v>45870</v>
      </c>
      <c r="B243" s="97" t="s">
        <v>1106</v>
      </c>
      <c r="C243" t="s">
        <v>890</v>
      </c>
      <c r="D243" t="s">
        <v>436</v>
      </c>
      <c r="E243" s="37" t="s">
        <v>891</v>
      </c>
      <c r="F243" s="37">
        <v>2025</v>
      </c>
      <c r="G243" s="37" t="s">
        <v>149</v>
      </c>
      <c r="H243" s="74">
        <v>834082</v>
      </c>
      <c r="I243" s="74">
        <v>834082</v>
      </c>
      <c r="J243" s="74">
        <v>0</v>
      </c>
      <c r="K243" s="89">
        <f t="shared" si="3"/>
        <v>143436172</v>
      </c>
      <c r="L243" s="45" t="s">
        <v>1</v>
      </c>
      <c r="M243" s="45" t="s">
        <v>1077</v>
      </c>
      <c r="N243" s="45" t="s">
        <v>1078</v>
      </c>
    </row>
    <row r="244" spans="1:15">
      <c r="A244" s="97">
        <v>45870</v>
      </c>
      <c r="B244" s="97" t="s">
        <v>1106</v>
      </c>
      <c r="C244" t="s">
        <v>892</v>
      </c>
      <c r="D244" t="s">
        <v>397</v>
      </c>
      <c r="E244" s="37" t="s">
        <v>893</v>
      </c>
      <c r="F244" s="37">
        <v>2025</v>
      </c>
      <c r="G244" s="37" t="s">
        <v>149</v>
      </c>
      <c r="H244" s="74">
        <v>224607</v>
      </c>
      <c r="I244" s="74">
        <v>224607</v>
      </c>
      <c r="J244" s="74">
        <v>0</v>
      </c>
      <c r="K244" s="89">
        <f t="shared" si="3"/>
        <v>143211565</v>
      </c>
      <c r="L244" s="45" t="s">
        <v>1</v>
      </c>
      <c r="M244" s="45" t="s">
        <v>1077</v>
      </c>
      <c r="N244" s="45" t="s">
        <v>1078</v>
      </c>
    </row>
    <row r="245" spans="1:15">
      <c r="A245" s="97">
        <v>45870</v>
      </c>
      <c r="B245" s="97" t="s">
        <v>1106</v>
      </c>
      <c r="C245" t="s">
        <v>894</v>
      </c>
      <c r="D245" t="s">
        <v>477</v>
      </c>
      <c r="E245" s="37" t="s">
        <v>895</v>
      </c>
      <c r="F245" s="37">
        <v>2025</v>
      </c>
      <c r="G245" s="37" t="s">
        <v>148</v>
      </c>
      <c r="H245" s="94">
        <v>74324324</v>
      </c>
      <c r="I245" s="119">
        <v>0</v>
      </c>
      <c r="J245" s="89">
        <v>0</v>
      </c>
      <c r="K245" s="89">
        <f t="shared" si="3"/>
        <v>143211565</v>
      </c>
      <c r="L245" t="s">
        <v>15</v>
      </c>
      <c r="M245" s="2" t="s">
        <v>15</v>
      </c>
      <c r="N245" s="45" t="s">
        <v>15</v>
      </c>
      <c r="O245" s="101" t="s">
        <v>15</v>
      </c>
    </row>
    <row r="246" spans="1:15">
      <c r="A246" s="97">
        <v>45870</v>
      </c>
      <c r="B246" s="97" t="s">
        <v>1106</v>
      </c>
      <c r="C246" t="s">
        <v>896</v>
      </c>
      <c r="D246" t="s">
        <v>236</v>
      </c>
      <c r="E246" s="37" t="s">
        <v>897</v>
      </c>
      <c r="F246" s="37">
        <v>2025</v>
      </c>
      <c r="G246" s="37" t="s">
        <v>149</v>
      </c>
      <c r="H246" s="74">
        <v>161551</v>
      </c>
      <c r="I246" s="74">
        <v>161551</v>
      </c>
      <c r="J246" s="74">
        <v>0</v>
      </c>
      <c r="K246" s="89">
        <f t="shared" si="3"/>
        <v>143050014</v>
      </c>
      <c r="L246" s="45" t="s">
        <v>1</v>
      </c>
      <c r="M246" s="45" t="s">
        <v>1077</v>
      </c>
      <c r="N246" s="45" t="s">
        <v>1078</v>
      </c>
    </row>
    <row r="247" spans="1:15">
      <c r="A247" s="97">
        <v>45870</v>
      </c>
      <c r="B247" s="97" t="s">
        <v>1106</v>
      </c>
      <c r="C247" t="s">
        <v>898</v>
      </c>
      <c r="D247" t="s">
        <v>397</v>
      </c>
      <c r="E247" s="37" t="s">
        <v>899</v>
      </c>
      <c r="F247" s="37">
        <v>2025</v>
      </c>
      <c r="G247" s="37" t="s">
        <v>149</v>
      </c>
      <c r="H247" s="74">
        <v>2091573</v>
      </c>
      <c r="I247" s="74">
        <v>2091573</v>
      </c>
      <c r="J247" s="74">
        <v>0</v>
      </c>
      <c r="K247" s="89">
        <f t="shared" si="3"/>
        <v>140958441</v>
      </c>
      <c r="L247" s="45" t="s">
        <v>1</v>
      </c>
      <c r="M247" s="45" t="s">
        <v>1077</v>
      </c>
      <c r="N247" s="45" t="s">
        <v>1078</v>
      </c>
    </row>
    <row r="248" spans="1:15">
      <c r="A248" s="97">
        <v>45870</v>
      </c>
      <c r="B248" s="97" t="s">
        <v>1106</v>
      </c>
      <c r="C248" t="s">
        <v>900</v>
      </c>
      <c r="D248" t="s">
        <v>236</v>
      </c>
      <c r="E248" s="37" t="s">
        <v>901</v>
      </c>
      <c r="F248" s="37">
        <v>2025</v>
      </c>
      <c r="G248" s="37" t="s">
        <v>149</v>
      </c>
      <c r="H248" s="74">
        <v>534518</v>
      </c>
      <c r="I248" s="74">
        <v>534518</v>
      </c>
      <c r="J248" s="74">
        <v>0</v>
      </c>
      <c r="K248" s="89">
        <f t="shared" si="3"/>
        <v>140423923</v>
      </c>
      <c r="L248" s="45" t="s">
        <v>1</v>
      </c>
      <c r="M248" s="45" t="s">
        <v>1077</v>
      </c>
      <c r="N248" s="45" t="s">
        <v>1078</v>
      </c>
    </row>
    <row r="249" spans="1:15">
      <c r="A249" s="97">
        <v>45870</v>
      </c>
      <c r="B249" s="97" t="s">
        <v>1106</v>
      </c>
      <c r="C249" t="s">
        <v>902</v>
      </c>
      <c r="D249" t="s">
        <v>732</v>
      </c>
      <c r="E249" s="37" t="s">
        <v>903</v>
      </c>
      <c r="F249" s="37">
        <v>2025</v>
      </c>
      <c r="G249" s="37" t="s">
        <v>149</v>
      </c>
      <c r="H249" s="74">
        <v>1613850</v>
      </c>
      <c r="I249" s="74">
        <v>1613850</v>
      </c>
      <c r="J249" s="74">
        <v>0</v>
      </c>
      <c r="K249" s="89">
        <f t="shared" si="3"/>
        <v>138810073</v>
      </c>
      <c r="L249" s="45" t="s">
        <v>1</v>
      </c>
      <c r="M249" s="45" t="s">
        <v>1077</v>
      </c>
      <c r="N249" s="45" t="s">
        <v>1078</v>
      </c>
    </row>
    <row r="250" spans="1:15">
      <c r="A250" s="97">
        <v>45870</v>
      </c>
      <c r="B250" s="97" t="s">
        <v>1106</v>
      </c>
      <c r="C250" t="s">
        <v>904</v>
      </c>
      <c r="D250" t="s">
        <v>732</v>
      </c>
      <c r="E250" s="37" t="s">
        <v>905</v>
      </c>
      <c r="F250" s="37">
        <v>2025</v>
      </c>
      <c r="G250" s="37" t="s">
        <v>149</v>
      </c>
      <c r="H250" s="74">
        <v>2178000</v>
      </c>
      <c r="I250" s="74">
        <v>2178000</v>
      </c>
      <c r="J250" s="74">
        <v>0</v>
      </c>
      <c r="K250" s="89">
        <f t="shared" si="3"/>
        <v>136632073</v>
      </c>
      <c r="L250" s="45" t="s">
        <v>1</v>
      </c>
      <c r="M250" s="45" t="s">
        <v>1077</v>
      </c>
      <c r="N250" s="45" t="s">
        <v>1078</v>
      </c>
    </row>
    <row r="251" spans="1:15">
      <c r="A251" s="97">
        <v>45870</v>
      </c>
      <c r="B251" s="97" t="s">
        <v>1106</v>
      </c>
      <c r="C251" t="s">
        <v>906</v>
      </c>
      <c r="D251" t="s">
        <v>236</v>
      </c>
      <c r="E251" s="37" t="s">
        <v>907</v>
      </c>
      <c r="F251" s="37">
        <v>2025</v>
      </c>
      <c r="G251" s="37" t="s">
        <v>149</v>
      </c>
      <c r="H251" s="74">
        <v>11495</v>
      </c>
      <c r="I251" s="74">
        <v>11495</v>
      </c>
      <c r="J251" s="74">
        <v>0</v>
      </c>
      <c r="K251" s="89">
        <f t="shared" si="3"/>
        <v>136620578</v>
      </c>
      <c r="L251" s="45" t="s">
        <v>1</v>
      </c>
      <c r="M251" s="45" t="s">
        <v>1077</v>
      </c>
      <c r="N251" s="45" t="s">
        <v>1078</v>
      </c>
    </row>
    <row r="252" spans="1:15">
      <c r="A252" s="97">
        <v>45870</v>
      </c>
      <c r="B252" s="97" t="s">
        <v>1106</v>
      </c>
      <c r="C252" t="s">
        <v>908</v>
      </c>
      <c r="D252" t="s">
        <v>236</v>
      </c>
      <c r="E252" s="37" t="s">
        <v>909</v>
      </c>
      <c r="F252" s="37">
        <v>2025</v>
      </c>
      <c r="G252" s="37" t="s">
        <v>149</v>
      </c>
      <c r="H252" s="74">
        <v>1006235</v>
      </c>
      <c r="I252" s="74">
        <v>1006235</v>
      </c>
      <c r="J252" s="74">
        <v>0</v>
      </c>
      <c r="K252" s="89">
        <f t="shared" si="3"/>
        <v>135614343</v>
      </c>
      <c r="L252" s="45" t="s">
        <v>1</v>
      </c>
      <c r="M252" s="45" t="s">
        <v>1077</v>
      </c>
      <c r="N252" s="45" t="s">
        <v>1078</v>
      </c>
    </row>
    <row r="253" spans="1:15">
      <c r="A253" s="97">
        <v>45870</v>
      </c>
      <c r="B253" s="97" t="s">
        <v>1106</v>
      </c>
      <c r="C253" t="s">
        <v>910</v>
      </c>
      <c r="D253" t="s">
        <v>236</v>
      </c>
      <c r="E253" s="37" t="s">
        <v>911</v>
      </c>
      <c r="F253" s="37">
        <v>2025</v>
      </c>
      <c r="G253" s="37" t="s">
        <v>149</v>
      </c>
      <c r="H253" s="74">
        <v>281510</v>
      </c>
      <c r="I253" s="74">
        <v>281510</v>
      </c>
      <c r="J253" s="74">
        <v>0</v>
      </c>
      <c r="K253" s="89">
        <f t="shared" si="3"/>
        <v>135332833</v>
      </c>
      <c r="L253" s="45" t="s">
        <v>1</v>
      </c>
      <c r="M253" s="45" t="s">
        <v>1077</v>
      </c>
      <c r="N253" s="45" t="s">
        <v>1078</v>
      </c>
    </row>
    <row r="254" spans="1:15">
      <c r="A254" s="97">
        <v>45870</v>
      </c>
      <c r="B254" s="97" t="s">
        <v>1106</v>
      </c>
      <c r="C254" t="s">
        <v>912</v>
      </c>
      <c r="D254" t="s">
        <v>732</v>
      </c>
      <c r="E254" s="37" t="s">
        <v>913</v>
      </c>
      <c r="F254" s="37">
        <v>2025</v>
      </c>
      <c r="G254" s="37" t="s">
        <v>149</v>
      </c>
      <c r="H254" s="74">
        <v>1629572</v>
      </c>
      <c r="I254" s="74">
        <v>1629572</v>
      </c>
      <c r="J254" s="74">
        <v>0</v>
      </c>
      <c r="K254" s="89">
        <f t="shared" si="3"/>
        <v>133703261</v>
      </c>
      <c r="L254" s="45" t="s">
        <v>1</v>
      </c>
      <c r="M254" s="45" t="s">
        <v>1077</v>
      </c>
      <c r="N254" s="45" t="s">
        <v>1078</v>
      </c>
    </row>
    <row r="255" spans="1:15">
      <c r="A255" s="97">
        <v>45870</v>
      </c>
      <c r="B255" s="97" t="s">
        <v>1106</v>
      </c>
      <c r="C255" t="s">
        <v>914</v>
      </c>
      <c r="D255" t="s">
        <v>236</v>
      </c>
      <c r="E255" s="37" t="s">
        <v>915</v>
      </c>
      <c r="F255" s="37">
        <v>2025</v>
      </c>
      <c r="G255" s="37" t="s">
        <v>149</v>
      </c>
      <c r="H255" s="74">
        <v>207515</v>
      </c>
      <c r="I255" s="74">
        <v>207515</v>
      </c>
      <c r="J255" s="74">
        <v>0</v>
      </c>
      <c r="K255" s="89">
        <f t="shared" si="3"/>
        <v>133495746</v>
      </c>
      <c r="L255" s="45" t="s">
        <v>1</v>
      </c>
      <c r="M255" s="45" t="s">
        <v>1077</v>
      </c>
      <c r="N255" s="45" t="s">
        <v>1078</v>
      </c>
    </row>
    <row r="256" spans="1:15">
      <c r="A256" s="97">
        <v>45870</v>
      </c>
      <c r="B256" s="97" t="s">
        <v>1106</v>
      </c>
      <c r="C256" t="s">
        <v>916</v>
      </c>
      <c r="D256" t="s">
        <v>236</v>
      </c>
      <c r="E256" s="37" t="s">
        <v>917</v>
      </c>
      <c r="F256" s="37">
        <v>2025</v>
      </c>
      <c r="G256" s="37" t="s">
        <v>149</v>
      </c>
      <c r="H256" s="74">
        <v>259999</v>
      </c>
      <c r="I256" s="74">
        <v>259999</v>
      </c>
      <c r="J256" s="74">
        <v>0</v>
      </c>
      <c r="K256" s="89">
        <f t="shared" si="3"/>
        <v>133235747</v>
      </c>
      <c r="L256" s="45" t="s">
        <v>1</v>
      </c>
      <c r="M256" s="45" t="s">
        <v>1077</v>
      </c>
      <c r="N256" s="45" t="s">
        <v>1078</v>
      </c>
    </row>
    <row r="257" spans="1:15">
      <c r="A257" s="97">
        <v>45870</v>
      </c>
      <c r="B257" s="97" t="s">
        <v>1106</v>
      </c>
      <c r="C257" t="s">
        <v>918</v>
      </c>
      <c r="D257" t="s">
        <v>919</v>
      </c>
      <c r="E257" s="37" t="s">
        <v>920</v>
      </c>
      <c r="F257" s="37">
        <v>2025</v>
      </c>
      <c r="G257" s="37" t="s">
        <v>149</v>
      </c>
      <c r="H257" s="74">
        <v>7586883</v>
      </c>
      <c r="I257" s="74">
        <v>7586883</v>
      </c>
      <c r="J257" s="74">
        <v>0</v>
      </c>
      <c r="K257" s="89">
        <f t="shared" si="3"/>
        <v>125648864</v>
      </c>
      <c r="L257" s="45" t="s">
        <v>1</v>
      </c>
      <c r="M257" s="45" t="s">
        <v>1077</v>
      </c>
      <c r="N257" s="45" t="s">
        <v>1078</v>
      </c>
    </row>
    <row r="258" spans="1:15">
      <c r="A258" s="97">
        <v>45870</v>
      </c>
      <c r="B258" s="97" t="s">
        <v>1106</v>
      </c>
      <c r="C258" t="s">
        <v>921</v>
      </c>
      <c r="D258" t="s">
        <v>236</v>
      </c>
      <c r="E258" s="37" t="s">
        <v>922</v>
      </c>
      <c r="F258" s="37">
        <v>2025</v>
      </c>
      <c r="G258" s="37" t="s">
        <v>149</v>
      </c>
      <c r="H258" s="74">
        <v>263451</v>
      </c>
      <c r="I258" s="74">
        <v>263451</v>
      </c>
      <c r="J258" s="74">
        <v>0</v>
      </c>
      <c r="K258" s="89">
        <f t="shared" si="3"/>
        <v>125385413</v>
      </c>
      <c r="L258" s="45" t="s">
        <v>1</v>
      </c>
      <c r="M258" s="45" t="s">
        <v>1077</v>
      </c>
      <c r="N258" s="45" t="s">
        <v>1078</v>
      </c>
    </row>
    <row r="259" spans="1:15">
      <c r="A259" s="97">
        <v>45870</v>
      </c>
      <c r="B259" s="97" t="s">
        <v>1106</v>
      </c>
      <c r="C259" t="s">
        <v>923</v>
      </c>
      <c r="D259" t="s">
        <v>235</v>
      </c>
      <c r="E259" s="37" t="s">
        <v>924</v>
      </c>
      <c r="F259" s="37">
        <v>2025</v>
      </c>
      <c r="G259" s="37" t="s">
        <v>148</v>
      </c>
      <c r="H259" s="94">
        <v>50954735</v>
      </c>
      <c r="I259" s="119">
        <v>0</v>
      </c>
      <c r="J259" s="89">
        <v>0</v>
      </c>
      <c r="K259" s="89">
        <f t="shared" si="3"/>
        <v>125385413</v>
      </c>
      <c r="L259" t="s">
        <v>15</v>
      </c>
      <c r="M259" s="2" t="s">
        <v>15</v>
      </c>
      <c r="N259" s="45" t="s">
        <v>15</v>
      </c>
      <c r="O259" s="101" t="s">
        <v>15</v>
      </c>
    </row>
    <row r="260" spans="1:15" s="30" customFormat="1" hidden="1">
      <c r="A260" s="99">
        <v>45870</v>
      </c>
      <c r="B260" s="97" t="s">
        <v>1106</v>
      </c>
      <c r="C260" s="30" t="s">
        <v>925</v>
      </c>
      <c r="D260" s="30" t="s">
        <v>646</v>
      </c>
      <c r="E260" s="39" t="s">
        <v>926</v>
      </c>
      <c r="F260" s="39">
        <v>2024</v>
      </c>
      <c r="G260" s="39" t="s">
        <v>148</v>
      </c>
      <c r="H260" s="40">
        <v>14045497</v>
      </c>
      <c r="I260" s="49">
        <v>0</v>
      </c>
      <c r="J260" s="89">
        <v>0</v>
      </c>
      <c r="K260" s="89">
        <f t="shared" si="3"/>
        <v>125385413</v>
      </c>
      <c r="L260" t="s">
        <v>15</v>
      </c>
      <c r="M260" s="2" t="s">
        <v>15</v>
      </c>
      <c r="N260" s="45" t="s">
        <v>15</v>
      </c>
      <c r="O260" s="101" t="s">
        <v>15</v>
      </c>
    </row>
    <row r="261" spans="1:15">
      <c r="A261" s="97">
        <v>45870</v>
      </c>
      <c r="B261" s="97" t="s">
        <v>1106</v>
      </c>
      <c r="C261" t="s">
        <v>927</v>
      </c>
      <c r="D261" t="s">
        <v>646</v>
      </c>
      <c r="E261" s="37" t="s">
        <v>928</v>
      </c>
      <c r="F261" s="37">
        <v>2025</v>
      </c>
      <c r="G261" s="37" t="s">
        <v>148</v>
      </c>
      <c r="H261" s="94">
        <v>6968098</v>
      </c>
      <c r="I261" s="119">
        <v>0</v>
      </c>
      <c r="J261" s="89">
        <v>0</v>
      </c>
      <c r="K261" s="89">
        <f t="shared" si="3"/>
        <v>125385413</v>
      </c>
      <c r="L261" t="s">
        <v>15</v>
      </c>
      <c r="M261" s="2" t="s">
        <v>15</v>
      </c>
      <c r="N261" s="45" t="s">
        <v>15</v>
      </c>
      <c r="O261" s="101" t="s">
        <v>15</v>
      </c>
    </row>
    <row r="262" spans="1:15">
      <c r="A262" s="97">
        <v>45870</v>
      </c>
      <c r="B262" s="97" t="s">
        <v>1106</v>
      </c>
      <c r="C262" t="s">
        <v>929</v>
      </c>
      <c r="D262" t="s">
        <v>437</v>
      </c>
      <c r="E262" s="37" t="s">
        <v>930</v>
      </c>
      <c r="F262" s="37">
        <v>2025</v>
      </c>
      <c r="G262" s="37" t="s">
        <v>149</v>
      </c>
      <c r="H262" s="74">
        <v>3781250</v>
      </c>
      <c r="I262" s="74">
        <v>3781250</v>
      </c>
      <c r="J262" s="74">
        <v>0</v>
      </c>
      <c r="K262" s="89">
        <f t="shared" ref="K262:K325" si="4">K261-I262+J262</f>
        <v>121604163</v>
      </c>
      <c r="L262" s="45" t="s">
        <v>1</v>
      </c>
      <c r="M262" s="45" t="s">
        <v>1077</v>
      </c>
      <c r="N262" s="45" t="s">
        <v>1078</v>
      </c>
    </row>
    <row r="263" spans="1:15">
      <c r="A263" s="97">
        <v>45870</v>
      </c>
      <c r="B263" s="97" t="s">
        <v>1106</v>
      </c>
      <c r="C263" t="s">
        <v>931</v>
      </c>
      <c r="D263" t="s">
        <v>435</v>
      </c>
      <c r="E263" s="37" t="s">
        <v>932</v>
      </c>
      <c r="F263" s="37">
        <v>2025</v>
      </c>
      <c r="G263" s="37" t="s">
        <v>149</v>
      </c>
      <c r="H263" s="74">
        <v>726000</v>
      </c>
      <c r="I263" s="74">
        <v>726000</v>
      </c>
      <c r="J263" s="74">
        <v>0</v>
      </c>
      <c r="K263" s="89">
        <f t="shared" si="4"/>
        <v>120878163</v>
      </c>
      <c r="L263" s="45" t="s">
        <v>1</v>
      </c>
      <c r="M263" s="45" t="s">
        <v>1077</v>
      </c>
      <c r="N263" s="45" t="s">
        <v>1078</v>
      </c>
    </row>
    <row r="264" spans="1:15">
      <c r="A264" s="97">
        <v>45870</v>
      </c>
      <c r="B264" s="97" t="s">
        <v>1106</v>
      </c>
      <c r="C264" t="s">
        <v>933</v>
      </c>
      <c r="D264" t="s">
        <v>732</v>
      </c>
      <c r="E264" s="37" t="s">
        <v>934</v>
      </c>
      <c r="F264" s="37">
        <v>2025</v>
      </c>
      <c r="G264" s="37" t="s">
        <v>149</v>
      </c>
      <c r="H264" s="74">
        <v>216224</v>
      </c>
      <c r="I264" s="74">
        <v>216224</v>
      </c>
      <c r="J264" s="74">
        <v>0</v>
      </c>
      <c r="K264" s="89">
        <f t="shared" si="4"/>
        <v>120661939</v>
      </c>
      <c r="L264" s="45" t="s">
        <v>1</v>
      </c>
      <c r="M264" s="45" t="s">
        <v>1077</v>
      </c>
      <c r="N264" s="45" t="s">
        <v>1078</v>
      </c>
    </row>
    <row r="265" spans="1:15" hidden="1">
      <c r="A265" s="97">
        <v>45901</v>
      </c>
      <c r="B265" s="97" t="s">
        <v>508</v>
      </c>
      <c r="D265" t="s">
        <v>548</v>
      </c>
      <c r="G265" s="37" t="s">
        <v>1107</v>
      </c>
      <c r="H265" s="49">
        <v>1981982</v>
      </c>
      <c r="I265" s="119">
        <v>0</v>
      </c>
      <c r="J265" s="49">
        <v>1981982</v>
      </c>
      <c r="K265" s="89">
        <f t="shared" si="4"/>
        <v>122643921</v>
      </c>
      <c r="L265" t="s">
        <v>308</v>
      </c>
      <c r="M265" t="s">
        <v>1110</v>
      </c>
      <c r="N265" t="s">
        <v>508</v>
      </c>
      <c r="O265" t="s">
        <v>450</v>
      </c>
    </row>
    <row r="266" spans="1:15" hidden="1">
      <c r="A266" s="97">
        <v>45901</v>
      </c>
      <c r="B266" s="97" t="s">
        <v>508</v>
      </c>
      <c r="D266" t="s">
        <v>552</v>
      </c>
      <c r="G266" s="37" t="s">
        <v>1107</v>
      </c>
      <c r="H266" s="49">
        <v>506000</v>
      </c>
      <c r="I266" s="119">
        <v>0</v>
      </c>
      <c r="J266" s="49">
        <v>506000</v>
      </c>
      <c r="K266" s="89">
        <f t="shared" si="4"/>
        <v>123149921</v>
      </c>
      <c r="L266" t="s">
        <v>308</v>
      </c>
      <c r="M266" t="s">
        <v>1109</v>
      </c>
      <c r="N266" t="s">
        <v>508</v>
      </c>
      <c r="O266" t="s">
        <v>450</v>
      </c>
    </row>
    <row r="267" spans="1:15" hidden="1">
      <c r="A267" s="97">
        <v>45901</v>
      </c>
      <c r="B267" s="97" t="s">
        <v>508</v>
      </c>
      <c r="D267" t="s">
        <v>550</v>
      </c>
      <c r="G267" s="37" t="s">
        <v>1107</v>
      </c>
      <c r="H267" s="49">
        <v>74324</v>
      </c>
      <c r="I267" s="119">
        <v>0</v>
      </c>
      <c r="J267" s="49">
        <v>74324</v>
      </c>
      <c r="K267" s="89">
        <f t="shared" si="4"/>
        <v>123224245</v>
      </c>
      <c r="L267" t="s">
        <v>308</v>
      </c>
      <c r="M267" t="s">
        <v>1109</v>
      </c>
      <c r="N267" t="s">
        <v>508</v>
      </c>
      <c r="O267" t="s">
        <v>450</v>
      </c>
    </row>
    <row r="268" spans="1:15" hidden="1">
      <c r="A268" s="97">
        <v>45901</v>
      </c>
      <c r="B268" s="97" t="s">
        <v>508</v>
      </c>
      <c r="D268" t="s">
        <v>564</v>
      </c>
      <c r="G268" s="37" t="s">
        <v>1107</v>
      </c>
      <c r="H268" s="49">
        <v>385000</v>
      </c>
      <c r="I268" s="119">
        <v>0</v>
      </c>
      <c r="J268" s="49">
        <v>385000</v>
      </c>
      <c r="K268" s="89">
        <f t="shared" si="4"/>
        <v>123609245</v>
      </c>
      <c r="L268" t="s">
        <v>308</v>
      </c>
      <c r="M268" t="s">
        <v>1109</v>
      </c>
      <c r="N268" t="s">
        <v>508</v>
      </c>
      <c r="O268" t="s">
        <v>450</v>
      </c>
    </row>
    <row r="269" spans="1:15" s="76" customFormat="1">
      <c r="A269" s="109">
        <v>45901</v>
      </c>
      <c r="B269" s="109" t="s">
        <v>508</v>
      </c>
      <c r="D269" s="76" t="s">
        <v>1111</v>
      </c>
      <c r="E269" s="118"/>
      <c r="F269" s="118"/>
      <c r="G269" s="118" t="s">
        <v>1107</v>
      </c>
      <c r="H269" s="111">
        <v>9285948</v>
      </c>
      <c r="I269" s="111">
        <v>0</v>
      </c>
      <c r="J269" s="111">
        <v>9285948</v>
      </c>
      <c r="K269" s="110">
        <f t="shared" si="4"/>
        <v>132895193</v>
      </c>
      <c r="L269" s="76" t="s">
        <v>1</v>
      </c>
      <c r="M269" s="76" t="s">
        <v>1077</v>
      </c>
      <c r="N269" s="76" t="s">
        <v>1078</v>
      </c>
    </row>
    <row r="270" spans="1:15" s="2" customFormat="1">
      <c r="A270" s="112">
        <v>45901</v>
      </c>
      <c r="B270" s="112" t="s">
        <v>508</v>
      </c>
      <c r="D270" s="2" t="s">
        <v>1112</v>
      </c>
      <c r="E270" s="75"/>
      <c r="F270" s="37" t="s">
        <v>15</v>
      </c>
      <c r="G270" s="75" t="s">
        <v>149</v>
      </c>
      <c r="H270" s="49">
        <v>761179</v>
      </c>
      <c r="I270" s="49">
        <v>0</v>
      </c>
      <c r="J270" s="49">
        <v>761179</v>
      </c>
      <c r="K270" s="90">
        <f t="shared" si="4"/>
        <v>133656372</v>
      </c>
      <c r="L270" t="s">
        <v>310</v>
      </c>
      <c r="M270" t="s">
        <v>310</v>
      </c>
      <c r="N270" t="s">
        <v>1114</v>
      </c>
    </row>
    <row r="271" spans="1:15">
      <c r="A271" s="97">
        <v>45901</v>
      </c>
      <c r="B271" s="97" t="s">
        <v>1106</v>
      </c>
      <c r="C271" t="s">
        <v>937</v>
      </c>
      <c r="D271" t="s">
        <v>558</v>
      </c>
      <c r="E271" s="37" t="s">
        <v>938</v>
      </c>
      <c r="F271" s="37">
        <v>2025</v>
      </c>
      <c r="G271" s="37" t="s">
        <v>148</v>
      </c>
      <c r="H271" s="94">
        <v>25541126</v>
      </c>
      <c r="I271" s="119">
        <v>0</v>
      </c>
      <c r="J271" s="89">
        <v>0</v>
      </c>
      <c r="K271" s="89">
        <f t="shared" si="4"/>
        <v>133656372</v>
      </c>
      <c r="L271" t="s">
        <v>15</v>
      </c>
      <c r="M271" s="2" t="s">
        <v>15</v>
      </c>
      <c r="N271" s="45" t="s">
        <v>15</v>
      </c>
      <c r="O271" s="101" t="s">
        <v>15</v>
      </c>
    </row>
    <row r="272" spans="1:15">
      <c r="A272" s="97">
        <v>45901</v>
      </c>
      <c r="B272" s="97" t="s">
        <v>1106</v>
      </c>
      <c r="C272" t="s">
        <v>939</v>
      </c>
      <c r="D272" t="s">
        <v>558</v>
      </c>
      <c r="E272" s="37" t="s">
        <v>940</v>
      </c>
      <c r="F272" s="37">
        <v>2025</v>
      </c>
      <c r="G272" s="37" t="s">
        <v>148</v>
      </c>
      <c r="H272" s="94">
        <v>57477478</v>
      </c>
      <c r="I272" s="119">
        <v>0</v>
      </c>
      <c r="J272" s="89">
        <v>0</v>
      </c>
      <c r="K272" s="89">
        <f t="shared" si="4"/>
        <v>133656372</v>
      </c>
      <c r="L272" t="s">
        <v>15</v>
      </c>
      <c r="M272" s="2" t="s">
        <v>15</v>
      </c>
      <c r="N272" s="45" t="s">
        <v>15</v>
      </c>
      <c r="O272" s="101" t="s">
        <v>15</v>
      </c>
    </row>
    <row r="273" spans="1:15">
      <c r="A273" s="97">
        <v>45901</v>
      </c>
      <c r="B273" s="97" t="s">
        <v>1106</v>
      </c>
      <c r="C273" t="s">
        <v>941</v>
      </c>
      <c r="D273" t="s">
        <v>571</v>
      </c>
      <c r="E273" s="37" t="s">
        <v>942</v>
      </c>
      <c r="F273" s="37">
        <v>2025</v>
      </c>
      <c r="G273" s="37" t="s">
        <v>148</v>
      </c>
      <c r="H273" s="94">
        <v>29729730</v>
      </c>
      <c r="I273" s="119">
        <v>0</v>
      </c>
      <c r="J273" s="89">
        <v>0</v>
      </c>
      <c r="K273" s="89">
        <f t="shared" si="4"/>
        <v>133656372</v>
      </c>
      <c r="L273" t="s">
        <v>15</v>
      </c>
      <c r="M273" s="2" t="s">
        <v>15</v>
      </c>
      <c r="N273" s="45" t="s">
        <v>15</v>
      </c>
      <c r="O273" s="101" t="s">
        <v>15</v>
      </c>
    </row>
    <row r="274" spans="1:15" s="115" customFormat="1">
      <c r="A274" s="114">
        <v>45901</v>
      </c>
      <c r="B274" s="97" t="s">
        <v>1106</v>
      </c>
      <c r="C274" s="115" t="s">
        <v>943</v>
      </c>
      <c r="D274" s="115" t="s">
        <v>398</v>
      </c>
      <c r="E274" s="116" t="s">
        <v>944</v>
      </c>
      <c r="F274" s="116"/>
      <c r="G274" s="117" t="s">
        <v>149</v>
      </c>
      <c r="H274" s="117">
        <v>49595169</v>
      </c>
      <c r="I274" s="117">
        <v>49595169</v>
      </c>
      <c r="J274" s="117">
        <v>0</v>
      </c>
      <c r="K274" s="89">
        <f t="shared" si="4"/>
        <v>84061203</v>
      </c>
      <c r="L274" s="76" t="s">
        <v>1</v>
      </c>
      <c r="M274" s="76" t="s">
        <v>1077</v>
      </c>
      <c r="N274" s="76" t="s">
        <v>1078</v>
      </c>
      <c r="O274" s="115" t="s">
        <v>1072</v>
      </c>
    </row>
    <row r="275" spans="1:15" s="30" customFormat="1" hidden="1">
      <c r="A275" s="99">
        <v>45901</v>
      </c>
      <c r="B275" s="97" t="s">
        <v>1106</v>
      </c>
      <c r="C275" s="30" t="s">
        <v>945</v>
      </c>
      <c r="D275" s="30" t="s">
        <v>646</v>
      </c>
      <c r="E275" s="39" t="s">
        <v>946</v>
      </c>
      <c r="F275" s="39">
        <v>2024</v>
      </c>
      <c r="G275" s="39" t="s">
        <v>148</v>
      </c>
      <c r="H275" s="40">
        <v>9251220</v>
      </c>
      <c r="I275" s="49">
        <v>0</v>
      </c>
      <c r="J275" s="89">
        <v>0</v>
      </c>
      <c r="K275" s="89">
        <f t="shared" si="4"/>
        <v>84061203</v>
      </c>
      <c r="L275" t="s">
        <v>15</v>
      </c>
      <c r="M275" s="2" t="s">
        <v>15</v>
      </c>
      <c r="N275" s="45" t="s">
        <v>15</v>
      </c>
      <c r="O275" s="101" t="s">
        <v>15</v>
      </c>
    </row>
    <row r="276" spans="1:15">
      <c r="A276" s="97">
        <v>45901</v>
      </c>
      <c r="B276" s="97" t="s">
        <v>1106</v>
      </c>
      <c r="C276" t="s">
        <v>947</v>
      </c>
      <c r="D276" t="s">
        <v>646</v>
      </c>
      <c r="E276" s="37" t="s">
        <v>948</v>
      </c>
      <c r="F276" s="37">
        <v>2025</v>
      </c>
      <c r="G276" s="37" t="s">
        <v>148</v>
      </c>
      <c r="H276" s="94">
        <v>6474548</v>
      </c>
      <c r="I276" s="119">
        <v>0</v>
      </c>
      <c r="J276" s="89">
        <v>0</v>
      </c>
      <c r="K276" s="89">
        <f t="shared" si="4"/>
        <v>84061203</v>
      </c>
      <c r="L276" t="s">
        <v>15</v>
      </c>
      <c r="M276" s="2" t="s">
        <v>15</v>
      </c>
      <c r="N276" s="45" t="s">
        <v>15</v>
      </c>
      <c r="O276" s="101" t="s">
        <v>15</v>
      </c>
    </row>
    <row r="277" spans="1:15" s="30" customFormat="1" hidden="1">
      <c r="A277" s="99">
        <v>45901</v>
      </c>
      <c r="B277" s="97" t="s">
        <v>1106</v>
      </c>
      <c r="C277" s="30" t="s">
        <v>949</v>
      </c>
      <c r="D277" s="30" t="s">
        <v>646</v>
      </c>
      <c r="E277" s="39" t="s">
        <v>950</v>
      </c>
      <c r="F277" s="39">
        <v>2024</v>
      </c>
      <c r="G277" s="39" t="s">
        <v>148</v>
      </c>
      <c r="H277" s="40">
        <v>9188091</v>
      </c>
      <c r="I277" s="49">
        <v>0</v>
      </c>
      <c r="J277" s="89">
        <v>0</v>
      </c>
      <c r="K277" s="89">
        <f t="shared" si="4"/>
        <v>84061203</v>
      </c>
      <c r="L277" t="s">
        <v>15</v>
      </c>
      <c r="M277" s="2" t="s">
        <v>15</v>
      </c>
      <c r="N277" s="45" t="s">
        <v>15</v>
      </c>
      <c r="O277" s="101" t="s">
        <v>15</v>
      </c>
    </row>
    <row r="278" spans="1:15">
      <c r="A278" s="97">
        <v>45901</v>
      </c>
      <c r="B278" s="97" t="s">
        <v>1106</v>
      </c>
      <c r="C278" t="s">
        <v>951</v>
      </c>
      <c r="D278" t="s">
        <v>646</v>
      </c>
      <c r="E278" s="37" t="s">
        <v>952</v>
      </c>
      <c r="F278" s="37">
        <v>2025</v>
      </c>
      <c r="G278" s="37" t="s">
        <v>148</v>
      </c>
      <c r="H278" s="94">
        <v>4488499</v>
      </c>
      <c r="I278" s="119">
        <v>0</v>
      </c>
      <c r="J278" s="89">
        <v>0</v>
      </c>
      <c r="K278" s="89">
        <f t="shared" si="4"/>
        <v>84061203</v>
      </c>
      <c r="L278" t="s">
        <v>15</v>
      </c>
      <c r="M278" s="2" t="s">
        <v>15</v>
      </c>
      <c r="N278" s="45" t="s">
        <v>15</v>
      </c>
      <c r="O278" s="101" t="s">
        <v>15</v>
      </c>
    </row>
    <row r="279" spans="1:15">
      <c r="A279" s="97">
        <v>45901</v>
      </c>
      <c r="B279" s="97" t="s">
        <v>1106</v>
      </c>
      <c r="C279" t="s">
        <v>953</v>
      </c>
      <c r="D279" t="s">
        <v>162</v>
      </c>
      <c r="E279" s="37" t="s">
        <v>954</v>
      </c>
      <c r="F279" s="37">
        <v>2025</v>
      </c>
      <c r="G279" s="37" t="s">
        <v>148</v>
      </c>
      <c r="H279" s="94">
        <v>22135023</v>
      </c>
      <c r="I279" s="119">
        <v>0</v>
      </c>
      <c r="J279" s="89">
        <v>0</v>
      </c>
      <c r="K279" s="89">
        <f t="shared" si="4"/>
        <v>84061203</v>
      </c>
      <c r="L279" t="s">
        <v>15</v>
      </c>
      <c r="M279" s="2" t="s">
        <v>15</v>
      </c>
      <c r="N279" s="45" t="s">
        <v>15</v>
      </c>
      <c r="O279" s="101" t="s">
        <v>15</v>
      </c>
    </row>
    <row r="280" spans="1:15">
      <c r="A280" s="97">
        <v>45901</v>
      </c>
      <c r="B280" s="97" t="s">
        <v>1106</v>
      </c>
      <c r="C280" t="s">
        <v>955</v>
      </c>
      <c r="D280" t="s">
        <v>235</v>
      </c>
      <c r="E280" s="37" t="s">
        <v>956</v>
      </c>
      <c r="F280" s="37">
        <v>2025</v>
      </c>
      <c r="G280" s="37" t="s">
        <v>148</v>
      </c>
      <c r="H280" s="94">
        <v>27747748</v>
      </c>
      <c r="I280" s="119">
        <v>0</v>
      </c>
      <c r="J280" s="89">
        <v>0</v>
      </c>
      <c r="K280" s="89">
        <f t="shared" si="4"/>
        <v>84061203</v>
      </c>
      <c r="L280" t="s">
        <v>15</v>
      </c>
      <c r="M280" s="2" t="s">
        <v>15</v>
      </c>
      <c r="N280" s="45" t="s">
        <v>15</v>
      </c>
      <c r="O280" s="101" t="s">
        <v>15</v>
      </c>
    </row>
    <row r="281" spans="1:15">
      <c r="A281" s="97">
        <v>45901</v>
      </c>
      <c r="B281" s="97" t="s">
        <v>1106</v>
      </c>
      <c r="C281" t="s">
        <v>957</v>
      </c>
      <c r="D281" t="s">
        <v>440</v>
      </c>
      <c r="E281" s="37" t="s">
        <v>958</v>
      </c>
      <c r="F281" s="37">
        <v>2025</v>
      </c>
      <c r="G281" s="37" t="s">
        <v>149</v>
      </c>
      <c r="H281" s="74">
        <v>83471075</v>
      </c>
      <c r="I281" s="74">
        <v>83471075</v>
      </c>
      <c r="J281" s="74">
        <v>0</v>
      </c>
      <c r="K281" s="89">
        <f t="shared" si="4"/>
        <v>590128</v>
      </c>
      <c r="L281" s="45" t="s">
        <v>1</v>
      </c>
      <c r="M281" s="45" t="s">
        <v>1077</v>
      </c>
      <c r="N281" s="45" t="s">
        <v>1078</v>
      </c>
    </row>
    <row r="282" spans="1:15">
      <c r="A282" s="97">
        <v>45901</v>
      </c>
      <c r="B282" s="97" t="s">
        <v>1106</v>
      </c>
      <c r="C282" t="s">
        <v>959</v>
      </c>
      <c r="D282" t="s">
        <v>442</v>
      </c>
      <c r="E282" s="37" t="s">
        <v>960</v>
      </c>
      <c r="F282" s="37">
        <v>2025</v>
      </c>
      <c r="G282" s="37" t="s">
        <v>149</v>
      </c>
      <c r="H282" s="74">
        <v>1778333</v>
      </c>
      <c r="I282" s="74">
        <v>1778333</v>
      </c>
      <c r="J282" s="74">
        <v>0</v>
      </c>
      <c r="K282" s="89">
        <f t="shared" si="4"/>
        <v>-1188205</v>
      </c>
      <c r="L282" s="45" t="s">
        <v>1</v>
      </c>
      <c r="M282" s="45" t="s">
        <v>1077</v>
      </c>
      <c r="N282" s="45" t="s">
        <v>1078</v>
      </c>
    </row>
    <row r="283" spans="1:15">
      <c r="A283" s="97">
        <v>45901</v>
      </c>
      <c r="B283" s="97" t="s">
        <v>1106</v>
      </c>
      <c r="C283" t="s">
        <v>961</v>
      </c>
      <c r="D283" t="s">
        <v>442</v>
      </c>
      <c r="E283" s="37" t="s">
        <v>962</v>
      </c>
      <c r="F283" s="37">
        <v>2025</v>
      </c>
      <c r="G283" s="37" t="s">
        <v>149</v>
      </c>
      <c r="H283" s="74">
        <v>592778</v>
      </c>
      <c r="I283" s="74">
        <v>592778</v>
      </c>
      <c r="J283" s="74">
        <v>0</v>
      </c>
      <c r="K283" s="89">
        <f t="shared" si="4"/>
        <v>-1780983</v>
      </c>
      <c r="L283" s="45" t="s">
        <v>1</v>
      </c>
      <c r="M283" s="45" t="s">
        <v>1077</v>
      </c>
      <c r="N283" s="45" t="s">
        <v>1078</v>
      </c>
    </row>
    <row r="284" spans="1:15">
      <c r="A284" s="97">
        <v>45901</v>
      </c>
      <c r="B284" s="97" t="s">
        <v>1106</v>
      </c>
      <c r="C284" t="s">
        <v>963</v>
      </c>
      <c r="D284" t="s">
        <v>442</v>
      </c>
      <c r="E284" s="37" t="s">
        <v>964</v>
      </c>
      <c r="F284" s="37">
        <v>2025</v>
      </c>
      <c r="G284" s="37" t="s">
        <v>149</v>
      </c>
      <c r="H284" s="74">
        <v>592778</v>
      </c>
      <c r="I284" s="74">
        <v>592778</v>
      </c>
      <c r="J284" s="74">
        <v>0</v>
      </c>
      <c r="K284" s="89">
        <f t="shared" si="4"/>
        <v>-2373761</v>
      </c>
      <c r="L284" s="45" t="s">
        <v>1</v>
      </c>
      <c r="M284" s="45" t="s">
        <v>1077</v>
      </c>
      <c r="N284" s="45" t="s">
        <v>1078</v>
      </c>
    </row>
    <row r="285" spans="1:15">
      <c r="A285" s="97">
        <v>45901</v>
      </c>
      <c r="B285" s="97" t="s">
        <v>1106</v>
      </c>
      <c r="C285" t="s">
        <v>965</v>
      </c>
      <c r="D285" t="s">
        <v>442</v>
      </c>
      <c r="E285" s="37" t="s">
        <v>966</v>
      </c>
      <c r="F285" s="37">
        <v>2025</v>
      </c>
      <c r="G285" s="37" t="s">
        <v>149</v>
      </c>
      <c r="H285" s="74">
        <v>592778</v>
      </c>
      <c r="I285" s="74">
        <v>592778</v>
      </c>
      <c r="J285" s="74">
        <v>0</v>
      </c>
      <c r="K285" s="89">
        <f t="shared" si="4"/>
        <v>-2966539</v>
      </c>
      <c r="L285" s="45" t="s">
        <v>1</v>
      </c>
      <c r="M285" s="45" t="s">
        <v>1077</v>
      </c>
      <c r="N285" s="45" t="s">
        <v>1078</v>
      </c>
    </row>
    <row r="286" spans="1:15">
      <c r="A286" s="97">
        <v>45901</v>
      </c>
      <c r="B286" s="97" t="s">
        <v>1106</v>
      </c>
      <c r="C286" t="s">
        <v>967</v>
      </c>
      <c r="D286" t="s">
        <v>442</v>
      </c>
      <c r="E286" s="37" t="s">
        <v>968</v>
      </c>
      <c r="F286" s="37">
        <v>2025</v>
      </c>
      <c r="G286" s="37" t="s">
        <v>149</v>
      </c>
      <c r="H286" s="74">
        <v>444583</v>
      </c>
      <c r="I286" s="74">
        <v>444583</v>
      </c>
      <c r="J286" s="74">
        <v>0</v>
      </c>
      <c r="K286" s="89">
        <f t="shared" si="4"/>
        <v>-3411122</v>
      </c>
      <c r="L286" s="45" t="s">
        <v>1</v>
      </c>
      <c r="M286" s="45" t="s">
        <v>1077</v>
      </c>
      <c r="N286" s="45" t="s">
        <v>1078</v>
      </c>
    </row>
    <row r="287" spans="1:15">
      <c r="A287" s="97">
        <v>45901</v>
      </c>
      <c r="B287" s="97" t="s">
        <v>1106</v>
      </c>
      <c r="C287" t="s">
        <v>969</v>
      </c>
      <c r="D287" t="s">
        <v>442</v>
      </c>
      <c r="E287" s="37" t="s">
        <v>970</v>
      </c>
      <c r="F287" s="37">
        <v>2025</v>
      </c>
      <c r="G287" s="37" t="s">
        <v>149</v>
      </c>
      <c r="H287" s="74">
        <v>444583</v>
      </c>
      <c r="I287" s="74">
        <v>444583</v>
      </c>
      <c r="J287" s="74">
        <v>0</v>
      </c>
      <c r="K287" s="89">
        <f t="shared" si="4"/>
        <v>-3855705</v>
      </c>
      <c r="L287" s="45" t="s">
        <v>1</v>
      </c>
      <c r="M287" s="45" t="s">
        <v>1077</v>
      </c>
      <c r="N287" s="45" t="s">
        <v>1078</v>
      </c>
    </row>
    <row r="288" spans="1:15">
      <c r="A288" s="97">
        <v>45901</v>
      </c>
      <c r="B288" s="97" t="s">
        <v>1106</v>
      </c>
      <c r="C288" t="s">
        <v>971</v>
      </c>
      <c r="D288" t="s">
        <v>442</v>
      </c>
      <c r="E288" s="37" t="s">
        <v>972</v>
      </c>
      <c r="F288" s="37">
        <v>2025</v>
      </c>
      <c r="G288" s="37" t="s">
        <v>149</v>
      </c>
      <c r="H288" s="74">
        <v>444583</v>
      </c>
      <c r="I288" s="74">
        <v>444583</v>
      </c>
      <c r="J288" s="74">
        <v>0</v>
      </c>
      <c r="K288" s="89">
        <f t="shared" si="4"/>
        <v>-4300288</v>
      </c>
      <c r="L288" s="45" t="s">
        <v>1</v>
      </c>
      <c r="M288" s="45" t="s">
        <v>1077</v>
      </c>
      <c r="N288" s="45" t="s">
        <v>1078</v>
      </c>
    </row>
    <row r="289" spans="1:15">
      <c r="A289" s="97">
        <v>45901</v>
      </c>
      <c r="B289" s="97" t="s">
        <v>1106</v>
      </c>
      <c r="C289" t="s">
        <v>973</v>
      </c>
      <c r="D289" t="s">
        <v>442</v>
      </c>
      <c r="E289" s="37" t="s">
        <v>974</v>
      </c>
      <c r="F289" s="37">
        <v>2025</v>
      </c>
      <c r="G289" s="37" t="s">
        <v>149</v>
      </c>
      <c r="H289" s="74">
        <v>444583</v>
      </c>
      <c r="I289" s="74">
        <v>444583</v>
      </c>
      <c r="J289" s="74">
        <v>0</v>
      </c>
      <c r="K289" s="89">
        <f t="shared" si="4"/>
        <v>-4744871</v>
      </c>
      <c r="L289" s="45" t="s">
        <v>1</v>
      </c>
      <c r="M289" s="45" t="s">
        <v>1077</v>
      </c>
      <c r="N289" s="45" t="s">
        <v>1078</v>
      </c>
    </row>
    <row r="290" spans="1:15" hidden="1">
      <c r="A290" s="1">
        <v>45959</v>
      </c>
      <c r="B290" s="1" t="s">
        <v>529</v>
      </c>
      <c r="C290" s="107" t="s">
        <v>975</v>
      </c>
      <c r="D290" s="79" t="s">
        <v>976</v>
      </c>
      <c r="E290" s="81" t="s">
        <v>977</v>
      </c>
      <c r="F290" s="81"/>
      <c r="G290" s="81" t="s">
        <v>1120</v>
      </c>
      <c r="H290" s="49">
        <v>6944871</v>
      </c>
      <c r="I290" s="74">
        <v>0</v>
      </c>
      <c r="J290" s="49">
        <v>6944871</v>
      </c>
      <c r="K290" s="89">
        <f t="shared" si="4"/>
        <v>2200000</v>
      </c>
      <c r="L290" t="s">
        <v>308</v>
      </c>
      <c r="M290" s="45" t="s">
        <v>1110</v>
      </c>
      <c r="N290" t="s">
        <v>522</v>
      </c>
      <c r="O290" t="s">
        <v>450</v>
      </c>
    </row>
    <row r="291" spans="1:15" hidden="1">
      <c r="A291" s="97">
        <v>45931</v>
      </c>
      <c r="B291" s="97" t="s">
        <v>508</v>
      </c>
      <c r="D291" t="s">
        <v>978</v>
      </c>
      <c r="G291" s="37" t="s">
        <v>1107</v>
      </c>
      <c r="H291" s="49">
        <v>8406475</v>
      </c>
      <c r="I291" s="119">
        <v>0</v>
      </c>
      <c r="J291" s="49">
        <v>8406475</v>
      </c>
      <c r="K291" s="89">
        <f t="shared" si="4"/>
        <v>10606475</v>
      </c>
      <c r="L291" s="2" t="s">
        <v>308</v>
      </c>
      <c r="M291" s="2" t="s">
        <v>1109</v>
      </c>
      <c r="N291" s="30" t="s">
        <v>508</v>
      </c>
      <c r="O291" t="s">
        <v>451</v>
      </c>
    </row>
    <row r="292" spans="1:15" hidden="1">
      <c r="A292" s="97">
        <v>45931</v>
      </c>
      <c r="B292" s="97" t="s">
        <v>508</v>
      </c>
      <c r="D292" t="s">
        <v>978</v>
      </c>
      <c r="G292" s="37" t="s">
        <v>1107</v>
      </c>
      <c r="H292" s="49">
        <v>8406475</v>
      </c>
      <c r="I292" s="119">
        <v>0</v>
      </c>
      <c r="J292" s="49">
        <v>8406475</v>
      </c>
      <c r="K292" s="89">
        <f t="shared" si="4"/>
        <v>19012950</v>
      </c>
      <c r="L292" s="2" t="s">
        <v>308</v>
      </c>
      <c r="M292" s="2" t="s">
        <v>1109</v>
      </c>
      <c r="N292" s="30" t="s">
        <v>508</v>
      </c>
      <c r="O292" t="s">
        <v>451</v>
      </c>
    </row>
    <row r="293" spans="1:15" hidden="1">
      <c r="A293" s="97">
        <v>45931</v>
      </c>
      <c r="B293" s="97" t="s">
        <v>508</v>
      </c>
      <c r="D293" t="s">
        <v>978</v>
      </c>
      <c r="G293" s="37" t="s">
        <v>1107</v>
      </c>
      <c r="H293" s="49">
        <v>2075150</v>
      </c>
      <c r="I293" s="119">
        <v>0</v>
      </c>
      <c r="J293" s="49">
        <v>2075150</v>
      </c>
      <c r="K293" s="89">
        <f t="shared" si="4"/>
        <v>21088100</v>
      </c>
      <c r="L293" s="2" t="s">
        <v>308</v>
      </c>
      <c r="M293" s="2" t="s">
        <v>1109</v>
      </c>
      <c r="N293" s="30" t="s">
        <v>508</v>
      </c>
      <c r="O293" t="s">
        <v>451</v>
      </c>
    </row>
    <row r="294" spans="1:15" hidden="1">
      <c r="A294" s="97">
        <v>45931</v>
      </c>
      <c r="B294" s="97" t="s">
        <v>508</v>
      </c>
      <c r="D294" t="s">
        <v>548</v>
      </c>
      <c r="G294" s="37" t="s">
        <v>1107</v>
      </c>
      <c r="H294" s="49">
        <v>1981982</v>
      </c>
      <c r="I294" s="119">
        <v>0</v>
      </c>
      <c r="J294" s="49">
        <v>1981982</v>
      </c>
      <c r="K294" s="89">
        <f t="shared" si="4"/>
        <v>23070082</v>
      </c>
      <c r="L294" t="s">
        <v>308</v>
      </c>
      <c r="M294" t="s">
        <v>1110</v>
      </c>
      <c r="N294" t="s">
        <v>508</v>
      </c>
      <c r="O294" t="s">
        <v>451</v>
      </c>
    </row>
    <row r="295" spans="1:15" hidden="1">
      <c r="A295" s="97">
        <v>45931</v>
      </c>
      <c r="B295" s="97" t="s">
        <v>508</v>
      </c>
      <c r="D295" t="s">
        <v>979</v>
      </c>
      <c r="G295" s="37" t="s">
        <v>1107</v>
      </c>
      <c r="H295" s="49">
        <v>7535000</v>
      </c>
      <c r="I295" s="119">
        <v>0</v>
      </c>
      <c r="J295" s="49">
        <v>7535000</v>
      </c>
      <c r="K295" s="89">
        <f t="shared" si="4"/>
        <v>30605082</v>
      </c>
      <c r="L295" s="2" t="s">
        <v>308</v>
      </c>
      <c r="M295" s="2" t="s">
        <v>1109</v>
      </c>
      <c r="N295" s="30" t="s">
        <v>508</v>
      </c>
      <c r="O295" t="s">
        <v>451</v>
      </c>
    </row>
    <row r="296" spans="1:15" hidden="1">
      <c r="A296" s="97">
        <v>45931</v>
      </c>
      <c r="B296" s="97" t="s">
        <v>508</v>
      </c>
      <c r="D296" t="s">
        <v>552</v>
      </c>
      <c r="G296" s="37" t="s">
        <v>1107</v>
      </c>
      <c r="H296" s="49">
        <v>506000</v>
      </c>
      <c r="I296" s="119">
        <v>0</v>
      </c>
      <c r="J296" s="49">
        <v>506000</v>
      </c>
      <c r="K296" s="89">
        <f t="shared" si="4"/>
        <v>31111082</v>
      </c>
      <c r="L296" s="2" t="s">
        <v>308</v>
      </c>
      <c r="M296" s="2" t="s">
        <v>1109</v>
      </c>
      <c r="N296" s="30" t="s">
        <v>508</v>
      </c>
      <c r="O296" t="s">
        <v>451</v>
      </c>
    </row>
    <row r="297" spans="1:15" hidden="1">
      <c r="A297" s="97">
        <v>45931</v>
      </c>
      <c r="B297" s="97" t="s">
        <v>508</v>
      </c>
      <c r="D297" t="s">
        <v>817</v>
      </c>
      <c r="G297" s="37" t="s">
        <v>1107</v>
      </c>
      <c r="H297" s="49">
        <v>94875</v>
      </c>
      <c r="I297" s="119">
        <v>0</v>
      </c>
      <c r="J297" s="49">
        <v>94875</v>
      </c>
      <c r="K297" s="89">
        <f t="shared" si="4"/>
        <v>31205957</v>
      </c>
      <c r="L297" s="2" t="s">
        <v>308</v>
      </c>
      <c r="M297" s="2" t="s">
        <v>1109</v>
      </c>
      <c r="N297" s="30" t="s">
        <v>508</v>
      </c>
      <c r="O297" t="s">
        <v>451</v>
      </c>
    </row>
    <row r="298" spans="1:15" hidden="1">
      <c r="A298" s="97">
        <v>45931</v>
      </c>
      <c r="B298" s="97" t="s">
        <v>508</v>
      </c>
      <c r="D298" t="s">
        <v>980</v>
      </c>
      <c r="G298" s="37" t="s">
        <v>1107</v>
      </c>
      <c r="H298" s="49">
        <v>4400000</v>
      </c>
      <c r="I298" s="119">
        <v>0</v>
      </c>
      <c r="J298" s="49">
        <v>4400000</v>
      </c>
      <c r="K298" s="89">
        <f t="shared" si="4"/>
        <v>35605957</v>
      </c>
      <c r="L298" s="2" t="s">
        <v>308</v>
      </c>
      <c r="M298" s="2" t="s">
        <v>1109</v>
      </c>
      <c r="N298" s="30" t="s">
        <v>508</v>
      </c>
      <c r="O298" t="s">
        <v>451</v>
      </c>
    </row>
    <row r="299" spans="1:15" hidden="1">
      <c r="A299" s="97">
        <v>45931</v>
      </c>
      <c r="B299" s="97" t="s">
        <v>508</v>
      </c>
      <c r="D299" t="s">
        <v>550</v>
      </c>
      <c r="G299" s="37" t="s">
        <v>1107</v>
      </c>
      <c r="H299" s="49">
        <v>74324</v>
      </c>
      <c r="I299" s="119">
        <v>0</v>
      </c>
      <c r="J299" s="49">
        <v>74324</v>
      </c>
      <c r="K299" s="89">
        <f t="shared" si="4"/>
        <v>35680281</v>
      </c>
      <c r="L299" s="2" t="s">
        <v>308</v>
      </c>
      <c r="M299" s="2" t="s">
        <v>1109</v>
      </c>
      <c r="N299" s="30" t="s">
        <v>508</v>
      </c>
      <c r="O299" t="s">
        <v>451</v>
      </c>
    </row>
    <row r="300" spans="1:15" hidden="1">
      <c r="A300" s="97">
        <v>45931</v>
      </c>
      <c r="B300" s="97" t="s">
        <v>508</v>
      </c>
      <c r="D300" t="s">
        <v>981</v>
      </c>
      <c r="G300" s="37" t="s">
        <v>1107</v>
      </c>
      <c r="H300" s="49">
        <v>24062500</v>
      </c>
      <c r="I300" s="119">
        <v>0</v>
      </c>
      <c r="J300" s="49">
        <v>24062500</v>
      </c>
      <c r="K300" s="89">
        <f t="shared" si="4"/>
        <v>59742781</v>
      </c>
      <c r="L300" s="45" t="s">
        <v>308</v>
      </c>
      <c r="M300" s="45" t="s">
        <v>1110</v>
      </c>
      <c r="N300" s="30" t="s">
        <v>508</v>
      </c>
      <c r="O300" t="s">
        <v>451</v>
      </c>
    </row>
    <row r="301" spans="1:15" s="2" customFormat="1">
      <c r="A301" s="112">
        <v>45931</v>
      </c>
      <c r="B301" s="112" t="s">
        <v>1106</v>
      </c>
      <c r="C301" s="2" t="s">
        <v>982</v>
      </c>
      <c r="D301" s="2" t="s">
        <v>317</v>
      </c>
      <c r="E301" s="75" t="s">
        <v>983</v>
      </c>
      <c r="F301" s="75"/>
      <c r="G301" s="75" t="s">
        <v>149</v>
      </c>
      <c r="H301" s="58">
        <v>761179</v>
      </c>
      <c r="I301" s="58">
        <v>761179</v>
      </c>
      <c r="J301" s="58">
        <v>0</v>
      </c>
      <c r="K301" s="123">
        <f t="shared" si="4"/>
        <v>58981602</v>
      </c>
      <c r="L301" s="2" t="s">
        <v>1</v>
      </c>
      <c r="M301" s="2" t="s">
        <v>1077</v>
      </c>
      <c r="N301" s="2" t="s">
        <v>1078</v>
      </c>
      <c r="O301" s="2" t="s">
        <v>15</v>
      </c>
    </row>
    <row r="302" spans="1:15">
      <c r="A302" s="97">
        <v>45931</v>
      </c>
      <c r="B302" s="112" t="s">
        <v>1106</v>
      </c>
      <c r="C302" t="s">
        <v>984</v>
      </c>
      <c r="D302" t="s">
        <v>162</v>
      </c>
      <c r="E302" s="37" t="s">
        <v>985</v>
      </c>
      <c r="F302" s="37">
        <v>2025</v>
      </c>
      <c r="G302" s="37" t="s">
        <v>148</v>
      </c>
      <c r="H302" s="94">
        <v>86391721</v>
      </c>
      <c r="I302" s="119">
        <v>0</v>
      </c>
      <c r="J302" s="89">
        <v>0</v>
      </c>
      <c r="K302" s="89">
        <f t="shared" si="4"/>
        <v>58981602</v>
      </c>
      <c r="L302" t="s">
        <v>15</v>
      </c>
      <c r="M302" s="2" t="s">
        <v>15</v>
      </c>
      <c r="N302" s="45" t="s">
        <v>15</v>
      </c>
      <c r="O302" s="101" t="s">
        <v>15</v>
      </c>
    </row>
    <row r="303" spans="1:15" s="30" customFormat="1" hidden="1">
      <c r="A303" s="99">
        <v>45931</v>
      </c>
      <c r="B303" s="112" t="s">
        <v>1106</v>
      </c>
      <c r="C303" s="30" t="s">
        <v>986</v>
      </c>
      <c r="D303" s="30" t="s">
        <v>646</v>
      </c>
      <c r="E303" s="39" t="s">
        <v>987</v>
      </c>
      <c r="F303" s="37">
        <v>2024</v>
      </c>
      <c r="G303" s="37" t="s">
        <v>148</v>
      </c>
      <c r="H303" s="40">
        <v>4774000</v>
      </c>
      <c r="I303" s="49">
        <v>0</v>
      </c>
      <c r="J303" s="89">
        <v>0</v>
      </c>
      <c r="K303" s="89">
        <f t="shared" si="4"/>
        <v>58981602</v>
      </c>
      <c r="L303" t="s">
        <v>15</v>
      </c>
      <c r="M303" s="2" t="s">
        <v>15</v>
      </c>
      <c r="N303" s="45" t="s">
        <v>15</v>
      </c>
      <c r="O303" s="101" t="s">
        <v>15</v>
      </c>
    </row>
    <row r="304" spans="1:15" s="30" customFormat="1" hidden="1">
      <c r="A304" s="99">
        <v>45931</v>
      </c>
      <c r="B304" s="112" t="s">
        <v>1106</v>
      </c>
      <c r="C304" s="30" t="s">
        <v>988</v>
      </c>
      <c r="D304" s="30" t="s">
        <v>646</v>
      </c>
      <c r="E304" s="39" t="s">
        <v>989</v>
      </c>
      <c r="F304" s="37">
        <v>2024</v>
      </c>
      <c r="G304" s="37" t="s">
        <v>148</v>
      </c>
      <c r="H304" s="40">
        <v>4513720</v>
      </c>
      <c r="I304" s="49">
        <v>0</v>
      </c>
      <c r="J304" s="89">
        <v>0</v>
      </c>
      <c r="K304" s="89">
        <f t="shared" si="4"/>
        <v>58981602</v>
      </c>
      <c r="L304" t="s">
        <v>15</v>
      </c>
      <c r="M304" s="2" t="s">
        <v>15</v>
      </c>
      <c r="N304" s="45" t="s">
        <v>15</v>
      </c>
      <c r="O304" s="101" t="s">
        <v>15</v>
      </c>
    </row>
    <row r="305" spans="1:15">
      <c r="A305" s="97">
        <v>45931</v>
      </c>
      <c r="B305" s="112" t="s">
        <v>1106</v>
      </c>
      <c r="C305" t="s">
        <v>990</v>
      </c>
      <c r="D305" t="s">
        <v>646</v>
      </c>
      <c r="E305" s="37" t="s">
        <v>991</v>
      </c>
      <c r="F305" s="37">
        <v>2025</v>
      </c>
      <c r="G305" s="37" t="s">
        <v>148</v>
      </c>
      <c r="H305" s="94">
        <v>3040501</v>
      </c>
      <c r="I305" s="119">
        <v>0</v>
      </c>
      <c r="J305" s="89">
        <v>0</v>
      </c>
      <c r="K305" s="89">
        <f t="shared" si="4"/>
        <v>58981602</v>
      </c>
      <c r="L305" t="s">
        <v>15</v>
      </c>
      <c r="M305" s="2" t="s">
        <v>15</v>
      </c>
      <c r="N305" s="45" t="s">
        <v>15</v>
      </c>
      <c r="O305" s="101" t="s">
        <v>15</v>
      </c>
    </row>
    <row r="306" spans="1:15">
      <c r="A306" s="97">
        <v>45931</v>
      </c>
      <c r="B306" s="112" t="s">
        <v>1106</v>
      </c>
      <c r="C306" t="s">
        <v>992</v>
      </c>
      <c r="D306" t="s">
        <v>439</v>
      </c>
      <c r="E306" s="37" t="s">
        <v>993</v>
      </c>
      <c r="F306" s="37">
        <v>2025</v>
      </c>
      <c r="G306" s="74" t="s">
        <v>149</v>
      </c>
      <c r="H306" s="74">
        <v>189209790</v>
      </c>
      <c r="I306" s="74">
        <v>189209790</v>
      </c>
      <c r="J306" s="74">
        <v>0</v>
      </c>
      <c r="K306" s="89">
        <f t="shared" si="4"/>
        <v>-130228188</v>
      </c>
      <c r="L306" s="45" t="s">
        <v>1</v>
      </c>
      <c r="M306" s="45" t="s">
        <v>1077</v>
      </c>
      <c r="N306" s="45" t="s">
        <v>1078</v>
      </c>
    </row>
    <row r="307" spans="1:15" hidden="1">
      <c r="A307" s="1">
        <v>45971</v>
      </c>
      <c r="B307" s="1" t="s">
        <v>529</v>
      </c>
      <c r="C307" s="107" t="s">
        <v>994</v>
      </c>
      <c r="D307" s="79" t="s">
        <v>976</v>
      </c>
      <c r="E307" s="81" t="s">
        <v>995</v>
      </c>
      <c r="F307" s="81"/>
      <c r="G307" s="81" t="s">
        <v>1120</v>
      </c>
      <c r="H307" s="49">
        <v>132428188</v>
      </c>
      <c r="I307" s="74">
        <v>0</v>
      </c>
      <c r="J307" s="49">
        <v>132428188</v>
      </c>
      <c r="K307" s="89">
        <f t="shared" si="4"/>
        <v>2200000</v>
      </c>
      <c r="L307" t="s">
        <v>308</v>
      </c>
      <c r="M307" s="45" t="s">
        <v>1110</v>
      </c>
      <c r="N307" t="s">
        <v>522</v>
      </c>
      <c r="O307" t="s">
        <v>451</v>
      </c>
    </row>
    <row r="308" spans="1:15" hidden="1">
      <c r="A308" s="97">
        <v>45962</v>
      </c>
      <c r="B308" s="97" t="s">
        <v>508</v>
      </c>
      <c r="D308" t="s">
        <v>550</v>
      </c>
      <c r="G308" s="37" t="s">
        <v>1107</v>
      </c>
      <c r="H308" s="49">
        <v>74324</v>
      </c>
      <c r="I308" s="119">
        <v>0</v>
      </c>
      <c r="J308" s="49">
        <v>74324</v>
      </c>
      <c r="K308" s="89">
        <f t="shared" si="4"/>
        <v>2274324</v>
      </c>
      <c r="L308" t="s">
        <v>308</v>
      </c>
      <c r="M308" t="s">
        <v>1109</v>
      </c>
      <c r="N308" t="s">
        <v>508</v>
      </c>
      <c r="O308" t="s">
        <v>452</v>
      </c>
    </row>
    <row r="309" spans="1:15" hidden="1">
      <c r="A309" s="97">
        <v>45962</v>
      </c>
      <c r="B309" s="97" t="s">
        <v>508</v>
      </c>
      <c r="D309" t="s">
        <v>996</v>
      </c>
      <c r="G309" s="37" t="s">
        <v>1107</v>
      </c>
      <c r="H309" s="49">
        <v>21989</v>
      </c>
      <c r="I309" s="119">
        <v>0</v>
      </c>
      <c r="J309" s="49">
        <v>21989</v>
      </c>
      <c r="K309" s="89">
        <f t="shared" si="4"/>
        <v>2296313</v>
      </c>
      <c r="L309" t="s">
        <v>308</v>
      </c>
      <c r="M309" t="s">
        <v>1109</v>
      </c>
      <c r="N309" t="s">
        <v>508</v>
      </c>
      <c r="O309" t="s">
        <v>452</v>
      </c>
    </row>
    <row r="310" spans="1:15" hidden="1">
      <c r="A310" s="97">
        <v>45962</v>
      </c>
      <c r="B310" s="97" t="s">
        <v>508</v>
      </c>
      <c r="D310" t="s">
        <v>548</v>
      </c>
      <c r="G310" s="37" t="s">
        <v>1107</v>
      </c>
      <c r="H310" s="49">
        <v>1981982</v>
      </c>
      <c r="I310" s="119">
        <v>0</v>
      </c>
      <c r="J310" s="49">
        <v>1981982</v>
      </c>
      <c r="K310" s="89">
        <f t="shared" si="4"/>
        <v>4278295</v>
      </c>
      <c r="L310" s="2" t="s">
        <v>308</v>
      </c>
      <c r="M310" s="2" t="s">
        <v>1110</v>
      </c>
      <c r="N310" s="2" t="s">
        <v>508</v>
      </c>
      <c r="O310" s="2" t="s">
        <v>452</v>
      </c>
    </row>
    <row r="311" spans="1:15" hidden="1">
      <c r="A311" s="97">
        <v>45962</v>
      </c>
      <c r="B311" s="97" t="s">
        <v>508</v>
      </c>
      <c r="D311" t="s">
        <v>552</v>
      </c>
      <c r="G311" s="37" t="s">
        <v>1107</v>
      </c>
      <c r="H311" s="49">
        <v>506000</v>
      </c>
      <c r="I311" s="119">
        <v>0</v>
      </c>
      <c r="J311" s="49">
        <v>506000</v>
      </c>
      <c r="K311" s="89">
        <f t="shared" si="4"/>
        <v>4784295</v>
      </c>
      <c r="L311" t="s">
        <v>308</v>
      </c>
      <c r="M311" t="s">
        <v>1109</v>
      </c>
      <c r="N311" t="s">
        <v>508</v>
      </c>
      <c r="O311" t="s">
        <v>452</v>
      </c>
    </row>
    <row r="312" spans="1:15" s="2" customFormat="1">
      <c r="A312" s="112">
        <v>45962</v>
      </c>
      <c r="B312" s="112" t="s">
        <v>508</v>
      </c>
      <c r="D312" s="2" t="s">
        <v>997</v>
      </c>
      <c r="E312" s="75"/>
      <c r="F312" s="75"/>
      <c r="G312" s="75" t="s">
        <v>1107</v>
      </c>
      <c r="H312" s="111">
        <v>25850</v>
      </c>
      <c r="I312" s="49">
        <v>0</v>
      </c>
      <c r="J312" s="49">
        <v>25850</v>
      </c>
      <c r="K312" s="90">
        <f t="shared" si="4"/>
        <v>4810145</v>
      </c>
      <c r="L312" s="2" t="s">
        <v>7</v>
      </c>
      <c r="M312" s="2" t="s">
        <v>85</v>
      </c>
      <c r="N312" s="2" t="s">
        <v>1115</v>
      </c>
      <c r="O312" s="2" t="s">
        <v>452</v>
      </c>
    </row>
    <row r="313" spans="1:15" hidden="1">
      <c r="A313" s="97">
        <v>45962</v>
      </c>
      <c r="B313" s="97" t="s">
        <v>508</v>
      </c>
      <c r="D313" t="s">
        <v>564</v>
      </c>
      <c r="G313" s="37" t="s">
        <v>1107</v>
      </c>
      <c r="H313" s="49">
        <v>385000</v>
      </c>
      <c r="I313" s="119">
        <v>0</v>
      </c>
      <c r="J313" s="49">
        <v>385000</v>
      </c>
      <c r="K313" s="89">
        <f t="shared" si="4"/>
        <v>5195145</v>
      </c>
      <c r="L313" t="s">
        <v>308</v>
      </c>
      <c r="M313" t="s">
        <v>1109</v>
      </c>
      <c r="N313" t="s">
        <v>508</v>
      </c>
      <c r="O313" t="s">
        <v>451</v>
      </c>
    </row>
    <row r="314" spans="1:15" s="2" customFormat="1">
      <c r="A314" s="112">
        <v>45962</v>
      </c>
      <c r="B314" s="112" t="s">
        <v>508</v>
      </c>
      <c r="D314" s="2" t="s">
        <v>564</v>
      </c>
      <c r="E314" s="75"/>
      <c r="F314" s="75"/>
      <c r="G314" s="75" t="s">
        <v>1107</v>
      </c>
      <c r="H314" s="111">
        <v>385000</v>
      </c>
      <c r="I314" s="49">
        <v>0</v>
      </c>
      <c r="J314" s="49">
        <v>385000</v>
      </c>
      <c r="K314" s="90">
        <f t="shared" si="4"/>
        <v>5580145</v>
      </c>
      <c r="L314" s="2" t="s">
        <v>7</v>
      </c>
      <c r="M314" s="2" t="s">
        <v>85</v>
      </c>
      <c r="N314" s="2" t="s">
        <v>1115</v>
      </c>
      <c r="O314" s="2" t="s">
        <v>452</v>
      </c>
    </row>
    <row r="315" spans="1:15">
      <c r="A315" s="97">
        <v>45962</v>
      </c>
      <c r="B315" s="97" t="s">
        <v>1106</v>
      </c>
      <c r="C315" t="s">
        <v>998</v>
      </c>
      <c r="D315" t="s">
        <v>477</v>
      </c>
      <c r="E315" s="37" t="s">
        <v>999</v>
      </c>
      <c r="F315" s="37">
        <v>2025</v>
      </c>
      <c r="G315" s="37" t="s">
        <v>148</v>
      </c>
      <c r="H315" s="94">
        <v>74324324</v>
      </c>
      <c r="I315" s="119">
        <v>0</v>
      </c>
      <c r="J315" s="89">
        <v>0</v>
      </c>
      <c r="K315" s="89">
        <f t="shared" si="4"/>
        <v>5580145</v>
      </c>
      <c r="L315" t="s">
        <v>15</v>
      </c>
      <c r="M315" s="2" t="s">
        <v>15</v>
      </c>
      <c r="N315" s="45" t="s">
        <v>15</v>
      </c>
      <c r="O315" s="101" t="s">
        <v>15</v>
      </c>
    </row>
    <row r="316" spans="1:15">
      <c r="A316" s="97">
        <v>45962</v>
      </c>
      <c r="B316" s="97" t="s">
        <v>1106</v>
      </c>
      <c r="C316" t="s">
        <v>1000</v>
      </c>
      <c r="D316" t="s">
        <v>646</v>
      </c>
      <c r="E316" s="37" t="s">
        <v>1001</v>
      </c>
      <c r="F316" s="37">
        <v>2025</v>
      </c>
      <c r="G316" s="37" t="s">
        <v>148</v>
      </c>
      <c r="H316" s="94">
        <v>10675500</v>
      </c>
      <c r="I316" s="119">
        <v>0</v>
      </c>
      <c r="J316" s="89">
        <v>0</v>
      </c>
      <c r="K316" s="89">
        <f t="shared" si="4"/>
        <v>5580145</v>
      </c>
      <c r="L316" t="s">
        <v>15</v>
      </c>
      <c r="M316" s="2" t="s">
        <v>15</v>
      </c>
      <c r="N316" s="45" t="s">
        <v>15</v>
      </c>
      <c r="O316" s="101" t="s">
        <v>15</v>
      </c>
    </row>
    <row r="317" spans="1:15" s="30" customFormat="1" hidden="1">
      <c r="A317" s="99" t="s">
        <v>15</v>
      </c>
      <c r="B317" s="97" t="s">
        <v>1106</v>
      </c>
      <c r="C317" s="30" t="s">
        <v>15</v>
      </c>
      <c r="D317" s="30" t="s">
        <v>646</v>
      </c>
      <c r="E317" s="39" t="s">
        <v>547</v>
      </c>
      <c r="F317" s="39">
        <v>2024</v>
      </c>
      <c r="G317" s="39" t="s">
        <v>148</v>
      </c>
      <c r="H317" s="100">
        <v>11163614</v>
      </c>
      <c r="I317" s="58">
        <v>0</v>
      </c>
      <c r="J317" s="89">
        <v>0</v>
      </c>
      <c r="K317" s="89">
        <f t="shared" si="4"/>
        <v>5580145</v>
      </c>
      <c r="L317" t="s">
        <v>15</v>
      </c>
      <c r="M317" s="2" t="s">
        <v>15</v>
      </c>
      <c r="N317" s="45" t="s">
        <v>15</v>
      </c>
      <c r="O317" s="101" t="s">
        <v>15</v>
      </c>
    </row>
    <row r="318" spans="1:15">
      <c r="A318" s="97">
        <v>45962</v>
      </c>
      <c r="B318" s="97" t="s">
        <v>1106</v>
      </c>
      <c r="C318" t="s">
        <v>1002</v>
      </c>
      <c r="D318" t="s">
        <v>646</v>
      </c>
      <c r="E318" s="37" t="s">
        <v>1003</v>
      </c>
      <c r="F318" s="37">
        <v>2025</v>
      </c>
      <c r="G318" s="37" t="s">
        <v>148</v>
      </c>
      <c r="H318" s="94">
        <v>24195402</v>
      </c>
      <c r="I318" s="119">
        <v>0</v>
      </c>
      <c r="J318" s="89">
        <v>0</v>
      </c>
      <c r="K318" s="89">
        <f t="shared" si="4"/>
        <v>5580145</v>
      </c>
      <c r="L318" t="s">
        <v>15</v>
      </c>
      <c r="M318" s="2" t="s">
        <v>15</v>
      </c>
      <c r="N318" s="45" t="s">
        <v>15</v>
      </c>
      <c r="O318" s="101" t="s">
        <v>15</v>
      </c>
    </row>
    <row r="319" spans="1:15">
      <c r="A319" s="97">
        <v>45962</v>
      </c>
      <c r="B319" s="97" t="s">
        <v>1106</v>
      </c>
      <c r="C319" t="s">
        <v>1004</v>
      </c>
      <c r="D319" t="s">
        <v>646</v>
      </c>
      <c r="E319" s="37" t="s">
        <v>1005</v>
      </c>
      <c r="F319" s="37">
        <v>2025</v>
      </c>
      <c r="G319" s="37" t="s">
        <v>148</v>
      </c>
      <c r="H319" s="94">
        <v>4840000</v>
      </c>
      <c r="I319" s="119">
        <v>0</v>
      </c>
      <c r="J319" s="89">
        <v>0</v>
      </c>
      <c r="K319" s="89">
        <f t="shared" si="4"/>
        <v>5580145</v>
      </c>
      <c r="L319" t="s">
        <v>15</v>
      </c>
      <c r="M319" s="2" t="s">
        <v>15</v>
      </c>
      <c r="N319" s="45" t="s">
        <v>15</v>
      </c>
      <c r="O319" s="101" t="s">
        <v>15</v>
      </c>
    </row>
    <row r="320" spans="1:15">
      <c r="A320" s="97">
        <v>45962</v>
      </c>
      <c r="B320" s="97" t="s">
        <v>1106</v>
      </c>
      <c r="C320" t="s">
        <v>1006</v>
      </c>
      <c r="D320" t="s">
        <v>646</v>
      </c>
      <c r="E320" s="37" t="s">
        <v>1007</v>
      </c>
      <c r="F320" s="37">
        <v>2025</v>
      </c>
      <c r="G320" s="37" t="s">
        <v>148</v>
      </c>
      <c r="H320" s="94">
        <v>19225718</v>
      </c>
      <c r="I320" s="119">
        <v>0</v>
      </c>
      <c r="J320" s="89">
        <v>0</v>
      </c>
      <c r="K320" s="89">
        <f t="shared" si="4"/>
        <v>5580145</v>
      </c>
      <c r="L320" t="s">
        <v>15</v>
      </c>
      <c r="M320" s="2" t="s">
        <v>15</v>
      </c>
      <c r="N320" s="45" t="s">
        <v>15</v>
      </c>
      <c r="O320" s="101" t="s">
        <v>15</v>
      </c>
    </row>
    <row r="321" spans="1:15" s="30" customFormat="1" hidden="1">
      <c r="A321" s="99">
        <v>45962</v>
      </c>
      <c r="B321" s="97" t="s">
        <v>1106</v>
      </c>
      <c r="C321" s="30" t="s">
        <v>1008</v>
      </c>
      <c r="D321" s="30" t="s">
        <v>646</v>
      </c>
      <c r="E321" s="39" t="s">
        <v>1009</v>
      </c>
      <c r="F321" s="39">
        <v>2024</v>
      </c>
      <c r="G321" s="39" t="s">
        <v>148</v>
      </c>
      <c r="H321" s="104">
        <v>17592069</v>
      </c>
      <c r="I321" s="58">
        <v>0</v>
      </c>
      <c r="J321" s="89">
        <v>0</v>
      </c>
      <c r="K321" s="89">
        <f t="shared" si="4"/>
        <v>5580145</v>
      </c>
      <c r="L321" t="s">
        <v>15</v>
      </c>
      <c r="M321" s="2" t="s">
        <v>15</v>
      </c>
      <c r="N321" s="45" t="s">
        <v>15</v>
      </c>
      <c r="O321" s="101" t="s">
        <v>15</v>
      </c>
    </row>
    <row r="322" spans="1:15" s="30" customFormat="1" hidden="1">
      <c r="A322" s="99">
        <v>45962</v>
      </c>
      <c r="B322" s="97" t="s">
        <v>1106</v>
      </c>
      <c r="C322" s="30" t="s">
        <v>1010</v>
      </c>
      <c r="D322" s="30" t="s">
        <v>646</v>
      </c>
      <c r="E322" s="39" t="s">
        <v>1011</v>
      </c>
      <c r="F322" s="39">
        <v>2024</v>
      </c>
      <c r="G322" s="39" t="s">
        <v>148</v>
      </c>
      <c r="H322" s="104">
        <v>12444425</v>
      </c>
      <c r="I322" s="49">
        <v>0</v>
      </c>
      <c r="J322" s="89">
        <v>0</v>
      </c>
      <c r="K322" s="89">
        <f t="shared" si="4"/>
        <v>5580145</v>
      </c>
      <c r="L322" t="s">
        <v>15</v>
      </c>
      <c r="M322" s="2" t="s">
        <v>15</v>
      </c>
      <c r="N322" s="45" t="s">
        <v>15</v>
      </c>
      <c r="O322" s="101" t="s">
        <v>15</v>
      </c>
    </row>
    <row r="323" spans="1:15" s="30" customFormat="1" hidden="1">
      <c r="A323" s="99">
        <v>45962</v>
      </c>
      <c r="B323" s="97" t="s">
        <v>1106</v>
      </c>
      <c r="C323" s="30" t="s">
        <v>545</v>
      </c>
      <c r="D323" s="30" t="s">
        <v>646</v>
      </c>
      <c r="E323" s="39" t="s">
        <v>546</v>
      </c>
      <c r="F323" s="37">
        <v>2024</v>
      </c>
      <c r="G323" s="37" t="s">
        <v>148</v>
      </c>
      <c r="H323" s="100">
        <v>3825250</v>
      </c>
      <c r="I323" s="49">
        <v>0</v>
      </c>
      <c r="J323" s="89">
        <v>0</v>
      </c>
      <c r="K323" s="89">
        <f t="shared" si="4"/>
        <v>5580145</v>
      </c>
      <c r="L323" t="s">
        <v>15</v>
      </c>
      <c r="M323" s="2" t="s">
        <v>15</v>
      </c>
      <c r="N323" s="45" t="s">
        <v>15</v>
      </c>
      <c r="O323" s="101" t="s">
        <v>15</v>
      </c>
    </row>
    <row r="324" spans="1:15" s="30" customFormat="1" hidden="1">
      <c r="A324" s="99">
        <v>45962</v>
      </c>
      <c r="B324" s="97" t="s">
        <v>1106</v>
      </c>
      <c r="C324" s="30" t="s">
        <v>543</v>
      </c>
      <c r="D324" s="30" t="s">
        <v>646</v>
      </c>
      <c r="E324" s="39" t="s">
        <v>544</v>
      </c>
      <c r="F324" s="39">
        <v>2024</v>
      </c>
      <c r="G324" s="39" t="s">
        <v>148</v>
      </c>
      <c r="H324" s="100">
        <v>17643345</v>
      </c>
      <c r="I324" s="49">
        <v>0</v>
      </c>
      <c r="J324" s="89">
        <v>0</v>
      </c>
      <c r="K324" s="89">
        <f t="shared" si="4"/>
        <v>5580145</v>
      </c>
      <c r="L324" t="s">
        <v>15</v>
      </c>
      <c r="M324" s="2" t="s">
        <v>15</v>
      </c>
      <c r="N324" s="45" t="s">
        <v>15</v>
      </c>
      <c r="O324" s="101" t="s">
        <v>15</v>
      </c>
    </row>
    <row r="325" spans="1:15" s="30" customFormat="1" hidden="1">
      <c r="A325" s="99">
        <v>45962</v>
      </c>
      <c r="B325" s="97" t="s">
        <v>1106</v>
      </c>
      <c r="C325" s="30" t="s">
        <v>541</v>
      </c>
      <c r="D325" s="30" t="s">
        <v>646</v>
      </c>
      <c r="E325" s="39" t="s">
        <v>542</v>
      </c>
      <c r="F325" s="39">
        <v>2024</v>
      </c>
      <c r="G325" s="39" t="s">
        <v>148</v>
      </c>
      <c r="H325" s="100">
        <v>20250011</v>
      </c>
      <c r="I325" s="49">
        <v>0</v>
      </c>
      <c r="J325" s="89">
        <v>0</v>
      </c>
      <c r="K325" s="89">
        <f t="shared" si="4"/>
        <v>5580145</v>
      </c>
      <c r="L325" t="s">
        <v>15</v>
      </c>
      <c r="M325" s="2" t="s">
        <v>15</v>
      </c>
      <c r="N325" s="45" t="s">
        <v>15</v>
      </c>
      <c r="O325" s="101" t="s">
        <v>15</v>
      </c>
    </row>
    <row r="326" spans="1:15">
      <c r="A326" s="97">
        <v>45962</v>
      </c>
      <c r="B326" s="97" t="s">
        <v>1106</v>
      </c>
      <c r="C326" t="s">
        <v>1012</v>
      </c>
      <c r="D326" t="s">
        <v>646</v>
      </c>
      <c r="E326" s="37" t="s">
        <v>1013</v>
      </c>
      <c r="F326" s="37">
        <v>2025</v>
      </c>
      <c r="G326" s="37" t="s">
        <v>148</v>
      </c>
      <c r="H326" s="94">
        <v>5872595</v>
      </c>
      <c r="I326" s="119">
        <v>0</v>
      </c>
      <c r="J326" s="89">
        <v>0</v>
      </c>
      <c r="K326" s="89">
        <f t="shared" ref="K326:K358" si="5">K325-I326+J326</f>
        <v>5580145</v>
      </c>
      <c r="L326" t="s">
        <v>15</v>
      </c>
      <c r="M326" s="2" t="s">
        <v>15</v>
      </c>
      <c r="N326" s="45" t="s">
        <v>15</v>
      </c>
      <c r="O326" s="101" t="s">
        <v>15</v>
      </c>
    </row>
    <row r="327" spans="1:15">
      <c r="A327" s="97">
        <v>45962</v>
      </c>
      <c r="B327" s="97" t="s">
        <v>1106</v>
      </c>
      <c r="C327" t="s">
        <v>1014</v>
      </c>
      <c r="D327" t="s">
        <v>571</v>
      </c>
      <c r="E327" s="37" t="s">
        <v>1015</v>
      </c>
      <c r="F327" s="37">
        <v>2025</v>
      </c>
      <c r="G327" s="37" t="s">
        <v>148</v>
      </c>
      <c r="H327" s="94">
        <v>79279279</v>
      </c>
      <c r="I327" s="119">
        <v>0</v>
      </c>
      <c r="J327" s="89">
        <v>0</v>
      </c>
      <c r="K327" s="89">
        <f t="shared" si="5"/>
        <v>5580145</v>
      </c>
      <c r="L327" t="s">
        <v>15</v>
      </c>
      <c r="M327" s="2" t="s">
        <v>15</v>
      </c>
      <c r="N327" s="45" t="s">
        <v>15</v>
      </c>
      <c r="O327" s="101" t="s">
        <v>15</v>
      </c>
    </row>
    <row r="328" spans="1:15">
      <c r="A328" s="97">
        <v>45962</v>
      </c>
      <c r="B328" s="97" t="s">
        <v>1106</v>
      </c>
      <c r="C328" t="s">
        <v>1016</v>
      </c>
      <c r="D328" t="s">
        <v>162</v>
      </c>
      <c r="E328" s="37" t="s">
        <v>1017</v>
      </c>
      <c r="F328" s="37">
        <v>2025</v>
      </c>
      <c r="G328" s="37" t="s">
        <v>148</v>
      </c>
      <c r="H328" s="94">
        <v>667397370</v>
      </c>
      <c r="I328" s="119">
        <v>0</v>
      </c>
      <c r="J328" s="89">
        <v>0</v>
      </c>
      <c r="K328" s="89">
        <f t="shared" si="5"/>
        <v>5580145</v>
      </c>
      <c r="L328" t="s">
        <v>15</v>
      </c>
      <c r="M328" s="2" t="s">
        <v>15</v>
      </c>
      <c r="N328" s="45" t="s">
        <v>15</v>
      </c>
      <c r="O328" s="101" t="s">
        <v>15</v>
      </c>
    </row>
    <row r="329" spans="1:15">
      <c r="A329" s="97">
        <v>45962</v>
      </c>
      <c r="B329" s="97" t="s">
        <v>1106</v>
      </c>
      <c r="C329" t="s">
        <v>1018</v>
      </c>
      <c r="D329" t="s">
        <v>235</v>
      </c>
      <c r="E329" s="37" t="s">
        <v>1019</v>
      </c>
      <c r="F329" s="37">
        <v>2025</v>
      </c>
      <c r="G329" s="37" t="s">
        <v>148</v>
      </c>
      <c r="H329" s="94">
        <v>80270270</v>
      </c>
      <c r="I329" s="119">
        <v>0</v>
      </c>
      <c r="J329" s="89">
        <v>0</v>
      </c>
      <c r="K329" s="89">
        <f t="shared" si="5"/>
        <v>5580145</v>
      </c>
      <c r="L329" t="s">
        <v>15</v>
      </c>
      <c r="M329" s="2" t="s">
        <v>15</v>
      </c>
      <c r="N329" s="45" t="s">
        <v>15</v>
      </c>
      <c r="O329" s="101" t="s">
        <v>15</v>
      </c>
    </row>
    <row r="330" spans="1:15">
      <c r="A330" s="97">
        <v>45962</v>
      </c>
      <c r="B330" s="97" t="s">
        <v>1106</v>
      </c>
      <c r="C330" t="s">
        <v>1020</v>
      </c>
      <c r="D330" t="s">
        <v>439</v>
      </c>
      <c r="E330" s="37" t="s">
        <v>1021</v>
      </c>
      <c r="F330" s="37">
        <v>2025</v>
      </c>
      <c r="G330" s="74" t="s">
        <v>149</v>
      </c>
      <c r="H330" s="74">
        <v>20134400</v>
      </c>
      <c r="I330" s="74">
        <v>20134400</v>
      </c>
      <c r="J330" s="74">
        <v>0</v>
      </c>
      <c r="K330" s="89">
        <f t="shared" si="5"/>
        <v>-14554255</v>
      </c>
      <c r="L330" s="45" t="s">
        <v>1</v>
      </c>
      <c r="M330" s="45" t="s">
        <v>1077</v>
      </c>
      <c r="N330" s="45" t="s">
        <v>1078</v>
      </c>
    </row>
    <row r="331" spans="1:15">
      <c r="A331" s="97">
        <v>45962</v>
      </c>
      <c r="B331" s="97" t="s">
        <v>1106</v>
      </c>
      <c r="C331" t="s">
        <v>1022</v>
      </c>
      <c r="D331" t="s">
        <v>162</v>
      </c>
      <c r="E331" s="37" t="s">
        <v>1023</v>
      </c>
      <c r="F331" s="37">
        <v>2025</v>
      </c>
      <c r="G331" s="37" t="s">
        <v>148</v>
      </c>
      <c r="H331" s="94">
        <v>84820607</v>
      </c>
      <c r="I331" s="119">
        <v>0</v>
      </c>
      <c r="J331" s="89">
        <v>0</v>
      </c>
      <c r="K331" s="89">
        <f t="shared" si="5"/>
        <v>-14554255</v>
      </c>
      <c r="L331" t="s">
        <v>15</v>
      </c>
      <c r="M331" s="2" t="s">
        <v>15</v>
      </c>
      <c r="N331" s="45" t="s">
        <v>15</v>
      </c>
      <c r="O331" s="101" t="s">
        <v>15</v>
      </c>
    </row>
    <row r="332" spans="1:15">
      <c r="A332" s="97">
        <v>45962</v>
      </c>
      <c r="B332" s="97" t="s">
        <v>1106</v>
      </c>
      <c r="C332" t="s">
        <v>1024</v>
      </c>
      <c r="D332" t="s">
        <v>206</v>
      </c>
      <c r="E332" s="37" t="s">
        <v>1025</v>
      </c>
      <c r="F332" s="37">
        <v>2025</v>
      </c>
      <c r="G332" s="37" t="s">
        <v>148</v>
      </c>
      <c r="H332" s="94">
        <v>110000000</v>
      </c>
      <c r="I332" s="119">
        <v>0</v>
      </c>
      <c r="J332" s="89">
        <v>0</v>
      </c>
      <c r="K332" s="89">
        <f t="shared" si="5"/>
        <v>-14554255</v>
      </c>
      <c r="L332" t="s">
        <v>15</v>
      </c>
      <c r="M332" s="2" t="s">
        <v>15</v>
      </c>
      <c r="N332" s="45" t="s">
        <v>15</v>
      </c>
      <c r="O332" s="101" t="s">
        <v>15</v>
      </c>
    </row>
    <row r="333" spans="1:15">
      <c r="B333" s="97" t="s">
        <v>529</v>
      </c>
      <c r="C333" s="79" t="s">
        <v>1026</v>
      </c>
      <c r="D333" s="79"/>
      <c r="E333" s="81"/>
      <c r="F333" s="81"/>
      <c r="G333" s="81" t="s">
        <v>1120</v>
      </c>
      <c r="H333" s="94">
        <v>16754255</v>
      </c>
      <c r="I333" s="74">
        <v>0</v>
      </c>
      <c r="J333" s="94">
        <v>0</v>
      </c>
      <c r="K333" s="89">
        <f t="shared" si="5"/>
        <v>-14554255</v>
      </c>
      <c r="L333" t="s">
        <v>1</v>
      </c>
      <c r="M333" s="2" t="s">
        <v>40</v>
      </c>
      <c r="N333" s="45" t="s">
        <v>1073</v>
      </c>
      <c r="O333" s="101" t="s">
        <v>521</v>
      </c>
    </row>
    <row r="334" spans="1:15" hidden="1">
      <c r="A334" s="108">
        <v>45992</v>
      </c>
      <c r="B334" s="108" t="s">
        <v>508</v>
      </c>
      <c r="D334" t="s">
        <v>550</v>
      </c>
      <c r="G334" s="37" t="s">
        <v>1107</v>
      </c>
      <c r="H334" s="49">
        <v>74324</v>
      </c>
      <c r="I334" s="119">
        <v>0</v>
      </c>
      <c r="J334" s="49">
        <v>74324</v>
      </c>
      <c r="K334" s="89">
        <f t="shared" si="5"/>
        <v>-14479931</v>
      </c>
      <c r="L334" s="45" t="s">
        <v>308</v>
      </c>
      <c r="M334" s="45" t="s">
        <v>1109</v>
      </c>
      <c r="N334" t="s">
        <v>508</v>
      </c>
      <c r="O334" t="s">
        <v>501</v>
      </c>
    </row>
    <row r="335" spans="1:15" hidden="1">
      <c r="A335" s="108">
        <v>45992</v>
      </c>
      <c r="B335" s="108" t="s">
        <v>508</v>
      </c>
      <c r="D335" t="s">
        <v>1027</v>
      </c>
      <c r="G335" s="37" t="s">
        <v>1107</v>
      </c>
      <c r="H335" s="49">
        <v>3006295</v>
      </c>
      <c r="I335" s="119">
        <v>0</v>
      </c>
      <c r="J335" s="49">
        <v>3006295</v>
      </c>
      <c r="K335" s="89">
        <f t="shared" si="5"/>
        <v>-11473636</v>
      </c>
      <c r="L335" t="s">
        <v>308</v>
      </c>
      <c r="M335" t="s">
        <v>1119</v>
      </c>
      <c r="N335" t="s">
        <v>508</v>
      </c>
      <c r="O335" t="s">
        <v>501</v>
      </c>
    </row>
    <row r="336" spans="1:15" hidden="1">
      <c r="A336" s="108">
        <v>45992</v>
      </c>
      <c r="B336" s="108" t="s">
        <v>508</v>
      </c>
      <c r="D336" t="s">
        <v>548</v>
      </c>
      <c r="G336" s="37" t="s">
        <v>1107</v>
      </c>
      <c r="H336" s="49">
        <v>1981982</v>
      </c>
      <c r="I336" s="119">
        <v>0</v>
      </c>
      <c r="J336" s="49">
        <v>1981982</v>
      </c>
      <c r="K336" s="89">
        <f t="shared" si="5"/>
        <v>-9491654</v>
      </c>
      <c r="L336" t="s">
        <v>308</v>
      </c>
      <c r="M336" t="s">
        <v>1110</v>
      </c>
      <c r="N336" t="s">
        <v>508</v>
      </c>
      <c r="O336" t="s">
        <v>501</v>
      </c>
    </row>
    <row r="337" spans="1:15" hidden="1">
      <c r="A337" s="108">
        <v>45992</v>
      </c>
      <c r="B337" s="108" t="s">
        <v>508</v>
      </c>
      <c r="D337" t="s">
        <v>552</v>
      </c>
      <c r="G337" s="37" t="s">
        <v>1107</v>
      </c>
      <c r="H337" s="49">
        <v>506000</v>
      </c>
      <c r="I337" s="119">
        <v>0</v>
      </c>
      <c r="J337" s="49">
        <v>506000</v>
      </c>
      <c r="K337" s="89">
        <f t="shared" si="5"/>
        <v>-8985654</v>
      </c>
      <c r="L337" s="45" t="s">
        <v>308</v>
      </c>
      <c r="M337" s="45" t="s">
        <v>1109</v>
      </c>
      <c r="N337" t="s">
        <v>508</v>
      </c>
      <c r="O337" t="s">
        <v>501</v>
      </c>
    </row>
    <row r="338" spans="1:15" s="2" customFormat="1">
      <c r="A338" s="112">
        <v>45992</v>
      </c>
      <c r="B338" s="112" t="s">
        <v>508</v>
      </c>
      <c r="D338" s="2" t="s">
        <v>564</v>
      </c>
      <c r="E338" s="75"/>
      <c r="F338" s="75"/>
      <c r="G338" s="75" t="s">
        <v>1107</v>
      </c>
      <c r="H338" s="111">
        <v>385000</v>
      </c>
      <c r="I338" s="49">
        <v>0</v>
      </c>
      <c r="J338" s="49">
        <v>385000</v>
      </c>
      <c r="K338" s="90">
        <f t="shared" si="5"/>
        <v>-8600654</v>
      </c>
      <c r="L338" s="2" t="s">
        <v>7</v>
      </c>
      <c r="M338" s="2" t="s">
        <v>85</v>
      </c>
      <c r="N338" s="2" t="s">
        <v>1115</v>
      </c>
      <c r="O338" s="2" t="s">
        <v>501</v>
      </c>
    </row>
    <row r="339" spans="1:15" s="30" customFormat="1">
      <c r="A339" s="99">
        <v>45992</v>
      </c>
      <c r="B339" s="99" t="s">
        <v>1106</v>
      </c>
      <c r="C339" s="30" t="s">
        <v>1028</v>
      </c>
      <c r="D339" s="30" t="s">
        <v>646</v>
      </c>
      <c r="E339" s="39" t="s">
        <v>1029</v>
      </c>
      <c r="F339" s="39">
        <v>2025</v>
      </c>
      <c r="G339" s="39" t="s">
        <v>148</v>
      </c>
      <c r="H339" s="94">
        <v>2454713</v>
      </c>
      <c r="I339" s="49">
        <v>0</v>
      </c>
      <c r="J339" s="89">
        <v>0</v>
      </c>
      <c r="K339" s="89">
        <f t="shared" si="5"/>
        <v>-8600654</v>
      </c>
      <c r="L339" t="s">
        <v>15</v>
      </c>
      <c r="M339" s="2" t="s">
        <v>15</v>
      </c>
      <c r="N339" s="45" t="s">
        <v>15</v>
      </c>
      <c r="O339" s="101" t="s">
        <v>15</v>
      </c>
    </row>
    <row r="340" spans="1:15">
      <c r="A340" s="97">
        <v>45992</v>
      </c>
      <c r="B340" s="99" t="s">
        <v>1106</v>
      </c>
      <c r="C340" t="s">
        <v>1030</v>
      </c>
      <c r="D340" t="s">
        <v>646</v>
      </c>
      <c r="E340" s="37" t="s">
        <v>1031</v>
      </c>
      <c r="F340" s="37">
        <v>2025</v>
      </c>
      <c r="G340" s="37" t="s">
        <v>148</v>
      </c>
      <c r="H340" s="94">
        <v>1238551</v>
      </c>
      <c r="I340" s="119">
        <v>0</v>
      </c>
      <c r="J340" s="89">
        <v>0</v>
      </c>
      <c r="K340" s="89">
        <f t="shared" si="5"/>
        <v>-8600654</v>
      </c>
      <c r="L340" t="s">
        <v>15</v>
      </c>
      <c r="M340" s="2" t="s">
        <v>15</v>
      </c>
      <c r="N340" s="45" t="s">
        <v>15</v>
      </c>
      <c r="O340" s="101" t="s">
        <v>15</v>
      </c>
    </row>
    <row r="341" spans="1:15">
      <c r="A341" s="97">
        <v>45992</v>
      </c>
      <c r="B341" s="99" t="s">
        <v>1106</v>
      </c>
      <c r="C341" t="s">
        <v>1032</v>
      </c>
      <c r="D341" t="s">
        <v>646</v>
      </c>
      <c r="E341" s="37" t="s">
        <v>1033</v>
      </c>
      <c r="F341" s="37">
        <v>2025</v>
      </c>
      <c r="G341" s="37" t="s">
        <v>148</v>
      </c>
      <c r="H341" s="94">
        <v>14417265</v>
      </c>
      <c r="I341" s="119">
        <v>0</v>
      </c>
      <c r="J341" s="89">
        <v>0</v>
      </c>
      <c r="K341" s="89">
        <f t="shared" si="5"/>
        <v>-8600654</v>
      </c>
      <c r="L341" t="s">
        <v>15</v>
      </c>
      <c r="M341" s="2" t="s">
        <v>15</v>
      </c>
      <c r="N341" s="45" t="s">
        <v>15</v>
      </c>
      <c r="O341" s="101" t="s">
        <v>15</v>
      </c>
    </row>
    <row r="342" spans="1:15">
      <c r="A342" s="108">
        <v>45992</v>
      </c>
      <c r="B342" s="99" t="s">
        <v>1106</v>
      </c>
      <c r="C342" t="s">
        <v>1034</v>
      </c>
      <c r="D342" t="s">
        <v>440</v>
      </c>
      <c r="E342" s="37" t="s">
        <v>1035</v>
      </c>
      <c r="F342" s="37">
        <v>2025</v>
      </c>
      <c r="G342" s="74" t="s">
        <v>149</v>
      </c>
      <c r="H342" s="74">
        <v>10971817</v>
      </c>
      <c r="I342" s="74">
        <v>10971817</v>
      </c>
      <c r="J342" s="74">
        <v>0</v>
      </c>
      <c r="K342" s="89">
        <f t="shared" si="5"/>
        <v>-19572471</v>
      </c>
      <c r="L342" s="45" t="s">
        <v>1</v>
      </c>
      <c r="M342" s="45" t="s">
        <v>1077</v>
      </c>
      <c r="N342" s="45" t="s">
        <v>1078</v>
      </c>
    </row>
    <row r="343" spans="1:15" s="30" customFormat="1" hidden="1">
      <c r="A343" s="99">
        <v>45992</v>
      </c>
      <c r="B343" s="99" t="s">
        <v>1106</v>
      </c>
      <c r="C343" s="30" t="s">
        <v>1036</v>
      </c>
      <c r="D343" s="30" t="s">
        <v>646</v>
      </c>
      <c r="E343" s="39" t="s">
        <v>1037</v>
      </c>
      <c r="F343" s="39">
        <v>2024</v>
      </c>
      <c r="G343" s="39" t="s">
        <v>148</v>
      </c>
      <c r="H343" s="40">
        <v>11616246</v>
      </c>
      <c r="I343" s="49">
        <v>0</v>
      </c>
      <c r="J343" s="89">
        <v>0</v>
      </c>
      <c r="K343" s="89">
        <f t="shared" si="5"/>
        <v>-19572471</v>
      </c>
      <c r="L343" t="s">
        <v>15</v>
      </c>
      <c r="M343" s="2" t="s">
        <v>15</v>
      </c>
      <c r="N343" s="45" t="s">
        <v>15</v>
      </c>
      <c r="O343" s="101" t="s">
        <v>15</v>
      </c>
    </row>
    <row r="344" spans="1:15">
      <c r="A344" s="108">
        <v>45992</v>
      </c>
      <c r="B344" s="99" t="s">
        <v>1106</v>
      </c>
      <c r="C344" t="s">
        <v>1038</v>
      </c>
      <c r="D344" t="s">
        <v>646</v>
      </c>
      <c r="E344" s="37" t="s">
        <v>1039</v>
      </c>
      <c r="F344" s="37">
        <v>2025</v>
      </c>
      <c r="G344" s="37" t="s">
        <v>148</v>
      </c>
      <c r="H344" s="94">
        <v>8157672</v>
      </c>
      <c r="I344" s="119">
        <v>0</v>
      </c>
      <c r="J344" s="89">
        <v>0</v>
      </c>
      <c r="K344" s="89">
        <f t="shared" si="5"/>
        <v>-19572471</v>
      </c>
      <c r="L344" t="s">
        <v>15</v>
      </c>
      <c r="M344" s="2" t="s">
        <v>15</v>
      </c>
      <c r="N344" s="45" t="s">
        <v>15</v>
      </c>
      <c r="O344" s="101" t="s">
        <v>15</v>
      </c>
    </row>
    <row r="345" spans="1:15">
      <c r="A345" s="108">
        <v>45992</v>
      </c>
      <c r="B345" s="99" t="s">
        <v>1106</v>
      </c>
      <c r="C345" t="s">
        <v>1040</v>
      </c>
      <c r="D345" t="s">
        <v>646</v>
      </c>
      <c r="E345" s="37" t="s">
        <v>1041</v>
      </c>
      <c r="F345" s="37">
        <v>2025</v>
      </c>
      <c r="G345" s="37" t="s">
        <v>148</v>
      </c>
      <c r="H345" s="94">
        <v>4735777</v>
      </c>
      <c r="I345" s="119">
        <v>0</v>
      </c>
      <c r="J345" s="89">
        <v>0</v>
      </c>
      <c r="K345" s="89">
        <f t="shared" si="5"/>
        <v>-19572471</v>
      </c>
      <c r="L345" t="s">
        <v>15</v>
      </c>
      <c r="M345" s="2" t="s">
        <v>15</v>
      </c>
      <c r="N345" s="45" t="s">
        <v>15</v>
      </c>
      <c r="O345" s="101" t="s">
        <v>15</v>
      </c>
    </row>
    <row r="346" spans="1:15">
      <c r="A346" s="108">
        <v>45992</v>
      </c>
      <c r="B346" s="99" t="s">
        <v>1106</v>
      </c>
      <c r="C346" t="s">
        <v>1042</v>
      </c>
      <c r="D346" t="s">
        <v>646</v>
      </c>
      <c r="E346" s="37" t="s">
        <v>1043</v>
      </c>
      <c r="F346" s="37">
        <v>2025</v>
      </c>
      <c r="G346" s="37" t="s">
        <v>148</v>
      </c>
      <c r="H346" s="94">
        <v>6699034</v>
      </c>
      <c r="I346" s="119">
        <v>0</v>
      </c>
      <c r="J346" s="89">
        <v>0</v>
      </c>
      <c r="K346" s="89">
        <f t="shared" si="5"/>
        <v>-19572471</v>
      </c>
      <c r="L346" t="s">
        <v>15</v>
      </c>
      <c r="M346" s="2" t="s">
        <v>15</v>
      </c>
      <c r="N346" s="45" t="s">
        <v>15</v>
      </c>
      <c r="O346" s="101" t="s">
        <v>15</v>
      </c>
    </row>
    <row r="347" spans="1:15">
      <c r="A347" s="108">
        <v>45992</v>
      </c>
      <c r="B347" s="99" t="s">
        <v>1106</v>
      </c>
      <c r="C347" t="s">
        <v>1044</v>
      </c>
      <c r="D347" t="s">
        <v>519</v>
      </c>
      <c r="E347" s="37" t="s">
        <v>1045</v>
      </c>
      <c r="F347" s="37">
        <v>2025</v>
      </c>
      <c r="G347" s="37" t="s">
        <v>148</v>
      </c>
      <c r="H347" s="94">
        <v>34729981</v>
      </c>
      <c r="I347" s="119">
        <v>0</v>
      </c>
      <c r="J347" s="89">
        <v>0</v>
      </c>
      <c r="K347" s="89">
        <f t="shared" si="5"/>
        <v>-19572471</v>
      </c>
      <c r="L347" t="s">
        <v>15</v>
      </c>
      <c r="M347" s="2" t="s">
        <v>15</v>
      </c>
      <c r="N347" s="45" t="s">
        <v>15</v>
      </c>
      <c r="O347" s="101" t="s">
        <v>15</v>
      </c>
    </row>
    <row r="348" spans="1:15" s="2" customFormat="1">
      <c r="A348" s="112">
        <v>45992</v>
      </c>
      <c r="B348" s="112" t="s">
        <v>1106</v>
      </c>
      <c r="C348" s="2" t="s">
        <v>1046</v>
      </c>
      <c r="D348" s="2" t="s">
        <v>440</v>
      </c>
      <c r="E348" s="75" t="s">
        <v>1047</v>
      </c>
      <c r="F348" s="37">
        <v>2025</v>
      </c>
      <c r="G348" s="75" t="s">
        <v>149</v>
      </c>
      <c r="H348" s="121">
        <v>529650</v>
      </c>
      <c r="I348" s="121">
        <v>529650</v>
      </c>
      <c r="J348" s="58">
        <v>0</v>
      </c>
      <c r="K348" s="123">
        <f t="shared" si="5"/>
        <v>-20102121</v>
      </c>
      <c r="L348" s="2" t="s">
        <v>1</v>
      </c>
      <c r="M348" s="2" t="s">
        <v>1077</v>
      </c>
      <c r="N348" s="2" t="s">
        <v>1078</v>
      </c>
      <c r="O348" s="2" t="s">
        <v>15</v>
      </c>
    </row>
    <row r="349" spans="1:15">
      <c r="A349" s="108">
        <v>45992</v>
      </c>
      <c r="B349" s="99" t="s">
        <v>1106</v>
      </c>
      <c r="C349" t="s">
        <v>1048</v>
      </c>
      <c r="D349" t="s">
        <v>558</v>
      </c>
      <c r="E349" s="37" t="s">
        <v>1049</v>
      </c>
      <c r="F349" s="37">
        <v>2025</v>
      </c>
      <c r="G349" s="37" t="s">
        <v>148</v>
      </c>
      <c r="H349" s="94">
        <v>64414415</v>
      </c>
      <c r="I349" s="119">
        <v>0</v>
      </c>
      <c r="J349" s="89">
        <v>0</v>
      </c>
      <c r="K349" s="89">
        <f t="shared" si="5"/>
        <v>-20102121</v>
      </c>
      <c r="L349" t="s">
        <v>15</v>
      </c>
      <c r="M349" s="2" t="s">
        <v>15</v>
      </c>
      <c r="N349" s="45" t="s">
        <v>15</v>
      </c>
      <c r="O349" s="101" t="s">
        <v>15</v>
      </c>
    </row>
    <row r="350" spans="1:15">
      <c r="A350" s="108">
        <v>45992</v>
      </c>
      <c r="B350" s="99" t="s">
        <v>1106</v>
      </c>
      <c r="C350" t="s">
        <v>1050</v>
      </c>
      <c r="D350" t="s">
        <v>558</v>
      </c>
      <c r="E350" s="37" t="s">
        <v>1051</v>
      </c>
      <c r="F350" s="37">
        <v>2025</v>
      </c>
      <c r="G350" s="37" t="s">
        <v>148</v>
      </c>
      <c r="H350" s="94">
        <v>79279279</v>
      </c>
      <c r="I350" s="119">
        <v>0</v>
      </c>
      <c r="J350" s="89">
        <v>0</v>
      </c>
      <c r="K350" s="89">
        <f t="shared" si="5"/>
        <v>-20102121</v>
      </c>
      <c r="L350" t="s">
        <v>15</v>
      </c>
      <c r="M350" s="2" t="s">
        <v>15</v>
      </c>
      <c r="N350" s="45" t="s">
        <v>15</v>
      </c>
      <c r="O350" s="101" t="s">
        <v>15</v>
      </c>
    </row>
    <row r="351" spans="1:15">
      <c r="A351" s="108">
        <v>45992</v>
      </c>
      <c r="B351" s="99" t="s">
        <v>1106</v>
      </c>
      <c r="C351" t="s">
        <v>1052</v>
      </c>
      <c r="D351" t="s">
        <v>558</v>
      </c>
      <c r="E351" s="37" t="s">
        <v>1053</v>
      </c>
      <c r="F351" s="37">
        <v>2025</v>
      </c>
      <c r="G351" s="37" t="s">
        <v>148</v>
      </c>
      <c r="H351" s="94">
        <v>49549550</v>
      </c>
      <c r="I351" s="119">
        <v>0</v>
      </c>
      <c r="J351" s="89">
        <v>0</v>
      </c>
      <c r="K351" s="89">
        <f t="shared" si="5"/>
        <v>-20102121</v>
      </c>
      <c r="L351" t="s">
        <v>15</v>
      </c>
      <c r="M351" s="2" t="s">
        <v>15</v>
      </c>
      <c r="N351" s="45" t="s">
        <v>15</v>
      </c>
      <c r="O351" s="101" t="s">
        <v>15</v>
      </c>
    </row>
    <row r="352" spans="1:15">
      <c r="A352" s="108">
        <v>45992</v>
      </c>
      <c r="B352" s="99" t="s">
        <v>1106</v>
      </c>
      <c r="C352" t="s">
        <v>1054</v>
      </c>
      <c r="D352" t="s">
        <v>1055</v>
      </c>
      <c r="E352" s="37" t="s">
        <v>1056</v>
      </c>
      <c r="F352" s="37">
        <v>2025</v>
      </c>
      <c r="G352" s="37" t="s">
        <v>149</v>
      </c>
      <c r="H352" s="74">
        <v>4929375</v>
      </c>
      <c r="I352" s="74">
        <v>4929375</v>
      </c>
      <c r="J352" s="74">
        <v>0</v>
      </c>
      <c r="K352" s="89">
        <f t="shared" si="5"/>
        <v>-25031496</v>
      </c>
      <c r="L352" s="45" t="s">
        <v>1</v>
      </c>
      <c r="M352" s="45" t="s">
        <v>1077</v>
      </c>
      <c r="N352" s="45" t="s">
        <v>1078</v>
      </c>
    </row>
    <row r="353" spans="1:15">
      <c r="A353" s="108">
        <v>45992</v>
      </c>
      <c r="B353" s="99" t="s">
        <v>1106</v>
      </c>
      <c r="C353" t="s">
        <v>1057</v>
      </c>
      <c r="D353" t="s">
        <v>317</v>
      </c>
      <c r="E353" s="37" t="s">
        <v>1058</v>
      </c>
      <c r="F353" s="37">
        <v>2025</v>
      </c>
      <c r="G353" s="37" t="s">
        <v>149</v>
      </c>
      <c r="H353" s="74">
        <v>3949954</v>
      </c>
      <c r="I353" s="74">
        <v>3949954</v>
      </c>
      <c r="J353" s="74">
        <v>0</v>
      </c>
      <c r="K353" s="89">
        <f t="shared" si="5"/>
        <v>-28981450</v>
      </c>
      <c r="L353" s="45" t="s">
        <v>1</v>
      </c>
      <c r="M353" s="45" t="s">
        <v>1077</v>
      </c>
      <c r="N353" s="45" t="s">
        <v>1078</v>
      </c>
    </row>
    <row r="354" spans="1:15">
      <c r="A354" s="108">
        <v>45992</v>
      </c>
      <c r="B354" s="99" t="s">
        <v>1106</v>
      </c>
      <c r="C354" t="s">
        <v>1059</v>
      </c>
      <c r="D354" t="s">
        <v>558</v>
      </c>
      <c r="E354" s="37" t="s">
        <v>1060</v>
      </c>
      <c r="F354" s="37">
        <v>2025</v>
      </c>
      <c r="G354" s="37" t="s">
        <v>148</v>
      </c>
      <c r="H354" s="94">
        <v>17024700</v>
      </c>
      <c r="I354" s="119">
        <v>0</v>
      </c>
      <c r="J354" s="89">
        <v>0</v>
      </c>
      <c r="K354" s="89">
        <f t="shared" si="5"/>
        <v>-28981450</v>
      </c>
      <c r="L354" t="s">
        <v>15</v>
      </c>
      <c r="M354" s="2" t="s">
        <v>15</v>
      </c>
      <c r="N354" s="45" t="s">
        <v>15</v>
      </c>
      <c r="O354" s="101" t="s">
        <v>15</v>
      </c>
    </row>
    <row r="355" spans="1:15">
      <c r="A355" s="108">
        <v>45992</v>
      </c>
      <c r="B355" s="99" t="s">
        <v>1106</v>
      </c>
      <c r="C355" t="s">
        <v>1061</v>
      </c>
      <c r="D355" t="s">
        <v>646</v>
      </c>
      <c r="E355" s="37" t="s">
        <v>1062</v>
      </c>
      <c r="F355" s="37">
        <v>2025</v>
      </c>
      <c r="G355" s="37" t="s">
        <v>148</v>
      </c>
      <c r="H355" s="94">
        <v>3085500</v>
      </c>
      <c r="I355" s="119">
        <v>0</v>
      </c>
      <c r="J355" s="89">
        <v>0</v>
      </c>
      <c r="K355" s="89">
        <f t="shared" si="5"/>
        <v>-28981450</v>
      </c>
      <c r="L355" t="s">
        <v>15</v>
      </c>
      <c r="M355" s="2" t="s">
        <v>15</v>
      </c>
      <c r="N355" s="45" t="s">
        <v>15</v>
      </c>
      <c r="O355" s="101" t="s">
        <v>15</v>
      </c>
    </row>
    <row r="356" spans="1:15" s="30" customFormat="1" hidden="1">
      <c r="A356" s="99">
        <v>45992</v>
      </c>
      <c r="B356" s="99" t="s">
        <v>1106</v>
      </c>
      <c r="C356" s="30" t="s">
        <v>1063</v>
      </c>
      <c r="D356" s="30" t="s">
        <v>519</v>
      </c>
      <c r="E356" s="39" t="s">
        <v>1064</v>
      </c>
      <c r="F356" s="39">
        <v>2024</v>
      </c>
      <c r="G356" s="39" t="s">
        <v>148</v>
      </c>
      <c r="H356" s="40">
        <v>9603770</v>
      </c>
      <c r="I356" s="49">
        <v>0</v>
      </c>
      <c r="J356" s="89">
        <v>0</v>
      </c>
      <c r="K356" s="89">
        <f t="shared" si="5"/>
        <v>-28981450</v>
      </c>
      <c r="L356" t="s">
        <v>15</v>
      </c>
      <c r="M356" s="2" t="s">
        <v>15</v>
      </c>
      <c r="N356" s="45" t="s">
        <v>15</v>
      </c>
      <c r="O356" s="101" t="s">
        <v>15</v>
      </c>
    </row>
    <row r="357" spans="1:15" s="30" customFormat="1" hidden="1">
      <c r="A357" s="99">
        <v>45992</v>
      </c>
      <c r="B357" s="99" t="s">
        <v>1106</v>
      </c>
      <c r="C357" s="30" t="s">
        <v>1065</v>
      </c>
      <c r="D357" s="30" t="s">
        <v>519</v>
      </c>
      <c r="E357" s="39" t="s">
        <v>1066</v>
      </c>
      <c r="F357" s="39">
        <v>2024</v>
      </c>
      <c r="G357" s="39" t="s">
        <v>148</v>
      </c>
      <c r="H357" s="40">
        <v>9849400</v>
      </c>
      <c r="I357" s="49">
        <v>0</v>
      </c>
      <c r="J357" s="89">
        <v>0</v>
      </c>
      <c r="K357" s="89">
        <f t="shared" si="5"/>
        <v>-28981450</v>
      </c>
      <c r="L357" t="s">
        <v>15</v>
      </c>
      <c r="M357" s="2" t="s">
        <v>15</v>
      </c>
      <c r="N357" s="45" t="s">
        <v>15</v>
      </c>
      <c r="O357" s="101" t="s">
        <v>15</v>
      </c>
    </row>
    <row r="358" spans="1:15">
      <c r="B358" s="97" t="s">
        <v>529</v>
      </c>
      <c r="C358" s="79" t="s">
        <v>1068</v>
      </c>
      <c r="G358" s="37" t="s">
        <v>1120</v>
      </c>
      <c r="H358" s="63">
        <v>14427195</v>
      </c>
      <c r="I358" s="119">
        <v>0</v>
      </c>
      <c r="J358" s="63">
        <v>0</v>
      </c>
      <c r="K358" s="89">
        <f t="shared" si="5"/>
        <v>-28981450</v>
      </c>
      <c r="L358" t="s">
        <v>1</v>
      </c>
      <c r="M358" s="2" t="s">
        <v>40</v>
      </c>
      <c r="N358" s="45" t="s">
        <v>1074</v>
      </c>
      <c r="O358" s="101" t="s">
        <v>521</v>
      </c>
    </row>
    <row r="360" spans="1:15" ht="15">
      <c r="H360" s="57">
        <f>SUBTOTAL(9,H5:H359)</f>
        <v>3888416655</v>
      </c>
      <c r="I360" s="36">
        <f>SUBTOTAL(9,I5:I359)</f>
        <v>615087378</v>
      </c>
      <c r="J360" s="57">
        <f>SUBTOTAL(9,J5:J359)</f>
        <v>154793466</v>
      </c>
      <c r="K360" s="36" t="s">
        <v>15</v>
      </c>
    </row>
    <row r="361" spans="1:15">
      <c r="J361" s="49">
        <f>I360-J360</f>
        <v>460293912</v>
      </c>
    </row>
  </sheetData>
  <autoFilter ref="A4:O358" xr:uid="{96423B74-1212-BA49-BA9D-7E4C5FB84250}">
    <filterColumn colId="5">
      <filters blank="1">
        <filter val="2025"/>
      </filters>
    </filterColumn>
    <filterColumn colId="11">
      <filters blank="1">
        <filter val="Account Payable"/>
        <filter val="Account Receivable"/>
        <filter val="Ayat Silang"/>
        <filter val="Other Income (Expense)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AP</vt:lpstr>
      <vt:lpstr>AP PPN WAPU</vt:lpstr>
      <vt:lpstr>AP PPN Non WAPU</vt:lpstr>
      <vt:lpstr>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IT Operations</cp:lastModifiedBy>
  <cp:lastPrinted>2026-02-11T07:29:25Z</cp:lastPrinted>
  <dcterms:created xsi:type="dcterms:W3CDTF">2022-01-08T11:05:28Z</dcterms:created>
  <dcterms:modified xsi:type="dcterms:W3CDTF">2026-04-26T13:35:56Z</dcterms:modified>
</cp:coreProperties>
</file>