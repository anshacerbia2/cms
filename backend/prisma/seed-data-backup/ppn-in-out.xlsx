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folder (2)\new-cms\backend\prisma\seed-data\"/>
    </mc:Choice>
  </mc:AlternateContent>
  <bookViews>
    <workbookView xWindow="0" yWindow="0" windowWidth="38400" windowHeight="24000"/>
  </bookViews>
  <sheets>
    <sheet name="PPN In and Out" sheetId="51" r:id="rId1"/>
  </sheets>
  <definedNames>
    <definedName name="_xlnm._FilterDatabase" localSheetId="0" hidden="1">'PPN In and Out'!$A$4:$S$360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7" i="51" l="1"/>
  <c r="K357" i="51" s="1"/>
  <c r="I356" i="51"/>
  <c r="K356" i="51" s="1"/>
  <c r="I353" i="51"/>
  <c r="J353" i="51" s="1"/>
  <c r="K353" i="51" s="1"/>
  <c r="I352" i="51"/>
  <c r="J352" i="51" s="1"/>
  <c r="K352" i="51" s="1"/>
  <c r="I351" i="51"/>
  <c r="J351" i="51" s="1"/>
  <c r="K351" i="51" s="1"/>
  <c r="I349" i="51"/>
  <c r="K349" i="51" s="1"/>
  <c r="I348" i="51"/>
  <c r="K348" i="51" s="1"/>
  <c r="I347" i="51"/>
  <c r="K347" i="51" s="1"/>
  <c r="I346" i="51"/>
  <c r="K346" i="51" s="1"/>
  <c r="I343" i="51"/>
  <c r="K343" i="51" s="1"/>
  <c r="I342" i="51"/>
  <c r="K342" i="51" s="1"/>
  <c r="I341" i="51"/>
  <c r="K341" i="51" s="1"/>
  <c r="I334" i="51"/>
  <c r="J334" i="51" s="1"/>
  <c r="K334" i="51" s="1"/>
  <c r="I333" i="51"/>
  <c r="J333" i="51" s="1"/>
  <c r="K333" i="51" s="1"/>
  <c r="I331" i="51"/>
  <c r="K331" i="51" s="1"/>
  <c r="I330" i="51"/>
  <c r="J330" i="51" s="1"/>
  <c r="K330" i="51" s="1"/>
  <c r="I329" i="51"/>
  <c r="J329" i="51" s="1"/>
  <c r="K329" i="51" s="1"/>
  <c r="I328" i="51"/>
  <c r="J328" i="51" s="1"/>
  <c r="K328" i="51" s="1"/>
  <c r="I322" i="51"/>
  <c r="J322" i="51" s="1"/>
  <c r="K322" i="51" s="1"/>
  <c r="I321" i="51"/>
  <c r="J321" i="51" s="1"/>
  <c r="K321" i="51" s="1"/>
  <c r="I320" i="51"/>
  <c r="J320" i="51" s="1"/>
  <c r="K320" i="51" s="1"/>
  <c r="I318" i="51"/>
  <c r="J318" i="51" s="1"/>
  <c r="K318" i="51" s="1"/>
  <c r="I317" i="51"/>
  <c r="J317" i="51" s="1"/>
  <c r="K317" i="51" s="1"/>
  <c r="I306" i="51"/>
  <c r="J306" i="51" s="1"/>
  <c r="K306" i="51" s="1"/>
  <c r="I303" i="51"/>
  <c r="J303" i="51" s="1"/>
  <c r="K303" i="51" s="1"/>
  <c r="I281" i="51"/>
  <c r="J281" i="51" s="1"/>
  <c r="K281" i="51" s="1"/>
  <c r="I280" i="51"/>
  <c r="J280" i="51" s="1"/>
  <c r="K280" i="51" s="1"/>
  <c r="I279" i="51"/>
  <c r="J279" i="51" s="1"/>
  <c r="I277" i="51"/>
  <c r="J277" i="51" s="1"/>
  <c r="K277" i="51" s="1"/>
  <c r="I273" i="51"/>
  <c r="J273" i="51" s="1"/>
  <c r="K273" i="51" s="1"/>
  <c r="I272" i="51"/>
  <c r="J272" i="51" s="1"/>
  <c r="K272" i="51" s="1"/>
  <c r="I271" i="51"/>
  <c r="J271" i="51" s="1"/>
  <c r="K271" i="51" s="1"/>
  <c r="I261" i="51"/>
  <c r="J261" i="51" s="1"/>
  <c r="K261" i="51" s="1"/>
  <c r="I259" i="51"/>
  <c r="J259" i="51" s="1"/>
  <c r="K259" i="51" s="1"/>
  <c r="I245" i="51"/>
  <c r="J245" i="51" s="1"/>
  <c r="K245" i="51" s="1"/>
  <c r="I242" i="51"/>
  <c r="J242" i="51" s="1"/>
  <c r="K242" i="51" s="1"/>
  <c r="I234" i="51"/>
  <c r="J234" i="51" s="1"/>
  <c r="K234" i="51" s="1"/>
  <c r="I193" i="51"/>
  <c r="J193" i="51" s="1"/>
  <c r="K193" i="51" s="1"/>
  <c r="I192" i="51"/>
  <c r="J192" i="51" s="1"/>
  <c r="K192" i="51" s="1"/>
  <c r="I183" i="51"/>
  <c r="J183" i="51" s="1"/>
  <c r="K183" i="51" s="1"/>
  <c r="I182" i="51"/>
  <c r="J182" i="51" s="1"/>
  <c r="K182" i="51" s="1"/>
  <c r="I166" i="51"/>
  <c r="J166" i="51" s="1"/>
  <c r="K166" i="51" s="1"/>
  <c r="I164" i="51"/>
  <c r="J164" i="51" s="1"/>
  <c r="K164" i="51" s="1"/>
  <c r="I162" i="51"/>
  <c r="J162" i="51" s="1"/>
  <c r="K162" i="51" s="1"/>
  <c r="I159" i="51"/>
  <c r="J159" i="51" s="1"/>
  <c r="K159" i="51" s="1"/>
  <c r="I154" i="51"/>
  <c r="J154" i="51" s="1"/>
  <c r="K154" i="51" s="1"/>
  <c r="I153" i="51"/>
  <c r="J153" i="51" s="1"/>
  <c r="K153" i="51" s="1"/>
  <c r="I152" i="51"/>
  <c r="J152" i="51" s="1"/>
  <c r="K152" i="51" s="1"/>
  <c r="I151" i="51"/>
  <c r="J151" i="51" s="1"/>
  <c r="K151" i="51" s="1"/>
  <c r="I122" i="51"/>
  <c r="J122" i="51" s="1"/>
  <c r="K122" i="51" s="1"/>
  <c r="I121" i="51"/>
  <c r="J121" i="51" s="1"/>
  <c r="K121" i="51" s="1"/>
  <c r="I108" i="51"/>
  <c r="J108" i="51" s="1"/>
  <c r="K108" i="51" s="1"/>
  <c r="I105" i="51"/>
  <c r="J105" i="51" s="1"/>
  <c r="K105" i="51" s="1"/>
  <c r="I104" i="51"/>
  <c r="J104" i="51" s="1"/>
  <c r="K104" i="51" s="1"/>
  <c r="I100" i="51"/>
  <c r="J100" i="51" s="1"/>
  <c r="K100" i="51" s="1"/>
  <c r="I99" i="51"/>
  <c r="J99" i="51" s="1"/>
  <c r="K99" i="51" s="1"/>
  <c r="I98" i="51"/>
  <c r="J98" i="51" s="1"/>
  <c r="K98" i="51" s="1"/>
  <c r="I95" i="51"/>
  <c r="J95" i="51" s="1"/>
  <c r="K95" i="51" s="1"/>
  <c r="I94" i="51"/>
  <c r="J94" i="51" s="1"/>
  <c r="K94" i="51" s="1"/>
  <c r="I93" i="51"/>
  <c r="J93" i="51" s="1"/>
  <c r="K93" i="51" s="1"/>
  <c r="I76" i="51"/>
  <c r="J76" i="51" s="1"/>
  <c r="K76" i="51" s="1"/>
  <c r="I74" i="51"/>
  <c r="J74" i="51" s="1"/>
  <c r="K74" i="51" s="1"/>
  <c r="I73" i="51"/>
  <c r="J73" i="51" s="1"/>
  <c r="K73" i="51" s="1"/>
  <c r="I72" i="51"/>
  <c r="J72" i="51" s="1"/>
  <c r="K72" i="51" s="1"/>
  <c r="I71" i="51"/>
  <c r="J71" i="51" s="1"/>
  <c r="K71" i="51" s="1"/>
  <c r="I70" i="51"/>
  <c r="J70" i="51" s="1"/>
  <c r="K70" i="51" s="1"/>
  <c r="I69" i="51"/>
  <c r="J69" i="51" s="1"/>
  <c r="K69" i="51" s="1"/>
  <c r="I68" i="51"/>
  <c r="J68" i="51" s="1"/>
  <c r="K68" i="51" s="1"/>
  <c r="I67" i="51"/>
  <c r="K67" i="51" s="1"/>
  <c r="I66" i="51"/>
  <c r="J66" i="51" s="1"/>
  <c r="K66" i="51" s="1"/>
  <c r="I65" i="51"/>
  <c r="J65" i="51" s="1"/>
  <c r="K65" i="51" s="1"/>
  <c r="I64" i="51"/>
  <c r="J64" i="51" s="1"/>
  <c r="K64" i="51" s="1"/>
  <c r="I63" i="51"/>
  <c r="J63" i="51" s="1"/>
  <c r="K63" i="51" s="1"/>
  <c r="I62" i="51"/>
  <c r="J62" i="51" s="1"/>
  <c r="K62" i="51" s="1"/>
  <c r="I61" i="51"/>
  <c r="J61" i="51" s="1"/>
  <c r="K61" i="51" s="1"/>
  <c r="I60" i="51"/>
  <c r="J60" i="51" s="1"/>
  <c r="K60" i="51" s="1"/>
  <c r="I59" i="51"/>
  <c r="J59" i="51" s="1"/>
  <c r="K59" i="51" s="1"/>
  <c r="I58" i="51"/>
  <c r="J58" i="51" s="1"/>
  <c r="K58" i="51" s="1"/>
  <c r="I57" i="51"/>
  <c r="J57" i="51" s="1"/>
  <c r="K57" i="51" s="1"/>
  <c r="I56" i="51"/>
  <c r="J56" i="51" s="1"/>
  <c r="K56" i="51" s="1"/>
  <c r="I55" i="51"/>
  <c r="J55" i="51" s="1"/>
  <c r="K55" i="51" s="1"/>
  <c r="I54" i="51"/>
  <c r="J54" i="51" s="1"/>
  <c r="K54" i="51" s="1"/>
  <c r="I53" i="51"/>
  <c r="J53" i="51" s="1"/>
  <c r="K53" i="51" s="1"/>
  <c r="I52" i="51"/>
  <c r="J52" i="51" s="1"/>
  <c r="K52" i="51" s="1"/>
  <c r="I51" i="51"/>
  <c r="J51" i="51" s="1"/>
  <c r="K51" i="51" s="1"/>
  <c r="I50" i="51"/>
  <c r="J50" i="51" s="1"/>
  <c r="K50" i="51" s="1"/>
  <c r="I49" i="51"/>
  <c r="J49" i="51" s="1"/>
  <c r="K49" i="51" s="1"/>
  <c r="I48" i="51"/>
  <c r="J48" i="51" s="1"/>
  <c r="K48" i="51" s="1"/>
  <c r="I47" i="51"/>
  <c r="K47" i="51" s="1"/>
  <c r="I46" i="51"/>
  <c r="J46" i="51" s="1"/>
  <c r="K46" i="51" s="1"/>
  <c r="I45" i="51"/>
  <c r="J45" i="51" s="1"/>
  <c r="K45" i="51" s="1"/>
  <c r="I44" i="51"/>
  <c r="J44" i="51" s="1"/>
  <c r="K44" i="51" s="1"/>
  <c r="I31" i="51"/>
  <c r="J31" i="51" s="1"/>
  <c r="K31" i="51" s="1"/>
  <c r="K279" i="51" l="1"/>
  <c r="O5" i="51"/>
  <c r="O6" i="51" s="1"/>
  <c r="O7" i="51" s="1"/>
  <c r="O8" i="51" s="1"/>
  <c r="O9" i="51" s="1"/>
  <c r="O10" i="51" s="1"/>
  <c r="O11" i="51" s="1"/>
  <c r="O12" i="51" s="1"/>
  <c r="O13" i="51" s="1"/>
  <c r="O14" i="51" s="1"/>
  <c r="O15" i="51" s="1"/>
  <c r="O16" i="51" s="1"/>
  <c r="O17" i="51" s="1"/>
  <c r="O18" i="51" s="1"/>
  <c r="O19" i="51" s="1"/>
  <c r="O20" i="51" s="1"/>
  <c r="N360" i="51"/>
  <c r="K360" i="51"/>
  <c r="I359" i="51"/>
  <c r="K359" i="51" s="1"/>
  <c r="I358" i="51"/>
  <c r="K358" i="51" s="1"/>
  <c r="M355" i="51"/>
  <c r="K355" i="51"/>
  <c r="M354" i="51"/>
  <c r="K354" i="51"/>
  <c r="M350" i="51"/>
  <c r="K350" i="51"/>
  <c r="I345" i="51"/>
  <c r="K345" i="51" s="1"/>
  <c r="M344" i="51"/>
  <c r="K344" i="51"/>
  <c r="N340" i="51"/>
  <c r="K340" i="51"/>
  <c r="N339" i="51"/>
  <c r="K339" i="51"/>
  <c r="N338" i="51"/>
  <c r="K338" i="51"/>
  <c r="N337" i="51"/>
  <c r="K337" i="51"/>
  <c r="N336" i="51"/>
  <c r="K336" i="51"/>
  <c r="K335" i="51"/>
  <c r="M332" i="51"/>
  <c r="K332" i="51"/>
  <c r="I327" i="51"/>
  <c r="I326" i="51"/>
  <c r="I325" i="51"/>
  <c r="I324" i="51"/>
  <c r="I323" i="51"/>
  <c r="I319" i="51"/>
  <c r="N316" i="51"/>
  <c r="K316" i="51"/>
  <c r="N315" i="51"/>
  <c r="K315" i="51"/>
  <c r="N314" i="51"/>
  <c r="K314" i="51"/>
  <c r="N313" i="51"/>
  <c r="K313" i="51"/>
  <c r="N312" i="51"/>
  <c r="K312" i="51"/>
  <c r="N311" i="51"/>
  <c r="K311" i="51"/>
  <c r="N310" i="51"/>
  <c r="K310" i="51"/>
  <c r="K309" i="51"/>
  <c r="M307" i="51"/>
  <c r="K307" i="51"/>
  <c r="I305" i="51"/>
  <c r="I304" i="51"/>
  <c r="M302" i="51"/>
  <c r="K302" i="51"/>
  <c r="N301" i="51"/>
  <c r="K301" i="51"/>
  <c r="N300" i="51"/>
  <c r="K300" i="51"/>
  <c r="N299" i="51"/>
  <c r="K299" i="51"/>
  <c r="N298" i="51"/>
  <c r="K298" i="51"/>
  <c r="N297" i="51"/>
  <c r="K297" i="51"/>
  <c r="N296" i="51"/>
  <c r="K296" i="51"/>
  <c r="N295" i="51"/>
  <c r="K295" i="51"/>
  <c r="N294" i="51"/>
  <c r="K294" i="51"/>
  <c r="N293" i="51"/>
  <c r="K293" i="51"/>
  <c r="N292" i="51"/>
  <c r="K292" i="51"/>
  <c r="K291" i="51"/>
  <c r="M290" i="51"/>
  <c r="K290" i="51"/>
  <c r="M289" i="51"/>
  <c r="K289" i="51"/>
  <c r="M288" i="51"/>
  <c r="K288" i="51"/>
  <c r="M287" i="51"/>
  <c r="K287" i="51"/>
  <c r="M286" i="51"/>
  <c r="K286" i="51"/>
  <c r="M285" i="51"/>
  <c r="K285" i="51"/>
  <c r="M284" i="51"/>
  <c r="K284" i="51"/>
  <c r="M283" i="51"/>
  <c r="K283" i="51"/>
  <c r="M282" i="51"/>
  <c r="K282" i="51"/>
  <c r="I278" i="51"/>
  <c r="I276" i="51"/>
  <c r="H275" i="51"/>
  <c r="M275" i="51" s="1"/>
  <c r="M274" i="51"/>
  <c r="K274" i="51"/>
  <c r="M270" i="51"/>
  <c r="K270" i="51"/>
  <c r="N269" i="51"/>
  <c r="K269" i="51"/>
  <c r="N268" i="51"/>
  <c r="K268" i="51"/>
  <c r="N267" i="51"/>
  <c r="K267" i="51"/>
  <c r="N266" i="51"/>
  <c r="K266" i="51"/>
  <c r="N265" i="51"/>
  <c r="K265" i="51"/>
  <c r="M264" i="51"/>
  <c r="K264" i="51"/>
  <c r="M263" i="51"/>
  <c r="K263" i="51"/>
  <c r="M262" i="51"/>
  <c r="K262" i="51"/>
  <c r="I260" i="51"/>
  <c r="M258" i="51"/>
  <c r="K258" i="51"/>
  <c r="M257" i="51"/>
  <c r="K257" i="51"/>
  <c r="M256" i="51"/>
  <c r="K256" i="51"/>
  <c r="M255" i="51"/>
  <c r="K255" i="51"/>
  <c r="M254" i="51"/>
  <c r="K254" i="51"/>
  <c r="M253" i="51"/>
  <c r="K253" i="51"/>
  <c r="M252" i="51"/>
  <c r="K252" i="51"/>
  <c r="M251" i="51"/>
  <c r="K251" i="51"/>
  <c r="M250" i="51"/>
  <c r="K250" i="51"/>
  <c r="M249" i="51"/>
  <c r="K249" i="51"/>
  <c r="M248" i="51"/>
  <c r="K248" i="51"/>
  <c r="M247" i="51"/>
  <c r="K247" i="51"/>
  <c r="M246" i="51"/>
  <c r="K246" i="51"/>
  <c r="M244" i="51"/>
  <c r="K244" i="51"/>
  <c r="M243" i="51"/>
  <c r="K243" i="51"/>
  <c r="N241" i="51"/>
  <c r="K241" i="51"/>
  <c r="N240" i="51"/>
  <c r="K240" i="51"/>
  <c r="N239" i="51"/>
  <c r="K239" i="51"/>
  <c r="N238" i="51"/>
  <c r="K238" i="51"/>
  <c r="N237" i="51"/>
  <c r="K237" i="51"/>
  <c r="N236" i="51"/>
  <c r="K236" i="51"/>
  <c r="I235" i="51"/>
  <c r="M233" i="51"/>
  <c r="K233" i="51"/>
  <c r="M232" i="51"/>
  <c r="K232" i="51"/>
  <c r="M231" i="51"/>
  <c r="K231" i="51"/>
  <c r="M230" i="51"/>
  <c r="K230" i="51"/>
  <c r="M229" i="51"/>
  <c r="K229" i="51"/>
  <c r="M228" i="51"/>
  <c r="K228" i="51"/>
  <c r="M227" i="51"/>
  <c r="K227" i="51"/>
  <c r="M226" i="51"/>
  <c r="K226" i="51"/>
  <c r="M225" i="51"/>
  <c r="K225" i="51"/>
  <c r="M224" i="51"/>
  <c r="K224" i="51"/>
  <c r="M223" i="51"/>
  <c r="K223" i="51"/>
  <c r="M222" i="51"/>
  <c r="K222" i="51"/>
  <c r="M221" i="51"/>
  <c r="K221" i="51"/>
  <c r="M220" i="51"/>
  <c r="K220" i="51"/>
  <c r="M219" i="51"/>
  <c r="K219" i="51"/>
  <c r="M218" i="51"/>
  <c r="K218" i="51"/>
  <c r="M217" i="51"/>
  <c r="K217" i="51"/>
  <c r="M216" i="51"/>
  <c r="K216" i="51"/>
  <c r="M215" i="51"/>
  <c r="K215" i="51"/>
  <c r="M214" i="51"/>
  <c r="K214" i="51"/>
  <c r="M213" i="51"/>
  <c r="K213" i="51"/>
  <c r="M212" i="51"/>
  <c r="K212" i="51"/>
  <c r="M211" i="51"/>
  <c r="K211" i="51"/>
  <c r="M210" i="51"/>
  <c r="K210" i="51"/>
  <c r="M209" i="51"/>
  <c r="K209" i="51"/>
  <c r="M208" i="51"/>
  <c r="K208" i="51"/>
  <c r="M207" i="51"/>
  <c r="K207" i="51"/>
  <c r="M206" i="51"/>
  <c r="K206" i="51"/>
  <c r="M205" i="51"/>
  <c r="K205" i="51"/>
  <c r="M204" i="51"/>
  <c r="K204" i="51"/>
  <c r="M203" i="51"/>
  <c r="K203" i="51"/>
  <c r="M202" i="51"/>
  <c r="K202" i="51"/>
  <c r="N201" i="51"/>
  <c r="K201" i="51"/>
  <c r="N200" i="51"/>
  <c r="K200" i="51"/>
  <c r="N199" i="51"/>
  <c r="K199" i="51"/>
  <c r="N198" i="51"/>
  <c r="K198" i="51"/>
  <c r="N197" i="51"/>
  <c r="K197" i="51"/>
  <c r="N196" i="51"/>
  <c r="K196" i="51"/>
  <c r="N195" i="51"/>
  <c r="K195" i="51"/>
  <c r="I194" i="51"/>
  <c r="M191" i="51"/>
  <c r="K191" i="51"/>
  <c r="M190" i="51"/>
  <c r="K190" i="51"/>
  <c r="M189" i="51"/>
  <c r="K189" i="51"/>
  <c r="M188" i="51"/>
  <c r="K188" i="51"/>
  <c r="M187" i="51"/>
  <c r="K187" i="51"/>
  <c r="M186" i="51"/>
  <c r="K186" i="51"/>
  <c r="M185" i="51"/>
  <c r="K185" i="51"/>
  <c r="K184" i="51"/>
  <c r="N181" i="51"/>
  <c r="K181" i="51"/>
  <c r="N180" i="51"/>
  <c r="K180" i="51"/>
  <c r="N179" i="51"/>
  <c r="K179" i="51"/>
  <c r="N178" i="51"/>
  <c r="K178" i="51"/>
  <c r="N177" i="51"/>
  <c r="K177" i="51"/>
  <c r="N176" i="51"/>
  <c r="K176" i="51"/>
  <c r="N175" i="51"/>
  <c r="K175" i="51"/>
  <c r="N174" i="51"/>
  <c r="K174" i="51"/>
  <c r="N173" i="51"/>
  <c r="K173" i="51"/>
  <c r="M172" i="51"/>
  <c r="K172" i="51"/>
  <c r="I171" i="51"/>
  <c r="I170" i="51"/>
  <c r="M169" i="51"/>
  <c r="K169" i="51"/>
  <c r="M168" i="51"/>
  <c r="K168" i="51"/>
  <c r="M167" i="51"/>
  <c r="K167" i="51"/>
  <c r="I165" i="51"/>
  <c r="M163" i="51"/>
  <c r="K163" i="51"/>
  <c r="M161" i="51"/>
  <c r="K161" i="51"/>
  <c r="I160" i="51"/>
  <c r="M158" i="51"/>
  <c r="K158" i="51"/>
  <c r="I157" i="51"/>
  <c r="M156" i="51"/>
  <c r="K156" i="51"/>
  <c r="M155" i="51"/>
  <c r="K155" i="51"/>
  <c r="N150" i="51"/>
  <c r="K150" i="51"/>
  <c r="N149" i="51"/>
  <c r="K149" i="51"/>
  <c r="N148" i="51"/>
  <c r="K148" i="51"/>
  <c r="N147" i="51"/>
  <c r="K147" i="51"/>
  <c r="N146" i="51"/>
  <c r="K146" i="51"/>
  <c r="N145" i="51"/>
  <c r="K145" i="51"/>
  <c r="N144" i="51"/>
  <c r="K144" i="51"/>
  <c r="N143" i="51"/>
  <c r="K143" i="51"/>
  <c r="N142" i="51"/>
  <c r="K142" i="51"/>
  <c r="N141" i="51"/>
  <c r="K141" i="51"/>
  <c r="N140" i="51"/>
  <c r="K140" i="51"/>
  <c r="N139" i="51"/>
  <c r="K139" i="51"/>
  <c r="N138" i="51"/>
  <c r="K138" i="51"/>
  <c r="N137" i="51"/>
  <c r="K137" i="51"/>
  <c r="N136" i="51"/>
  <c r="K136" i="51"/>
  <c r="N135" i="51"/>
  <c r="K135" i="51"/>
  <c r="N134" i="51"/>
  <c r="K134" i="51"/>
  <c r="M133" i="51"/>
  <c r="K133" i="51"/>
  <c r="M132" i="51"/>
  <c r="K132" i="51"/>
  <c r="M131" i="51"/>
  <c r="K131" i="51"/>
  <c r="M130" i="51"/>
  <c r="K130" i="51"/>
  <c r="M129" i="51"/>
  <c r="K129" i="51"/>
  <c r="M128" i="51"/>
  <c r="K128" i="51"/>
  <c r="M127" i="51"/>
  <c r="K127" i="51"/>
  <c r="M126" i="51"/>
  <c r="K126" i="51"/>
  <c r="M125" i="51"/>
  <c r="K125" i="51"/>
  <c r="M124" i="51"/>
  <c r="K124" i="51"/>
  <c r="I123" i="51"/>
  <c r="K123" i="51" s="1"/>
  <c r="I120" i="51"/>
  <c r="N119" i="51"/>
  <c r="K119" i="51"/>
  <c r="N118" i="51"/>
  <c r="K118" i="51"/>
  <c r="N117" i="51"/>
  <c r="K117" i="51"/>
  <c r="N116" i="51"/>
  <c r="K116" i="51"/>
  <c r="N115" i="51"/>
  <c r="K115" i="51"/>
  <c r="N114" i="51"/>
  <c r="K114" i="51"/>
  <c r="N113" i="51"/>
  <c r="K113" i="51"/>
  <c r="N112" i="51"/>
  <c r="K112" i="51"/>
  <c r="M111" i="51"/>
  <c r="K111" i="51"/>
  <c r="M110" i="51"/>
  <c r="K110" i="51"/>
  <c r="M109" i="51"/>
  <c r="K109" i="51"/>
  <c r="I107" i="51"/>
  <c r="I106" i="51"/>
  <c r="I103" i="51"/>
  <c r="I102" i="51"/>
  <c r="I101" i="51"/>
  <c r="I97" i="51"/>
  <c r="I96" i="51"/>
  <c r="N92" i="51"/>
  <c r="K92" i="51"/>
  <c r="N91" i="51"/>
  <c r="K91" i="51"/>
  <c r="N90" i="51"/>
  <c r="K90" i="51"/>
  <c r="N89" i="51"/>
  <c r="K89" i="51"/>
  <c r="N88" i="51"/>
  <c r="K88" i="51"/>
  <c r="N87" i="51"/>
  <c r="K87" i="51"/>
  <c r="N86" i="51"/>
  <c r="K86" i="51"/>
  <c r="N85" i="51"/>
  <c r="K85" i="51"/>
  <c r="M84" i="51"/>
  <c r="K84" i="51"/>
  <c r="M83" i="51"/>
  <c r="K83" i="51"/>
  <c r="M82" i="51"/>
  <c r="K82" i="51"/>
  <c r="M81" i="51"/>
  <c r="K81" i="51"/>
  <c r="M80" i="51"/>
  <c r="K80" i="51"/>
  <c r="M79" i="51"/>
  <c r="K79" i="51"/>
  <c r="M78" i="51"/>
  <c r="K78" i="51"/>
  <c r="M77" i="51"/>
  <c r="K77" i="51"/>
  <c r="I75" i="51"/>
  <c r="N43" i="51"/>
  <c r="K43" i="51"/>
  <c r="N42" i="51"/>
  <c r="K42" i="51"/>
  <c r="N41" i="51"/>
  <c r="K41" i="51"/>
  <c r="N40" i="51"/>
  <c r="K40" i="51"/>
  <c r="N39" i="51"/>
  <c r="K39" i="51"/>
  <c r="N38" i="51"/>
  <c r="K38" i="51"/>
  <c r="N37" i="51"/>
  <c r="K37" i="51"/>
  <c r="N36" i="51"/>
  <c r="K36" i="51"/>
  <c r="N35" i="51"/>
  <c r="K35" i="51"/>
  <c r="N34" i="51"/>
  <c r="K34" i="51"/>
  <c r="N33" i="51"/>
  <c r="K33" i="51"/>
  <c r="N32" i="51"/>
  <c r="K32" i="51"/>
  <c r="M30" i="51"/>
  <c r="K30" i="51"/>
  <c r="M29" i="51"/>
  <c r="K29" i="51"/>
  <c r="N28" i="51"/>
  <c r="K28" i="51"/>
  <c r="N27" i="51"/>
  <c r="K27" i="51"/>
  <c r="N26" i="51"/>
  <c r="K26" i="51"/>
  <c r="N25" i="51"/>
  <c r="K25" i="51"/>
  <c r="N24" i="51"/>
  <c r="K24" i="51"/>
  <c r="N23" i="51"/>
  <c r="K23" i="51"/>
  <c r="N22" i="51"/>
  <c r="K22" i="51"/>
  <c r="N21" i="51"/>
  <c r="K21" i="51"/>
  <c r="I20" i="51"/>
  <c r="I19" i="51"/>
  <c r="I18" i="51"/>
  <c r="I17" i="51"/>
  <c r="I16" i="51"/>
  <c r="I15" i="51"/>
  <c r="I14" i="51"/>
  <c r="I13" i="51"/>
  <c r="I12" i="51"/>
  <c r="I11" i="51"/>
  <c r="I10" i="51"/>
  <c r="I9" i="51"/>
  <c r="I8" i="51"/>
  <c r="I7" i="51"/>
  <c r="I6" i="51"/>
  <c r="I5" i="51"/>
  <c r="J9" i="51" l="1"/>
  <c r="K9" i="51" s="1"/>
  <c r="J103" i="51"/>
  <c r="K103" i="51" s="1"/>
  <c r="J327" i="51"/>
  <c r="K327" i="51" s="1"/>
  <c r="J16" i="51"/>
  <c r="K16" i="51" s="1"/>
  <c r="J10" i="51"/>
  <c r="K10" i="51" s="1"/>
  <c r="J11" i="51"/>
  <c r="K11" i="51" s="1"/>
  <c r="J12" i="51"/>
  <c r="K12" i="51" s="1"/>
  <c r="J106" i="51"/>
  <c r="K106" i="51" s="1"/>
  <c r="J75" i="51"/>
  <c r="K75" i="51" s="1"/>
  <c r="J107" i="51"/>
  <c r="K107" i="51" s="1"/>
  <c r="J120" i="51"/>
  <c r="K120" i="51" s="1"/>
  <c r="J260" i="51"/>
  <c r="K260" i="51" s="1"/>
  <c r="J319" i="51"/>
  <c r="K319" i="51" s="1"/>
  <c r="J14" i="51"/>
  <c r="K14" i="51" s="1"/>
  <c r="J96" i="51"/>
  <c r="K96" i="51" s="1"/>
  <c r="J170" i="51"/>
  <c r="K170" i="51" s="1"/>
  <c r="J13" i="51"/>
  <c r="K13" i="51" s="1"/>
  <c r="J15" i="51"/>
  <c r="K15" i="51" s="1"/>
  <c r="J97" i="51"/>
  <c r="K97" i="51" s="1"/>
  <c r="J171" i="51"/>
  <c r="K171" i="51" s="1"/>
  <c r="J235" i="51"/>
  <c r="K235" i="51" s="1"/>
  <c r="J276" i="51"/>
  <c r="K276" i="51" s="1"/>
  <c r="J304" i="51"/>
  <c r="K304" i="51" s="1"/>
  <c r="J278" i="51"/>
  <c r="K278" i="51" s="1"/>
  <c r="J323" i="51"/>
  <c r="K323" i="51" s="1"/>
  <c r="J6" i="51"/>
  <c r="K6" i="51" s="1"/>
  <c r="J18" i="51"/>
  <c r="K18" i="51" s="1"/>
  <c r="J165" i="51"/>
  <c r="K165" i="51" s="1"/>
  <c r="J324" i="51"/>
  <c r="K324" i="51" s="1"/>
  <c r="J305" i="51"/>
  <c r="K305" i="51" s="1"/>
  <c r="J5" i="51"/>
  <c r="K5" i="51" s="1"/>
  <c r="J7" i="51"/>
  <c r="K7" i="51" s="1"/>
  <c r="J19" i="51"/>
  <c r="K19" i="51" s="1"/>
  <c r="J101" i="51"/>
  <c r="K101" i="51" s="1"/>
  <c r="J157" i="51"/>
  <c r="K157" i="51" s="1"/>
  <c r="J194" i="51"/>
  <c r="K194" i="51" s="1"/>
  <c r="J325" i="51"/>
  <c r="K325" i="51" s="1"/>
  <c r="J17" i="51"/>
  <c r="K17" i="51" s="1"/>
  <c r="J8" i="51"/>
  <c r="K8" i="51" s="1"/>
  <c r="J20" i="51"/>
  <c r="K20" i="51" s="1"/>
  <c r="J102" i="51"/>
  <c r="K102" i="51" s="1"/>
  <c r="J326" i="51"/>
  <c r="K326" i="51" s="1"/>
  <c r="J160" i="51"/>
  <c r="K160" i="51" s="1"/>
  <c r="O21" i="51"/>
  <c r="O22" i="51" s="1"/>
  <c r="O23" i="51" s="1"/>
  <c r="O24" i="51" s="1"/>
  <c r="O25" i="51" s="1"/>
  <c r="O26" i="51" s="1"/>
  <c r="O27" i="51" s="1"/>
  <c r="O28" i="51" s="1"/>
  <c r="O29" i="51" s="1"/>
  <c r="O30" i="51" s="1"/>
  <c r="O31" i="51" s="1"/>
  <c r="O32" i="51" s="1"/>
  <c r="O33" i="51" s="1"/>
  <c r="O34" i="51" s="1"/>
  <c r="O35" i="51" s="1"/>
  <c r="O36" i="51" s="1"/>
  <c r="O37" i="51" s="1"/>
  <c r="O38" i="51" s="1"/>
  <c r="O39" i="51" s="1"/>
  <c r="O40" i="51" s="1"/>
  <c r="O41" i="51" s="1"/>
  <c r="O42" i="51" s="1"/>
  <c r="O43" i="51" s="1"/>
  <c r="O44" i="51" s="1"/>
  <c r="O45" i="51" s="1"/>
  <c r="O46" i="51" s="1"/>
  <c r="O47" i="51" s="1"/>
  <c r="O48" i="51" s="1"/>
  <c r="O49" i="51" s="1"/>
  <c r="O50" i="51" s="1"/>
  <c r="O51" i="51" s="1"/>
  <c r="O52" i="51" s="1"/>
  <c r="O53" i="51" s="1"/>
  <c r="O54" i="51" s="1"/>
  <c r="O55" i="51" s="1"/>
  <c r="O56" i="51" s="1"/>
  <c r="O57" i="51" s="1"/>
  <c r="O58" i="51" s="1"/>
  <c r="O59" i="51" s="1"/>
  <c r="O60" i="51" s="1"/>
  <c r="O61" i="51" s="1"/>
  <c r="O62" i="51" s="1"/>
  <c r="O63" i="51" s="1"/>
  <c r="O64" i="51" s="1"/>
  <c r="O65" i="51" s="1"/>
  <c r="O66" i="51" s="1"/>
  <c r="O67" i="51" s="1"/>
  <c r="O68" i="51" s="1"/>
  <c r="O69" i="51" s="1"/>
  <c r="O70" i="51" s="1"/>
  <c r="O71" i="51" s="1"/>
  <c r="O72" i="51" s="1"/>
  <c r="O73" i="51" s="1"/>
  <c r="O74" i="51" s="1"/>
  <c r="O75" i="51" s="1"/>
  <c r="O76" i="51" s="1"/>
  <c r="O77" i="51" s="1"/>
  <c r="O78" i="51" s="1"/>
  <c r="O79" i="51" s="1"/>
  <c r="O80" i="51" s="1"/>
  <c r="O81" i="51" s="1"/>
  <c r="O82" i="51" s="1"/>
  <c r="O83" i="51" s="1"/>
  <c r="O84" i="51" s="1"/>
  <c r="O85" i="51" s="1"/>
  <c r="O86" i="51" s="1"/>
  <c r="O87" i="51" s="1"/>
  <c r="O88" i="51" s="1"/>
  <c r="O89" i="51" s="1"/>
  <c r="O90" i="51" s="1"/>
  <c r="O91" i="51" s="1"/>
  <c r="O92" i="51" s="1"/>
  <c r="O93" i="51" s="1"/>
  <c r="O94" i="51" s="1"/>
  <c r="O95" i="51" s="1"/>
  <c r="O96" i="51" s="1"/>
  <c r="O97" i="51" s="1"/>
  <c r="O98" i="51" s="1"/>
  <c r="O99" i="51" s="1"/>
  <c r="O100" i="51" s="1"/>
  <c r="O101" i="51" s="1"/>
  <c r="O102" i="51" s="1"/>
  <c r="O103" i="51" s="1"/>
  <c r="O104" i="51" s="1"/>
  <c r="O105" i="51" s="1"/>
  <c r="O106" i="51" s="1"/>
  <c r="O107" i="51" s="1"/>
  <c r="O108" i="51" s="1"/>
  <c r="O109" i="51" s="1"/>
  <c r="O110" i="51" s="1"/>
  <c r="O111" i="51" s="1"/>
  <c r="O112" i="51" s="1"/>
  <c r="O113" i="51" s="1"/>
  <c r="O114" i="51" s="1"/>
  <c r="O115" i="51" s="1"/>
  <c r="O116" i="51" s="1"/>
  <c r="O117" i="51" s="1"/>
  <c r="O118" i="51" s="1"/>
  <c r="O119" i="51" s="1"/>
  <c r="O120" i="51" s="1"/>
  <c r="O121" i="51" s="1"/>
  <c r="O122" i="51" s="1"/>
  <c r="O123" i="51" s="1"/>
  <c r="O124" i="51" s="1"/>
  <c r="O125" i="51" s="1"/>
  <c r="O126" i="51" s="1"/>
  <c r="O127" i="51" s="1"/>
  <c r="O128" i="51" s="1"/>
  <c r="O129" i="51" s="1"/>
  <c r="O130" i="51" s="1"/>
  <c r="O131" i="51" s="1"/>
  <c r="O132" i="51" s="1"/>
  <c r="O133" i="51" s="1"/>
  <c r="O134" i="51" s="1"/>
  <c r="O135" i="51" s="1"/>
  <c r="O136" i="51" s="1"/>
  <c r="O137" i="51" s="1"/>
  <c r="O138" i="51" s="1"/>
  <c r="O139" i="51" s="1"/>
  <c r="O140" i="51" s="1"/>
  <c r="O141" i="51" s="1"/>
  <c r="O142" i="51" s="1"/>
  <c r="O143" i="51" s="1"/>
  <c r="O144" i="51" s="1"/>
  <c r="O145" i="51" s="1"/>
  <c r="O146" i="51" s="1"/>
  <c r="O147" i="51" s="1"/>
  <c r="O148" i="51" s="1"/>
  <c r="O149" i="51" s="1"/>
  <c r="O150" i="51" s="1"/>
  <c r="O151" i="51" s="1"/>
  <c r="O152" i="51" s="1"/>
  <c r="O153" i="51" s="1"/>
  <c r="O154" i="51" s="1"/>
  <c r="O155" i="51" s="1"/>
  <c r="O156" i="51" s="1"/>
  <c r="O157" i="51" s="1"/>
  <c r="O158" i="51" s="1"/>
  <c r="O159" i="51" s="1"/>
  <c r="O160" i="51" s="1"/>
  <c r="O161" i="51" s="1"/>
  <c r="O162" i="51" s="1"/>
  <c r="O163" i="51" s="1"/>
  <c r="O164" i="51" s="1"/>
  <c r="O165" i="51" s="1"/>
  <c r="O166" i="51" s="1"/>
  <c r="O167" i="51" s="1"/>
  <c r="O168" i="51" s="1"/>
  <c r="O169" i="51" s="1"/>
  <c r="O170" i="51" s="1"/>
  <c r="O171" i="51" s="1"/>
  <c r="O172" i="51" s="1"/>
  <c r="O173" i="51" s="1"/>
  <c r="O174" i="51" s="1"/>
  <c r="O175" i="51" s="1"/>
  <c r="O176" i="51" s="1"/>
  <c r="O177" i="51" s="1"/>
  <c r="O178" i="51" s="1"/>
  <c r="O179" i="51" s="1"/>
  <c r="O180" i="51" s="1"/>
  <c r="O181" i="51" s="1"/>
  <c r="O182" i="51" s="1"/>
  <c r="O183" i="51" s="1"/>
  <c r="O184" i="51" s="1"/>
  <c r="O185" i="51" s="1"/>
  <c r="O186" i="51" s="1"/>
  <c r="O187" i="51" s="1"/>
  <c r="O188" i="51" s="1"/>
  <c r="O189" i="51" s="1"/>
  <c r="O190" i="51" s="1"/>
  <c r="O191" i="51" s="1"/>
  <c r="O192" i="51" s="1"/>
  <c r="O193" i="51" s="1"/>
  <c r="O194" i="51" s="1"/>
  <c r="O195" i="51" s="1"/>
  <c r="O196" i="51" s="1"/>
  <c r="O197" i="51" s="1"/>
  <c r="O198" i="51" s="1"/>
  <c r="O199" i="51" s="1"/>
  <c r="O200" i="51" s="1"/>
  <c r="O201" i="51" s="1"/>
  <c r="O202" i="51" s="1"/>
  <c r="O203" i="51" s="1"/>
  <c r="O204" i="51" s="1"/>
  <c r="O205" i="51" s="1"/>
  <c r="O206" i="51" s="1"/>
  <c r="O207" i="51" s="1"/>
  <c r="O208" i="51" s="1"/>
  <c r="O209" i="51" s="1"/>
  <c r="O210" i="51" s="1"/>
  <c r="O211" i="51" s="1"/>
  <c r="O212" i="51" s="1"/>
  <c r="O213" i="51" s="1"/>
  <c r="O214" i="51" s="1"/>
  <c r="O215" i="51" s="1"/>
  <c r="O216" i="51" s="1"/>
  <c r="O217" i="51" s="1"/>
  <c r="O218" i="51" s="1"/>
  <c r="O219" i="51" s="1"/>
  <c r="O220" i="51" s="1"/>
  <c r="O221" i="51" s="1"/>
  <c r="O222" i="51" s="1"/>
  <c r="O223" i="51" s="1"/>
  <c r="O224" i="51" s="1"/>
  <c r="O225" i="51" s="1"/>
  <c r="O226" i="51" s="1"/>
  <c r="O227" i="51" s="1"/>
  <c r="O228" i="51" s="1"/>
  <c r="O229" i="51" s="1"/>
  <c r="O230" i="51" s="1"/>
  <c r="O231" i="51" s="1"/>
  <c r="O232" i="51" s="1"/>
  <c r="O233" i="51" s="1"/>
  <c r="O234" i="51" s="1"/>
  <c r="O235" i="51" s="1"/>
  <c r="O236" i="51" s="1"/>
  <c r="O237" i="51" s="1"/>
  <c r="O238" i="51" s="1"/>
  <c r="O239" i="51" s="1"/>
  <c r="O240" i="51" s="1"/>
  <c r="O241" i="51" s="1"/>
  <c r="O242" i="51" s="1"/>
  <c r="O243" i="51" s="1"/>
  <c r="O244" i="51" s="1"/>
  <c r="O245" i="51" s="1"/>
  <c r="O246" i="51" s="1"/>
  <c r="O247" i="51" s="1"/>
  <c r="O248" i="51" s="1"/>
  <c r="O249" i="51" s="1"/>
  <c r="O250" i="51" s="1"/>
  <c r="O251" i="51" s="1"/>
  <c r="O252" i="51" s="1"/>
  <c r="O253" i="51" s="1"/>
  <c r="O254" i="51" s="1"/>
  <c r="O255" i="51" s="1"/>
  <c r="O256" i="51" s="1"/>
  <c r="O257" i="51" s="1"/>
  <c r="O258" i="51" s="1"/>
  <c r="O259" i="51" s="1"/>
  <c r="O260" i="51" s="1"/>
  <c r="O261" i="51" s="1"/>
  <c r="O262" i="51" s="1"/>
  <c r="O263" i="51" s="1"/>
  <c r="O264" i="51" s="1"/>
  <c r="O265" i="51" s="1"/>
  <c r="O266" i="51" s="1"/>
  <c r="O267" i="51" s="1"/>
  <c r="O268" i="51" s="1"/>
  <c r="O269" i="51" s="1"/>
  <c r="O270" i="51" s="1"/>
  <c r="O271" i="51" s="1"/>
  <c r="O272" i="51" s="1"/>
  <c r="O273" i="51" s="1"/>
  <c r="O274" i="51" s="1"/>
  <c r="O275" i="51" s="1"/>
  <c r="O276" i="51" s="1"/>
  <c r="O277" i="51" s="1"/>
  <c r="O278" i="51" s="1"/>
  <c r="O279" i="51" s="1"/>
  <c r="O280" i="51" s="1"/>
  <c r="O281" i="51" s="1"/>
  <c r="O282" i="51" s="1"/>
  <c r="O283" i="51" s="1"/>
  <c r="O284" i="51" s="1"/>
  <c r="O285" i="51" s="1"/>
  <c r="O286" i="51" s="1"/>
  <c r="O287" i="51" s="1"/>
  <c r="O288" i="51" s="1"/>
  <c r="O289" i="51" s="1"/>
  <c r="O290" i="51" s="1"/>
  <c r="O291" i="51" s="1"/>
  <c r="O292" i="51" s="1"/>
  <c r="O293" i="51" s="1"/>
  <c r="O294" i="51" s="1"/>
  <c r="O295" i="51" s="1"/>
  <c r="O296" i="51" s="1"/>
  <c r="O297" i="51" s="1"/>
  <c r="O298" i="51" s="1"/>
  <c r="O299" i="51" s="1"/>
  <c r="O300" i="51" s="1"/>
  <c r="O301" i="51" s="1"/>
  <c r="O302" i="51" s="1"/>
  <c r="O303" i="51" s="1"/>
  <c r="O304" i="51" s="1"/>
  <c r="O305" i="51" s="1"/>
  <c r="O306" i="51" s="1"/>
  <c r="O307" i="51" s="1"/>
  <c r="O308" i="51" s="1"/>
  <c r="O309" i="51" s="1"/>
  <c r="O310" i="51" s="1"/>
  <c r="O311" i="51" s="1"/>
  <c r="O312" i="51" s="1"/>
  <c r="O313" i="51" s="1"/>
  <c r="O314" i="51" s="1"/>
  <c r="O315" i="51" s="1"/>
  <c r="O316" i="51" s="1"/>
  <c r="O317" i="51" s="1"/>
  <c r="O318" i="51" s="1"/>
  <c r="O319" i="51" s="1"/>
  <c r="O320" i="51" s="1"/>
  <c r="O321" i="51" s="1"/>
  <c r="O322" i="51" s="1"/>
  <c r="O323" i="51" s="1"/>
  <c r="O324" i="51" s="1"/>
  <c r="O325" i="51" s="1"/>
  <c r="O326" i="51" s="1"/>
  <c r="O327" i="51" s="1"/>
  <c r="O328" i="51" s="1"/>
  <c r="O329" i="51" s="1"/>
  <c r="O330" i="51" s="1"/>
  <c r="O331" i="51" s="1"/>
  <c r="O332" i="51" s="1"/>
  <c r="O333" i="51" s="1"/>
  <c r="O334" i="51" s="1"/>
  <c r="O335" i="51" s="1"/>
  <c r="O336" i="51" s="1"/>
  <c r="O337" i="51" s="1"/>
  <c r="O338" i="51" s="1"/>
  <c r="O339" i="51" s="1"/>
  <c r="O340" i="51" s="1"/>
  <c r="O341" i="51" s="1"/>
  <c r="O342" i="51" s="1"/>
  <c r="O343" i="51" s="1"/>
  <c r="O344" i="51" s="1"/>
  <c r="O345" i="51" s="1"/>
  <c r="O346" i="51" s="1"/>
  <c r="O347" i="51" s="1"/>
  <c r="O348" i="51" s="1"/>
  <c r="O349" i="51" s="1"/>
  <c r="O350" i="51" s="1"/>
  <c r="O351" i="51" s="1"/>
  <c r="O352" i="51" s="1"/>
  <c r="O353" i="51" s="1"/>
  <c r="O354" i="51" s="1"/>
  <c r="O355" i="51" s="1"/>
  <c r="O356" i="51" s="1"/>
  <c r="O357" i="51" s="1"/>
  <c r="O358" i="51" s="1"/>
  <c r="O359" i="51" s="1"/>
  <c r="O360" i="51" s="1"/>
  <c r="N362" i="51"/>
  <c r="M362" i="51"/>
  <c r="H362" i="51"/>
  <c r="I362" i="51"/>
  <c r="J362" i="51" l="1"/>
  <c r="K362" i="51"/>
</calcChain>
</file>

<file path=xl/sharedStrings.xml><?xml version="1.0" encoding="utf-8"?>
<sst xmlns="http://schemas.openxmlformats.org/spreadsheetml/2006/main" count="2913" uniqueCount="635">
  <si>
    <t>Account Payable</t>
  </si>
  <si>
    <t xml:space="preserve"> </t>
  </si>
  <si>
    <t>AP Tax</t>
  </si>
  <si>
    <t>PPN</t>
  </si>
  <si>
    <t>Jan</t>
  </si>
  <si>
    <t>SALES</t>
  </si>
  <si>
    <t>WAPU</t>
  </si>
  <si>
    <t>Non WAPU</t>
  </si>
  <si>
    <t xml:space="preserve">  </t>
  </si>
  <si>
    <t>Bank Mandiri (Persero) Tbk, PT</t>
  </si>
  <si>
    <t>Perum Jasa Tirta II</t>
  </si>
  <si>
    <t>Pertamina (Persero), PT</t>
  </si>
  <si>
    <t>Perum Percetakan Uang RI</t>
  </si>
  <si>
    <t>Perum Lembaga Penyelenggara Pelayanan Navigasi Penerbangan Indonesia</t>
  </si>
  <si>
    <t>Perum Perhutani</t>
  </si>
  <si>
    <t>Telekomunikasi Selular (Telkomsel), PT</t>
  </si>
  <si>
    <t>Bank Negara Indonesia (Persero) Tbk, PT</t>
  </si>
  <si>
    <t>Trimegah Sekuritas Indonesia Tbk, PT</t>
  </si>
  <si>
    <t>Inter Accounts</t>
  </si>
  <si>
    <t>Ayat Silang</t>
  </si>
  <si>
    <t>002/PCMI/AR/I/2025</t>
  </si>
  <si>
    <t>003/PCMI/AR/I/2025</t>
  </si>
  <si>
    <t>006/PCMI/AR/I/2025</t>
  </si>
  <si>
    <t>008/PCMI/AR/II/2025</t>
  </si>
  <si>
    <t>012/PCMI/AR/II/2025</t>
  </si>
  <si>
    <t>065/PCMI/AR/III/2025</t>
  </si>
  <si>
    <t>Shell Indonesia, PT</t>
  </si>
  <si>
    <t>217/PCMI/AR/XII/2023</t>
  </si>
  <si>
    <t>269/PCMI/AR/XII/2024</t>
  </si>
  <si>
    <t>270/PCMI/AR/XII/2024</t>
  </si>
  <si>
    <t>Insight Investments Management, PT</t>
  </si>
  <si>
    <t>Kustodian Sentral Efek Indonesia, PT</t>
  </si>
  <si>
    <t>149/PCMI/AR/X/2024</t>
  </si>
  <si>
    <t>150/PCMI/AR/IX/2024</t>
  </si>
  <si>
    <t>152/PCMI/AR/IX/2024</t>
  </si>
  <si>
    <t>168/PCMI/AR/VII/2024</t>
  </si>
  <si>
    <t>219/PCMI/AR/XI/2024</t>
  </si>
  <si>
    <t>233/PCMI/AR/XI/2024</t>
  </si>
  <si>
    <t>242/PCMI/AR/XII/2024</t>
  </si>
  <si>
    <t>247/PCMI/AR/XII/2024</t>
  </si>
  <si>
    <t>252/PCMI/AR/XII/2024</t>
  </si>
  <si>
    <t>254/PCMI/AR/XII/2024</t>
  </si>
  <si>
    <t>261/PCMI/AR/XII/2024</t>
  </si>
  <si>
    <t>264/PCMI/AR/XII/2024</t>
  </si>
  <si>
    <t>265/PCMI/AR/XII/2024</t>
  </si>
  <si>
    <t>267/PCMI/AR/XII/2024</t>
  </si>
  <si>
    <t>Orbitnesia Niaga Mas</t>
  </si>
  <si>
    <t>University of Waterloo</t>
  </si>
  <si>
    <t>Mirae Asset Sekuritas Indonesia, PT</t>
  </si>
  <si>
    <t>SABIC Asia Pacific Pte Ltd</t>
  </si>
  <si>
    <t>PYC (Purnomo Yusgiantoro Center)</t>
  </si>
  <si>
    <t>Bridgestone Tire Indonesia, PT</t>
  </si>
  <si>
    <t>Tower Bersama Group, PT</t>
  </si>
  <si>
    <t>Jun</t>
  </si>
  <si>
    <t>Jul</t>
  </si>
  <si>
    <t>Aug</t>
  </si>
  <si>
    <t>Sep</t>
  </si>
  <si>
    <t>Oct</t>
  </si>
  <si>
    <t>Nov</t>
  </si>
  <si>
    <t>Feb</t>
  </si>
  <si>
    <t>Apr</t>
  </si>
  <si>
    <t>Bank Syariah Indonesia</t>
  </si>
  <si>
    <t xml:space="preserve">231/PCMI/AR/XI/2024 </t>
  </si>
  <si>
    <t>Dec</t>
  </si>
  <si>
    <t>PPn Masukan</t>
  </si>
  <si>
    <t>Mar</t>
  </si>
  <si>
    <t>May</t>
  </si>
  <si>
    <t>PLN Indonesia Power, PT</t>
  </si>
  <si>
    <t>PLN Indonesia Power</t>
  </si>
  <si>
    <t>Kurang Bayar</t>
  </si>
  <si>
    <t>PPn Kurang Bayar</t>
  </si>
  <si>
    <t>PPN Kurang Bayar</t>
  </si>
  <si>
    <t>Masa</t>
  </si>
  <si>
    <t>No Faktur</t>
  </si>
  <si>
    <t>Client / Supplier</t>
  </si>
  <si>
    <t>AP PPN WAPU</t>
  </si>
  <si>
    <t>03002500122943847</t>
  </si>
  <si>
    <t>085/91/PCMI/AR/V/2025</t>
  </si>
  <si>
    <t>03002500381561870</t>
  </si>
  <si>
    <t>206/290/PCMI/AR/XI/2025</t>
  </si>
  <si>
    <t>03002500385149558</t>
  </si>
  <si>
    <t>210/296/PCMI/AR/XI/2025</t>
  </si>
  <si>
    <t>03002500384749398</t>
  </si>
  <si>
    <t>208/294/PCMI/AR/XI/2025</t>
  </si>
  <si>
    <t>203/287/PCMI/AR/XI/2025</t>
  </si>
  <si>
    <t>PT Pantravel</t>
  </si>
  <si>
    <t>PT Jasa Tirta Luhur</t>
  </si>
  <si>
    <t>PT OSC Office Machinery</t>
  </si>
  <si>
    <t>PT Jakarta International Expo</t>
  </si>
  <si>
    <t>PT Autorent Lancar Sejahtera</t>
  </si>
  <si>
    <t>Viky Sianipar</t>
  </si>
  <si>
    <t>Lebih bayar PPN April'24 pemindahan ke masa Jan'25 - pembetulan SPT</t>
  </si>
  <si>
    <t>04022500005534614</t>
  </si>
  <si>
    <t>PT Mineral Industri Indonesia</t>
  </si>
  <si>
    <t>04002500011163048</t>
  </si>
  <si>
    <t xml:space="preserve">PT Bank Rakyat Indonesia </t>
  </si>
  <si>
    <t>03002500011162409</t>
  </si>
  <si>
    <t>PT Tridaya Mega Swara</t>
  </si>
  <si>
    <t>PT Enersindo Prima Jaya</t>
  </si>
  <si>
    <t>PT Auvi Delapan Sembilan</t>
  </si>
  <si>
    <t>PT Juara Bike</t>
  </si>
  <si>
    <t>PT Mora Telematika Indonesia Tbk</t>
  </si>
  <si>
    <t>03002500014653112</t>
  </si>
  <si>
    <t>PT Bank Mandiri (Persero)</t>
  </si>
  <si>
    <t>03002500014653802</t>
  </si>
  <si>
    <t>PT Danareksa (Persero)</t>
  </si>
  <si>
    <t>009/9/PCMI/AR/II/2025</t>
  </si>
  <si>
    <t>03002500014653800</t>
  </si>
  <si>
    <t>PT Bank Tabungan Negara</t>
  </si>
  <si>
    <t>007/7/PCMI/AR/II/2025</t>
  </si>
  <si>
    <t>03002500014653801</t>
  </si>
  <si>
    <t>PT Asuransi Jiwa IFG</t>
  </si>
  <si>
    <t>03002500014654394</t>
  </si>
  <si>
    <t>PT Semen Indonesia (Persero) Tbk</t>
  </si>
  <si>
    <t>004/PCMI/AR/II/2025</t>
  </si>
  <si>
    <t>03002500017792281</t>
  </si>
  <si>
    <t>03002500017816620</t>
  </si>
  <si>
    <t>017/17/PCMI/AR/II/2025</t>
  </si>
  <si>
    <t>03002500017823012</t>
  </si>
  <si>
    <t>PT Aneka Tambang Tbk</t>
  </si>
  <si>
    <t>018/18/PCMI/AR/II/2025</t>
  </si>
  <si>
    <t>03002500017828416</t>
  </si>
  <si>
    <t>PT Pupuk Indonesia (Persero)</t>
  </si>
  <si>
    <t>020/20/PCMI/AR/II/2025</t>
  </si>
  <si>
    <t>03002500017831920</t>
  </si>
  <si>
    <t>022/22/PCMI/AR/II/2025</t>
  </si>
  <si>
    <t>03002500017834940</t>
  </si>
  <si>
    <t>PT Asuransi Kredit Indonesia</t>
  </si>
  <si>
    <t>028/28/PCMI/AR/II/2025</t>
  </si>
  <si>
    <t>03002500017838105</t>
  </si>
  <si>
    <t>PT Jasamarga</t>
  </si>
  <si>
    <t>030/30/PCMI/AR/II/2025</t>
  </si>
  <si>
    <t>03002500017841815</t>
  </si>
  <si>
    <t>031/31/PCMI/AR/II/2025</t>
  </si>
  <si>
    <t>03002500017848362</t>
  </si>
  <si>
    <t>PT Vale Indonesia Tbk</t>
  </si>
  <si>
    <t>041/41/PCMI/AR/II/2025</t>
  </si>
  <si>
    <t>03002500017851244</t>
  </si>
  <si>
    <t>032/32/PCMI/AR/II/2025</t>
  </si>
  <si>
    <t>03002500017852923</t>
  </si>
  <si>
    <t>PT Hutama Karya (Persero)</t>
  </si>
  <si>
    <t>034/34/PCMI/AR/II/2025</t>
  </si>
  <si>
    <t>03002500017853709</t>
  </si>
  <si>
    <t>PT Asdp Indonesia Ferry</t>
  </si>
  <si>
    <t>035/35/PCMI/AR/II/2025</t>
  </si>
  <si>
    <t>03002500019298792</t>
  </si>
  <si>
    <t>PT Pelayaran Nasional Indonesia (Persero)</t>
  </si>
  <si>
    <t>033/33/PCMI/AR/II/2025</t>
  </si>
  <si>
    <t>03002500025903117</t>
  </si>
  <si>
    <t>PT Freeport Indonesia</t>
  </si>
  <si>
    <t>045/45/PCMI/AR/II/2025</t>
  </si>
  <si>
    <t>03002500025908592</t>
  </si>
  <si>
    <t>PT Indonesia Asahan Aluminium (Persero)</t>
  </si>
  <si>
    <t>044/44/PCMI/AR/II/2025</t>
  </si>
  <si>
    <t>03002500025913559</t>
  </si>
  <si>
    <t>PT Bukit Asam Tbk</t>
  </si>
  <si>
    <t>043/43/PCMI/AR/II/2025</t>
  </si>
  <si>
    <t>03002500025924487</t>
  </si>
  <si>
    <t>PT Asuransi Jasa Indonesia</t>
  </si>
  <si>
    <t>029/29/PCMI/AR/II/2025</t>
  </si>
  <si>
    <t>03002500025932772</t>
  </si>
  <si>
    <t>PT Jaminan Kredit Indonesia</t>
  </si>
  <si>
    <t>027/27/PCMI/AR/II/2025</t>
  </si>
  <si>
    <t>03002500025938707</t>
  </si>
  <si>
    <t>PT Timah Tbk</t>
  </si>
  <si>
    <t>025/25/PCMI/AR/II/2025</t>
  </si>
  <si>
    <t>03002500025946291</t>
  </si>
  <si>
    <t>PT Perusahaan Listrik Negara (Persero)</t>
  </si>
  <si>
    <t>024//24/PCMI/AR/II/2025</t>
  </si>
  <si>
    <t>03002500025952899</t>
  </si>
  <si>
    <t>PT Pembangunan Perumahan (Persero) Tbk</t>
  </si>
  <si>
    <t>023/23/PCMI/AR/II/2025</t>
  </si>
  <si>
    <t>PT Bank Negara Indonesia (Persero)</t>
  </si>
  <si>
    <t>03002500025973889</t>
  </si>
  <si>
    <t>PT Bahana Pembinaan Usaha Indonesia (Persero)</t>
  </si>
  <si>
    <t>042/42/PCMI/AR/II/2025</t>
  </si>
  <si>
    <t>03002500039062485</t>
  </si>
  <si>
    <t>PT Pelabuhan Indonesia (Persero)</t>
  </si>
  <si>
    <t>021/21/PCMI/AR/II/2025</t>
  </si>
  <si>
    <t>03002500039064622</t>
  </si>
  <si>
    <t>PT Asuransi Kerugian Jasa Raharja</t>
  </si>
  <si>
    <t>026/26/PCMI/AR/II/2025</t>
  </si>
  <si>
    <t>03002500039209950</t>
  </si>
  <si>
    <t>PT Telekomunikasi Selular (Telkomsel)</t>
  </si>
  <si>
    <t>048/48/PCMI/AR/II/2025</t>
  </si>
  <si>
    <t>03002500039210226</t>
  </si>
  <si>
    <t>013/13/PCMI/AR/II/2025</t>
  </si>
  <si>
    <t>03002500044252913</t>
  </si>
  <si>
    <t>PT PLN Indonesia Power</t>
  </si>
  <si>
    <t>050/46/PCMI/AR/II/2025</t>
  </si>
  <si>
    <t>03002500047274067</t>
  </si>
  <si>
    <t>001/1/PCMI/AR/II/2025</t>
  </si>
  <si>
    <t>04002500017787987</t>
  </si>
  <si>
    <t>PT Pertamina (Persero)</t>
  </si>
  <si>
    <t>04002500017797319</t>
  </si>
  <si>
    <t>04002500019294469</t>
  </si>
  <si>
    <t>04002500025991282</t>
  </si>
  <si>
    <t>PT Telkom Indonesia (Persero) Tbk</t>
  </si>
  <si>
    <t>04002500039210369</t>
  </si>
  <si>
    <t>04002500048710035</t>
  </si>
  <si>
    <t>PT Shell Indonesia</t>
  </si>
  <si>
    <t>04002500049895468</t>
  </si>
  <si>
    <t>PT Hariff Daya Tunggal Engineering</t>
  </si>
  <si>
    <t>04012500017780802</t>
  </si>
  <si>
    <t>PT Bintang Langit Multimedia</t>
  </si>
  <si>
    <t>PT Exabytes Network Indonesia</t>
  </si>
  <si>
    <t>03002500051976677</t>
  </si>
  <si>
    <t>054/53/PCMI/AR/III/2025</t>
  </si>
  <si>
    <t>03002500051981633</t>
  </si>
  <si>
    <t>PT Pegadaian</t>
  </si>
  <si>
    <t>014/14/PCMI/AR/III/2025</t>
  </si>
  <si>
    <t>03002500052936857</t>
  </si>
  <si>
    <t>PT Taspen (Persero)</t>
  </si>
  <si>
    <t>016/16/PCMI/AR/II/2025</t>
  </si>
  <si>
    <t>03002500054908612</t>
  </si>
  <si>
    <t>051/151/PCMI/AR/III/2025</t>
  </si>
  <si>
    <t>03002500057769164</t>
  </si>
  <si>
    <t>055/56/PCMI/AR/III/2025</t>
  </si>
  <si>
    <t>03002500062293586</t>
  </si>
  <si>
    <t>057/58/PCMI/AR/III/2025</t>
  </si>
  <si>
    <t>03002500062207923</t>
  </si>
  <si>
    <t xml:space="preserve"> 056/57/PCMI/AR/III/2025</t>
  </si>
  <si>
    <t>03002500062099793</t>
  </si>
  <si>
    <t>019/19/PCMI/AR/III/2025</t>
  </si>
  <si>
    <t>03002500062956755</t>
  </si>
  <si>
    <t>058/60/PCMI/AR/III/2025</t>
  </si>
  <si>
    <t>03002500066353796</t>
  </si>
  <si>
    <t>059/61/PCMI/AR/III/2025</t>
  </si>
  <si>
    <t>03002500067812094</t>
  </si>
  <si>
    <t>PT PLN Nusantara Power</t>
  </si>
  <si>
    <t>046/223/PCMI/AR/III/2025</t>
  </si>
  <si>
    <t>03002500070373069</t>
  </si>
  <si>
    <t>062/64/PCMI/AR/III/2025</t>
  </si>
  <si>
    <t>03002500070725297</t>
  </si>
  <si>
    <t>PT Infrastruktur Telekomunikasi Indonesia</t>
  </si>
  <si>
    <t>063/65/PCMI/AR/III/2025</t>
  </si>
  <si>
    <t>03002500079126607</t>
  </si>
  <si>
    <t>065/68/PCMI/AR/III/2025</t>
  </si>
  <si>
    <t>03002500079408521</t>
  </si>
  <si>
    <t>066/69/PCMI/AR/III/2025</t>
  </si>
  <si>
    <t>03002500079853504</t>
  </si>
  <si>
    <t>049/49/PCMI/AR/III/2025</t>
  </si>
  <si>
    <t>061/62/PCMI/AR/III/2025</t>
  </si>
  <si>
    <t>064/66/PCMI/AR/III/2025</t>
  </si>
  <si>
    <t>PT Abhimata Citra Abadi</t>
  </si>
  <si>
    <t>067/74/PCMI/AR/III/2025</t>
  </si>
  <si>
    <t>PT Suprima Mitra Adihusada</t>
  </si>
  <si>
    <t>03002500091823428</t>
  </si>
  <si>
    <t>047/225/PCMI/AR/IV/2025</t>
  </si>
  <si>
    <t>03002500104735631</t>
  </si>
  <si>
    <t>068/75/PCMI/AR/IV/2025</t>
  </si>
  <si>
    <t>03002500105277353</t>
  </si>
  <si>
    <t>010/10/PCMI/AR/IV/2025</t>
  </si>
  <si>
    <t>03002500106932541</t>
  </si>
  <si>
    <t>071/81/PCMI/AR/IV/2025</t>
  </si>
  <si>
    <t>04002500108452904</t>
  </si>
  <si>
    <t xml:space="preserve"> 075/213/PCMI/AR/IV/2025</t>
  </si>
  <si>
    <t>04002500108886660</t>
  </si>
  <si>
    <t>PT Profesional Telekomunikasi Indonesia</t>
  </si>
  <si>
    <t>072/78/PCMI/AR/IV/2025</t>
  </si>
  <si>
    <t>04002500108886659</t>
  </si>
  <si>
    <t>073/79/PCMI/AR/IV/2025</t>
  </si>
  <si>
    <t>04002500108886658</t>
  </si>
  <si>
    <t>074/80/PCMI/AR/IV/2025</t>
  </si>
  <si>
    <t>04002500109823706</t>
  </si>
  <si>
    <t>PT Centratama Menara Indonesia</t>
  </si>
  <si>
    <t>079/85/PCMI/AR/IV/2025</t>
  </si>
  <si>
    <t>05002500106162723</t>
  </si>
  <si>
    <t>PT Trimegah Asset Management</t>
  </si>
  <si>
    <t>069/76/PCMI/AR/IV/2025</t>
  </si>
  <si>
    <t>05002500106158606</t>
  </si>
  <si>
    <t>070/77/PCMI/AR/IV/2025</t>
  </si>
  <si>
    <t>05002500108523292</t>
  </si>
  <si>
    <t>076/82/PCMI/AR/IV/2025</t>
  </si>
  <si>
    <t>05012500108615047</t>
  </si>
  <si>
    <t>077/83/PCMI/AR/IV/2025</t>
  </si>
  <si>
    <t>05002500112428211</t>
  </si>
  <si>
    <t>081/87/PCMI/AR/IV/2025</t>
  </si>
  <si>
    <t>Juara Bike</t>
  </si>
  <si>
    <t>03002500126595376</t>
  </si>
  <si>
    <t>087/93/PCMI/AR/V/2025</t>
  </si>
  <si>
    <t>03002500126597689</t>
  </si>
  <si>
    <t>088/94/PCMI/AR/V/2025</t>
  </si>
  <si>
    <t>03002500120225847</t>
  </si>
  <si>
    <t>082/88/PCMI/AR/V/2025</t>
  </si>
  <si>
    <t>03002500120307357</t>
  </si>
  <si>
    <t>083/89/PCMI/AR/V/2025</t>
  </si>
  <si>
    <t>05002500138170215</t>
  </si>
  <si>
    <t>097/103/PCMI/AR/V/2025</t>
  </si>
  <si>
    <t>05002500136071556</t>
  </si>
  <si>
    <t>093/99/PCMI/AR/V/2025</t>
  </si>
  <si>
    <t>03002500125523081</t>
  </si>
  <si>
    <t>086/92/PCMI/AR/V/2025</t>
  </si>
  <si>
    <t>05002500139577894</t>
  </si>
  <si>
    <t>099/105/PCMI/AR/V/2025</t>
  </si>
  <si>
    <t>03002500128418310</t>
  </si>
  <si>
    <t>089/95/PCMI/AR/V/2025</t>
  </si>
  <si>
    <t>05002500136068692</t>
  </si>
  <si>
    <t>092/98/PCMI/AR/V/2025</t>
  </si>
  <si>
    <t>03002500128421026</t>
  </si>
  <si>
    <t>090/96/PCMI/AR/V/2025</t>
  </si>
  <si>
    <t>05002500136074134</t>
  </si>
  <si>
    <t>094/100/PCMI/AR/V/2025</t>
  </si>
  <si>
    <t>03002500128422871</t>
  </si>
  <si>
    <t>091/97/PCMI/AR/V/2025</t>
  </si>
  <si>
    <t>03002500119750219</t>
  </si>
  <si>
    <t>080/86/PCMI/AR/V/2025</t>
  </si>
  <si>
    <t>03002500145203454</t>
  </si>
  <si>
    <t>101/107/PCMI/AR/V/2025</t>
  </si>
  <si>
    <t>05002500138107125</t>
  </si>
  <si>
    <t>095/101/PCMI/AR/V/2025</t>
  </si>
  <si>
    <t>05002500138184177</t>
  </si>
  <si>
    <t>098/104/PCMI/AR/V/2025</t>
  </si>
  <si>
    <t>05002500138143574</t>
  </si>
  <si>
    <t>096/102/PCMI/AR/V/2025</t>
  </si>
  <si>
    <t>03002500119725961</t>
  </si>
  <si>
    <t>078/84/PCMI/AR/V/2025</t>
  </si>
  <si>
    <t>03002500144269650</t>
  </si>
  <si>
    <t>060/59/PCMI/AR/V/2025</t>
  </si>
  <si>
    <t>05002500121530182</t>
  </si>
  <si>
    <t>084/90/PCMI/AR/V/2025</t>
  </si>
  <si>
    <t>Juni 2025</t>
  </si>
  <si>
    <t>PT Biro Perjalanan Wisata Sahadewa Basundari Bali</t>
  </si>
  <si>
    <t>PT Sumber Mulia Hasil Guna</t>
  </si>
  <si>
    <t>PT Qontak Tumbuh Makmur</t>
  </si>
  <si>
    <t>03002500178789737</t>
  </si>
  <si>
    <t>108/117/PCMI/AR/VI/2025</t>
  </si>
  <si>
    <t>03002500184506428</t>
  </si>
  <si>
    <t>111/120/PCMI/AR/VI/2025</t>
  </si>
  <si>
    <t>03002500155179228</t>
  </si>
  <si>
    <t>031/31/PCMI/AR/VI/2025</t>
  </si>
  <si>
    <t>DOUBLE ????</t>
  </si>
  <si>
    <t>05012500154738426</t>
  </si>
  <si>
    <t>BPJS Ketenagakerjaan</t>
  </si>
  <si>
    <t>104/113/PCMI/AR/VI/2025</t>
  </si>
  <si>
    <t>05002500154732973</t>
  </si>
  <si>
    <t>103/112/PCMI/AR/VI/2025</t>
  </si>
  <si>
    <t>05012500154740458</t>
  </si>
  <si>
    <t>105/114/PCMI/AR/VI/2025</t>
  </si>
  <si>
    <t>05002500173810752</t>
  </si>
  <si>
    <t>107/116/PCMI/AR/VI/2025</t>
  </si>
  <si>
    <t>05002500153629003</t>
  </si>
  <si>
    <t>102/111/PCMI/AR/VI/2025</t>
  </si>
  <si>
    <t>05002500186995670</t>
  </si>
  <si>
    <t>112/121/PCMI/AR/VI/2025</t>
  </si>
  <si>
    <t>05012500154744444</t>
  </si>
  <si>
    <t>106/115/PCMI/AR/VI/2025</t>
  </si>
  <si>
    <t>03002500179285948</t>
  </si>
  <si>
    <t>109/118/PCMI/AR/VI/2025</t>
  </si>
  <si>
    <t>03002500180731339</t>
  </si>
  <si>
    <t>110/119/PCMI/AR/VI/2025</t>
  </si>
  <si>
    <t>03002500176308882</t>
  </si>
  <si>
    <t>100/106/PCMI/AR/VI/2025</t>
  </si>
  <si>
    <t>PT Asia Utama Konsultan</t>
  </si>
  <si>
    <t>PT Arista Elektrika Indonesia</t>
  </si>
  <si>
    <t>05002500219206642</t>
  </si>
  <si>
    <t>141/157/PCMI/AR/VII/2025</t>
  </si>
  <si>
    <t>05002500219351702</t>
  </si>
  <si>
    <t>143/160/PCMI/AR/VII/2025</t>
  </si>
  <si>
    <t>05002500201294949</t>
  </si>
  <si>
    <t>139/155/PCMI/AR/VII/2025</t>
  </si>
  <si>
    <t>04002500228443308</t>
  </si>
  <si>
    <t>144/162/PCMI/AR/VIII/2025</t>
  </si>
  <si>
    <t>04002500228445254</t>
  </si>
  <si>
    <t>145/163/PCMI/AR/VIII/2025</t>
  </si>
  <si>
    <t>05002500219342648</t>
  </si>
  <si>
    <t>142/159/PCMI/AR/VII/2025</t>
  </si>
  <si>
    <t>05002500225158754</t>
  </si>
  <si>
    <t>146/164/PCMI/AR/VII/2025</t>
  </si>
  <si>
    <t>05002500196077062</t>
  </si>
  <si>
    <t>116/125/PCMI/AR/VII/2025</t>
  </si>
  <si>
    <t>05002500196066239</t>
  </si>
  <si>
    <t>115/124/PCMI/AR/VII/2025</t>
  </si>
  <si>
    <t>05002500196048777</t>
  </si>
  <si>
    <t>114/123/PCMI/AR/VII/2025</t>
  </si>
  <si>
    <t>05002500196225842</t>
  </si>
  <si>
    <t>137/146/PCMI/AR/VII/2025</t>
  </si>
  <si>
    <t>05002500196215680</t>
  </si>
  <si>
    <t>135/144/PCMI/AR/VII/2025</t>
  </si>
  <si>
    <t>05002500196231564</t>
  </si>
  <si>
    <t>138/147/PCMI/AR/VII/2025</t>
  </si>
  <si>
    <t>05002500196220601</t>
  </si>
  <si>
    <t>136/145/PCMI/AR/VII/2025</t>
  </si>
  <si>
    <t>05002500196210570</t>
  </si>
  <si>
    <t>134/143/PCMI/AR/VII/2025</t>
  </si>
  <si>
    <t>05002500196205966</t>
  </si>
  <si>
    <t>133/142/PCMI/AR/VII/2025</t>
  </si>
  <si>
    <t>05002500196201091</t>
  </si>
  <si>
    <t>132/141/PCMI/AR/VII/2025</t>
  </si>
  <si>
    <t>05002500196194846</t>
  </si>
  <si>
    <t>131/140/PCMI/AR/VII/2025</t>
  </si>
  <si>
    <t>05002500196189693</t>
  </si>
  <si>
    <t>130/139/PCMI/AR/VII/2025</t>
  </si>
  <si>
    <t>05002500196183235</t>
  </si>
  <si>
    <t>129/138/PCMI/AR/VII/2025</t>
  </si>
  <si>
    <t>05002500196177449</t>
  </si>
  <si>
    <t>128/137/PCMI/AR/VII/2025</t>
  </si>
  <si>
    <t>05002500196173842</t>
  </si>
  <si>
    <t>127/136/PCMI/AR/VII/2025</t>
  </si>
  <si>
    <t>05002500196156437</t>
  </si>
  <si>
    <t>126/135/PCMI/AR/VII/2025</t>
  </si>
  <si>
    <t>05002500196150762</t>
  </si>
  <si>
    <t>125/134/PCMI/AR/VII/2025</t>
  </si>
  <si>
    <t>05002500196145990</t>
  </si>
  <si>
    <t>124/133/PCMI/AR/VII/2025</t>
  </si>
  <si>
    <t>05002500196141601</t>
  </si>
  <si>
    <t>123/132/PCMI/AR/VII/2025</t>
  </si>
  <si>
    <t>05002500196085835</t>
  </si>
  <si>
    <t>117/126/PCMI/AR/VII/2025</t>
  </si>
  <si>
    <t>05002500196113487</t>
  </si>
  <si>
    <t>120/129/PCMI/AR/VII/2025</t>
  </si>
  <si>
    <t>05002500196103068</t>
  </si>
  <si>
    <t>119/128/PCMI/AR/VII/2025</t>
  </si>
  <si>
    <t>05002500196091892</t>
  </si>
  <si>
    <t>118/127/PCMI/AR/VII/2025</t>
  </si>
  <si>
    <t>05002500196132683</t>
  </si>
  <si>
    <t>122/131/PCMI/AR/VII/2025</t>
  </si>
  <si>
    <t>05002500196124614</t>
  </si>
  <si>
    <t>121/130/PCMI/AR/VII/2025</t>
  </si>
  <si>
    <t>03002500218441600</t>
  </si>
  <si>
    <t>140/156/PCMI/AR/VII/2025</t>
  </si>
  <si>
    <t>03002500194138765</t>
  </si>
  <si>
    <t>113/122/PCMI/AR/VII/2025</t>
  </si>
  <si>
    <t>Dompet Global Indonesia</t>
  </si>
  <si>
    <t>03012500228951308</t>
  </si>
  <si>
    <t>148/166/PCMI/AR/VIII/2025</t>
  </si>
  <si>
    <t>05012500262951772</t>
  </si>
  <si>
    <t>164/183/PCMI/AR/VIII/2025</t>
  </si>
  <si>
    <t>05002500260277566</t>
  </si>
  <si>
    <t>166/185/PCMI/AR/VIII/2025</t>
  </si>
  <si>
    <t>03012500228951307</t>
  </si>
  <si>
    <t>149/167/PCMI/AR/VIII/2025</t>
  </si>
  <si>
    <t>05002500237139972</t>
  </si>
  <si>
    <t>152/170/PCMI/AR/VIII/2025</t>
  </si>
  <si>
    <t>05002500260277105</t>
  </si>
  <si>
    <t>165/184/PCMI/AR/VIII/2025</t>
  </si>
  <si>
    <t>05002500237146628</t>
  </si>
  <si>
    <t>153/171/PCMI/AR/VIII/2025</t>
  </si>
  <si>
    <t>05002500250251745</t>
  </si>
  <si>
    <t>160/179/PCMI/AR/VIII/2025</t>
  </si>
  <si>
    <t>05002500250238412</t>
  </si>
  <si>
    <t>158/177/PCMI/AR/VIII/2025</t>
  </si>
  <si>
    <t>05002500237153316</t>
  </si>
  <si>
    <t>154/172/PCMI/AR/VIII/2025</t>
  </si>
  <si>
    <t>05002500237159848</t>
  </si>
  <si>
    <t>155/173/PCMI/AR/VIII/2025</t>
  </si>
  <si>
    <t>05002500240453997</t>
  </si>
  <si>
    <t>157/175/PCMI/AR/VIII/2025</t>
  </si>
  <si>
    <t>05002500250253375</t>
  </si>
  <si>
    <t>161/180/PCMI/AR/VIII/2025</t>
  </si>
  <si>
    <t>05002500237165248</t>
  </si>
  <si>
    <t>156/174/PCMI/AR/VIII/2025</t>
  </si>
  <si>
    <t>05002500237132383</t>
  </si>
  <si>
    <t>151/169/PCMI/AR/VIII/2025</t>
  </si>
  <si>
    <t>05002500264207999</t>
  </si>
  <si>
    <t>Cirebon Energi Prasarana</t>
  </si>
  <si>
    <t>169/188/PCMI/AR/VIII/2025</t>
  </si>
  <si>
    <t>05002500237125667</t>
  </si>
  <si>
    <t>150/168/PCMI/AR/VIII/2025</t>
  </si>
  <si>
    <t>03012500228951309</t>
  </si>
  <si>
    <t>147/165/PCMI/AR/VIII/2025</t>
  </si>
  <si>
    <t>03002500260562802</t>
  </si>
  <si>
    <t>167/186/PCMI/AR/VIII/2025</t>
  </si>
  <si>
    <t>03002500254161718</t>
  </si>
  <si>
    <t>163/182/PCMI/AR/VIII/2025</t>
  </si>
  <si>
    <t>04012500260465555</t>
  </si>
  <si>
    <t>168/187/PCMI/AR/VIII/2025</t>
  </si>
  <si>
    <t>04002500250614210</t>
  </si>
  <si>
    <t>162/181/PCMI/AR/VIII/2025</t>
  </si>
  <si>
    <t>05002500250249092</t>
  </si>
  <si>
    <t>159/178/PCMI/AR/VIII/2025</t>
  </si>
  <si>
    <t>03002500269448012</t>
  </si>
  <si>
    <t>172/191/PCMI/AR/IX/2025</t>
  </si>
  <si>
    <t>03002500268305676</t>
  </si>
  <si>
    <t>171/190/PCMI/AR/IX/2025</t>
  </si>
  <si>
    <t>03002500281810540</t>
  </si>
  <si>
    <t>183/202/PCMI/AR/IX/2025</t>
  </si>
  <si>
    <t>04002500271209845</t>
  </si>
  <si>
    <t>174/193/PCMI/AR/IX/2025</t>
  </si>
  <si>
    <t>03002500299526387</t>
  </si>
  <si>
    <t>188/207/PCMI/AR/IX/2025</t>
  </si>
  <si>
    <t>03002500296813440</t>
  </si>
  <si>
    <t>187/206/PCMI/AR/IX/2025</t>
  </si>
  <si>
    <t>03002500296787683</t>
  </si>
  <si>
    <t>186/205/PCMI/AR/IX/2025</t>
  </si>
  <si>
    <t>03002500269873665</t>
  </si>
  <si>
    <t>173/192/PCMI/AR/IX/2025</t>
  </si>
  <si>
    <t>03002500281821744</t>
  </si>
  <si>
    <t>184/203/PCMI/AR/IX/2025</t>
  </si>
  <si>
    <t>03002500290730362</t>
  </si>
  <si>
    <t>185/204/PCMI/AR/IX/2025</t>
  </si>
  <si>
    <t>04002500305345953</t>
  </si>
  <si>
    <t>189/208/PCMI/AR/IX/2025</t>
  </si>
  <si>
    <t>04002500273017124</t>
  </si>
  <si>
    <t>182/201/PCMI/AR/IX/2025</t>
  </si>
  <si>
    <t>04002500273009434</t>
  </si>
  <si>
    <t>181/200/PCMI/AR/IX/2025</t>
  </si>
  <si>
    <t>04002500272987465</t>
  </si>
  <si>
    <t>180/199/PCMI/AR/IX/2025</t>
  </si>
  <si>
    <t>04002500272982773</t>
  </si>
  <si>
    <t>179/198/PCMI/AR/IX/2025</t>
  </si>
  <si>
    <t>04002500272978650</t>
  </si>
  <si>
    <t>178/197/PCMI/AR/IX/2025</t>
  </si>
  <si>
    <t>04002500272975896</t>
  </si>
  <si>
    <t>177/196/PCMI/AR/IX/2025</t>
  </si>
  <si>
    <t>04002500272971726</t>
  </si>
  <si>
    <t>176/195/PCMI/AR/IX/2025</t>
  </si>
  <si>
    <t>04002500272967769</t>
  </si>
  <si>
    <t>175/194/PCMI/AR/IX/2025</t>
  </si>
  <si>
    <t>041379357070027</t>
  </si>
  <si>
    <t>Kas Negara</t>
  </si>
  <si>
    <t>411211-100 : PPN Masa September</t>
  </si>
  <si>
    <t>PT Lingkaran Ganda Berkarya</t>
  </si>
  <si>
    <t>PT Academia Citra Abadi</t>
  </si>
  <si>
    <t>PT Sama Prodiction</t>
  </si>
  <si>
    <t>06 Production</t>
  </si>
  <si>
    <t>05002500349443159</t>
  </si>
  <si>
    <t>077/83/PCMI/AR/X/2025</t>
  </si>
  <si>
    <t>03002500313172242</t>
  </si>
  <si>
    <t>170/189/PCMI/AR/X/2025</t>
  </si>
  <si>
    <t>03002500323729046</t>
  </si>
  <si>
    <t>071/81/PCMI/AR/X/2025</t>
  </si>
  <si>
    <t>03002500327203588</t>
  </si>
  <si>
    <t>190/209/PCMI/AR/X/2025</t>
  </si>
  <si>
    <t>03002500331093445</t>
  </si>
  <si>
    <t>192/211/PCMI/AR/X/2025</t>
  </si>
  <si>
    <t>04002500327207761</t>
  </si>
  <si>
    <t>191/210/PCMI/AR/X/2025</t>
  </si>
  <si>
    <t>041494414897310</t>
  </si>
  <si>
    <t>411211-100 : PPN Masa Oktober</t>
  </si>
  <si>
    <t>Exabytes Network Indonesia</t>
  </si>
  <si>
    <t>Pacto</t>
  </si>
  <si>
    <t>03002500382311059</t>
  </si>
  <si>
    <t>207/291/PCMI/AR/XI/2025)</t>
  </si>
  <si>
    <t>03002500370779004</t>
  </si>
  <si>
    <t>200/283/PCMI/AR/XI/2025</t>
  </si>
  <si>
    <t>03002500378845923</t>
  </si>
  <si>
    <t>202/286/PCMI/AR/XI/2025</t>
  </si>
  <si>
    <t>03002500365532527</t>
  </si>
  <si>
    <t>198/281/PCMI/AR/XI/2025</t>
  </si>
  <si>
    <t>03002500381536626</t>
  </si>
  <si>
    <t>205/289//PCMI/AR/XI/2025</t>
  </si>
  <si>
    <t>03002500385155055</t>
  </si>
  <si>
    <t>211/297/PCMI/AR/XI/2025</t>
  </si>
  <si>
    <t>03012500384797188</t>
  </si>
  <si>
    <t>209/295/PCMI/AR/XI/2025</t>
  </si>
  <si>
    <t>03002500379523402</t>
  </si>
  <si>
    <t>204/288//PCMI/AR/XI/2025</t>
  </si>
  <si>
    <t>03002500365385514</t>
  </si>
  <si>
    <t>198/280/PCMI/AR/XI/2025</t>
  </si>
  <si>
    <t>03002500371860259</t>
  </si>
  <si>
    <t>201/284/PCMI/AR/XI/2025</t>
  </si>
  <si>
    <t>03002500366107257</t>
  </si>
  <si>
    <t>199/282/PCMI/AR/XI/2025</t>
  </si>
  <si>
    <t>04002500364997489</t>
  </si>
  <si>
    <t>196/279/PCMI/AR/XI/2025</t>
  </si>
  <si>
    <t>03002500365104422</t>
  </si>
  <si>
    <t>197/214/PCMI/AR/XI/2025</t>
  </si>
  <si>
    <t>03002500360067239</t>
  </si>
  <si>
    <t>193/276/PCMI/AR/XI/2025</t>
  </si>
  <si>
    <t>Telkom Indonesia (Persero) PT</t>
  </si>
  <si>
    <t>03002500427597670</t>
  </si>
  <si>
    <t>194/261/PCMI/AR/XII/2025</t>
  </si>
  <si>
    <t>03002500427549257</t>
  </si>
  <si>
    <t>192/254/PCMI/AR/XII/2025</t>
  </si>
  <si>
    <t>03002500427569061</t>
  </si>
  <si>
    <t>193/219/PCMI/AR/XII/2025</t>
  </si>
  <si>
    <t>04012500422143117</t>
  </si>
  <si>
    <t>187/229/PCMI/AR/XII/2025</t>
  </si>
  <si>
    <t>03002500409254361</t>
  </si>
  <si>
    <t>184/277-1/PCMI/AR/XII/2025</t>
  </si>
  <si>
    <t>03002500407653333</t>
  </si>
  <si>
    <t>182/253/PCMI/AR/XII/2025</t>
  </si>
  <si>
    <t>03002500409262858</t>
  </si>
  <si>
    <t xml:space="preserve"> 183/228/PCMI/AR/XII/2025</t>
  </si>
  <si>
    <t>03002500406699544</t>
  </si>
  <si>
    <t>180/268/PCMI/AR/XII/2025</t>
  </si>
  <si>
    <t>03002500434377582</t>
  </si>
  <si>
    <t>196/278/PCMI/AR/XII//2025</t>
  </si>
  <si>
    <t>04002500432274099</t>
  </si>
  <si>
    <t>195/235/PCMI/AR/XII/2025</t>
  </si>
  <si>
    <t>03012500423274525</t>
  </si>
  <si>
    <t>189/231/PCMI/AR/XII/2025</t>
  </si>
  <si>
    <t>03012500423280109</t>
  </si>
  <si>
    <t>191/ 234/PCMI/AR/XII/2025</t>
  </si>
  <si>
    <t>03022500423276527</t>
  </si>
  <si>
    <t>190/232/PCMI/AR/XII/2025</t>
  </si>
  <si>
    <t>04002500423247859</t>
  </si>
  <si>
    <t>Kantor Pusat Otoritas Jasa Keuangan</t>
  </si>
  <si>
    <t>188/230/PCMI/AR/XII/2025</t>
  </si>
  <si>
    <t>05012500402136452</t>
  </si>
  <si>
    <t>178/212/PCMI/AR/XII/2025</t>
  </si>
  <si>
    <t>03002500415619829</t>
  </si>
  <si>
    <t>185/226/PCMI/AR/XII/2025</t>
  </si>
  <si>
    <t>03002500396102232</t>
  </si>
  <si>
    <t>175/269/PCMI/AR/XII/2025</t>
  </si>
  <si>
    <t>03002500402167406</t>
  </si>
  <si>
    <t>179/292/PCMI/AR/XI/2025</t>
  </si>
  <si>
    <t>03002500402097230</t>
  </si>
  <si>
    <t>177/293/PCMI/AR/XI/2025</t>
  </si>
  <si>
    <t>Tidak ada di daftar Invoice 2025</t>
  </si>
  <si>
    <t>PT Orens Kreasi Indonesia (Irven Harahap)</t>
  </si>
  <si>
    <t>PPn Masa Nopember</t>
  </si>
  <si>
    <t>PPn Masa Desember</t>
  </si>
  <si>
    <t>PPn Keluaran - PPn Masukan</t>
  </si>
  <si>
    <t>PPn Kurang (Lebih) Bayar</t>
  </si>
  <si>
    <t>STATUS</t>
  </si>
  <si>
    <t>PPN Keluaran</t>
  </si>
  <si>
    <t>Masukan</t>
  </si>
  <si>
    <t>Lebih bayar PPN April'25 pemindahan ke masa Sept'25 - pembetulan SPT I</t>
  </si>
  <si>
    <t>Lebih bayar PPN April'25 pemindahan ke masa Sept'25 - pembetulan SPT II</t>
  </si>
  <si>
    <t>Dibatalkan dan Pembetulan Sep</t>
  </si>
  <si>
    <t>PPn Masukan 2025 dilaporkan 2026</t>
  </si>
  <si>
    <t>PPn Masukan April 2024 yang BELUM DILAPORKAN</t>
  </si>
  <si>
    <t>WA Tika 8-Feb-26 : Yang benar TANPA PPN, Faktur 04002500108452904 Rp. 2.200.000 harus dibatalkan</t>
  </si>
  <si>
    <t>Pembayaran</t>
  </si>
  <si>
    <t>PAID</t>
  </si>
  <si>
    <t>AP PPN NON WAPU</t>
  </si>
  <si>
    <t>LEDGER</t>
  </si>
  <si>
    <t>SUB-LEDGER 1</t>
  </si>
  <si>
    <t>SUB-LEDGER 2</t>
  </si>
  <si>
    <t>SUB-LEDGER 3</t>
  </si>
  <si>
    <t>Seharusnya Rp. 38.375.697</t>
  </si>
  <si>
    <t>BCA Juanda to PPn In and Out</t>
  </si>
  <si>
    <t>Mandiri Mid Plaza to PPn In and Out</t>
  </si>
  <si>
    <t>PPn In and Out to Non Cash Bank</t>
  </si>
  <si>
    <t>Non Cash Bank to PPn In and Out</t>
  </si>
  <si>
    <t>041608795642306 Pembayaran PPN Masa Nopember 2025</t>
  </si>
  <si>
    <t>041675165816265 Pembayaran PPN Masa Desember 2025</t>
  </si>
  <si>
    <t>AP PPn WAPU - 2023</t>
  </si>
  <si>
    <t>AP PPn WAPU - 2024</t>
  </si>
  <si>
    <t>AP PPn WAPU - 2025</t>
  </si>
  <si>
    <t>AP PPn 2025</t>
  </si>
  <si>
    <t>Lapor Rp.49.595.169 Seharusnya Rp. 38.375.697</t>
  </si>
  <si>
    <t>Lebih Bayar PPn Keluaran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</si>
</sst>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[$-409]d\-mmm\-yy;@"/>
    <numFmt numFmtId="167" formatCode="_(* #,##0_);_(* \(#,##0\);_(* &quot;-&quot;??_);_(@_)"/>
    <numFmt numFmtId="168" formatCode="[$-409]mmm\-yy;@"/>
  </numFmts>
  <fonts count="22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b/>
      <sz val="12"/>
      <name val="TimesNewRomanPSMT"/>
    </font>
    <font>
      <sz val="12"/>
      <color theme="1"/>
      <name val="Calibri"/>
      <family val="2"/>
      <scheme val="minor"/>
    </font>
    <font>
      <b/>
      <sz val="12"/>
      <color rgb="FFFF0000"/>
      <name val="TimesNewRomanPSMT"/>
    </font>
    <font>
      <sz val="11"/>
      <color theme="1"/>
      <name val="Calibri"/>
      <family val="2"/>
      <scheme val="minor"/>
    </font>
    <font>
      <sz val="12"/>
      <color rgb="FF0070C0"/>
      <name val="TimesNewRomanPSMT"/>
    </font>
    <font>
      <sz val="12"/>
      <color rgb="FFFF0000"/>
      <name val="TimesNewRomanPSMT"/>
    </font>
    <font>
      <sz val="12"/>
      <color rgb="FF0070C0"/>
      <name val="TimesNewRomanPSMT"/>
      <family val="2"/>
    </font>
    <font>
      <i/>
      <sz val="12"/>
      <color rgb="FFFF0000"/>
      <name val="TimesNewRomanPSMT"/>
    </font>
    <font>
      <sz val="12"/>
      <color theme="7" tint="-0.499984740745262"/>
      <name val="TimesNewRomanPSMT"/>
      <family val="2"/>
    </font>
    <font>
      <i/>
      <sz val="12"/>
      <name val="TimesNewRomanPSMT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3" fillId="0" borderId="0"/>
    <xf numFmtId="164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1" fillId="0" borderId="0"/>
    <xf numFmtId="165" fontId="1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0" applyFont="1"/>
    <xf numFmtId="0" fontId="5" fillId="0" borderId="0" xfId="0" quotePrefix="1" applyFont="1"/>
    <xf numFmtId="166" fontId="4" fillId="0" borderId="0" xfId="0" applyNumberFormat="1" applyFont="1" applyAlignment="1">
      <alignment horizontal="center"/>
    </xf>
    <xf numFmtId="0" fontId="9" fillId="0" borderId="0" xfId="3" applyAlignment="1">
      <alignment horizontal="left"/>
    </xf>
    <xf numFmtId="0" fontId="5" fillId="0" borderId="0" xfId="0" applyFont="1"/>
    <xf numFmtId="0" fontId="9" fillId="0" borderId="0" xfId="0" applyFont="1"/>
    <xf numFmtId="164" fontId="2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1" applyFont="1" applyFill="1"/>
    <xf numFmtId="0" fontId="6" fillId="0" borderId="0" xfId="0" applyFont="1"/>
    <xf numFmtId="0" fontId="3" fillId="0" borderId="0" xfId="0" applyFont="1"/>
    <xf numFmtId="164" fontId="4" fillId="0" borderId="0" xfId="1" applyFont="1"/>
    <xf numFmtId="164" fontId="12" fillId="0" borderId="0" xfId="1" applyFont="1"/>
    <xf numFmtId="164" fontId="4" fillId="0" borderId="0" xfId="1" applyFont="1" applyFill="1"/>
    <xf numFmtId="164" fontId="0" fillId="0" borderId="0" xfId="1" applyFont="1"/>
    <xf numFmtId="0" fontId="9" fillId="0" borderId="0" xfId="14" applyFont="1" applyAlignment="1">
      <alignment horizontal="left" vertical="center"/>
    </xf>
    <xf numFmtId="0" fontId="11" fillId="0" borderId="0" xfId="14" applyFont="1"/>
    <xf numFmtId="164" fontId="0" fillId="0" borderId="0" xfId="1" applyFont="1" applyAlignment="1">
      <alignment horizontal="center"/>
    </xf>
    <xf numFmtId="164" fontId="16" fillId="0" borderId="0" xfId="1" applyFont="1"/>
    <xf numFmtId="0" fontId="4" fillId="0" borderId="0" xfId="0" applyFont="1" applyAlignment="1">
      <alignment horizontal="center"/>
    </xf>
    <xf numFmtId="0" fontId="17" fillId="0" borderId="0" xfId="0" applyFont="1"/>
    <xf numFmtId="0" fontId="4" fillId="0" borderId="0" xfId="0" quotePrefix="1" applyFont="1"/>
    <xf numFmtId="164" fontId="2" fillId="0" borderId="0" xfId="1" applyFont="1" applyAlignment="1">
      <alignment horizontal="center"/>
    </xf>
    <xf numFmtId="164" fontId="7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164" fontId="18" fillId="0" borderId="0" xfId="1" applyFont="1"/>
    <xf numFmtId="168" fontId="0" fillId="0" borderId="0" xfId="0" applyNumberFormat="1" applyAlignment="1">
      <alignment horizontal="center"/>
    </xf>
    <xf numFmtId="168" fontId="5" fillId="0" borderId="0" xfId="0" applyNumberFormat="1" applyFont="1" applyAlignment="1">
      <alignment horizontal="center"/>
    </xf>
    <xf numFmtId="164" fontId="16" fillId="0" borderId="0" xfId="1" applyFont="1" applyAlignment="1">
      <alignment horizontal="center"/>
    </xf>
    <xf numFmtId="0" fontId="0" fillId="0" borderId="0" xfId="0" applyAlignment="1">
      <alignment horizontal="left"/>
    </xf>
    <xf numFmtId="168" fontId="6" fillId="0" borderId="0" xfId="0" applyNumberFormat="1" applyFont="1" applyAlignment="1">
      <alignment horizontal="center"/>
    </xf>
    <xf numFmtId="167" fontId="10" fillId="0" borderId="0" xfId="20" applyNumberFormat="1" applyFont="1" applyFill="1"/>
    <xf numFmtId="164" fontId="18" fillId="0" borderId="0" xfId="1" applyFont="1" applyFill="1"/>
    <xf numFmtId="164" fontId="20" fillId="0" borderId="0" xfId="1" applyFont="1"/>
    <xf numFmtId="168" fontId="3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horizontal="center"/>
    </xf>
    <xf numFmtId="164" fontId="17" fillId="0" borderId="0" xfId="1" applyFont="1" applyAlignment="1">
      <alignment horizontal="center"/>
    </xf>
    <xf numFmtId="164" fontId="17" fillId="0" borderId="0" xfId="1" applyFont="1"/>
    <xf numFmtId="168" fontId="4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4" fontId="7" fillId="0" borderId="0" xfId="1" applyFont="1"/>
    <xf numFmtId="164" fontId="7" fillId="0" borderId="0" xfId="1" applyFont="1" applyFill="1"/>
    <xf numFmtId="164" fontId="16" fillId="0" borderId="0" xfId="1" applyFont="1" applyFill="1"/>
    <xf numFmtId="164" fontId="4" fillId="0" borderId="0" xfId="1" applyFont="1" applyFill="1" applyAlignment="1">
      <alignment horizontal="center"/>
    </xf>
    <xf numFmtId="164" fontId="17" fillId="0" borderId="0" xfId="1" applyFont="1" applyFill="1"/>
    <xf numFmtId="164" fontId="7" fillId="0" borderId="0" xfId="1" applyFont="1" applyFill="1" applyAlignment="1">
      <alignment horizontal="center"/>
    </xf>
    <xf numFmtId="0" fontId="19" fillId="0" borderId="0" xfId="0" applyFont="1"/>
    <xf numFmtId="164" fontId="12" fillId="0" borderId="0" xfId="1" applyFont="1" applyAlignment="1">
      <alignment horizontal="center"/>
    </xf>
    <xf numFmtId="164" fontId="14" fillId="4" borderId="0" xfId="1" applyFont="1" applyFill="1" applyAlignment="1">
      <alignment horizontal="center"/>
    </xf>
    <xf numFmtId="164" fontId="0" fillId="0" borderId="0" xfId="1" applyFont="1" applyFill="1"/>
    <xf numFmtId="164" fontId="19" fillId="0" borderId="0" xfId="1" applyFont="1" applyFill="1"/>
    <xf numFmtId="164" fontId="17" fillId="0" borderId="0" xfId="0" applyNumberFormat="1" applyFont="1"/>
    <xf numFmtId="0" fontId="21" fillId="0" borderId="0" xfId="0" applyFont="1"/>
    <xf numFmtId="164" fontId="0" fillId="0" borderId="0" xfId="0" applyNumberFormat="1" applyAlignment="1">
      <alignment horizontal="center"/>
    </xf>
    <xf numFmtId="168" fontId="4" fillId="3" borderId="0" xfId="0" applyNumberFormat="1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164" fontId="4" fillId="3" borderId="0" xfId="1" applyFont="1" applyFill="1"/>
    <xf numFmtId="164" fontId="4" fillId="3" borderId="0" xfId="1" applyFont="1" applyFill="1" applyAlignment="1">
      <alignment horizontal="center"/>
    </xf>
    <xf numFmtId="0" fontId="4" fillId="3" borderId="0" xfId="0" applyFont="1" applyFill="1" applyAlignment="1">
      <alignment horizontal="left"/>
    </xf>
    <xf numFmtId="168" fontId="4" fillId="2" borderId="0" xfId="0" applyNumberFormat="1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17" fillId="2" borderId="0" xfId="1" applyFont="1" applyFill="1"/>
    <xf numFmtId="164" fontId="7" fillId="2" borderId="0" xfId="1" applyFont="1" applyFill="1" applyAlignment="1">
      <alignment horizontal="center"/>
    </xf>
    <xf numFmtId="164" fontId="4" fillId="2" borderId="0" xfId="1" applyFont="1" applyFill="1"/>
  </cellXfs>
  <cellStyles count="21">
    <cellStyle name="Comma" xfId="20" builtinId="3"/>
    <cellStyle name="Comma [0]" xfId="1" builtinId="6"/>
    <cellStyle name="Comma [0] 2" xfId="4"/>
    <cellStyle name="Comma [0] 2 2" xfId="12"/>
    <cellStyle name="Comma [0] 2 3" xfId="5"/>
    <cellStyle name="Comma [0] 2 3 2" xfId="10"/>
    <cellStyle name="Comma [0] 2 3 2 2" xfId="17"/>
    <cellStyle name="Comma [0] 3" xfId="9"/>
    <cellStyle name="Comma [0] 4" xfId="16"/>
    <cellStyle name="Comma 2" xfId="6"/>
    <cellStyle name="Comma 2 2" xfId="7"/>
    <cellStyle name="Comma 3" xfId="13"/>
    <cellStyle name="Comma 4" xfId="15"/>
    <cellStyle name="Normal" xfId="0" builtinId="0"/>
    <cellStyle name="Normal 2" xfId="2"/>
    <cellStyle name="Normal 2 2" xfId="8"/>
    <cellStyle name="Normal 2 3" xfId="19"/>
    <cellStyle name="Normal 3" xfId="14"/>
    <cellStyle name="Normal 3 4 2" xfId="11"/>
    <cellStyle name="Normal 3 6" xfId="3"/>
    <cellStyle name="Normal 3 6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Z363"/>
  <sheetViews>
    <sheetView tabSelected="1" zoomScale="111" workbookViewId="0">
      <selection activeCell="E13" sqref="E13"/>
    </sheetView>
  </sheetViews>
  <sheetFormatPr defaultColWidth="11.5546875" defaultRowHeight="15.75"/>
  <cols>
    <col min="1" max="1" width="11.6640625" style="30" customWidth="1"/>
    <col min="2" max="2" width="20.77734375" style="30" customWidth="1"/>
    <col min="3" max="3" width="20.44140625" customWidth="1"/>
    <col min="4" max="4" width="38.77734375" customWidth="1"/>
    <col min="5" max="5" width="25.44140625" style="8" customWidth="1"/>
    <col min="6" max="7" width="12.109375" style="8" customWidth="1"/>
    <col min="8" max="10" width="16" style="14" customWidth="1"/>
    <col min="11" max="11" width="19.33203125" style="14" customWidth="1"/>
    <col min="12" max="12" width="7.33203125" style="14" customWidth="1"/>
    <col min="13" max="13" width="14.77734375" style="17" customWidth="1"/>
    <col min="14" max="14" width="14.77734375" style="14" customWidth="1"/>
    <col min="15" max="15" width="23.33203125" style="17" customWidth="1"/>
    <col min="16" max="16" width="24.33203125" customWidth="1"/>
    <col min="17" max="17" width="43" customWidth="1"/>
    <col min="18" max="18" width="37.109375" customWidth="1"/>
    <col min="19" max="19" width="46.44140625" customWidth="1"/>
    <col min="21" max="21" width="12.6640625" bestFit="1" customWidth="1"/>
    <col min="22" max="23" width="11.6640625" style="17" customWidth="1"/>
  </cols>
  <sheetData>
    <row r="2" spans="1:23">
      <c r="N2" s="14" t="s">
        <v>1</v>
      </c>
    </row>
    <row r="4" spans="1:23">
      <c r="A4" s="30" t="s">
        <v>72</v>
      </c>
      <c r="C4" t="s">
        <v>73</v>
      </c>
      <c r="D4" t="s">
        <v>74</v>
      </c>
      <c r="F4" s="9" t="s">
        <v>5</v>
      </c>
      <c r="G4" s="9" t="s">
        <v>606</v>
      </c>
      <c r="H4" s="51" t="s">
        <v>3</v>
      </c>
      <c r="I4" s="51" t="s">
        <v>6</v>
      </c>
      <c r="J4" s="51" t="s">
        <v>616</v>
      </c>
      <c r="K4" s="52" t="s">
        <v>75</v>
      </c>
      <c r="L4" s="51"/>
      <c r="M4" s="25" t="s">
        <v>7</v>
      </c>
      <c r="N4" s="51" t="s">
        <v>608</v>
      </c>
      <c r="O4" s="52" t="s">
        <v>617</v>
      </c>
      <c r="P4" s="20" t="s">
        <v>618</v>
      </c>
      <c r="Q4" s="8" t="s">
        <v>619</v>
      </c>
      <c r="R4" s="8" t="s">
        <v>620</v>
      </c>
      <c r="S4" s="8" t="s">
        <v>621</v>
      </c>
    </row>
    <row r="5" spans="1:23">
      <c r="B5" s="30" t="s">
        <v>607</v>
      </c>
      <c r="D5" t="s">
        <v>15</v>
      </c>
      <c r="E5" s="8" t="s">
        <v>32</v>
      </c>
      <c r="F5" s="8">
        <v>2024</v>
      </c>
      <c r="G5" s="8" t="s">
        <v>6</v>
      </c>
      <c r="H5" s="26">
        <v>47789180</v>
      </c>
      <c r="I5" s="26">
        <f>H5</f>
        <v>47789180</v>
      </c>
      <c r="J5" s="26">
        <f t="shared" ref="J5:J20" si="0">-I5</f>
        <v>-47789180</v>
      </c>
      <c r="K5" s="26">
        <f t="shared" ref="K5:K20" si="1">I5+J5</f>
        <v>0</v>
      </c>
      <c r="L5" s="26"/>
      <c r="M5" s="26">
        <v>0</v>
      </c>
      <c r="N5" s="26">
        <v>0</v>
      </c>
      <c r="O5" s="26">
        <f>0-M5+N5</f>
        <v>0</v>
      </c>
      <c r="P5" t="s">
        <v>18</v>
      </c>
      <c r="Q5" s="1" t="s">
        <v>626</v>
      </c>
      <c r="R5" s="1" t="s">
        <v>630</v>
      </c>
      <c r="S5" s="4" t="s">
        <v>62</v>
      </c>
      <c r="V5"/>
      <c r="W5"/>
    </row>
    <row r="6" spans="1:23">
      <c r="B6" s="30" t="s">
        <v>607</v>
      </c>
      <c r="D6" t="s">
        <v>15</v>
      </c>
      <c r="E6" s="8" t="s">
        <v>33</v>
      </c>
      <c r="F6" s="8">
        <v>2024</v>
      </c>
      <c r="G6" s="8" t="s">
        <v>6</v>
      </c>
      <c r="H6" s="26">
        <v>19965000</v>
      </c>
      <c r="I6" s="26">
        <f t="shared" ref="I6:I19" si="2">H6</f>
        <v>19965000</v>
      </c>
      <c r="J6" s="26">
        <f t="shared" si="0"/>
        <v>-19965000</v>
      </c>
      <c r="K6" s="26">
        <f t="shared" si="1"/>
        <v>0</v>
      </c>
      <c r="L6" s="26"/>
      <c r="M6" s="26">
        <v>0</v>
      </c>
      <c r="N6" s="26">
        <v>0</v>
      </c>
      <c r="O6" s="26">
        <f>O5-M6+N6</f>
        <v>0</v>
      </c>
      <c r="P6" t="s">
        <v>18</v>
      </c>
      <c r="Q6" s="1" t="s">
        <v>626</v>
      </c>
      <c r="R6" s="1" t="s">
        <v>630</v>
      </c>
      <c r="S6" s="4" t="s">
        <v>62</v>
      </c>
      <c r="V6"/>
      <c r="W6"/>
    </row>
    <row r="7" spans="1:23">
      <c r="B7" s="30" t="s">
        <v>607</v>
      </c>
      <c r="D7" t="s">
        <v>15</v>
      </c>
      <c r="E7" s="8" t="s">
        <v>34</v>
      </c>
      <c r="F7" s="8">
        <v>2024</v>
      </c>
      <c r="G7" s="8" t="s">
        <v>6</v>
      </c>
      <c r="H7" s="26">
        <v>2696968</v>
      </c>
      <c r="I7" s="26">
        <f t="shared" si="2"/>
        <v>2696968</v>
      </c>
      <c r="J7" s="26">
        <f t="shared" si="0"/>
        <v>-2696968</v>
      </c>
      <c r="K7" s="26">
        <f t="shared" si="1"/>
        <v>0</v>
      </c>
      <c r="L7" s="26"/>
      <c r="M7" s="26">
        <v>0</v>
      </c>
      <c r="N7" s="26">
        <v>0</v>
      </c>
      <c r="O7" s="26">
        <f t="shared" ref="O7:O70" si="3">O6-M7+N7</f>
        <v>0</v>
      </c>
      <c r="P7" t="s">
        <v>18</v>
      </c>
      <c r="Q7" s="1" t="s">
        <v>626</v>
      </c>
      <c r="R7" s="1" t="s">
        <v>630</v>
      </c>
      <c r="S7" s="4" t="s">
        <v>62</v>
      </c>
      <c r="V7"/>
      <c r="W7"/>
    </row>
    <row r="8" spans="1:23">
      <c r="B8" s="30" t="s">
        <v>607</v>
      </c>
      <c r="D8" t="s">
        <v>67</v>
      </c>
      <c r="E8" s="8" t="s">
        <v>35</v>
      </c>
      <c r="F8" s="8">
        <v>2024</v>
      </c>
      <c r="G8" s="8" t="s">
        <v>6</v>
      </c>
      <c r="H8" s="26">
        <v>170903425</v>
      </c>
      <c r="I8" s="26">
        <f t="shared" si="2"/>
        <v>170903425</v>
      </c>
      <c r="J8" s="26">
        <f t="shared" si="0"/>
        <v>-170903425</v>
      </c>
      <c r="K8" s="26">
        <f t="shared" si="1"/>
        <v>0</v>
      </c>
      <c r="L8" s="26"/>
      <c r="M8" s="26">
        <v>0</v>
      </c>
      <c r="N8" s="26">
        <v>0</v>
      </c>
      <c r="O8" s="26">
        <f t="shared" si="3"/>
        <v>0</v>
      </c>
      <c r="P8" t="s">
        <v>18</v>
      </c>
      <c r="Q8" s="1" t="s">
        <v>626</v>
      </c>
      <c r="R8" s="1" t="s">
        <v>630</v>
      </c>
      <c r="S8" s="4" t="s">
        <v>62</v>
      </c>
      <c r="V8"/>
      <c r="W8"/>
    </row>
    <row r="9" spans="1:23">
      <c r="B9" s="30" t="s">
        <v>607</v>
      </c>
      <c r="D9" t="s">
        <v>15</v>
      </c>
      <c r="E9" s="8" t="s">
        <v>36</v>
      </c>
      <c r="F9" s="8">
        <v>2024</v>
      </c>
      <c r="G9" s="8" t="s">
        <v>6</v>
      </c>
      <c r="H9" s="26">
        <v>10040099</v>
      </c>
      <c r="I9" s="26">
        <f t="shared" si="2"/>
        <v>10040099</v>
      </c>
      <c r="J9" s="26">
        <f t="shared" si="0"/>
        <v>-10040099</v>
      </c>
      <c r="K9" s="26">
        <f t="shared" si="1"/>
        <v>0</v>
      </c>
      <c r="L9" s="26"/>
      <c r="M9" s="26">
        <v>0</v>
      </c>
      <c r="N9" s="26">
        <v>0</v>
      </c>
      <c r="O9" s="26">
        <f t="shared" si="3"/>
        <v>0</v>
      </c>
      <c r="P9" t="s">
        <v>18</v>
      </c>
      <c r="Q9" s="1" t="s">
        <v>626</v>
      </c>
      <c r="R9" s="1" t="s">
        <v>630</v>
      </c>
      <c r="S9" s="4" t="s">
        <v>62</v>
      </c>
      <c r="V9"/>
      <c r="W9"/>
    </row>
    <row r="10" spans="1:23">
      <c r="B10" s="30" t="s">
        <v>607</v>
      </c>
      <c r="D10" t="s">
        <v>15</v>
      </c>
      <c r="E10" s="8" t="s">
        <v>37</v>
      </c>
      <c r="F10" s="8">
        <v>2024</v>
      </c>
      <c r="G10" s="8" t="s">
        <v>6</v>
      </c>
      <c r="H10" s="26">
        <v>9483362</v>
      </c>
      <c r="I10" s="26">
        <f t="shared" si="2"/>
        <v>9483362</v>
      </c>
      <c r="J10" s="26">
        <f t="shared" si="0"/>
        <v>-9483362</v>
      </c>
      <c r="K10" s="26">
        <f t="shared" si="1"/>
        <v>0</v>
      </c>
      <c r="L10" s="26"/>
      <c r="M10" s="26">
        <v>0</v>
      </c>
      <c r="N10" s="26">
        <v>0</v>
      </c>
      <c r="O10" s="26">
        <f t="shared" si="3"/>
        <v>0</v>
      </c>
      <c r="P10" t="s">
        <v>18</v>
      </c>
      <c r="Q10" s="1" t="s">
        <v>626</v>
      </c>
      <c r="R10" s="1" t="s">
        <v>630</v>
      </c>
      <c r="S10" s="4" t="s">
        <v>62</v>
      </c>
      <c r="V10"/>
      <c r="W10"/>
    </row>
    <row r="11" spans="1:23">
      <c r="B11" s="30" t="s">
        <v>607</v>
      </c>
      <c r="D11" t="s">
        <v>67</v>
      </c>
      <c r="E11" s="8" t="s">
        <v>38</v>
      </c>
      <c r="F11" s="8">
        <v>2024</v>
      </c>
      <c r="G11" s="8" t="s">
        <v>6</v>
      </c>
      <c r="H11" s="26">
        <v>3628790</v>
      </c>
      <c r="I11" s="26">
        <f t="shared" si="2"/>
        <v>3628790</v>
      </c>
      <c r="J11" s="26">
        <f t="shared" si="0"/>
        <v>-3628790</v>
      </c>
      <c r="K11" s="26">
        <f t="shared" si="1"/>
        <v>0</v>
      </c>
      <c r="L11" s="26"/>
      <c r="M11" s="26">
        <v>0</v>
      </c>
      <c r="N11" s="26">
        <v>0</v>
      </c>
      <c r="O11" s="26">
        <f t="shared" si="3"/>
        <v>0</v>
      </c>
      <c r="P11" t="s">
        <v>18</v>
      </c>
      <c r="Q11" s="1" t="s">
        <v>626</v>
      </c>
      <c r="R11" s="1" t="s">
        <v>630</v>
      </c>
      <c r="S11" s="4" t="s">
        <v>62</v>
      </c>
      <c r="V11"/>
      <c r="W11"/>
    </row>
    <row r="12" spans="1:23">
      <c r="B12" s="30" t="s">
        <v>607</v>
      </c>
      <c r="D12" t="s">
        <v>67</v>
      </c>
      <c r="E12" s="8" t="s">
        <v>39</v>
      </c>
      <c r="F12" s="8">
        <v>2024</v>
      </c>
      <c r="G12" s="8" t="s">
        <v>6</v>
      </c>
      <c r="H12" s="26">
        <v>1762728</v>
      </c>
      <c r="I12" s="26">
        <f t="shared" si="2"/>
        <v>1762728</v>
      </c>
      <c r="J12" s="26">
        <f t="shared" si="0"/>
        <v>-1762728</v>
      </c>
      <c r="K12" s="26">
        <f t="shared" si="1"/>
        <v>0</v>
      </c>
      <c r="L12" s="26"/>
      <c r="M12" s="26">
        <v>0</v>
      </c>
      <c r="N12" s="26">
        <v>0</v>
      </c>
      <c r="O12" s="26">
        <f t="shared" si="3"/>
        <v>0</v>
      </c>
      <c r="P12" t="s">
        <v>18</v>
      </c>
      <c r="Q12" s="1" t="s">
        <v>626</v>
      </c>
      <c r="R12" s="1" t="s">
        <v>630</v>
      </c>
      <c r="S12" s="4" t="s">
        <v>62</v>
      </c>
      <c r="V12"/>
      <c r="W12"/>
    </row>
    <row r="13" spans="1:23">
      <c r="B13" s="30" t="s">
        <v>607</v>
      </c>
      <c r="D13" t="s">
        <v>67</v>
      </c>
      <c r="E13" s="8" t="s">
        <v>40</v>
      </c>
      <c r="F13" s="8">
        <v>2024</v>
      </c>
      <c r="G13" s="8" t="s">
        <v>6</v>
      </c>
      <c r="H13" s="26">
        <v>1774828</v>
      </c>
      <c r="I13" s="26">
        <f t="shared" si="2"/>
        <v>1774828</v>
      </c>
      <c r="J13" s="26">
        <f t="shared" si="0"/>
        <v>-1774828</v>
      </c>
      <c r="K13" s="26">
        <f t="shared" si="1"/>
        <v>0</v>
      </c>
      <c r="L13" s="26"/>
      <c r="M13" s="26">
        <v>0</v>
      </c>
      <c r="N13" s="26">
        <v>0</v>
      </c>
      <c r="O13" s="26">
        <f t="shared" si="3"/>
        <v>0</v>
      </c>
      <c r="P13" t="s">
        <v>18</v>
      </c>
      <c r="Q13" s="1" t="s">
        <v>626</v>
      </c>
      <c r="R13" s="1" t="s">
        <v>630</v>
      </c>
      <c r="S13" s="4" t="s">
        <v>62</v>
      </c>
      <c r="V13"/>
      <c r="W13"/>
    </row>
    <row r="14" spans="1:23">
      <c r="B14" s="30" t="s">
        <v>607</v>
      </c>
      <c r="D14" t="s">
        <v>15</v>
      </c>
      <c r="E14" s="8" t="s">
        <v>41</v>
      </c>
      <c r="F14" s="8">
        <v>2024</v>
      </c>
      <c r="G14" s="8" t="s">
        <v>6</v>
      </c>
      <c r="H14" s="26">
        <v>2191805</v>
      </c>
      <c r="I14" s="26">
        <f t="shared" si="2"/>
        <v>2191805</v>
      </c>
      <c r="J14" s="26">
        <f t="shared" si="0"/>
        <v>-2191805</v>
      </c>
      <c r="K14" s="26">
        <f t="shared" si="1"/>
        <v>0</v>
      </c>
      <c r="L14" s="26"/>
      <c r="M14" s="26">
        <v>0</v>
      </c>
      <c r="N14" s="26">
        <v>0</v>
      </c>
      <c r="O14" s="26">
        <f t="shared" si="3"/>
        <v>0</v>
      </c>
      <c r="P14" t="s">
        <v>18</v>
      </c>
      <c r="Q14" s="1" t="s">
        <v>626</v>
      </c>
      <c r="R14" s="1" t="s">
        <v>630</v>
      </c>
      <c r="S14" s="4" t="s">
        <v>62</v>
      </c>
      <c r="V14"/>
      <c r="W14"/>
    </row>
    <row r="15" spans="1:23">
      <c r="B15" s="30" t="s">
        <v>607</v>
      </c>
      <c r="D15" t="s">
        <v>15</v>
      </c>
      <c r="E15" s="8" t="s">
        <v>42</v>
      </c>
      <c r="F15" s="8">
        <v>2024</v>
      </c>
      <c r="G15" s="8" t="s">
        <v>6</v>
      </c>
      <c r="H15" s="26">
        <v>1387188</v>
      </c>
      <c r="I15" s="26">
        <f t="shared" si="2"/>
        <v>1387188</v>
      </c>
      <c r="J15" s="26">
        <f t="shared" si="0"/>
        <v>-1387188</v>
      </c>
      <c r="K15" s="26">
        <f t="shared" si="1"/>
        <v>0</v>
      </c>
      <c r="L15" s="26"/>
      <c r="M15" s="26">
        <v>0</v>
      </c>
      <c r="N15" s="26">
        <v>0</v>
      </c>
      <c r="O15" s="26">
        <f t="shared" si="3"/>
        <v>0</v>
      </c>
      <c r="P15" t="s">
        <v>18</v>
      </c>
      <c r="Q15" s="1" t="s">
        <v>626</v>
      </c>
      <c r="R15" s="1" t="s">
        <v>630</v>
      </c>
      <c r="S15" s="4" t="s">
        <v>62</v>
      </c>
      <c r="V15"/>
      <c r="W15"/>
    </row>
    <row r="16" spans="1:23">
      <c r="B16" s="30" t="s">
        <v>607</v>
      </c>
      <c r="D16" t="s">
        <v>68</v>
      </c>
      <c r="E16" s="8" t="s">
        <v>43</v>
      </c>
      <c r="F16" s="8">
        <v>2024</v>
      </c>
      <c r="G16" s="8" t="s">
        <v>6</v>
      </c>
      <c r="H16" s="32">
        <v>3025000</v>
      </c>
      <c r="I16" s="26">
        <f t="shared" si="2"/>
        <v>3025000</v>
      </c>
      <c r="J16" s="26">
        <f t="shared" si="0"/>
        <v>-3025000</v>
      </c>
      <c r="K16" s="26">
        <f t="shared" si="1"/>
        <v>0</v>
      </c>
      <c r="L16" s="26"/>
      <c r="M16" s="26">
        <v>0</v>
      </c>
      <c r="N16" s="26">
        <v>0</v>
      </c>
      <c r="O16" s="26">
        <f t="shared" si="3"/>
        <v>0</v>
      </c>
      <c r="P16" t="s">
        <v>18</v>
      </c>
      <c r="Q16" s="1" t="s">
        <v>626</v>
      </c>
      <c r="R16" s="1" t="s">
        <v>630</v>
      </c>
      <c r="S16" s="4" t="s">
        <v>62</v>
      </c>
      <c r="V16"/>
      <c r="W16"/>
    </row>
    <row r="17" spans="1:23">
      <c r="B17" s="30" t="s">
        <v>607</v>
      </c>
      <c r="D17" t="s">
        <v>67</v>
      </c>
      <c r="E17" s="8" t="s">
        <v>44</v>
      </c>
      <c r="F17" s="8">
        <v>2024</v>
      </c>
      <c r="G17" s="8" t="s">
        <v>6</v>
      </c>
      <c r="H17" s="26">
        <v>3036979</v>
      </c>
      <c r="I17" s="26">
        <f t="shared" si="2"/>
        <v>3036979</v>
      </c>
      <c r="J17" s="26">
        <f t="shared" si="0"/>
        <v>-3036979</v>
      </c>
      <c r="K17" s="26">
        <f t="shared" si="1"/>
        <v>0</v>
      </c>
      <c r="L17" s="26"/>
      <c r="M17" s="26">
        <v>0</v>
      </c>
      <c r="N17" s="26">
        <v>0</v>
      </c>
      <c r="O17" s="26">
        <f t="shared" si="3"/>
        <v>0</v>
      </c>
      <c r="P17" t="s">
        <v>18</v>
      </c>
      <c r="Q17" s="1" t="s">
        <v>626</v>
      </c>
      <c r="R17" s="1" t="s">
        <v>630</v>
      </c>
      <c r="S17" s="4" t="s">
        <v>62</v>
      </c>
      <c r="V17"/>
      <c r="W17"/>
    </row>
    <row r="18" spans="1:23">
      <c r="B18" s="30" t="s">
        <v>607</v>
      </c>
      <c r="D18" t="s">
        <v>15</v>
      </c>
      <c r="E18" s="8" t="s">
        <v>45</v>
      </c>
      <c r="F18" s="8">
        <v>2024</v>
      </c>
      <c r="G18" s="8" t="s">
        <v>6</v>
      </c>
      <c r="H18" s="26">
        <v>1953820</v>
      </c>
      <c r="I18" s="26">
        <f t="shared" si="2"/>
        <v>1953820</v>
      </c>
      <c r="J18" s="26">
        <f t="shared" si="0"/>
        <v>-1953820</v>
      </c>
      <c r="K18" s="26">
        <f t="shared" si="1"/>
        <v>0</v>
      </c>
      <c r="L18" s="26"/>
      <c r="M18" s="26">
        <v>0</v>
      </c>
      <c r="N18" s="26">
        <v>0</v>
      </c>
      <c r="O18" s="26">
        <f t="shared" si="3"/>
        <v>0</v>
      </c>
      <c r="P18" t="s">
        <v>18</v>
      </c>
      <c r="Q18" s="1" t="s">
        <v>626</v>
      </c>
      <c r="R18" s="1" t="s">
        <v>630</v>
      </c>
      <c r="S18" s="4" t="s">
        <v>62</v>
      </c>
      <c r="V18"/>
      <c r="W18"/>
    </row>
    <row r="19" spans="1:23">
      <c r="B19" s="30" t="s">
        <v>607</v>
      </c>
      <c r="D19" t="s">
        <v>15</v>
      </c>
      <c r="E19" s="8" t="s">
        <v>28</v>
      </c>
      <c r="F19" s="8">
        <v>2024</v>
      </c>
      <c r="G19" s="8" t="s">
        <v>6</v>
      </c>
      <c r="H19" s="26">
        <v>3119086</v>
      </c>
      <c r="I19" s="26">
        <f t="shared" si="2"/>
        <v>3119086</v>
      </c>
      <c r="J19" s="26">
        <f t="shared" si="0"/>
        <v>-3119086</v>
      </c>
      <c r="K19" s="26">
        <f t="shared" si="1"/>
        <v>0</v>
      </c>
      <c r="L19" s="26"/>
      <c r="M19" s="26">
        <v>0</v>
      </c>
      <c r="N19" s="26">
        <v>0</v>
      </c>
      <c r="O19" s="26">
        <f t="shared" si="3"/>
        <v>0</v>
      </c>
      <c r="P19" t="s">
        <v>18</v>
      </c>
      <c r="Q19" s="1" t="s">
        <v>626</v>
      </c>
      <c r="R19" s="1" t="s">
        <v>630</v>
      </c>
      <c r="S19" s="4" t="s">
        <v>62</v>
      </c>
      <c r="V19"/>
      <c r="W19"/>
    </row>
    <row r="20" spans="1:23">
      <c r="B20" s="30" t="s">
        <v>607</v>
      </c>
      <c r="D20" t="s">
        <v>15</v>
      </c>
      <c r="E20" s="8" t="s">
        <v>29</v>
      </c>
      <c r="F20" s="8">
        <v>2024</v>
      </c>
      <c r="G20" s="8" t="s">
        <v>6</v>
      </c>
      <c r="H20" s="26">
        <v>12476399</v>
      </c>
      <c r="I20" s="26">
        <f>H20</f>
        <v>12476399</v>
      </c>
      <c r="J20" s="26">
        <f t="shared" si="0"/>
        <v>-12476399</v>
      </c>
      <c r="K20" s="26">
        <f t="shared" si="1"/>
        <v>0</v>
      </c>
      <c r="L20" s="26"/>
      <c r="M20" s="26">
        <v>0</v>
      </c>
      <c r="N20" s="26">
        <v>0</v>
      </c>
      <c r="O20" s="26">
        <f t="shared" si="3"/>
        <v>0</v>
      </c>
      <c r="P20" t="s">
        <v>18</v>
      </c>
      <c r="Q20" s="1" t="s">
        <v>626</v>
      </c>
      <c r="R20" s="1" t="s">
        <v>630</v>
      </c>
      <c r="S20" s="4" t="s">
        <v>62</v>
      </c>
      <c r="V20"/>
      <c r="W20"/>
    </row>
    <row r="21" spans="1:23">
      <c r="A21" s="30">
        <v>45658</v>
      </c>
      <c r="B21" s="30" t="s">
        <v>64</v>
      </c>
      <c r="D21" t="s">
        <v>85</v>
      </c>
      <c r="G21" s="8" t="s">
        <v>608</v>
      </c>
      <c r="H21" s="14">
        <v>1981982</v>
      </c>
      <c r="I21" s="26">
        <v>0</v>
      </c>
      <c r="J21" s="26">
        <v>0</v>
      </c>
      <c r="K21" s="26">
        <f t="shared" ref="K21:K43" si="4">I21-J21</f>
        <v>0</v>
      </c>
      <c r="L21" s="26"/>
      <c r="M21" s="44">
        <v>0</v>
      </c>
      <c r="N21" s="14">
        <f t="shared" ref="N21:N28" si="5">H21</f>
        <v>1981982</v>
      </c>
      <c r="O21" s="26">
        <f t="shared" si="3"/>
        <v>1981982</v>
      </c>
      <c r="P21" t="s">
        <v>18</v>
      </c>
      <c r="Q21" t="s">
        <v>624</v>
      </c>
      <c r="R21" t="s">
        <v>64</v>
      </c>
      <c r="S21" t="s">
        <v>4</v>
      </c>
    </row>
    <row r="22" spans="1:23">
      <c r="A22" s="30">
        <v>45658</v>
      </c>
      <c r="B22" s="30" t="s">
        <v>64</v>
      </c>
      <c r="D22" t="s">
        <v>86</v>
      </c>
      <c r="G22" s="8" t="s">
        <v>608</v>
      </c>
      <c r="H22" s="14">
        <v>1200883</v>
      </c>
      <c r="I22" s="26">
        <v>0</v>
      </c>
      <c r="J22" s="26">
        <v>0</v>
      </c>
      <c r="K22" s="26">
        <f t="shared" si="4"/>
        <v>0</v>
      </c>
      <c r="L22" s="26"/>
      <c r="M22" s="44">
        <v>0</v>
      </c>
      <c r="N22" s="14">
        <f t="shared" si="5"/>
        <v>1200883</v>
      </c>
      <c r="O22" s="26">
        <f t="shared" si="3"/>
        <v>3182865</v>
      </c>
      <c r="P22" t="s">
        <v>18</v>
      </c>
      <c r="Q22" t="s">
        <v>624</v>
      </c>
      <c r="R22" t="s">
        <v>64</v>
      </c>
      <c r="S22" t="s">
        <v>4</v>
      </c>
    </row>
    <row r="23" spans="1:23">
      <c r="A23" s="30">
        <v>45658</v>
      </c>
      <c r="B23" s="30" t="s">
        <v>64</v>
      </c>
      <c r="D23" t="s">
        <v>87</v>
      </c>
      <c r="G23" s="8" t="s">
        <v>608</v>
      </c>
      <c r="H23" s="14">
        <v>74324</v>
      </c>
      <c r="I23" s="26">
        <v>0</v>
      </c>
      <c r="J23" s="26">
        <v>0</v>
      </c>
      <c r="K23" s="26">
        <f t="shared" si="4"/>
        <v>0</v>
      </c>
      <c r="L23" s="26"/>
      <c r="M23" s="44">
        <v>0</v>
      </c>
      <c r="N23" s="14">
        <f t="shared" si="5"/>
        <v>74324</v>
      </c>
      <c r="O23" s="26">
        <f t="shared" si="3"/>
        <v>3257189</v>
      </c>
      <c r="P23" t="s">
        <v>18</v>
      </c>
      <c r="Q23" t="s">
        <v>623</v>
      </c>
      <c r="R23" t="s">
        <v>64</v>
      </c>
      <c r="S23" t="s">
        <v>4</v>
      </c>
    </row>
    <row r="24" spans="1:23">
      <c r="A24" s="30">
        <v>45658</v>
      </c>
      <c r="B24" s="30" t="s">
        <v>64</v>
      </c>
      <c r="D24" t="s">
        <v>88</v>
      </c>
      <c r="G24" s="8" t="s">
        <v>608</v>
      </c>
      <c r="H24" s="14">
        <v>126142500</v>
      </c>
      <c r="I24" s="26">
        <v>0</v>
      </c>
      <c r="J24" s="26">
        <v>0</v>
      </c>
      <c r="K24" s="26">
        <f t="shared" si="4"/>
        <v>0</v>
      </c>
      <c r="L24" s="26"/>
      <c r="M24" s="44">
        <v>0</v>
      </c>
      <c r="N24" s="14">
        <f t="shared" si="5"/>
        <v>126142500</v>
      </c>
      <c r="O24" s="26">
        <f t="shared" si="3"/>
        <v>129399689</v>
      </c>
      <c r="P24" t="s">
        <v>18</v>
      </c>
      <c r="Q24" t="s">
        <v>624</v>
      </c>
      <c r="R24" t="s">
        <v>64</v>
      </c>
      <c r="S24" t="s">
        <v>4</v>
      </c>
    </row>
    <row r="25" spans="1:23">
      <c r="A25" s="30">
        <v>45658</v>
      </c>
      <c r="B25" s="30" t="s">
        <v>64</v>
      </c>
      <c r="D25" t="s">
        <v>89</v>
      </c>
      <c r="G25" s="8" t="s">
        <v>608</v>
      </c>
      <c r="H25" s="14">
        <v>583000</v>
      </c>
      <c r="I25" s="26">
        <v>0</v>
      </c>
      <c r="J25" s="26">
        <v>0</v>
      </c>
      <c r="K25" s="26">
        <f t="shared" si="4"/>
        <v>0</v>
      </c>
      <c r="L25" s="26"/>
      <c r="M25" s="44">
        <v>0</v>
      </c>
      <c r="N25" s="14">
        <f t="shared" si="5"/>
        <v>583000</v>
      </c>
      <c r="O25" s="26">
        <f t="shared" si="3"/>
        <v>129982689</v>
      </c>
      <c r="P25" t="s">
        <v>18</v>
      </c>
      <c r="Q25" t="s">
        <v>623</v>
      </c>
      <c r="R25" t="s">
        <v>64</v>
      </c>
      <c r="S25" t="s">
        <v>4</v>
      </c>
    </row>
    <row r="26" spans="1:23">
      <c r="A26" s="30">
        <v>45658</v>
      </c>
      <c r="B26" s="30" t="s">
        <v>64</v>
      </c>
      <c r="D26" t="s">
        <v>89</v>
      </c>
      <c r="G26" s="8" t="s">
        <v>608</v>
      </c>
      <c r="H26" s="14">
        <v>506000</v>
      </c>
      <c r="I26" s="26">
        <v>0</v>
      </c>
      <c r="J26" s="26">
        <v>0</v>
      </c>
      <c r="K26" s="26">
        <f t="shared" si="4"/>
        <v>0</v>
      </c>
      <c r="L26" s="26"/>
      <c r="M26" s="44">
        <v>0</v>
      </c>
      <c r="N26" s="14">
        <f t="shared" si="5"/>
        <v>506000</v>
      </c>
      <c r="O26" s="26">
        <f t="shared" si="3"/>
        <v>130488689</v>
      </c>
      <c r="P26" t="s">
        <v>18</v>
      </c>
      <c r="Q26" t="s">
        <v>623</v>
      </c>
      <c r="R26" t="s">
        <v>64</v>
      </c>
      <c r="S26" t="s">
        <v>4</v>
      </c>
    </row>
    <row r="27" spans="1:23" s="1" customFormat="1">
      <c r="A27" s="42">
        <v>45658</v>
      </c>
      <c r="B27" s="42" t="s">
        <v>64</v>
      </c>
      <c r="D27" s="1" t="s">
        <v>90</v>
      </c>
      <c r="E27" s="22"/>
      <c r="F27" s="22"/>
      <c r="G27" s="22" t="s">
        <v>608</v>
      </c>
      <c r="H27" s="14">
        <v>13200000</v>
      </c>
      <c r="I27" s="26">
        <v>0</v>
      </c>
      <c r="J27" s="26">
        <v>0</v>
      </c>
      <c r="K27" s="26">
        <f t="shared" si="4"/>
        <v>0</v>
      </c>
      <c r="L27" s="26"/>
      <c r="M27" s="14">
        <v>0</v>
      </c>
      <c r="N27" s="14">
        <f t="shared" si="5"/>
        <v>13200000</v>
      </c>
      <c r="O27" s="26">
        <f t="shared" si="3"/>
        <v>143688689</v>
      </c>
      <c r="P27" s="1" t="s">
        <v>18</v>
      </c>
      <c r="Q27" t="s">
        <v>623</v>
      </c>
      <c r="R27" s="1" t="s">
        <v>64</v>
      </c>
      <c r="S27" s="1" t="s">
        <v>4</v>
      </c>
      <c r="V27" s="14"/>
      <c r="W27" s="14"/>
    </row>
    <row r="28" spans="1:23" s="1" customFormat="1">
      <c r="A28" s="42">
        <v>45658</v>
      </c>
      <c r="B28" s="42" t="s">
        <v>1</v>
      </c>
      <c r="D28" s="1" t="s">
        <v>91</v>
      </c>
      <c r="E28" s="22"/>
      <c r="F28" s="22"/>
      <c r="G28" s="22" t="s">
        <v>608</v>
      </c>
      <c r="H28" s="16">
        <v>261800</v>
      </c>
      <c r="I28" s="47">
        <v>0</v>
      </c>
      <c r="J28" s="47">
        <v>0</v>
      </c>
      <c r="K28" s="47">
        <f t="shared" si="4"/>
        <v>0</v>
      </c>
      <c r="L28" s="47"/>
      <c r="M28" s="16">
        <v>0</v>
      </c>
      <c r="N28" s="16">
        <f t="shared" si="5"/>
        <v>261800</v>
      </c>
      <c r="O28" s="47">
        <f t="shared" si="3"/>
        <v>143950489</v>
      </c>
      <c r="P28" s="1" t="s">
        <v>18</v>
      </c>
      <c r="Q28" s="1" t="s">
        <v>626</v>
      </c>
      <c r="R28" s="1" t="s">
        <v>613</v>
      </c>
      <c r="S28" s="1" t="s">
        <v>1</v>
      </c>
      <c r="V28" s="16"/>
      <c r="W28" s="16"/>
    </row>
    <row r="29" spans="1:23">
      <c r="A29" s="30">
        <v>45658</v>
      </c>
      <c r="B29" s="30" t="s">
        <v>607</v>
      </c>
      <c r="C29" t="s">
        <v>92</v>
      </c>
      <c r="D29" t="s">
        <v>93</v>
      </c>
      <c r="E29" s="10" t="s">
        <v>20</v>
      </c>
      <c r="F29" s="10">
        <v>2025</v>
      </c>
      <c r="G29" s="10" t="s">
        <v>7</v>
      </c>
      <c r="H29" s="21">
        <v>550000</v>
      </c>
      <c r="I29" s="26">
        <v>0</v>
      </c>
      <c r="J29" s="26">
        <v>0</v>
      </c>
      <c r="K29" s="26">
        <f t="shared" si="4"/>
        <v>0</v>
      </c>
      <c r="L29" s="26"/>
      <c r="M29" s="21">
        <f>H29</f>
        <v>550000</v>
      </c>
      <c r="N29" s="26">
        <v>0</v>
      </c>
      <c r="O29" s="26">
        <f t="shared" si="3"/>
        <v>143400489</v>
      </c>
      <c r="P29" t="s">
        <v>0</v>
      </c>
      <c r="Q29" t="s">
        <v>604</v>
      </c>
      <c r="R29" t="s">
        <v>605</v>
      </c>
    </row>
    <row r="30" spans="1:23">
      <c r="A30" s="30">
        <v>45658</v>
      </c>
      <c r="B30" s="30" t="s">
        <v>607</v>
      </c>
      <c r="C30" t="s">
        <v>94</v>
      </c>
      <c r="D30" t="s">
        <v>95</v>
      </c>
      <c r="E30" s="8" t="s">
        <v>22</v>
      </c>
      <c r="F30" s="10">
        <v>2025</v>
      </c>
      <c r="G30" s="10" t="s">
        <v>7</v>
      </c>
      <c r="H30" s="21">
        <v>550000</v>
      </c>
      <c r="I30" s="26">
        <v>0</v>
      </c>
      <c r="J30" s="26">
        <v>0</v>
      </c>
      <c r="K30" s="26">
        <f t="shared" si="4"/>
        <v>0</v>
      </c>
      <c r="L30" s="26"/>
      <c r="M30" s="21">
        <f>H30</f>
        <v>550000</v>
      </c>
      <c r="N30" s="26">
        <v>0</v>
      </c>
      <c r="O30" s="26">
        <f t="shared" si="3"/>
        <v>142850489</v>
      </c>
      <c r="P30" t="s">
        <v>0</v>
      </c>
      <c r="Q30" t="s">
        <v>604</v>
      </c>
      <c r="R30" t="s">
        <v>605</v>
      </c>
    </row>
    <row r="31" spans="1:23">
      <c r="A31" s="30">
        <v>45658</v>
      </c>
      <c r="B31" s="30" t="s">
        <v>607</v>
      </c>
      <c r="C31" t="s">
        <v>96</v>
      </c>
      <c r="D31" t="s">
        <v>95</v>
      </c>
      <c r="E31" s="8" t="s">
        <v>21</v>
      </c>
      <c r="F31" s="8">
        <v>2025</v>
      </c>
      <c r="G31" s="8" t="s">
        <v>6</v>
      </c>
      <c r="H31" s="35">
        <v>74324324</v>
      </c>
      <c r="I31" s="26">
        <f>H31</f>
        <v>74324324</v>
      </c>
      <c r="J31" s="26">
        <f>-I31</f>
        <v>-74324324</v>
      </c>
      <c r="K31" s="26">
        <f>I31+J31</f>
        <v>0</v>
      </c>
      <c r="L31" s="26"/>
      <c r="M31" s="44">
        <v>0</v>
      </c>
      <c r="N31" s="26">
        <v>0</v>
      </c>
      <c r="O31" s="26">
        <f t="shared" si="3"/>
        <v>142850489</v>
      </c>
      <c r="P31" t="s">
        <v>18</v>
      </c>
      <c r="Q31" s="1" t="s">
        <v>626</v>
      </c>
      <c r="R31" t="s">
        <v>631</v>
      </c>
      <c r="S31" s="4" t="s">
        <v>25</v>
      </c>
      <c r="V31"/>
      <c r="W31"/>
    </row>
    <row r="32" spans="1:23">
      <c r="A32" s="30">
        <v>45689</v>
      </c>
      <c r="B32" s="30" t="s">
        <v>64</v>
      </c>
      <c r="D32" t="s">
        <v>85</v>
      </c>
      <c r="G32" s="8" t="s">
        <v>608</v>
      </c>
      <c r="H32" s="14">
        <v>1981982</v>
      </c>
      <c r="I32" s="26">
        <v>0</v>
      </c>
      <c r="J32" s="26">
        <v>0</v>
      </c>
      <c r="K32" s="26">
        <f t="shared" si="4"/>
        <v>0</v>
      </c>
      <c r="L32" s="26"/>
      <c r="M32" s="44">
        <v>0</v>
      </c>
      <c r="N32" s="14">
        <f t="shared" ref="N32:N43" si="6">H32</f>
        <v>1981982</v>
      </c>
      <c r="O32" s="26">
        <f t="shared" si="3"/>
        <v>144832471</v>
      </c>
      <c r="P32" t="s">
        <v>18</v>
      </c>
      <c r="Q32" t="s">
        <v>624</v>
      </c>
      <c r="R32" t="s">
        <v>64</v>
      </c>
      <c r="S32" t="s">
        <v>59</v>
      </c>
    </row>
    <row r="33" spans="1:23">
      <c r="A33" s="30">
        <v>45689</v>
      </c>
      <c r="B33" s="30" t="s">
        <v>64</v>
      </c>
      <c r="D33" t="s">
        <v>89</v>
      </c>
      <c r="G33" s="8" t="s">
        <v>608</v>
      </c>
      <c r="H33" s="14">
        <v>583000</v>
      </c>
      <c r="I33" s="26">
        <v>0</v>
      </c>
      <c r="J33" s="26">
        <v>0</v>
      </c>
      <c r="K33" s="26">
        <f t="shared" si="4"/>
        <v>0</v>
      </c>
      <c r="L33" s="26"/>
      <c r="M33" s="44">
        <v>0</v>
      </c>
      <c r="N33" s="14">
        <f t="shared" si="6"/>
        <v>583000</v>
      </c>
      <c r="O33" s="26">
        <f t="shared" si="3"/>
        <v>145415471</v>
      </c>
      <c r="P33" s="1" t="s">
        <v>18</v>
      </c>
      <c r="Q33" t="s">
        <v>623</v>
      </c>
      <c r="R33" s="1" t="s">
        <v>64</v>
      </c>
      <c r="S33" s="1" t="s">
        <v>59</v>
      </c>
    </row>
    <row r="34" spans="1:23">
      <c r="A34" s="30">
        <v>45689</v>
      </c>
      <c r="B34" s="30" t="s">
        <v>64</v>
      </c>
      <c r="D34" t="s">
        <v>89</v>
      </c>
      <c r="G34" s="8" t="s">
        <v>608</v>
      </c>
      <c r="H34" s="14">
        <v>506000</v>
      </c>
      <c r="I34" s="26">
        <v>0</v>
      </c>
      <c r="J34" s="26">
        <v>0</v>
      </c>
      <c r="K34" s="26">
        <f t="shared" si="4"/>
        <v>0</v>
      </c>
      <c r="L34" s="26"/>
      <c r="M34" s="44">
        <v>0</v>
      </c>
      <c r="N34" s="14">
        <f t="shared" si="6"/>
        <v>506000</v>
      </c>
      <c r="O34" s="26">
        <f t="shared" si="3"/>
        <v>145921471</v>
      </c>
      <c r="P34" s="1" t="s">
        <v>18</v>
      </c>
      <c r="Q34" t="s">
        <v>623</v>
      </c>
      <c r="R34" s="1" t="s">
        <v>64</v>
      </c>
      <c r="S34" s="1" t="s">
        <v>59</v>
      </c>
    </row>
    <row r="35" spans="1:23">
      <c r="A35" s="30">
        <v>45689</v>
      </c>
      <c r="B35" s="30" t="s">
        <v>64</v>
      </c>
      <c r="D35" t="s">
        <v>88</v>
      </c>
      <c r="G35" s="8" t="s">
        <v>608</v>
      </c>
      <c r="H35" s="14">
        <v>6836500</v>
      </c>
      <c r="I35" s="26">
        <v>0</v>
      </c>
      <c r="J35" s="26">
        <v>0</v>
      </c>
      <c r="K35" s="26">
        <f t="shared" si="4"/>
        <v>0</v>
      </c>
      <c r="L35" s="26"/>
      <c r="M35" s="44">
        <v>0</v>
      </c>
      <c r="N35" s="14">
        <f t="shared" si="6"/>
        <v>6836500</v>
      </c>
      <c r="O35" s="26">
        <f t="shared" si="3"/>
        <v>152757971</v>
      </c>
      <c r="P35" t="s">
        <v>18</v>
      </c>
      <c r="Q35" t="s">
        <v>624</v>
      </c>
      <c r="R35" s="6" t="s">
        <v>64</v>
      </c>
      <c r="S35" t="s">
        <v>59</v>
      </c>
    </row>
    <row r="36" spans="1:23">
      <c r="A36" s="30">
        <v>45689</v>
      </c>
      <c r="B36" s="30" t="s">
        <v>64</v>
      </c>
      <c r="D36" t="s">
        <v>88</v>
      </c>
      <c r="G36" s="8" t="s">
        <v>608</v>
      </c>
      <c r="H36" s="14">
        <v>1515525</v>
      </c>
      <c r="I36" s="26">
        <v>0</v>
      </c>
      <c r="J36" s="26">
        <v>0</v>
      </c>
      <c r="K36" s="26">
        <f t="shared" si="4"/>
        <v>0</v>
      </c>
      <c r="L36" s="26"/>
      <c r="M36" s="44">
        <v>0</v>
      </c>
      <c r="N36" s="14">
        <f t="shared" si="6"/>
        <v>1515525</v>
      </c>
      <c r="O36" s="26">
        <f t="shared" si="3"/>
        <v>154273496</v>
      </c>
      <c r="P36" t="s">
        <v>18</v>
      </c>
      <c r="Q36" t="s">
        <v>624</v>
      </c>
      <c r="R36" t="s">
        <v>64</v>
      </c>
      <c r="S36" t="s">
        <v>59</v>
      </c>
    </row>
    <row r="37" spans="1:23">
      <c r="A37" s="30">
        <v>45689</v>
      </c>
      <c r="B37" s="30" t="s">
        <v>64</v>
      </c>
      <c r="D37" t="s">
        <v>97</v>
      </c>
      <c r="G37" s="8" t="s">
        <v>608</v>
      </c>
      <c r="H37" s="14">
        <v>2370500</v>
      </c>
      <c r="I37" s="26">
        <v>0</v>
      </c>
      <c r="J37" s="26">
        <v>0</v>
      </c>
      <c r="K37" s="26">
        <f t="shared" si="4"/>
        <v>0</v>
      </c>
      <c r="L37" s="26"/>
      <c r="M37" s="44">
        <v>0</v>
      </c>
      <c r="N37" s="14">
        <f t="shared" si="6"/>
        <v>2370500</v>
      </c>
      <c r="O37" s="26">
        <f t="shared" si="3"/>
        <v>156643996</v>
      </c>
      <c r="P37" s="1" t="s">
        <v>18</v>
      </c>
      <c r="Q37" t="s">
        <v>623</v>
      </c>
      <c r="R37" s="1" t="s">
        <v>64</v>
      </c>
      <c r="S37" s="1" t="s">
        <v>59</v>
      </c>
    </row>
    <row r="38" spans="1:23">
      <c r="A38" s="30">
        <v>45689</v>
      </c>
      <c r="B38" s="30" t="s">
        <v>64</v>
      </c>
      <c r="D38" t="s">
        <v>87</v>
      </c>
      <c r="G38" s="8" t="s">
        <v>608</v>
      </c>
      <c r="H38" s="14">
        <v>74324</v>
      </c>
      <c r="I38" s="26">
        <v>0</v>
      </c>
      <c r="J38" s="26">
        <v>0</v>
      </c>
      <c r="K38" s="26">
        <f t="shared" si="4"/>
        <v>0</v>
      </c>
      <c r="L38" s="26"/>
      <c r="M38" s="44">
        <v>0</v>
      </c>
      <c r="N38" s="14">
        <f t="shared" si="6"/>
        <v>74324</v>
      </c>
      <c r="O38" s="26">
        <f t="shared" si="3"/>
        <v>156718320</v>
      </c>
      <c r="P38" s="1" t="s">
        <v>18</v>
      </c>
      <c r="Q38" t="s">
        <v>623</v>
      </c>
      <c r="R38" s="1" t="s">
        <v>64</v>
      </c>
      <c r="S38" s="1" t="s">
        <v>59</v>
      </c>
    </row>
    <row r="39" spans="1:23">
      <c r="A39" s="30">
        <v>45689</v>
      </c>
      <c r="B39" s="30" t="s">
        <v>64</v>
      </c>
      <c r="D39" t="s">
        <v>98</v>
      </c>
      <c r="G39" s="8" t="s">
        <v>608</v>
      </c>
      <c r="H39" s="14">
        <v>822522</v>
      </c>
      <c r="I39" s="26">
        <v>0</v>
      </c>
      <c r="J39" s="26">
        <v>0</v>
      </c>
      <c r="K39" s="26">
        <f t="shared" si="4"/>
        <v>0</v>
      </c>
      <c r="L39" s="26"/>
      <c r="M39" s="44">
        <v>0</v>
      </c>
      <c r="N39" s="14">
        <f t="shared" si="6"/>
        <v>822522</v>
      </c>
      <c r="O39" s="26">
        <f t="shared" si="3"/>
        <v>157540842</v>
      </c>
      <c r="P39" s="1" t="s">
        <v>18</v>
      </c>
      <c r="Q39" t="s">
        <v>623</v>
      </c>
      <c r="R39" s="1" t="s">
        <v>64</v>
      </c>
      <c r="S39" s="1" t="s">
        <v>59</v>
      </c>
    </row>
    <row r="40" spans="1:23">
      <c r="A40" s="30">
        <v>45689</v>
      </c>
      <c r="B40" s="30" t="s">
        <v>64</v>
      </c>
      <c r="D40" t="s">
        <v>99</v>
      </c>
      <c r="G40" s="8" t="s">
        <v>608</v>
      </c>
      <c r="H40" s="14">
        <v>22770000</v>
      </c>
      <c r="I40" s="26">
        <v>0</v>
      </c>
      <c r="J40" s="26">
        <v>0</v>
      </c>
      <c r="K40" s="26">
        <f t="shared" si="4"/>
        <v>0</v>
      </c>
      <c r="L40" s="26"/>
      <c r="M40" s="44">
        <v>0</v>
      </c>
      <c r="N40" s="14">
        <f t="shared" si="6"/>
        <v>22770000</v>
      </c>
      <c r="O40" s="26">
        <f t="shared" si="3"/>
        <v>180310842</v>
      </c>
      <c r="P40" s="1" t="s">
        <v>18</v>
      </c>
      <c r="Q40" t="s">
        <v>623</v>
      </c>
      <c r="R40" s="1" t="s">
        <v>64</v>
      </c>
      <c r="S40" s="1" t="s">
        <v>59</v>
      </c>
    </row>
    <row r="41" spans="1:23">
      <c r="A41" s="30">
        <v>45689</v>
      </c>
      <c r="B41" s="30" t="s">
        <v>64</v>
      </c>
      <c r="D41" t="s">
        <v>100</v>
      </c>
      <c r="G41" s="8" t="s">
        <v>608</v>
      </c>
      <c r="H41" s="14">
        <v>8819820</v>
      </c>
      <c r="I41" s="26">
        <v>0</v>
      </c>
      <c r="J41" s="26">
        <v>0</v>
      </c>
      <c r="K41" s="26">
        <f t="shared" si="4"/>
        <v>0</v>
      </c>
      <c r="L41" s="26"/>
      <c r="M41" s="44">
        <v>0</v>
      </c>
      <c r="N41" s="14">
        <f t="shared" si="6"/>
        <v>8819820</v>
      </c>
      <c r="O41" s="26">
        <f t="shared" si="3"/>
        <v>189130662</v>
      </c>
      <c r="P41" s="1" t="s">
        <v>18</v>
      </c>
      <c r="Q41" t="s">
        <v>623</v>
      </c>
      <c r="R41" s="1" t="s">
        <v>64</v>
      </c>
      <c r="S41" s="1" t="s">
        <v>59</v>
      </c>
    </row>
    <row r="42" spans="1:23">
      <c r="A42" s="30">
        <v>45689</v>
      </c>
      <c r="B42" s="30" t="s">
        <v>64</v>
      </c>
      <c r="D42" t="s">
        <v>101</v>
      </c>
      <c r="G42" s="8" t="s">
        <v>608</v>
      </c>
      <c r="H42" s="14">
        <v>385000</v>
      </c>
      <c r="I42" s="26">
        <v>0</v>
      </c>
      <c r="J42" s="26">
        <v>0</v>
      </c>
      <c r="K42" s="26">
        <f t="shared" si="4"/>
        <v>0</v>
      </c>
      <c r="L42" s="26"/>
      <c r="M42" s="44">
        <v>0</v>
      </c>
      <c r="N42" s="14">
        <f t="shared" si="6"/>
        <v>385000</v>
      </c>
      <c r="O42" s="26">
        <f t="shared" si="3"/>
        <v>189515662</v>
      </c>
      <c r="P42" t="s">
        <v>18</v>
      </c>
      <c r="Q42" t="s">
        <v>623</v>
      </c>
      <c r="R42" t="s">
        <v>64</v>
      </c>
      <c r="S42" t="s">
        <v>59</v>
      </c>
    </row>
    <row r="43" spans="1:23">
      <c r="A43" s="30">
        <v>45689</v>
      </c>
      <c r="B43" s="30" t="s">
        <v>64</v>
      </c>
      <c r="D43" t="s">
        <v>101</v>
      </c>
      <c r="G43" s="8" t="s">
        <v>608</v>
      </c>
      <c r="H43" s="14">
        <v>385000</v>
      </c>
      <c r="I43" s="26">
        <v>0</v>
      </c>
      <c r="J43" s="26">
        <v>0</v>
      </c>
      <c r="K43" s="26">
        <f t="shared" si="4"/>
        <v>0</v>
      </c>
      <c r="L43" s="26"/>
      <c r="M43" s="44">
        <v>0</v>
      </c>
      <c r="N43" s="14">
        <f t="shared" si="6"/>
        <v>385000</v>
      </c>
      <c r="O43" s="26">
        <f t="shared" si="3"/>
        <v>189900662</v>
      </c>
      <c r="P43" t="s">
        <v>18</v>
      </c>
      <c r="Q43" t="s">
        <v>623</v>
      </c>
      <c r="R43" t="s">
        <v>64</v>
      </c>
      <c r="S43" t="s">
        <v>59</v>
      </c>
    </row>
    <row r="44" spans="1:23">
      <c r="A44" s="30">
        <v>45689</v>
      </c>
      <c r="B44" s="30" t="s">
        <v>607</v>
      </c>
      <c r="C44" t="s">
        <v>102</v>
      </c>
      <c r="D44" t="s">
        <v>103</v>
      </c>
      <c r="E44" s="10" t="s">
        <v>23</v>
      </c>
      <c r="F44" s="8">
        <v>2025</v>
      </c>
      <c r="G44" s="8" t="s">
        <v>6</v>
      </c>
      <c r="H44" s="29">
        <v>74324324</v>
      </c>
      <c r="I44" s="26">
        <f t="shared" ref="I44:I74" si="7">H44</f>
        <v>74324324</v>
      </c>
      <c r="J44" s="26">
        <f>-I44</f>
        <v>-74324324</v>
      </c>
      <c r="K44" s="26">
        <f t="shared" ref="K44:K76" si="8">I44+J44</f>
        <v>0</v>
      </c>
      <c r="L44" s="26"/>
      <c r="M44" s="44">
        <v>0</v>
      </c>
      <c r="N44" s="26">
        <v>0</v>
      </c>
      <c r="O44" s="26">
        <f t="shared" si="3"/>
        <v>189900662</v>
      </c>
      <c r="P44" t="s">
        <v>18</v>
      </c>
      <c r="Q44" s="1" t="s">
        <v>626</v>
      </c>
      <c r="R44" t="s">
        <v>631</v>
      </c>
      <c r="S44" s="4" t="s">
        <v>25</v>
      </c>
      <c r="V44"/>
      <c r="W44"/>
    </row>
    <row r="45" spans="1:23">
      <c r="A45" s="30">
        <v>45689</v>
      </c>
      <c r="B45" s="30" t="s">
        <v>607</v>
      </c>
      <c r="C45" t="s">
        <v>104</v>
      </c>
      <c r="D45" t="s">
        <v>105</v>
      </c>
      <c r="E45" s="8" t="s">
        <v>106</v>
      </c>
      <c r="F45" s="8">
        <v>2025</v>
      </c>
      <c r="G45" s="8" t="s">
        <v>6</v>
      </c>
      <c r="H45" s="29">
        <v>9909910</v>
      </c>
      <c r="I45" s="26">
        <f t="shared" si="7"/>
        <v>9909910</v>
      </c>
      <c r="J45" s="26">
        <f>-I45</f>
        <v>-9909910</v>
      </c>
      <c r="K45" s="26">
        <f t="shared" si="8"/>
        <v>0</v>
      </c>
      <c r="L45" s="26"/>
      <c r="M45" s="44">
        <v>0</v>
      </c>
      <c r="N45" s="26">
        <v>0</v>
      </c>
      <c r="O45" s="26">
        <f t="shared" si="3"/>
        <v>189900662</v>
      </c>
      <c r="P45" t="s">
        <v>18</v>
      </c>
      <c r="Q45" s="1" t="s">
        <v>626</v>
      </c>
      <c r="R45" t="s">
        <v>631</v>
      </c>
      <c r="S45" s="4" t="s">
        <v>25</v>
      </c>
      <c r="V45"/>
      <c r="W45"/>
    </row>
    <row r="46" spans="1:23">
      <c r="A46" s="30">
        <v>45689</v>
      </c>
      <c r="B46" s="30" t="s">
        <v>607</v>
      </c>
      <c r="C46" t="s">
        <v>107</v>
      </c>
      <c r="D46" t="s">
        <v>108</v>
      </c>
      <c r="E46" s="8" t="s">
        <v>109</v>
      </c>
      <c r="F46" s="8">
        <v>2025</v>
      </c>
      <c r="G46" s="8" t="s">
        <v>6</v>
      </c>
      <c r="H46" s="29">
        <v>24774775</v>
      </c>
      <c r="I46" s="26">
        <f t="shared" si="7"/>
        <v>24774775</v>
      </c>
      <c r="J46" s="26">
        <f>-I46</f>
        <v>-24774775</v>
      </c>
      <c r="K46" s="26">
        <f t="shared" si="8"/>
        <v>0</v>
      </c>
      <c r="L46" s="26"/>
      <c r="M46" s="44">
        <v>0</v>
      </c>
      <c r="N46" s="26">
        <v>0</v>
      </c>
      <c r="O46" s="26">
        <f t="shared" si="3"/>
        <v>189900662</v>
      </c>
      <c r="P46" t="s">
        <v>18</v>
      </c>
      <c r="Q46" s="1" t="s">
        <v>626</v>
      </c>
      <c r="R46" t="s">
        <v>631</v>
      </c>
      <c r="S46" s="4" t="s">
        <v>25</v>
      </c>
      <c r="V46"/>
      <c r="W46"/>
    </row>
    <row r="47" spans="1:23">
      <c r="A47" s="30">
        <v>45689</v>
      </c>
      <c r="B47" s="30" t="s">
        <v>607</v>
      </c>
      <c r="C47" t="s">
        <v>110</v>
      </c>
      <c r="D47" t="s">
        <v>111</v>
      </c>
      <c r="E47" s="8" t="s">
        <v>24</v>
      </c>
      <c r="F47" s="8">
        <v>2025</v>
      </c>
      <c r="G47" s="8" t="s">
        <v>6</v>
      </c>
      <c r="H47" s="29">
        <v>5500000</v>
      </c>
      <c r="I47" s="26">
        <f t="shared" si="7"/>
        <v>5500000</v>
      </c>
      <c r="J47" s="26">
        <v>0</v>
      </c>
      <c r="K47" s="26">
        <f t="shared" si="8"/>
        <v>5500000</v>
      </c>
      <c r="L47" s="26"/>
      <c r="M47" s="44">
        <v>0</v>
      </c>
      <c r="N47" s="26">
        <v>0</v>
      </c>
      <c r="O47" s="26">
        <f t="shared" si="3"/>
        <v>189900662</v>
      </c>
      <c r="P47" t="s">
        <v>1</v>
      </c>
      <c r="Q47" s="1" t="s">
        <v>1</v>
      </c>
      <c r="R47" t="s">
        <v>1</v>
      </c>
      <c r="S47" s="4" t="s">
        <v>1</v>
      </c>
      <c r="V47"/>
      <c r="W47"/>
    </row>
    <row r="48" spans="1:23">
      <c r="A48" s="30">
        <v>45689</v>
      </c>
      <c r="B48" s="30" t="s">
        <v>607</v>
      </c>
      <c r="C48" t="s">
        <v>112</v>
      </c>
      <c r="D48" t="s">
        <v>113</v>
      </c>
      <c r="E48" s="8" t="s">
        <v>114</v>
      </c>
      <c r="F48" s="8">
        <v>2025</v>
      </c>
      <c r="G48" s="8" t="s">
        <v>6</v>
      </c>
      <c r="H48" s="29">
        <v>8250000</v>
      </c>
      <c r="I48" s="26">
        <f t="shared" si="7"/>
        <v>8250000</v>
      </c>
      <c r="J48" s="26">
        <f t="shared" ref="J48:J66" si="9">-I48</f>
        <v>-8250000</v>
      </c>
      <c r="K48" s="26">
        <f t="shared" si="8"/>
        <v>0</v>
      </c>
      <c r="L48" s="26"/>
      <c r="M48" s="44">
        <v>0</v>
      </c>
      <c r="N48" s="26">
        <v>0</v>
      </c>
      <c r="O48" s="26">
        <f t="shared" si="3"/>
        <v>189900662</v>
      </c>
      <c r="P48" t="s">
        <v>18</v>
      </c>
      <c r="Q48" s="1" t="s">
        <v>626</v>
      </c>
      <c r="R48" t="s">
        <v>631</v>
      </c>
      <c r="S48" s="4" t="s">
        <v>25</v>
      </c>
      <c r="V48"/>
      <c r="W48"/>
    </row>
    <row r="49" spans="1:19" customFormat="1">
      <c r="A49" s="30">
        <v>45689</v>
      </c>
      <c r="B49" s="30" t="s">
        <v>607</v>
      </c>
      <c r="C49" t="s">
        <v>115</v>
      </c>
      <c r="D49" t="s">
        <v>108</v>
      </c>
      <c r="E49" s="8" t="s">
        <v>109</v>
      </c>
      <c r="F49" s="8">
        <v>2025</v>
      </c>
      <c r="G49" s="8" t="s">
        <v>6</v>
      </c>
      <c r="H49" s="36">
        <v>1216600</v>
      </c>
      <c r="I49" s="26">
        <f t="shared" si="7"/>
        <v>1216600</v>
      </c>
      <c r="J49" s="26">
        <f t="shared" si="9"/>
        <v>-1216600</v>
      </c>
      <c r="K49" s="26">
        <f t="shared" si="8"/>
        <v>0</v>
      </c>
      <c r="L49" s="26"/>
      <c r="M49" s="44">
        <v>0</v>
      </c>
      <c r="N49" s="26">
        <v>0</v>
      </c>
      <c r="O49" s="26">
        <f t="shared" si="3"/>
        <v>189900662</v>
      </c>
      <c r="P49" t="s">
        <v>18</v>
      </c>
      <c r="Q49" s="1" t="s">
        <v>626</v>
      </c>
      <c r="R49" t="s">
        <v>631</v>
      </c>
      <c r="S49" s="4" t="s">
        <v>25</v>
      </c>
    </row>
    <row r="50" spans="1:19" customFormat="1">
      <c r="A50" s="30">
        <v>45689</v>
      </c>
      <c r="B50" s="30" t="s">
        <v>607</v>
      </c>
      <c r="C50" t="s">
        <v>116</v>
      </c>
      <c r="D50" t="s">
        <v>93</v>
      </c>
      <c r="E50" s="8" t="s">
        <v>117</v>
      </c>
      <c r="F50" s="8">
        <v>2025</v>
      </c>
      <c r="G50" s="8" t="s">
        <v>6</v>
      </c>
      <c r="H50" s="29">
        <v>24774775</v>
      </c>
      <c r="I50" s="26">
        <f t="shared" si="7"/>
        <v>24774775</v>
      </c>
      <c r="J50" s="26">
        <f t="shared" si="9"/>
        <v>-24774775</v>
      </c>
      <c r="K50" s="26">
        <f t="shared" si="8"/>
        <v>0</v>
      </c>
      <c r="L50" s="26"/>
      <c r="M50" s="44">
        <v>0</v>
      </c>
      <c r="N50" s="26">
        <v>0</v>
      </c>
      <c r="O50" s="26">
        <f t="shared" si="3"/>
        <v>189900662</v>
      </c>
      <c r="P50" t="s">
        <v>18</v>
      </c>
      <c r="Q50" s="1" t="s">
        <v>626</v>
      </c>
      <c r="R50" t="s">
        <v>631</v>
      </c>
      <c r="S50" s="4" t="s">
        <v>25</v>
      </c>
    </row>
    <row r="51" spans="1:19" customFormat="1">
      <c r="A51" s="30">
        <v>45689</v>
      </c>
      <c r="B51" s="30" t="s">
        <v>607</v>
      </c>
      <c r="C51" t="s">
        <v>118</v>
      </c>
      <c r="D51" t="s">
        <v>119</v>
      </c>
      <c r="E51" s="8" t="s">
        <v>120</v>
      </c>
      <c r="F51" s="8">
        <v>2025</v>
      </c>
      <c r="G51" s="8" t="s">
        <v>6</v>
      </c>
      <c r="H51" s="29">
        <v>7432432</v>
      </c>
      <c r="I51" s="26">
        <f t="shared" si="7"/>
        <v>7432432</v>
      </c>
      <c r="J51" s="26">
        <f t="shared" si="9"/>
        <v>-7432432</v>
      </c>
      <c r="K51" s="26">
        <f t="shared" si="8"/>
        <v>0</v>
      </c>
      <c r="L51" s="26"/>
      <c r="M51" s="44">
        <v>0</v>
      </c>
      <c r="N51" s="26">
        <v>0</v>
      </c>
      <c r="O51" s="26">
        <f t="shared" si="3"/>
        <v>189900662</v>
      </c>
      <c r="P51" t="s">
        <v>18</v>
      </c>
      <c r="Q51" s="1" t="s">
        <v>626</v>
      </c>
      <c r="R51" t="s">
        <v>631</v>
      </c>
      <c r="S51" s="4" t="s">
        <v>25</v>
      </c>
    </row>
    <row r="52" spans="1:19" customFormat="1">
      <c r="A52" s="30">
        <v>45689</v>
      </c>
      <c r="B52" s="30" t="s">
        <v>607</v>
      </c>
      <c r="C52" t="s">
        <v>121</v>
      </c>
      <c r="D52" t="s">
        <v>122</v>
      </c>
      <c r="E52" s="8" t="s">
        <v>123</v>
      </c>
      <c r="F52" s="8">
        <v>2025</v>
      </c>
      <c r="G52" s="8" t="s">
        <v>6</v>
      </c>
      <c r="H52" s="29">
        <v>24774775</v>
      </c>
      <c r="I52" s="26">
        <f t="shared" si="7"/>
        <v>24774775</v>
      </c>
      <c r="J52" s="26">
        <f t="shared" si="9"/>
        <v>-24774775</v>
      </c>
      <c r="K52" s="26">
        <f t="shared" si="8"/>
        <v>0</v>
      </c>
      <c r="L52" s="26"/>
      <c r="M52" s="44">
        <v>0</v>
      </c>
      <c r="N52" s="26">
        <v>0</v>
      </c>
      <c r="O52" s="26">
        <f t="shared" si="3"/>
        <v>189900662</v>
      </c>
      <c r="P52" t="s">
        <v>18</v>
      </c>
      <c r="Q52" s="1" t="s">
        <v>626</v>
      </c>
      <c r="R52" t="s">
        <v>631</v>
      </c>
      <c r="S52" s="4" t="s">
        <v>25</v>
      </c>
    </row>
    <row r="53" spans="1:19" customFormat="1">
      <c r="A53" s="30">
        <v>45689</v>
      </c>
      <c r="B53" s="30" t="s">
        <v>607</v>
      </c>
      <c r="C53" t="s">
        <v>124</v>
      </c>
      <c r="D53" t="s">
        <v>14</v>
      </c>
      <c r="E53" s="8" t="s">
        <v>125</v>
      </c>
      <c r="F53" s="8">
        <v>2025</v>
      </c>
      <c r="G53" s="8" t="s">
        <v>6</v>
      </c>
      <c r="H53" s="29">
        <v>9909910</v>
      </c>
      <c r="I53" s="26">
        <f t="shared" si="7"/>
        <v>9909910</v>
      </c>
      <c r="J53" s="26">
        <f t="shared" si="9"/>
        <v>-9909910</v>
      </c>
      <c r="K53" s="26">
        <f t="shared" si="8"/>
        <v>0</v>
      </c>
      <c r="L53" s="26"/>
      <c r="M53" s="44">
        <v>0</v>
      </c>
      <c r="N53" s="26">
        <v>0</v>
      </c>
      <c r="O53" s="26">
        <f t="shared" si="3"/>
        <v>189900662</v>
      </c>
      <c r="P53" t="s">
        <v>18</v>
      </c>
      <c r="Q53" s="1" t="s">
        <v>626</v>
      </c>
      <c r="R53" t="s">
        <v>631</v>
      </c>
      <c r="S53" s="4" t="s">
        <v>25</v>
      </c>
    </row>
    <row r="54" spans="1:19" customFormat="1">
      <c r="A54" s="30">
        <v>45689</v>
      </c>
      <c r="B54" s="30" t="s">
        <v>607</v>
      </c>
      <c r="C54" t="s">
        <v>126</v>
      </c>
      <c r="D54" t="s">
        <v>127</v>
      </c>
      <c r="E54" s="8" t="s">
        <v>128</v>
      </c>
      <c r="F54" s="8">
        <v>2025</v>
      </c>
      <c r="G54" s="8" t="s">
        <v>6</v>
      </c>
      <c r="H54" s="29">
        <v>4954955</v>
      </c>
      <c r="I54" s="26">
        <f t="shared" si="7"/>
        <v>4954955</v>
      </c>
      <c r="J54" s="26">
        <f t="shared" si="9"/>
        <v>-4954955</v>
      </c>
      <c r="K54" s="26">
        <f t="shared" si="8"/>
        <v>0</v>
      </c>
      <c r="L54" s="26"/>
      <c r="M54" s="44">
        <v>0</v>
      </c>
      <c r="N54" s="26">
        <v>0</v>
      </c>
      <c r="O54" s="26">
        <f t="shared" si="3"/>
        <v>189900662</v>
      </c>
      <c r="P54" t="s">
        <v>18</v>
      </c>
      <c r="Q54" s="1" t="s">
        <v>626</v>
      </c>
      <c r="R54" t="s">
        <v>631</v>
      </c>
      <c r="S54" s="4" t="s">
        <v>25</v>
      </c>
    </row>
    <row r="55" spans="1:19" customFormat="1">
      <c r="A55" s="30">
        <v>45689</v>
      </c>
      <c r="B55" s="30" t="s">
        <v>607</v>
      </c>
      <c r="C55" t="s">
        <v>129</v>
      </c>
      <c r="D55" t="s">
        <v>130</v>
      </c>
      <c r="E55" s="8" t="s">
        <v>131</v>
      </c>
      <c r="F55" s="8">
        <v>2025</v>
      </c>
      <c r="G55" s="8" t="s">
        <v>6</v>
      </c>
      <c r="H55" s="29">
        <v>4954955</v>
      </c>
      <c r="I55" s="26">
        <f t="shared" si="7"/>
        <v>4954955</v>
      </c>
      <c r="J55" s="26">
        <f t="shared" si="9"/>
        <v>-4954955</v>
      </c>
      <c r="K55" s="26">
        <f t="shared" si="8"/>
        <v>0</v>
      </c>
      <c r="L55" s="26"/>
      <c r="M55" s="44">
        <v>0</v>
      </c>
      <c r="N55" s="26">
        <v>0</v>
      </c>
      <c r="O55" s="26">
        <f t="shared" si="3"/>
        <v>189900662</v>
      </c>
      <c r="P55" t="s">
        <v>18</v>
      </c>
      <c r="Q55" s="1" t="s">
        <v>626</v>
      </c>
      <c r="R55" t="s">
        <v>631</v>
      </c>
      <c r="S55" s="4" t="s">
        <v>25</v>
      </c>
    </row>
    <row r="56" spans="1:19" s="5" customFormat="1">
      <c r="A56" s="31">
        <v>45689</v>
      </c>
      <c r="B56" s="30" t="s">
        <v>607</v>
      </c>
      <c r="C56" s="5" t="s">
        <v>132</v>
      </c>
      <c r="D56" s="5" t="s">
        <v>12</v>
      </c>
      <c r="E56" s="10" t="s">
        <v>133</v>
      </c>
      <c r="F56" s="10">
        <v>2025</v>
      </c>
      <c r="G56" s="8" t="s">
        <v>6</v>
      </c>
      <c r="H56" s="29">
        <v>3468469</v>
      </c>
      <c r="I56" s="26">
        <f t="shared" si="7"/>
        <v>3468469</v>
      </c>
      <c r="J56" s="26">
        <f t="shared" si="9"/>
        <v>-3468469</v>
      </c>
      <c r="K56" s="26">
        <f t="shared" si="8"/>
        <v>0</v>
      </c>
      <c r="L56" s="26"/>
      <c r="M56" s="14">
        <v>0</v>
      </c>
      <c r="N56" s="26">
        <v>0</v>
      </c>
      <c r="O56" s="26">
        <f t="shared" si="3"/>
        <v>189900662</v>
      </c>
      <c r="P56" t="s">
        <v>18</v>
      </c>
      <c r="Q56" s="1" t="s">
        <v>626</v>
      </c>
      <c r="R56" t="s">
        <v>631</v>
      </c>
      <c r="S56" s="4" t="s">
        <v>25</v>
      </c>
    </row>
    <row r="57" spans="1:19" customFormat="1">
      <c r="A57" s="30">
        <v>45689</v>
      </c>
      <c r="B57" s="30" t="s">
        <v>607</v>
      </c>
      <c r="C57" t="s">
        <v>134</v>
      </c>
      <c r="D57" t="s">
        <v>135</v>
      </c>
      <c r="E57" s="8" t="s">
        <v>136</v>
      </c>
      <c r="F57" s="8">
        <v>2025</v>
      </c>
      <c r="G57" s="8" t="s">
        <v>6</v>
      </c>
      <c r="H57" s="29">
        <v>5500000</v>
      </c>
      <c r="I57" s="26">
        <f t="shared" si="7"/>
        <v>5500000</v>
      </c>
      <c r="J57" s="26">
        <f t="shared" si="9"/>
        <v>-5500000</v>
      </c>
      <c r="K57" s="26">
        <f t="shared" si="8"/>
        <v>0</v>
      </c>
      <c r="L57" s="26"/>
      <c r="M57" s="44">
        <v>0</v>
      </c>
      <c r="N57" s="26">
        <v>0</v>
      </c>
      <c r="O57" s="26">
        <f t="shared" si="3"/>
        <v>189900662</v>
      </c>
      <c r="P57" t="s">
        <v>18</v>
      </c>
      <c r="Q57" s="1" t="s">
        <v>626</v>
      </c>
      <c r="R57" t="s">
        <v>631</v>
      </c>
      <c r="S57" s="4" t="s">
        <v>25</v>
      </c>
    </row>
    <row r="58" spans="1:19" customFormat="1">
      <c r="A58" s="30">
        <v>45689</v>
      </c>
      <c r="B58" s="30" t="s">
        <v>607</v>
      </c>
      <c r="C58" t="s">
        <v>137</v>
      </c>
      <c r="D58" t="s">
        <v>10</v>
      </c>
      <c r="E58" s="8" t="s">
        <v>138</v>
      </c>
      <c r="F58" s="8">
        <v>2025</v>
      </c>
      <c r="G58" s="8" t="s">
        <v>6</v>
      </c>
      <c r="H58" s="29">
        <v>9909910</v>
      </c>
      <c r="I58" s="26">
        <f t="shared" si="7"/>
        <v>9909910</v>
      </c>
      <c r="J58" s="26">
        <f t="shared" si="9"/>
        <v>-9909910</v>
      </c>
      <c r="K58" s="26">
        <f t="shared" si="8"/>
        <v>0</v>
      </c>
      <c r="L58" s="26"/>
      <c r="M58" s="44">
        <v>0</v>
      </c>
      <c r="N58" s="26">
        <v>0</v>
      </c>
      <c r="O58" s="26">
        <f t="shared" si="3"/>
        <v>189900662</v>
      </c>
      <c r="P58" t="s">
        <v>18</v>
      </c>
      <c r="Q58" s="1" t="s">
        <v>626</v>
      </c>
      <c r="R58" t="s">
        <v>631</v>
      </c>
      <c r="S58" s="4" t="s">
        <v>25</v>
      </c>
    </row>
    <row r="59" spans="1:19" customFormat="1">
      <c r="A59" s="30">
        <v>45689</v>
      </c>
      <c r="B59" s="30" t="s">
        <v>607</v>
      </c>
      <c r="C59" t="s">
        <v>139</v>
      </c>
      <c r="D59" t="s">
        <v>140</v>
      </c>
      <c r="E59" s="8" t="s">
        <v>141</v>
      </c>
      <c r="F59" s="8">
        <v>2025</v>
      </c>
      <c r="G59" s="8" t="s">
        <v>6</v>
      </c>
      <c r="H59" s="29">
        <v>24774775</v>
      </c>
      <c r="I59" s="26">
        <f t="shared" si="7"/>
        <v>24774775</v>
      </c>
      <c r="J59" s="26">
        <f t="shared" si="9"/>
        <v>-24774775</v>
      </c>
      <c r="K59" s="26">
        <f t="shared" si="8"/>
        <v>0</v>
      </c>
      <c r="L59" s="26"/>
      <c r="M59" s="44">
        <v>0</v>
      </c>
      <c r="N59" s="26">
        <v>0</v>
      </c>
      <c r="O59" s="26">
        <f t="shared" si="3"/>
        <v>189900662</v>
      </c>
      <c r="P59" t="s">
        <v>18</v>
      </c>
      <c r="Q59" s="1" t="s">
        <v>626</v>
      </c>
      <c r="R59" t="s">
        <v>631</v>
      </c>
      <c r="S59" s="4" t="s">
        <v>25</v>
      </c>
    </row>
    <row r="60" spans="1:19" customFormat="1">
      <c r="A60" s="30">
        <v>45689</v>
      </c>
      <c r="B60" s="30" t="s">
        <v>607</v>
      </c>
      <c r="C60" t="s">
        <v>142</v>
      </c>
      <c r="D60" t="s">
        <v>143</v>
      </c>
      <c r="E60" s="8" t="s">
        <v>144</v>
      </c>
      <c r="F60" s="8">
        <v>2025</v>
      </c>
      <c r="G60" s="8" t="s">
        <v>6</v>
      </c>
      <c r="H60" s="29">
        <v>1650000</v>
      </c>
      <c r="I60" s="26">
        <f t="shared" si="7"/>
        <v>1650000</v>
      </c>
      <c r="J60" s="26">
        <f t="shared" si="9"/>
        <v>-1650000</v>
      </c>
      <c r="K60" s="26">
        <f t="shared" si="8"/>
        <v>0</v>
      </c>
      <c r="L60" s="26"/>
      <c r="M60" s="44">
        <v>0</v>
      </c>
      <c r="N60" s="26">
        <v>0</v>
      </c>
      <c r="O60" s="26">
        <f t="shared" si="3"/>
        <v>189900662</v>
      </c>
      <c r="P60" t="s">
        <v>18</v>
      </c>
      <c r="Q60" s="1" t="s">
        <v>626</v>
      </c>
      <c r="R60" t="s">
        <v>631</v>
      </c>
      <c r="S60" s="4" t="s">
        <v>25</v>
      </c>
    </row>
    <row r="61" spans="1:19" customFormat="1">
      <c r="A61" s="30">
        <v>45689</v>
      </c>
      <c r="B61" s="30" t="s">
        <v>607</v>
      </c>
      <c r="C61" t="s">
        <v>145</v>
      </c>
      <c r="D61" t="s">
        <v>146</v>
      </c>
      <c r="E61" s="8" t="s">
        <v>147</v>
      </c>
      <c r="F61" s="8">
        <v>2025</v>
      </c>
      <c r="G61" s="8" t="s">
        <v>6</v>
      </c>
      <c r="H61" s="36">
        <v>2477478</v>
      </c>
      <c r="I61" s="26">
        <f t="shared" si="7"/>
        <v>2477478</v>
      </c>
      <c r="J61" s="26">
        <f t="shared" si="9"/>
        <v>-2477478</v>
      </c>
      <c r="K61" s="26">
        <f t="shared" si="8"/>
        <v>0</v>
      </c>
      <c r="L61" s="26"/>
      <c r="M61" s="44">
        <v>0</v>
      </c>
      <c r="N61" s="26">
        <v>0</v>
      </c>
      <c r="O61" s="26">
        <f t="shared" si="3"/>
        <v>189900662</v>
      </c>
      <c r="P61" t="s">
        <v>18</v>
      </c>
      <c r="Q61" s="1" t="s">
        <v>626</v>
      </c>
      <c r="R61" t="s">
        <v>631</v>
      </c>
      <c r="S61" s="4" t="s">
        <v>25</v>
      </c>
    </row>
    <row r="62" spans="1:19" customFormat="1">
      <c r="A62" s="30">
        <v>45689</v>
      </c>
      <c r="B62" s="30" t="s">
        <v>607</v>
      </c>
      <c r="C62" t="s">
        <v>148</v>
      </c>
      <c r="D62" t="s">
        <v>149</v>
      </c>
      <c r="E62" s="8" t="s">
        <v>150</v>
      </c>
      <c r="F62" s="8">
        <v>2025</v>
      </c>
      <c r="G62" s="8" t="s">
        <v>6</v>
      </c>
      <c r="H62" s="29">
        <v>7432432</v>
      </c>
      <c r="I62" s="26">
        <f t="shared" si="7"/>
        <v>7432432</v>
      </c>
      <c r="J62" s="26">
        <f t="shared" si="9"/>
        <v>-7432432</v>
      </c>
      <c r="K62" s="26">
        <f t="shared" si="8"/>
        <v>0</v>
      </c>
      <c r="L62" s="26"/>
      <c r="M62" s="44">
        <v>0</v>
      </c>
      <c r="N62" s="26">
        <v>0</v>
      </c>
      <c r="O62" s="26">
        <f t="shared" si="3"/>
        <v>189900662</v>
      </c>
      <c r="P62" t="s">
        <v>18</v>
      </c>
      <c r="Q62" s="1" t="s">
        <v>626</v>
      </c>
      <c r="R62" t="s">
        <v>631</v>
      </c>
      <c r="S62" s="4" t="s">
        <v>25</v>
      </c>
    </row>
    <row r="63" spans="1:19" customFormat="1">
      <c r="A63" s="30">
        <v>45689</v>
      </c>
      <c r="B63" s="30" t="s">
        <v>607</v>
      </c>
      <c r="C63" t="s">
        <v>151</v>
      </c>
      <c r="D63" t="s">
        <v>152</v>
      </c>
      <c r="E63" s="8" t="s">
        <v>153</v>
      </c>
      <c r="F63" s="8">
        <v>2025</v>
      </c>
      <c r="G63" s="8" t="s">
        <v>6</v>
      </c>
      <c r="H63" s="29">
        <v>7432432</v>
      </c>
      <c r="I63" s="26">
        <f t="shared" si="7"/>
        <v>7432432</v>
      </c>
      <c r="J63" s="26">
        <f t="shared" si="9"/>
        <v>-7432432</v>
      </c>
      <c r="K63" s="26">
        <f t="shared" si="8"/>
        <v>0</v>
      </c>
      <c r="L63" s="26"/>
      <c r="M63" s="44">
        <v>0</v>
      </c>
      <c r="N63" s="26">
        <v>0</v>
      </c>
      <c r="O63" s="26">
        <f t="shared" si="3"/>
        <v>189900662</v>
      </c>
      <c r="P63" t="s">
        <v>18</v>
      </c>
      <c r="Q63" s="1" t="s">
        <v>626</v>
      </c>
      <c r="R63" t="s">
        <v>631</v>
      </c>
      <c r="S63" s="4" t="s">
        <v>25</v>
      </c>
    </row>
    <row r="64" spans="1:19" customFormat="1">
      <c r="A64" s="30">
        <v>45689</v>
      </c>
      <c r="B64" s="30" t="s">
        <v>607</v>
      </c>
      <c r="C64" t="s">
        <v>154</v>
      </c>
      <c r="D64" t="s">
        <v>155</v>
      </c>
      <c r="E64" s="8" t="s">
        <v>156</v>
      </c>
      <c r="F64" s="8">
        <v>2025</v>
      </c>
      <c r="G64" s="8" t="s">
        <v>6</v>
      </c>
      <c r="H64" s="29">
        <v>8250000</v>
      </c>
      <c r="I64" s="26">
        <f t="shared" si="7"/>
        <v>8250000</v>
      </c>
      <c r="J64" s="26">
        <f t="shared" si="9"/>
        <v>-8250000</v>
      </c>
      <c r="K64" s="26">
        <f t="shared" si="8"/>
        <v>0</v>
      </c>
      <c r="L64" s="26"/>
      <c r="M64" s="44">
        <v>0</v>
      </c>
      <c r="N64" s="26">
        <v>0</v>
      </c>
      <c r="O64" s="26">
        <f t="shared" si="3"/>
        <v>189900662</v>
      </c>
      <c r="P64" t="s">
        <v>18</v>
      </c>
      <c r="Q64" s="1" t="s">
        <v>626</v>
      </c>
      <c r="R64" t="s">
        <v>631</v>
      </c>
      <c r="S64" s="4" t="s">
        <v>25</v>
      </c>
    </row>
    <row r="65" spans="1:23">
      <c r="A65" s="30">
        <v>45689</v>
      </c>
      <c r="B65" s="30" t="s">
        <v>607</v>
      </c>
      <c r="C65" t="s">
        <v>157</v>
      </c>
      <c r="D65" t="s">
        <v>158</v>
      </c>
      <c r="E65" s="8" t="s">
        <v>159</v>
      </c>
      <c r="F65" s="8">
        <v>2025</v>
      </c>
      <c r="G65" s="8" t="s">
        <v>6</v>
      </c>
      <c r="H65" s="29">
        <v>4954955</v>
      </c>
      <c r="I65" s="26">
        <f t="shared" si="7"/>
        <v>4954955</v>
      </c>
      <c r="J65" s="26">
        <f t="shared" si="9"/>
        <v>-4954955</v>
      </c>
      <c r="K65" s="26">
        <f t="shared" si="8"/>
        <v>0</v>
      </c>
      <c r="L65" s="26"/>
      <c r="M65" s="44">
        <v>0</v>
      </c>
      <c r="N65" s="26">
        <v>0</v>
      </c>
      <c r="O65" s="26">
        <f t="shared" si="3"/>
        <v>189900662</v>
      </c>
      <c r="P65" t="s">
        <v>18</v>
      </c>
      <c r="Q65" s="1" t="s">
        <v>626</v>
      </c>
      <c r="R65" t="s">
        <v>631</v>
      </c>
      <c r="S65" s="4" t="s">
        <v>25</v>
      </c>
      <c r="V65"/>
      <c r="W65"/>
    </row>
    <row r="66" spans="1:23">
      <c r="A66" s="30">
        <v>45689</v>
      </c>
      <c r="B66" s="30" t="s">
        <v>607</v>
      </c>
      <c r="C66" t="s">
        <v>160</v>
      </c>
      <c r="D66" t="s">
        <v>161</v>
      </c>
      <c r="E66" s="8" t="s">
        <v>162</v>
      </c>
      <c r="F66" s="8">
        <v>2025</v>
      </c>
      <c r="G66" s="8" t="s">
        <v>6</v>
      </c>
      <c r="H66" s="29">
        <v>5500000</v>
      </c>
      <c r="I66" s="26">
        <f t="shared" si="7"/>
        <v>5500000</v>
      </c>
      <c r="J66" s="26">
        <f t="shared" si="9"/>
        <v>-5500000</v>
      </c>
      <c r="K66" s="26">
        <f t="shared" si="8"/>
        <v>0</v>
      </c>
      <c r="L66" s="26"/>
      <c r="M66" s="44">
        <v>0</v>
      </c>
      <c r="N66" s="26">
        <v>0</v>
      </c>
      <c r="O66" s="26">
        <f t="shared" si="3"/>
        <v>189900662</v>
      </c>
      <c r="P66" t="s">
        <v>18</v>
      </c>
      <c r="Q66" s="1" t="s">
        <v>626</v>
      </c>
      <c r="R66" t="s">
        <v>631</v>
      </c>
      <c r="S66" s="4" t="s">
        <v>25</v>
      </c>
      <c r="V66"/>
      <c r="W66"/>
    </row>
    <row r="67" spans="1:23">
      <c r="A67" s="30">
        <v>45689</v>
      </c>
      <c r="B67" s="30" t="s">
        <v>607</v>
      </c>
      <c r="C67" t="s">
        <v>163</v>
      </c>
      <c r="D67" t="s">
        <v>164</v>
      </c>
      <c r="E67" s="8" t="s">
        <v>165</v>
      </c>
      <c r="F67" s="8">
        <v>2025</v>
      </c>
      <c r="G67" s="8" t="s">
        <v>6</v>
      </c>
      <c r="H67" s="29">
        <v>4954955</v>
      </c>
      <c r="I67" s="26">
        <f t="shared" si="7"/>
        <v>4954955</v>
      </c>
      <c r="J67" s="26">
        <v>0</v>
      </c>
      <c r="K67" s="26">
        <f t="shared" si="8"/>
        <v>4954955</v>
      </c>
      <c r="L67" s="26"/>
      <c r="M67" s="44">
        <v>0</v>
      </c>
      <c r="N67" s="26">
        <v>0</v>
      </c>
      <c r="O67" s="26">
        <f t="shared" si="3"/>
        <v>189900662</v>
      </c>
      <c r="P67" t="s">
        <v>1</v>
      </c>
      <c r="Q67" s="1" t="s">
        <v>1</v>
      </c>
      <c r="R67" t="s">
        <v>1</v>
      </c>
      <c r="S67" s="4" t="s">
        <v>1</v>
      </c>
      <c r="V67"/>
      <c r="W67"/>
    </row>
    <row r="68" spans="1:23">
      <c r="A68" s="30">
        <v>45689</v>
      </c>
      <c r="B68" s="30" t="s">
        <v>607</v>
      </c>
      <c r="C68" t="s">
        <v>166</v>
      </c>
      <c r="D68" t="s">
        <v>167</v>
      </c>
      <c r="E68" s="8" t="s">
        <v>168</v>
      </c>
      <c r="F68" s="8">
        <v>2025</v>
      </c>
      <c r="G68" s="8" t="s">
        <v>6</v>
      </c>
      <c r="H68" s="29">
        <v>24774775</v>
      </c>
      <c r="I68" s="26">
        <f t="shared" si="7"/>
        <v>24774775</v>
      </c>
      <c r="J68" s="26">
        <f t="shared" ref="J68:J76" si="10">-I68</f>
        <v>-24774775</v>
      </c>
      <c r="K68" s="26">
        <f t="shared" si="8"/>
        <v>0</v>
      </c>
      <c r="L68" s="26"/>
      <c r="M68" s="44">
        <v>0</v>
      </c>
      <c r="N68" s="26">
        <v>0</v>
      </c>
      <c r="O68" s="26">
        <f t="shared" si="3"/>
        <v>189900662</v>
      </c>
      <c r="P68" t="s">
        <v>18</v>
      </c>
      <c r="Q68" s="1" t="s">
        <v>626</v>
      </c>
      <c r="R68" t="s">
        <v>631</v>
      </c>
      <c r="S68" s="4" t="s">
        <v>25</v>
      </c>
      <c r="V68"/>
      <c r="W68"/>
    </row>
    <row r="69" spans="1:23">
      <c r="A69" s="30">
        <v>45689</v>
      </c>
      <c r="B69" s="30" t="s">
        <v>607</v>
      </c>
      <c r="C69" t="s">
        <v>169</v>
      </c>
      <c r="D69" t="s">
        <v>170</v>
      </c>
      <c r="E69" s="8" t="s">
        <v>171</v>
      </c>
      <c r="F69" s="8">
        <v>2025</v>
      </c>
      <c r="G69" s="8" t="s">
        <v>6</v>
      </c>
      <c r="H69" s="29">
        <v>3300000</v>
      </c>
      <c r="I69" s="26">
        <f t="shared" si="7"/>
        <v>3300000</v>
      </c>
      <c r="J69" s="26">
        <f t="shared" si="10"/>
        <v>-3300000</v>
      </c>
      <c r="K69" s="26">
        <f t="shared" si="8"/>
        <v>0</v>
      </c>
      <c r="L69" s="26"/>
      <c r="M69" s="44">
        <v>0</v>
      </c>
      <c r="N69" s="26">
        <v>0</v>
      </c>
      <c r="O69" s="26">
        <f t="shared" si="3"/>
        <v>189900662</v>
      </c>
      <c r="P69" t="s">
        <v>18</v>
      </c>
      <c r="Q69" s="1" t="s">
        <v>626</v>
      </c>
      <c r="R69" t="s">
        <v>631</v>
      </c>
      <c r="S69" s="4" t="s">
        <v>25</v>
      </c>
      <c r="V69"/>
      <c r="W69"/>
    </row>
    <row r="70" spans="1:23">
      <c r="A70" s="30">
        <v>45689</v>
      </c>
      <c r="B70" s="30" t="s">
        <v>607</v>
      </c>
      <c r="C70" t="s">
        <v>173</v>
      </c>
      <c r="D70" t="s">
        <v>174</v>
      </c>
      <c r="E70" s="8" t="s">
        <v>175</v>
      </c>
      <c r="F70" s="8">
        <v>2025</v>
      </c>
      <c r="G70" s="8" t="s">
        <v>6</v>
      </c>
      <c r="H70" s="29">
        <v>27500000</v>
      </c>
      <c r="I70" s="26">
        <f t="shared" si="7"/>
        <v>27500000</v>
      </c>
      <c r="J70" s="26">
        <f t="shared" si="10"/>
        <v>-27500000</v>
      </c>
      <c r="K70" s="26">
        <f t="shared" si="8"/>
        <v>0</v>
      </c>
      <c r="L70" s="26"/>
      <c r="M70" s="44">
        <v>0</v>
      </c>
      <c r="N70" s="26">
        <v>0</v>
      </c>
      <c r="O70" s="26">
        <f t="shared" si="3"/>
        <v>189900662</v>
      </c>
      <c r="P70" t="s">
        <v>18</v>
      </c>
      <c r="Q70" s="1" t="s">
        <v>626</v>
      </c>
      <c r="R70" t="s">
        <v>631</v>
      </c>
      <c r="S70" s="4" t="s">
        <v>25</v>
      </c>
      <c r="V70"/>
      <c r="W70"/>
    </row>
    <row r="71" spans="1:23">
      <c r="A71" s="30">
        <v>45689</v>
      </c>
      <c r="B71" s="30" t="s">
        <v>607</v>
      </c>
      <c r="C71" t="s">
        <v>176</v>
      </c>
      <c r="D71" t="s">
        <v>177</v>
      </c>
      <c r="E71" s="8" t="s">
        <v>178</v>
      </c>
      <c r="F71" s="8">
        <v>2025</v>
      </c>
      <c r="G71" s="8" t="s">
        <v>6</v>
      </c>
      <c r="H71" s="29">
        <v>9909910</v>
      </c>
      <c r="I71" s="26">
        <f t="shared" si="7"/>
        <v>9909910</v>
      </c>
      <c r="J71" s="26">
        <f t="shared" si="10"/>
        <v>-9909910</v>
      </c>
      <c r="K71" s="26">
        <f t="shared" si="8"/>
        <v>0</v>
      </c>
      <c r="L71" s="26"/>
      <c r="M71" s="44">
        <v>0</v>
      </c>
      <c r="N71" s="26">
        <v>0</v>
      </c>
      <c r="O71" s="26">
        <f t="shared" ref="O71:O134" si="11">O70-M71+N71</f>
        <v>189900662</v>
      </c>
      <c r="P71" t="s">
        <v>18</v>
      </c>
      <c r="Q71" s="1" t="s">
        <v>626</v>
      </c>
      <c r="R71" t="s">
        <v>631</v>
      </c>
      <c r="S71" s="4" t="s">
        <v>25</v>
      </c>
      <c r="V71"/>
      <c r="W71"/>
    </row>
    <row r="72" spans="1:23">
      <c r="A72" s="30">
        <v>45689</v>
      </c>
      <c r="B72" s="30" t="s">
        <v>607</v>
      </c>
      <c r="C72" t="s">
        <v>179</v>
      </c>
      <c r="D72" t="s">
        <v>180</v>
      </c>
      <c r="E72" s="8" t="s">
        <v>181</v>
      </c>
      <c r="F72" s="8">
        <v>2025</v>
      </c>
      <c r="G72" s="8" t="s">
        <v>6</v>
      </c>
      <c r="H72" s="29">
        <v>4954955</v>
      </c>
      <c r="I72" s="26">
        <f t="shared" si="7"/>
        <v>4954955</v>
      </c>
      <c r="J72" s="26">
        <f t="shared" si="10"/>
        <v>-4954955</v>
      </c>
      <c r="K72" s="26">
        <f t="shared" si="8"/>
        <v>0</v>
      </c>
      <c r="L72" s="26"/>
      <c r="M72" s="44">
        <v>0</v>
      </c>
      <c r="N72" s="26">
        <v>0</v>
      </c>
      <c r="O72" s="26">
        <f t="shared" si="11"/>
        <v>189900662</v>
      </c>
      <c r="P72" t="s">
        <v>18</v>
      </c>
      <c r="Q72" s="1" t="s">
        <v>626</v>
      </c>
      <c r="R72" t="s">
        <v>631</v>
      </c>
      <c r="S72" s="4" t="s">
        <v>25</v>
      </c>
      <c r="V72"/>
      <c r="W72"/>
    </row>
    <row r="73" spans="1:23">
      <c r="A73" s="30">
        <v>45689</v>
      </c>
      <c r="B73" s="30" t="s">
        <v>607</v>
      </c>
      <c r="C73" t="s">
        <v>182</v>
      </c>
      <c r="D73" t="s">
        <v>183</v>
      </c>
      <c r="E73" s="8" t="s">
        <v>184</v>
      </c>
      <c r="F73" s="8">
        <v>2025</v>
      </c>
      <c r="G73" s="8" t="s">
        <v>6</v>
      </c>
      <c r="H73" s="29">
        <v>1190750</v>
      </c>
      <c r="I73" s="26">
        <f t="shared" si="7"/>
        <v>1190750</v>
      </c>
      <c r="J73" s="26">
        <f t="shared" si="10"/>
        <v>-1190750</v>
      </c>
      <c r="K73" s="26">
        <f t="shared" si="8"/>
        <v>0</v>
      </c>
      <c r="L73" s="26"/>
      <c r="M73" s="44">
        <v>0</v>
      </c>
      <c r="N73" s="26">
        <v>0</v>
      </c>
      <c r="O73" s="26">
        <f t="shared" si="11"/>
        <v>189900662</v>
      </c>
      <c r="P73" t="s">
        <v>18</v>
      </c>
      <c r="Q73" s="1" t="s">
        <v>626</v>
      </c>
      <c r="R73" t="s">
        <v>631</v>
      </c>
      <c r="S73" s="4" t="s">
        <v>25</v>
      </c>
      <c r="V73"/>
      <c r="W73"/>
    </row>
    <row r="74" spans="1:23">
      <c r="A74" s="30">
        <v>45689</v>
      </c>
      <c r="B74" s="30" t="s">
        <v>607</v>
      </c>
      <c r="C74" t="s">
        <v>185</v>
      </c>
      <c r="D74" t="s">
        <v>183</v>
      </c>
      <c r="E74" s="8" t="s">
        <v>186</v>
      </c>
      <c r="F74" s="8">
        <v>2025</v>
      </c>
      <c r="G74" s="8" t="s">
        <v>6</v>
      </c>
      <c r="H74" s="29">
        <v>1190750</v>
      </c>
      <c r="I74" s="26">
        <f t="shared" si="7"/>
        <v>1190750</v>
      </c>
      <c r="J74" s="26">
        <f t="shared" si="10"/>
        <v>-1190750</v>
      </c>
      <c r="K74" s="26">
        <f t="shared" si="8"/>
        <v>0</v>
      </c>
      <c r="L74" s="26"/>
      <c r="M74" s="44">
        <v>0</v>
      </c>
      <c r="N74" s="26">
        <v>0</v>
      </c>
      <c r="O74" s="26">
        <f t="shared" si="11"/>
        <v>189900662</v>
      </c>
      <c r="P74" t="s">
        <v>18</v>
      </c>
      <c r="Q74" s="1" t="s">
        <v>626</v>
      </c>
      <c r="R74" t="s">
        <v>631</v>
      </c>
      <c r="S74" s="4" t="s">
        <v>25</v>
      </c>
      <c r="V74"/>
      <c r="W74"/>
    </row>
    <row r="75" spans="1:23" s="5" customFormat="1">
      <c r="A75" s="31">
        <v>45689</v>
      </c>
      <c r="B75" s="30" t="s">
        <v>607</v>
      </c>
      <c r="C75" s="5" t="s">
        <v>187</v>
      </c>
      <c r="D75" s="5" t="s">
        <v>188</v>
      </c>
      <c r="E75" s="10" t="s">
        <v>189</v>
      </c>
      <c r="F75" s="8">
        <v>2024</v>
      </c>
      <c r="G75" s="8" t="s">
        <v>6</v>
      </c>
      <c r="H75" s="11">
        <v>1859649</v>
      </c>
      <c r="I75" s="26">
        <f t="shared" ref="I75" si="12">H75</f>
        <v>1859649</v>
      </c>
      <c r="J75" s="26">
        <f t="shared" si="10"/>
        <v>-1859649</v>
      </c>
      <c r="K75" s="26">
        <f t="shared" si="8"/>
        <v>0</v>
      </c>
      <c r="L75" s="26"/>
      <c r="M75" s="14">
        <v>0</v>
      </c>
      <c r="N75" s="26">
        <v>0</v>
      </c>
      <c r="O75" s="26">
        <f t="shared" si="11"/>
        <v>189900662</v>
      </c>
      <c r="P75" t="s">
        <v>18</v>
      </c>
      <c r="Q75" s="1" t="s">
        <v>626</v>
      </c>
      <c r="R75" s="1" t="s">
        <v>630</v>
      </c>
      <c r="S75" s="4" t="s">
        <v>62</v>
      </c>
    </row>
    <row r="76" spans="1:23">
      <c r="A76" s="30">
        <v>45689</v>
      </c>
      <c r="B76" s="30" t="s">
        <v>607</v>
      </c>
      <c r="C76" t="s">
        <v>190</v>
      </c>
      <c r="D76" t="s">
        <v>13</v>
      </c>
      <c r="E76" s="8" t="s">
        <v>191</v>
      </c>
      <c r="F76" s="8">
        <v>2025</v>
      </c>
      <c r="G76" s="8" t="s">
        <v>6</v>
      </c>
      <c r="H76" s="29">
        <v>8250000</v>
      </c>
      <c r="I76" s="26">
        <f>H76</f>
        <v>8250000</v>
      </c>
      <c r="J76" s="26">
        <f t="shared" si="10"/>
        <v>-8250000</v>
      </c>
      <c r="K76" s="26">
        <f t="shared" si="8"/>
        <v>0</v>
      </c>
      <c r="L76" s="26"/>
      <c r="M76" s="44">
        <v>0</v>
      </c>
      <c r="N76" s="26">
        <v>0</v>
      </c>
      <c r="O76" s="26">
        <f t="shared" si="11"/>
        <v>189900662</v>
      </c>
      <c r="P76" t="s">
        <v>18</v>
      </c>
      <c r="Q76" s="1" t="s">
        <v>626</v>
      </c>
      <c r="R76" t="s">
        <v>631</v>
      </c>
      <c r="S76" s="4" t="s">
        <v>25</v>
      </c>
      <c r="V76"/>
      <c r="W76"/>
    </row>
    <row r="77" spans="1:23">
      <c r="A77" s="30">
        <v>45689</v>
      </c>
      <c r="B77" s="30" t="s">
        <v>607</v>
      </c>
      <c r="C77" t="s">
        <v>192</v>
      </c>
      <c r="D77" t="s">
        <v>193</v>
      </c>
      <c r="F77" s="10">
        <v>2025</v>
      </c>
      <c r="G77" s="10" t="s">
        <v>7</v>
      </c>
      <c r="H77" s="21">
        <v>550000</v>
      </c>
      <c r="I77" s="26">
        <v>0</v>
      </c>
      <c r="J77" s="26">
        <v>0</v>
      </c>
      <c r="K77" s="26">
        <f t="shared" ref="K77:K133" si="13">I77-J77</f>
        <v>0</v>
      </c>
      <c r="L77" s="26"/>
      <c r="M77" s="21">
        <f t="shared" ref="M77:M84" si="14">H77</f>
        <v>550000</v>
      </c>
      <c r="N77" s="26">
        <v>0</v>
      </c>
      <c r="O77" s="26">
        <f t="shared" si="11"/>
        <v>189350662</v>
      </c>
      <c r="P77" t="s">
        <v>0</v>
      </c>
      <c r="Q77" t="s">
        <v>604</v>
      </c>
      <c r="R77" t="s">
        <v>605</v>
      </c>
    </row>
    <row r="78" spans="1:23">
      <c r="A78" s="30">
        <v>45689</v>
      </c>
      <c r="B78" s="30" t="s">
        <v>607</v>
      </c>
      <c r="C78" t="s">
        <v>194</v>
      </c>
      <c r="D78" t="s">
        <v>122</v>
      </c>
      <c r="F78" s="8">
        <v>2025</v>
      </c>
      <c r="G78" s="10" t="s">
        <v>7</v>
      </c>
      <c r="H78" s="21">
        <v>693000</v>
      </c>
      <c r="I78" s="26">
        <v>0</v>
      </c>
      <c r="J78" s="26">
        <v>0</v>
      </c>
      <c r="K78" s="26">
        <f t="shared" si="13"/>
        <v>0</v>
      </c>
      <c r="L78" s="26"/>
      <c r="M78" s="21">
        <f t="shared" si="14"/>
        <v>693000</v>
      </c>
      <c r="N78" s="26">
        <v>0</v>
      </c>
      <c r="O78" s="26">
        <f t="shared" si="11"/>
        <v>188657662</v>
      </c>
      <c r="P78" t="s">
        <v>0</v>
      </c>
      <c r="Q78" t="s">
        <v>604</v>
      </c>
      <c r="R78" t="s">
        <v>605</v>
      </c>
    </row>
    <row r="79" spans="1:23">
      <c r="A79" s="30">
        <v>45689</v>
      </c>
      <c r="B79" s="30" t="s">
        <v>607</v>
      </c>
      <c r="C79" t="s">
        <v>195</v>
      </c>
      <c r="D79" t="s">
        <v>167</v>
      </c>
      <c r="F79" s="8">
        <v>2025</v>
      </c>
      <c r="G79" s="10" t="s">
        <v>7</v>
      </c>
      <c r="H79" s="21">
        <v>572000</v>
      </c>
      <c r="I79" s="26">
        <v>0</v>
      </c>
      <c r="J79" s="26">
        <v>0</v>
      </c>
      <c r="K79" s="26">
        <f t="shared" si="13"/>
        <v>0</v>
      </c>
      <c r="L79" s="26"/>
      <c r="M79" s="21">
        <f t="shared" si="14"/>
        <v>572000</v>
      </c>
      <c r="N79" s="26">
        <v>0</v>
      </c>
      <c r="O79" s="26">
        <f t="shared" si="11"/>
        <v>188085662</v>
      </c>
      <c r="P79" t="s">
        <v>0</v>
      </c>
      <c r="Q79" t="s">
        <v>604</v>
      </c>
      <c r="R79" t="s">
        <v>605</v>
      </c>
    </row>
    <row r="80" spans="1:23">
      <c r="A80" s="30">
        <v>45689</v>
      </c>
      <c r="B80" s="30" t="s">
        <v>607</v>
      </c>
      <c r="C80" t="s">
        <v>196</v>
      </c>
      <c r="D80" t="s">
        <v>197</v>
      </c>
      <c r="F80" s="8">
        <v>2025</v>
      </c>
      <c r="G80" s="10" t="s">
        <v>7</v>
      </c>
      <c r="H80" s="21">
        <v>577500</v>
      </c>
      <c r="I80" s="26">
        <v>0</v>
      </c>
      <c r="J80" s="26">
        <v>0</v>
      </c>
      <c r="K80" s="26">
        <f t="shared" si="13"/>
        <v>0</v>
      </c>
      <c r="L80" s="26"/>
      <c r="M80" s="21">
        <f t="shared" si="14"/>
        <v>577500</v>
      </c>
      <c r="N80" s="26">
        <v>0</v>
      </c>
      <c r="O80" s="26">
        <f t="shared" si="11"/>
        <v>187508162</v>
      </c>
      <c r="P80" t="s">
        <v>0</v>
      </c>
      <c r="Q80" t="s">
        <v>604</v>
      </c>
      <c r="R80" t="s">
        <v>605</v>
      </c>
    </row>
    <row r="81" spans="1:23">
      <c r="A81" s="30">
        <v>45689</v>
      </c>
      <c r="B81" s="30" t="s">
        <v>607</v>
      </c>
      <c r="C81" t="s">
        <v>198</v>
      </c>
      <c r="D81" t="s">
        <v>177</v>
      </c>
      <c r="F81" s="10">
        <v>2025</v>
      </c>
      <c r="G81" s="10" t="s">
        <v>7</v>
      </c>
      <c r="H81" s="21">
        <v>550000</v>
      </c>
      <c r="I81" s="26">
        <v>0</v>
      </c>
      <c r="J81" s="26">
        <v>0</v>
      </c>
      <c r="K81" s="26">
        <f t="shared" si="13"/>
        <v>0</v>
      </c>
      <c r="L81" s="26"/>
      <c r="M81" s="21">
        <f t="shared" si="14"/>
        <v>550000</v>
      </c>
      <c r="N81" s="26">
        <v>0</v>
      </c>
      <c r="O81" s="26">
        <f t="shared" si="11"/>
        <v>186958162</v>
      </c>
      <c r="P81" t="s">
        <v>0</v>
      </c>
      <c r="Q81" t="s">
        <v>604</v>
      </c>
      <c r="R81" t="s">
        <v>605</v>
      </c>
    </row>
    <row r="82" spans="1:23">
      <c r="A82" s="30">
        <v>45689</v>
      </c>
      <c r="B82" s="30" t="s">
        <v>607</v>
      </c>
      <c r="C82" t="s">
        <v>199</v>
      </c>
      <c r="D82" t="s">
        <v>200</v>
      </c>
      <c r="F82" s="8">
        <v>2025</v>
      </c>
      <c r="G82" s="10" t="s">
        <v>7</v>
      </c>
      <c r="H82" s="21">
        <v>78014231</v>
      </c>
      <c r="I82" s="26">
        <v>0</v>
      </c>
      <c r="J82" s="26">
        <v>0</v>
      </c>
      <c r="K82" s="26">
        <f t="shared" si="13"/>
        <v>0</v>
      </c>
      <c r="L82" s="26"/>
      <c r="M82" s="21">
        <f t="shared" si="14"/>
        <v>78014231</v>
      </c>
      <c r="N82" s="26">
        <v>0</v>
      </c>
      <c r="O82" s="26">
        <f t="shared" si="11"/>
        <v>108943931</v>
      </c>
      <c r="P82" t="s">
        <v>0</v>
      </c>
      <c r="Q82" t="s">
        <v>604</v>
      </c>
      <c r="R82" t="s">
        <v>605</v>
      </c>
    </row>
    <row r="83" spans="1:23">
      <c r="A83" s="30">
        <v>45689</v>
      </c>
      <c r="B83" s="30" t="s">
        <v>607</v>
      </c>
      <c r="C83" t="s">
        <v>201</v>
      </c>
      <c r="D83" t="s">
        <v>202</v>
      </c>
      <c r="F83" s="8">
        <v>2025</v>
      </c>
      <c r="G83" s="10" t="s">
        <v>7</v>
      </c>
      <c r="H83" s="21">
        <v>3658763</v>
      </c>
      <c r="I83" s="26">
        <v>0</v>
      </c>
      <c r="J83" s="26">
        <v>0</v>
      </c>
      <c r="K83" s="26">
        <f t="shared" si="13"/>
        <v>0</v>
      </c>
      <c r="L83" s="26"/>
      <c r="M83" s="21">
        <f t="shared" si="14"/>
        <v>3658763</v>
      </c>
      <c r="N83" s="26">
        <v>0</v>
      </c>
      <c r="O83" s="26">
        <f t="shared" si="11"/>
        <v>105285168</v>
      </c>
      <c r="P83" t="s">
        <v>0</v>
      </c>
      <c r="Q83" t="s">
        <v>604</v>
      </c>
      <c r="R83" t="s">
        <v>605</v>
      </c>
    </row>
    <row r="84" spans="1:23">
      <c r="A84" s="30">
        <v>45689</v>
      </c>
      <c r="B84" s="30" t="s">
        <v>607</v>
      </c>
      <c r="C84" t="s">
        <v>203</v>
      </c>
      <c r="D84" t="s">
        <v>172</v>
      </c>
      <c r="F84" s="8">
        <v>2025</v>
      </c>
      <c r="G84" s="10" t="s">
        <v>7</v>
      </c>
      <c r="H84" s="21">
        <v>616000</v>
      </c>
      <c r="I84" s="26">
        <v>0</v>
      </c>
      <c r="J84" s="26">
        <v>0</v>
      </c>
      <c r="K84" s="26">
        <f t="shared" si="13"/>
        <v>0</v>
      </c>
      <c r="L84" s="26"/>
      <c r="M84" s="21">
        <f t="shared" si="14"/>
        <v>616000</v>
      </c>
      <c r="N84" s="26">
        <v>0</v>
      </c>
      <c r="O84" s="26">
        <f t="shared" si="11"/>
        <v>104669168</v>
      </c>
      <c r="P84" t="s">
        <v>0</v>
      </c>
      <c r="Q84" t="s">
        <v>604</v>
      </c>
      <c r="R84" t="s">
        <v>605</v>
      </c>
    </row>
    <row r="85" spans="1:23">
      <c r="A85" s="30">
        <v>45717</v>
      </c>
      <c r="B85" s="30" t="s">
        <v>64</v>
      </c>
      <c r="D85" t="s">
        <v>204</v>
      </c>
      <c r="G85" s="8" t="s">
        <v>608</v>
      </c>
      <c r="H85" s="14">
        <v>21230000</v>
      </c>
      <c r="I85" s="26">
        <v>0</v>
      </c>
      <c r="J85" s="26">
        <v>0</v>
      </c>
      <c r="K85" s="26">
        <f t="shared" si="13"/>
        <v>0</v>
      </c>
      <c r="L85" s="26"/>
      <c r="M85" s="44">
        <v>0</v>
      </c>
      <c r="N85" s="14">
        <f t="shared" ref="N85:N92" si="15">H85</f>
        <v>21230000</v>
      </c>
      <c r="O85" s="26">
        <f t="shared" si="11"/>
        <v>125899168</v>
      </c>
      <c r="P85" s="1" t="s">
        <v>18</v>
      </c>
      <c r="Q85" t="s">
        <v>623</v>
      </c>
      <c r="R85" s="1" t="s">
        <v>64</v>
      </c>
      <c r="S85" s="1" t="s">
        <v>65</v>
      </c>
    </row>
    <row r="86" spans="1:23">
      <c r="A86" s="30">
        <v>45717</v>
      </c>
      <c r="B86" s="30" t="s">
        <v>64</v>
      </c>
      <c r="D86" t="s">
        <v>98</v>
      </c>
      <c r="G86" s="8" t="s">
        <v>608</v>
      </c>
      <c r="H86" s="14">
        <v>946819</v>
      </c>
      <c r="I86" s="26">
        <v>0</v>
      </c>
      <c r="J86" s="26">
        <v>0</v>
      </c>
      <c r="K86" s="26">
        <f t="shared" si="13"/>
        <v>0</v>
      </c>
      <c r="L86" s="26"/>
      <c r="M86" s="44">
        <v>0</v>
      </c>
      <c r="N86" s="14">
        <f t="shared" si="15"/>
        <v>946819</v>
      </c>
      <c r="O86" s="26">
        <f t="shared" si="11"/>
        <v>126845987</v>
      </c>
      <c r="P86" s="1" t="s">
        <v>18</v>
      </c>
      <c r="Q86" t="s">
        <v>623</v>
      </c>
      <c r="R86" s="1" t="s">
        <v>64</v>
      </c>
      <c r="S86" s="1" t="s">
        <v>65</v>
      </c>
    </row>
    <row r="87" spans="1:23">
      <c r="A87" s="30">
        <v>45717</v>
      </c>
      <c r="B87" s="30" t="s">
        <v>64</v>
      </c>
      <c r="D87" t="s">
        <v>101</v>
      </c>
      <c r="G87" s="8" t="s">
        <v>608</v>
      </c>
      <c r="H87" s="14">
        <v>385000</v>
      </c>
      <c r="I87" s="26">
        <v>0</v>
      </c>
      <c r="J87" s="26">
        <v>0</v>
      </c>
      <c r="K87" s="26">
        <f t="shared" si="13"/>
        <v>0</v>
      </c>
      <c r="L87" s="26"/>
      <c r="M87" s="44">
        <v>0</v>
      </c>
      <c r="N87" s="14">
        <f t="shared" si="15"/>
        <v>385000</v>
      </c>
      <c r="O87" s="26">
        <f t="shared" si="11"/>
        <v>127230987</v>
      </c>
      <c r="P87" s="1" t="s">
        <v>18</v>
      </c>
      <c r="Q87" t="s">
        <v>623</v>
      </c>
      <c r="R87" s="1" t="s">
        <v>64</v>
      </c>
      <c r="S87" s="1" t="s">
        <v>65</v>
      </c>
    </row>
    <row r="88" spans="1:23">
      <c r="A88" s="30">
        <v>45717</v>
      </c>
      <c r="B88" s="30" t="s">
        <v>64</v>
      </c>
      <c r="D88" t="s">
        <v>89</v>
      </c>
      <c r="G88" s="8" t="s">
        <v>608</v>
      </c>
      <c r="H88" s="14">
        <v>506000</v>
      </c>
      <c r="I88" s="26">
        <v>0</v>
      </c>
      <c r="J88" s="26">
        <v>0</v>
      </c>
      <c r="K88" s="26">
        <f t="shared" si="13"/>
        <v>0</v>
      </c>
      <c r="L88" s="26"/>
      <c r="M88" s="44">
        <v>0</v>
      </c>
      <c r="N88" s="14">
        <f t="shared" si="15"/>
        <v>506000</v>
      </c>
      <c r="O88" s="26">
        <f t="shared" si="11"/>
        <v>127736987</v>
      </c>
      <c r="P88" s="1" t="s">
        <v>18</v>
      </c>
      <c r="Q88" t="s">
        <v>623</v>
      </c>
      <c r="R88" s="1" t="s">
        <v>64</v>
      </c>
      <c r="S88" s="1" t="s">
        <v>65</v>
      </c>
    </row>
    <row r="89" spans="1:23">
      <c r="A89" s="30">
        <v>45717</v>
      </c>
      <c r="B89" s="30" t="s">
        <v>64</v>
      </c>
      <c r="D89" t="s">
        <v>89</v>
      </c>
      <c r="G89" s="8" t="s">
        <v>608</v>
      </c>
      <c r="H89" s="14">
        <v>583000</v>
      </c>
      <c r="I89" s="26">
        <v>0</v>
      </c>
      <c r="J89" s="26">
        <v>0</v>
      </c>
      <c r="K89" s="26">
        <f t="shared" si="13"/>
        <v>0</v>
      </c>
      <c r="L89" s="26"/>
      <c r="M89" s="44">
        <v>0</v>
      </c>
      <c r="N89" s="14">
        <f t="shared" si="15"/>
        <v>583000</v>
      </c>
      <c r="O89" s="26">
        <f t="shared" si="11"/>
        <v>128319987</v>
      </c>
      <c r="P89" s="1" t="s">
        <v>18</v>
      </c>
      <c r="Q89" t="s">
        <v>623</v>
      </c>
      <c r="R89" s="1" t="s">
        <v>64</v>
      </c>
      <c r="S89" s="1" t="s">
        <v>65</v>
      </c>
    </row>
    <row r="90" spans="1:23">
      <c r="A90" s="30">
        <v>45717</v>
      </c>
      <c r="B90" s="30" t="s">
        <v>64</v>
      </c>
      <c r="D90" t="s">
        <v>85</v>
      </c>
      <c r="G90" s="8" t="s">
        <v>608</v>
      </c>
      <c r="H90" s="14">
        <v>1981982</v>
      </c>
      <c r="I90" s="26">
        <v>0</v>
      </c>
      <c r="J90" s="26">
        <v>0</v>
      </c>
      <c r="K90" s="26">
        <f t="shared" si="13"/>
        <v>0</v>
      </c>
      <c r="L90" s="26"/>
      <c r="M90" s="44">
        <v>0</v>
      </c>
      <c r="N90" s="14">
        <f t="shared" si="15"/>
        <v>1981982</v>
      </c>
      <c r="O90" s="26">
        <f t="shared" si="11"/>
        <v>130301969</v>
      </c>
      <c r="P90" t="s">
        <v>18</v>
      </c>
      <c r="Q90" t="s">
        <v>624</v>
      </c>
      <c r="R90" t="s">
        <v>64</v>
      </c>
      <c r="S90" t="s">
        <v>65</v>
      </c>
    </row>
    <row r="91" spans="1:23">
      <c r="A91" s="30">
        <v>45717</v>
      </c>
      <c r="B91" s="30" t="s">
        <v>64</v>
      </c>
      <c r="D91" t="s">
        <v>205</v>
      </c>
      <c r="G91" s="8" t="s">
        <v>608</v>
      </c>
      <c r="H91" s="16">
        <v>261800</v>
      </c>
      <c r="I91" s="49">
        <v>0</v>
      </c>
      <c r="J91" s="49">
        <v>0</v>
      </c>
      <c r="K91" s="49">
        <f t="shared" si="13"/>
        <v>0</v>
      </c>
      <c r="L91" s="49"/>
      <c r="M91" s="45">
        <v>0</v>
      </c>
      <c r="N91" s="16">
        <f t="shared" si="15"/>
        <v>261800</v>
      </c>
      <c r="O91" s="49">
        <f t="shared" si="11"/>
        <v>130563769</v>
      </c>
      <c r="P91" s="1" t="s">
        <v>18</v>
      </c>
      <c r="Q91" t="s">
        <v>623</v>
      </c>
      <c r="R91" s="1" t="s">
        <v>64</v>
      </c>
      <c r="S91" s="1" t="s">
        <v>65</v>
      </c>
      <c r="V91" s="53"/>
      <c r="W91" s="53"/>
    </row>
    <row r="92" spans="1:23">
      <c r="A92" s="30">
        <v>45717</v>
      </c>
      <c r="B92" s="30" t="s">
        <v>64</v>
      </c>
      <c r="D92" t="s">
        <v>87</v>
      </c>
      <c r="G92" s="8" t="s">
        <v>608</v>
      </c>
      <c r="H92" s="14">
        <v>74324</v>
      </c>
      <c r="I92" s="26">
        <v>0</v>
      </c>
      <c r="J92" s="26">
        <v>0</v>
      </c>
      <c r="K92" s="26">
        <f t="shared" si="13"/>
        <v>0</v>
      </c>
      <c r="L92" s="26"/>
      <c r="M92" s="44">
        <v>0</v>
      </c>
      <c r="N92" s="14">
        <f t="shared" si="15"/>
        <v>74324</v>
      </c>
      <c r="O92" s="26">
        <f t="shared" si="11"/>
        <v>130638093</v>
      </c>
      <c r="P92" s="1" t="s">
        <v>18</v>
      </c>
      <c r="Q92" t="s">
        <v>623</v>
      </c>
      <c r="R92" s="1" t="s">
        <v>64</v>
      </c>
      <c r="S92" s="1" t="s">
        <v>65</v>
      </c>
    </row>
    <row r="93" spans="1:23" s="5" customFormat="1">
      <c r="A93" s="31">
        <v>45717</v>
      </c>
      <c r="B93" s="31" t="s">
        <v>607</v>
      </c>
      <c r="C93" s="5" t="s">
        <v>206</v>
      </c>
      <c r="D93" s="5" t="s">
        <v>108</v>
      </c>
      <c r="E93" s="10" t="s">
        <v>207</v>
      </c>
      <c r="F93" s="10">
        <v>2025</v>
      </c>
      <c r="G93" s="10" t="s">
        <v>6</v>
      </c>
      <c r="H93" s="29">
        <v>18724750</v>
      </c>
      <c r="I93" s="26">
        <f>H93</f>
        <v>18724750</v>
      </c>
      <c r="J93" s="26">
        <f t="shared" ref="J93:J108" si="16">-I93</f>
        <v>-18724750</v>
      </c>
      <c r="K93" s="26">
        <f t="shared" ref="K93:K108" si="17">I93+J93</f>
        <v>0</v>
      </c>
      <c r="L93" s="26"/>
      <c r="M93" s="14">
        <v>0</v>
      </c>
      <c r="N93" s="26">
        <v>0</v>
      </c>
      <c r="O93" s="26">
        <f t="shared" si="11"/>
        <v>130638093</v>
      </c>
      <c r="P93" t="s">
        <v>18</v>
      </c>
      <c r="Q93" s="1" t="s">
        <v>626</v>
      </c>
      <c r="R93" t="s">
        <v>631</v>
      </c>
      <c r="S93" s="4" t="s">
        <v>25</v>
      </c>
    </row>
    <row r="94" spans="1:23">
      <c r="A94" s="30">
        <v>45717</v>
      </c>
      <c r="B94" s="31" t="s">
        <v>607</v>
      </c>
      <c r="C94" t="s">
        <v>208</v>
      </c>
      <c r="D94" t="s">
        <v>209</v>
      </c>
      <c r="E94" s="8" t="s">
        <v>210</v>
      </c>
      <c r="F94" s="8">
        <v>2025</v>
      </c>
      <c r="G94" s="10" t="s">
        <v>6</v>
      </c>
      <c r="H94" s="29">
        <v>9909910</v>
      </c>
      <c r="I94" s="26">
        <f>H94</f>
        <v>9909910</v>
      </c>
      <c r="J94" s="26">
        <f t="shared" si="16"/>
        <v>-9909910</v>
      </c>
      <c r="K94" s="26">
        <f t="shared" si="17"/>
        <v>0</v>
      </c>
      <c r="L94" s="26"/>
      <c r="M94" s="41">
        <v>0</v>
      </c>
      <c r="N94" s="26">
        <v>0</v>
      </c>
      <c r="O94" s="26">
        <f t="shared" si="11"/>
        <v>130638093</v>
      </c>
      <c r="P94" t="s">
        <v>18</v>
      </c>
      <c r="Q94" s="1" t="s">
        <v>626</v>
      </c>
      <c r="R94" t="s">
        <v>631</v>
      </c>
      <c r="S94" s="4" t="s">
        <v>25</v>
      </c>
      <c r="V94"/>
      <c r="W94"/>
    </row>
    <row r="95" spans="1:23">
      <c r="A95" s="30">
        <v>45717</v>
      </c>
      <c r="B95" s="31" t="s">
        <v>607</v>
      </c>
      <c r="C95" t="s">
        <v>211</v>
      </c>
      <c r="D95" t="s">
        <v>212</v>
      </c>
      <c r="E95" s="8" t="s">
        <v>213</v>
      </c>
      <c r="F95" s="8">
        <v>2025</v>
      </c>
      <c r="G95" s="10" t="s">
        <v>6</v>
      </c>
      <c r="H95" s="29">
        <v>24774775</v>
      </c>
      <c r="I95" s="26">
        <f>H95</f>
        <v>24774775</v>
      </c>
      <c r="J95" s="26">
        <f t="shared" si="16"/>
        <v>-24774775</v>
      </c>
      <c r="K95" s="26">
        <f t="shared" si="17"/>
        <v>0</v>
      </c>
      <c r="L95" s="26"/>
      <c r="M95" s="41">
        <v>0</v>
      </c>
      <c r="N95" s="26">
        <v>0</v>
      </c>
      <c r="O95" s="26">
        <f t="shared" si="11"/>
        <v>130638093</v>
      </c>
      <c r="P95" t="s">
        <v>18</v>
      </c>
      <c r="Q95" s="1" t="s">
        <v>626</v>
      </c>
      <c r="R95" t="s">
        <v>631</v>
      </c>
      <c r="S95" s="4" t="s">
        <v>25</v>
      </c>
      <c r="V95"/>
      <c r="W95"/>
    </row>
    <row r="96" spans="1:23" s="5" customFormat="1">
      <c r="A96" s="31">
        <v>45717</v>
      </c>
      <c r="B96" s="31" t="s">
        <v>607</v>
      </c>
      <c r="C96" s="5" t="s">
        <v>214</v>
      </c>
      <c r="D96" s="5" t="s">
        <v>188</v>
      </c>
      <c r="E96" s="10" t="s">
        <v>215</v>
      </c>
      <c r="F96" s="10">
        <v>2024</v>
      </c>
      <c r="G96" s="10" t="s">
        <v>6</v>
      </c>
      <c r="H96" s="36">
        <v>70516984</v>
      </c>
      <c r="I96" s="26">
        <f t="shared" ref="I96:I106" si="18">H96</f>
        <v>70516984</v>
      </c>
      <c r="J96" s="26">
        <f t="shared" si="16"/>
        <v>-70516984</v>
      </c>
      <c r="K96" s="26">
        <f t="shared" si="17"/>
        <v>0</v>
      </c>
      <c r="L96" s="26"/>
      <c r="M96" s="14">
        <v>0</v>
      </c>
      <c r="N96" s="26">
        <v>0</v>
      </c>
      <c r="O96" s="26">
        <f t="shared" si="11"/>
        <v>130638093</v>
      </c>
      <c r="P96" t="s">
        <v>18</v>
      </c>
      <c r="Q96" s="1" t="s">
        <v>626</v>
      </c>
      <c r="R96" s="1" t="s">
        <v>630</v>
      </c>
      <c r="S96" s="4" t="s">
        <v>62</v>
      </c>
    </row>
    <row r="97" spans="1:23" s="5" customFormat="1">
      <c r="A97" s="31">
        <v>45717</v>
      </c>
      <c r="B97" s="31" t="s">
        <v>607</v>
      </c>
      <c r="C97" s="5" t="s">
        <v>216</v>
      </c>
      <c r="D97" s="5" t="s">
        <v>183</v>
      </c>
      <c r="E97" s="10" t="s">
        <v>217</v>
      </c>
      <c r="F97" s="10">
        <v>2024</v>
      </c>
      <c r="G97" s="10" t="s">
        <v>6</v>
      </c>
      <c r="H97" s="11">
        <v>23047200</v>
      </c>
      <c r="I97" s="26">
        <f t="shared" si="18"/>
        <v>23047200</v>
      </c>
      <c r="J97" s="26">
        <f t="shared" si="16"/>
        <v>-23047200</v>
      </c>
      <c r="K97" s="26">
        <f t="shared" si="17"/>
        <v>0</v>
      </c>
      <c r="L97" s="26"/>
      <c r="M97" s="14">
        <v>0</v>
      </c>
      <c r="N97" s="26">
        <v>0</v>
      </c>
      <c r="O97" s="26">
        <f t="shared" si="11"/>
        <v>130638093</v>
      </c>
      <c r="P97" t="s">
        <v>18</v>
      </c>
      <c r="Q97" s="1" t="s">
        <v>626</v>
      </c>
      <c r="R97" s="1" t="s">
        <v>630</v>
      </c>
      <c r="S97" s="4" t="s">
        <v>62</v>
      </c>
    </row>
    <row r="98" spans="1:23" s="5" customFormat="1">
      <c r="A98" s="31">
        <v>45717</v>
      </c>
      <c r="B98" s="31" t="s">
        <v>607</v>
      </c>
      <c r="C98" s="5" t="s">
        <v>218</v>
      </c>
      <c r="D98" s="5" t="s">
        <v>108</v>
      </c>
      <c r="E98" s="10" t="s">
        <v>219</v>
      </c>
      <c r="F98" s="10">
        <v>2025</v>
      </c>
      <c r="G98" s="10" t="s">
        <v>6</v>
      </c>
      <c r="H98" s="29">
        <v>22010670</v>
      </c>
      <c r="I98" s="26">
        <f>H98</f>
        <v>22010670</v>
      </c>
      <c r="J98" s="26">
        <f t="shared" si="16"/>
        <v>-22010670</v>
      </c>
      <c r="K98" s="26">
        <f t="shared" si="17"/>
        <v>0</v>
      </c>
      <c r="L98" s="26"/>
      <c r="M98" s="14">
        <v>0</v>
      </c>
      <c r="N98" s="26">
        <v>0</v>
      </c>
      <c r="O98" s="26">
        <f t="shared" si="11"/>
        <v>130638093</v>
      </c>
      <c r="P98" t="s">
        <v>18</v>
      </c>
      <c r="Q98" s="1" t="s">
        <v>626</v>
      </c>
      <c r="R98" t="s">
        <v>631</v>
      </c>
      <c r="S98" s="4" t="s">
        <v>25</v>
      </c>
    </row>
    <row r="99" spans="1:23">
      <c r="A99" s="30">
        <v>45717</v>
      </c>
      <c r="B99" s="31" t="s">
        <v>607</v>
      </c>
      <c r="C99" t="s">
        <v>220</v>
      </c>
      <c r="D99" t="s">
        <v>108</v>
      </c>
      <c r="E99" s="8" t="s">
        <v>221</v>
      </c>
      <c r="F99" s="8">
        <v>2025</v>
      </c>
      <c r="G99" s="10" t="s">
        <v>6</v>
      </c>
      <c r="H99" s="29">
        <v>8898120</v>
      </c>
      <c r="I99" s="26">
        <f>H99</f>
        <v>8898120</v>
      </c>
      <c r="J99" s="26">
        <f t="shared" si="16"/>
        <v>-8898120</v>
      </c>
      <c r="K99" s="26">
        <f t="shared" si="17"/>
        <v>0</v>
      </c>
      <c r="L99" s="26"/>
      <c r="M99" s="41">
        <v>0</v>
      </c>
      <c r="N99" s="26">
        <v>0</v>
      </c>
      <c r="O99" s="26">
        <f t="shared" si="11"/>
        <v>130638093</v>
      </c>
      <c r="P99" t="s">
        <v>18</v>
      </c>
      <c r="Q99" s="1" t="s">
        <v>626</v>
      </c>
      <c r="R99" t="s">
        <v>631</v>
      </c>
      <c r="S99" s="4" t="s">
        <v>25</v>
      </c>
      <c r="V99"/>
      <c r="W99"/>
    </row>
    <row r="100" spans="1:23">
      <c r="A100" s="30">
        <v>45717</v>
      </c>
      <c r="B100" s="31" t="s">
        <v>607</v>
      </c>
      <c r="C100" t="s">
        <v>222</v>
      </c>
      <c r="D100" t="s">
        <v>197</v>
      </c>
      <c r="E100" s="8" t="s">
        <v>223</v>
      </c>
      <c r="F100" s="8">
        <v>2025</v>
      </c>
      <c r="G100" s="10" t="s">
        <v>6</v>
      </c>
      <c r="H100" s="37">
        <v>68750000</v>
      </c>
      <c r="I100" s="26">
        <f>H100</f>
        <v>68750000</v>
      </c>
      <c r="J100" s="26">
        <f t="shared" si="16"/>
        <v>-68750000</v>
      </c>
      <c r="K100" s="26">
        <f t="shared" si="17"/>
        <v>0</v>
      </c>
      <c r="L100" s="26"/>
      <c r="M100" s="41">
        <v>0</v>
      </c>
      <c r="N100" s="26">
        <v>0</v>
      </c>
      <c r="O100" s="26">
        <f t="shared" si="11"/>
        <v>130638093</v>
      </c>
      <c r="P100" t="s">
        <v>18</v>
      </c>
      <c r="Q100" s="1" t="s">
        <v>626</v>
      </c>
      <c r="R100" t="s">
        <v>631</v>
      </c>
      <c r="S100" s="4" t="s">
        <v>25</v>
      </c>
      <c r="V100"/>
      <c r="W100"/>
    </row>
    <row r="101" spans="1:23" s="5" customFormat="1">
      <c r="A101" s="31">
        <v>45717</v>
      </c>
      <c r="B101" s="31" t="s">
        <v>607</v>
      </c>
      <c r="C101" s="5" t="s">
        <v>224</v>
      </c>
      <c r="D101" s="5" t="s">
        <v>183</v>
      </c>
      <c r="E101" s="10" t="s">
        <v>225</v>
      </c>
      <c r="F101" s="8">
        <v>2024</v>
      </c>
      <c r="G101" s="10" t="s">
        <v>6</v>
      </c>
      <c r="H101" s="11">
        <v>2190177</v>
      </c>
      <c r="I101" s="26">
        <f t="shared" si="18"/>
        <v>2190177</v>
      </c>
      <c r="J101" s="26">
        <f t="shared" si="16"/>
        <v>-2190177</v>
      </c>
      <c r="K101" s="26">
        <f t="shared" si="17"/>
        <v>0</v>
      </c>
      <c r="L101" s="26"/>
      <c r="M101" s="14">
        <v>0</v>
      </c>
      <c r="N101" s="26">
        <v>0</v>
      </c>
      <c r="O101" s="26">
        <f t="shared" si="11"/>
        <v>130638093</v>
      </c>
      <c r="P101" t="s">
        <v>18</v>
      </c>
      <c r="Q101" s="1" t="s">
        <v>626</v>
      </c>
      <c r="R101" s="1" t="s">
        <v>630</v>
      </c>
      <c r="S101" s="4" t="s">
        <v>62</v>
      </c>
    </row>
    <row r="102" spans="1:23" s="5" customFormat="1">
      <c r="A102" s="31">
        <v>45717</v>
      </c>
      <c r="B102" s="31" t="s">
        <v>607</v>
      </c>
      <c r="C102" s="5" t="s">
        <v>226</v>
      </c>
      <c r="D102" s="5" t="s">
        <v>183</v>
      </c>
      <c r="E102" s="10" t="s">
        <v>227</v>
      </c>
      <c r="F102" s="10">
        <v>2024</v>
      </c>
      <c r="G102" s="10" t="s">
        <v>6</v>
      </c>
      <c r="H102" s="11">
        <v>42173376</v>
      </c>
      <c r="I102" s="26">
        <f t="shared" si="18"/>
        <v>42173376</v>
      </c>
      <c r="J102" s="26">
        <f t="shared" si="16"/>
        <v>-42173376</v>
      </c>
      <c r="K102" s="26">
        <f t="shared" si="17"/>
        <v>0</v>
      </c>
      <c r="L102" s="26"/>
      <c r="M102" s="16">
        <v>0</v>
      </c>
      <c r="N102" s="26">
        <v>0</v>
      </c>
      <c r="O102" s="26">
        <f t="shared" si="11"/>
        <v>130638093</v>
      </c>
      <c r="P102" t="s">
        <v>18</v>
      </c>
      <c r="Q102" s="1" t="s">
        <v>626</v>
      </c>
      <c r="R102" s="1" t="s">
        <v>630</v>
      </c>
      <c r="S102" s="4" t="s">
        <v>62</v>
      </c>
    </row>
    <row r="103" spans="1:23" s="5" customFormat="1">
      <c r="A103" s="31">
        <v>45717</v>
      </c>
      <c r="B103" s="31" t="s">
        <v>607</v>
      </c>
      <c r="C103" s="5" t="s">
        <v>228</v>
      </c>
      <c r="D103" s="5" t="s">
        <v>229</v>
      </c>
      <c r="E103" s="10" t="s">
        <v>230</v>
      </c>
      <c r="F103" s="10">
        <v>2024</v>
      </c>
      <c r="G103" s="10" t="s">
        <v>6</v>
      </c>
      <c r="H103" s="36">
        <v>27014020</v>
      </c>
      <c r="I103" s="26">
        <f t="shared" si="18"/>
        <v>27014020</v>
      </c>
      <c r="J103" s="26">
        <f t="shared" si="16"/>
        <v>-27014020</v>
      </c>
      <c r="K103" s="26">
        <f t="shared" si="17"/>
        <v>0</v>
      </c>
      <c r="L103" s="26"/>
      <c r="M103" s="14">
        <v>0</v>
      </c>
      <c r="N103" s="26">
        <v>0</v>
      </c>
      <c r="O103" s="26">
        <f t="shared" si="11"/>
        <v>130638093</v>
      </c>
      <c r="P103" t="s">
        <v>18</v>
      </c>
      <c r="Q103" s="1" t="s">
        <v>626</v>
      </c>
      <c r="R103" s="1" t="s">
        <v>630</v>
      </c>
      <c r="S103" s="4" t="s">
        <v>62</v>
      </c>
    </row>
    <row r="104" spans="1:23">
      <c r="A104" s="30">
        <v>45717</v>
      </c>
      <c r="B104" s="31" t="s">
        <v>607</v>
      </c>
      <c r="C104" t="s">
        <v>231</v>
      </c>
      <c r="D104" t="s">
        <v>183</v>
      </c>
      <c r="E104" s="8" t="s">
        <v>232</v>
      </c>
      <c r="F104" s="8">
        <v>2025</v>
      </c>
      <c r="G104" s="10" t="s">
        <v>6</v>
      </c>
      <c r="H104" s="29">
        <v>1269204</v>
      </c>
      <c r="I104" s="26">
        <f>H104</f>
        <v>1269204</v>
      </c>
      <c r="J104" s="26">
        <f t="shared" si="16"/>
        <v>-1269204</v>
      </c>
      <c r="K104" s="26">
        <f t="shared" si="17"/>
        <v>0</v>
      </c>
      <c r="L104" s="26"/>
      <c r="M104" s="41">
        <v>0</v>
      </c>
      <c r="N104" s="26">
        <v>0</v>
      </c>
      <c r="O104" s="26">
        <f t="shared" si="11"/>
        <v>130638093</v>
      </c>
      <c r="P104" t="s">
        <v>18</v>
      </c>
      <c r="Q104" s="1" t="s">
        <v>626</v>
      </c>
      <c r="R104" t="s">
        <v>631</v>
      </c>
      <c r="S104" s="4" t="s">
        <v>25</v>
      </c>
      <c r="V104"/>
      <c r="W104"/>
    </row>
    <row r="105" spans="1:23">
      <c r="A105" s="30">
        <v>45717</v>
      </c>
      <c r="B105" s="31" t="s">
        <v>607</v>
      </c>
      <c r="C105" t="s">
        <v>233</v>
      </c>
      <c r="D105" t="s">
        <v>234</v>
      </c>
      <c r="E105" s="8" t="s">
        <v>235</v>
      </c>
      <c r="F105" s="8">
        <v>2025</v>
      </c>
      <c r="G105" s="10" t="s">
        <v>6</v>
      </c>
      <c r="H105" s="29">
        <v>5200641</v>
      </c>
      <c r="I105" s="26">
        <f>H105</f>
        <v>5200641</v>
      </c>
      <c r="J105" s="26">
        <f t="shared" si="16"/>
        <v>-5200641</v>
      </c>
      <c r="K105" s="26">
        <f t="shared" si="17"/>
        <v>0</v>
      </c>
      <c r="L105" s="26"/>
      <c r="M105" s="41">
        <v>0</v>
      </c>
      <c r="N105" s="26">
        <v>0</v>
      </c>
      <c r="O105" s="26">
        <f t="shared" si="11"/>
        <v>130638093</v>
      </c>
      <c r="P105" t="s">
        <v>18</v>
      </c>
      <c r="Q105" s="1" t="s">
        <v>626</v>
      </c>
      <c r="R105" t="s">
        <v>631</v>
      </c>
      <c r="S105" s="4" t="s">
        <v>25</v>
      </c>
      <c r="V105"/>
      <c r="W105"/>
    </row>
    <row r="106" spans="1:23" s="5" customFormat="1">
      <c r="A106" s="31">
        <v>45717</v>
      </c>
      <c r="B106" s="31" t="s">
        <v>607</v>
      </c>
      <c r="C106" s="5" t="s">
        <v>236</v>
      </c>
      <c r="D106" s="5" t="s">
        <v>183</v>
      </c>
      <c r="E106" s="10" t="s">
        <v>237</v>
      </c>
      <c r="F106" s="10">
        <v>2024</v>
      </c>
      <c r="G106" s="10" t="s">
        <v>6</v>
      </c>
      <c r="H106" s="11">
        <v>67801127</v>
      </c>
      <c r="I106" s="26">
        <f t="shared" si="18"/>
        <v>67801127</v>
      </c>
      <c r="J106" s="26">
        <f t="shared" si="16"/>
        <v>-67801127</v>
      </c>
      <c r="K106" s="26">
        <f t="shared" si="17"/>
        <v>0</v>
      </c>
      <c r="L106" s="26"/>
      <c r="M106" s="16">
        <v>0</v>
      </c>
      <c r="N106" s="26">
        <v>0</v>
      </c>
      <c r="O106" s="26">
        <f t="shared" si="11"/>
        <v>130638093</v>
      </c>
      <c r="P106" t="s">
        <v>18</v>
      </c>
      <c r="Q106" s="1" t="s">
        <v>626</v>
      </c>
      <c r="R106" s="1" t="s">
        <v>630</v>
      </c>
      <c r="S106" s="4" t="s">
        <v>62</v>
      </c>
    </row>
    <row r="107" spans="1:23" s="5" customFormat="1">
      <c r="A107" s="31">
        <v>45717</v>
      </c>
      <c r="B107" s="31" t="s">
        <v>607</v>
      </c>
      <c r="C107" s="5" t="s">
        <v>238</v>
      </c>
      <c r="D107" s="5" t="s">
        <v>183</v>
      </c>
      <c r="E107" s="10" t="s">
        <v>239</v>
      </c>
      <c r="F107" s="10">
        <v>2024</v>
      </c>
      <c r="G107" s="10" t="s">
        <v>6</v>
      </c>
      <c r="H107" s="11">
        <v>10008312</v>
      </c>
      <c r="I107" s="26">
        <f>H107</f>
        <v>10008312</v>
      </c>
      <c r="J107" s="26">
        <f t="shared" si="16"/>
        <v>-10008312</v>
      </c>
      <c r="K107" s="26">
        <f t="shared" si="17"/>
        <v>0</v>
      </c>
      <c r="L107" s="26"/>
      <c r="M107" s="14">
        <v>0</v>
      </c>
      <c r="N107" s="26">
        <v>0</v>
      </c>
      <c r="O107" s="26">
        <f t="shared" si="11"/>
        <v>130638093</v>
      </c>
      <c r="P107" t="s">
        <v>18</v>
      </c>
      <c r="Q107" s="1" t="s">
        <v>626</v>
      </c>
      <c r="R107" s="1" t="s">
        <v>630</v>
      </c>
      <c r="S107" s="4" t="s">
        <v>62</v>
      </c>
    </row>
    <row r="108" spans="1:23">
      <c r="A108" s="30">
        <v>45717</v>
      </c>
      <c r="B108" s="31" t="s">
        <v>607</v>
      </c>
      <c r="C108" t="s">
        <v>240</v>
      </c>
      <c r="D108" t="s">
        <v>183</v>
      </c>
      <c r="E108" s="8" t="s">
        <v>241</v>
      </c>
      <c r="F108" s="8">
        <v>2025</v>
      </c>
      <c r="G108" s="10" t="s">
        <v>6</v>
      </c>
      <c r="H108" s="29">
        <v>1182500</v>
      </c>
      <c r="I108" s="26">
        <f>H108</f>
        <v>1182500</v>
      </c>
      <c r="J108" s="26">
        <f t="shared" si="16"/>
        <v>-1182500</v>
      </c>
      <c r="K108" s="26">
        <f t="shared" si="17"/>
        <v>0</v>
      </c>
      <c r="L108" s="26"/>
      <c r="M108" s="41">
        <v>0</v>
      </c>
      <c r="N108" s="26">
        <v>0</v>
      </c>
      <c r="O108" s="26">
        <f t="shared" si="11"/>
        <v>130638093</v>
      </c>
      <c r="P108" t="s">
        <v>18</v>
      </c>
      <c r="Q108" s="1" t="s">
        <v>626</v>
      </c>
      <c r="R108" t="s">
        <v>631</v>
      </c>
      <c r="S108" s="4" t="s">
        <v>25</v>
      </c>
      <c r="V108"/>
      <c r="W108"/>
    </row>
    <row r="109" spans="1:23">
      <c r="A109" s="30">
        <v>45717</v>
      </c>
      <c r="B109" s="30" t="s">
        <v>64</v>
      </c>
      <c r="D109" t="s">
        <v>200</v>
      </c>
      <c r="E109" s="8" t="s">
        <v>242</v>
      </c>
      <c r="F109" s="8">
        <v>2025</v>
      </c>
      <c r="G109" s="8" t="s">
        <v>7</v>
      </c>
      <c r="H109" s="21">
        <v>14814136</v>
      </c>
      <c r="I109" s="26">
        <v>0</v>
      </c>
      <c r="J109" s="26">
        <v>0</v>
      </c>
      <c r="K109" s="26">
        <f t="shared" si="13"/>
        <v>0</v>
      </c>
      <c r="L109" s="26"/>
      <c r="M109" s="21">
        <f>H109</f>
        <v>14814136</v>
      </c>
      <c r="N109" s="26">
        <v>0</v>
      </c>
      <c r="O109" s="26">
        <f t="shared" si="11"/>
        <v>115823957</v>
      </c>
      <c r="P109" t="s">
        <v>0</v>
      </c>
      <c r="Q109" t="s">
        <v>604</v>
      </c>
      <c r="R109" t="s">
        <v>605</v>
      </c>
    </row>
    <row r="110" spans="1:23">
      <c r="A110" s="30">
        <v>45717</v>
      </c>
      <c r="B110" s="30" t="s">
        <v>64</v>
      </c>
      <c r="D110" t="s">
        <v>183</v>
      </c>
      <c r="E110" s="8" t="s">
        <v>243</v>
      </c>
      <c r="F110" s="8">
        <v>2025</v>
      </c>
      <c r="G110" s="8" t="s">
        <v>7</v>
      </c>
      <c r="H110" s="21">
        <v>906030</v>
      </c>
      <c r="I110" s="26">
        <v>0</v>
      </c>
      <c r="J110" s="26">
        <v>0</v>
      </c>
      <c r="K110" s="26">
        <f t="shared" si="13"/>
        <v>0</v>
      </c>
      <c r="L110" s="26"/>
      <c r="M110" s="21">
        <f>H110</f>
        <v>906030</v>
      </c>
      <c r="N110" s="26">
        <v>0</v>
      </c>
      <c r="O110" s="26">
        <f t="shared" si="11"/>
        <v>114917927</v>
      </c>
      <c r="P110" t="s">
        <v>0</v>
      </c>
      <c r="Q110" t="s">
        <v>604</v>
      </c>
      <c r="R110" t="s">
        <v>605</v>
      </c>
    </row>
    <row r="111" spans="1:23">
      <c r="A111" s="30">
        <v>45717</v>
      </c>
      <c r="B111" s="30" t="s">
        <v>64</v>
      </c>
      <c r="D111" t="s">
        <v>244</v>
      </c>
      <c r="E111" s="8" t="s">
        <v>245</v>
      </c>
      <c r="F111" s="8">
        <v>2025</v>
      </c>
      <c r="G111" s="8" t="s">
        <v>7</v>
      </c>
      <c r="H111" s="21">
        <v>5047299</v>
      </c>
      <c r="I111" s="26">
        <v>0</v>
      </c>
      <c r="J111" s="26">
        <v>0</v>
      </c>
      <c r="K111" s="26">
        <f t="shared" si="13"/>
        <v>0</v>
      </c>
      <c r="L111" s="26"/>
      <c r="M111" s="21">
        <f>H111</f>
        <v>5047299</v>
      </c>
      <c r="N111" s="26">
        <v>0</v>
      </c>
      <c r="O111" s="26">
        <f t="shared" si="11"/>
        <v>109870628</v>
      </c>
      <c r="P111" t="s">
        <v>0</v>
      </c>
      <c r="Q111" t="s">
        <v>604</v>
      </c>
      <c r="R111" t="s">
        <v>605</v>
      </c>
    </row>
    <row r="112" spans="1:23">
      <c r="A112" s="30">
        <v>45748</v>
      </c>
      <c r="B112" s="30" t="s">
        <v>64</v>
      </c>
      <c r="D112" t="s">
        <v>246</v>
      </c>
      <c r="G112" s="8" t="s">
        <v>608</v>
      </c>
      <c r="H112" s="14">
        <v>629948</v>
      </c>
      <c r="I112" s="26">
        <v>0</v>
      </c>
      <c r="J112" s="26">
        <v>0</v>
      </c>
      <c r="K112" s="26">
        <f t="shared" si="13"/>
        <v>0</v>
      </c>
      <c r="L112" s="26"/>
      <c r="M112" s="44">
        <v>0</v>
      </c>
      <c r="N112" s="14">
        <f t="shared" ref="N112:N119" si="19">H112</f>
        <v>629948</v>
      </c>
      <c r="O112" s="26">
        <f t="shared" si="11"/>
        <v>110500576</v>
      </c>
      <c r="P112" t="s">
        <v>18</v>
      </c>
      <c r="Q112" t="s">
        <v>624</v>
      </c>
      <c r="R112" t="s">
        <v>64</v>
      </c>
      <c r="S112" t="s">
        <v>60</v>
      </c>
    </row>
    <row r="113" spans="1:23">
      <c r="A113" s="30">
        <v>45748</v>
      </c>
      <c r="B113" s="30" t="s">
        <v>64</v>
      </c>
      <c r="D113" t="s">
        <v>98</v>
      </c>
      <c r="G113" s="8" t="s">
        <v>608</v>
      </c>
      <c r="H113" s="14">
        <v>3313402</v>
      </c>
      <c r="I113" s="26">
        <v>0</v>
      </c>
      <c r="J113" s="26">
        <v>0</v>
      </c>
      <c r="K113" s="26">
        <f t="shared" si="13"/>
        <v>0</v>
      </c>
      <c r="L113" s="26"/>
      <c r="M113" s="44">
        <v>0</v>
      </c>
      <c r="N113" s="14">
        <f t="shared" si="19"/>
        <v>3313402</v>
      </c>
      <c r="O113" s="26">
        <f t="shared" si="11"/>
        <v>113813978</v>
      </c>
      <c r="P113" s="1" t="s">
        <v>18</v>
      </c>
      <c r="Q113" t="s">
        <v>623</v>
      </c>
      <c r="R113" s="1" t="s">
        <v>64</v>
      </c>
      <c r="S113" s="1" t="s">
        <v>60</v>
      </c>
    </row>
    <row r="114" spans="1:23">
      <c r="A114" s="30">
        <v>45748</v>
      </c>
      <c r="B114" s="30" t="s">
        <v>64</v>
      </c>
      <c r="D114" t="s">
        <v>89</v>
      </c>
      <c r="G114" s="8" t="s">
        <v>608</v>
      </c>
      <c r="H114" s="14">
        <v>583000</v>
      </c>
      <c r="I114" s="26">
        <v>0</v>
      </c>
      <c r="J114" s="26">
        <v>0</v>
      </c>
      <c r="K114" s="26">
        <f t="shared" si="13"/>
        <v>0</v>
      </c>
      <c r="L114" s="26"/>
      <c r="M114" s="44">
        <v>0</v>
      </c>
      <c r="N114" s="14">
        <f t="shared" si="19"/>
        <v>583000</v>
      </c>
      <c r="O114" s="26">
        <f t="shared" si="11"/>
        <v>114396978</v>
      </c>
      <c r="P114" s="1" t="s">
        <v>18</v>
      </c>
      <c r="Q114" t="s">
        <v>623</v>
      </c>
      <c r="R114" s="1" t="s">
        <v>64</v>
      </c>
      <c r="S114" s="1" t="s">
        <v>60</v>
      </c>
    </row>
    <row r="115" spans="1:23">
      <c r="A115" s="30">
        <v>45748</v>
      </c>
      <c r="B115" s="30" t="s">
        <v>64</v>
      </c>
      <c r="D115" t="s">
        <v>89</v>
      </c>
      <c r="G115" s="8" t="s">
        <v>608</v>
      </c>
      <c r="H115" s="14">
        <v>506000</v>
      </c>
      <c r="I115" s="26">
        <v>0</v>
      </c>
      <c r="J115" s="26">
        <v>0</v>
      </c>
      <c r="K115" s="26">
        <f t="shared" si="13"/>
        <v>0</v>
      </c>
      <c r="L115" s="26"/>
      <c r="M115" s="44">
        <v>0</v>
      </c>
      <c r="N115" s="14">
        <f t="shared" si="19"/>
        <v>506000</v>
      </c>
      <c r="O115" s="26">
        <f t="shared" si="11"/>
        <v>114902978</v>
      </c>
      <c r="P115" s="1" t="s">
        <v>18</v>
      </c>
      <c r="Q115" t="s">
        <v>623</v>
      </c>
      <c r="R115" s="1" t="s">
        <v>64</v>
      </c>
      <c r="S115" s="1" t="s">
        <v>60</v>
      </c>
    </row>
    <row r="116" spans="1:23">
      <c r="A116" s="30">
        <v>45748</v>
      </c>
      <c r="B116" s="30" t="s">
        <v>64</v>
      </c>
      <c r="D116" t="s">
        <v>101</v>
      </c>
      <c r="G116" s="8" t="s">
        <v>608</v>
      </c>
      <c r="H116" s="14">
        <v>385000</v>
      </c>
      <c r="I116" s="26">
        <v>0</v>
      </c>
      <c r="J116" s="26">
        <v>0</v>
      </c>
      <c r="K116" s="26">
        <f t="shared" si="13"/>
        <v>0</v>
      </c>
      <c r="L116" s="26"/>
      <c r="M116" s="44">
        <v>0</v>
      </c>
      <c r="N116" s="14">
        <f t="shared" si="19"/>
        <v>385000</v>
      </c>
      <c r="O116" s="26">
        <f t="shared" si="11"/>
        <v>115287978</v>
      </c>
      <c r="P116" s="1" t="s">
        <v>18</v>
      </c>
      <c r="Q116" t="s">
        <v>623</v>
      </c>
      <c r="R116" s="1" t="s">
        <v>64</v>
      </c>
      <c r="S116" s="1" t="s">
        <v>60</v>
      </c>
    </row>
    <row r="117" spans="1:23">
      <c r="A117" s="30">
        <v>45748</v>
      </c>
      <c r="B117" s="30" t="s">
        <v>64</v>
      </c>
      <c r="D117" t="s">
        <v>85</v>
      </c>
      <c r="G117" s="8" t="s">
        <v>608</v>
      </c>
      <c r="H117" s="14">
        <v>1981982</v>
      </c>
      <c r="I117" s="26">
        <v>0</v>
      </c>
      <c r="J117" s="26">
        <v>0</v>
      </c>
      <c r="K117" s="26">
        <f t="shared" si="13"/>
        <v>0</v>
      </c>
      <c r="L117" s="26"/>
      <c r="M117" s="44">
        <v>0</v>
      </c>
      <c r="N117" s="14">
        <f t="shared" si="19"/>
        <v>1981982</v>
      </c>
      <c r="O117" s="26">
        <f t="shared" si="11"/>
        <v>117269960</v>
      </c>
      <c r="P117" t="s">
        <v>18</v>
      </c>
      <c r="Q117" t="s">
        <v>624</v>
      </c>
      <c r="R117" t="s">
        <v>64</v>
      </c>
      <c r="S117" t="s">
        <v>60</v>
      </c>
    </row>
    <row r="118" spans="1:23">
      <c r="A118" s="30">
        <v>45748</v>
      </c>
      <c r="B118" s="30" t="s">
        <v>64</v>
      </c>
      <c r="D118" t="s">
        <v>87</v>
      </c>
      <c r="G118" s="8" t="s">
        <v>608</v>
      </c>
      <c r="H118" s="14">
        <v>74324</v>
      </c>
      <c r="I118" s="26">
        <v>0</v>
      </c>
      <c r="J118" s="26">
        <v>0</v>
      </c>
      <c r="K118" s="26">
        <f t="shared" si="13"/>
        <v>0</v>
      </c>
      <c r="L118" s="26"/>
      <c r="M118" s="44">
        <v>0</v>
      </c>
      <c r="N118" s="14">
        <f t="shared" si="19"/>
        <v>74324</v>
      </c>
      <c r="O118" s="26">
        <f t="shared" si="11"/>
        <v>117344284</v>
      </c>
      <c r="P118" s="1" t="s">
        <v>18</v>
      </c>
      <c r="Q118" t="s">
        <v>623</v>
      </c>
      <c r="R118" s="1" t="s">
        <v>64</v>
      </c>
      <c r="S118" s="1" t="s">
        <v>60</v>
      </c>
    </row>
    <row r="119" spans="1:23">
      <c r="A119" s="30">
        <v>45748</v>
      </c>
      <c r="B119" s="30" t="s">
        <v>64</v>
      </c>
      <c r="D119" t="s">
        <v>97</v>
      </c>
      <c r="G119" s="8" t="s">
        <v>608</v>
      </c>
      <c r="H119" s="14">
        <v>2211000</v>
      </c>
      <c r="I119" s="26">
        <v>0</v>
      </c>
      <c r="J119" s="26">
        <v>0</v>
      </c>
      <c r="K119" s="26">
        <f t="shared" si="13"/>
        <v>0</v>
      </c>
      <c r="L119" s="26"/>
      <c r="M119" s="44">
        <v>0</v>
      </c>
      <c r="N119" s="14">
        <f t="shared" si="19"/>
        <v>2211000</v>
      </c>
      <c r="O119" s="26">
        <f t="shared" si="11"/>
        <v>119555284</v>
      </c>
      <c r="P119" s="1" t="s">
        <v>18</v>
      </c>
      <c r="Q119" t="s">
        <v>623</v>
      </c>
      <c r="R119" s="1" t="s">
        <v>64</v>
      </c>
      <c r="S119" s="1" t="s">
        <v>60</v>
      </c>
    </row>
    <row r="120" spans="1:23" s="5" customFormat="1">
      <c r="A120" s="31">
        <v>45748</v>
      </c>
      <c r="B120" s="31" t="s">
        <v>607</v>
      </c>
      <c r="C120" s="5" t="s">
        <v>247</v>
      </c>
      <c r="D120" s="5" t="s">
        <v>229</v>
      </c>
      <c r="E120" s="10" t="s">
        <v>248</v>
      </c>
      <c r="F120" s="8">
        <v>2024</v>
      </c>
      <c r="G120" s="8" t="s">
        <v>6</v>
      </c>
      <c r="H120" s="36">
        <v>2006730</v>
      </c>
      <c r="I120" s="26">
        <f>H120</f>
        <v>2006730</v>
      </c>
      <c r="J120" s="26">
        <f>-I120</f>
        <v>-2006730</v>
      </c>
      <c r="K120" s="26">
        <f>I120+J120</f>
        <v>0</v>
      </c>
      <c r="L120" s="26"/>
      <c r="M120" s="14">
        <v>0</v>
      </c>
      <c r="N120" s="26">
        <v>0</v>
      </c>
      <c r="O120" s="26">
        <f t="shared" si="11"/>
        <v>119555284</v>
      </c>
      <c r="P120" t="s">
        <v>18</v>
      </c>
      <c r="Q120" s="1" t="s">
        <v>626</v>
      </c>
      <c r="R120" s="1" t="s">
        <v>630</v>
      </c>
      <c r="S120" s="4" t="s">
        <v>62</v>
      </c>
    </row>
    <row r="121" spans="1:23">
      <c r="A121" s="30">
        <v>45748</v>
      </c>
      <c r="B121" s="31" t="s">
        <v>607</v>
      </c>
      <c r="C121" t="s">
        <v>249</v>
      </c>
      <c r="D121" t="s">
        <v>95</v>
      </c>
      <c r="E121" s="8" t="s">
        <v>250</v>
      </c>
      <c r="F121" s="8">
        <v>2025</v>
      </c>
      <c r="G121" s="8" t="s">
        <v>6</v>
      </c>
      <c r="H121" s="29">
        <v>9020550</v>
      </c>
      <c r="I121" s="26">
        <f>H121</f>
        <v>9020550</v>
      </c>
      <c r="J121" s="26">
        <f>-I121</f>
        <v>-9020550</v>
      </c>
      <c r="K121" s="26">
        <f>I121+J121</f>
        <v>0</v>
      </c>
      <c r="L121" s="26"/>
      <c r="M121" s="44">
        <v>0</v>
      </c>
      <c r="N121" s="26">
        <v>0</v>
      </c>
      <c r="O121" s="26">
        <f t="shared" si="11"/>
        <v>119555284</v>
      </c>
      <c r="P121" t="s">
        <v>18</v>
      </c>
      <c r="Q121" s="1" t="s">
        <v>626</v>
      </c>
      <c r="R121" t="s">
        <v>631</v>
      </c>
      <c r="S121" s="4" t="s">
        <v>25</v>
      </c>
      <c r="V121"/>
      <c r="W121"/>
    </row>
    <row r="122" spans="1:23">
      <c r="A122" s="30">
        <v>45748</v>
      </c>
      <c r="B122" s="31" t="s">
        <v>607</v>
      </c>
      <c r="C122" t="s">
        <v>251</v>
      </c>
      <c r="D122" t="s">
        <v>172</v>
      </c>
      <c r="E122" s="8" t="s">
        <v>252</v>
      </c>
      <c r="F122" s="8">
        <v>2025</v>
      </c>
      <c r="G122" s="8" t="s">
        <v>6</v>
      </c>
      <c r="H122" s="29">
        <v>49549550</v>
      </c>
      <c r="I122" s="26">
        <f>H122</f>
        <v>49549550</v>
      </c>
      <c r="J122" s="26">
        <f>-I122</f>
        <v>-49549550</v>
      </c>
      <c r="K122" s="26">
        <f>I122+J122</f>
        <v>0</v>
      </c>
      <c r="L122" s="26"/>
      <c r="M122" s="44">
        <v>0</v>
      </c>
      <c r="N122" s="26">
        <v>0</v>
      </c>
      <c r="O122" s="26">
        <f t="shared" si="11"/>
        <v>119555284</v>
      </c>
      <c r="P122" t="s">
        <v>18</v>
      </c>
      <c r="Q122" s="1" t="s">
        <v>626</v>
      </c>
      <c r="R122" t="s">
        <v>631</v>
      </c>
      <c r="S122" s="4" t="s">
        <v>25</v>
      </c>
      <c r="V122"/>
      <c r="W122"/>
    </row>
    <row r="123" spans="1:23" s="23" customFormat="1">
      <c r="A123" s="39">
        <v>45748</v>
      </c>
      <c r="B123" s="34" t="s">
        <v>607</v>
      </c>
      <c r="C123" s="23" t="s">
        <v>253</v>
      </c>
      <c r="D123" s="23" t="s">
        <v>183</v>
      </c>
      <c r="E123" s="43" t="s">
        <v>254</v>
      </c>
      <c r="F123" s="43"/>
      <c r="G123" s="43" t="s">
        <v>6</v>
      </c>
      <c r="H123" s="41">
        <v>4628197</v>
      </c>
      <c r="I123" s="40">
        <f>H123</f>
        <v>4628197</v>
      </c>
      <c r="J123" s="40">
        <v>0</v>
      </c>
      <c r="K123" s="40">
        <f t="shared" si="13"/>
        <v>4628197</v>
      </c>
      <c r="L123" s="40"/>
      <c r="M123" s="41">
        <v>0</v>
      </c>
      <c r="N123" s="41">
        <v>0</v>
      </c>
      <c r="O123" s="26">
        <f t="shared" si="11"/>
        <v>119555284</v>
      </c>
      <c r="P123" s="12" t="s">
        <v>1</v>
      </c>
      <c r="Q123" s="23" t="s">
        <v>1</v>
      </c>
      <c r="R123" s="23" t="s">
        <v>1</v>
      </c>
      <c r="S123" s="19" t="s">
        <v>1</v>
      </c>
      <c r="T123" s="19" t="s">
        <v>600</v>
      </c>
    </row>
    <row r="124" spans="1:23" s="1" customFormat="1">
      <c r="A124" s="42">
        <v>45748</v>
      </c>
      <c r="B124" s="31" t="s">
        <v>607</v>
      </c>
      <c r="C124" s="24" t="s">
        <v>255</v>
      </c>
      <c r="D124" s="1" t="s">
        <v>601</v>
      </c>
      <c r="E124" s="22" t="s">
        <v>256</v>
      </c>
      <c r="F124" s="22" t="s">
        <v>1</v>
      </c>
      <c r="G124" s="22" t="s">
        <v>7</v>
      </c>
      <c r="H124" s="14">
        <v>0</v>
      </c>
      <c r="I124" s="26">
        <v>0</v>
      </c>
      <c r="J124" s="26">
        <v>0</v>
      </c>
      <c r="K124" s="26">
        <f t="shared" si="13"/>
        <v>0</v>
      </c>
      <c r="L124" s="26"/>
      <c r="M124" s="21">
        <f t="shared" ref="M124:M133" si="20">H124</f>
        <v>0</v>
      </c>
      <c r="N124" s="26">
        <v>0</v>
      </c>
      <c r="O124" s="26">
        <f t="shared" si="11"/>
        <v>119555284</v>
      </c>
      <c r="P124" t="s">
        <v>0</v>
      </c>
      <c r="Q124" t="s">
        <v>604</v>
      </c>
      <c r="R124" t="s">
        <v>605</v>
      </c>
      <c r="T124" s="50" t="s">
        <v>614</v>
      </c>
      <c r="V124" s="14"/>
      <c r="W124" s="14"/>
    </row>
    <row r="125" spans="1:23">
      <c r="A125" s="30">
        <v>45748</v>
      </c>
      <c r="B125" s="31" t="s">
        <v>607</v>
      </c>
      <c r="C125" t="s">
        <v>257</v>
      </c>
      <c r="D125" t="s">
        <v>258</v>
      </c>
      <c r="E125" s="8" t="s">
        <v>259</v>
      </c>
      <c r="F125" s="8">
        <v>2025</v>
      </c>
      <c r="G125" s="22" t="s">
        <v>7</v>
      </c>
      <c r="H125" s="21">
        <v>1516305</v>
      </c>
      <c r="I125" s="26">
        <v>0</v>
      </c>
      <c r="J125" s="26">
        <v>0</v>
      </c>
      <c r="K125" s="26">
        <f t="shared" si="13"/>
        <v>0</v>
      </c>
      <c r="L125" s="26"/>
      <c r="M125" s="21">
        <f t="shared" si="20"/>
        <v>1516305</v>
      </c>
      <c r="N125" s="26">
        <v>0</v>
      </c>
      <c r="O125" s="26">
        <f t="shared" si="11"/>
        <v>118038979</v>
      </c>
      <c r="P125" t="s">
        <v>0</v>
      </c>
      <c r="Q125" t="s">
        <v>604</v>
      </c>
      <c r="R125" t="s">
        <v>605</v>
      </c>
    </row>
    <row r="126" spans="1:23">
      <c r="A126" s="30">
        <v>45748</v>
      </c>
      <c r="B126" s="31" t="s">
        <v>607</v>
      </c>
      <c r="C126" t="s">
        <v>260</v>
      </c>
      <c r="D126" t="s">
        <v>258</v>
      </c>
      <c r="E126" s="8" t="s">
        <v>261</v>
      </c>
      <c r="F126" s="8">
        <v>2025</v>
      </c>
      <c r="G126" s="22" t="s">
        <v>7</v>
      </c>
      <c r="H126" s="21">
        <v>1516305</v>
      </c>
      <c r="I126" s="26">
        <v>0</v>
      </c>
      <c r="J126" s="26">
        <v>0</v>
      </c>
      <c r="K126" s="26">
        <f t="shared" si="13"/>
        <v>0</v>
      </c>
      <c r="L126" s="26"/>
      <c r="M126" s="21">
        <f t="shared" si="20"/>
        <v>1516305</v>
      </c>
      <c r="N126" s="26">
        <v>0</v>
      </c>
      <c r="O126" s="26">
        <f t="shared" si="11"/>
        <v>116522674</v>
      </c>
      <c r="P126" t="s">
        <v>0</v>
      </c>
      <c r="Q126" t="s">
        <v>604</v>
      </c>
      <c r="R126" t="s">
        <v>605</v>
      </c>
    </row>
    <row r="127" spans="1:23">
      <c r="A127" s="30">
        <v>45748</v>
      </c>
      <c r="B127" s="31" t="s">
        <v>607</v>
      </c>
      <c r="C127" t="s">
        <v>262</v>
      </c>
      <c r="D127" t="s">
        <v>258</v>
      </c>
      <c r="E127" s="8" t="s">
        <v>263</v>
      </c>
      <c r="F127" s="8">
        <v>2025</v>
      </c>
      <c r="G127" s="22" t="s">
        <v>7</v>
      </c>
      <c r="H127" s="21">
        <v>758153</v>
      </c>
      <c r="I127" s="26">
        <v>0</v>
      </c>
      <c r="J127" s="26">
        <v>0</v>
      </c>
      <c r="K127" s="26">
        <f t="shared" si="13"/>
        <v>0</v>
      </c>
      <c r="L127" s="26"/>
      <c r="M127" s="21">
        <f t="shared" si="20"/>
        <v>758153</v>
      </c>
      <c r="N127" s="26">
        <v>0</v>
      </c>
      <c r="O127" s="26">
        <f t="shared" si="11"/>
        <v>115764521</v>
      </c>
      <c r="P127" t="s">
        <v>0</v>
      </c>
      <c r="Q127" t="s">
        <v>604</v>
      </c>
      <c r="R127" t="s">
        <v>605</v>
      </c>
    </row>
    <row r="128" spans="1:23">
      <c r="A128" s="30">
        <v>45748</v>
      </c>
      <c r="B128" s="31" t="s">
        <v>607</v>
      </c>
      <c r="C128" t="s">
        <v>264</v>
      </c>
      <c r="D128" t="s">
        <v>265</v>
      </c>
      <c r="E128" s="8" t="s">
        <v>266</v>
      </c>
      <c r="F128" s="8">
        <v>2025</v>
      </c>
      <c r="G128" s="22" t="s">
        <v>7</v>
      </c>
      <c r="H128" s="21">
        <v>1961381</v>
      </c>
      <c r="I128" s="26">
        <v>0</v>
      </c>
      <c r="J128" s="26">
        <v>0</v>
      </c>
      <c r="K128" s="26">
        <f t="shared" si="13"/>
        <v>0</v>
      </c>
      <c r="L128" s="26"/>
      <c r="M128" s="21">
        <f t="shared" si="20"/>
        <v>1961381</v>
      </c>
      <c r="N128" s="26">
        <v>0</v>
      </c>
      <c r="O128" s="26">
        <f t="shared" si="11"/>
        <v>113803140</v>
      </c>
      <c r="P128" t="s">
        <v>0</v>
      </c>
      <c r="Q128" t="s">
        <v>604</v>
      </c>
      <c r="R128" t="s">
        <v>605</v>
      </c>
    </row>
    <row r="129" spans="1:23">
      <c r="A129" s="30">
        <v>45748</v>
      </c>
      <c r="B129" s="31" t="s">
        <v>607</v>
      </c>
      <c r="C129" t="s">
        <v>267</v>
      </c>
      <c r="D129" t="s">
        <v>268</v>
      </c>
      <c r="E129" s="8" t="s">
        <v>269</v>
      </c>
      <c r="F129" s="8">
        <v>2025</v>
      </c>
      <c r="G129" s="22" t="s">
        <v>7</v>
      </c>
      <c r="H129" s="21">
        <v>4252050</v>
      </c>
      <c r="I129" s="26">
        <v>0</v>
      </c>
      <c r="J129" s="26">
        <v>0</v>
      </c>
      <c r="K129" s="26">
        <f t="shared" si="13"/>
        <v>0</v>
      </c>
      <c r="L129" s="26"/>
      <c r="M129" s="21">
        <f t="shared" si="20"/>
        <v>4252050</v>
      </c>
      <c r="N129" s="26">
        <v>0</v>
      </c>
      <c r="O129" s="26">
        <f t="shared" si="11"/>
        <v>109551090</v>
      </c>
      <c r="P129" t="s">
        <v>0</v>
      </c>
      <c r="Q129" t="s">
        <v>604</v>
      </c>
      <c r="R129" t="s">
        <v>605</v>
      </c>
    </row>
    <row r="130" spans="1:23">
      <c r="A130" s="30">
        <v>45748</v>
      </c>
      <c r="B130" s="31" t="s">
        <v>607</v>
      </c>
      <c r="C130" t="s">
        <v>270</v>
      </c>
      <c r="D130" t="s">
        <v>268</v>
      </c>
      <c r="E130" s="8" t="s">
        <v>271</v>
      </c>
      <c r="F130" s="8">
        <v>2025</v>
      </c>
      <c r="G130" s="22" t="s">
        <v>7</v>
      </c>
      <c r="H130" s="21">
        <v>187948</v>
      </c>
      <c r="I130" s="26">
        <v>0</v>
      </c>
      <c r="J130" s="26">
        <v>0</v>
      </c>
      <c r="K130" s="26">
        <f t="shared" si="13"/>
        <v>0</v>
      </c>
      <c r="L130" s="26"/>
      <c r="M130" s="21">
        <f t="shared" si="20"/>
        <v>187948</v>
      </c>
      <c r="N130" s="26">
        <v>0</v>
      </c>
      <c r="O130" s="26">
        <f t="shared" si="11"/>
        <v>109363142</v>
      </c>
      <c r="P130" t="s">
        <v>0</v>
      </c>
      <c r="Q130" t="s">
        <v>604</v>
      </c>
      <c r="R130" t="s">
        <v>605</v>
      </c>
    </row>
    <row r="131" spans="1:23">
      <c r="A131" s="30">
        <v>45748</v>
      </c>
      <c r="B131" s="31" t="s">
        <v>607</v>
      </c>
      <c r="C131" t="s">
        <v>272</v>
      </c>
      <c r="D131" t="s">
        <v>268</v>
      </c>
      <c r="E131" s="8" t="s">
        <v>273</v>
      </c>
      <c r="F131" s="8">
        <v>2025</v>
      </c>
      <c r="G131" s="22" t="s">
        <v>7</v>
      </c>
      <c r="H131" s="21">
        <v>5243769</v>
      </c>
      <c r="I131" s="26">
        <v>0</v>
      </c>
      <c r="J131" s="26">
        <v>0</v>
      </c>
      <c r="K131" s="26">
        <f t="shared" si="13"/>
        <v>0</v>
      </c>
      <c r="L131" s="26"/>
      <c r="M131" s="21">
        <f t="shared" si="20"/>
        <v>5243769</v>
      </c>
      <c r="N131" s="26">
        <v>0</v>
      </c>
      <c r="O131" s="26">
        <f t="shared" si="11"/>
        <v>104119373</v>
      </c>
      <c r="P131" t="s">
        <v>0</v>
      </c>
      <c r="Q131" t="s">
        <v>604</v>
      </c>
      <c r="R131" t="s">
        <v>605</v>
      </c>
    </row>
    <row r="132" spans="1:23">
      <c r="A132" s="30">
        <v>45748</v>
      </c>
      <c r="B132" s="31" t="s">
        <v>607</v>
      </c>
      <c r="C132" t="s">
        <v>274</v>
      </c>
      <c r="D132" t="s">
        <v>200</v>
      </c>
      <c r="E132" s="8" t="s">
        <v>275</v>
      </c>
      <c r="F132" s="8" t="s">
        <v>1</v>
      </c>
      <c r="G132" s="22" t="s">
        <v>7</v>
      </c>
      <c r="H132" s="46">
        <v>0</v>
      </c>
      <c r="I132" s="49">
        <v>0</v>
      </c>
      <c r="J132" s="49">
        <v>0</v>
      </c>
      <c r="K132" s="49">
        <f t="shared" si="13"/>
        <v>0</v>
      </c>
      <c r="L132" s="49"/>
      <c r="M132" s="46">
        <f t="shared" si="20"/>
        <v>0</v>
      </c>
      <c r="N132" s="26">
        <v>0</v>
      </c>
      <c r="O132" s="26">
        <f t="shared" si="11"/>
        <v>104119373</v>
      </c>
      <c r="P132" t="s">
        <v>19</v>
      </c>
      <c r="Q132" t="s">
        <v>19</v>
      </c>
      <c r="R132" t="s">
        <v>611</v>
      </c>
      <c r="V132" s="53"/>
      <c r="W132" s="53"/>
    </row>
    <row r="133" spans="1:23">
      <c r="A133" s="30">
        <v>45748</v>
      </c>
      <c r="B133" s="31" t="s">
        <v>607</v>
      </c>
      <c r="C133" t="s">
        <v>276</v>
      </c>
      <c r="D133" t="s">
        <v>268</v>
      </c>
      <c r="E133" s="8" t="s">
        <v>277</v>
      </c>
      <c r="F133" s="8">
        <v>2025</v>
      </c>
      <c r="G133" s="22" t="s">
        <v>7</v>
      </c>
      <c r="H133" s="21">
        <v>573514</v>
      </c>
      <c r="I133" s="26">
        <v>0</v>
      </c>
      <c r="J133" s="26">
        <v>0</v>
      </c>
      <c r="K133" s="26">
        <f t="shared" si="13"/>
        <v>0</v>
      </c>
      <c r="L133" s="26"/>
      <c r="M133" s="21">
        <f t="shared" si="20"/>
        <v>573514</v>
      </c>
      <c r="N133" s="26">
        <v>0</v>
      </c>
      <c r="O133" s="26">
        <f t="shared" si="11"/>
        <v>103545859</v>
      </c>
      <c r="P133" t="s">
        <v>0</v>
      </c>
      <c r="Q133" t="s">
        <v>604</v>
      </c>
      <c r="R133" t="s">
        <v>605</v>
      </c>
    </row>
    <row r="134" spans="1:23">
      <c r="A134" s="30">
        <v>45778</v>
      </c>
      <c r="B134" s="30" t="s">
        <v>64</v>
      </c>
      <c r="D134" t="s">
        <v>89</v>
      </c>
      <c r="G134" s="8" t="s">
        <v>608</v>
      </c>
      <c r="H134" s="14">
        <v>506000</v>
      </c>
      <c r="I134" s="26">
        <v>0</v>
      </c>
      <c r="J134" s="26">
        <v>0</v>
      </c>
      <c r="K134" s="26">
        <f t="shared" ref="K134:K197" si="21">I134-J134</f>
        <v>0</v>
      </c>
      <c r="L134" s="26"/>
      <c r="M134" s="44">
        <v>0</v>
      </c>
      <c r="N134" s="14">
        <f t="shared" ref="N134:N150" si="22">H134</f>
        <v>506000</v>
      </c>
      <c r="O134" s="26">
        <f t="shared" si="11"/>
        <v>104051859</v>
      </c>
      <c r="P134" s="1" t="s">
        <v>18</v>
      </c>
      <c r="Q134" t="s">
        <v>623</v>
      </c>
      <c r="R134" s="1" t="s">
        <v>64</v>
      </c>
      <c r="S134" s="1" t="s">
        <v>66</v>
      </c>
    </row>
    <row r="135" spans="1:23">
      <c r="A135" s="30">
        <v>45778</v>
      </c>
      <c r="B135" s="30" t="s">
        <v>64</v>
      </c>
      <c r="D135" t="s">
        <v>85</v>
      </c>
      <c r="G135" s="8" t="s">
        <v>608</v>
      </c>
      <c r="H135" s="14">
        <v>1981982</v>
      </c>
      <c r="I135" s="26">
        <v>0</v>
      </c>
      <c r="J135" s="26">
        <v>0</v>
      </c>
      <c r="K135" s="26">
        <f t="shared" si="21"/>
        <v>0</v>
      </c>
      <c r="L135" s="26"/>
      <c r="M135" s="44">
        <v>0</v>
      </c>
      <c r="N135" s="14">
        <f t="shared" si="22"/>
        <v>1981982</v>
      </c>
      <c r="O135" s="26">
        <f t="shared" ref="O135:O198" si="23">O134-M135+N135</f>
        <v>106033841</v>
      </c>
      <c r="P135" t="s">
        <v>18</v>
      </c>
      <c r="Q135" t="s">
        <v>624</v>
      </c>
      <c r="R135" t="s">
        <v>64</v>
      </c>
      <c r="S135" t="s">
        <v>66</v>
      </c>
    </row>
    <row r="136" spans="1:23">
      <c r="A136" s="30">
        <v>45778</v>
      </c>
      <c r="B136" s="30" t="s">
        <v>64</v>
      </c>
      <c r="D136" t="s">
        <v>98</v>
      </c>
      <c r="G136" s="8" t="s">
        <v>608</v>
      </c>
      <c r="H136" s="14">
        <v>1309791</v>
      </c>
      <c r="I136" s="26">
        <v>0</v>
      </c>
      <c r="J136" s="26">
        <v>0</v>
      </c>
      <c r="K136" s="26">
        <f t="shared" si="21"/>
        <v>0</v>
      </c>
      <c r="L136" s="26"/>
      <c r="M136" s="44">
        <v>0</v>
      </c>
      <c r="N136" s="14">
        <f t="shared" si="22"/>
        <v>1309791</v>
      </c>
      <c r="O136" s="26">
        <f t="shared" si="23"/>
        <v>107343632</v>
      </c>
      <c r="P136" s="1" t="s">
        <v>18</v>
      </c>
      <c r="Q136" t="s">
        <v>623</v>
      </c>
      <c r="R136" s="1" t="s">
        <v>64</v>
      </c>
      <c r="S136" s="1" t="s">
        <v>66</v>
      </c>
    </row>
    <row r="137" spans="1:23">
      <c r="A137" s="30">
        <v>45778</v>
      </c>
      <c r="B137" s="30" t="s">
        <v>64</v>
      </c>
      <c r="D137" t="s">
        <v>87</v>
      </c>
      <c r="G137" s="8" t="s">
        <v>608</v>
      </c>
      <c r="H137" s="14">
        <v>74324</v>
      </c>
      <c r="I137" s="26">
        <v>0</v>
      </c>
      <c r="J137" s="26">
        <v>0</v>
      </c>
      <c r="K137" s="26">
        <f t="shared" si="21"/>
        <v>0</v>
      </c>
      <c r="L137" s="26"/>
      <c r="M137" s="44">
        <v>0</v>
      </c>
      <c r="N137" s="14">
        <f t="shared" si="22"/>
        <v>74324</v>
      </c>
      <c r="O137" s="26">
        <f t="shared" si="23"/>
        <v>107417956</v>
      </c>
      <c r="P137" s="1" t="s">
        <v>18</v>
      </c>
      <c r="Q137" t="s">
        <v>623</v>
      </c>
      <c r="R137" s="1" t="s">
        <v>64</v>
      </c>
      <c r="S137" s="1" t="s">
        <v>66</v>
      </c>
    </row>
    <row r="138" spans="1:23">
      <c r="A138" s="30">
        <v>45778</v>
      </c>
      <c r="B138" s="30" t="s">
        <v>64</v>
      </c>
      <c r="D138" t="s">
        <v>89</v>
      </c>
      <c r="G138" s="8" t="s">
        <v>608</v>
      </c>
      <c r="H138" s="14">
        <v>583000</v>
      </c>
      <c r="I138" s="26">
        <v>0</v>
      </c>
      <c r="J138" s="26">
        <v>0</v>
      </c>
      <c r="K138" s="26">
        <f t="shared" si="21"/>
        <v>0</v>
      </c>
      <c r="L138" s="26"/>
      <c r="M138" s="44">
        <v>0</v>
      </c>
      <c r="N138" s="14">
        <f t="shared" si="22"/>
        <v>583000</v>
      </c>
      <c r="O138" s="26">
        <f t="shared" si="23"/>
        <v>108000956</v>
      </c>
      <c r="P138" s="1" t="s">
        <v>18</v>
      </c>
      <c r="Q138" t="s">
        <v>623</v>
      </c>
      <c r="R138" s="1" t="s">
        <v>64</v>
      </c>
      <c r="S138" s="1" t="s">
        <v>66</v>
      </c>
    </row>
    <row r="139" spans="1:23">
      <c r="A139" s="30">
        <v>45778</v>
      </c>
      <c r="B139" s="30" t="s">
        <v>64</v>
      </c>
      <c r="D139" t="s">
        <v>98</v>
      </c>
      <c r="G139" s="8" t="s">
        <v>608</v>
      </c>
      <c r="H139" s="14">
        <v>8918919</v>
      </c>
      <c r="I139" s="26">
        <v>0</v>
      </c>
      <c r="J139" s="26">
        <v>0</v>
      </c>
      <c r="K139" s="26">
        <f t="shared" si="21"/>
        <v>0</v>
      </c>
      <c r="L139" s="26"/>
      <c r="M139" s="44">
        <v>0</v>
      </c>
      <c r="N139" s="14">
        <f t="shared" si="22"/>
        <v>8918919</v>
      </c>
      <c r="O139" s="26">
        <f t="shared" si="23"/>
        <v>116919875</v>
      </c>
      <c r="P139" s="1" t="s">
        <v>18</v>
      </c>
      <c r="Q139" t="s">
        <v>623</v>
      </c>
      <c r="R139" s="1" t="s">
        <v>64</v>
      </c>
      <c r="S139" s="1" t="s">
        <v>66</v>
      </c>
    </row>
    <row r="140" spans="1:23">
      <c r="A140" s="30">
        <v>45778</v>
      </c>
      <c r="B140" s="30" t="s">
        <v>64</v>
      </c>
      <c r="D140" t="s">
        <v>101</v>
      </c>
      <c r="G140" s="8" t="s">
        <v>608</v>
      </c>
      <c r="H140" s="14">
        <v>385000</v>
      </c>
      <c r="I140" s="26">
        <v>0</v>
      </c>
      <c r="J140" s="26">
        <v>0</v>
      </c>
      <c r="K140" s="26">
        <f t="shared" si="21"/>
        <v>0</v>
      </c>
      <c r="L140" s="26"/>
      <c r="M140" s="44">
        <v>0</v>
      </c>
      <c r="N140" s="14">
        <f t="shared" si="22"/>
        <v>385000</v>
      </c>
      <c r="O140" s="26">
        <f t="shared" si="23"/>
        <v>117304875</v>
      </c>
      <c r="P140" s="1" t="s">
        <v>18</v>
      </c>
      <c r="Q140" t="s">
        <v>623</v>
      </c>
      <c r="R140" s="1" t="s">
        <v>64</v>
      </c>
      <c r="S140" s="1" t="s">
        <v>66</v>
      </c>
    </row>
    <row r="141" spans="1:23">
      <c r="A141" s="30">
        <v>45778</v>
      </c>
      <c r="B141" s="30" t="s">
        <v>64</v>
      </c>
      <c r="D141" t="s">
        <v>278</v>
      </c>
      <c r="G141" s="8" t="s">
        <v>608</v>
      </c>
      <c r="H141" s="14">
        <v>820045</v>
      </c>
      <c r="I141" s="26">
        <v>0</v>
      </c>
      <c r="J141" s="26">
        <v>0</v>
      </c>
      <c r="K141" s="26">
        <f t="shared" si="21"/>
        <v>0</v>
      </c>
      <c r="L141" s="26"/>
      <c r="M141" s="44">
        <v>0</v>
      </c>
      <c r="N141" s="14">
        <f t="shared" si="22"/>
        <v>820045</v>
      </c>
      <c r="O141" s="26">
        <f t="shared" si="23"/>
        <v>118124920</v>
      </c>
      <c r="P141" s="1" t="s">
        <v>18</v>
      </c>
      <c r="Q141" t="s">
        <v>623</v>
      </c>
      <c r="R141" s="1" t="s">
        <v>64</v>
      </c>
      <c r="S141" s="1" t="s">
        <v>66</v>
      </c>
    </row>
    <row r="142" spans="1:23">
      <c r="A142" s="30">
        <v>45778</v>
      </c>
      <c r="B142" s="30" t="s">
        <v>64</v>
      </c>
      <c r="D142" t="s">
        <v>278</v>
      </c>
      <c r="G142" s="8" t="s">
        <v>608</v>
      </c>
      <c r="H142" s="14">
        <v>505405</v>
      </c>
      <c r="I142" s="26">
        <v>0</v>
      </c>
      <c r="J142" s="26">
        <v>0</v>
      </c>
      <c r="K142" s="26">
        <f t="shared" si="21"/>
        <v>0</v>
      </c>
      <c r="L142" s="26"/>
      <c r="M142" s="44">
        <v>0</v>
      </c>
      <c r="N142" s="14">
        <f t="shared" si="22"/>
        <v>505405</v>
      </c>
      <c r="O142" s="26">
        <f t="shared" si="23"/>
        <v>118630325</v>
      </c>
      <c r="P142" s="1" t="s">
        <v>18</v>
      </c>
      <c r="Q142" t="s">
        <v>623</v>
      </c>
      <c r="R142" s="1" t="s">
        <v>64</v>
      </c>
      <c r="S142" s="1" t="s">
        <v>66</v>
      </c>
    </row>
    <row r="143" spans="1:23">
      <c r="A143" s="30">
        <v>45778</v>
      </c>
      <c r="B143" s="30" t="s">
        <v>64</v>
      </c>
      <c r="D143" t="s">
        <v>278</v>
      </c>
      <c r="G143" s="8" t="s">
        <v>608</v>
      </c>
      <c r="H143" s="14">
        <v>483108</v>
      </c>
      <c r="I143" s="26">
        <v>0</v>
      </c>
      <c r="J143" s="26">
        <v>0</v>
      </c>
      <c r="K143" s="26">
        <f t="shared" si="21"/>
        <v>0</v>
      </c>
      <c r="L143" s="26"/>
      <c r="M143" s="44">
        <v>0</v>
      </c>
      <c r="N143" s="14">
        <f t="shared" si="22"/>
        <v>483108</v>
      </c>
      <c r="O143" s="26">
        <f t="shared" si="23"/>
        <v>119113433</v>
      </c>
      <c r="P143" s="1" t="s">
        <v>18</v>
      </c>
      <c r="Q143" t="s">
        <v>623</v>
      </c>
      <c r="R143" s="1" t="s">
        <v>64</v>
      </c>
      <c r="S143" s="1" t="s">
        <v>66</v>
      </c>
    </row>
    <row r="144" spans="1:23">
      <c r="A144" s="30">
        <v>45778</v>
      </c>
      <c r="B144" s="30" t="s">
        <v>64</v>
      </c>
      <c r="D144" t="s">
        <v>278</v>
      </c>
      <c r="G144" s="8" t="s">
        <v>608</v>
      </c>
      <c r="H144" s="14">
        <v>705642</v>
      </c>
      <c r="I144" s="26">
        <v>0</v>
      </c>
      <c r="J144" s="26">
        <v>0</v>
      </c>
      <c r="K144" s="26">
        <f t="shared" si="21"/>
        <v>0</v>
      </c>
      <c r="L144" s="26"/>
      <c r="M144" s="44">
        <v>0</v>
      </c>
      <c r="N144" s="14">
        <f t="shared" si="22"/>
        <v>705642</v>
      </c>
      <c r="O144" s="26">
        <f t="shared" si="23"/>
        <v>119819075</v>
      </c>
      <c r="P144" s="1" t="s">
        <v>18</v>
      </c>
      <c r="Q144" t="s">
        <v>623</v>
      </c>
      <c r="R144" s="1" t="s">
        <v>64</v>
      </c>
      <c r="S144" s="1" t="s">
        <v>66</v>
      </c>
    </row>
    <row r="145" spans="1:23">
      <c r="A145" s="30">
        <v>45778</v>
      </c>
      <c r="B145" s="30" t="s">
        <v>64</v>
      </c>
      <c r="D145" t="s">
        <v>278</v>
      </c>
      <c r="G145" s="8" t="s">
        <v>608</v>
      </c>
      <c r="H145" s="14">
        <v>624324</v>
      </c>
      <c r="I145" s="26">
        <v>0</v>
      </c>
      <c r="J145" s="26">
        <v>0</v>
      </c>
      <c r="K145" s="26">
        <f t="shared" si="21"/>
        <v>0</v>
      </c>
      <c r="L145" s="26"/>
      <c r="M145" s="44">
        <v>0</v>
      </c>
      <c r="N145" s="14">
        <f t="shared" si="22"/>
        <v>624324</v>
      </c>
      <c r="O145" s="26">
        <f t="shared" si="23"/>
        <v>120443399</v>
      </c>
      <c r="P145" s="1" t="s">
        <v>18</v>
      </c>
      <c r="Q145" t="s">
        <v>623</v>
      </c>
      <c r="R145" s="1" t="s">
        <v>64</v>
      </c>
      <c r="S145" s="1" t="s">
        <v>66</v>
      </c>
    </row>
    <row r="146" spans="1:23">
      <c r="A146" s="30">
        <v>45778</v>
      </c>
      <c r="B146" s="30" t="s">
        <v>64</v>
      </c>
      <c r="D146" t="s">
        <v>278</v>
      </c>
      <c r="G146" s="8" t="s">
        <v>608</v>
      </c>
      <c r="H146" s="14">
        <v>567342</v>
      </c>
      <c r="I146" s="26">
        <v>0</v>
      </c>
      <c r="J146" s="26">
        <v>0</v>
      </c>
      <c r="K146" s="26">
        <f t="shared" si="21"/>
        <v>0</v>
      </c>
      <c r="L146" s="26"/>
      <c r="M146" s="44">
        <v>0</v>
      </c>
      <c r="N146" s="14">
        <f t="shared" si="22"/>
        <v>567342</v>
      </c>
      <c r="O146" s="26">
        <f t="shared" si="23"/>
        <v>121010741</v>
      </c>
      <c r="P146" s="1" t="s">
        <v>18</v>
      </c>
      <c r="Q146" t="s">
        <v>623</v>
      </c>
      <c r="R146" s="1" t="s">
        <v>64</v>
      </c>
      <c r="S146" s="1" t="s">
        <v>66</v>
      </c>
    </row>
    <row r="147" spans="1:23">
      <c r="A147" s="30">
        <v>45778</v>
      </c>
      <c r="B147" s="30" t="s">
        <v>64</v>
      </c>
      <c r="D147" t="s">
        <v>278</v>
      </c>
      <c r="G147" s="8" t="s">
        <v>608</v>
      </c>
      <c r="H147" s="14">
        <v>491370</v>
      </c>
      <c r="I147" s="26">
        <v>0</v>
      </c>
      <c r="J147" s="26">
        <v>0</v>
      </c>
      <c r="K147" s="26">
        <f t="shared" si="21"/>
        <v>0</v>
      </c>
      <c r="L147" s="26"/>
      <c r="M147" s="44">
        <v>0</v>
      </c>
      <c r="N147" s="14">
        <f t="shared" si="22"/>
        <v>491370</v>
      </c>
      <c r="O147" s="26">
        <f t="shared" si="23"/>
        <v>121502111</v>
      </c>
      <c r="P147" s="1" t="s">
        <v>18</v>
      </c>
      <c r="Q147" t="s">
        <v>623</v>
      </c>
      <c r="R147" s="1" t="s">
        <v>64</v>
      </c>
      <c r="S147" s="1" t="s">
        <v>66</v>
      </c>
    </row>
    <row r="148" spans="1:23">
      <c r="A148" s="30">
        <v>45778</v>
      </c>
      <c r="B148" s="30" t="s">
        <v>64</v>
      </c>
      <c r="D148" t="s">
        <v>278</v>
      </c>
      <c r="G148" s="8" t="s">
        <v>608</v>
      </c>
      <c r="H148" s="14">
        <v>481461</v>
      </c>
      <c r="I148" s="26">
        <v>0</v>
      </c>
      <c r="J148" s="26">
        <v>0</v>
      </c>
      <c r="K148" s="26">
        <f t="shared" si="21"/>
        <v>0</v>
      </c>
      <c r="L148" s="26"/>
      <c r="M148" s="44">
        <v>0</v>
      </c>
      <c r="N148" s="14">
        <f t="shared" si="22"/>
        <v>481461</v>
      </c>
      <c r="O148" s="26">
        <f t="shared" si="23"/>
        <v>121983572</v>
      </c>
      <c r="P148" s="1" t="s">
        <v>18</v>
      </c>
      <c r="Q148" t="s">
        <v>623</v>
      </c>
      <c r="R148" s="1" t="s">
        <v>64</v>
      </c>
      <c r="S148" s="1" t="s">
        <v>66</v>
      </c>
    </row>
    <row r="149" spans="1:23">
      <c r="A149" s="30">
        <v>45778</v>
      </c>
      <c r="B149" s="30" t="s">
        <v>64</v>
      </c>
      <c r="D149" t="s">
        <v>278</v>
      </c>
      <c r="G149" s="8" t="s">
        <v>608</v>
      </c>
      <c r="H149" s="14">
        <v>671396</v>
      </c>
      <c r="I149" s="26">
        <v>0</v>
      </c>
      <c r="J149" s="26">
        <v>0</v>
      </c>
      <c r="K149" s="26">
        <f t="shared" si="21"/>
        <v>0</v>
      </c>
      <c r="L149" s="26"/>
      <c r="M149" s="44">
        <v>0</v>
      </c>
      <c r="N149" s="14">
        <f t="shared" si="22"/>
        <v>671396</v>
      </c>
      <c r="O149" s="26">
        <f t="shared" si="23"/>
        <v>122654968</v>
      </c>
      <c r="P149" s="1" t="s">
        <v>18</v>
      </c>
      <c r="Q149" t="s">
        <v>623</v>
      </c>
      <c r="R149" s="1" t="s">
        <v>64</v>
      </c>
      <c r="S149" s="1" t="s">
        <v>66</v>
      </c>
    </row>
    <row r="150" spans="1:23">
      <c r="A150" s="30">
        <v>45778</v>
      </c>
      <c r="B150" s="30" t="s">
        <v>64</v>
      </c>
      <c r="D150" t="s">
        <v>278</v>
      </c>
      <c r="G150" s="8" t="s">
        <v>608</v>
      </c>
      <c r="H150" s="14">
        <v>694932</v>
      </c>
      <c r="I150" s="26">
        <v>0</v>
      </c>
      <c r="J150" s="26">
        <v>0</v>
      </c>
      <c r="K150" s="26">
        <f t="shared" si="21"/>
        <v>0</v>
      </c>
      <c r="L150" s="26"/>
      <c r="M150" s="44">
        <v>0</v>
      </c>
      <c r="N150" s="14">
        <f t="shared" si="22"/>
        <v>694932</v>
      </c>
      <c r="O150" s="26">
        <f t="shared" si="23"/>
        <v>123349900</v>
      </c>
      <c r="P150" s="1" t="s">
        <v>18</v>
      </c>
      <c r="Q150" t="s">
        <v>623</v>
      </c>
      <c r="R150" s="1" t="s">
        <v>64</v>
      </c>
      <c r="S150" s="1" t="s">
        <v>66</v>
      </c>
    </row>
    <row r="151" spans="1:23">
      <c r="A151" s="30">
        <v>45778</v>
      </c>
      <c r="B151" s="30" t="s">
        <v>607</v>
      </c>
      <c r="C151" t="s">
        <v>279</v>
      </c>
      <c r="D151" t="s">
        <v>108</v>
      </c>
      <c r="E151" s="8" t="s">
        <v>280</v>
      </c>
      <c r="F151" s="8">
        <v>2025</v>
      </c>
      <c r="G151" s="8" t="s">
        <v>6</v>
      </c>
      <c r="H151" s="29">
        <v>56981982</v>
      </c>
      <c r="I151" s="26">
        <f>H151</f>
        <v>56981982</v>
      </c>
      <c r="J151" s="26">
        <f>-I151</f>
        <v>-56981982</v>
      </c>
      <c r="K151" s="26">
        <f>I151+J151</f>
        <v>0</v>
      </c>
      <c r="L151" s="26"/>
      <c r="M151" s="44">
        <v>0</v>
      </c>
      <c r="N151" s="26">
        <v>0</v>
      </c>
      <c r="O151" s="26">
        <f t="shared" si="23"/>
        <v>123349900</v>
      </c>
      <c r="P151" t="s">
        <v>18</v>
      </c>
      <c r="Q151" s="1" t="s">
        <v>626</v>
      </c>
      <c r="R151" t="s">
        <v>631</v>
      </c>
      <c r="S151" s="4" t="s">
        <v>25</v>
      </c>
      <c r="V151"/>
      <c r="W151"/>
    </row>
    <row r="152" spans="1:23">
      <c r="A152" s="30">
        <v>45778</v>
      </c>
      <c r="B152" s="30" t="s">
        <v>607</v>
      </c>
      <c r="C152" t="s">
        <v>281</v>
      </c>
      <c r="D152" t="s">
        <v>108</v>
      </c>
      <c r="E152" s="8" t="s">
        <v>282</v>
      </c>
      <c r="F152" s="8">
        <v>2025</v>
      </c>
      <c r="G152" s="8" t="s">
        <v>6</v>
      </c>
      <c r="H152" s="29">
        <v>3468468</v>
      </c>
      <c r="I152" s="26">
        <f>H152</f>
        <v>3468468</v>
      </c>
      <c r="J152" s="26">
        <f>-I152</f>
        <v>-3468468</v>
      </c>
      <c r="K152" s="26">
        <f>I152+J152</f>
        <v>0</v>
      </c>
      <c r="L152" s="26"/>
      <c r="M152" s="44">
        <v>0</v>
      </c>
      <c r="N152" s="26">
        <v>0</v>
      </c>
      <c r="O152" s="26">
        <f t="shared" si="23"/>
        <v>123349900</v>
      </c>
      <c r="P152" t="s">
        <v>18</v>
      </c>
      <c r="Q152" s="1" t="s">
        <v>626</v>
      </c>
      <c r="R152" t="s">
        <v>631</v>
      </c>
      <c r="S152" s="4" t="s">
        <v>25</v>
      </c>
      <c r="V152"/>
      <c r="W152"/>
    </row>
    <row r="153" spans="1:23">
      <c r="A153" s="30">
        <v>45778</v>
      </c>
      <c r="B153" s="30" t="s">
        <v>607</v>
      </c>
      <c r="C153" t="s">
        <v>283</v>
      </c>
      <c r="D153" t="s">
        <v>95</v>
      </c>
      <c r="E153" s="8" t="s">
        <v>284</v>
      </c>
      <c r="F153" s="8">
        <v>2025</v>
      </c>
      <c r="G153" s="8" t="s">
        <v>6</v>
      </c>
      <c r="H153" s="29">
        <v>22573760</v>
      </c>
      <c r="I153" s="26">
        <f>H153</f>
        <v>22573760</v>
      </c>
      <c r="J153" s="26">
        <f>-I153</f>
        <v>-22573760</v>
      </c>
      <c r="K153" s="26">
        <f>I153+J153</f>
        <v>0</v>
      </c>
      <c r="L153" s="26"/>
      <c r="M153" s="44">
        <v>0</v>
      </c>
      <c r="N153" s="26">
        <v>0</v>
      </c>
      <c r="O153" s="26">
        <f t="shared" si="23"/>
        <v>123349900</v>
      </c>
      <c r="P153" t="s">
        <v>18</v>
      </c>
      <c r="Q153" s="1" t="s">
        <v>626</v>
      </c>
      <c r="R153" t="s">
        <v>631</v>
      </c>
      <c r="S153" s="4" t="s">
        <v>25</v>
      </c>
      <c r="V153"/>
      <c r="W153"/>
    </row>
    <row r="154" spans="1:23">
      <c r="A154" s="30">
        <v>45778</v>
      </c>
      <c r="B154" s="30" t="s">
        <v>607</v>
      </c>
      <c r="C154" t="s">
        <v>285</v>
      </c>
      <c r="D154" t="s">
        <v>95</v>
      </c>
      <c r="E154" s="8" t="s">
        <v>286</v>
      </c>
      <c r="F154" s="8">
        <v>2025</v>
      </c>
      <c r="G154" s="8" t="s">
        <v>6</v>
      </c>
      <c r="H154" s="29">
        <v>29176125</v>
      </c>
      <c r="I154" s="26">
        <f>H154</f>
        <v>29176125</v>
      </c>
      <c r="J154" s="26">
        <f>-I154</f>
        <v>-29176125</v>
      </c>
      <c r="K154" s="26">
        <f>I154+J154</f>
        <v>0</v>
      </c>
      <c r="L154" s="26"/>
      <c r="M154" s="44">
        <v>0</v>
      </c>
      <c r="N154" s="26">
        <v>0</v>
      </c>
      <c r="O154" s="26">
        <f t="shared" si="23"/>
        <v>123349900</v>
      </c>
      <c r="P154" t="s">
        <v>18</v>
      </c>
      <c r="Q154" s="1" t="s">
        <v>626</v>
      </c>
      <c r="R154" t="s">
        <v>631</v>
      </c>
      <c r="S154" s="4" t="s">
        <v>25</v>
      </c>
      <c r="V154"/>
      <c r="W154"/>
    </row>
    <row r="155" spans="1:23">
      <c r="A155" s="30">
        <v>45778</v>
      </c>
      <c r="B155" s="30" t="s">
        <v>607</v>
      </c>
      <c r="C155" t="s">
        <v>287</v>
      </c>
      <c r="D155" t="s">
        <v>17</v>
      </c>
      <c r="E155" s="8" t="s">
        <v>288</v>
      </c>
      <c r="F155" s="8">
        <v>2025</v>
      </c>
      <c r="G155" s="8" t="s">
        <v>7</v>
      </c>
      <c r="H155" s="21">
        <v>166006</v>
      </c>
      <c r="I155" s="26">
        <v>0</v>
      </c>
      <c r="J155" s="26">
        <v>0</v>
      </c>
      <c r="K155" s="26">
        <f t="shared" si="21"/>
        <v>0</v>
      </c>
      <c r="L155" s="26"/>
      <c r="M155" s="21">
        <f>H155</f>
        <v>166006</v>
      </c>
      <c r="N155" s="26">
        <v>0</v>
      </c>
      <c r="O155" s="26">
        <f t="shared" si="23"/>
        <v>123183894</v>
      </c>
      <c r="P155" s="13" t="s">
        <v>0</v>
      </c>
      <c r="Q155" s="13" t="s">
        <v>604</v>
      </c>
      <c r="R155" s="13" t="s">
        <v>605</v>
      </c>
    </row>
    <row r="156" spans="1:23">
      <c r="A156" s="30">
        <v>45778</v>
      </c>
      <c r="B156" s="30" t="s">
        <v>607</v>
      </c>
      <c r="C156" t="s">
        <v>289</v>
      </c>
      <c r="D156" t="s">
        <v>268</v>
      </c>
      <c r="E156" s="8" t="s">
        <v>290</v>
      </c>
      <c r="F156" s="8">
        <v>2025</v>
      </c>
      <c r="G156" s="8" t="s">
        <v>7</v>
      </c>
      <c r="H156" s="21">
        <v>774400</v>
      </c>
      <c r="I156" s="26">
        <v>0</v>
      </c>
      <c r="J156" s="26">
        <v>0</v>
      </c>
      <c r="K156" s="26">
        <f t="shared" si="21"/>
        <v>0</v>
      </c>
      <c r="L156" s="26"/>
      <c r="M156" s="21">
        <f>H156</f>
        <v>774400</v>
      </c>
      <c r="N156" s="26">
        <v>0</v>
      </c>
      <c r="O156" s="26">
        <f t="shared" si="23"/>
        <v>122409494</v>
      </c>
      <c r="P156" s="13" t="s">
        <v>0</v>
      </c>
      <c r="Q156" s="13" t="s">
        <v>604</v>
      </c>
      <c r="R156" s="13" t="s">
        <v>605</v>
      </c>
    </row>
    <row r="157" spans="1:23" s="5" customFormat="1">
      <c r="A157" s="31">
        <v>45778</v>
      </c>
      <c r="B157" s="30" t="s">
        <v>607</v>
      </c>
      <c r="C157" s="2" t="s">
        <v>291</v>
      </c>
      <c r="D157" s="5" t="s">
        <v>183</v>
      </c>
      <c r="E157" s="10" t="s">
        <v>292</v>
      </c>
      <c r="F157" s="10">
        <v>2024</v>
      </c>
      <c r="G157" s="10" t="s">
        <v>6</v>
      </c>
      <c r="H157" s="11">
        <v>7794046</v>
      </c>
      <c r="I157" s="26">
        <f>H157</f>
        <v>7794046</v>
      </c>
      <c r="J157" s="26">
        <f>-I157</f>
        <v>-7794046</v>
      </c>
      <c r="K157" s="26">
        <f>I157+J157</f>
        <v>0</v>
      </c>
      <c r="L157" s="26"/>
      <c r="M157" s="14">
        <v>0</v>
      </c>
      <c r="N157" s="26">
        <v>0</v>
      </c>
      <c r="O157" s="26">
        <f t="shared" si="23"/>
        <v>122409494</v>
      </c>
      <c r="P157" t="s">
        <v>18</v>
      </c>
      <c r="Q157" s="1" t="s">
        <v>626</v>
      </c>
      <c r="R157" s="1" t="s">
        <v>630</v>
      </c>
      <c r="S157" s="4" t="s">
        <v>62</v>
      </c>
    </row>
    <row r="158" spans="1:23">
      <c r="A158" s="30">
        <v>45778</v>
      </c>
      <c r="B158" s="30" t="s">
        <v>607</v>
      </c>
      <c r="C158" t="s">
        <v>293</v>
      </c>
      <c r="D158" t="s">
        <v>200</v>
      </c>
      <c r="E158" s="8" t="s">
        <v>294</v>
      </c>
      <c r="F158" s="8">
        <v>2025</v>
      </c>
      <c r="G158" s="8" t="s">
        <v>7</v>
      </c>
      <c r="H158" s="21">
        <v>69622</v>
      </c>
      <c r="I158" s="26">
        <v>0</v>
      </c>
      <c r="J158" s="26">
        <v>0</v>
      </c>
      <c r="K158" s="26">
        <f t="shared" si="21"/>
        <v>0</v>
      </c>
      <c r="L158" s="26"/>
      <c r="M158" s="21">
        <f>H158</f>
        <v>69622</v>
      </c>
      <c r="N158" s="26">
        <v>0</v>
      </c>
      <c r="O158" s="26">
        <f t="shared" si="23"/>
        <v>122339872</v>
      </c>
      <c r="P158" s="13" t="s">
        <v>0</v>
      </c>
      <c r="Q158" s="13" t="s">
        <v>604</v>
      </c>
      <c r="R158" s="13" t="s">
        <v>605</v>
      </c>
    </row>
    <row r="159" spans="1:23">
      <c r="A159" s="30">
        <v>45778</v>
      </c>
      <c r="B159" s="30" t="s">
        <v>607</v>
      </c>
      <c r="C159" t="s">
        <v>295</v>
      </c>
      <c r="D159" t="s">
        <v>183</v>
      </c>
      <c r="E159" s="8" t="s">
        <v>296</v>
      </c>
      <c r="F159" s="8">
        <v>2025</v>
      </c>
      <c r="G159" s="8" t="s">
        <v>6</v>
      </c>
      <c r="H159" s="29">
        <v>1845091</v>
      </c>
      <c r="I159" s="26">
        <f>H159</f>
        <v>1845091</v>
      </c>
      <c r="J159" s="26">
        <f>-I159</f>
        <v>-1845091</v>
      </c>
      <c r="K159" s="26">
        <f>I159+J159</f>
        <v>0</v>
      </c>
      <c r="L159" s="26"/>
      <c r="M159" s="44">
        <v>0</v>
      </c>
      <c r="N159" s="26">
        <v>0</v>
      </c>
      <c r="O159" s="26">
        <f t="shared" si="23"/>
        <v>122339872</v>
      </c>
      <c r="P159" t="s">
        <v>18</v>
      </c>
      <c r="Q159" s="1" t="s">
        <v>626</v>
      </c>
      <c r="R159" t="s">
        <v>631</v>
      </c>
      <c r="S159" s="4" t="s">
        <v>25</v>
      </c>
      <c r="V159"/>
      <c r="W159"/>
    </row>
    <row r="160" spans="1:23" s="5" customFormat="1">
      <c r="A160" s="31">
        <v>45778</v>
      </c>
      <c r="B160" s="30" t="s">
        <v>607</v>
      </c>
      <c r="C160" s="5" t="s">
        <v>76</v>
      </c>
      <c r="D160" s="5" t="s">
        <v>183</v>
      </c>
      <c r="E160" s="10" t="s">
        <v>77</v>
      </c>
      <c r="F160" s="10">
        <v>2023</v>
      </c>
      <c r="G160" s="10" t="s">
        <v>6</v>
      </c>
      <c r="H160" s="27">
        <v>19257150</v>
      </c>
      <c r="I160" s="26">
        <f>H160</f>
        <v>19257150</v>
      </c>
      <c r="J160" s="26">
        <f>-I160</f>
        <v>-19257150</v>
      </c>
      <c r="K160" s="26">
        <f>I160+J160</f>
        <v>0</v>
      </c>
      <c r="L160" s="26"/>
      <c r="M160" s="14">
        <v>0</v>
      </c>
      <c r="N160" s="26">
        <v>0</v>
      </c>
      <c r="O160" s="26">
        <f t="shared" si="23"/>
        <v>122339872</v>
      </c>
      <c r="P160" s="5" t="s">
        <v>18</v>
      </c>
      <c r="Q160" s="1" t="s">
        <v>626</v>
      </c>
      <c r="R160" s="1" t="s">
        <v>629</v>
      </c>
      <c r="S160" s="18" t="s">
        <v>27</v>
      </c>
    </row>
    <row r="161" spans="1:23">
      <c r="A161" s="30">
        <v>45778</v>
      </c>
      <c r="B161" s="30" t="s">
        <v>607</v>
      </c>
      <c r="C161" t="s">
        <v>297</v>
      </c>
      <c r="D161" t="s">
        <v>268</v>
      </c>
      <c r="E161" s="8" t="s">
        <v>298</v>
      </c>
      <c r="F161" s="8">
        <v>2025</v>
      </c>
      <c r="G161" s="8" t="s">
        <v>7</v>
      </c>
      <c r="H161" s="21">
        <v>880094</v>
      </c>
      <c r="I161" s="26">
        <v>0</v>
      </c>
      <c r="J161" s="26">
        <v>0</v>
      </c>
      <c r="K161" s="26">
        <f t="shared" si="21"/>
        <v>0</v>
      </c>
      <c r="L161" s="26"/>
      <c r="M161" s="21">
        <f>H161</f>
        <v>880094</v>
      </c>
      <c r="N161" s="26">
        <v>0</v>
      </c>
      <c r="O161" s="26">
        <f t="shared" si="23"/>
        <v>121459778</v>
      </c>
      <c r="P161" s="13" t="s">
        <v>0</v>
      </c>
      <c r="Q161" s="13" t="s">
        <v>604</v>
      </c>
      <c r="R161" s="13" t="s">
        <v>605</v>
      </c>
    </row>
    <row r="162" spans="1:23">
      <c r="A162" s="30">
        <v>45778</v>
      </c>
      <c r="B162" s="30" t="s">
        <v>607</v>
      </c>
      <c r="C162" t="s">
        <v>299</v>
      </c>
      <c r="D162" t="s">
        <v>183</v>
      </c>
      <c r="E162" s="8" t="s">
        <v>300</v>
      </c>
      <c r="F162" s="8">
        <v>2025</v>
      </c>
      <c r="G162" s="8" t="s">
        <v>6</v>
      </c>
      <c r="H162" s="29">
        <v>2123187</v>
      </c>
      <c r="I162" s="26">
        <f>H162</f>
        <v>2123187</v>
      </c>
      <c r="J162" s="26">
        <f>-I162</f>
        <v>-2123187</v>
      </c>
      <c r="K162" s="26">
        <f>I162+J162</f>
        <v>0</v>
      </c>
      <c r="L162" s="26"/>
      <c r="M162" s="44">
        <v>0</v>
      </c>
      <c r="N162" s="26">
        <v>0</v>
      </c>
      <c r="O162" s="26">
        <f t="shared" si="23"/>
        <v>121459778</v>
      </c>
      <c r="P162" t="s">
        <v>18</v>
      </c>
      <c r="Q162" s="1" t="s">
        <v>626</v>
      </c>
      <c r="R162" t="s">
        <v>631</v>
      </c>
      <c r="S162" s="4" t="s">
        <v>25</v>
      </c>
      <c r="V162"/>
      <c r="W162"/>
    </row>
    <row r="163" spans="1:23">
      <c r="A163" s="30">
        <v>45778</v>
      </c>
      <c r="B163" s="30" t="s">
        <v>607</v>
      </c>
      <c r="C163" t="s">
        <v>301</v>
      </c>
      <c r="D163" t="s">
        <v>268</v>
      </c>
      <c r="E163" s="8" t="s">
        <v>302</v>
      </c>
      <c r="F163" s="8">
        <v>2025</v>
      </c>
      <c r="G163" s="8" t="s">
        <v>7</v>
      </c>
      <c r="H163" s="21">
        <v>126500</v>
      </c>
      <c r="I163" s="26">
        <v>0</v>
      </c>
      <c r="J163" s="26">
        <v>0</v>
      </c>
      <c r="K163" s="26">
        <f t="shared" si="21"/>
        <v>0</v>
      </c>
      <c r="L163" s="26"/>
      <c r="M163" s="21">
        <f>H163</f>
        <v>126500</v>
      </c>
      <c r="N163" s="26">
        <v>0</v>
      </c>
      <c r="O163" s="26">
        <f t="shared" si="23"/>
        <v>121333278</v>
      </c>
      <c r="P163" s="13" t="s">
        <v>0</v>
      </c>
      <c r="Q163" s="13" t="s">
        <v>604</v>
      </c>
      <c r="R163" s="13" t="s">
        <v>605</v>
      </c>
    </row>
    <row r="164" spans="1:23">
      <c r="A164" s="30">
        <v>45778</v>
      </c>
      <c r="B164" s="30" t="s">
        <v>607</v>
      </c>
      <c r="C164" t="s">
        <v>303</v>
      </c>
      <c r="D164" t="s">
        <v>183</v>
      </c>
      <c r="E164" s="8" t="s">
        <v>304</v>
      </c>
      <c r="F164" s="8">
        <v>2025</v>
      </c>
      <c r="G164" s="8" t="s">
        <v>6</v>
      </c>
      <c r="H164" s="29">
        <v>2054173</v>
      </c>
      <c r="I164" s="26">
        <f>H164</f>
        <v>2054173</v>
      </c>
      <c r="J164" s="26">
        <f>-I164</f>
        <v>-2054173</v>
      </c>
      <c r="K164" s="26">
        <f>I164+J164</f>
        <v>0</v>
      </c>
      <c r="L164" s="26"/>
      <c r="M164" s="44">
        <v>0</v>
      </c>
      <c r="N164" s="26">
        <v>0</v>
      </c>
      <c r="O164" s="26">
        <f t="shared" si="23"/>
        <v>121333278</v>
      </c>
      <c r="P164" t="s">
        <v>18</v>
      </c>
      <c r="Q164" s="1" t="s">
        <v>626</v>
      </c>
      <c r="R164" t="s">
        <v>631</v>
      </c>
      <c r="S164" s="4" t="s">
        <v>25</v>
      </c>
      <c r="V164"/>
      <c r="W164"/>
    </row>
    <row r="165" spans="1:23" s="5" customFormat="1">
      <c r="A165" s="31">
        <v>45778</v>
      </c>
      <c r="B165" s="30" t="s">
        <v>607</v>
      </c>
      <c r="C165" s="5" t="s">
        <v>305</v>
      </c>
      <c r="D165" s="5" t="s">
        <v>183</v>
      </c>
      <c r="E165" s="10" t="s">
        <v>306</v>
      </c>
      <c r="F165" s="10">
        <v>2024</v>
      </c>
      <c r="G165" s="10" t="s">
        <v>6</v>
      </c>
      <c r="H165" s="11">
        <v>23163185</v>
      </c>
      <c r="I165" s="26">
        <f>H165</f>
        <v>23163185</v>
      </c>
      <c r="J165" s="26">
        <f>-I165</f>
        <v>-23163185</v>
      </c>
      <c r="K165" s="26">
        <f>I165+J165</f>
        <v>0</v>
      </c>
      <c r="L165" s="26"/>
      <c r="M165" s="14">
        <v>0</v>
      </c>
      <c r="N165" s="26">
        <v>0</v>
      </c>
      <c r="O165" s="26">
        <f t="shared" si="23"/>
        <v>121333278</v>
      </c>
      <c r="P165" t="s">
        <v>18</v>
      </c>
      <c r="Q165" s="1" t="s">
        <v>626</v>
      </c>
      <c r="R165" s="1" t="s">
        <v>630</v>
      </c>
      <c r="S165" s="4" t="s">
        <v>62</v>
      </c>
    </row>
    <row r="166" spans="1:23">
      <c r="A166" s="30">
        <v>45778</v>
      </c>
      <c r="B166" s="30" t="s">
        <v>607</v>
      </c>
      <c r="C166" t="s">
        <v>307</v>
      </c>
      <c r="D166" t="s">
        <v>183</v>
      </c>
      <c r="E166" s="8" t="s">
        <v>308</v>
      </c>
      <c r="F166" s="8">
        <v>2025</v>
      </c>
      <c r="G166" s="8" t="s">
        <v>6</v>
      </c>
      <c r="H166" s="29">
        <v>6050052</v>
      </c>
      <c r="I166" s="26">
        <f>H166</f>
        <v>6050052</v>
      </c>
      <c r="J166" s="26">
        <f>-I166</f>
        <v>-6050052</v>
      </c>
      <c r="K166" s="26">
        <f>I166+J166</f>
        <v>0</v>
      </c>
      <c r="L166" s="26"/>
      <c r="M166" s="44">
        <v>0</v>
      </c>
      <c r="N166" s="26">
        <v>0</v>
      </c>
      <c r="O166" s="26">
        <f t="shared" si="23"/>
        <v>121333278</v>
      </c>
      <c r="P166" t="s">
        <v>18</v>
      </c>
      <c r="Q166" s="1" t="s">
        <v>626</v>
      </c>
      <c r="R166" t="s">
        <v>631</v>
      </c>
      <c r="S166" s="4" t="s">
        <v>25</v>
      </c>
      <c r="V166"/>
      <c r="W166"/>
    </row>
    <row r="167" spans="1:23">
      <c r="A167" s="30">
        <v>45778</v>
      </c>
      <c r="B167" s="30" t="s">
        <v>607</v>
      </c>
      <c r="C167" t="s">
        <v>309</v>
      </c>
      <c r="D167" t="s">
        <v>17</v>
      </c>
      <c r="E167" s="8" t="s">
        <v>310</v>
      </c>
      <c r="F167" s="8">
        <v>2025</v>
      </c>
      <c r="G167" s="8" t="s">
        <v>7</v>
      </c>
      <c r="H167" s="21">
        <v>87120</v>
      </c>
      <c r="I167" s="26">
        <v>0</v>
      </c>
      <c r="J167" s="26">
        <v>0</v>
      </c>
      <c r="K167" s="26">
        <f t="shared" si="21"/>
        <v>0</v>
      </c>
      <c r="L167" s="26"/>
      <c r="M167" s="21">
        <f>H167</f>
        <v>87120</v>
      </c>
      <c r="N167" s="26">
        <v>0</v>
      </c>
      <c r="O167" s="26">
        <f t="shared" si="23"/>
        <v>121246158</v>
      </c>
      <c r="P167" s="13" t="s">
        <v>0</v>
      </c>
      <c r="Q167" s="13" t="s">
        <v>604</v>
      </c>
      <c r="R167" s="13" t="s">
        <v>605</v>
      </c>
    </row>
    <row r="168" spans="1:23">
      <c r="A168" s="30">
        <v>45778</v>
      </c>
      <c r="B168" s="30" t="s">
        <v>607</v>
      </c>
      <c r="C168" t="s">
        <v>311</v>
      </c>
      <c r="D168" t="s">
        <v>17</v>
      </c>
      <c r="E168" s="8" t="s">
        <v>312</v>
      </c>
      <c r="F168" s="8">
        <v>2025</v>
      </c>
      <c r="G168" s="8" t="s">
        <v>7</v>
      </c>
      <c r="H168" s="21">
        <v>132680</v>
      </c>
      <c r="I168" s="26">
        <v>0</v>
      </c>
      <c r="J168" s="26">
        <v>0</v>
      </c>
      <c r="K168" s="26">
        <f t="shared" si="21"/>
        <v>0</v>
      </c>
      <c r="L168" s="26"/>
      <c r="M168" s="21">
        <f>H168</f>
        <v>132680</v>
      </c>
      <c r="N168" s="26">
        <v>0</v>
      </c>
      <c r="O168" s="26">
        <f t="shared" si="23"/>
        <v>121113478</v>
      </c>
      <c r="P168" s="13" t="s">
        <v>0</v>
      </c>
      <c r="Q168" s="13" t="s">
        <v>604</v>
      </c>
      <c r="R168" s="13" t="s">
        <v>605</v>
      </c>
    </row>
    <row r="169" spans="1:23">
      <c r="A169" s="30">
        <v>45778</v>
      </c>
      <c r="B169" s="30" t="s">
        <v>607</v>
      </c>
      <c r="C169" t="s">
        <v>313</v>
      </c>
      <c r="D169" t="s">
        <v>17</v>
      </c>
      <c r="E169" s="8" t="s">
        <v>314</v>
      </c>
      <c r="F169" s="8">
        <v>2025</v>
      </c>
      <c r="G169" s="8" t="s">
        <v>7</v>
      </c>
      <c r="H169" s="21">
        <v>126553</v>
      </c>
      <c r="I169" s="26">
        <v>0</v>
      </c>
      <c r="J169" s="26">
        <v>0</v>
      </c>
      <c r="K169" s="26">
        <f t="shared" si="21"/>
        <v>0</v>
      </c>
      <c r="L169" s="26"/>
      <c r="M169" s="21">
        <f>H169</f>
        <v>126553</v>
      </c>
      <c r="N169" s="26">
        <v>0</v>
      </c>
      <c r="O169" s="26">
        <f t="shared" si="23"/>
        <v>120986925</v>
      </c>
      <c r="P169" s="13" t="s">
        <v>0</v>
      </c>
      <c r="Q169" s="13" t="s">
        <v>604</v>
      </c>
      <c r="R169" s="13" t="s">
        <v>605</v>
      </c>
    </row>
    <row r="170" spans="1:23" s="5" customFormat="1">
      <c r="A170" s="31">
        <v>45778</v>
      </c>
      <c r="B170" s="30" t="s">
        <v>607</v>
      </c>
      <c r="C170" s="5" t="s">
        <v>315</v>
      </c>
      <c r="D170" s="5" t="s">
        <v>183</v>
      </c>
      <c r="E170" s="10" t="s">
        <v>316</v>
      </c>
      <c r="F170" s="8">
        <v>2024</v>
      </c>
      <c r="G170" s="8" t="s">
        <v>6</v>
      </c>
      <c r="H170" s="11">
        <v>2309855</v>
      </c>
      <c r="I170" s="26">
        <f>H170</f>
        <v>2309855</v>
      </c>
      <c r="J170" s="26">
        <f>-I170</f>
        <v>-2309855</v>
      </c>
      <c r="K170" s="26">
        <f>I170+J170</f>
        <v>0</v>
      </c>
      <c r="L170" s="26"/>
      <c r="M170" s="14">
        <v>0</v>
      </c>
      <c r="N170" s="26">
        <v>0</v>
      </c>
      <c r="O170" s="26">
        <f t="shared" si="23"/>
        <v>120986925</v>
      </c>
      <c r="P170" t="s">
        <v>18</v>
      </c>
      <c r="Q170" s="1" t="s">
        <v>626</v>
      </c>
      <c r="R170" s="1" t="s">
        <v>630</v>
      </c>
      <c r="S170" s="4" t="s">
        <v>62</v>
      </c>
    </row>
    <row r="171" spans="1:23" s="5" customFormat="1">
      <c r="A171" s="31">
        <v>45778</v>
      </c>
      <c r="B171" s="30" t="s">
        <v>607</v>
      </c>
      <c r="C171" s="5" t="s">
        <v>317</v>
      </c>
      <c r="D171" s="5" t="s">
        <v>183</v>
      </c>
      <c r="E171" s="10" t="s">
        <v>318</v>
      </c>
      <c r="F171" s="10">
        <v>2024</v>
      </c>
      <c r="G171" s="10" t="s">
        <v>6</v>
      </c>
      <c r="H171" s="11">
        <v>10115710</v>
      </c>
      <c r="I171" s="26">
        <f>H171</f>
        <v>10115710</v>
      </c>
      <c r="J171" s="26">
        <f>-I171</f>
        <v>-10115710</v>
      </c>
      <c r="K171" s="26">
        <f>I171+J171</f>
        <v>0</v>
      </c>
      <c r="L171" s="26"/>
      <c r="M171" s="14">
        <v>0</v>
      </c>
      <c r="N171" s="26">
        <v>0</v>
      </c>
      <c r="O171" s="26">
        <f t="shared" si="23"/>
        <v>120986925</v>
      </c>
      <c r="P171" t="s">
        <v>18</v>
      </c>
      <c r="Q171" s="1" t="s">
        <v>626</v>
      </c>
      <c r="R171" s="1" t="s">
        <v>630</v>
      </c>
      <c r="S171" s="4" t="s">
        <v>62</v>
      </c>
    </row>
    <row r="172" spans="1:23">
      <c r="A172" s="30">
        <v>45778</v>
      </c>
      <c r="B172" s="30" t="s">
        <v>607</v>
      </c>
      <c r="C172" t="s">
        <v>319</v>
      </c>
      <c r="D172" t="s">
        <v>268</v>
      </c>
      <c r="E172" s="8" t="s">
        <v>320</v>
      </c>
      <c r="F172" s="8">
        <v>2025</v>
      </c>
      <c r="G172" s="8" t="s">
        <v>7</v>
      </c>
      <c r="H172" s="21">
        <v>2247329</v>
      </c>
      <c r="I172" s="26">
        <v>0</v>
      </c>
      <c r="J172" s="26">
        <v>0</v>
      </c>
      <c r="K172" s="26">
        <f t="shared" si="21"/>
        <v>0</v>
      </c>
      <c r="L172" s="26"/>
      <c r="M172" s="21">
        <f>H172</f>
        <v>2247329</v>
      </c>
      <c r="N172" s="26">
        <v>0</v>
      </c>
      <c r="O172" s="26">
        <f t="shared" si="23"/>
        <v>118739596</v>
      </c>
      <c r="P172" s="13" t="s">
        <v>0</v>
      </c>
      <c r="Q172" s="13" t="s">
        <v>604</v>
      </c>
      <c r="R172" s="13" t="s">
        <v>605</v>
      </c>
    </row>
    <row r="173" spans="1:23">
      <c r="A173" s="30" t="s">
        <v>321</v>
      </c>
      <c r="B173" s="30" t="s">
        <v>64</v>
      </c>
      <c r="D173" t="s">
        <v>322</v>
      </c>
      <c r="G173" s="8" t="s">
        <v>608</v>
      </c>
      <c r="H173" s="14">
        <v>67788</v>
      </c>
      <c r="I173" s="26">
        <v>0</v>
      </c>
      <c r="J173" s="26">
        <v>0</v>
      </c>
      <c r="K173" s="26">
        <f t="shared" si="21"/>
        <v>0</v>
      </c>
      <c r="L173" s="26"/>
      <c r="M173" s="44">
        <v>0</v>
      </c>
      <c r="N173" s="14">
        <f t="shared" ref="N173:N181" si="24">H173</f>
        <v>67788</v>
      </c>
      <c r="O173" s="26">
        <f t="shared" si="23"/>
        <v>118807384</v>
      </c>
      <c r="P173" s="1" t="s">
        <v>18</v>
      </c>
      <c r="Q173" t="s">
        <v>623</v>
      </c>
      <c r="R173" s="1" t="s">
        <v>64</v>
      </c>
      <c r="S173" s="1" t="s">
        <v>53</v>
      </c>
    </row>
    <row r="174" spans="1:23">
      <c r="A174" s="30" t="s">
        <v>321</v>
      </c>
      <c r="B174" s="30" t="s">
        <v>64</v>
      </c>
      <c r="D174" t="s">
        <v>87</v>
      </c>
      <c r="G174" s="8" t="s">
        <v>608</v>
      </c>
      <c r="H174" s="14">
        <v>74324</v>
      </c>
      <c r="I174" s="26">
        <v>0</v>
      </c>
      <c r="J174" s="26">
        <v>0</v>
      </c>
      <c r="K174" s="26">
        <f t="shared" si="21"/>
        <v>0</v>
      </c>
      <c r="L174" s="26"/>
      <c r="M174" s="44">
        <v>0</v>
      </c>
      <c r="N174" s="14">
        <f t="shared" si="24"/>
        <v>74324</v>
      </c>
      <c r="O174" s="26">
        <f t="shared" si="23"/>
        <v>118881708</v>
      </c>
      <c r="P174" s="1" t="s">
        <v>18</v>
      </c>
      <c r="Q174" t="s">
        <v>623</v>
      </c>
      <c r="R174" s="1" t="s">
        <v>64</v>
      </c>
      <c r="S174" s="1" t="s">
        <v>53</v>
      </c>
    </row>
    <row r="175" spans="1:23">
      <c r="A175" s="30" t="s">
        <v>321</v>
      </c>
      <c r="B175" s="30" t="s">
        <v>64</v>
      </c>
      <c r="D175" t="s">
        <v>85</v>
      </c>
      <c r="G175" s="8" t="s">
        <v>608</v>
      </c>
      <c r="H175" s="14">
        <v>1981982</v>
      </c>
      <c r="I175" s="26">
        <v>0</v>
      </c>
      <c r="J175" s="26">
        <v>0</v>
      </c>
      <c r="K175" s="26">
        <f t="shared" si="21"/>
        <v>0</v>
      </c>
      <c r="L175" s="26"/>
      <c r="M175" s="44">
        <v>0</v>
      </c>
      <c r="N175" s="14">
        <f t="shared" si="24"/>
        <v>1981982</v>
      </c>
      <c r="O175" s="26">
        <f t="shared" si="23"/>
        <v>120863690</v>
      </c>
      <c r="P175" t="s">
        <v>18</v>
      </c>
      <c r="Q175" t="s">
        <v>624</v>
      </c>
      <c r="R175" t="s">
        <v>64</v>
      </c>
      <c r="S175" t="s">
        <v>53</v>
      </c>
    </row>
    <row r="176" spans="1:23">
      <c r="A176" s="30" t="s">
        <v>321</v>
      </c>
      <c r="B176" s="30" t="s">
        <v>64</v>
      </c>
      <c r="D176" t="s">
        <v>89</v>
      </c>
      <c r="G176" s="8" t="s">
        <v>608</v>
      </c>
      <c r="H176" s="14">
        <v>59460</v>
      </c>
      <c r="I176" s="26">
        <v>0</v>
      </c>
      <c r="J176" s="26">
        <v>0</v>
      </c>
      <c r="K176" s="26">
        <f t="shared" si="21"/>
        <v>0</v>
      </c>
      <c r="L176" s="26"/>
      <c r="M176" s="44">
        <v>0</v>
      </c>
      <c r="N176" s="14">
        <f t="shared" si="24"/>
        <v>59460</v>
      </c>
      <c r="O176" s="26">
        <f t="shared" si="23"/>
        <v>120923150</v>
      </c>
      <c r="P176" s="1" t="s">
        <v>18</v>
      </c>
      <c r="Q176" t="s">
        <v>623</v>
      </c>
      <c r="R176" s="1" t="s">
        <v>64</v>
      </c>
      <c r="S176" s="1" t="s">
        <v>53</v>
      </c>
    </row>
    <row r="177" spans="1:23">
      <c r="A177" s="30" t="s">
        <v>321</v>
      </c>
      <c r="B177" s="30" t="s">
        <v>64</v>
      </c>
      <c r="D177" t="s">
        <v>323</v>
      </c>
      <c r="G177" s="8" t="s">
        <v>608</v>
      </c>
      <c r="H177" s="14">
        <v>1107829</v>
      </c>
      <c r="I177" s="26">
        <v>0</v>
      </c>
      <c r="J177" s="26">
        <v>0</v>
      </c>
      <c r="K177" s="26">
        <f t="shared" si="21"/>
        <v>0</v>
      </c>
      <c r="L177" s="26"/>
      <c r="M177" s="44">
        <v>0</v>
      </c>
      <c r="N177" s="14">
        <f t="shared" si="24"/>
        <v>1107829</v>
      </c>
      <c r="O177" s="26">
        <f t="shared" si="23"/>
        <v>122030979</v>
      </c>
      <c r="P177" t="s">
        <v>18</v>
      </c>
      <c r="Q177" t="s">
        <v>626</v>
      </c>
      <c r="R177" s="1" t="s">
        <v>64</v>
      </c>
      <c r="S177" s="1" t="s">
        <v>53</v>
      </c>
    </row>
    <row r="178" spans="1:23">
      <c r="A178" s="30" t="s">
        <v>321</v>
      </c>
      <c r="B178" s="30" t="s">
        <v>64</v>
      </c>
      <c r="D178" t="s">
        <v>324</v>
      </c>
      <c r="G178" s="8" t="s">
        <v>608</v>
      </c>
      <c r="H178" s="14">
        <v>990000</v>
      </c>
      <c r="I178" s="26">
        <v>0</v>
      </c>
      <c r="J178" s="26">
        <v>0</v>
      </c>
      <c r="K178" s="26">
        <f t="shared" si="21"/>
        <v>0</v>
      </c>
      <c r="L178" s="26"/>
      <c r="M178" s="44">
        <v>0</v>
      </c>
      <c r="N178" s="14">
        <f t="shared" si="24"/>
        <v>990000</v>
      </c>
      <c r="O178" s="26">
        <f t="shared" si="23"/>
        <v>123020979</v>
      </c>
      <c r="P178" t="s">
        <v>18</v>
      </c>
      <c r="Q178" t="s">
        <v>624</v>
      </c>
      <c r="R178" t="s">
        <v>64</v>
      </c>
      <c r="S178" t="s">
        <v>53</v>
      </c>
    </row>
    <row r="179" spans="1:23">
      <c r="A179" s="30" t="s">
        <v>321</v>
      </c>
      <c r="B179" s="30" t="s">
        <v>64</v>
      </c>
      <c r="D179" t="s">
        <v>89</v>
      </c>
      <c r="G179" s="8" t="s">
        <v>608</v>
      </c>
      <c r="H179" s="14">
        <v>506000</v>
      </c>
      <c r="I179" s="26">
        <v>0</v>
      </c>
      <c r="J179" s="26">
        <v>0</v>
      </c>
      <c r="K179" s="26">
        <f t="shared" si="21"/>
        <v>0</v>
      </c>
      <c r="L179" s="26"/>
      <c r="M179" s="44">
        <v>0</v>
      </c>
      <c r="N179" s="14">
        <f t="shared" si="24"/>
        <v>506000</v>
      </c>
      <c r="O179" s="26">
        <f t="shared" si="23"/>
        <v>123526979</v>
      </c>
      <c r="P179" s="1" t="s">
        <v>18</v>
      </c>
      <c r="Q179" t="s">
        <v>623</v>
      </c>
      <c r="R179" s="1" t="s">
        <v>64</v>
      </c>
      <c r="S179" s="1" t="s">
        <v>53</v>
      </c>
    </row>
    <row r="180" spans="1:23">
      <c r="A180" s="30" t="s">
        <v>321</v>
      </c>
      <c r="B180" s="30" t="s">
        <v>64</v>
      </c>
      <c r="D180" t="s">
        <v>98</v>
      </c>
      <c r="G180" s="8" t="s">
        <v>608</v>
      </c>
      <c r="H180" s="14">
        <v>1819151</v>
      </c>
      <c r="I180" s="26">
        <v>0</v>
      </c>
      <c r="J180" s="26">
        <v>0</v>
      </c>
      <c r="K180" s="26">
        <f t="shared" si="21"/>
        <v>0</v>
      </c>
      <c r="L180" s="26"/>
      <c r="M180" s="44">
        <v>0</v>
      </c>
      <c r="N180" s="14">
        <f t="shared" si="24"/>
        <v>1819151</v>
      </c>
      <c r="O180" s="26">
        <f t="shared" si="23"/>
        <v>125346130</v>
      </c>
      <c r="P180" s="1" t="s">
        <v>18</v>
      </c>
      <c r="Q180" t="s">
        <v>623</v>
      </c>
      <c r="R180" s="1" t="s">
        <v>64</v>
      </c>
      <c r="S180" s="1" t="s">
        <v>53</v>
      </c>
    </row>
    <row r="181" spans="1:23">
      <c r="A181" s="30" t="s">
        <v>321</v>
      </c>
      <c r="B181" s="30" t="s">
        <v>64</v>
      </c>
      <c r="D181" t="s">
        <v>101</v>
      </c>
      <c r="G181" s="8" t="s">
        <v>608</v>
      </c>
      <c r="H181" s="14">
        <v>385000</v>
      </c>
      <c r="I181" s="26">
        <v>0</v>
      </c>
      <c r="J181" s="26">
        <v>0</v>
      </c>
      <c r="K181" s="26">
        <f t="shared" si="21"/>
        <v>0</v>
      </c>
      <c r="L181" s="26"/>
      <c r="M181" s="44">
        <v>0</v>
      </c>
      <c r="N181" s="14">
        <f t="shared" si="24"/>
        <v>385000</v>
      </c>
      <c r="O181" s="26">
        <f t="shared" si="23"/>
        <v>125731130</v>
      </c>
      <c r="P181" s="1" t="s">
        <v>18</v>
      </c>
      <c r="Q181" t="s">
        <v>623</v>
      </c>
      <c r="R181" s="1" t="s">
        <v>64</v>
      </c>
      <c r="S181" s="1" t="s">
        <v>53</v>
      </c>
    </row>
    <row r="182" spans="1:23">
      <c r="A182" s="30" t="s">
        <v>321</v>
      </c>
      <c r="B182" s="30" t="s">
        <v>607</v>
      </c>
      <c r="C182" t="s">
        <v>325</v>
      </c>
      <c r="D182" t="s">
        <v>95</v>
      </c>
      <c r="E182" s="8" t="s">
        <v>326</v>
      </c>
      <c r="F182" s="8">
        <v>2025</v>
      </c>
      <c r="G182" s="8" t="s">
        <v>6</v>
      </c>
      <c r="H182" s="29">
        <v>2972973</v>
      </c>
      <c r="I182" s="26">
        <f>H182</f>
        <v>2972973</v>
      </c>
      <c r="J182" s="26">
        <f>-I182</f>
        <v>-2972973</v>
      </c>
      <c r="K182" s="26">
        <f>I182+J182</f>
        <v>0</v>
      </c>
      <c r="L182" s="26"/>
      <c r="M182" s="44">
        <v>0</v>
      </c>
      <c r="N182" s="26">
        <v>0</v>
      </c>
      <c r="O182" s="26">
        <f t="shared" si="23"/>
        <v>125731130</v>
      </c>
      <c r="P182" t="s">
        <v>18</v>
      </c>
      <c r="Q182" s="1" t="s">
        <v>626</v>
      </c>
      <c r="R182" t="s">
        <v>631</v>
      </c>
      <c r="S182" s="4" t="s">
        <v>25</v>
      </c>
      <c r="V182"/>
      <c r="W182"/>
    </row>
    <row r="183" spans="1:23">
      <c r="A183" s="30" t="s">
        <v>321</v>
      </c>
      <c r="B183" s="30" t="s">
        <v>607</v>
      </c>
      <c r="C183" t="s">
        <v>327</v>
      </c>
      <c r="D183" t="s">
        <v>95</v>
      </c>
      <c r="E183" s="8" t="s">
        <v>328</v>
      </c>
      <c r="F183" s="8">
        <v>2025</v>
      </c>
      <c r="G183" s="8" t="s">
        <v>6</v>
      </c>
      <c r="H183" s="29">
        <v>24081081</v>
      </c>
      <c r="I183" s="26">
        <f>H183</f>
        <v>24081081</v>
      </c>
      <c r="J183" s="26">
        <f>-I183</f>
        <v>-24081081</v>
      </c>
      <c r="K183" s="26">
        <f>I183+J183</f>
        <v>0</v>
      </c>
      <c r="L183" s="26"/>
      <c r="M183" s="44">
        <v>0</v>
      </c>
      <c r="N183" s="26">
        <v>0</v>
      </c>
      <c r="O183" s="26">
        <f t="shared" si="23"/>
        <v>125731130</v>
      </c>
      <c r="P183" t="s">
        <v>18</v>
      </c>
      <c r="Q183" s="1" t="s">
        <v>626</v>
      </c>
      <c r="R183" t="s">
        <v>631</v>
      </c>
      <c r="S183" s="4" t="s">
        <v>25</v>
      </c>
      <c r="V183"/>
      <c r="W183"/>
    </row>
    <row r="184" spans="1:23" s="23" customFormat="1">
      <c r="A184" s="39" t="s">
        <v>321</v>
      </c>
      <c r="B184" s="30" t="s">
        <v>607</v>
      </c>
      <c r="C184" s="23" t="s">
        <v>329</v>
      </c>
      <c r="D184" s="23" t="s">
        <v>12</v>
      </c>
      <c r="E184" s="43" t="s">
        <v>330</v>
      </c>
      <c r="F184" s="43"/>
      <c r="G184" s="48" t="s">
        <v>6</v>
      </c>
      <c r="H184" s="48">
        <v>3468469</v>
      </c>
      <c r="I184" s="49">
        <v>0</v>
      </c>
      <c r="J184" s="49">
        <v>0</v>
      </c>
      <c r="K184" s="49">
        <f t="shared" si="21"/>
        <v>0</v>
      </c>
      <c r="L184" s="49"/>
      <c r="M184" s="48">
        <v>0</v>
      </c>
      <c r="N184" s="48">
        <v>0</v>
      </c>
      <c r="O184" s="26">
        <f t="shared" si="23"/>
        <v>125731130</v>
      </c>
      <c r="P184" s="23" t="s">
        <v>0</v>
      </c>
      <c r="Q184" s="23" t="s">
        <v>604</v>
      </c>
      <c r="R184" s="23" t="s">
        <v>605</v>
      </c>
      <c r="S184" s="23" t="s">
        <v>331</v>
      </c>
      <c r="T184" s="54" t="s">
        <v>1</v>
      </c>
    </row>
    <row r="185" spans="1:23">
      <c r="A185" s="30" t="s">
        <v>321</v>
      </c>
      <c r="B185" s="30" t="s">
        <v>607</v>
      </c>
      <c r="C185" t="s">
        <v>332</v>
      </c>
      <c r="D185" t="s">
        <v>333</v>
      </c>
      <c r="E185" s="8" t="s">
        <v>334</v>
      </c>
      <c r="F185" s="8">
        <v>2025</v>
      </c>
      <c r="G185" s="8" t="s">
        <v>7</v>
      </c>
      <c r="H185" s="21">
        <v>140800</v>
      </c>
      <c r="I185" s="26">
        <v>0</v>
      </c>
      <c r="J185" s="26">
        <v>0</v>
      </c>
      <c r="K185" s="26">
        <f t="shared" si="21"/>
        <v>0</v>
      </c>
      <c r="L185" s="26"/>
      <c r="M185" s="21">
        <f t="shared" ref="M185:M191" si="25">H185</f>
        <v>140800</v>
      </c>
      <c r="N185" s="26">
        <v>0</v>
      </c>
      <c r="O185" s="26">
        <f t="shared" si="23"/>
        <v>125590330</v>
      </c>
      <c r="P185" s="13" t="s">
        <v>0</v>
      </c>
      <c r="Q185" s="13" t="s">
        <v>604</v>
      </c>
      <c r="R185" s="13" t="s">
        <v>605</v>
      </c>
    </row>
    <row r="186" spans="1:23">
      <c r="A186" s="30" t="s">
        <v>321</v>
      </c>
      <c r="B186" s="30" t="s">
        <v>607</v>
      </c>
      <c r="C186" t="s">
        <v>335</v>
      </c>
      <c r="D186" t="s">
        <v>333</v>
      </c>
      <c r="E186" s="8" t="s">
        <v>336</v>
      </c>
      <c r="F186" s="8">
        <v>2025</v>
      </c>
      <c r="G186" s="8" t="s">
        <v>7</v>
      </c>
      <c r="H186" s="21">
        <v>20900</v>
      </c>
      <c r="I186" s="26">
        <v>0</v>
      </c>
      <c r="J186" s="26">
        <v>0</v>
      </c>
      <c r="K186" s="26">
        <f t="shared" si="21"/>
        <v>0</v>
      </c>
      <c r="L186" s="26"/>
      <c r="M186" s="21">
        <f t="shared" si="25"/>
        <v>20900</v>
      </c>
      <c r="N186" s="26">
        <v>0</v>
      </c>
      <c r="O186" s="26">
        <f t="shared" si="23"/>
        <v>125569430</v>
      </c>
      <c r="P186" s="13" t="s">
        <v>0</v>
      </c>
      <c r="Q186" s="13" t="s">
        <v>604</v>
      </c>
      <c r="R186" s="13" t="s">
        <v>605</v>
      </c>
    </row>
    <row r="187" spans="1:23">
      <c r="A187" s="30" t="s">
        <v>321</v>
      </c>
      <c r="B187" s="30" t="s">
        <v>607</v>
      </c>
      <c r="C187" t="s">
        <v>337</v>
      </c>
      <c r="D187" t="s">
        <v>333</v>
      </c>
      <c r="E187" s="8" t="s">
        <v>338</v>
      </c>
      <c r="F187" s="8">
        <v>2025</v>
      </c>
      <c r="G187" s="8" t="s">
        <v>7</v>
      </c>
      <c r="H187" s="21">
        <v>140800</v>
      </c>
      <c r="I187" s="26">
        <v>0</v>
      </c>
      <c r="J187" s="26">
        <v>0</v>
      </c>
      <c r="K187" s="26">
        <f t="shared" si="21"/>
        <v>0</v>
      </c>
      <c r="L187" s="26"/>
      <c r="M187" s="21">
        <f t="shared" si="25"/>
        <v>140800</v>
      </c>
      <c r="N187" s="26">
        <v>0</v>
      </c>
      <c r="O187" s="26">
        <f t="shared" si="23"/>
        <v>125428630</v>
      </c>
      <c r="P187" s="13" t="s">
        <v>0</v>
      </c>
      <c r="Q187" s="13" t="s">
        <v>604</v>
      </c>
      <c r="R187" s="13" t="s">
        <v>605</v>
      </c>
    </row>
    <row r="188" spans="1:23">
      <c r="A188" s="30" t="s">
        <v>321</v>
      </c>
      <c r="B188" s="30" t="s">
        <v>607</v>
      </c>
      <c r="C188" t="s">
        <v>339</v>
      </c>
      <c r="D188" t="s">
        <v>17</v>
      </c>
      <c r="E188" s="8" t="s">
        <v>340</v>
      </c>
      <c r="F188" s="8">
        <v>2025</v>
      </c>
      <c r="G188" s="8" t="s">
        <v>7</v>
      </c>
      <c r="H188" s="21">
        <v>3568309</v>
      </c>
      <c r="I188" s="26">
        <v>0</v>
      </c>
      <c r="J188" s="26">
        <v>0</v>
      </c>
      <c r="K188" s="26">
        <f t="shared" si="21"/>
        <v>0</v>
      </c>
      <c r="L188" s="26"/>
      <c r="M188" s="21">
        <f t="shared" si="25"/>
        <v>3568309</v>
      </c>
      <c r="N188" s="26">
        <v>0</v>
      </c>
      <c r="O188" s="26">
        <f t="shared" si="23"/>
        <v>121860321</v>
      </c>
      <c r="P188" s="13" t="s">
        <v>0</v>
      </c>
      <c r="Q188" s="13" t="s">
        <v>604</v>
      </c>
      <c r="R188" s="13" t="s">
        <v>605</v>
      </c>
    </row>
    <row r="189" spans="1:23">
      <c r="A189" s="30" t="s">
        <v>321</v>
      </c>
      <c r="B189" s="30" t="s">
        <v>607</v>
      </c>
      <c r="C189" t="s">
        <v>341</v>
      </c>
      <c r="D189" t="s">
        <v>17</v>
      </c>
      <c r="E189" s="8" t="s">
        <v>342</v>
      </c>
      <c r="F189" s="8">
        <v>2025</v>
      </c>
      <c r="G189" s="8" t="s">
        <v>7</v>
      </c>
      <c r="H189" s="21">
        <v>7136617</v>
      </c>
      <c r="I189" s="26">
        <v>0</v>
      </c>
      <c r="J189" s="26">
        <v>0</v>
      </c>
      <c r="K189" s="26">
        <f t="shared" si="21"/>
        <v>0</v>
      </c>
      <c r="L189" s="26"/>
      <c r="M189" s="21">
        <f t="shared" si="25"/>
        <v>7136617</v>
      </c>
      <c r="N189" s="26">
        <v>0</v>
      </c>
      <c r="O189" s="26">
        <f t="shared" si="23"/>
        <v>114723704</v>
      </c>
      <c r="P189" s="13" t="s">
        <v>0</v>
      </c>
      <c r="Q189" s="13" t="s">
        <v>604</v>
      </c>
      <c r="R189" s="13" t="s">
        <v>605</v>
      </c>
    </row>
    <row r="190" spans="1:23">
      <c r="A190" s="30" t="s">
        <v>321</v>
      </c>
      <c r="B190" s="30" t="s">
        <v>607</v>
      </c>
      <c r="C190" t="s">
        <v>343</v>
      </c>
      <c r="D190" t="s">
        <v>17</v>
      </c>
      <c r="E190" s="8" t="s">
        <v>344</v>
      </c>
      <c r="F190" s="8">
        <v>2025</v>
      </c>
      <c r="G190" s="8" t="s">
        <v>7</v>
      </c>
      <c r="H190" s="21">
        <v>1189447</v>
      </c>
      <c r="I190" s="26">
        <v>0</v>
      </c>
      <c r="J190" s="26">
        <v>0</v>
      </c>
      <c r="K190" s="26">
        <f t="shared" si="21"/>
        <v>0</v>
      </c>
      <c r="L190" s="26"/>
      <c r="M190" s="21">
        <f t="shared" si="25"/>
        <v>1189447</v>
      </c>
      <c r="N190" s="26">
        <v>0</v>
      </c>
      <c r="O190" s="26">
        <f t="shared" si="23"/>
        <v>113534257</v>
      </c>
      <c r="P190" s="13" t="s">
        <v>0</v>
      </c>
      <c r="Q190" s="13" t="s">
        <v>604</v>
      </c>
      <c r="R190" s="13" t="s">
        <v>605</v>
      </c>
    </row>
    <row r="191" spans="1:23">
      <c r="A191" s="30" t="s">
        <v>321</v>
      </c>
      <c r="B191" s="30" t="s">
        <v>607</v>
      </c>
      <c r="C191" t="s">
        <v>345</v>
      </c>
      <c r="D191" t="s">
        <v>333</v>
      </c>
      <c r="E191" s="8" t="s">
        <v>346</v>
      </c>
      <c r="F191" s="8">
        <v>2025</v>
      </c>
      <c r="G191" s="8" t="s">
        <v>7</v>
      </c>
      <c r="H191" s="21">
        <v>140800</v>
      </c>
      <c r="I191" s="26">
        <v>0</v>
      </c>
      <c r="J191" s="26">
        <v>0</v>
      </c>
      <c r="K191" s="26">
        <f t="shared" si="21"/>
        <v>0</v>
      </c>
      <c r="L191" s="26"/>
      <c r="M191" s="21">
        <f t="shared" si="25"/>
        <v>140800</v>
      </c>
      <c r="N191" s="26">
        <v>0</v>
      </c>
      <c r="O191" s="26">
        <f t="shared" si="23"/>
        <v>113393457</v>
      </c>
      <c r="P191" s="13" t="s">
        <v>0</v>
      </c>
      <c r="Q191" s="13" t="s">
        <v>604</v>
      </c>
      <c r="R191" s="13" t="s">
        <v>605</v>
      </c>
    </row>
    <row r="192" spans="1:23">
      <c r="A192" s="30" t="s">
        <v>321</v>
      </c>
      <c r="B192" s="30" t="s">
        <v>607</v>
      </c>
      <c r="C192" t="s">
        <v>347</v>
      </c>
      <c r="D192" t="s">
        <v>183</v>
      </c>
      <c r="E192" s="8" t="s">
        <v>348</v>
      </c>
      <c r="F192" s="8">
        <v>2025</v>
      </c>
      <c r="G192" s="8" t="s">
        <v>6</v>
      </c>
      <c r="H192" s="36">
        <v>30980400</v>
      </c>
      <c r="I192" s="26">
        <f>H192</f>
        <v>30980400</v>
      </c>
      <c r="J192" s="26">
        <f>-I192</f>
        <v>-30980400</v>
      </c>
      <c r="K192" s="26">
        <f>I192+J192</f>
        <v>0</v>
      </c>
      <c r="L192" s="26"/>
      <c r="M192" s="45">
        <v>0</v>
      </c>
      <c r="N192" s="26">
        <v>0</v>
      </c>
      <c r="O192" s="26">
        <f t="shared" si="23"/>
        <v>113393457</v>
      </c>
      <c r="P192" t="s">
        <v>18</v>
      </c>
      <c r="Q192" s="1" t="s">
        <v>626</v>
      </c>
      <c r="R192" t="s">
        <v>631</v>
      </c>
      <c r="S192" s="4" t="s">
        <v>25</v>
      </c>
      <c r="V192"/>
      <c r="W192"/>
    </row>
    <row r="193" spans="1:23">
      <c r="A193" s="30" t="s">
        <v>321</v>
      </c>
      <c r="B193" s="30" t="s">
        <v>607</v>
      </c>
      <c r="C193" t="s">
        <v>349</v>
      </c>
      <c r="D193" t="s">
        <v>183</v>
      </c>
      <c r="E193" s="8" t="s">
        <v>350</v>
      </c>
      <c r="F193" s="8">
        <v>2025</v>
      </c>
      <c r="G193" s="8" t="s">
        <v>6</v>
      </c>
      <c r="H193" s="29">
        <v>5489460</v>
      </c>
      <c r="I193" s="26">
        <f>H193</f>
        <v>5489460</v>
      </c>
      <c r="J193" s="26">
        <f>-I193</f>
        <v>-5489460</v>
      </c>
      <c r="K193" s="26">
        <f>I193+J193</f>
        <v>0</v>
      </c>
      <c r="L193" s="26"/>
      <c r="M193" s="44">
        <v>0</v>
      </c>
      <c r="N193" s="26">
        <v>0</v>
      </c>
      <c r="O193" s="26">
        <f t="shared" si="23"/>
        <v>113393457</v>
      </c>
      <c r="P193" t="s">
        <v>18</v>
      </c>
      <c r="Q193" s="1" t="s">
        <v>626</v>
      </c>
      <c r="R193" t="s">
        <v>631</v>
      </c>
      <c r="S193" s="4" t="s">
        <v>25</v>
      </c>
      <c r="V193"/>
      <c r="W193"/>
    </row>
    <row r="194" spans="1:23" s="5" customFormat="1">
      <c r="A194" s="31" t="s">
        <v>321</v>
      </c>
      <c r="B194" s="30" t="s">
        <v>607</v>
      </c>
      <c r="C194" s="5" t="s">
        <v>351</v>
      </c>
      <c r="D194" s="5" t="s">
        <v>183</v>
      </c>
      <c r="E194" s="10" t="s">
        <v>352</v>
      </c>
      <c r="F194" s="10">
        <v>2024</v>
      </c>
      <c r="G194" s="10" t="s">
        <v>6</v>
      </c>
      <c r="H194" s="11">
        <v>18862729</v>
      </c>
      <c r="I194" s="26">
        <f>H194</f>
        <v>18862729</v>
      </c>
      <c r="J194" s="26">
        <f>-I194</f>
        <v>-18862729</v>
      </c>
      <c r="K194" s="26">
        <f>I194+J194</f>
        <v>0</v>
      </c>
      <c r="L194" s="26"/>
      <c r="M194" s="14">
        <v>0</v>
      </c>
      <c r="N194" s="26">
        <v>0</v>
      </c>
      <c r="O194" s="26">
        <f t="shared" si="23"/>
        <v>113393457</v>
      </c>
      <c r="P194" t="s">
        <v>18</v>
      </c>
      <c r="Q194" s="1" t="s">
        <v>626</v>
      </c>
      <c r="R194" s="1" t="s">
        <v>630</v>
      </c>
      <c r="S194" s="4" t="s">
        <v>62</v>
      </c>
    </row>
    <row r="195" spans="1:23">
      <c r="A195" s="30">
        <v>45839</v>
      </c>
      <c r="B195" s="30" t="s">
        <v>64</v>
      </c>
      <c r="D195" t="s">
        <v>353</v>
      </c>
      <c r="G195" s="8" t="s">
        <v>608</v>
      </c>
      <c r="H195" s="14">
        <v>94875</v>
      </c>
      <c r="I195" s="26">
        <v>0</v>
      </c>
      <c r="J195" s="26">
        <v>0</v>
      </c>
      <c r="K195" s="26">
        <f t="shared" si="21"/>
        <v>0</v>
      </c>
      <c r="L195" s="26"/>
      <c r="M195" s="44">
        <v>0</v>
      </c>
      <c r="N195" s="14">
        <f t="shared" ref="N195:N201" si="26">H195</f>
        <v>94875</v>
      </c>
      <c r="O195" s="26">
        <f t="shared" si="23"/>
        <v>113488332</v>
      </c>
      <c r="P195" s="1" t="s">
        <v>18</v>
      </c>
      <c r="Q195" t="s">
        <v>623</v>
      </c>
      <c r="R195" s="1" t="s">
        <v>64</v>
      </c>
      <c r="S195" s="1" t="s">
        <v>54</v>
      </c>
    </row>
    <row r="196" spans="1:23">
      <c r="A196" s="30">
        <v>45839</v>
      </c>
      <c r="B196" s="30" t="s">
        <v>64</v>
      </c>
      <c r="D196" t="s">
        <v>85</v>
      </c>
      <c r="G196" s="8" t="s">
        <v>608</v>
      </c>
      <c r="H196" s="14">
        <v>1981982</v>
      </c>
      <c r="I196" s="26">
        <v>0</v>
      </c>
      <c r="J196" s="26">
        <v>0</v>
      </c>
      <c r="K196" s="26">
        <f t="shared" si="21"/>
        <v>0</v>
      </c>
      <c r="L196" s="26"/>
      <c r="M196" s="44">
        <v>0</v>
      </c>
      <c r="N196" s="14">
        <f t="shared" si="26"/>
        <v>1981982</v>
      </c>
      <c r="O196" s="26">
        <f t="shared" si="23"/>
        <v>115470314</v>
      </c>
      <c r="P196" t="s">
        <v>18</v>
      </c>
      <c r="Q196" t="s">
        <v>624</v>
      </c>
      <c r="R196" t="s">
        <v>64</v>
      </c>
      <c r="S196" t="s">
        <v>54</v>
      </c>
    </row>
    <row r="197" spans="1:23">
      <c r="A197" s="30">
        <v>45839</v>
      </c>
      <c r="B197" s="30" t="s">
        <v>64</v>
      </c>
      <c r="D197" t="s">
        <v>354</v>
      </c>
      <c r="G197" s="8" t="s">
        <v>608</v>
      </c>
      <c r="H197" s="14">
        <v>100848964</v>
      </c>
      <c r="I197" s="26">
        <v>0</v>
      </c>
      <c r="J197" s="26">
        <v>0</v>
      </c>
      <c r="K197" s="26">
        <f t="shared" si="21"/>
        <v>0</v>
      </c>
      <c r="L197" s="26"/>
      <c r="M197" s="44">
        <v>0</v>
      </c>
      <c r="N197" s="14">
        <f t="shared" si="26"/>
        <v>100848964</v>
      </c>
      <c r="O197" s="26">
        <f t="shared" si="23"/>
        <v>216319278</v>
      </c>
      <c r="P197" s="1" t="s">
        <v>18</v>
      </c>
      <c r="Q197" t="s">
        <v>623</v>
      </c>
      <c r="R197" s="1" t="s">
        <v>64</v>
      </c>
      <c r="S197" s="1" t="s">
        <v>54</v>
      </c>
    </row>
    <row r="198" spans="1:23">
      <c r="A198" s="30">
        <v>45839</v>
      </c>
      <c r="B198" s="30" t="s">
        <v>64</v>
      </c>
      <c r="D198" t="s">
        <v>89</v>
      </c>
      <c r="G198" s="8" t="s">
        <v>608</v>
      </c>
      <c r="H198" s="14">
        <v>506000</v>
      </c>
      <c r="I198" s="26">
        <v>0</v>
      </c>
      <c r="J198" s="26">
        <v>0</v>
      </c>
      <c r="K198" s="26">
        <f t="shared" ref="K198:K258" si="27">I198-J198</f>
        <v>0</v>
      </c>
      <c r="L198" s="26"/>
      <c r="M198" s="44">
        <v>0</v>
      </c>
      <c r="N198" s="14">
        <f t="shared" si="26"/>
        <v>506000</v>
      </c>
      <c r="O198" s="26">
        <f t="shared" si="23"/>
        <v>216825278</v>
      </c>
      <c r="P198" s="1" t="s">
        <v>18</v>
      </c>
      <c r="Q198" t="s">
        <v>623</v>
      </c>
      <c r="R198" s="1" t="s">
        <v>64</v>
      </c>
      <c r="S198" s="1" t="s">
        <v>54</v>
      </c>
    </row>
    <row r="199" spans="1:23">
      <c r="A199" s="30">
        <v>45839</v>
      </c>
      <c r="B199" s="30" t="s">
        <v>64</v>
      </c>
      <c r="D199" t="s">
        <v>323</v>
      </c>
      <c r="G199" s="8" t="s">
        <v>608</v>
      </c>
      <c r="H199" s="14">
        <v>1018640</v>
      </c>
      <c r="I199" s="26">
        <v>0</v>
      </c>
      <c r="J199" s="26">
        <v>0</v>
      </c>
      <c r="K199" s="26">
        <f t="shared" si="27"/>
        <v>0</v>
      </c>
      <c r="L199" s="26"/>
      <c r="M199" s="44">
        <v>0</v>
      </c>
      <c r="N199" s="14">
        <f t="shared" si="26"/>
        <v>1018640</v>
      </c>
      <c r="O199" s="26">
        <f t="shared" ref="O199:O262" si="28">O198-M199+N199</f>
        <v>217843918</v>
      </c>
      <c r="P199" t="s">
        <v>18</v>
      </c>
      <c r="Q199" t="s">
        <v>626</v>
      </c>
      <c r="R199" s="1" t="s">
        <v>64</v>
      </c>
      <c r="S199" s="1" t="s">
        <v>53</v>
      </c>
    </row>
    <row r="200" spans="1:23">
      <c r="A200" s="30">
        <v>45839</v>
      </c>
      <c r="B200" s="30" t="s">
        <v>64</v>
      </c>
      <c r="D200" t="s">
        <v>87</v>
      </c>
      <c r="G200" s="8" t="s">
        <v>608</v>
      </c>
      <c r="H200" s="14">
        <v>74324</v>
      </c>
      <c r="I200" s="26">
        <v>0</v>
      </c>
      <c r="J200" s="26">
        <v>0</v>
      </c>
      <c r="K200" s="26">
        <f t="shared" si="27"/>
        <v>0</v>
      </c>
      <c r="L200" s="26"/>
      <c r="M200" s="44">
        <v>0</v>
      </c>
      <c r="N200" s="14">
        <f t="shared" si="26"/>
        <v>74324</v>
      </c>
      <c r="O200" s="26">
        <f t="shared" si="28"/>
        <v>217918242</v>
      </c>
      <c r="P200" s="1" t="s">
        <v>18</v>
      </c>
      <c r="Q200" t="s">
        <v>623</v>
      </c>
      <c r="R200" s="1" t="s">
        <v>64</v>
      </c>
      <c r="S200" s="1" t="s">
        <v>54</v>
      </c>
    </row>
    <row r="201" spans="1:23">
      <c r="A201" s="30">
        <v>45839</v>
      </c>
      <c r="B201" s="30" t="s">
        <v>64</v>
      </c>
      <c r="D201" t="s">
        <v>101</v>
      </c>
      <c r="G201" s="8" t="s">
        <v>608</v>
      </c>
      <c r="H201" s="14">
        <v>385000</v>
      </c>
      <c r="I201" s="26">
        <v>0</v>
      </c>
      <c r="J201" s="26">
        <v>0</v>
      </c>
      <c r="K201" s="26">
        <f t="shared" si="27"/>
        <v>0</v>
      </c>
      <c r="L201" s="26"/>
      <c r="M201" s="44">
        <v>0</v>
      </c>
      <c r="N201" s="14">
        <f t="shared" si="26"/>
        <v>385000</v>
      </c>
      <c r="O201" s="26">
        <f t="shared" si="28"/>
        <v>218303242</v>
      </c>
      <c r="P201" s="1" t="s">
        <v>18</v>
      </c>
      <c r="Q201" t="s">
        <v>623</v>
      </c>
      <c r="R201" s="1" t="s">
        <v>64</v>
      </c>
      <c r="S201" s="1" t="s">
        <v>54</v>
      </c>
    </row>
    <row r="202" spans="1:23">
      <c r="A202" s="30">
        <v>45839</v>
      </c>
      <c r="B202" s="30" t="s">
        <v>607</v>
      </c>
      <c r="C202" t="s">
        <v>355</v>
      </c>
      <c r="D202" t="s">
        <v>17</v>
      </c>
      <c r="E202" s="8" t="s">
        <v>356</v>
      </c>
      <c r="F202" s="8">
        <v>2025</v>
      </c>
      <c r="G202" s="8" t="s">
        <v>7</v>
      </c>
      <c r="H202" s="21">
        <v>330000</v>
      </c>
      <c r="I202" s="26">
        <v>0</v>
      </c>
      <c r="J202" s="26">
        <v>0</v>
      </c>
      <c r="K202" s="26">
        <f t="shared" si="27"/>
        <v>0</v>
      </c>
      <c r="L202" s="26"/>
      <c r="M202" s="21">
        <f t="shared" ref="M202:M233" si="29">H202</f>
        <v>330000</v>
      </c>
      <c r="N202" s="26">
        <v>0</v>
      </c>
      <c r="O202" s="26">
        <f t="shared" si="28"/>
        <v>217973242</v>
      </c>
      <c r="P202" s="13" t="s">
        <v>0</v>
      </c>
      <c r="Q202" s="13" t="s">
        <v>604</v>
      </c>
      <c r="R202" s="13" t="s">
        <v>605</v>
      </c>
    </row>
    <row r="203" spans="1:23">
      <c r="A203" s="30">
        <v>45839</v>
      </c>
      <c r="B203" s="30" t="s">
        <v>607</v>
      </c>
      <c r="C203" t="s">
        <v>357</v>
      </c>
      <c r="D203" t="s">
        <v>17</v>
      </c>
      <c r="E203" s="8" t="s">
        <v>358</v>
      </c>
      <c r="F203" s="8">
        <v>2025</v>
      </c>
      <c r="G203" s="8" t="s">
        <v>7</v>
      </c>
      <c r="H203" s="21">
        <v>741400</v>
      </c>
      <c r="I203" s="26">
        <v>0</v>
      </c>
      <c r="J203" s="26">
        <v>0</v>
      </c>
      <c r="K203" s="26">
        <f t="shared" si="27"/>
        <v>0</v>
      </c>
      <c r="L203" s="26"/>
      <c r="M203" s="21">
        <f t="shared" si="29"/>
        <v>741400</v>
      </c>
      <c r="N203" s="26">
        <v>0</v>
      </c>
      <c r="O203" s="26">
        <f t="shared" si="28"/>
        <v>217231842</v>
      </c>
      <c r="P203" s="13" t="s">
        <v>0</v>
      </c>
      <c r="Q203" s="13" t="s">
        <v>604</v>
      </c>
      <c r="R203" s="13" t="s">
        <v>605</v>
      </c>
    </row>
    <row r="204" spans="1:23">
      <c r="A204" s="30">
        <v>45839</v>
      </c>
      <c r="B204" s="30" t="s">
        <v>607</v>
      </c>
      <c r="C204" t="s">
        <v>359</v>
      </c>
      <c r="D204" t="s">
        <v>26</v>
      </c>
      <c r="E204" s="8" t="s">
        <v>360</v>
      </c>
      <c r="F204" s="8">
        <v>2025</v>
      </c>
      <c r="G204" s="8" t="s">
        <v>7</v>
      </c>
      <c r="H204" s="21">
        <v>1271946</v>
      </c>
      <c r="I204" s="26">
        <v>0</v>
      </c>
      <c r="J204" s="26">
        <v>0</v>
      </c>
      <c r="K204" s="26">
        <f t="shared" si="27"/>
        <v>0</v>
      </c>
      <c r="L204" s="26"/>
      <c r="M204" s="21">
        <f t="shared" si="29"/>
        <v>1271946</v>
      </c>
      <c r="N204" s="26">
        <v>0</v>
      </c>
      <c r="O204" s="26">
        <f t="shared" si="28"/>
        <v>215959896</v>
      </c>
      <c r="P204" s="13" t="s">
        <v>0</v>
      </c>
      <c r="Q204" s="13" t="s">
        <v>604</v>
      </c>
      <c r="R204" s="13" t="s">
        <v>605</v>
      </c>
    </row>
    <row r="205" spans="1:23">
      <c r="A205" s="30">
        <v>45839</v>
      </c>
      <c r="B205" s="30" t="s">
        <v>607</v>
      </c>
      <c r="C205" t="s">
        <v>361</v>
      </c>
      <c r="D205" t="s">
        <v>31</v>
      </c>
      <c r="E205" s="8" t="s">
        <v>362</v>
      </c>
      <c r="F205" s="8">
        <v>2025</v>
      </c>
      <c r="G205" s="8" t="s">
        <v>7</v>
      </c>
      <c r="H205" s="21">
        <v>33308699</v>
      </c>
      <c r="I205" s="26">
        <v>0</v>
      </c>
      <c r="J205" s="26">
        <v>0</v>
      </c>
      <c r="K205" s="26">
        <f t="shared" si="27"/>
        <v>0</v>
      </c>
      <c r="L205" s="26"/>
      <c r="M205" s="21">
        <f t="shared" si="29"/>
        <v>33308699</v>
      </c>
      <c r="N205" s="26">
        <v>0</v>
      </c>
      <c r="O205" s="26">
        <f t="shared" si="28"/>
        <v>182651197</v>
      </c>
      <c r="P205" s="13" t="s">
        <v>0</v>
      </c>
      <c r="Q205" s="13" t="s">
        <v>604</v>
      </c>
      <c r="R205" s="13" t="s">
        <v>605</v>
      </c>
    </row>
    <row r="206" spans="1:23">
      <c r="A206" s="30">
        <v>45839</v>
      </c>
      <c r="B206" s="30" t="s">
        <v>607</v>
      </c>
      <c r="C206" t="s">
        <v>363</v>
      </c>
      <c r="D206" t="s">
        <v>31</v>
      </c>
      <c r="E206" s="8" t="s">
        <v>364</v>
      </c>
      <c r="F206" s="8">
        <v>2025</v>
      </c>
      <c r="G206" s="8" t="s">
        <v>7</v>
      </c>
      <c r="H206" s="21">
        <v>44411598</v>
      </c>
      <c r="I206" s="26">
        <v>0</v>
      </c>
      <c r="J206" s="26">
        <v>0</v>
      </c>
      <c r="K206" s="26">
        <f t="shared" si="27"/>
        <v>0</v>
      </c>
      <c r="L206" s="26"/>
      <c r="M206" s="21">
        <f t="shared" si="29"/>
        <v>44411598</v>
      </c>
      <c r="N206" s="26">
        <v>0</v>
      </c>
      <c r="O206" s="26">
        <f t="shared" si="28"/>
        <v>138239599</v>
      </c>
      <c r="P206" s="13" t="s">
        <v>0</v>
      </c>
      <c r="Q206" s="13" t="s">
        <v>604</v>
      </c>
      <c r="R206" s="13" t="s">
        <v>605</v>
      </c>
    </row>
    <row r="207" spans="1:23">
      <c r="A207" s="30">
        <v>45839</v>
      </c>
      <c r="B207" s="30" t="s">
        <v>607</v>
      </c>
      <c r="C207" t="s">
        <v>365</v>
      </c>
      <c r="D207" t="s">
        <v>17</v>
      </c>
      <c r="E207" s="8" t="s">
        <v>366</v>
      </c>
      <c r="F207" s="8">
        <v>2025</v>
      </c>
      <c r="G207" s="8" t="s">
        <v>7</v>
      </c>
      <c r="H207" s="21">
        <v>288200</v>
      </c>
      <c r="I207" s="26">
        <v>0</v>
      </c>
      <c r="J207" s="26">
        <v>0</v>
      </c>
      <c r="K207" s="26">
        <f t="shared" si="27"/>
        <v>0</v>
      </c>
      <c r="L207" s="26"/>
      <c r="M207" s="21">
        <f t="shared" si="29"/>
        <v>288200</v>
      </c>
      <c r="N207" s="26">
        <v>0</v>
      </c>
      <c r="O207" s="26">
        <f t="shared" si="28"/>
        <v>137951399</v>
      </c>
      <c r="P207" s="13" t="s">
        <v>0</v>
      </c>
      <c r="Q207" s="13" t="s">
        <v>604</v>
      </c>
      <c r="R207" s="13" t="s">
        <v>605</v>
      </c>
    </row>
    <row r="208" spans="1:23">
      <c r="A208" s="30">
        <v>45839</v>
      </c>
      <c r="B208" s="30" t="s">
        <v>607</v>
      </c>
      <c r="C208" t="s">
        <v>367</v>
      </c>
      <c r="D208" t="s">
        <v>46</v>
      </c>
      <c r="E208" s="8" t="s">
        <v>368</v>
      </c>
      <c r="F208" s="8">
        <v>2025</v>
      </c>
      <c r="G208" s="8" t="s">
        <v>7</v>
      </c>
      <c r="H208" s="21">
        <v>163986</v>
      </c>
      <c r="I208" s="26">
        <v>0</v>
      </c>
      <c r="J208" s="26">
        <v>0</v>
      </c>
      <c r="K208" s="26">
        <f t="shared" si="27"/>
        <v>0</v>
      </c>
      <c r="L208" s="26"/>
      <c r="M208" s="21">
        <f t="shared" si="29"/>
        <v>163986</v>
      </c>
      <c r="N208" s="26">
        <v>0</v>
      </c>
      <c r="O208" s="26">
        <f t="shared" si="28"/>
        <v>137787413</v>
      </c>
      <c r="P208" s="13" t="s">
        <v>0</v>
      </c>
      <c r="Q208" s="13" t="s">
        <v>604</v>
      </c>
      <c r="R208" s="13" t="s">
        <v>605</v>
      </c>
    </row>
    <row r="209" spans="1:18">
      <c r="A209" s="30">
        <v>45839</v>
      </c>
      <c r="B209" s="30" t="s">
        <v>607</v>
      </c>
      <c r="C209" t="s">
        <v>369</v>
      </c>
      <c r="D209" t="s">
        <v>17</v>
      </c>
      <c r="E209" s="8" t="s">
        <v>370</v>
      </c>
      <c r="F209" s="8">
        <v>2025</v>
      </c>
      <c r="G209" s="8" t="s">
        <v>7</v>
      </c>
      <c r="H209" s="21">
        <v>14592</v>
      </c>
      <c r="I209" s="26">
        <v>0</v>
      </c>
      <c r="J209" s="26">
        <v>0</v>
      </c>
      <c r="K209" s="26">
        <f t="shared" si="27"/>
        <v>0</v>
      </c>
      <c r="L209" s="26"/>
      <c r="M209" s="21">
        <f t="shared" si="29"/>
        <v>14592</v>
      </c>
      <c r="N209" s="26">
        <v>0</v>
      </c>
      <c r="O209" s="26">
        <f t="shared" si="28"/>
        <v>137772821</v>
      </c>
      <c r="P209" s="13" t="s">
        <v>0</v>
      </c>
      <c r="Q209" s="13" t="s">
        <v>604</v>
      </c>
      <c r="R209" s="13" t="s">
        <v>605</v>
      </c>
    </row>
    <row r="210" spans="1:18">
      <c r="A210" s="30">
        <v>45839</v>
      </c>
      <c r="B210" s="30" t="s">
        <v>607</v>
      </c>
      <c r="C210" t="s">
        <v>371</v>
      </c>
      <c r="D210" t="s">
        <v>17</v>
      </c>
      <c r="E210" s="8" t="s">
        <v>372</v>
      </c>
      <c r="F210" s="8">
        <v>2025</v>
      </c>
      <c r="G210" s="8" t="s">
        <v>7</v>
      </c>
      <c r="H210" s="21">
        <v>248961</v>
      </c>
      <c r="I210" s="26">
        <v>0</v>
      </c>
      <c r="J210" s="26">
        <v>0</v>
      </c>
      <c r="K210" s="26">
        <f t="shared" si="27"/>
        <v>0</v>
      </c>
      <c r="L210" s="26"/>
      <c r="M210" s="21">
        <f t="shared" si="29"/>
        <v>248961</v>
      </c>
      <c r="N210" s="26">
        <v>0</v>
      </c>
      <c r="O210" s="26">
        <f t="shared" si="28"/>
        <v>137523860</v>
      </c>
      <c r="P210" s="13" t="s">
        <v>0</v>
      </c>
      <c r="Q210" s="13" t="s">
        <v>604</v>
      </c>
      <c r="R210" s="13" t="s">
        <v>605</v>
      </c>
    </row>
    <row r="211" spans="1:18">
      <c r="A211" s="30">
        <v>45839</v>
      </c>
      <c r="B211" s="30" t="s">
        <v>607</v>
      </c>
      <c r="C211" t="s">
        <v>373</v>
      </c>
      <c r="D211" t="s">
        <v>17</v>
      </c>
      <c r="E211" s="8" t="s">
        <v>374</v>
      </c>
      <c r="F211" s="8">
        <v>2025</v>
      </c>
      <c r="G211" s="8" t="s">
        <v>7</v>
      </c>
      <c r="H211" s="21">
        <v>90580</v>
      </c>
      <c r="I211" s="26">
        <v>0</v>
      </c>
      <c r="J211" s="26">
        <v>0</v>
      </c>
      <c r="K211" s="26">
        <f t="shared" si="27"/>
        <v>0</v>
      </c>
      <c r="L211" s="26"/>
      <c r="M211" s="21">
        <f t="shared" si="29"/>
        <v>90580</v>
      </c>
      <c r="N211" s="26">
        <v>0</v>
      </c>
      <c r="O211" s="26">
        <f t="shared" si="28"/>
        <v>137433280</v>
      </c>
      <c r="P211" s="13" t="s">
        <v>0</v>
      </c>
      <c r="Q211" s="13" t="s">
        <v>604</v>
      </c>
      <c r="R211" s="13" t="s">
        <v>605</v>
      </c>
    </row>
    <row r="212" spans="1:18">
      <c r="A212" s="30">
        <v>45839</v>
      </c>
      <c r="B212" s="30" t="s">
        <v>607</v>
      </c>
      <c r="C212" t="s">
        <v>375</v>
      </c>
      <c r="D212" t="s">
        <v>17</v>
      </c>
      <c r="E212" s="8" t="s">
        <v>376</v>
      </c>
      <c r="F212" s="8">
        <v>2025</v>
      </c>
      <c r="G212" s="8" t="s">
        <v>7</v>
      </c>
      <c r="H212" s="21">
        <v>41910</v>
      </c>
      <c r="I212" s="26">
        <v>0</v>
      </c>
      <c r="J212" s="26">
        <v>0</v>
      </c>
      <c r="K212" s="26">
        <f t="shared" si="27"/>
        <v>0</v>
      </c>
      <c r="L212" s="26"/>
      <c r="M212" s="21">
        <f t="shared" si="29"/>
        <v>41910</v>
      </c>
      <c r="N212" s="26">
        <v>0</v>
      </c>
      <c r="O212" s="26">
        <f t="shared" si="28"/>
        <v>137391370</v>
      </c>
      <c r="P212" s="13" t="s">
        <v>0</v>
      </c>
      <c r="Q212" s="13" t="s">
        <v>604</v>
      </c>
      <c r="R212" s="13" t="s">
        <v>605</v>
      </c>
    </row>
    <row r="213" spans="1:18">
      <c r="A213" s="30">
        <v>45839</v>
      </c>
      <c r="B213" s="30" t="s">
        <v>607</v>
      </c>
      <c r="C213" t="s">
        <v>377</v>
      </c>
      <c r="D213" t="s">
        <v>17</v>
      </c>
      <c r="E213" s="8" t="s">
        <v>378</v>
      </c>
      <c r="F213" s="8">
        <v>2025</v>
      </c>
      <c r="G213" s="8" t="s">
        <v>7</v>
      </c>
      <c r="H213" s="21">
        <v>51714</v>
      </c>
      <c r="I213" s="26">
        <v>0</v>
      </c>
      <c r="J213" s="26">
        <v>0</v>
      </c>
      <c r="K213" s="26">
        <f t="shared" si="27"/>
        <v>0</v>
      </c>
      <c r="L213" s="26"/>
      <c r="M213" s="21">
        <f t="shared" si="29"/>
        <v>51714</v>
      </c>
      <c r="N213" s="26">
        <v>0</v>
      </c>
      <c r="O213" s="26">
        <f t="shared" si="28"/>
        <v>137339656</v>
      </c>
      <c r="P213" s="13" t="s">
        <v>0</v>
      </c>
      <c r="Q213" s="13" t="s">
        <v>604</v>
      </c>
      <c r="R213" s="13" t="s">
        <v>605</v>
      </c>
    </row>
    <row r="214" spans="1:18">
      <c r="A214" s="30">
        <v>45839</v>
      </c>
      <c r="B214" s="30" t="s">
        <v>607</v>
      </c>
      <c r="C214" t="s">
        <v>379</v>
      </c>
      <c r="D214" t="s">
        <v>17</v>
      </c>
      <c r="E214" s="8" t="s">
        <v>380</v>
      </c>
      <c r="F214" s="8">
        <v>2025</v>
      </c>
      <c r="G214" s="8" t="s">
        <v>7</v>
      </c>
      <c r="H214" s="21">
        <v>41910</v>
      </c>
      <c r="I214" s="26">
        <v>0</v>
      </c>
      <c r="J214" s="26">
        <v>0</v>
      </c>
      <c r="K214" s="26">
        <f t="shared" si="27"/>
        <v>0</v>
      </c>
      <c r="L214" s="26"/>
      <c r="M214" s="21">
        <f t="shared" si="29"/>
        <v>41910</v>
      </c>
      <c r="N214" s="26">
        <v>0</v>
      </c>
      <c r="O214" s="26">
        <f t="shared" si="28"/>
        <v>137297746</v>
      </c>
      <c r="P214" s="13" t="s">
        <v>0</v>
      </c>
      <c r="Q214" s="13" t="s">
        <v>604</v>
      </c>
      <c r="R214" s="13" t="s">
        <v>605</v>
      </c>
    </row>
    <row r="215" spans="1:18">
      <c r="A215" s="30">
        <v>45839</v>
      </c>
      <c r="B215" s="30" t="s">
        <v>607</v>
      </c>
      <c r="C215" t="s">
        <v>381</v>
      </c>
      <c r="D215" t="s">
        <v>17</v>
      </c>
      <c r="E215" s="8" t="s">
        <v>382</v>
      </c>
      <c r="F215" s="8">
        <v>2025</v>
      </c>
      <c r="G215" s="8" t="s">
        <v>7</v>
      </c>
      <c r="H215" s="21">
        <v>51714</v>
      </c>
      <c r="I215" s="26">
        <v>0</v>
      </c>
      <c r="J215" s="26">
        <v>0</v>
      </c>
      <c r="K215" s="26">
        <f t="shared" si="27"/>
        <v>0</v>
      </c>
      <c r="L215" s="26"/>
      <c r="M215" s="21">
        <f t="shared" si="29"/>
        <v>51714</v>
      </c>
      <c r="N215" s="26">
        <v>0</v>
      </c>
      <c r="O215" s="26">
        <f t="shared" si="28"/>
        <v>137246032</v>
      </c>
      <c r="P215" s="13" t="s">
        <v>0</v>
      </c>
      <c r="Q215" s="13" t="s">
        <v>604</v>
      </c>
      <c r="R215" s="13" t="s">
        <v>605</v>
      </c>
    </row>
    <row r="216" spans="1:18">
      <c r="A216" s="30">
        <v>45839</v>
      </c>
      <c r="B216" s="30" t="s">
        <v>607</v>
      </c>
      <c r="C216" t="s">
        <v>383</v>
      </c>
      <c r="D216" t="s">
        <v>17</v>
      </c>
      <c r="E216" s="8" t="s">
        <v>384</v>
      </c>
      <c r="F216" s="8">
        <v>2025</v>
      </c>
      <c r="G216" s="8" t="s">
        <v>7</v>
      </c>
      <c r="H216" s="21">
        <v>296357</v>
      </c>
      <c r="I216" s="26">
        <v>0</v>
      </c>
      <c r="J216" s="26">
        <v>0</v>
      </c>
      <c r="K216" s="26">
        <f t="shared" si="27"/>
        <v>0</v>
      </c>
      <c r="L216" s="26"/>
      <c r="M216" s="21">
        <f t="shared" si="29"/>
        <v>296357</v>
      </c>
      <c r="N216" s="26">
        <v>0</v>
      </c>
      <c r="O216" s="26">
        <f t="shared" si="28"/>
        <v>136949675</v>
      </c>
      <c r="P216" s="13" t="s">
        <v>0</v>
      </c>
      <c r="Q216" s="13" t="s">
        <v>604</v>
      </c>
      <c r="R216" s="13" t="s">
        <v>605</v>
      </c>
    </row>
    <row r="217" spans="1:18">
      <c r="A217" s="30">
        <v>45839</v>
      </c>
      <c r="B217" s="30" t="s">
        <v>607</v>
      </c>
      <c r="C217" t="s">
        <v>385</v>
      </c>
      <c r="D217" t="s">
        <v>17</v>
      </c>
      <c r="E217" s="8" t="s">
        <v>386</v>
      </c>
      <c r="F217" s="8">
        <v>2025</v>
      </c>
      <c r="G217" s="8" t="s">
        <v>7</v>
      </c>
      <c r="H217" s="21">
        <v>19800</v>
      </c>
      <c r="I217" s="26">
        <v>0</v>
      </c>
      <c r="J217" s="26">
        <v>0</v>
      </c>
      <c r="K217" s="26">
        <f t="shared" si="27"/>
        <v>0</v>
      </c>
      <c r="L217" s="26"/>
      <c r="M217" s="21">
        <f t="shared" si="29"/>
        <v>19800</v>
      </c>
      <c r="N217" s="26">
        <v>0</v>
      </c>
      <c r="O217" s="26">
        <f t="shared" si="28"/>
        <v>136929875</v>
      </c>
      <c r="P217" s="13" t="s">
        <v>0</v>
      </c>
      <c r="Q217" s="13" t="s">
        <v>604</v>
      </c>
      <c r="R217" s="13" t="s">
        <v>605</v>
      </c>
    </row>
    <row r="218" spans="1:18">
      <c r="A218" s="30">
        <v>45839</v>
      </c>
      <c r="B218" s="30" t="s">
        <v>607</v>
      </c>
      <c r="C218" t="s">
        <v>387</v>
      </c>
      <c r="D218" t="s">
        <v>17</v>
      </c>
      <c r="E218" s="8" t="s">
        <v>388</v>
      </c>
      <c r="F218" s="8">
        <v>2025</v>
      </c>
      <c r="G218" s="8" t="s">
        <v>7</v>
      </c>
      <c r="H218" s="21">
        <v>101739</v>
      </c>
      <c r="I218" s="26">
        <v>0</v>
      </c>
      <c r="J218" s="26">
        <v>0</v>
      </c>
      <c r="K218" s="26">
        <f t="shared" si="27"/>
        <v>0</v>
      </c>
      <c r="L218" s="26"/>
      <c r="M218" s="21">
        <f t="shared" si="29"/>
        <v>101739</v>
      </c>
      <c r="N218" s="26">
        <v>0</v>
      </c>
      <c r="O218" s="26">
        <f t="shared" si="28"/>
        <v>136828136</v>
      </c>
      <c r="P218" s="13" t="s">
        <v>0</v>
      </c>
      <c r="Q218" s="13" t="s">
        <v>604</v>
      </c>
      <c r="R218" s="13" t="s">
        <v>605</v>
      </c>
    </row>
    <row r="219" spans="1:18">
      <c r="A219" s="30">
        <v>45839</v>
      </c>
      <c r="B219" s="30" t="s">
        <v>607</v>
      </c>
      <c r="C219" t="s">
        <v>389</v>
      </c>
      <c r="D219" t="s">
        <v>17</v>
      </c>
      <c r="E219" s="8" t="s">
        <v>390</v>
      </c>
      <c r="F219" s="8">
        <v>2025</v>
      </c>
      <c r="G219" s="8" t="s">
        <v>7</v>
      </c>
      <c r="H219" s="21">
        <v>28474</v>
      </c>
      <c r="I219" s="26">
        <v>0</v>
      </c>
      <c r="J219" s="26">
        <v>0</v>
      </c>
      <c r="K219" s="26">
        <f t="shared" si="27"/>
        <v>0</v>
      </c>
      <c r="L219" s="26"/>
      <c r="M219" s="21">
        <f t="shared" si="29"/>
        <v>28474</v>
      </c>
      <c r="N219" s="26">
        <v>0</v>
      </c>
      <c r="O219" s="26">
        <f t="shared" si="28"/>
        <v>136799662</v>
      </c>
      <c r="P219" s="13" t="s">
        <v>0</v>
      </c>
      <c r="Q219" s="13" t="s">
        <v>604</v>
      </c>
      <c r="R219" s="13" t="s">
        <v>605</v>
      </c>
    </row>
    <row r="220" spans="1:18">
      <c r="A220" s="30">
        <v>45839</v>
      </c>
      <c r="B220" s="30" t="s">
        <v>607</v>
      </c>
      <c r="C220" t="s">
        <v>391</v>
      </c>
      <c r="D220" t="s">
        <v>17</v>
      </c>
      <c r="E220" s="8" t="s">
        <v>392</v>
      </c>
      <c r="F220" s="8">
        <v>2025</v>
      </c>
      <c r="G220" s="8" t="s">
        <v>7</v>
      </c>
      <c r="H220" s="21">
        <v>13205</v>
      </c>
      <c r="I220" s="26">
        <v>0</v>
      </c>
      <c r="J220" s="26">
        <v>0</v>
      </c>
      <c r="K220" s="26">
        <f t="shared" si="27"/>
        <v>0</v>
      </c>
      <c r="L220" s="26"/>
      <c r="M220" s="21">
        <f t="shared" si="29"/>
        <v>13205</v>
      </c>
      <c r="N220" s="26">
        <v>0</v>
      </c>
      <c r="O220" s="26">
        <f t="shared" si="28"/>
        <v>136786457</v>
      </c>
      <c r="P220" s="13" t="s">
        <v>0</v>
      </c>
      <c r="Q220" s="13" t="s">
        <v>604</v>
      </c>
      <c r="R220" s="13" t="s">
        <v>605</v>
      </c>
    </row>
    <row r="221" spans="1:18">
      <c r="A221" s="30">
        <v>45839</v>
      </c>
      <c r="B221" s="30" t="s">
        <v>607</v>
      </c>
      <c r="C221" t="s">
        <v>393</v>
      </c>
      <c r="D221" t="s">
        <v>17</v>
      </c>
      <c r="E221" s="8" t="s">
        <v>394</v>
      </c>
      <c r="F221" s="8">
        <v>2025</v>
      </c>
      <c r="G221" s="8" t="s">
        <v>7</v>
      </c>
      <c r="H221" s="21">
        <v>13205</v>
      </c>
      <c r="I221" s="26">
        <v>0</v>
      </c>
      <c r="J221" s="26">
        <v>0</v>
      </c>
      <c r="K221" s="26">
        <f t="shared" si="27"/>
        <v>0</v>
      </c>
      <c r="L221" s="26"/>
      <c r="M221" s="21">
        <f t="shared" si="29"/>
        <v>13205</v>
      </c>
      <c r="N221" s="26">
        <v>0</v>
      </c>
      <c r="O221" s="26">
        <f t="shared" si="28"/>
        <v>136773252</v>
      </c>
      <c r="P221" s="13" t="s">
        <v>0</v>
      </c>
      <c r="Q221" s="13" t="s">
        <v>604</v>
      </c>
      <c r="R221" s="13" t="s">
        <v>605</v>
      </c>
    </row>
    <row r="222" spans="1:18">
      <c r="A222" s="30">
        <v>45839</v>
      </c>
      <c r="B222" s="30" t="s">
        <v>607</v>
      </c>
      <c r="C222" t="s">
        <v>395</v>
      </c>
      <c r="D222" t="s">
        <v>17</v>
      </c>
      <c r="E222" s="8" t="s">
        <v>396</v>
      </c>
      <c r="F222" s="8">
        <v>2025</v>
      </c>
      <c r="G222" s="8" t="s">
        <v>7</v>
      </c>
      <c r="H222" s="21">
        <v>13205</v>
      </c>
      <c r="I222" s="26">
        <v>0</v>
      </c>
      <c r="J222" s="26">
        <v>0</v>
      </c>
      <c r="K222" s="26">
        <f t="shared" si="27"/>
        <v>0</v>
      </c>
      <c r="L222" s="26"/>
      <c r="M222" s="21">
        <f t="shared" si="29"/>
        <v>13205</v>
      </c>
      <c r="N222" s="26">
        <v>0</v>
      </c>
      <c r="O222" s="26">
        <f t="shared" si="28"/>
        <v>136760047</v>
      </c>
      <c r="P222" s="13" t="s">
        <v>0</v>
      </c>
      <c r="Q222" s="13" t="s">
        <v>604</v>
      </c>
      <c r="R222" s="13" t="s">
        <v>605</v>
      </c>
    </row>
    <row r="223" spans="1:18">
      <c r="A223" s="30">
        <v>45839</v>
      </c>
      <c r="B223" s="30" t="s">
        <v>607</v>
      </c>
      <c r="C223" t="s">
        <v>397</v>
      </c>
      <c r="D223" t="s">
        <v>17</v>
      </c>
      <c r="E223" s="8" t="s">
        <v>398</v>
      </c>
      <c r="F223" s="8">
        <v>2025</v>
      </c>
      <c r="G223" s="8" t="s">
        <v>7</v>
      </c>
      <c r="H223" s="46">
        <v>70409</v>
      </c>
      <c r="I223" s="26">
        <v>0</v>
      </c>
      <c r="J223" s="26">
        <v>0</v>
      </c>
      <c r="K223" s="26">
        <f t="shared" si="27"/>
        <v>0</v>
      </c>
      <c r="L223" s="26"/>
      <c r="M223" s="21">
        <f t="shared" si="29"/>
        <v>70409</v>
      </c>
      <c r="N223" s="26">
        <v>0</v>
      </c>
      <c r="O223" s="26">
        <f t="shared" si="28"/>
        <v>136689638</v>
      </c>
      <c r="P223" s="13" t="s">
        <v>0</v>
      </c>
      <c r="Q223" s="13" t="s">
        <v>604</v>
      </c>
      <c r="R223" s="13" t="s">
        <v>605</v>
      </c>
    </row>
    <row r="224" spans="1:18">
      <c r="A224" s="30">
        <v>45839</v>
      </c>
      <c r="B224" s="30" t="s">
        <v>607</v>
      </c>
      <c r="C224" t="s">
        <v>399</v>
      </c>
      <c r="D224" t="s">
        <v>17</v>
      </c>
      <c r="E224" s="8" t="s">
        <v>400</v>
      </c>
      <c r="F224" s="8">
        <v>2025</v>
      </c>
      <c r="G224" s="8" t="s">
        <v>7</v>
      </c>
      <c r="H224" s="21">
        <v>14592</v>
      </c>
      <c r="I224" s="26">
        <v>0</v>
      </c>
      <c r="J224" s="26">
        <v>0</v>
      </c>
      <c r="K224" s="26">
        <f t="shared" si="27"/>
        <v>0</v>
      </c>
      <c r="L224" s="26"/>
      <c r="M224" s="21">
        <f t="shared" si="29"/>
        <v>14592</v>
      </c>
      <c r="N224" s="26">
        <v>0</v>
      </c>
      <c r="O224" s="26">
        <f t="shared" si="28"/>
        <v>136675046</v>
      </c>
      <c r="P224" s="13" t="s">
        <v>0</v>
      </c>
      <c r="Q224" s="13" t="s">
        <v>604</v>
      </c>
      <c r="R224" s="13" t="s">
        <v>605</v>
      </c>
    </row>
    <row r="225" spans="1:23">
      <c r="A225" s="30">
        <v>45839</v>
      </c>
      <c r="B225" s="30" t="s">
        <v>607</v>
      </c>
      <c r="C225" t="s">
        <v>401</v>
      </c>
      <c r="D225" t="s">
        <v>17</v>
      </c>
      <c r="E225" s="8" t="s">
        <v>402</v>
      </c>
      <c r="F225" s="8">
        <v>2025</v>
      </c>
      <c r="G225" s="8" t="s">
        <v>7</v>
      </c>
      <c r="H225" s="21">
        <v>14592</v>
      </c>
      <c r="I225" s="26">
        <v>0</v>
      </c>
      <c r="J225" s="26">
        <v>0</v>
      </c>
      <c r="K225" s="26">
        <f t="shared" si="27"/>
        <v>0</v>
      </c>
      <c r="L225" s="26"/>
      <c r="M225" s="21">
        <f t="shared" si="29"/>
        <v>14592</v>
      </c>
      <c r="N225" s="26">
        <v>0</v>
      </c>
      <c r="O225" s="26">
        <f t="shared" si="28"/>
        <v>136660454</v>
      </c>
      <c r="P225" s="13" t="s">
        <v>0</v>
      </c>
      <c r="Q225" s="13" t="s">
        <v>604</v>
      </c>
      <c r="R225" s="13" t="s">
        <v>605</v>
      </c>
    </row>
    <row r="226" spans="1:23">
      <c r="A226" s="30">
        <v>45839</v>
      </c>
      <c r="B226" s="30" t="s">
        <v>607</v>
      </c>
      <c r="C226" t="s">
        <v>403</v>
      </c>
      <c r="D226" t="s">
        <v>17</v>
      </c>
      <c r="E226" s="8" t="s">
        <v>404</v>
      </c>
      <c r="F226" s="8">
        <v>2025</v>
      </c>
      <c r="G226" s="8" t="s">
        <v>7</v>
      </c>
      <c r="H226" s="21">
        <v>14592</v>
      </c>
      <c r="I226" s="26">
        <v>0</v>
      </c>
      <c r="J226" s="26">
        <v>0</v>
      </c>
      <c r="K226" s="26">
        <f t="shared" si="27"/>
        <v>0</v>
      </c>
      <c r="L226" s="26"/>
      <c r="M226" s="21">
        <f t="shared" si="29"/>
        <v>14592</v>
      </c>
      <c r="N226" s="26">
        <v>0</v>
      </c>
      <c r="O226" s="26">
        <f t="shared" si="28"/>
        <v>136645862</v>
      </c>
      <c r="P226" s="13" t="s">
        <v>0</v>
      </c>
      <c r="Q226" s="13" t="s">
        <v>604</v>
      </c>
      <c r="R226" s="13" t="s">
        <v>605</v>
      </c>
    </row>
    <row r="227" spans="1:23">
      <c r="A227" s="30">
        <v>45839</v>
      </c>
      <c r="B227" s="30" t="s">
        <v>607</v>
      </c>
      <c r="C227" t="s">
        <v>405</v>
      </c>
      <c r="D227" t="s">
        <v>17</v>
      </c>
      <c r="E227" s="8" t="s">
        <v>406</v>
      </c>
      <c r="F227" s="8">
        <v>2025</v>
      </c>
      <c r="G227" s="8" t="s">
        <v>7</v>
      </c>
      <c r="H227" s="21">
        <v>14592</v>
      </c>
      <c r="I227" s="26">
        <v>0</v>
      </c>
      <c r="J227" s="26">
        <v>0</v>
      </c>
      <c r="K227" s="26">
        <f t="shared" si="27"/>
        <v>0</v>
      </c>
      <c r="L227" s="26"/>
      <c r="M227" s="21">
        <f t="shared" si="29"/>
        <v>14592</v>
      </c>
      <c r="N227" s="26">
        <v>0</v>
      </c>
      <c r="O227" s="26">
        <f t="shared" si="28"/>
        <v>136631270</v>
      </c>
      <c r="P227" s="13" t="s">
        <v>0</v>
      </c>
      <c r="Q227" s="13" t="s">
        <v>604</v>
      </c>
      <c r="R227" s="13" t="s">
        <v>605</v>
      </c>
    </row>
    <row r="228" spans="1:23">
      <c r="A228" s="30">
        <v>45839</v>
      </c>
      <c r="B228" s="30" t="s">
        <v>607</v>
      </c>
      <c r="C228" t="s">
        <v>407</v>
      </c>
      <c r="D228" t="s">
        <v>17</v>
      </c>
      <c r="E228" s="8" t="s">
        <v>408</v>
      </c>
      <c r="F228" s="28">
        <v>2025</v>
      </c>
      <c r="G228" s="8" t="s">
        <v>7</v>
      </c>
      <c r="H228" s="21">
        <v>14592</v>
      </c>
      <c r="I228" s="26">
        <v>0</v>
      </c>
      <c r="J228" s="26">
        <v>0</v>
      </c>
      <c r="K228" s="26">
        <f t="shared" si="27"/>
        <v>0</v>
      </c>
      <c r="L228" s="26"/>
      <c r="M228" s="21">
        <f t="shared" si="29"/>
        <v>14592</v>
      </c>
      <c r="N228" s="26">
        <v>0</v>
      </c>
      <c r="O228" s="26">
        <f t="shared" si="28"/>
        <v>136616678</v>
      </c>
      <c r="P228" s="13" t="s">
        <v>0</v>
      </c>
      <c r="Q228" s="13" t="s">
        <v>604</v>
      </c>
      <c r="R228" s="13" t="s">
        <v>605</v>
      </c>
    </row>
    <row r="229" spans="1:23">
      <c r="A229" s="30">
        <v>45839</v>
      </c>
      <c r="B229" s="30" t="s">
        <v>607</v>
      </c>
      <c r="C229" t="s">
        <v>409</v>
      </c>
      <c r="D229" t="s">
        <v>17</v>
      </c>
      <c r="E229" s="8" t="s">
        <v>410</v>
      </c>
      <c r="F229" s="28">
        <v>2025</v>
      </c>
      <c r="G229" s="8" t="s">
        <v>7</v>
      </c>
      <c r="H229" s="21">
        <v>14592</v>
      </c>
      <c r="I229" s="26">
        <v>0</v>
      </c>
      <c r="J229" s="26">
        <v>0</v>
      </c>
      <c r="K229" s="26">
        <f t="shared" si="27"/>
        <v>0</v>
      </c>
      <c r="L229" s="26"/>
      <c r="M229" s="21">
        <f t="shared" si="29"/>
        <v>14592</v>
      </c>
      <c r="N229" s="26">
        <v>0</v>
      </c>
      <c r="O229" s="26">
        <f t="shared" si="28"/>
        <v>136602086</v>
      </c>
      <c r="P229" s="13" t="s">
        <v>0</v>
      </c>
      <c r="Q229" s="13" t="s">
        <v>604</v>
      </c>
      <c r="R229" s="13" t="s">
        <v>605</v>
      </c>
    </row>
    <row r="230" spans="1:23">
      <c r="A230" s="30">
        <v>45839</v>
      </c>
      <c r="B230" s="30" t="s">
        <v>607</v>
      </c>
      <c r="C230" t="s">
        <v>411</v>
      </c>
      <c r="D230" t="s">
        <v>17</v>
      </c>
      <c r="E230" s="8" t="s">
        <v>412</v>
      </c>
      <c r="F230" s="28">
        <v>2025</v>
      </c>
      <c r="G230" s="8" t="s">
        <v>7</v>
      </c>
      <c r="H230" s="21">
        <v>14592</v>
      </c>
      <c r="I230" s="26">
        <v>0</v>
      </c>
      <c r="J230" s="26">
        <v>0</v>
      </c>
      <c r="K230" s="26">
        <f t="shared" si="27"/>
        <v>0</v>
      </c>
      <c r="L230" s="26"/>
      <c r="M230" s="21">
        <f t="shared" si="29"/>
        <v>14592</v>
      </c>
      <c r="N230" s="26">
        <v>0</v>
      </c>
      <c r="O230" s="26">
        <f t="shared" si="28"/>
        <v>136587494</v>
      </c>
      <c r="P230" s="13" t="s">
        <v>0</v>
      </c>
      <c r="Q230" s="13" t="s">
        <v>604</v>
      </c>
      <c r="R230" s="13" t="s">
        <v>605</v>
      </c>
    </row>
    <row r="231" spans="1:23">
      <c r="A231" s="30">
        <v>45839</v>
      </c>
      <c r="B231" s="30" t="s">
        <v>607</v>
      </c>
      <c r="C231" t="s">
        <v>413</v>
      </c>
      <c r="D231" t="s">
        <v>17</v>
      </c>
      <c r="E231" s="8" t="s">
        <v>414</v>
      </c>
      <c r="F231" s="28">
        <v>2025</v>
      </c>
      <c r="G231" s="8" t="s">
        <v>7</v>
      </c>
      <c r="H231" s="21">
        <v>29183</v>
      </c>
      <c r="I231" s="26">
        <v>0</v>
      </c>
      <c r="J231" s="26">
        <v>0</v>
      </c>
      <c r="K231" s="26">
        <f t="shared" si="27"/>
        <v>0</v>
      </c>
      <c r="L231" s="26"/>
      <c r="M231" s="21">
        <f t="shared" si="29"/>
        <v>29183</v>
      </c>
      <c r="N231" s="26">
        <v>0</v>
      </c>
      <c r="O231" s="26">
        <f t="shared" si="28"/>
        <v>136558311</v>
      </c>
      <c r="P231" s="13" t="s">
        <v>0</v>
      </c>
      <c r="Q231" s="13" t="s">
        <v>604</v>
      </c>
      <c r="R231" s="13" t="s">
        <v>605</v>
      </c>
    </row>
    <row r="232" spans="1:23">
      <c r="A232" s="30">
        <v>45839</v>
      </c>
      <c r="B232" s="30" t="s">
        <v>607</v>
      </c>
      <c r="C232" t="s">
        <v>415</v>
      </c>
      <c r="D232" t="s">
        <v>17</v>
      </c>
      <c r="E232" s="8" t="s">
        <v>416</v>
      </c>
      <c r="F232" s="28">
        <v>2025</v>
      </c>
      <c r="G232" s="8" t="s">
        <v>7</v>
      </c>
      <c r="H232" s="21">
        <v>14592</v>
      </c>
      <c r="I232" s="26">
        <v>0</v>
      </c>
      <c r="J232" s="26">
        <v>0</v>
      </c>
      <c r="K232" s="26">
        <f t="shared" si="27"/>
        <v>0</v>
      </c>
      <c r="L232" s="26"/>
      <c r="M232" s="21">
        <f t="shared" si="29"/>
        <v>14592</v>
      </c>
      <c r="N232" s="26">
        <v>0</v>
      </c>
      <c r="O232" s="26">
        <f t="shared" si="28"/>
        <v>136543719</v>
      </c>
      <c r="P232" s="13" t="s">
        <v>0</v>
      </c>
      <c r="Q232" s="13" t="s">
        <v>604</v>
      </c>
      <c r="R232" s="13" t="s">
        <v>605</v>
      </c>
    </row>
    <row r="233" spans="1:23">
      <c r="A233" s="30">
        <v>45839</v>
      </c>
      <c r="B233" s="30" t="s">
        <v>607</v>
      </c>
      <c r="C233" t="s">
        <v>417</v>
      </c>
      <c r="D233" t="s">
        <v>17</v>
      </c>
      <c r="E233" s="8" t="s">
        <v>418</v>
      </c>
      <c r="F233" s="28">
        <v>2025</v>
      </c>
      <c r="G233" s="8" t="s">
        <v>7</v>
      </c>
      <c r="H233" s="21">
        <v>14592</v>
      </c>
      <c r="I233" s="26">
        <v>0</v>
      </c>
      <c r="J233" s="26">
        <v>0</v>
      </c>
      <c r="K233" s="26">
        <f t="shared" si="27"/>
        <v>0</v>
      </c>
      <c r="L233" s="26"/>
      <c r="M233" s="21">
        <f t="shared" si="29"/>
        <v>14592</v>
      </c>
      <c r="N233" s="26">
        <v>0</v>
      </c>
      <c r="O233" s="26">
        <f t="shared" si="28"/>
        <v>136529127</v>
      </c>
      <c r="P233" s="13" t="s">
        <v>0</v>
      </c>
      <c r="Q233" s="13" t="s">
        <v>604</v>
      </c>
      <c r="R233" s="13" t="s">
        <v>605</v>
      </c>
    </row>
    <row r="234" spans="1:23">
      <c r="A234" s="30">
        <v>45839</v>
      </c>
      <c r="B234" s="30" t="s">
        <v>607</v>
      </c>
      <c r="C234" t="s">
        <v>419</v>
      </c>
      <c r="D234" t="s">
        <v>183</v>
      </c>
      <c r="E234" s="8" t="s">
        <v>420</v>
      </c>
      <c r="F234" s="8">
        <v>2025</v>
      </c>
      <c r="G234" s="8" t="s">
        <v>6</v>
      </c>
      <c r="H234" s="29">
        <v>3307113</v>
      </c>
      <c r="I234" s="26">
        <f>H234</f>
        <v>3307113</v>
      </c>
      <c r="J234" s="26">
        <f>-I234</f>
        <v>-3307113</v>
      </c>
      <c r="K234" s="26">
        <f>I234+J234</f>
        <v>0</v>
      </c>
      <c r="L234" s="26"/>
      <c r="M234" s="44">
        <v>0</v>
      </c>
      <c r="N234" s="26">
        <v>0</v>
      </c>
      <c r="O234" s="26">
        <f t="shared" si="28"/>
        <v>136529127</v>
      </c>
      <c r="P234" t="s">
        <v>18</v>
      </c>
      <c r="Q234" s="1" t="s">
        <v>626</v>
      </c>
      <c r="R234" t="s">
        <v>631</v>
      </c>
      <c r="S234" s="4" t="s">
        <v>25</v>
      </c>
      <c r="V234"/>
      <c r="W234"/>
    </row>
    <row r="235" spans="1:23" s="5" customFormat="1">
      <c r="A235" s="31">
        <v>45839</v>
      </c>
      <c r="B235" s="30" t="s">
        <v>607</v>
      </c>
      <c r="C235" s="5" t="s">
        <v>421</v>
      </c>
      <c r="D235" s="5" t="s">
        <v>183</v>
      </c>
      <c r="E235" s="10" t="s">
        <v>422</v>
      </c>
      <c r="F235" s="10">
        <v>2024</v>
      </c>
      <c r="G235" s="10" t="s">
        <v>6</v>
      </c>
      <c r="H235" s="11">
        <v>6739459</v>
      </c>
      <c r="I235" s="26">
        <f>H235</f>
        <v>6739459</v>
      </c>
      <c r="J235" s="26">
        <f>-I235</f>
        <v>-6739459</v>
      </c>
      <c r="K235" s="26">
        <f>I235+J235</f>
        <v>0</v>
      </c>
      <c r="L235" s="26"/>
      <c r="M235" s="14">
        <v>0</v>
      </c>
      <c r="N235" s="26">
        <v>0</v>
      </c>
      <c r="O235" s="26">
        <f t="shared" si="28"/>
        <v>136529127</v>
      </c>
      <c r="P235" t="s">
        <v>18</v>
      </c>
      <c r="Q235" s="1" t="s">
        <v>626</v>
      </c>
      <c r="R235" s="1" t="s">
        <v>630</v>
      </c>
      <c r="S235" s="4" t="s">
        <v>62</v>
      </c>
    </row>
    <row r="236" spans="1:23">
      <c r="A236" s="30">
        <v>45870</v>
      </c>
      <c r="B236" s="30" t="s">
        <v>64</v>
      </c>
      <c r="D236" t="s">
        <v>87</v>
      </c>
      <c r="G236" s="8" t="s">
        <v>608</v>
      </c>
      <c r="H236" s="14">
        <v>74324</v>
      </c>
      <c r="I236" s="26">
        <v>0</v>
      </c>
      <c r="J236" s="26">
        <v>0</v>
      </c>
      <c r="K236" s="26">
        <f t="shared" si="27"/>
        <v>0</v>
      </c>
      <c r="L236" s="26"/>
      <c r="M236" s="44">
        <v>0</v>
      </c>
      <c r="N236" s="14">
        <f t="shared" ref="N236:N241" si="30">H236</f>
        <v>74324</v>
      </c>
      <c r="O236" s="26">
        <f t="shared" si="28"/>
        <v>136603451</v>
      </c>
      <c r="P236" s="1" t="s">
        <v>18</v>
      </c>
      <c r="Q236" t="s">
        <v>623</v>
      </c>
      <c r="R236" s="1" t="s">
        <v>64</v>
      </c>
      <c r="S236" s="1" t="s">
        <v>55</v>
      </c>
    </row>
    <row r="237" spans="1:23">
      <c r="A237" s="30">
        <v>45870</v>
      </c>
      <c r="B237" s="30" t="s">
        <v>64</v>
      </c>
      <c r="D237" t="s">
        <v>85</v>
      </c>
      <c r="G237" s="8" t="s">
        <v>608</v>
      </c>
      <c r="H237" s="14">
        <v>1981982</v>
      </c>
      <c r="I237" s="26">
        <v>0</v>
      </c>
      <c r="J237" s="26">
        <v>0</v>
      </c>
      <c r="K237" s="26">
        <f t="shared" si="27"/>
        <v>0</v>
      </c>
      <c r="L237" s="26"/>
      <c r="M237" s="44">
        <v>0</v>
      </c>
      <c r="N237" s="14">
        <f t="shared" si="30"/>
        <v>1981982</v>
      </c>
      <c r="O237" s="26">
        <f t="shared" si="28"/>
        <v>138585433</v>
      </c>
      <c r="P237" s="13" t="s">
        <v>18</v>
      </c>
      <c r="Q237" t="s">
        <v>624</v>
      </c>
      <c r="R237" s="5" t="s">
        <v>64</v>
      </c>
      <c r="S237" t="s">
        <v>55</v>
      </c>
    </row>
    <row r="238" spans="1:23">
      <c r="A238" s="30">
        <v>45870</v>
      </c>
      <c r="B238" s="30" t="s">
        <v>64</v>
      </c>
      <c r="D238" t="s">
        <v>423</v>
      </c>
      <c r="G238" s="8" t="s">
        <v>608</v>
      </c>
      <c r="H238" s="14">
        <v>1111000</v>
      </c>
      <c r="I238" s="26">
        <v>0</v>
      </c>
      <c r="J238" s="26">
        <v>0</v>
      </c>
      <c r="K238" s="26">
        <f t="shared" si="27"/>
        <v>0</v>
      </c>
      <c r="L238" s="26"/>
      <c r="M238" s="44">
        <v>0</v>
      </c>
      <c r="N238" s="14">
        <f t="shared" si="30"/>
        <v>1111000</v>
      </c>
      <c r="O238" s="26">
        <f t="shared" si="28"/>
        <v>139696433</v>
      </c>
      <c r="P238" s="13" t="s">
        <v>18</v>
      </c>
      <c r="Q238" t="s">
        <v>624</v>
      </c>
      <c r="R238" s="5" t="s">
        <v>64</v>
      </c>
      <c r="S238" t="s">
        <v>55</v>
      </c>
    </row>
    <row r="239" spans="1:23">
      <c r="A239" s="30">
        <v>45870</v>
      </c>
      <c r="B239" s="30" t="s">
        <v>64</v>
      </c>
      <c r="D239" t="s">
        <v>423</v>
      </c>
      <c r="G239" s="8" t="s">
        <v>608</v>
      </c>
      <c r="H239" s="14">
        <v>4444000</v>
      </c>
      <c r="I239" s="26">
        <v>0</v>
      </c>
      <c r="J239" s="26">
        <v>0</v>
      </c>
      <c r="K239" s="26">
        <f t="shared" si="27"/>
        <v>0</v>
      </c>
      <c r="L239" s="26"/>
      <c r="M239" s="44">
        <v>0</v>
      </c>
      <c r="N239" s="14">
        <f t="shared" si="30"/>
        <v>4444000</v>
      </c>
      <c r="O239" s="26">
        <f t="shared" si="28"/>
        <v>144140433</v>
      </c>
      <c r="P239" t="s">
        <v>18</v>
      </c>
      <c r="Q239" t="s">
        <v>624</v>
      </c>
      <c r="R239" t="s">
        <v>64</v>
      </c>
      <c r="S239" t="s">
        <v>55</v>
      </c>
    </row>
    <row r="240" spans="1:23">
      <c r="A240" s="30">
        <v>45870</v>
      </c>
      <c r="B240" s="30" t="s">
        <v>64</v>
      </c>
      <c r="D240" t="s">
        <v>89</v>
      </c>
      <c r="G240" s="8" t="s">
        <v>608</v>
      </c>
      <c r="H240" s="14">
        <v>506000</v>
      </c>
      <c r="I240" s="26">
        <v>0</v>
      </c>
      <c r="J240" s="26">
        <v>0</v>
      </c>
      <c r="K240" s="26">
        <f t="shared" si="27"/>
        <v>0</v>
      </c>
      <c r="L240" s="26"/>
      <c r="M240" s="44">
        <v>0</v>
      </c>
      <c r="N240" s="14">
        <f t="shared" si="30"/>
        <v>506000</v>
      </c>
      <c r="O240" s="26">
        <f t="shared" si="28"/>
        <v>144646433</v>
      </c>
      <c r="P240" s="1" t="s">
        <v>18</v>
      </c>
      <c r="Q240" t="s">
        <v>623</v>
      </c>
      <c r="R240" s="1" t="s">
        <v>64</v>
      </c>
      <c r="S240" s="1" t="s">
        <v>55</v>
      </c>
    </row>
    <row r="241" spans="1:23">
      <c r="A241" s="30">
        <v>45870</v>
      </c>
      <c r="B241" s="30" t="s">
        <v>64</v>
      </c>
      <c r="D241" t="s">
        <v>101</v>
      </c>
      <c r="G241" s="8" t="s">
        <v>608</v>
      </c>
      <c r="H241" s="14">
        <v>385000</v>
      </c>
      <c r="I241" s="26">
        <v>0</v>
      </c>
      <c r="J241" s="26">
        <v>0</v>
      </c>
      <c r="K241" s="26">
        <f t="shared" si="27"/>
        <v>0</v>
      </c>
      <c r="L241" s="26"/>
      <c r="M241" s="44">
        <v>0</v>
      </c>
      <c r="N241" s="14">
        <f t="shared" si="30"/>
        <v>385000</v>
      </c>
      <c r="O241" s="26">
        <f t="shared" si="28"/>
        <v>145031433</v>
      </c>
      <c r="P241" t="s">
        <v>18</v>
      </c>
      <c r="Q241" t="s">
        <v>623</v>
      </c>
      <c r="R241" t="s">
        <v>64</v>
      </c>
      <c r="S241" t="s">
        <v>55</v>
      </c>
    </row>
    <row r="242" spans="1:23">
      <c r="A242" s="30">
        <v>45870</v>
      </c>
      <c r="B242" s="30" t="s">
        <v>607</v>
      </c>
      <c r="C242" t="s">
        <v>424</v>
      </c>
      <c r="D242" t="s">
        <v>108</v>
      </c>
      <c r="E242" s="8" t="s">
        <v>425</v>
      </c>
      <c r="F242" s="8">
        <v>2025</v>
      </c>
      <c r="G242" s="8" t="s">
        <v>6</v>
      </c>
      <c r="H242" s="29">
        <v>89189189</v>
      </c>
      <c r="I242" s="26">
        <f>H242</f>
        <v>89189189</v>
      </c>
      <c r="J242" s="26">
        <f>-I242</f>
        <v>-89189189</v>
      </c>
      <c r="K242" s="26">
        <f>I242+J242</f>
        <v>0</v>
      </c>
      <c r="L242" s="26"/>
      <c r="M242" s="44">
        <v>0</v>
      </c>
      <c r="N242" s="26">
        <v>0</v>
      </c>
      <c r="O242" s="26">
        <f t="shared" si="28"/>
        <v>145031433</v>
      </c>
      <c r="P242" t="s">
        <v>18</v>
      </c>
      <c r="Q242" s="1" t="s">
        <v>626</v>
      </c>
      <c r="R242" t="s">
        <v>631</v>
      </c>
      <c r="S242" s="4" t="s">
        <v>25</v>
      </c>
      <c r="V242"/>
      <c r="W242"/>
    </row>
    <row r="243" spans="1:23">
      <c r="A243" s="30">
        <v>45870</v>
      </c>
      <c r="B243" s="30" t="s">
        <v>607</v>
      </c>
      <c r="C243" t="s">
        <v>426</v>
      </c>
      <c r="D243" t="s">
        <v>48</v>
      </c>
      <c r="E243" s="8" t="s">
        <v>427</v>
      </c>
      <c r="F243" s="8">
        <v>2025</v>
      </c>
      <c r="G243" s="8" t="s">
        <v>7</v>
      </c>
      <c r="H243" s="21">
        <v>834082</v>
      </c>
      <c r="I243" s="26">
        <v>0</v>
      </c>
      <c r="J243" s="26">
        <v>0</v>
      </c>
      <c r="K243" s="26">
        <f t="shared" si="27"/>
        <v>0</v>
      </c>
      <c r="L243" s="26"/>
      <c r="M243" s="21">
        <f>H243</f>
        <v>834082</v>
      </c>
      <c r="N243" s="26">
        <v>0</v>
      </c>
      <c r="O243" s="26">
        <f t="shared" si="28"/>
        <v>144197351</v>
      </c>
      <c r="P243" s="13" t="s">
        <v>0</v>
      </c>
      <c r="Q243" s="13" t="s">
        <v>604</v>
      </c>
      <c r="R243" s="13" t="s">
        <v>605</v>
      </c>
    </row>
    <row r="244" spans="1:23">
      <c r="A244" s="30">
        <v>45870</v>
      </c>
      <c r="B244" s="30" t="s">
        <v>607</v>
      </c>
      <c r="C244" t="s">
        <v>428</v>
      </c>
      <c r="D244" t="s">
        <v>30</v>
      </c>
      <c r="E244" s="8" t="s">
        <v>429</v>
      </c>
      <c r="F244" s="8">
        <v>2025</v>
      </c>
      <c r="G244" s="8" t="s">
        <v>7</v>
      </c>
      <c r="H244" s="21">
        <v>224607</v>
      </c>
      <c r="I244" s="26">
        <v>0</v>
      </c>
      <c r="J244" s="26">
        <v>0</v>
      </c>
      <c r="K244" s="26">
        <f t="shared" si="27"/>
        <v>0</v>
      </c>
      <c r="L244" s="26"/>
      <c r="M244" s="21">
        <f>H244</f>
        <v>224607</v>
      </c>
      <c r="N244" s="26">
        <v>0</v>
      </c>
      <c r="O244" s="26">
        <f t="shared" si="28"/>
        <v>143972744</v>
      </c>
      <c r="P244" s="13" t="s">
        <v>0</v>
      </c>
      <c r="Q244" s="13" t="s">
        <v>604</v>
      </c>
      <c r="R244" s="13" t="s">
        <v>605</v>
      </c>
    </row>
    <row r="245" spans="1:23">
      <c r="A245" s="30">
        <v>45870</v>
      </c>
      <c r="B245" s="30" t="s">
        <v>607</v>
      </c>
      <c r="C245" t="s">
        <v>430</v>
      </c>
      <c r="D245" t="s">
        <v>61</v>
      </c>
      <c r="E245" s="8" t="s">
        <v>431</v>
      </c>
      <c r="F245" s="8">
        <v>2025</v>
      </c>
      <c r="G245" s="8" t="s">
        <v>6</v>
      </c>
      <c r="H245" s="29">
        <v>74324324</v>
      </c>
      <c r="I245" s="26">
        <f>H245</f>
        <v>74324324</v>
      </c>
      <c r="J245" s="26">
        <f>-I245</f>
        <v>-74324324</v>
      </c>
      <c r="K245" s="26">
        <f>I245+J245</f>
        <v>0</v>
      </c>
      <c r="L245" s="26"/>
      <c r="M245" s="44">
        <v>0</v>
      </c>
      <c r="N245" s="26">
        <v>0</v>
      </c>
      <c r="O245" s="26">
        <f t="shared" si="28"/>
        <v>143972744</v>
      </c>
      <c r="P245" t="s">
        <v>18</v>
      </c>
      <c r="Q245" s="1" t="s">
        <v>626</v>
      </c>
      <c r="R245" t="s">
        <v>631</v>
      </c>
      <c r="S245" s="4" t="s">
        <v>25</v>
      </c>
      <c r="V245"/>
      <c r="W245"/>
    </row>
    <row r="246" spans="1:23">
      <c r="A246" s="30">
        <v>45870</v>
      </c>
      <c r="B246" s="30" t="s">
        <v>607</v>
      </c>
      <c r="C246" t="s">
        <v>432</v>
      </c>
      <c r="D246" t="s">
        <v>17</v>
      </c>
      <c r="E246" s="8" t="s">
        <v>433</v>
      </c>
      <c r="F246" s="8">
        <v>2025</v>
      </c>
      <c r="G246" s="8" t="s">
        <v>7</v>
      </c>
      <c r="H246" s="21">
        <v>161551</v>
      </c>
      <c r="I246" s="26">
        <v>0</v>
      </c>
      <c r="J246" s="26">
        <v>0</v>
      </c>
      <c r="K246" s="26">
        <f t="shared" si="27"/>
        <v>0</v>
      </c>
      <c r="L246" s="26"/>
      <c r="M246" s="21">
        <f t="shared" ref="M246:M258" si="31">H246</f>
        <v>161551</v>
      </c>
      <c r="N246" s="26">
        <v>0</v>
      </c>
      <c r="O246" s="26">
        <f t="shared" si="28"/>
        <v>143811193</v>
      </c>
      <c r="P246" s="13" t="s">
        <v>0</v>
      </c>
      <c r="Q246" s="13" t="s">
        <v>604</v>
      </c>
      <c r="R246" s="13" t="s">
        <v>605</v>
      </c>
    </row>
    <row r="247" spans="1:23">
      <c r="A247" s="30">
        <v>45870</v>
      </c>
      <c r="B247" s="30" t="s">
        <v>607</v>
      </c>
      <c r="C247" t="s">
        <v>434</v>
      </c>
      <c r="D247" t="s">
        <v>30</v>
      </c>
      <c r="E247" s="8" t="s">
        <v>435</v>
      </c>
      <c r="F247" s="8">
        <v>2025</v>
      </c>
      <c r="G247" s="8" t="s">
        <v>7</v>
      </c>
      <c r="H247" s="21">
        <v>2091573</v>
      </c>
      <c r="I247" s="26">
        <v>0</v>
      </c>
      <c r="J247" s="26">
        <v>0</v>
      </c>
      <c r="K247" s="26">
        <f t="shared" si="27"/>
        <v>0</v>
      </c>
      <c r="L247" s="26"/>
      <c r="M247" s="21">
        <f t="shared" si="31"/>
        <v>2091573</v>
      </c>
      <c r="N247" s="26">
        <v>0</v>
      </c>
      <c r="O247" s="26">
        <f t="shared" si="28"/>
        <v>141719620</v>
      </c>
      <c r="P247" s="13" t="s">
        <v>0</v>
      </c>
      <c r="Q247" s="13" t="s">
        <v>604</v>
      </c>
      <c r="R247" s="13" t="s">
        <v>605</v>
      </c>
    </row>
    <row r="248" spans="1:23">
      <c r="A248" s="30">
        <v>45870</v>
      </c>
      <c r="B248" s="30" t="s">
        <v>607</v>
      </c>
      <c r="C248" t="s">
        <v>436</v>
      </c>
      <c r="D248" t="s">
        <v>17</v>
      </c>
      <c r="E248" s="8" t="s">
        <v>437</v>
      </c>
      <c r="F248" s="8">
        <v>2025</v>
      </c>
      <c r="G248" s="8" t="s">
        <v>7</v>
      </c>
      <c r="H248" s="21">
        <v>534518</v>
      </c>
      <c r="I248" s="26">
        <v>0</v>
      </c>
      <c r="J248" s="26">
        <v>0</v>
      </c>
      <c r="K248" s="26">
        <f t="shared" si="27"/>
        <v>0</v>
      </c>
      <c r="L248" s="26"/>
      <c r="M248" s="21">
        <f t="shared" si="31"/>
        <v>534518</v>
      </c>
      <c r="N248" s="26">
        <v>0</v>
      </c>
      <c r="O248" s="26">
        <f t="shared" si="28"/>
        <v>141185102</v>
      </c>
      <c r="P248" s="13" t="s">
        <v>0</v>
      </c>
      <c r="Q248" s="13" t="s">
        <v>604</v>
      </c>
      <c r="R248" s="13" t="s">
        <v>605</v>
      </c>
    </row>
    <row r="249" spans="1:23">
      <c r="A249" s="30">
        <v>45870</v>
      </c>
      <c r="B249" s="30" t="s">
        <v>607</v>
      </c>
      <c r="C249" t="s">
        <v>438</v>
      </c>
      <c r="D249" t="s">
        <v>268</v>
      </c>
      <c r="E249" s="8" t="s">
        <v>439</v>
      </c>
      <c r="F249" s="8">
        <v>2025</v>
      </c>
      <c r="G249" s="8" t="s">
        <v>7</v>
      </c>
      <c r="H249" s="21">
        <v>1613850</v>
      </c>
      <c r="I249" s="26">
        <v>0</v>
      </c>
      <c r="J249" s="26">
        <v>0</v>
      </c>
      <c r="K249" s="26">
        <f t="shared" si="27"/>
        <v>0</v>
      </c>
      <c r="L249" s="26"/>
      <c r="M249" s="21">
        <f t="shared" si="31"/>
        <v>1613850</v>
      </c>
      <c r="N249" s="26">
        <v>0</v>
      </c>
      <c r="O249" s="26">
        <f t="shared" si="28"/>
        <v>139571252</v>
      </c>
      <c r="P249" s="13" t="s">
        <v>0</v>
      </c>
      <c r="Q249" s="13" t="s">
        <v>604</v>
      </c>
      <c r="R249" s="13" t="s">
        <v>605</v>
      </c>
    </row>
    <row r="250" spans="1:23">
      <c r="A250" s="30">
        <v>45870</v>
      </c>
      <c r="B250" s="30" t="s">
        <v>607</v>
      </c>
      <c r="C250" t="s">
        <v>440</v>
      </c>
      <c r="D250" t="s">
        <v>268</v>
      </c>
      <c r="E250" s="8" t="s">
        <v>441</v>
      </c>
      <c r="F250" s="8">
        <v>2025</v>
      </c>
      <c r="G250" s="8" t="s">
        <v>7</v>
      </c>
      <c r="H250" s="21">
        <v>2178000</v>
      </c>
      <c r="I250" s="26">
        <v>0</v>
      </c>
      <c r="J250" s="26">
        <v>0</v>
      </c>
      <c r="K250" s="26">
        <f t="shared" si="27"/>
        <v>0</v>
      </c>
      <c r="L250" s="26"/>
      <c r="M250" s="21">
        <f t="shared" si="31"/>
        <v>2178000</v>
      </c>
      <c r="N250" s="26">
        <v>0</v>
      </c>
      <c r="O250" s="26">
        <f t="shared" si="28"/>
        <v>137393252</v>
      </c>
      <c r="P250" s="13" t="s">
        <v>0</v>
      </c>
      <c r="Q250" s="13" t="s">
        <v>604</v>
      </c>
      <c r="R250" s="13" t="s">
        <v>605</v>
      </c>
    </row>
    <row r="251" spans="1:23">
      <c r="A251" s="30">
        <v>45870</v>
      </c>
      <c r="B251" s="30" t="s">
        <v>607</v>
      </c>
      <c r="C251" t="s">
        <v>442</v>
      </c>
      <c r="D251" t="s">
        <v>17</v>
      </c>
      <c r="E251" s="8" t="s">
        <v>443</v>
      </c>
      <c r="F251" s="8">
        <v>2025</v>
      </c>
      <c r="G251" s="8" t="s">
        <v>7</v>
      </c>
      <c r="H251" s="21">
        <v>11495</v>
      </c>
      <c r="I251" s="26">
        <v>0</v>
      </c>
      <c r="J251" s="26">
        <v>0</v>
      </c>
      <c r="K251" s="26">
        <f t="shared" si="27"/>
        <v>0</v>
      </c>
      <c r="L251" s="26"/>
      <c r="M251" s="21">
        <f t="shared" si="31"/>
        <v>11495</v>
      </c>
      <c r="N251" s="26">
        <v>0</v>
      </c>
      <c r="O251" s="26">
        <f t="shared" si="28"/>
        <v>137381757</v>
      </c>
      <c r="P251" s="13" t="s">
        <v>0</v>
      </c>
      <c r="Q251" s="13" t="s">
        <v>604</v>
      </c>
      <c r="R251" s="13" t="s">
        <v>605</v>
      </c>
    </row>
    <row r="252" spans="1:23">
      <c r="A252" s="30">
        <v>45870</v>
      </c>
      <c r="B252" s="30" t="s">
        <v>607</v>
      </c>
      <c r="C252" t="s">
        <v>444</v>
      </c>
      <c r="D252" t="s">
        <v>17</v>
      </c>
      <c r="E252" s="8" t="s">
        <v>445</v>
      </c>
      <c r="F252" s="8">
        <v>2025</v>
      </c>
      <c r="G252" s="8" t="s">
        <v>7</v>
      </c>
      <c r="H252" s="21">
        <v>1006235</v>
      </c>
      <c r="I252" s="26">
        <v>0</v>
      </c>
      <c r="J252" s="26">
        <v>0</v>
      </c>
      <c r="K252" s="26">
        <f t="shared" si="27"/>
        <v>0</v>
      </c>
      <c r="L252" s="26"/>
      <c r="M252" s="21">
        <f t="shared" si="31"/>
        <v>1006235</v>
      </c>
      <c r="N252" s="26">
        <v>0</v>
      </c>
      <c r="O252" s="26">
        <f t="shared" si="28"/>
        <v>136375522</v>
      </c>
      <c r="P252" s="13" t="s">
        <v>0</v>
      </c>
      <c r="Q252" s="13" t="s">
        <v>604</v>
      </c>
      <c r="R252" s="13" t="s">
        <v>605</v>
      </c>
    </row>
    <row r="253" spans="1:23">
      <c r="A253" s="30">
        <v>45870</v>
      </c>
      <c r="B253" s="30" t="s">
        <v>607</v>
      </c>
      <c r="C253" t="s">
        <v>446</v>
      </c>
      <c r="D253" t="s">
        <v>17</v>
      </c>
      <c r="E253" s="8" t="s">
        <v>447</v>
      </c>
      <c r="F253" s="8">
        <v>2025</v>
      </c>
      <c r="G253" s="8" t="s">
        <v>7</v>
      </c>
      <c r="H253" s="21">
        <v>281510</v>
      </c>
      <c r="I253" s="26">
        <v>0</v>
      </c>
      <c r="J253" s="26">
        <v>0</v>
      </c>
      <c r="K253" s="26">
        <f t="shared" si="27"/>
        <v>0</v>
      </c>
      <c r="L253" s="26"/>
      <c r="M253" s="21">
        <f t="shared" si="31"/>
        <v>281510</v>
      </c>
      <c r="N253" s="26">
        <v>0</v>
      </c>
      <c r="O253" s="26">
        <f t="shared" si="28"/>
        <v>136094012</v>
      </c>
      <c r="P253" s="13" t="s">
        <v>0</v>
      </c>
      <c r="Q253" s="13" t="s">
        <v>604</v>
      </c>
      <c r="R253" s="13" t="s">
        <v>605</v>
      </c>
    </row>
    <row r="254" spans="1:23">
      <c r="A254" s="30">
        <v>45870</v>
      </c>
      <c r="B254" s="30" t="s">
        <v>607</v>
      </c>
      <c r="C254" t="s">
        <v>448</v>
      </c>
      <c r="D254" t="s">
        <v>268</v>
      </c>
      <c r="E254" s="8" t="s">
        <v>449</v>
      </c>
      <c r="F254" s="8">
        <v>2025</v>
      </c>
      <c r="G254" s="8" t="s">
        <v>7</v>
      </c>
      <c r="H254" s="21">
        <v>1629572</v>
      </c>
      <c r="I254" s="26">
        <v>0</v>
      </c>
      <c r="J254" s="26">
        <v>0</v>
      </c>
      <c r="K254" s="26">
        <f t="shared" si="27"/>
        <v>0</v>
      </c>
      <c r="L254" s="26"/>
      <c r="M254" s="21">
        <f t="shared" si="31"/>
        <v>1629572</v>
      </c>
      <c r="N254" s="26">
        <v>0</v>
      </c>
      <c r="O254" s="26">
        <f t="shared" si="28"/>
        <v>134464440</v>
      </c>
      <c r="P254" s="13" t="s">
        <v>0</v>
      </c>
      <c r="Q254" s="13" t="s">
        <v>604</v>
      </c>
      <c r="R254" s="13" t="s">
        <v>605</v>
      </c>
    </row>
    <row r="255" spans="1:23">
      <c r="A255" s="30">
        <v>45870</v>
      </c>
      <c r="B255" s="30" t="s">
        <v>607</v>
      </c>
      <c r="C255" t="s">
        <v>450</v>
      </c>
      <c r="D255" t="s">
        <v>17</v>
      </c>
      <c r="E255" s="8" t="s">
        <v>451</v>
      </c>
      <c r="F255" s="8">
        <v>2025</v>
      </c>
      <c r="G255" s="8" t="s">
        <v>7</v>
      </c>
      <c r="H255" s="21">
        <v>207515</v>
      </c>
      <c r="I255" s="26">
        <v>0</v>
      </c>
      <c r="J255" s="26">
        <v>0</v>
      </c>
      <c r="K255" s="26">
        <f t="shared" si="27"/>
        <v>0</v>
      </c>
      <c r="L255" s="26"/>
      <c r="M255" s="21">
        <f t="shared" si="31"/>
        <v>207515</v>
      </c>
      <c r="N255" s="26">
        <v>0</v>
      </c>
      <c r="O255" s="26">
        <f t="shared" si="28"/>
        <v>134256925</v>
      </c>
      <c r="P255" s="13" t="s">
        <v>0</v>
      </c>
      <c r="Q255" s="13" t="s">
        <v>604</v>
      </c>
      <c r="R255" s="13" t="s">
        <v>605</v>
      </c>
    </row>
    <row r="256" spans="1:23">
      <c r="A256" s="30">
        <v>45870</v>
      </c>
      <c r="B256" s="30" t="s">
        <v>607</v>
      </c>
      <c r="C256" t="s">
        <v>452</v>
      </c>
      <c r="D256" t="s">
        <v>17</v>
      </c>
      <c r="E256" s="8" t="s">
        <v>453</v>
      </c>
      <c r="F256" s="8">
        <v>2025</v>
      </c>
      <c r="G256" s="8" t="s">
        <v>7</v>
      </c>
      <c r="H256" s="21">
        <v>259999</v>
      </c>
      <c r="I256" s="26">
        <v>0</v>
      </c>
      <c r="J256" s="26">
        <v>0</v>
      </c>
      <c r="K256" s="26">
        <f t="shared" si="27"/>
        <v>0</v>
      </c>
      <c r="L256" s="26"/>
      <c r="M256" s="21">
        <f t="shared" si="31"/>
        <v>259999</v>
      </c>
      <c r="N256" s="26">
        <v>0</v>
      </c>
      <c r="O256" s="26">
        <f t="shared" si="28"/>
        <v>133996926</v>
      </c>
      <c r="P256" s="13" t="s">
        <v>0</v>
      </c>
      <c r="Q256" s="13" t="s">
        <v>604</v>
      </c>
      <c r="R256" s="13" t="s">
        <v>605</v>
      </c>
    </row>
    <row r="257" spans="1:26">
      <c r="A257" s="30">
        <v>45870</v>
      </c>
      <c r="B257" s="30" t="s">
        <v>607</v>
      </c>
      <c r="C257" t="s">
        <v>454</v>
      </c>
      <c r="D257" t="s">
        <v>455</v>
      </c>
      <c r="E257" s="8" t="s">
        <v>456</v>
      </c>
      <c r="F257" s="8">
        <v>2025</v>
      </c>
      <c r="G257" s="8" t="s">
        <v>7</v>
      </c>
      <c r="H257" s="21">
        <v>7586883</v>
      </c>
      <c r="I257" s="26">
        <v>0</v>
      </c>
      <c r="J257" s="26">
        <v>0</v>
      </c>
      <c r="K257" s="26">
        <f t="shared" si="27"/>
        <v>0</v>
      </c>
      <c r="L257" s="26"/>
      <c r="M257" s="21">
        <f t="shared" si="31"/>
        <v>7586883</v>
      </c>
      <c r="N257" s="26">
        <v>0</v>
      </c>
      <c r="O257" s="26">
        <f t="shared" si="28"/>
        <v>126410043</v>
      </c>
      <c r="P257" s="13" t="s">
        <v>0</v>
      </c>
      <c r="Q257" s="13" t="s">
        <v>604</v>
      </c>
      <c r="R257" s="13" t="s">
        <v>605</v>
      </c>
    </row>
    <row r="258" spans="1:26">
      <c r="A258" s="30">
        <v>45870</v>
      </c>
      <c r="B258" s="30" t="s">
        <v>607</v>
      </c>
      <c r="C258" t="s">
        <v>457</v>
      </c>
      <c r="D258" t="s">
        <v>17</v>
      </c>
      <c r="E258" s="8" t="s">
        <v>458</v>
      </c>
      <c r="F258" s="8">
        <v>2025</v>
      </c>
      <c r="G258" s="8" t="s">
        <v>7</v>
      </c>
      <c r="H258" s="21">
        <v>263451</v>
      </c>
      <c r="I258" s="26">
        <v>0</v>
      </c>
      <c r="J258" s="26">
        <v>0</v>
      </c>
      <c r="K258" s="26">
        <f t="shared" si="27"/>
        <v>0</v>
      </c>
      <c r="L258" s="26"/>
      <c r="M258" s="21">
        <f t="shared" si="31"/>
        <v>263451</v>
      </c>
      <c r="N258" s="26">
        <v>0</v>
      </c>
      <c r="O258" s="26">
        <f t="shared" si="28"/>
        <v>126146592</v>
      </c>
      <c r="P258" s="13" t="s">
        <v>0</v>
      </c>
      <c r="Q258" s="13" t="s">
        <v>604</v>
      </c>
      <c r="R258" s="13" t="s">
        <v>605</v>
      </c>
    </row>
    <row r="259" spans="1:26">
      <c r="A259" s="30">
        <v>45870</v>
      </c>
      <c r="B259" s="30" t="s">
        <v>607</v>
      </c>
      <c r="C259" t="s">
        <v>459</v>
      </c>
      <c r="D259" t="s">
        <v>16</v>
      </c>
      <c r="E259" s="8" t="s">
        <v>460</v>
      </c>
      <c r="F259" s="8">
        <v>2025</v>
      </c>
      <c r="G259" s="8" t="s">
        <v>6</v>
      </c>
      <c r="H259" s="29">
        <v>50954735</v>
      </c>
      <c r="I259" s="26">
        <f>H259</f>
        <v>50954735</v>
      </c>
      <c r="J259" s="26">
        <f>-I259</f>
        <v>-50954735</v>
      </c>
      <c r="K259" s="26">
        <f>I259+J259</f>
        <v>0</v>
      </c>
      <c r="L259" s="26"/>
      <c r="M259" s="44">
        <v>0</v>
      </c>
      <c r="N259" s="26">
        <v>0</v>
      </c>
      <c r="O259" s="26">
        <f t="shared" si="28"/>
        <v>126146592</v>
      </c>
      <c r="P259" t="s">
        <v>18</v>
      </c>
      <c r="Q259" s="1" t="s">
        <v>626</v>
      </c>
      <c r="R259" t="s">
        <v>631</v>
      </c>
      <c r="S259" s="4" t="s">
        <v>25</v>
      </c>
      <c r="V259"/>
      <c r="W259"/>
    </row>
    <row r="260" spans="1:26" s="5" customFormat="1">
      <c r="A260" s="31">
        <v>45870</v>
      </c>
      <c r="B260" s="30" t="s">
        <v>607</v>
      </c>
      <c r="C260" s="5" t="s">
        <v>461</v>
      </c>
      <c r="D260" s="5" t="s">
        <v>183</v>
      </c>
      <c r="E260" s="10" t="s">
        <v>462</v>
      </c>
      <c r="F260" s="10">
        <v>2024</v>
      </c>
      <c r="G260" s="10" t="s">
        <v>6</v>
      </c>
      <c r="H260" s="11">
        <v>14045497</v>
      </c>
      <c r="I260" s="26">
        <f>H260</f>
        <v>14045497</v>
      </c>
      <c r="J260" s="26">
        <f>-I260</f>
        <v>-14045497</v>
      </c>
      <c r="K260" s="26">
        <f>I260+J260</f>
        <v>0</v>
      </c>
      <c r="L260" s="26"/>
      <c r="M260" s="14">
        <v>0</v>
      </c>
      <c r="N260" s="26">
        <v>0</v>
      </c>
      <c r="O260" s="26">
        <f t="shared" si="28"/>
        <v>126146592</v>
      </c>
      <c r="P260" t="s">
        <v>18</v>
      </c>
      <c r="Q260" s="1" t="s">
        <v>626</v>
      </c>
      <c r="R260" s="1" t="s">
        <v>630</v>
      </c>
      <c r="S260" s="4" t="s">
        <v>62</v>
      </c>
    </row>
    <row r="261" spans="1:26">
      <c r="A261" s="30">
        <v>45870</v>
      </c>
      <c r="B261" s="30" t="s">
        <v>607</v>
      </c>
      <c r="C261" t="s">
        <v>463</v>
      </c>
      <c r="D261" t="s">
        <v>183</v>
      </c>
      <c r="E261" s="8" t="s">
        <v>464</v>
      </c>
      <c r="F261" s="8">
        <v>2025</v>
      </c>
      <c r="G261" s="8" t="s">
        <v>6</v>
      </c>
      <c r="H261" s="29">
        <v>6968098</v>
      </c>
      <c r="I261" s="26">
        <f>H261</f>
        <v>6968098</v>
      </c>
      <c r="J261" s="26">
        <f>-I261</f>
        <v>-6968098</v>
      </c>
      <c r="K261" s="26">
        <f>I261+J261</f>
        <v>0</v>
      </c>
      <c r="L261" s="26"/>
      <c r="M261" s="44">
        <v>0</v>
      </c>
      <c r="N261" s="26">
        <v>0</v>
      </c>
      <c r="O261" s="26">
        <f t="shared" si="28"/>
        <v>126146592</v>
      </c>
      <c r="P261" t="s">
        <v>18</v>
      </c>
      <c r="Q261" s="1" t="s">
        <v>626</v>
      </c>
      <c r="R261" t="s">
        <v>631</v>
      </c>
      <c r="S261" s="4" t="s">
        <v>25</v>
      </c>
      <c r="V261"/>
      <c r="W261"/>
    </row>
    <row r="262" spans="1:26">
      <c r="A262" s="30">
        <v>45870</v>
      </c>
      <c r="B262" s="30" t="s">
        <v>607</v>
      </c>
      <c r="C262" t="s">
        <v>465</v>
      </c>
      <c r="D262" t="s">
        <v>49</v>
      </c>
      <c r="E262" s="8" t="s">
        <v>466</v>
      </c>
      <c r="F262" s="8">
        <v>2025</v>
      </c>
      <c r="G262" s="8" t="s">
        <v>7</v>
      </c>
      <c r="H262" s="21">
        <v>3781250</v>
      </c>
      <c r="I262" s="26">
        <v>0</v>
      </c>
      <c r="J262" s="26">
        <v>0</v>
      </c>
      <c r="K262" s="26">
        <f t="shared" ref="K262:K316" si="32">I262-J262</f>
        <v>0</v>
      </c>
      <c r="L262" s="26"/>
      <c r="M262" s="21">
        <f>H262</f>
        <v>3781250</v>
      </c>
      <c r="N262" s="26">
        <v>0</v>
      </c>
      <c r="O262" s="26">
        <f t="shared" si="28"/>
        <v>122365342</v>
      </c>
      <c r="P262" s="13" t="s">
        <v>0</v>
      </c>
      <c r="Q262" s="13" t="s">
        <v>604</v>
      </c>
      <c r="R262" s="13" t="s">
        <v>605</v>
      </c>
    </row>
    <row r="263" spans="1:26">
      <c r="A263" s="30">
        <v>45870</v>
      </c>
      <c r="B263" s="30" t="s">
        <v>607</v>
      </c>
      <c r="C263" t="s">
        <v>467</v>
      </c>
      <c r="D263" t="s">
        <v>47</v>
      </c>
      <c r="E263" s="8" t="s">
        <v>468</v>
      </c>
      <c r="F263" s="8">
        <v>2025</v>
      </c>
      <c r="G263" s="8" t="s">
        <v>7</v>
      </c>
      <c r="H263" s="21">
        <v>726000</v>
      </c>
      <c r="I263" s="26">
        <v>0</v>
      </c>
      <c r="J263" s="26">
        <v>0</v>
      </c>
      <c r="K263" s="26">
        <f t="shared" si="32"/>
        <v>0</v>
      </c>
      <c r="L263" s="26"/>
      <c r="M263" s="21">
        <f>H263</f>
        <v>726000</v>
      </c>
      <c r="N263" s="26">
        <v>0</v>
      </c>
      <c r="O263" s="26">
        <f t="shared" ref="O263:O326" si="33">O262-M263+N263</f>
        <v>121639342</v>
      </c>
      <c r="P263" s="13" t="s">
        <v>0</v>
      </c>
      <c r="Q263" s="13" t="s">
        <v>604</v>
      </c>
      <c r="R263" s="13" t="s">
        <v>605</v>
      </c>
    </row>
    <row r="264" spans="1:26">
      <c r="A264" s="30">
        <v>45870</v>
      </c>
      <c r="B264" s="30" t="s">
        <v>607</v>
      </c>
      <c r="C264" t="s">
        <v>469</v>
      </c>
      <c r="D264" t="s">
        <v>268</v>
      </c>
      <c r="E264" s="8" t="s">
        <v>470</v>
      </c>
      <c r="F264" s="8">
        <v>2025</v>
      </c>
      <c r="G264" s="8" t="s">
        <v>7</v>
      </c>
      <c r="H264" s="21">
        <v>216224</v>
      </c>
      <c r="I264" s="26">
        <v>0</v>
      </c>
      <c r="J264" s="26">
        <v>0</v>
      </c>
      <c r="K264" s="26">
        <f t="shared" si="32"/>
        <v>0</v>
      </c>
      <c r="L264" s="26"/>
      <c r="M264" s="21">
        <f>H264</f>
        <v>216224</v>
      </c>
      <c r="N264" s="26">
        <v>0</v>
      </c>
      <c r="O264" s="26">
        <f t="shared" si="33"/>
        <v>121423118</v>
      </c>
      <c r="P264" s="13" t="s">
        <v>0</v>
      </c>
      <c r="Q264" s="13" t="s">
        <v>604</v>
      </c>
      <c r="R264" s="13" t="s">
        <v>605</v>
      </c>
    </row>
    <row r="265" spans="1:26">
      <c r="A265" s="30">
        <v>45901</v>
      </c>
      <c r="B265" s="30" t="s">
        <v>64</v>
      </c>
      <c r="D265" t="s">
        <v>85</v>
      </c>
      <c r="G265" s="8" t="s">
        <v>608</v>
      </c>
      <c r="H265" s="14">
        <v>1981982</v>
      </c>
      <c r="I265" s="26">
        <v>0</v>
      </c>
      <c r="J265" s="26">
        <v>0</v>
      </c>
      <c r="K265" s="26">
        <f t="shared" si="32"/>
        <v>0</v>
      </c>
      <c r="L265" s="26"/>
      <c r="M265" s="44">
        <v>0</v>
      </c>
      <c r="N265" s="14">
        <f>H265</f>
        <v>1981982</v>
      </c>
      <c r="O265" s="26">
        <f t="shared" si="33"/>
        <v>123405100</v>
      </c>
      <c r="P265" t="s">
        <v>18</v>
      </c>
      <c r="Q265" t="s">
        <v>624</v>
      </c>
      <c r="R265" t="s">
        <v>64</v>
      </c>
      <c r="S265" t="s">
        <v>56</v>
      </c>
    </row>
    <row r="266" spans="1:26">
      <c r="A266" s="30">
        <v>45901</v>
      </c>
      <c r="B266" s="30" t="s">
        <v>64</v>
      </c>
      <c r="D266" t="s">
        <v>89</v>
      </c>
      <c r="G266" s="8" t="s">
        <v>608</v>
      </c>
      <c r="H266" s="14">
        <v>506000</v>
      </c>
      <c r="I266" s="26">
        <v>0</v>
      </c>
      <c r="J266" s="26">
        <v>0</v>
      </c>
      <c r="K266" s="26">
        <f t="shared" si="32"/>
        <v>0</v>
      </c>
      <c r="L266" s="26"/>
      <c r="M266" s="44">
        <v>0</v>
      </c>
      <c r="N266" s="14">
        <f>H266</f>
        <v>506000</v>
      </c>
      <c r="O266" s="26">
        <f t="shared" si="33"/>
        <v>123911100</v>
      </c>
      <c r="P266" t="s">
        <v>18</v>
      </c>
      <c r="Q266" t="s">
        <v>623</v>
      </c>
      <c r="R266" t="s">
        <v>64</v>
      </c>
      <c r="S266" t="s">
        <v>56</v>
      </c>
    </row>
    <row r="267" spans="1:26">
      <c r="A267" s="30">
        <v>45901</v>
      </c>
      <c r="B267" s="30" t="s">
        <v>64</v>
      </c>
      <c r="D267" t="s">
        <v>87</v>
      </c>
      <c r="E267" s="57" t="s">
        <v>1</v>
      </c>
      <c r="G267" s="8" t="s">
        <v>608</v>
      </c>
      <c r="H267" s="14">
        <v>74324</v>
      </c>
      <c r="I267" s="26">
        <v>0</v>
      </c>
      <c r="J267" s="26">
        <v>0</v>
      </c>
      <c r="K267" s="26">
        <f t="shared" si="32"/>
        <v>0</v>
      </c>
      <c r="L267" s="26"/>
      <c r="M267" s="44">
        <v>0</v>
      </c>
      <c r="N267" s="14">
        <f>H267</f>
        <v>74324</v>
      </c>
      <c r="O267" s="26">
        <f t="shared" si="33"/>
        <v>123985424</v>
      </c>
      <c r="P267" t="s">
        <v>18</v>
      </c>
      <c r="Q267" t="s">
        <v>623</v>
      </c>
      <c r="R267" t="s">
        <v>64</v>
      </c>
      <c r="S267" t="s">
        <v>56</v>
      </c>
    </row>
    <row r="268" spans="1:26">
      <c r="A268" s="30">
        <v>45901</v>
      </c>
      <c r="B268" s="30" t="s">
        <v>64</v>
      </c>
      <c r="D268" t="s">
        <v>101</v>
      </c>
      <c r="G268" s="8" t="s">
        <v>608</v>
      </c>
      <c r="H268" s="14">
        <v>385000</v>
      </c>
      <c r="I268" s="26">
        <v>0</v>
      </c>
      <c r="J268" s="26">
        <v>0</v>
      </c>
      <c r="K268" s="26">
        <f t="shared" si="32"/>
        <v>0</v>
      </c>
      <c r="L268" s="26"/>
      <c r="M268" s="44">
        <v>0</v>
      </c>
      <c r="N268" s="14">
        <f>H268</f>
        <v>385000</v>
      </c>
      <c r="O268" s="26">
        <f t="shared" si="33"/>
        <v>124370424</v>
      </c>
      <c r="P268" t="s">
        <v>18</v>
      </c>
      <c r="Q268" t="s">
        <v>623</v>
      </c>
      <c r="R268" t="s">
        <v>64</v>
      </c>
      <c r="S268" t="s">
        <v>56</v>
      </c>
    </row>
    <row r="269" spans="1:26" s="23" customFormat="1">
      <c r="A269" s="39">
        <v>45901</v>
      </c>
      <c r="B269" s="39" t="s">
        <v>64</v>
      </c>
      <c r="D269" s="23" t="s">
        <v>609</v>
      </c>
      <c r="E269" s="43"/>
      <c r="F269" s="43"/>
      <c r="G269" s="43" t="s">
        <v>608</v>
      </c>
      <c r="H269" s="41">
        <v>9285948</v>
      </c>
      <c r="I269" s="26">
        <v>0</v>
      </c>
      <c r="J269" s="26">
        <v>0</v>
      </c>
      <c r="K269" s="26">
        <f t="shared" si="32"/>
        <v>0</v>
      </c>
      <c r="L269" s="26"/>
      <c r="M269" s="41">
        <v>0</v>
      </c>
      <c r="N269" s="14">
        <f>H269</f>
        <v>9285948</v>
      </c>
      <c r="O269" s="26">
        <f t="shared" si="33"/>
        <v>133656372</v>
      </c>
      <c r="P269" s="5" t="s">
        <v>18</v>
      </c>
      <c r="Q269" s="1" t="s">
        <v>626</v>
      </c>
      <c r="R269" s="1" t="s">
        <v>609</v>
      </c>
      <c r="U269" s="55" t="s">
        <v>8</v>
      </c>
      <c r="V269" s="41" t="s">
        <v>1</v>
      </c>
      <c r="W269" s="41" t="s">
        <v>1</v>
      </c>
      <c r="X269" s="23" t="s">
        <v>1</v>
      </c>
      <c r="Y269" s="55" t="s">
        <v>1</v>
      </c>
      <c r="Z269" s="23" t="s">
        <v>1</v>
      </c>
    </row>
    <row r="270" spans="1:26" s="1" customFormat="1">
      <c r="A270" s="42">
        <v>45901</v>
      </c>
      <c r="B270" s="42" t="s">
        <v>64</v>
      </c>
      <c r="D270" s="1" t="s">
        <v>610</v>
      </c>
      <c r="E270" s="22"/>
      <c r="F270" s="8" t="s">
        <v>1</v>
      </c>
      <c r="G270" s="22" t="s">
        <v>7</v>
      </c>
      <c r="H270" s="16">
        <v>0</v>
      </c>
      <c r="I270" s="49">
        <v>0</v>
      </c>
      <c r="J270" s="49">
        <v>0</v>
      </c>
      <c r="K270" s="49">
        <f t="shared" si="32"/>
        <v>0</v>
      </c>
      <c r="L270" s="49"/>
      <c r="M270" s="46">
        <f>H270</f>
        <v>0</v>
      </c>
      <c r="N270" s="26">
        <v>0</v>
      </c>
      <c r="O270" s="26">
        <f t="shared" si="33"/>
        <v>133656372</v>
      </c>
      <c r="P270" t="s">
        <v>19</v>
      </c>
      <c r="Q270" t="s">
        <v>19</v>
      </c>
      <c r="R270" t="s">
        <v>611</v>
      </c>
      <c r="V270" s="16"/>
      <c r="W270" s="23" t="s">
        <v>1</v>
      </c>
    </row>
    <row r="271" spans="1:26">
      <c r="A271" s="30">
        <v>45901</v>
      </c>
      <c r="B271" s="30" t="s">
        <v>607</v>
      </c>
      <c r="C271" t="s">
        <v>471</v>
      </c>
      <c r="D271" t="s">
        <v>95</v>
      </c>
      <c r="E271" s="8" t="s">
        <v>472</v>
      </c>
      <c r="F271" s="8">
        <v>2025</v>
      </c>
      <c r="G271" s="8" t="s">
        <v>6</v>
      </c>
      <c r="H271" s="29">
        <v>25541126</v>
      </c>
      <c r="I271" s="26">
        <f>H271</f>
        <v>25541126</v>
      </c>
      <c r="J271" s="26">
        <f>-I271</f>
        <v>-25541126</v>
      </c>
      <c r="K271" s="26">
        <f>I271+J271</f>
        <v>0</v>
      </c>
      <c r="L271" s="26"/>
      <c r="M271" s="44">
        <v>0</v>
      </c>
      <c r="N271" s="26">
        <v>0</v>
      </c>
      <c r="O271" s="26">
        <f t="shared" si="33"/>
        <v>133656372</v>
      </c>
      <c r="P271" t="s">
        <v>18</v>
      </c>
      <c r="Q271" s="1" t="s">
        <v>626</v>
      </c>
      <c r="R271" t="s">
        <v>631</v>
      </c>
      <c r="S271" s="4" t="s">
        <v>25</v>
      </c>
      <c r="V271"/>
      <c r="W271"/>
    </row>
    <row r="272" spans="1:26">
      <c r="A272" s="30">
        <v>45901</v>
      </c>
      <c r="B272" s="30" t="s">
        <v>607</v>
      </c>
      <c r="C272" t="s">
        <v>473</v>
      </c>
      <c r="D272" t="s">
        <v>95</v>
      </c>
      <c r="E272" s="8" t="s">
        <v>474</v>
      </c>
      <c r="F272" s="8">
        <v>2025</v>
      </c>
      <c r="G272" s="8" t="s">
        <v>6</v>
      </c>
      <c r="H272" s="29">
        <v>57477478</v>
      </c>
      <c r="I272" s="26">
        <f>H272</f>
        <v>57477478</v>
      </c>
      <c r="J272" s="26">
        <f>-I272</f>
        <v>-57477478</v>
      </c>
      <c r="K272" s="26">
        <f>I272+J272</f>
        <v>0</v>
      </c>
      <c r="L272" s="26"/>
      <c r="M272" s="44">
        <v>0</v>
      </c>
      <c r="N272" s="26">
        <v>0</v>
      </c>
      <c r="O272" s="26">
        <f t="shared" si="33"/>
        <v>133656372</v>
      </c>
      <c r="P272" t="s">
        <v>18</v>
      </c>
      <c r="Q272" s="1" t="s">
        <v>626</v>
      </c>
      <c r="R272" t="s">
        <v>631</v>
      </c>
      <c r="S272" s="4" t="s">
        <v>25</v>
      </c>
      <c r="V272"/>
      <c r="W272"/>
    </row>
    <row r="273" spans="1:23">
      <c r="A273" s="30">
        <v>45901</v>
      </c>
      <c r="B273" s="30" t="s">
        <v>607</v>
      </c>
      <c r="C273" t="s">
        <v>475</v>
      </c>
      <c r="D273" t="s">
        <v>108</v>
      </c>
      <c r="E273" s="8" t="s">
        <v>476</v>
      </c>
      <c r="F273" s="8">
        <v>2025</v>
      </c>
      <c r="G273" s="8" t="s">
        <v>6</v>
      </c>
      <c r="H273" s="29">
        <v>29729730</v>
      </c>
      <c r="I273" s="26">
        <f>H273</f>
        <v>29729730</v>
      </c>
      <c r="J273" s="26">
        <f>-I273</f>
        <v>-29729730</v>
      </c>
      <c r="K273" s="26">
        <f>I273+J273</f>
        <v>0</v>
      </c>
      <c r="L273" s="26"/>
      <c r="M273" s="44">
        <v>0</v>
      </c>
      <c r="N273" s="26">
        <v>0</v>
      </c>
      <c r="O273" s="26">
        <f t="shared" si="33"/>
        <v>133656372</v>
      </c>
      <c r="P273" t="s">
        <v>18</v>
      </c>
      <c r="Q273" s="1" t="s">
        <v>626</v>
      </c>
      <c r="R273" t="s">
        <v>631</v>
      </c>
      <c r="S273" s="4" t="s">
        <v>25</v>
      </c>
      <c r="V273"/>
      <c r="W273"/>
    </row>
    <row r="274" spans="1:23" s="1" customFormat="1">
      <c r="A274" s="42">
        <v>45901</v>
      </c>
      <c r="B274" s="42" t="s">
        <v>607</v>
      </c>
      <c r="C274" s="1" t="s">
        <v>477</v>
      </c>
      <c r="D274" s="1" t="s">
        <v>31</v>
      </c>
      <c r="E274" s="22" t="s">
        <v>478</v>
      </c>
      <c r="F274" s="22">
        <v>2025</v>
      </c>
      <c r="G274" s="16" t="s">
        <v>7</v>
      </c>
      <c r="H274" s="16">
        <v>38375697</v>
      </c>
      <c r="I274" s="47">
        <v>0</v>
      </c>
      <c r="J274" s="47">
        <v>0</v>
      </c>
      <c r="K274" s="47">
        <f t="shared" si="32"/>
        <v>0</v>
      </c>
      <c r="L274" s="47"/>
      <c r="M274" s="16">
        <f>H274</f>
        <v>38375697</v>
      </c>
      <c r="N274" s="26">
        <v>0</v>
      </c>
      <c r="O274" s="26">
        <f t="shared" si="33"/>
        <v>95280675</v>
      </c>
      <c r="P274" s="1" t="s">
        <v>0</v>
      </c>
      <c r="Q274" s="1" t="s">
        <v>604</v>
      </c>
      <c r="R274" s="1" t="s">
        <v>605</v>
      </c>
      <c r="S274" s="1" t="s">
        <v>622</v>
      </c>
      <c r="V274" s="16"/>
      <c r="W274" s="16"/>
    </row>
    <row r="275" spans="1:23" s="23" customFormat="1">
      <c r="A275" s="39">
        <v>45901</v>
      </c>
      <c r="B275" s="30" t="s">
        <v>607</v>
      </c>
      <c r="D275" s="23" t="s">
        <v>31</v>
      </c>
      <c r="E275" s="43" t="s">
        <v>478</v>
      </c>
      <c r="F275" s="43"/>
      <c r="G275" s="48" t="s">
        <v>7</v>
      </c>
      <c r="H275" s="48">
        <f>49595169-H274</f>
        <v>11219472</v>
      </c>
      <c r="I275" s="49"/>
      <c r="J275" s="49"/>
      <c r="K275" s="49"/>
      <c r="L275" s="49"/>
      <c r="M275" s="46">
        <f>H275</f>
        <v>11219472</v>
      </c>
      <c r="N275" s="26">
        <v>0</v>
      </c>
      <c r="O275" s="26">
        <f t="shared" si="33"/>
        <v>84061203</v>
      </c>
      <c r="P275" s="5" t="s">
        <v>18</v>
      </c>
      <c r="Q275" s="1" t="s">
        <v>625</v>
      </c>
      <c r="R275" s="1" t="s">
        <v>634</v>
      </c>
      <c r="S275" s="1" t="s">
        <v>633</v>
      </c>
      <c r="V275" s="48"/>
      <c r="W275" s="48"/>
    </row>
    <row r="276" spans="1:23" s="5" customFormat="1">
      <c r="A276" s="31">
        <v>45901</v>
      </c>
      <c r="B276" s="30" t="s">
        <v>607</v>
      </c>
      <c r="C276" s="5" t="s">
        <v>479</v>
      </c>
      <c r="D276" s="5" t="s">
        <v>183</v>
      </c>
      <c r="E276" s="10" t="s">
        <v>480</v>
      </c>
      <c r="F276" s="10">
        <v>2024</v>
      </c>
      <c r="G276" s="10" t="s">
        <v>6</v>
      </c>
      <c r="H276" s="11">
        <v>9251220</v>
      </c>
      <c r="I276" s="26">
        <f t="shared" ref="I276:I281" si="34">H276</f>
        <v>9251220</v>
      </c>
      <c r="J276" s="26">
        <f t="shared" ref="J276:J281" si="35">-I276</f>
        <v>-9251220</v>
      </c>
      <c r="K276" s="26">
        <f t="shared" ref="K276:K281" si="36">I276+J276</f>
        <v>0</v>
      </c>
      <c r="L276" s="26"/>
      <c r="M276" s="14">
        <v>0</v>
      </c>
      <c r="N276" s="26">
        <v>0</v>
      </c>
      <c r="O276" s="26">
        <f t="shared" si="33"/>
        <v>84061203</v>
      </c>
      <c r="P276" t="s">
        <v>18</v>
      </c>
      <c r="Q276" s="1" t="s">
        <v>626</v>
      </c>
      <c r="R276" s="1" t="s">
        <v>630</v>
      </c>
      <c r="S276" s="4" t="s">
        <v>62</v>
      </c>
    </row>
    <row r="277" spans="1:23">
      <c r="A277" s="30">
        <v>45901</v>
      </c>
      <c r="B277" s="30" t="s">
        <v>607</v>
      </c>
      <c r="C277" t="s">
        <v>481</v>
      </c>
      <c r="D277" t="s">
        <v>183</v>
      </c>
      <c r="E277" s="8" t="s">
        <v>482</v>
      </c>
      <c r="F277" s="8">
        <v>2025</v>
      </c>
      <c r="G277" s="8" t="s">
        <v>6</v>
      </c>
      <c r="H277" s="29">
        <v>6474548</v>
      </c>
      <c r="I277" s="26">
        <f t="shared" si="34"/>
        <v>6474548</v>
      </c>
      <c r="J277" s="26">
        <f t="shared" si="35"/>
        <v>-6474548</v>
      </c>
      <c r="K277" s="26">
        <f t="shared" si="36"/>
        <v>0</v>
      </c>
      <c r="L277" s="26"/>
      <c r="M277" s="44">
        <v>0</v>
      </c>
      <c r="N277" s="26">
        <v>0</v>
      </c>
      <c r="O277" s="26">
        <f t="shared" si="33"/>
        <v>84061203</v>
      </c>
      <c r="P277" t="s">
        <v>18</v>
      </c>
      <c r="Q277" s="1" t="s">
        <v>626</v>
      </c>
      <c r="R277" t="s">
        <v>631</v>
      </c>
      <c r="S277" s="4" t="s">
        <v>25</v>
      </c>
      <c r="V277"/>
      <c r="W277"/>
    </row>
    <row r="278" spans="1:23" s="5" customFormat="1">
      <c r="A278" s="31">
        <v>45901</v>
      </c>
      <c r="B278" s="30" t="s">
        <v>607</v>
      </c>
      <c r="C278" s="5" t="s">
        <v>483</v>
      </c>
      <c r="D278" s="5" t="s">
        <v>183</v>
      </c>
      <c r="E278" s="10" t="s">
        <v>484</v>
      </c>
      <c r="F278" s="10">
        <v>2024</v>
      </c>
      <c r="G278" s="10" t="s">
        <v>6</v>
      </c>
      <c r="H278" s="11">
        <v>9188091</v>
      </c>
      <c r="I278" s="26">
        <f t="shared" si="34"/>
        <v>9188091</v>
      </c>
      <c r="J278" s="26">
        <f t="shared" si="35"/>
        <v>-9188091</v>
      </c>
      <c r="K278" s="26">
        <f t="shared" si="36"/>
        <v>0</v>
      </c>
      <c r="L278" s="26"/>
      <c r="M278" s="14">
        <v>0</v>
      </c>
      <c r="N278" s="26">
        <v>0</v>
      </c>
      <c r="O278" s="26">
        <f t="shared" si="33"/>
        <v>84061203</v>
      </c>
      <c r="P278" t="s">
        <v>18</v>
      </c>
      <c r="Q278" s="1" t="s">
        <v>626</v>
      </c>
      <c r="R278" s="1" t="s">
        <v>630</v>
      </c>
      <c r="S278" s="4" t="s">
        <v>62</v>
      </c>
    </row>
    <row r="279" spans="1:23">
      <c r="A279" s="30">
        <v>45901</v>
      </c>
      <c r="B279" s="30" t="s">
        <v>607</v>
      </c>
      <c r="C279" t="s">
        <v>485</v>
      </c>
      <c r="D279" t="s">
        <v>183</v>
      </c>
      <c r="E279" s="8" t="s">
        <v>486</v>
      </c>
      <c r="F279" s="8">
        <v>2025</v>
      </c>
      <c r="G279" s="8" t="s">
        <v>6</v>
      </c>
      <c r="H279" s="29">
        <v>4488499</v>
      </c>
      <c r="I279" s="26">
        <f t="shared" si="34"/>
        <v>4488499</v>
      </c>
      <c r="J279" s="26">
        <f t="shared" si="35"/>
        <v>-4488499</v>
      </c>
      <c r="K279" s="26">
        <f t="shared" si="36"/>
        <v>0</v>
      </c>
      <c r="L279" s="26"/>
      <c r="M279" s="44">
        <v>0</v>
      </c>
      <c r="N279" s="26">
        <v>0</v>
      </c>
      <c r="O279" s="26">
        <f t="shared" si="33"/>
        <v>84061203</v>
      </c>
      <c r="P279" t="s">
        <v>18</v>
      </c>
      <c r="Q279" s="1" t="s">
        <v>626</v>
      </c>
      <c r="R279" t="s">
        <v>631</v>
      </c>
      <c r="S279" s="4" t="s">
        <v>25</v>
      </c>
      <c r="V279"/>
      <c r="W279"/>
    </row>
    <row r="280" spans="1:23">
      <c r="A280" s="30">
        <v>45901</v>
      </c>
      <c r="B280" s="30" t="s">
        <v>607</v>
      </c>
      <c r="C280" t="s">
        <v>487</v>
      </c>
      <c r="D280" t="s">
        <v>9</v>
      </c>
      <c r="E280" s="8" t="s">
        <v>488</v>
      </c>
      <c r="F280" s="8">
        <v>2025</v>
      </c>
      <c r="G280" s="8" t="s">
        <v>6</v>
      </c>
      <c r="H280" s="29">
        <v>22135023</v>
      </c>
      <c r="I280" s="26">
        <f t="shared" si="34"/>
        <v>22135023</v>
      </c>
      <c r="J280" s="26">
        <f t="shared" si="35"/>
        <v>-22135023</v>
      </c>
      <c r="K280" s="26">
        <f t="shared" si="36"/>
        <v>0</v>
      </c>
      <c r="L280" s="26"/>
      <c r="M280" s="44">
        <v>0</v>
      </c>
      <c r="N280" s="26">
        <v>0</v>
      </c>
      <c r="O280" s="26">
        <f t="shared" si="33"/>
        <v>84061203</v>
      </c>
      <c r="P280" t="s">
        <v>18</v>
      </c>
      <c r="Q280" s="1" t="s">
        <v>626</v>
      </c>
      <c r="R280" t="s">
        <v>631</v>
      </c>
      <c r="S280" s="4" t="s">
        <v>25</v>
      </c>
      <c r="V280"/>
      <c r="W280"/>
    </row>
    <row r="281" spans="1:23">
      <c r="A281" s="30">
        <v>45901</v>
      </c>
      <c r="B281" s="30" t="s">
        <v>607</v>
      </c>
      <c r="C281" t="s">
        <v>489</v>
      </c>
      <c r="D281" t="s">
        <v>16</v>
      </c>
      <c r="E281" s="8" t="s">
        <v>490</v>
      </c>
      <c r="F281" s="8">
        <v>2025</v>
      </c>
      <c r="G281" s="8" t="s">
        <v>6</v>
      </c>
      <c r="H281" s="29">
        <v>27747748</v>
      </c>
      <c r="I281" s="26">
        <f t="shared" si="34"/>
        <v>27747748</v>
      </c>
      <c r="J281" s="26">
        <f t="shared" si="35"/>
        <v>-27747748</v>
      </c>
      <c r="K281" s="26">
        <f t="shared" si="36"/>
        <v>0</v>
      </c>
      <c r="L281" s="26"/>
      <c r="M281" s="44">
        <v>0</v>
      </c>
      <c r="N281" s="26">
        <v>0</v>
      </c>
      <c r="O281" s="26">
        <f t="shared" si="33"/>
        <v>84061203</v>
      </c>
      <c r="P281" t="s">
        <v>18</v>
      </c>
      <c r="Q281" s="1" t="s">
        <v>626</v>
      </c>
      <c r="R281" t="s">
        <v>631</v>
      </c>
      <c r="S281" s="4" t="s">
        <v>25</v>
      </c>
      <c r="V281"/>
      <c r="W281"/>
    </row>
    <row r="282" spans="1:23">
      <c r="A282" s="30">
        <v>45901</v>
      </c>
      <c r="B282" s="30" t="s">
        <v>607</v>
      </c>
      <c r="C282" t="s">
        <v>491</v>
      </c>
      <c r="D282" t="s">
        <v>51</v>
      </c>
      <c r="E282" s="8" t="s">
        <v>492</v>
      </c>
      <c r="F282" s="8">
        <v>2025</v>
      </c>
      <c r="G282" s="8" t="s">
        <v>7</v>
      </c>
      <c r="H282" s="21">
        <v>83471075</v>
      </c>
      <c r="I282" s="26">
        <v>0</v>
      </c>
      <c r="J282" s="26">
        <v>0</v>
      </c>
      <c r="K282" s="26">
        <f t="shared" si="32"/>
        <v>0</v>
      </c>
      <c r="L282" s="26"/>
      <c r="M282" s="21">
        <f t="shared" ref="M282:M290" si="37">H282</f>
        <v>83471075</v>
      </c>
      <c r="N282" s="26">
        <v>0</v>
      </c>
      <c r="O282" s="26">
        <f t="shared" si="33"/>
        <v>590128</v>
      </c>
      <c r="P282" s="13" t="s">
        <v>0</v>
      </c>
      <c r="Q282" s="13" t="s">
        <v>604</v>
      </c>
      <c r="R282" s="13" t="s">
        <v>605</v>
      </c>
    </row>
    <row r="283" spans="1:23">
      <c r="A283" s="30">
        <v>45901</v>
      </c>
      <c r="B283" s="30" t="s">
        <v>607</v>
      </c>
      <c r="C283" t="s">
        <v>493</v>
      </c>
      <c r="D283" t="s">
        <v>52</v>
      </c>
      <c r="E283" s="8" t="s">
        <v>494</v>
      </c>
      <c r="F283" s="8">
        <v>2025</v>
      </c>
      <c r="G283" s="8" t="s">
        <v>7</v>
      </c>
      <c r="H283" s="21">
        <v>1778333</v>
      </c>
      <c r="I283" s="26">
        <v>0</v>
      </c>
      <c r="J283" s="26">
        <v>0</v>
      </c>
      <c r="K283" s="26">
        <f t="shared" si="32"/>
        <v>0</v>
      </c>
      <c r="L283" s="26"/>
      <c r="M283" s="21">
        <f t="shared" si="37"/>
        <v>1778333</v>
      </c>
      <c r="N283" s="26">
        <v>0</v>
      </c>
      <c r="O283" s="26">
        <f t="shared" si="33"/>
        <v>-1188205</v>
      </c>
      <c r="P283" s="13" t="s">
        <v>0</v>
      </c>
      <c r="Q283" s="13" t="s">
        <v>604</v>
      </c>
      <c r="R283" s="13" t="s">
        <v>605</v>
      </c>
    </row>
    <row r="284" spans="1:23">
      <c r="A284" s="30">
        <v>45901</v>
      </c>
      <c r="B284" s="30" t="s">
        <v>607</v>
      </c>
      <c r="C284" t="s">
        <v>495</v>
      </c>
      <c r="D284" t="s">
        <v>52</v>
      </c>
      <c r="E284" s="8" t="s">
        <v>496</v>
      </c>
      <c r="F284" s="8">
        <v>2025</v>
      </c>
      <c r="G284" s="8" t="s">
        <v>7</v>
      </c>
      <c r="H284" s="21">
        <v>592778</v>
      </c>
      <c r="I284" s="26">
        <v>0</v>
      </c>
      <c r="J284" s="26">
        <v>0</v>
      </c>
      <c r="K284" s="26">
        <f t="shared" si="32"/>
        <v>0</v>
      </c>
      <c r="L284" s="26"/>
      <c r="M284" s="21">
        <f t="shared" si="37"/>
        <v>592778</v>
      </c>
      <c r="N284" s="26">
        <v>0</v>
      </c>
      <c r="O284" s="26">
        <f t="shared" si="33"/>
        <v>-1780983</v>
      </c>
      <c r="P284" s="13" t="s">
        <v>0</v>
      </c>
      <c r="Q284" s="13" t="s">
        <v>604</v>
      </c>
      <c r="R284" s="13" t="s">
        <v>605</v>
      </c>
    </row>
    <row r="285" spans="1:23">
      <c r="A285" s="30">
        <v>45901</v>
      </c>
      <c r="B285" s="30" t="s">
        <v>607</v>
      </c>
      <c r="C285" t="s">
        <v>497</v>
      </c>
      <c r="D285" t="s">
        <v>52</v>
      </c>
      <c r="E285" s="8" t="s">
        <v>498</v>
      </c>
      <c r="F285" s="8">
        <v>2025</v>
      </c>
      <c r="G285" s="8" t="s">
        <v>7</v>
      </c>
      <c r="H285" s="21">
        <v>592778</v>
      </c>
      <c r="I285" s="26">
        <v>0</v>
      </c>
      <c r="J285" s="26">
        <v>0</v>
      </c>
      <c r="K285" s="26">
        <f t="shared" si="32"/>
        <v>0</v>
      </c>
      <c r="L285" s="26"/>
      <c r="M285" s="21">
        <f t="shared" si="37"/>
        <v>592778</v>
      </c>
      <c r="N285" s="26">
        <v>0</v>
      </c>
      <c r="O285" s="26">
        <f t="shared" si="33"/>
        <v>-2373761</v>
      </c>
      <c r="P285" s="13" t="s">
        <v>0</v>
      </c>
      <c r="Q285" s="13" t="s">
        <v>604</v>
      </c>
      <c r="R285" s="13" t="s">
        <v>605</v>
      </c>
    </row>
    <row r="286" spans="1:23">
      <c r="A286" s="30">
        <v>45901</v>
      </c>
      <c r="B286" s="30" t="s">
        <v>607</v>
      </c>
      <c r="C286" t="s">
        <v>499</v>
      </c>
      <c r="D286" t="s">
        <v>52</v>
      </c>
      <c r="E286" s="8" t="s">
        <v>500</v>
      </c>
      <c r="F286" s="8">
        <v>2025</v>
      </c>
      <c r="G286" s="8" t="s">
        <v>7</v>
      </c>
      <c r="H286" s="21">
        <v>592778</v>
      </c>
      <c r="I286" s="26">
        <v>0</v>
      </c>
      <c r="J286" s="26">
        <v>0</v>
      </c>
      <c r="K286" s="26">
        <f t="shared" si="32"/>
        <v>0</v>
      </c>
      <c r="L286" s="26"/>
      <c r="M286" s="21">
        <f t="shared" si="37"/>
        <v>592778</v>
      </c>
      <c r="N286" s="26">
        <v>0</v>
      </c>
      <c r="O286" s="26">
        <f t="shared" si="33"/>
        <v>-2966539</v>
      </c>
      <c r="P286" s="13" t="s">
        <v>0</v>
      </c>
      <c r="Q286" s="13" t="s">
        <v>604</v>
      </c>
      <c r="R286" s="13" t="s">
        <v>605</v>
      </c>
    </row>
    <row r="287" spans="1:23">
      <c r="A287" s="30">
        <v>45901</v>
      </c>
      <c r="B287" s="30" t="s">
        <v>607</v>
      </c>
      <c r="C287" t="s">
        <v>501</v>
      </c>
      <c r="D287" t="s">
        <v>52</v>
      </c>
      <c r="E287" s="8" t="s">
        <v>502</v>
      </c>
      <c r="F287" s="8">
        <v>2025</v>
      </c>
      <c r="G287" s="8" t="s">
        <v>7</v>
      </c>
      <c r="H287" s="21">
        <v>444583</v>
      </c>
      <c r="I287" s="26">
        <v>0</v>
      </c>
      <c r="J287" s="26">
        <v>0</v>
      </c>
      <c r="K287" s="26">
        <f t="shared" si="32"/>
        <v>0</v>
      </c>
      <c r="L287" s="26"/>
      <c r="M287" s="21">
        <f t="shared" si="37"/>
        <v>444583</v>
      </c>
      <c r="N287" s="26">
        <v>0</v>
      </c>
      <c r="O287" s="26">
        <f t="shared" si="33"/>
        <v>-3411122</v>
      </c>
      <c r="P287" s="13" t="s">
        <v>0</v>
      </c>
      <c r="Q287" s="13" t="s">
        <v>604</v>
      </c>
      <c r="R287" s="13" t="s">
        <v>605</v>
      </c>
    </row>
    <row r="288" spans="1:23">
      <c r="A288" s="30">
        <v>45901</v>
      </c>
      <c r="B288" s="30" t="s">
        <v>607</v>
      </c>
      <c r="C288" t="s">
        <v>503</v>
      </c>
      <c r="D288" t="s">
        <v>52</v>
      </c>
      <c r="E288" s="8" t="s">
        <v>504</v>
      </c>
      <c r="F288" s="8">
        <v>2025</v>
      </c>
      <c r="G288" s="8" t="s">
        <v>7</v>
      </c>
      <c r="H288" s="21">
        <v>444583</v>
      </c>
      <c r="I288" s="26">
        <v>0</v>
      </c>
      <c r="J288" s="26">
        <v>0</v>
      </c>
      <c r="K288" s="26">
        <f t="shared" si="32"/>
        <v>0</v>
      </c>
      <c r="L288" s="26"/>
      <c r="M288" s="21">
        <f t="shared" si="37"/>
        <v>444583</v>
      </c>
      <c r="N288" s="26">
        <v>0</v>
      </c>
      <c r="O288" s="26">
        <f t="shared" si="33"/>
        <v>-3855705</v>
      </c>
      <c r="P288" s="13" t="s">
        <v>0</v>
      </c>
      <c r="Q288" s="13" t="s">
        <v>604</v>
      </c>
      <c r="R288" s="13" t="s">
        <v>605</v>
      </c>
    </row>
    <row r="289" spans="1:23">
      <c r="A289" s="30">
        <v>45901</v>
      </c>
      <c r="B289" s="30" t="s">
        <v>607</v>
      </c>
      <c r="C289" t="s">
        <v>505</v>
      </c>
      <c r="D289" t="s">
        <v>52</v>
      </c>
      <c r="E289" s="8" t="s">
        <v>506</v>
      </c>
      <c r="F289" s="8">
        <v>2025</v>
      </c>
      <c r="G289" s="8" t="s">
        <v>7</v>
      </c>
      <c r="H289" s="21">
        <v>444583</v>
      </c>
      <c r="I289" s="26">
        <v>0</v>
      </c>
      <c r="J289" s="26">
        <v>0</v>
      </c>
      <c r="K289" s="26">
        <f t="shared" si="32"/>
        <v>0</v>
      </c>
      <c r="L289" s="26"/>
      <c r="M289" s="21">
        <f t="shared" si="37"/>
        <v>444583</v>
      </c>
      <c r="N289" s="26">
        <v>0</v>
      </c>
      <c r="O289" s="26">
        <f t="shared" si="33"/>
        <v>-4300288</v>
      </c>
      <c r="P289" s="13" t="s">
        <v>0</v>
      </c>
      <c r="Q289" s="13" t="s">
        <v>604</v>
      </c>
      <c r="R289" s="13" t="s">
        <v>605</v>
      </c>
    </row>
    <row r="290" spans="1:23">
      <c r="A290" s="30">
        <v>45901</v>
      </c>
      <c r="B290" s="30" t="s">
        <v>607</v>
      </c>
      <c r="C290" t="s">
        <v>507</v>
      </c>
      <c r="D290" t="s">
        <v>52</v>
      </c>
      <c r="E290" s="8" t="s">
        <v>508</v>
      </c>
      <c r="F290" s="8">
        <v>2025</v>
      </c>
      <c r="G290" s="8" t="s">
        <v>7</v>
      </c>
      <c r="H290" s="21">
        <v>444583</v>
      </c>
      <c r="I290" s="26">
        <v>0</v>
      </c>
      <c r="J290" s="26">
        <v>0</v>
      </c>
      <c r="K290" s="26">
        <f t="shared" si="32"/>
        <v>0</v>
      </c>
      <c r="L290" s="26"/>
      <c r="M290" s="21">
        <f t="shared" si="37"/>
        <v>444583</v>
      </c>
      <c r="N290" s="26">
        <v>0</v>
      </c>
      <c r="O290" s="26">
        <f t="shared" si="33"/>
        <v>-4744871</v>
      </c>
      <c r="P290" s="13" t="s">
        <v>0</v>
      </c>
      <c r="Q290" s="13" t="s">
        <v>604</v>
      </c>
      <c r="R290" s="13" t="s">
        <v>605</v>
      </c>
    </row>
    <row r="291" spans="1:23" s="1" customFormat="1">
      <c r="A291" s="3">
        <v>45959</v>
      </c>
      <c r="B291" s="3" t="s">
        <v>71</v>
      </c>
      <c r="C291" s="24" t="s">
        <v>509</v>
      </c>
      <c r="D291" s="1" t="s">
        <v>510</v>
      </c>
      <c r="E291" s="22" t="s">
        <v>511</v>
      </c>
      <c r="F291" s="22"/>
      <c r="G291" s="22" t="s">
        <v>615</v>
      </c>
      <c r="H291" s="16">
        <v>6944871</v>
      </c>
      <c r="I291" s="47">
        <v>0</v>
      </c>
      <c r="J291" s="47">
        <v>0</v>
      </c>
      <c r="K291" s="47">
        <f t="shared" si="32"/>
        <v>0</v>
      </c>
      <c r="L291" s="47"/>
      <c r="M291" s="16">
        <v>0</v>
      </c>
      <c r="N291" s="16">
        <v>6944871</v>
      </c>
      <c r="O291" s="26">
        <f t="shared" si="33"/>
        <v>2200000</v>
      </c>
      <c r="P291" s="1" t="s">
        <v>18</v>
      </c>
      <c r="Q291" t="s">
        <v>624</v>
      </c>
      <c r="R291" s="1" t="s">
        <v>70</v>
      </c>
      <c r="S291" s="1" t="s">
        <v>56</v>
      </c>
    </row>
    <row r="292" spans="1:23">
      <c r="A292" s="30">
        <v>45931</v>
      </c>
      <c r="B292" s="30" t="s">
        <v>64</v>
      </c>
      <c r="D292" t="s">
        <v>512</v>
      </c>
      <c r="G292" s="8" t="s">
        <v>608</v>
      </c>
      <c r="H292" s="14">
        <v>8406475</v>
      </c>
      <c r="I292" s="26">
        <v>0</v>
      </c>
      <c r="J292" s="26">
        <v>0</v>
      </c>
      <c r="K292" s="26">
        <f t="shared" si="32"/>
        <v>0</v>
      </c>
      <c r="L292" s="26"/>
      <c r="M292" s="44">
        <v>0</v>
      </c>
      <c r="N292" s="14">
        <f t="shared" ref="N292:N301" si="38">H292</f>
        <v>8406475</v>
      </c>
      <c r="O292" s="26">
        <f t="shared" si="33"/>
        <v>10606475</v>
      </c>
      <c r="P292" s="1" t="s">
        <v>18</v>
      </c>
      <c r="Q292" t="s">
        <v>623</v>
      </c>
      <c r="R292" s="5" t="s">
        <v>64</v>
      </c>
      <c r="S292" t="s">
        <v>57</v>
      </c>
    </row>
    <row r="293" spans="1:23">
      <c r="A293" s="30">
        <v>45931</v>
      </c>
      <c r="B293" s="30" t="s">
        <v>64</v>
      </c>
      <c r="D293" t="s">
        <v>512</v>
      </c>
      <c r="G293" s="8" t="s">
        <v>608</v>
      </c>
      <c r="H293" s="14">
        <v>8406475</v>
      </c>
      <c r="I293" s="26">
        <v>0</v>
      </c>
      <c r="J293" s="26">
        <v>0</v>
      </c>
      <c r="K293" s="26">
        <f t="shared" si="32"/>
        <v>0</v>
      </c>
      <c r="L293" s="26"/>
      <c r="M293" s="44">
        <v>0</v>
      </c>
      <c r="N293" s="14">
        <f t="shared" si="38"/>
        <v>8406475</v>
      </c>
      <c r="O293" s="26">
        <f t="shared" si="33"/>
        <v>19012950</v>
      </c>
      <c r="P293" s="1" t="s">
        <v>18</v>
      </c>
      <c r="Q293" t="s">
        <v>623</v>
      </c>
      <c r="R293" s="5" t="s">
        <v>64</v>
      </c>
      <c r="S293" t="s">
        <v>57</v>
      </c>
    </row>
    <row r="294" spans="1:23">
      <c r="A294" s="30">
        <v>45931</v>
      </c>
      <c r="B294" s="30" t="s">
        <v>64</v>
      </c>
      <c r="D294" t="s">
        <v>512</v>
      </c>
      <c r="G294" s="8" t="s">
        <v>608</v>
      </c>
      <c r="H294" s="14">
        <v>2075150</v>
      </c>
      <c r="I294" s="26">
        <v>0</v>
      </c>
      <c r="J294" s="26">
        <v>0</v>
      </c>
      <c r="K294" s="26">
        <f t="shared" si="32"/>
        <v>0</v>
      </c>
      <c r="L294" s="26"/>
      <c r="M294" s="44">
        <v>0</v>
      </c>
      <c r="N294" s="14">
        <f t="shared" si="38"/>
        <v>2075150</v>
      </c>
      <c r="O294" s="26">
        <f t="shared" si="33"/>
        <v>21088100</v>
      </c>
      <c r="P294" s="1" t="s">
        <v>18</v>
      </c>
      <c r="Q294" t="s">
        <v>623</v>
      </c>
      <c r="R294" s="5" t="s">
        <v>64</v>
      </c>
      <c r="S294" t="s">
        <v>57</v>
      </c>
    </row>
    <row r="295" spans="1:23">
      <c r="A295" s="30">
        <v>45931</v>
      </c>
      <c r="B295" s="30" t="s">
        <v>64</v>
      </c>
      <c r="D295" t="s">
        <v>85</v>
      </c>
      <c r="G295" s="8" t="s">
        <v>608</v>
      </c>
      <c r="H295" s="14">
        <v>1981982</v>
      </c>
      <c r="I295" s="26">
        <v>0</v>
      </c>
      <c r="J295" s="26">
        <v>0</v>
      </c>
      <c r="K295" s="26">
        <f t="shared" si="32"/>
        <v>0</v>
      </c>
      <c r="L295" s="26"/>
      <c r="M295" s="44">
        <v>0</v>
      </c>
      <c r="N295" s="14">
        <f t="shared" si="38"/>
        <v>1981982</v>
      </c>
      <c r="O295" s="26">
        <f t="shared" si="33"/>
        <v>23070082</v>
      </c>
      <c r="P295" t="s">
        <v>18</v>
      </c>
      <c r="Q295" t="s">
        <v>624</v>
      </c>
      <c r="R295" t="s">
        <v>64</v>
      </c>
      <c r="S295" t="s">
        <v>57</v>
      </c>
    </row>
    <row r="296" spans="1:23">
      <c r="A296" s="30">
        <v>45931</v>
      </c>
      <c r="B296" s="30" t="s">
        <v>64</v>
      </c>
      <c r="D296" t="s">
        <v>513</v>
      </c>
      <c r="G296" s="8" t="s">
        <v>608</v>
      </c>
      <c r="H296" s="14">
        <v>7535000</v>
      </c>
      <c r="I296" s="26">
        <v>0</v>
      </c>
      <c r="J296" s="26">
        <v>0</v>
      </c>
      <c r="K296" s="26">
        <f t="shared" si="32"/>
        <v>0</v>
      </c>
      <c r="L296" s="26"/>
      <c r="M296" s="44">
        <v>0</v>
      </c>
      <c r="N296" s="14">
        <f t="shared" si="38"/>
        <v>7535000</v>
      </c>
      <c r="O296" s="26">
        <f t="shared" si="33"/>
        <v>30605082</v>
      </c>
      <c r="P296" s="1" t="s">
        <v>18</v>
      </c>
      <c r="Q296" t="s">
        <v>623</v>
      </c>
      <c r="R296" s="5" t="s">
        <v>64</v>
      </c>
      <c r="S296" t="s">
        <v>57</v>
      </c>
    </row>
    <row r="297" spans="1:23">
      <c r="A297" s="30">
        <v>45931</v>
      </c>
      <c r="B297" s="30" t="s">
        <v>64</v>
      </c>
      <c r="D297" t="s">
        <v>89</v>
      </c>
      <c r="G297" s="8" t="s">
        <v>608</v>
      </c>
      <c r="H297" s="14">
        <v>506000</v>
      </c>
      <c r="I297" s="26">
        <v>0</v>
      </c>
      <c r="J297" s="26">
        <v>0</v>
      </c>
      <c r="K297" s="26">
        <f t="shared" si="32"/>
        <v>0</v>
      </c>
      <c r="L297" s="26"/>
      <c r="M297" s="44">
        <v>0</v>
      </c>
      <c r="N297" s="14">
        <f t="shared" si="38"/>
        <v>506000</v>
      </c>
      <c r="O297" s="26">
        <f t="shared" si="33"/>
        <v>31111082</v>
      </c>
      <c r="P297" s="1" t="s">
        <v>18</v>
      </c>
      <c r="Q297" t="s">
        <v>623</v>
      </c>
      <c r="R297" s="5" t="s">
        <v>64</v>
      </c>
      <c r="S297" t="s">
        <v>57</v>
      </c>
    </row>
    <row r="298" spans="1:23">
      <c r="A298" s="30">
        <v>45931</v>
      </c>
      <c r="B298" s="30" t="s">
        <v>64</v>
      </c>
      <c r="D298" t="s">
        <v>353</v>
      </c>
      <c r="G298" s="8" t="s">
        <v>608</v>
      </c>
      <c r="H298" s="14">
        <v>94875</v>
      </c>
      <c r="I298" s="26">
        <v>0</v>
      </c>
      <c r="J298" s="26">
        <v>0</v>
      </c>
      <c r="K298" s="26">
        <f t="shared" si="32"/>
        <v>0</v>
      </c>
      <c r="L298" s="26"/>
      <c r="M298" s="44">
        <v>0</v>
      </c>
      <c r="N298" s="14">
        <f t="shared" si="38"/>
        <v>94875</v>
      </c>
      <c r="O298" s="26">
        <f t="shared" si="33"/>
        <v>31205957</v>
      </c>
      <c r="P298" s="1" t="s">
        <v>18</v>
      </c>
      <c r="Q298" t="s">
        <v>623</v>
      </c>
      <c r="R298" s="5" t="s">
        <v>64</v>
      </c>
      <c r="S298" t="s">
        <v>57</v>
      </c>
    </row>
    <row r="299" spans="1:23">
      <c r="A299" s="30">
        <v>45931</v>
      </c>
      <c r="B299" s="30" t="s">
        <v>64</v>
      </c>
      <c r="D299" t="s">
        <v>514</v>
      </c>
      <c r="G299" s="8" t="s">
        <v>608</v>
      </c>
      <c r="H299" s="14">
        <v>4400000</v>
      </c>
      <c r="I299" s="26">
        <v>0</v>
      </c>
      <c r="J299" s="26">
        <v>0</v>
      </c>
      <c r="K299" s="26">
        <f t="shared" si="32"/>
        <v>0</v>
      </c>
      <c r="L299" s="26"/>
      <c r="M299" s="44">
        <v>0</v>
      </c>
      <c r="N299" s="14">
        <f t="shared" si="38"/>
        <v>4400000</v>
      </c>
      <c r="O299" s="26">
        <f t="shared" si="33"/>
        <v>35605957</v>
      </c>
      <c r="P299" s="1" t="s">
        <v>18</v>
      </c>
      <c r="Q299" t="s">
        <v>623</v>
      </c>
      <c r="R299" s="5" t="s">
        <v>64</v>
      </c>
      <c r="S299" t="s">
        <v>57</v>
      </c>
    </row>
    <row r="300" spans="1:23">
      <c r="A300" s="30">
        <v>45931</v>
      </c>
      <c r="B300" s="30" t="s">
        <v>64</v>
      </c>
      <c r="D300" t="s">
        <v>87</v>
      </c>
      <c r="G300" s="8" t="s">
        <v>608</v>
      </c>
      <c r="H300" s="14">
        <v>74324</v>
      </c>
      <c r="I300" s="26">
        <v>0</v>
      </c>
      <c r="J300" s="26">
        <v>0</v>
      </c>
      <c r="K300" s="26">
        <f t="shared" si="32"/>
        <v>0</v>
      </c>
      <c r="L300" s="26"/>
      <c r="M300" s="44">
        <v>0</v>
      </c>
      <c r="N300" s="14">
        <f t="shared" si="38"/>
        <v>74324</v>
      </c>
      <c r="O300" s="26">
        <f t="shared" si="33"/>
        <v>35680281</v>
      </c>
      <c r="P300" s="1" t="s">
        <v>18</v>
      </c>
      <c r="Q300" t="s">
        <v>623</v>
      </c>
      <c r="R300" s="5" t="s">
        <v>64</v>
      </c>
      <c r="S300" t="s">
        <v>57</v>
      </c>
    </row>
    <row r="301" spans="1:23">
      <c r="A301" s="30">
        <v>45931</v>
      </c>
      <c r="B301" s="30" t="s">
        <v>64</v>
      </c>
      <c r="D301" t="s">
        <v>515</v>
      </c>
      <c r="G301" s="8" t="s">
        <v>608</v>
      </c>
      <c r="H301" s="14">
        <v>24062500</v>
      </c>
      <c r="I301" s="26">
        <v>0</v>
      </c>
      <c r="J301" s="26">
        <v>0</v>
      </c>
      <c r="K301" s="26">
        <f t="shared" si="32"/>
        <v>0</v>
      </c>
      <c r="L301" s="26"/>
      <c r="M301" s="44">
        <v>0</v>
      </c>
      <c r="N301" s="14">
        <f t="shared" si="38"/>
        <v>24062500</v>
      </c>
      <c r="O301" s="26">
        <f t="shared" si="33"/>
        <v>59742781</v>
      </c>
      <c r="P301" s="13" t="s">
        <v>18</v>
      </c>
      <c r="Q301" t="s">
        <v>624</v>
      </c>
      <c r="R301" s="5" t="s">
        <v>64</v>
      </c>
      <c r="S301" t="s">
        <v>57</v>
      </c>
    </row>
    <row r="302" spans="1:23" s="1" customFormat="1">
      <c r="A302" s="42">
        <v>45931</v>
      </c>
      <c r="B302" s="42" t="s">
        <v>607</v>
      </c>
      <c r="C302" s="1" t="s">
        <v>516</v>
      </c>
      <c r="D302" s="1" t="s">
        <v>26</v>
      </c>
      <c r="E302" s="22" t="s">
        <v>517</v>
      </c>
      <c r="F302" s="22">
        <v>2025</v>
      </c>
      <c r="G302" s="22" t="s">
        <v>7</v>
      </c>
      <c r="H302" s="16">
        <v>761179</v>
      </c>
      <c r="I302" s="49">
        <v>0</v>
      </c>
      <c r="J302" s="49">
        <v>0</v>
      </c>
      <c r="K302" s="49">
        <f t="shared" si="32"/>
        <v>0</v>
      </c>
      <c r="L302" s="49"/>
      <c r="M302" s="46">
        <f>H302</f>
        <v>761179</v>
      </c>
      <c r="N302" s="26">
        <v>0</v>
      </c>
      <c r="O302" s="26">
        <f t="shared" si="33"/>
        <v>58981602</v>
      </c>
      <c r="P302" s="1" t="s">
        <v>0</v>
      </c>
      <c r="Q302" s="1" t="s">
        <v>604</v>
      </c>
      <c r="R302" s="1" t="s">
        <v>605</v>
      </c>
      <c r="S302" s="1" t="s">
        <v>1</v>
      </c>
      <c r="V302" s="16"/>
      <c r="W302" s="16"/>
    </row>
    <row r="303" spans="1:23">
      <c r="A303" s="30">
        <v>45931</v>
      </c>
      <c r="B303" s="42" t="s">
        <v>607</v>
      </c>
      <c r="C303" t="s">
        <v>518</v>
      </c>
      <c r="D303" t="s">
        <v>9</v>
      </c>
      <c r="E303" s="8" t="s">
        <v>519</v>
      </c>
      <c r="F303" s="8">
        <v>2025</v>
      </c>
      <c r="G303" s="8" t="s">
        <v>6</v>
      </c>
      <c r="H303" s="29">
        <v>86391721</v>
      </c>
      <c r="I303" s="26">
        <f>H303</f>
        <v>86391721</v>
      </c>
      <c r="J303" s="26">
        <f>-I303</f>
        <v>-86391721</v>
      </c>
      <c r="K303" s="26">
        <f>I303+J303</f>
        <v>0</v>
      </c>
      <c r="L303" s="26"/>
      <c r="M303" s="44">
        <v>0</v>
      </c>
      <c r="N303" s="26">
        <v>0</v>
      </c>
      <c r="O303" s="26">
        <f t="shared" si="33"/>
        <v>58981602</v>
      </c>
      <c r="P303" t="s">
        <v>18</v>
      </c>
      <c r="Q303" s="1" t="s">
        <v>626</v>
      </c>
      <c r="R303" t="s">
        <v>631</v>
      </c>
      <c r="S303" s="4" t="s">
        <v>25</v>
      </c>
      <c r="V303"/>
      <c r="W303"/>
    </row>
    <row r="304" spans="1:23" s="5" customFormat="1">
      <c r="A304" s="31">
        <v>45931</v>
      </c>
      <c r="B304" s="42" t="s">
        <v>607</v>
      </c>
      <c r="C304" s="5" t="s">
        <v>520</v>
      </c>
      <c r="D304" s="5" t="s">
        <v>183</v>
      </c>
      <c r="E304" s="10" t="s">
        <v>521</v>
      </c>
      <c r="F304" s="8">
        <v>2024</v>
      </c>
      <c r="G304" s="8" t="s">
        <v>6</v>
      </c>
      <c r="H304" s="11">
        <v>4774000</v>
      </c>
      <c r="I304" s="26">
        <f>H304</f>
        <v>4774000</v>
      </c>
      <c r="J304" s="26">
        <f>-I304</f>
        <v>-4774000</v>
      </c>
      <c r="K304" s="26">
        <f>I304+J304</f>
        <v>0</v>
      </c>
      <c r="L304" s="26"/>
      <c r="M304" s="14">
        <v>0</v>
      </c>
      <c r="N304" s="26">
        <v>0</v>
      </c>
      <c r="O304" s="26">
        <f t="shared" si="33"/>
        <v>58981602</v>
      </c>
      <c r="P304" t="s">
        <v>18</v>
      </c>
      <c r="Q304" s="1" t="s">
        <v>626</v>
      </c>
      <c r="R304" s="1" t="s">
        <v>630</v>
      </c>
      <c r="S304" s="4" t="s">
        <v>62</v>
      </c>
    </row>
    <row r="305" spans="1:23" s="5" customFormat="1">
      <c r="A305" s="31">
        <v>45931</v>
      </c>
      <c r="B305" s="42" t="s">
        <v>607</v>
      </c>
      <c r="C305" s="5" t="s">
        <v>522</v>
      </c>
      <c r="D305" s="5" t="s">
        <v>183</v>
      </c>
      <c r="E305" s="10" t="s">
        <v>523</v>
      </c>
      <c r="F305" s="8">
        <v>2024</v>
      </c>
      <c r="G305" s="8" t="s">
        <v>6</v>
      </c>
      <c r="H305" s="11">
        <v>4513720</v>
      </c>
      <c r="I305" s="26">
        <f>H305</f>
        <v>4513720</v>
      </c>
      <c r="J305" s="26">
        <f>-I305</f>
        <v>-4513720</v>
      </c>
      <c r="K305" s="26">
        <f>I305+J305</f>
        <v>0</v>
      </c>
      <c r="L305" s="26"/>
      <c r="M305" s="14">
        <v>0</v>
      </c>
      <c r="N305" s="26">
        <v>0</v>
      </c>
      <c r="O305" s="26">
        <f t="shared" si="33"/>
        <v>58981602</v>
      </c>
      <c r="P305" t="s">
        <v>18</v>
      </c>
      <c r="Q305" s="1" t="s">
        <v>626</v>
      </c>
      <c r="R305" s="1" t="s">
        <v>630</v>
      </c>
      <c r="S305" s="4" t="s">
        <v>62</v>
      </c>
    </row>
    <row r="306" spans="1:23">
      <c r="A306" s="30">
        <v>45931</v>
      </c>
      <c r="B306" s="42" t="s">
        <v>607</v>
      </c>
      <c r="C306" t="s">
        <v>524</v>
      </c>
      <c r="D306" t="s">
        <v>183</v>
      </c>
      <c r="E306" s="8" t="s">
        <v>525</v>
      </c>
      <c r="F306" s="8">
        <v>2025</v>
      </c>
      <c r="G306" s="8" t="s">
        <v>6</v>
      </c>
      <c r="H306" s="29">
        <v>3040501</v>
      </c>
      <c r="I306" s="26">
        <f>H306</f>
        <v>3040501</v>
      </c>
      <c r="J306" s="26">
        <f>-I306</f>
        <v>-3040501</v>
      </c>
      <c r="K306" s="26">
        <f>I306+J306</f>
        <v>0</v>
      </c>
      <c r="L306" s="26"/>
      <c r="M306" s="44">
        <v>0</v>
      </c>
      <c r="N306" s="26">
        <v>0</v>
      </c>
      <c r="O306" s="26">
        <f t="shared" si="33"/>
        <v>58981602</v>
      </c>
      <c r="P306" t="s">
        <v>18</v>
      </c>
      <c r="Q306" s="1" t="s">
        <v>626</v>
      </c>
      <c r="R306" t="s">
        <v>631</v>
      </c>
      <c r="S306" s="4" t="s">
        <v>25</v>
      </c>
      <c r="V306"/>
      <c r="W306"/>
    </row>
    <row r="307" spans="1:23">
      <c r="A307" s="30">
        <v>45931</v>
      </c>
      <c r="B307" s="42" t="s">
        <v>607</v>
      </c>
      <c r="C307" t="s">
        <v>526</v>
      </c>
      <c r="D307" t="s">
        <v>50</v>
      </c>
      <c r="E307" s="8" t="s">
        <v>527</v>
      </c>
      <c r="F307" s="8">
        <v>2025</v>
      </c>
      <c r="G307" s="21" t="s">
        <v>7</v>
      </c>
      <c r="H307" s="21">
        <v>189209790</v>
      </c>
      <c r="I307" s="26">
        <v>0</v>
      </c>
      <c r="J307" s="26">
        <v>0</v>
      </c>
      <c r="K307" s="26">
        <f t="shared" si="32"/>
        <v>0</v>
      </c>
      <c r="L307" s="26"/>
      <c r="M307" s="21">
        <f>H307</f>
        <v>189209790</v>
      </c>
      <c r="N307" s="26">
        <v>0</v>
      </c>
      <c r="O307" s="26">
        <f t="shared" si="33"/>
        <v>-130228188</v>
      </c>
      <c r="P307" s="13" t="s">
        <v>0</v>
      </c>
      <c r="Q307" s="13" t="s">
        <v>604</v>
      </c>
      <c r="R307" s="13" t="s">
        <v>605</v>
      </c>
    </row>
    <row r="308" spans="1:23" s="1" customFormat="1">
      <c r="A308" s="42"/>
      <c r="B308" s="42"/>
      <c r="E308" s="22"/>
      <c r="F308" s="22"/>
      <c r="G308" s="14"/>
      <c r="H308" s="14"/>
      <c r="I308" s="27"/>
      <c r="J308" s="27"/>
      <c r="K308" s="27"/>
      <c r="L308" s="27"/>
      <c r="M308" s="14">
        <v>2200000</v>
      </c>
      <c r="N308" s="14">
        <v>0</v>
      </c>
      <c r="O308" s="26">
        <f t="shared" si="33"/>
        <v>-132428188</v>
      </c>
      <c r="P308" s="1" t="s">
        <v>18</v>
      </c>
      <c r="Q308" s="1" t="s">
        <v>625</v>
      </c>
      <c r="R308" s="56" t="s">
        <v>614</v>
      </c>
      <c r="V308" s="14"/>
      <c r="W308" s="14"/>
    </row>
    <row r="309" spans="1:23" s="1" customFormat="1">
      <c r="A309" s="3">
        <v>45971</v>
      </c>
      <c r="B309" s="3" t="s">
        <v>71</v>
      </c>
      <c r="C309" s="24" t="s">
        <v>528</v>
      </c>
      <c r="D309" s="1" t="s">
        <v>510</v>
      </c>
      <c r="E309" s="22" t="s">
        <v>529</v>
      </c>
      <c r="F309" s="22"/>
      <c r="G309" s="22" t="s">
        <v>615</v>
      </c>
      <c r="H309" s="16">
        <v>132428188</v>
      </c>
      <c r="I309" s="47">
        <v>0</v>
      </c>
      <c r="J309" s="47">
        <v>0</v>
      </c>
      <c r="K309" s="47">
        <f t="shared" si="32"/>
        <v>0</v>
      </c>
      <c r="L309" s="47"/>
      <c r="M309" s="16">
        <v>0</v>
      </c>
      <c r="N309" s="16">
        <v>132428188</v>
      </c>
      <c r="O309" s="26">
        <f t="shared" si="33"/>
        <v>0</v>
      </c>
      <c r="P309" s="1" t="s">
        <v>18</v>
      </c>
      <c r="Q309" t="s">
        <v>624</v>
      </c>
      <c r="R309" s="1" t="s">
        <v>70</v>
      </c>
      <c r="S309" s="1" t="s">
        <v>57</v>
      </c>
    </row>
    <row r="310" spans="1:23">
      <c r="A310" s="30">
        <v>45962</v>
      </c>
      <c r="B310" s="30" t="s">
        <v>64</v>
      </c>
      <c r="D310" t="s">
        <v>87</v>
      </c>
      <c r="G310" s="8" t="s">
        <v>608</v>
      </c>
      <c r="H310" s="14">
        <v>74324</v>
      </c>
      <c r="I310" s="26">
        <v>0</v>
      </c>
      <c r="J310" s="26">
        <v>0</v>
      </c>
      <c r="K310" s="26">
        <f t="shared" si="32"/>
        <v>0</v>
      </c>
      <c r="L310" s="26"/>
      <c r="M310" s="44">
        <v>0</v>
      </c>
      <c r="N310" s="14">
        <f t="shared" ref="N310:N316" si="39">H310</f>
        <v>74324</v>
      </c>
      <c r="O310" s="26">
        <f t="shared" si="33"/>
        <v>74324</v>
      </c>
      <c r="P310" t="s">
        <v>18</v>
      </c>
      <c r="Q310" t="s">
        <v>623</v>
      </c>
      <c r="R310" t="s">
        <v>64</v>
      </c>
      <c r="S310" t="s">
        <v>58</v>
      </c>
    </row>
    <row r="311" spans="1:23">
      <c r="A311" s="30">
        <v>45962</v>
      </c>
      <c r="B311" s="30" t="s">
        <v>64</v>
      </c>
      <c r="D311" t="s">
        <v>530</v>
      </c>
      <c r="G311" s="8" t="s">
        <v>608</v>
      </c>
      <c r="H311" s="14">
        <v>21989</v>
      </c>
      <c r="I311" s="26">
        <v>0</v>
      </c>
      <c r="J311" s="26">
        <v>0</v>
      </c>
      <c r="K311" s="26">
        <f t="shared" si="32"/>
        <v>0</v>
      </c>
      <c r="L311" s="26"/>
      <c r="M311" s="44">
        <v>0</v>
      </c>
      <c r="N311" s="14">
        <f t="shared" si="39"/>
        <v>21989</v>
      </c>
      <c r="O311" s="26">
        <f t="shared" si="33"/>
        <v>96313</v>
      </c>
      <c r="P311" t="s">
        <v>18</v>
      </c>
      <c r="Q311" t="s">
        <v>623</v>
      </c>
      <c r="R311" t="s">
        <v>64</v>
      </c>
      <c r="S311" t="s">
        <v>58</v>
      </c>
    </row>
    <row r="312" spans="1:23">
      <c r="A312" s="30">
        <v>45962</v>
      </c>
      <c r="B312" s="30" t="s">
        <v>64</v>
      </c>
      <c r="D312" t="s">
        <v>85</v>
      </c>
      <c r="G312" s="8" t="s">
        <v>608</v>
      </c>
      <c r="H312" s="14">
        <v>1981982</v>
      </c>
      <c r="I312" s="26">
        <v>0</v>
      </c>
      <c r="J312" s="26">
        <v>0</v>
      </c>
      <c r="K312" s="26">
        <f t="shared" si="32"/>
        <v>0</v>
      </c>
      <c r="L312" s="26"/>
      <c r="M312" s="44">
        <v>0</v>
      </c>
      <c r="N312" s="14">
        <f t="shared" si="39"/>
        <v>1981982</v>
      </c>
      <c r="O312" s="26">
        <f t="shared" si="33"/>
        <v>2078295</v>
      </c>
      <c r="P312" s="1" t="s">
        <v>18</v>
      </c>
      <c r="Q312" t="s">
        <v>624</v>
      </c>
      <c r="R312" s="1" t="s">
        <v>64</v>
      </c>
      <c r="S312" s="1" t="s">
        <v>58</v>
      </c>
    </row>
    <row r="313" spans="1:23">
      <c r="A313" s="30">
        <v>45962</v>
      </c>
      <c r="B313" s="30" t="s">
        <v>64</v>
      </c>
      <c r="D313" t="s">
        <v>89</v>
      </c>
      <c r="G313" s="8" t="s">
        <v>608</v>
      </c>
      <c r="H313" s="14">
        <v>506000</v>
      </c>
      <c r="I313" s="26">
        <v>0</v>
      </c>
      <c r="J313" s="26">
        <v>0</v>
      </c>
      <c r="K313" s="26">
        <f t="shared" si="32"/>
        <v>0</v>
      </c>
      <c r="L313" s="26"/>
      <c r="M313" s="44">
        <v>0</v>
      </c>
      <c r="N313" s="14">
        <f t="shared" si="39"/>
        <v>506000</v>
      </c>
      <c r="O313" s="26">
        <f t="shared" si="33"/>
        <v>2584295</v>
      </c>
      <c r="P313" t="s">
        <v>18</v>
      </c>
      <c r="Q313" t="s">
        <v>623</v>
      </c>
      <c r="R313" t="s">
        <v>64</v>
      </c>
      <c r="S313" t="s">
        <v>58</v>
      </c>
    </row>
    <row r="314" spans="1:23" s="65" customFormat="1">
      <c r="A314" s="64">
        <v>45962</v>
      </c>
      <c r="B314" s="64" t="s">
        <v>64</v>
      </c>
      <c r="D314" s="65" t="s">
        <v>531</v>
      </c>
      <c r="E314" s="66"/>
      <c r="F314" s="66"/>
      <c r="G314" s="66" t="s">
        <v>608</v>
      </c>
      <c r="H314" s="67">
        <v>25850</v>
      </c>
      <c r="I314" s="68">
        <v>0</v>
      </c>
      <c r="J314" s="68">
        <v>0</v>
      </c>
      <c r="K314" s="68">
        <f t="shared" si="32"/>
        <v>0</v>
      </c>
      <c r="L314" s="68"/>
      <c r="M314" s="69">
        <v>0</v>
      </c>
      <c r="N314" s="69">
        <f t="shared" si="39"/>
        <v>25850</v>
      </c>
      <c r="O314" s="68">
        <f t="shared" si="33"/>
        <v>2610145</v>
      </c>
      <c r="P314" s="65" t="s">
        <v>0</v>
      </c>
      <c r="Q314" s="65" t="s">
        <v>2</v>
      </c>
      <c r="R314" s="65" t="s">
        <v>612</v>
      </c>
      <c r="S314" s="65" t="s">
        <v>58</v>
      </c>
      <c r="V314" s="69"/>
      <c r="W314" s="69"/>
    </row>
    <row r="315" spans="1:23">
      <c r="A315" s="30">
        <v>45962</v>
      </c>
      <c r="B315" s="30" t="s">
        <v>64</v>
      </c>
      <c r="D315" t="s">
        <v>101</v>
      </c>
      <c r="G315" s="8" t="s">
        <v>608</v>
      </c>
      <c r="H315" s="14">
        <v>385000</v>
      </c>
      <c r="I315" s="26">
        <v>0</v>
      </c>
      <c r="J315" s="26">
        <v>0</v>
      </c>
      <c r="K315" s="26">
        <f t="shared" si="32"/>
        <v>0</v>
      </c>
      <c r="L315" s="26"/>
      <c r="M315" s="44">
        <v>0</v>
      </c>
      <c r="N315" s="14">
        <f t="shared" si="39"/>
        <v>385000</v>
      </c>
      <c r="O315" s="26">
        <f t="shared" si="33"/>
        <v>2995145</v>
      </c>
      <c r="P315" t="s">
        <v>18</v>
      </c>
      <c r="Q315" t="s">
        <v>623</v>
      </c>
      <c r="R315" t="s">
        <v>64</v>
      </c>
      <c r="S315" t="s">
        <v>57</v>
      </c>
    </row>
    <row r="316" spans="1:23" s="65" customFormat="1">
      <c r="A316" s="64">
        <v>45962</v>
      </c>
      <c r="B316" s="64" t="s">
        <v>64</v>
      </c>
      <c r="D316" s="65" t="s">
        <v>101</v>
      </c>
      <c r="E316" s="66"/>
      <c r="F316" s="66"/>
      <c r="G316" s="66" t="s">
        <v>608</v>
      </c>
      <c r="H316" s="67">
        <v>385000</v>
      </c>
      <c r="I316" s="68">
        <v>0</v>
      </c>
      <c r="J316" s="68">
        <v>0</v>
      </c>
      <c r="K316" s="68">
        <f t="shared" si="32"/>
        <v>0</v>
      </c>
      <c r="L316" s="68"/>
      <c r="M316" s="69">
        <v>0</v>
      </c>
      <c r="N316" s="69">
        <f t="shared" si="39"/>
        <v>385000</v>
      </c>
      <c r="O316" s="68">
        <f t="shared" si="33"/>
        <v>3380145</v>
      </c>
      <c r="P316" s="65" t="s">
        <v>0</v>
      </c>
      <c r="Q316" s="65" t="s">
        <v>2</v>
      </c>
      <c r="R316" s="65" t="s">
        <v>612</v>
      </c>
      <c r="S316" s="65" t="s">
        <v>58</v>
      </c>
      <c r="V316" s="69"/>
      <c r="W316" s="69"/>
    </row>
    <row r="317" spans="1:23">
      <c r="A317" s="30">
        <v>45962</v>
      </c>
      <c r="B317" s="30" t="s">
        <v>607</v>
      </c>
      <c r="C317" t="s">
        <v>532</v>
      </c>
      <c r="D317" t="s">
        <v>61</v>
      </c>
      <c r="E317" s="8" t="s">
        <v>533</v>
      </c>
      <c r="F317" s="8">
        <v>2025</v>
      </c>
      <c r="G317" s="8" t="s">
        <v>6</v>
      </c>
      <c r="H317" s="29">
        <v>74324324</v>
      </c>
      <c r="I317" s="26">
        <f t="shared" ref="I317:I331" si="40">H317</f>
        <v>74324324</v>
      </c>
      <c r="J317" s="26">
        <f t="shared" ref="J317:J330" si="41">-I317</f>
        <v>-74324324</v>
      </c>
      <c r="K317" s="26">
        <f t="shared" ref="K317:K331" si="42">I317+J317</f>
        <v>0</v>
      </c>
      <c r="L317" s="26"/>
      <c r="M317" s="44">
        <v>0</v>
      </c>
      <c r="N317" s="26">
        <v>0</v>
      </c>
      <c r="O317" s="26">
        <f t="shared" si="33"/>
        <v>3380145</v>
      </c>
      <c r="P317" t="s">
        <v>18</v>
      </c>
      <c r="Q317" s="1" t="s">
        <v>626</v>
      </c>
      <c r="R317" t="s">
        <v>631</v>
      </c>
      <c r="S317" s="4" t="s">
        <v>25</v>
      </c>
      <c r="V317"/>
      <c r="W317"/>
    </row>
    <row r="318" spans="1:23">
      <c r="A318" s="30">
        <v>45962</v>
      </c>
      <c r="B318" s="30" t="s">
        <v>607</v>
      </c>
      <c r="C318" t="s">
        <v>534</v>
      </c>
      <c r="D318" t="s">
        <v>183</v>
      </c>
      <c r="E318" s="8" t="s">
        <v>535</v>
      </c>
      <c r="F318" s="8">
        <v>2025</v>
      </c>
      <c r="G318" s="8" t="s">
        <v>6</v>
      </c>
      <c r="H318" s="29">
        <v>10675500</v>
      </c>
      <c r="I318" s="26">
        <f t="shared" si="40"/>
        <v>10675500</v>
      </c>
      <c r="J318" s="26">
        <f t="shared" si="41"/>
        <v>-10675500</v>
      </c>
      <c r="K318" s="26">
        <f t="shared" si="42"/>
        <v>0</v>
      </c>
      <c r="L318" s="26"/>
      <c r="M318" s="44">
        <v>0</v>
      </c>
      <c r="N318" s="26">
        <v>0</v>
      </c>
      <c r="O318" s="26">
        <f t="shared" si="33"/>
        <v>3380145</v>
      </c>
      <c r="P318" t="s">
        <v>18</v>
      </c>
      <c r="Q318" s="1" t="s">
        <v>626</v>
      </c>
      <c r="R318" t="s">
        <v>631</v>
      </c>
      <c r="S318" s="4" t="s">
        <v>25</v>
      </c>
      <c r="V318"/>
      <c r="W318"/>
    </row>
    <row r="319" spans="1:23" s="5" customFormat="1">
      <c r="A319" s="31" t="s">
        <v>1</v>
      </c>
      <c r="B319" s="30" t="s">
        <v>607</v>
      </c>
      <c r="C319" s="5" t="s">
        <v>1</v>
      </c>
      <c r="D319" s="5" t="s">
        <v>183</v>
      </c>
      <c r="E319" s="10" t="s">
        <v>84</v>
      </c>
      <c r="F319" s="10">
        <v>2024</v>
      </c>
      <c r="G319" s="10" t="s">
        <v>6</v>
      </c>
      <c r="H319" s="32">
        <v>11163614</v>
      </c>
      <c r="I319" s="26">
        <f t="shared" si="40"/>
        <v>11163614</v>
      </c>
      <c r="J319" s="26">
        <f t="shared" si="41"/>
        <v>-11163614</v>
      </c>
      <c r="K319" s="26">
        <f t="shared" si="42"/>
        <v>0</v>
      </c>
      <c r="L319" s="26"/>
      <c r="M319" s="16">
        <v>0</v>
      </c>
      <c r="N319" s="26">
        <v>0</v>
      </c>
      <c r="O319" s="26">
        <f t="shared" si="33"/>
        <v>3380145</v>
      </c>
      <c r="P319" t="s">
        <v>18</v>
      </c>
      <c r="Q319" s="1" t="s">
        <v>626</v>
      </c>
      <c r="R319" s="1" t="s">
        <v>630</v>
      </c>
      <c r="S319" s="4" t="s">
        <v>62</v>
      </c>
    </row>
    <row r="320" spans="1:23">
      <c r="A320" s="30">
        <v>45962</v>
      </c>
      <c r="B320" s="30" t="s">
        <v>607</v>
      </c>
      <c r="C320" t="s">
        <v>536</v>
      </c>
      <c r="D320" t="s">
        <v>183</v>
      </c>
      <c r="E320" s="8" t="s">
        <v>537</v>
      </c>
      <c r="F320" s="8">
        <v>2025</v>
      </c>
      <c r="G320" s="8" t="s">
        <v>6</v>
      </c>
      <c r="H320" s="29">
        <v>24195402</v>
      </c>
      <c r="I320" s="26">
        <f t="shared" si="40"/>
        <v>24195402</v>
      </c>
      <c r="J320" s="26">
        <f t="shared" si="41"/>
        <v>-24195402</v>
      </c>
      <c r="K320" s="26">
        <f t="shared" si="42"/>
        <v>0</v>
      </c>
      <c r="L320" s="26"/>
      <c r="M320" s="44">
        <v>0</v>
      </c>
      <c r="N320" s="26">
        <v>0</v>
      </c>
      <c r="O320" s="26">
        <f t="shared" si="33"/>
        <v>3380145</v>
      </c>
      <c r="P320" t="s">
        <v>18</v>
      </c>
      <c r="Q320" s="1" t="s">
        <v>626</v>
      </c>
      <c r="R320" t="s">
        <v>631</v>
      </c>
      <c r="S320" s="4" t="s">
        <v>25</v>
      </c>
      <c r="V320"/>
      <c r="W320"/>
    </row>
    <row r="321" spans="1:23">
      <c r="A321" s="30">
        <v>45962</v>
      </c>
      <c r="B321" s="30" t="s">
        <v>607</v>
      </c>
      <c r="C321" t="s">
        <v>538</v>
      </c>
      <c r="D321" t="s">
        <v>183</v>
      </c>
      <c r="E321" s="8" t="s">
        <v>539</v>
      </c>
      <c r="F321" s="8">
        <v>2025</v>
      </c>
      <c r="G321" s="8" t="s">
        <v>6</v>
      </c>
      <c r="H321" s="29">
        <v>4840000</v>
      </c>
      <c r="I321" s="26">
        <f t="shared" si="40"/>
        <v>4840000</v>
      </c>
      <c r="J321" s="26">
        <f t="shared" si="41"/>
        <v>-4840000</v>
      </c>
      <c r="K321" s="26">
        <f t="shared" si="42"/>
        <v>0</v>
      </c>
      <c r="L321" s="26"/>
      <c r="M321" s="44">
        <v>0</v>
      </c>
      <c r="N321" s="26">
        <v>0</v>
      </c>
      <c r="O321" s="26">
        <f t="shared" si="33"/>
        <v>3380145</v>
      </c>
      <c r="P321" t="s">
        <v>18</v>
      </c>
      <c r="Q321" s="1" t="s">
        <v>626</v>
      </c>
      <c r="R321" t="s">
        <v>631</v>
      </c>
      <c r="S321" s="4" t="s">
        <v>25</v>
      </c>
      <c r="V321"/>
      <c r="W321"/>
    </row>
    <row r="322" spans="1:23">
      <c r="A322" s="30">
        <v>45962</v>
      </c>
      <c r="B322" s="30" t="s">
        <v>607</v>
      </c>
      <c r="C322" t="s">
        <v>540</v>
      </c>
      <c r="D322" t="s">
        <v>183</v>
      </c>
      <c r="E322" s="8" t="s">
        <v>541</v>
      </c>
      <c r="F322" s="8">
        <v>2025</v>
      </c>
      <c r="G322" s="8" t="s">
        <v>6</v>
      </c>
      <c r="H322" s="29">
        <v>19225718</v>
      </c>
      <c r="I322" s="26">
        <f t="shared" si="40"/>
        <v>19225718</v>
      </c>
      <c r="J322" s="26">
        <f t="shared" si="41"/>
        <v>-19225718</v>
      </c>
      <c r="K322" s="26">
        <f t="shared" si="42"/>
        <v>0</v>
      </c>
      <c r="L322" s="26"/>
      <c r="M322" s="44">
        <v>0</v>
      </c>
      <c r="N322" s="26">
        <v>0</v>
      </c>
      <c r="O322" s="26">
        <f t="shared" si="33"/>
        <v>3380145</v>
      </c>
      <c r="P322" t="s">
        <v>18</v>
      </c>
      <c r="Q322" s="1" t="s">
        <v>626</v>
      </c>
      <c r="R322" t="s">
        <v>631</v>
      </c>
      <c r="S322" s="4" t="s">
        <v>25</v>
      </c>
      <c r="V322"/>
      <c r="W322"/>
    </row>
    <row r="323" spans="1:23" s="5" customFormat="1">
      <c r="A323" s="31">
        <v>45962</v>
      </c>
      <c r="B323" s="30" t="s">
        <v>607</v>
      </c>
      <c r="C323" s="5" t="s">
        <v>542</v>
      </c>
      <c r="D323" s="5" t="s">
        <v>183</v>
      </c>
      <c r="E323" s="10" t="s">
        <v>543</v>
      </c>
      <c r="F323" s="10">
        <v>2024</v>
      </c>
      <c r="G323" s="10" t="s">
        <v>6</v>
      </c>
      <c r="H323" s="36">
        <v>17592069</v>
      </c>
      <c r="I323" s="26">
        <f t="shared" si="40"/>
        <v>17592069</v>
      </c>
      <c r="J323" s="26">
        <f t="shared" si="41"/>
        <v>-17592069</v>
      </c>
      <c r="K323" s="26">
        <f t="shared" si="42"/>
        <v>0</v>
      </c>
      <c r="L323" s="26"/>
      <c r="M323" s="16">
        <v>0</v>
      </c>
      <c r="N323" s="26">
        <v>0</v>
      </c>
      <c r="O323" s="26">
        <f t="shared" si="33"/>
        <v>3380145</v>
      </c>
      <c r="P323" t="s">
        <v>18</v>
      </c>
      <c r="Q323" s="1" t="s">
        <v>626</v>
      </c>
      <c r="R323" s="1" t="s">
        <v>630</v>
      </c>
      <c r="S323" s="4" t="s">
        <v>62</v>
      </c>
    </row>
    <row r="324" spans="1:23" s="5" customFormat="1">
      <c r="A324" s="31">
        <v>45962</v>
      </c>
      <c r="B324" s="30" t="s">
        <v>607</v>
      </c>
      <c r="C324" s="5" t="s">
        <v>544</v>
      </c>
      <c r="D324" s="5" t="s">
        <v>183</v>
      </c>
      <c r="E324" s="10" t="s">
        <v>545</v>
      </c>
      <c r="F324" s="10">
        <v>2024</v>
      </c>
      <c r="G324" s="10" t="s">
        <v>6</v>
      </c>
      <c r="H324" s="36">
        <v>12444425</v>
      </c>
      <c r="I324" s="26">
        <f t="shared" si="40"/>
        <v>12444425</v>
      </c>
      <c r="J324" s="26">
        <f t="shared" si="41"/>
        <v>-12444425</v>
      </c>
      <c r="K324" s="26">
        <f t="shared" si="42"/>
        <v>0</v>
      </c>
      <c r="L324" s="26"/>
      <c r="M324" s="14">
        <v>0</v>
      </c>
      <c r="N324" s="26">
        <v>0</v>
      </c>
      <c r="O324" s="26">
        <f t="shared" si="33"/>
        <v>3380145</v>
      </c>
      <c r="P324" t="s">
        <v>18</v>
      </c>
      <c r="Q324" s="1" t="s">
        <v>626</v>
      </c>
      <c r="R324" s="1" t="s">
        <v>630</v>
      </c>
      <c r="S324" s="4" t="s">
        <v>62</v>
      </c>
    </row>
    <row r="325" spans="1:23" s="5" customFormat="1">
      <c r="A325" s="31">
        <v>45962</v>
      </c>
      <c r="B325" s="30" t="s">
        <v>607</v>
      </c>
      <c r="C325" s="5" t="s">
        <v>82</v>
      </c>
      <c r="D325" s="5" t="s">
        <v>183</v>
      </c>
      <c r="E325" s="10" t="s">
        <v>83</v>
      </c>
      <c r="F325" s="8">
        <v>2024</v>
      </c>
      <c r="G325" s="8" t="s">
        <v>6</v>
      </c>
      <c r="H325" s="32">
        <v>3825250</v>
      </c>
      <c r="I325" s="26">
        <f t="shared" si="40"/>
        <v>3825250</v>
      </c>
      <c r="J325" s="26">
        <f t="shared" si="41"/>
        <v>-3825250</v>
      </c>
      <c r="K325" s="26">
        <f t="shared" si="42"/>
        <v>0</v>
      </c>
      <c r="L325" s="26"/>
      <c r="M325" s="14">
        <v>0</v>
      </c>
      <c r="N325" s="26">
        <v>0</v>
      </c>
      <c r="O325" s="26">
        <f t="shared" si="33"/>
        <v>3380145</v>
      </c>
      <c r="P325" t="s">
        <v>18</v>
      </c>
      <c r="Q325" s="1" t="s">
        <v>626</v>
      </c>
      <c r="R325" s="1" t="s">
        <v>630</v>
      </c>
      <c r="S325" s="4" t="s">
        <v>62</v>
      </c>
    </row>
    <row r="326" spans="1:23" s="5" customFormat="1">
      <c r="A326" s="31">
        <v>45962</v>
      </c>
      <c r="B326" s="30" t="s">
        <v>607</v>
      </c>
      <c r="C326" s="5" t="s">
        <v>80</v>
      </c>
      <c r="D326" s="5" t="s">
        <v>183</v>
      </c>
      <c r="E326" s="10" t="s">
        <v>81</v>
      </c>
      <c r="F326" s="10">
        <v>2024</v>
      </c>
      <c r="G326" s="10" t="s">
        <v>6</v>
      </c>
      <c r="H326" s="32">
        <v>17643345</v>
      </c>
      <c r="I326" s="26">
        <f t="shared" si="40"/>
        <v>17643345</v>
      </c>
      <c r="J326" s="26">
        <f t="shared" si="41"/>
        <v>-17643345</v>
      </c>
      <c r="K326" s="26">
        <f t="shared" si="42"/>
        <v>0</v>
      </c>
      <c r="L326" s="26"/>
      <c r="M326" s="14">
        <v>0</v>
      </c>
      <c r="N326" s="26">
        <v>0</v>
      </c>
      <c r="O326" s="26">
        <f t="shared" si="33"/>
        <v>3380145</v>
      </c>
      <c r="P326" t="s">
        <v>18</v>
      </c>
      <c r="Q326" s="1" t="s">
        <v>626</v>
      </c>
      <c r="R326" s="1" t="s">
        <v>630</v>
      </c>
      <c r="S326" s="4" t="s">
        <v>62</v>
      </c>
    </row>
    <row r="327" spans="1:23" s="5" customFormat="1">
      <c r="A327" s="31">
        <v>45962</v>
      </c>
      <c r="B327" s="30" t="s">
        <v>607</v>
      </c>
      <c r="C327" s="5" t="s">
        <v>78</v>
      </c>
      <c r="D327" s="5" t="s">
        <v>183</v>
      </c>
      <c r="E327" s="10" t="s">
        <v>79</v>
      </c>
      <c r="F327" s="10">
        <v>2024</v>
      </c>
      <c r="G327" s="10" t="s">
        <v>6</v>
      </c>
      <c r="H327" s="32">
        <v>20250011</v>
      </c>
      <c r="I327" s="26">
        <f t="shared" si="40"/>
        <v>20250011</v>
      </c>
      <c r="J327" s="26">
        <f t="shared" si="41"/>
        <v>-20250011</v>
      </c>
      <c r="K327" s="26">
        <f t="shared" si="42"/>
        <v>0</v>
      </c>
      <c r="L327" s="26"/>
      <c r="M327" s="14">
        <v>0</v>
      </c>
      <c r="N327" s="26">
        <v>0</v>
      </c>
      <c r="O327" s="26">
        <f t="shared" ref="O327:O360" si="43">O326-M327+N327</f>
        <v>3380145</v>
      </c>
      <c r="P327" t="s">
        <v>18</v>
      </c>
      <c r="Q327" s="1" t="s">
        <v>626</v>
      </c>
      <c r="R327" s="1" t="s">
        <v>630</v>
      </c>
      <c r="S327" s="4" t="s">
        <v>62</v>
      </c>
    </row>
    <row r="328" spans="1:23">
      <c r="A328" s="30">
        <v>45962</v>
      </c>
      <c r="B328" s="30" t="s">
        <v>607</v>
      </c>
      <c r="C328" t="s">
        <v>546</v>
      </c>
      <c r="D328" t="s">
        <v>183</v>
      </c>
      <c r="E328" s="8" t="s">
        <v>547</v>
      </c>
      <c r="F328" s="8">
        <v>2025</v>
      </c>
      <c r="G328" s="8" t="s">
        <v>6</v>
      </c>
      <c r="H328" s="29">
        <v>5872595</v>
      </c>
      <c r="I328" s="26">
        <f t="shared" si="40"/>
        <v>5872595</v>
      </c>
      <c r="J328" s="26">
        <f t="shared" si="41"/>
        <v>-5872595</v>
      </c>
      <c r="K328" s="26">
        <f t="shared" si="42"/>
        <v>0</v>
      </c>
      <c r="L328" s="26"/>
      <c r="M328" s="44">
        <v>0</v>
      </c>
      <c r="N328" s="26">
        <v>0</v>
      </c>
      <c r="O328" s="26">
        <f t="shared" si="43"/>
        <v>3380145</v>
      </c>
      <c r="P328" t="s">
        <v>18</v>
      </c>
      <c r="Q328" s="1" t="s">
        <v>626</v>
      </c>
      <c r="R328" t="s">
        <v>631</v>
      </c>
      <c r="S328" s="4" t="s">
        <v>25</v>
      </c>
      <c r="V328"/>
      <c r="W328"/>
    </row>
    <row r="329" spans="1:23">
      <c r="A329" s="30">
        <v>45962</v>
      </c>
      <c r="B329" s="30" t="s">
        <v>607</v>
      </c>
      <c r="C329" t="s">
        <v>548</v>
      </c>
      <c r="D329" t="s">
        <v>108</v>
      </c>
      <c r="E329" s="8" t="s">
        <v>549</v>
      </c>
      <c r="F329" s="8">
        <v>2025</v>
      </c>
      <c r="G329" s="8" t="s">
        <v>6</v>
      </c>
      <c r="H329" s="29">
        <v>79279279</v>
      </c>
      <c r="I329" s="26">
        <f t="shared" si="40"/>
        <v>79279279</v>
      </c>
      <c r="J329" s="26">
        <f t="shared" si="41"/>
        <v>-79279279</v>
      </c>
      <c r="K329" s="26">
        <f t="shared" si="42"/>
        <v>0</v>
      </c>
      <c r="L329" s="26"/>
      <c r="M329" s="44">
        <v>0</v>
      </c>
      <c r="N329" s="26">
        <v>0</v>
      </c>
      <c r="O329" s="26">
        <f t="shared" si="43"/>
        <v>3380145</v>
      </c>
      <c r="P329" t="s">
        <v>18</v>
      </c>
      <c r="Q329" s="1" t="s">
        <v>626</v>
      </c>
      <c r="R329" t="s">
        <v>631</v>
      </c>
      <c r="S329" s="4" t="s">
        <v>25</v>
      </c>
      <c r="V329"/>
      <c r="W329"/>
    </row>
    <row r="330" spans="1:23">
      <c r="A330" s="30">
        <v>45962</v>
      </c>
      <c r="B330" s="30" t="s">
        <v>607</v>
      </c>
      <c r="C330" t="s">
        <v>550</v>
      </c>
      <c r="D330" t="s">
        <v>9</v>
      </c>
      <c r="E330" s="8" t="s">
        <v>551</v>
      </c>
      <c r="F330" s="8">
        <v>2025</v>
      </c>
      <c r="G330" s="8" t="s">
        <v>6</v>
      </c>
      <c r="H330" s="29">
        <v>667397370</v>
      </c>
      <c r="I330" s="26">
        <f t="shared" si="40"/>
        <v>667397370</v>
      </c>
      <c r="J330" s="26">
        <f t="shared" si="41"/>
        <v>-667397370</v>
      </c>
      <c r="K330" s="26">
        <f t="shared" si="42"/>
        <v>0</v>
      </c>
      <c r="L330" s="26"/>
      <c r="M330" s="44">
        <v>0</v>
      </c>
      <c r="N330" s="26">
        <v>0</v>
      </c>
      <c r="O330" s="26">
        <f t="shared" si="43"/>
        <v>3380145</v>
      </c>
      <c r="P330" t="s">
        <v>18</v>
      </c>
      <c r="Q330" s="1" t="s">
        <v>626</v>
      </c>
      <c r="R330" t="s">
        <v>631</v>
      </c>
      <c r="S330" s="4" t="s">
        <v>25</v>
      </c>
      <c r="V330"/>
      <c r="W330"/>
    </row>
    <row r="331" spans="1:23">
      <c r="A331" s="30">
        <v>45962</v>
      </c>
      <c r="B331" s="30" t="s">
        <v>607</v>
      </c>
      <c r="C331" t="s">
        <v>552</v>
      </c>
      <c r="D331" t="s">
        <v>16</v>
      </c>
      <c r="E331" s="8" t="s">
        <v>553</v>
      </c>
      <c r="F331" s="8">
        <v>2025</v>
      </c>
      <c r="G331" s="8" t="s">
        <v>6</v>
      </c>
      <c r="H331" s="29">
        <v>80270270</v>
      </c>
      <c r="I331" s="26">
        <f t="shared" si="40"/>
        <v>80270270</v>
      </c>
      <c r="J331" s="26">
        <v>0</v>
      </c>
      <c r="K331" s="26">
        <f t="shared" si="42"/>
        <v>80270270</v>
      </c>
      <c r="L331" s="26"/>
      <c r="M331" s="44">
        <v>0</v>
      </c>
      <c r="N331" s="26">
        <v>0</v>
      </c>
      <c r="O331" s="26">
        <f t="shared" si="43"/>
        <v>3380145</v>
      </c>
      <c r="P331" t="s">
        <v>1</v>
      </c>
      <c r="Q331" s="1" t="s">
        <v>1</v>
      </c>
      <c r="R331" t="s">
        <v>1</v>
      </c>
      <c r="S331" s="4" t="s">
        <v>1</v>
      </c>
      <c r="V331"/>
      <c r="W331"/>
    </row>
    <row r="332" spans="1:23">
      <c r="A332" s="30">
        <v>45962</v>
      </c>
      <c r="B332" s="30" t="s">
        <v>607</v>
      </c>
      <c r="C332" t="s">
        <v>554</v>
      </c>
      <c r="D332" t="s">
        <v>50</v>
      </c>
      <c r="E332" s="8" t="s">
        <v>555</v>
      </c>
      <c r="F332" s="8">
        <v>2025</v>
      </c>
      <c r="G332" s="21" t="s">
        <v>7</v>
      </c>
      <c r="H332" s="21">
        <v>20134400</v>
      </c>
      <c r="I332" s="26">
        <v>0</v>
      </c>
      <c r="J332" s="26">
        <v>0</v>
      </c>
      <c r="K332" s="26">
        <f t="shared" ref="K332:K360" si="44">I332-J332</f>
        <v>0</v>
      </c>
      <c r="L332" s="26"/>
      <c r="M332" s="21">
        <f>H332</f>
        <v>20134400</v>
      </c>
      <c r="N332" s="26">
        <v>0</v>
      </c>
      <c r="O332" s="26">
        <f t="shared" si="43"/>
        <v>-16754255</v>
      </c>
      <c r="P332" s="13" t="s">
        <v>0</v>
      </c>
      <c r="Q332" s="13" t="s">
        <v>604</v>
      </c>
      <c r="R332" s="13" t="s">
        <v>605</v>
      </c>
    </row>
    <row r="333" spans="1:23">
      <c r="A333" s="30">
        <v>45962</v>
      </c>
      <c r="B333" s="30" t="s">
        <v>607</v>
      </c>
      <c r="C333" t="s">
        <v>556</v>
      </c>
      <c r="D333" t="s">
        <v>9</v>
      </c>
      <c r="E333" s="8" t="s">
        <v>557</v>
      </c>
      <c r="F333" s="8">
        <v>2025</v>
      </c>
      <c r="G333" s="8" t="s">
        <v>6</v>
      </c>
      <c r="H333" s="29">
        <v>84820607</v>
      </c>
      <c r="I333" s="26">
        <f>H333</f>
        <v>84820607</v>
      </c>
      <c r="J333" s="26">
        <f>-I333</f>
        <v>-84820607</v>
      </c>
      <c r="K333" s="26">
        <f>I333+J333</f>
        <v>0</v>
      </c>
      <c r="L333" s="26"/>
      <c r="M333" s="44">
        <v>0</v>
      </c>
      <c r="N333" s="26">
        <v>0</v>
      </c>
      <c r="O333" s="26">
        <f t="shared" si="43"/>
        <v>-16754255</v>
      </c>
      <c r="P333" t="s">
        <v>18</v>
      </c>
      <c r="Q333" s="1" t="s">
        <v>626</v>
      </c>
      <c r="R333" t="s">
        <v>631</v>
      </c>
      <c r="S333" s="4" t="s">
        <v>25</v>
      </c>
      <c r="V333"/>
      <c r="W333"/>
    </row>
    <row r="334" spans="1:23">
      <c r="A334" s="30">
        <v>45962</v>
      </c>
      <c r="B334" s="30" t="s">
        <v>607</v>
      </c>
      <c r="C334" t="s">
        <v>558</v>
      </c>
      <c r="D334" t="s">
        <v>11</v>
      </c>
      <c r="E334" s="8" t="s">
        <v>559</v>
      </c>
      <c r="F334" s="8">
        <v>2025</v>
      </c>
      <c r="G334" s="8" t="s">
        <v>6</v>
      </c>
      <c r="H334" s="29">
        <v>110000000</v>
      </c>
      <c r="I334" s="26">
        <f>H334</f>
        <v>110000000</v>
      </c>
      <c r="J334" s="26">
        <f>-I334</f>
        <v>-110000000</v>
      </c>
      <c r="K334" s="26">
        <f>I334+J334</f>
        <v>0</v>
      </c>
      <c r="L334" s="26"/>
      <c r="M334" s="44">
        <v>0</v>
      </c>
      <c r="N334" s="26">
        <v>0</v>
      </c>
      <c r="O334" s="26">
        <f t="shared" si="43"/>
        <v>-16754255</v>
      </c>
      <c r="P334" t="s">
        <v>18</v>
      </c>
      <c r="Q334" s="1" t="s">
        <v>626</v>
      </c>
      <c r="R334" t="s">
        <v>631</v>
      </c>
      <c r="S334" s="4" t="s">
        <v>25</v>
      </c>
      <c r="V334"/>
      <c r="W334"/>
    </row>
    <row r="335" spans="1:23" s="59" customFormat="1">
      <c r="A335" s="58"/>
      <c r="B335" s="58" t="s">
        <v>71</v>
      </c>
      <c r="C335" s="59" t="s">
        <v>627</v>
      </c>
      <c r="E335" s="60"/>
      <c r="F335" s="60" t="s">
        <v>632</v>
      </c>
      <c r="G335" s="60" t="s">
        <v>7</v>
      </c>
      <c r="H335" s="61">
        <v>16754255</v>
      </c>
      <c r="I335" s="62">
        <v>0</v>
      </c>
      <c r="J335" s="62">
        <v>0</v>
      </c>
      <c r="K335" s="62">
        <f t="shared" si="44"/>
        <v>0</v>
      </c>
      <c r="L335" s="62"/>
      <c r="M335" s="61">
        <v>0</v>
      </c>
      <c r="N335" s="61">
        <v>0</v>
      </c>
      <c r="O335" s="62">
        <f t="shared" si="43"/>
        <v>-16754255</v>
      </c>
      <c r="P335" s="59" t="s">
        <v>0</v>
      </c>
      <c r="Q335" s="59" t="s">
        <v>2</v>
      </c>
      <c r="R335" s="59" t="s">
        <v>602</v>
      </c>
      <c r="S335" s="63" t="s">
        <v>69</v>
      </c>
    </row>
    <row r="336" spans="1:23">
      <c r="A336" s="38">
        <v>45992</v>
      </c>
      <c r="B336" s="38" t="s">
        <v>64</v>
      </c>
      <c r="D336" t="s">
        <v>87</v>
      </c>
      <c r="G336" s="8" t="s">
        <v>608</v>
      </c>
      <c r="H336" s="14">
        <v>74324</v>
      </c>
      <c r="I336" s="26">
        <v>0</v>
      </c>
      <c r="J336" s="26">
        <v>0</v>
      </c>
      <c r="K336" s="26">
        <f t="shared" si="44"/>
        <v>0</v>
      </c>
      <c r="L336" s="26"/>
      <c r="M336" s="44">
        <v>0</v>
      </c>
      <c r="N336" s="14">
        <f>H336</f>
        <v>74324</v>
      </c>
      <c r="O336" s="26">
        <f t="shared" si="43"/>
        <v>-16679931</v>
      </c>
      <c r="P336" s="13" t="s">
        <v>18</v>
      </c>
      <c r="Q336" t="s">
        <v>623</v>
      </c>
      <c r="R336" t="s">
        <v>64</v>
      </c>
      <c r="S336" t="s">
        <v>63</v>
      </c>
    </row>
    <row r="337" spans="1:23">
      <c r="A337" s="38">
        <v>45992</v>
      </c>
      <c r="B337" s="38" t="s">
        <v>64</v>
      </c>
      <c r="D337" t="s">
        <v>560</v>
      </c>
      <c r="G337" s="8" t="s">
        <v>608</v>
      </c>
      <c r="H337" s="14">
        <v>3006295</v>
      </c>
      <c r="I337" s="26">
        <v>0</v>
      </c>
      <c r="J337" s="26">
        <v>0</v>
      </c>
      <c r="K337" s="26">
        <f t="shared" si="44"/>
        <v>0</v>
      </c>
      <c r="L337" s="26"/>
      <c r="M337" s="44">
        <v>0</v>
      </c>
      <c r="N337" s="14">
        <f>H337</f>
        <v>3006295</v>
      </c>
      <c r="O337" s="26">
        <f t="shared" si="43"/>
        <v>-13673636</v>
      </c>
      <c r="P337" t="s">
        <v>18</v>
      </c>
      <c r="Q337" t="s">
        <v>626</v>
      </c>
      <c r="R337" s="1" t="s">
        <v>64</v>
      </c>
      <c r="S337" s="1" t="s">
        <v>53</v>
      </c>
    </row>
    <row r="338" spans="1:23">
      <c r="A338" s="38">
        <v>45992</v>
      </c>
      <c r="B338" s="38" t="s">
        <v>64</v>
      </c>
      <c r="D338" t="s">
        <v>85</v>
      </c>
      <c r="G338" s="8" t="s">
        <v>608</v>
      </c>
      <c r="H338" s="14">
        <v>1981982</v>
      </c>
      <c r="I338" s="26">
        <v>0</v>
      </c>
      <c r="J338" s="26">
        <v>0</v>
      </c>
      <c r="K338" s="26">
        <f t="shared" si="44"/>
        <v>0</v>
      </c>
      <c r="L338" s="26"/>
      <c r="M338" s="44">
        <v>0</v>
      </c>
      <c r="N338" s="14">
        <f>H338</f>
        <v>1981982</v>
      </c>
      <c r="O338" s="26">
        <f t="shared" si="43"/>
        <v>-11691654</v>
      </c>
      <c r="P338" t="s">
        <v>18</v>
      </c>
      <c r="Q338" t="s">
        <v>624</v>
      </c>
      <c r="R338" t="s">
        <v>64</v>
      </c>
      <c r="S338" t="s">
        <v>63</v>
      </c>
    </row>
    <row r="339" spans="1:23">
      <c r="A339" s="38">
        <v>45992</v>
      </c>
      <c r="B339" s="38" t="s">
        <v>64</v>
      </c>
      <c r="D339" t="s">
        <v>89</v>
      </c>
      <c r="G339" s="8" t="s">
        <v>608</v>
      </c>
      <c r="H339" s="14">
        <v>506000</v>
      </c>
      <c r="I339" s="26">
        <v>0</v>
      </c>
      <c r="J339" s="26">
        <v>0</v>
      </c>
      <c r="K339" s="26">
        <f t="shared" si="44"/>
        <v>0</v>
      </c>
      <c r="L339" s="26"/>
      <c r="M339" s="44">
        <v>0</v>
      </c>
      <c r="N339" s="14">
        <f>H339</f>
        <v>506000</v>
      </c>
      <c r="O339" s="26">
        <f t="shared" si="43"/>
        <v>-11185654</v>
      </c>
      <c r="P339" s="13" t="s">
        <v>18</v>
      </c>
      <c r="Q339" t="s">
        <v>623</v>
      </c>
      <c r="R339" t="s">
        <v>64</v>
      </c>
      <c r="S339" t="s">
        <v>63</v>
      </c>
    </row>
    <row r="340" spans="1:23" s="65" customFormat="1">
      <c r="A340" s="64">
        <v>45992</v>
      </c>
      <c r="B340" s="64" t="s">
        <v>64</v>
      </c>
      <c r="D340" s="65" t="s">
        <v>101</v>
      </c>
      <c r="E340" s="66"/>
      <c r="F340" s="66"/>
      <c r="G340" s="66" t="s">
        <v>608</v>
      </c>
      <c r="H340" s="67">
        <v>385000</v>
      </c>
      <c r="I340" s="68">
        <v>0</v>
      </c>
      <c r="J340" s="68">
        <v>0</v>
      </c>
      <c r="K340" s="68">
        <f t="shared" si="44"/>
        <v>0</v>
      </c>
      <c r="L340" s="68"/>
      <c r="M340" s="69">
        <v>0</v>
      </c>
      <c r="N340" s="69">
        <f>H340</f>
        <v>385000</v>
      </c>
      <c r="O340" s="68">
        <f t="shared" si="43"/>
        <v>-10800654</v>
      </c>
      <c r="P340" s="65" t="s">
        <v>0</v>
      </c>
      <c r="Q340" s="65" t="s">
        <v>2</v>
      </c>
      <c r="R340" s="65" t="s">
        <v>612</v>
      </c>
      <c r="S340" s="65" t="s">
        <v>63</v>
      </c>
      <c r="V340" s="69"/>
      <c r="W340" s="69"/>
    </row>
    <row r="341" spans="1:23" s="5" customFormat="1">
      <c r="A341" s="31">
        <v>45992</v>
      </c>
      <c r="B341" s="31" t="s">
        <v>607</v>
      </c>
      <c r="C341" s="5" t="s">
        <v>561</v>
      </c>
      <c r="D341" s="5" t="s">
        <v>183</v>
      </c>
      <c r="E341" s="10" t="s">
        <v>562</v>
      </c>
      <c r="F341" s="10">
        <v>2025</v>
      </c>
      <c r="G341" s="10" t="s">
        <v>6</v>
      </c>
      <c r="H341" s="29">
        <v>2454713</v>
      </c>
      <c r="I341" s="26">
        <f>H341</f>
        <v>2454713</v>
      </c>
      <c r="J341" s="26">
        <v>0</v>
      </c>
      <c r="K341" s="26">
        <f>I341+J341</f>
        <v>2454713</v>
      </c>
      <c r="L341" s="26"/>
      <c r="M341" s="14">
        <v>0</v>
      </c>
      <c r="N341" s="26">
        <v>0</v>
      </c>
      <c r="O341" s="26">
        <f t="shared" si="43"/>
        <v>-10800654</v>
      </c>
      <c r="P341" t="s">
        <v>1</v>
      </c>
      <c r="Q341" s="1" t="s">
        <v>1</v>
      </c>
      <c r="R341" t="s">
        <v>1</v>
      </c>
      <c r="S341" s="4" t="s">
        <v>1</v>
      </c>
    </row>
    <row r="342" spans="1:23">
      <c r="A342" s="30">
        <v>45992</v>
      </c>
      <c r="B342" s="31" t="s">
        <v>607</v>
      </c>
      <c r="C342" t="s">
        <v>563</v>
      </c>
      <c r="D342" t="s">
        <v>183</v>
      </c>
      <c r="E342" s="8" t="s">
        <v>564</v>
      </c>
      <c r="F342" s="8">
        <v>2025</v>
      </c>
      <c r="G342" s="8" t="s">
        <v>6</v>
      </c>
      <c r="H342" s="29">
        <v>1238551</v>
      </c>
      <c r="I342" s="26">
        <f>H342</f>
        <v>1238551</v>
      </c>
      <c r="J342" s="26">
        <v>0</v>
      </c>
      <c r="K342" s="26">
        <f>I342+J342</f>
        <v>1238551</v>
      </c>
      <c r="L342" s="26"/>
      <c r="M342" s="44">
        <v>0</v>
      </c>
      <c r="N342" s="26">
        <v>0</v>
      </c>
      <c r="O342" s="26">
        <f t="shared" si="43"/>
        <v>-10800654</v>
      </c>
      <c r="P342" t="s">
        <v>1</v>
      </c>
      <c r="Q342" s="1" t="s">
        <v>1</v>
      </c>
      <c r="R342" t="s">
        <v>1</v>
      </c>
      <c r="S342" s="4" t="s">
        <v>1</v>
      </c>
      <c r="V342"/>
      <c r="W342"/>
    </row>
    <row r="343" spans="1:23">
      <c r="A343" s="30">
        <v>45992</v>
      </c>
      <c r="B343" s="31" t="s">
        <v>607</v>
      </c>
      <c r="C343" t="s">
        <v>565</v>
      </c>
      <c r="D343" t="s">
        <v>183</v>
      </c>
      <c r="E343" s="8" t="s">
        <v>566</v>
      </c>
      <c r="F343" s="8">
        <v>2025</v>
      </c>
      <c r="G343" s="8" t="s">
        <v>6</v>
      </c>
      <c r="H343" s="29">
        <v>14417265</v>
      </c>
      <c r="I343" s="26">
        <f>H343</f>
        <v>14417265</v>
      </c>
      <c r="J343" s="26">
        <v>0</v>
      </c>
      <c r="K343" s="26">
        <f>I343+J343</f>
        <v>14417265</v>
      </c>
      <c r="L343" s="26"/>
      <c r="M343" s="44">
        <v>0</v>
      </c>
      <c r="N343" s="26">
        <v>0</v>
      </c>
      <c r="O343" s="26">
        <f t="shared" si="43"/>
        <v>-10800654</v>
      </c>
      <c r="P343" t="s">
        <v>1</v>
      </c>
      <c r="Q343" s="1" t="s">
        <v>1</v>
      </c>
      <c r="R343" t="s">
        <v>1</v>
      </c>
      <c r="S343" s="4" t="s">
        <v>1</v>
      </c>
      <c r="V343"/>
      <c r="W343"/>
    </row>
    <row r="344" spans="1:23">
      <c r="A344" s="38">
        <v>45992</v>
      </c>
      <c r="B344" s="31" t="s">
        <v>607</v>
      </c>
      <c r="C344" t="s">
        <v>567</v>
      </c>
      <c r="D344" t="s">
        <v>51</v>
      </c>
      <c r="E344" s="8" t="s">
        <v>568</v>
      </c>
      <c r="F344" s="8">
        <v>2025</v>
      </c>
      <c r="G344" s="21" t="s">
        <v>7</v>
      </c>
      <c r="H344" s="21">
        <v>10971817</v>
      </c>
      <c r="I344" s="26">
        <v>0</v>
      </c>
      <c r="J344" s="26">
        <v>0</v>
      </c>
      <c r="K344" s="26">
        <f t="shared" si="44"/>
        <v>0</v>
      </c>
      <c r="L344" s="26"/>
      <c r="M344" s="21">
        <f>H344</f>
        <v>10971817</v>
      </c>
      <c r="N344" s="26">
        <v>0</v>
      </c>
      <c r="O344" s="26">
        <f t="shared" si="43"/>
        <v>-21772471</v>
      </c>
      <c r="P344" s="13" t="s">
        <v>0</v>
      </c>
      <c r="Q344" s="13" t="s">
        <v>604</v>
      </c>
      <c r="R344" s="13" t="s">
        <v>605</v>
      </c>
    </row>
    <row r="345" spans="1:23" s="5" customFormat="1">
      <c r="A345" s="31">
        <v>45992</v>
      </c>
      <c r="B345" s="31" t="s">
        <v>607</v>
      </c>
      <c r="C345" s="5" t="s">
        <v>569</v>
      </c>
      <c r="D345" s="5" t="s">
        <v>183</v>
      </c>
      <c r="E345" s="10" t="s">
        <v>570</v>
      </c>
      <c r="F345" s="10">
        <v>2024</v>
      </c>
      <c r="G345" s="10" t="s">
        <v>6</v>
      </c>
      <c r="H345" s="11">
        <v>11616246</v>
      </c>
      <c r="I345" s="26">
        <f>H345</f>
        <v>11616246</v>
      </c>
      <c r="J345" s="26">
        <v>0</v>
      </c>
      <c r="K345" s="26">
        <f>I345+J345</f>
        <v>11616246</v>
      </c>
      <c r="L345" s="26"/>
      <c r="M345" s="14">
        <v>0</v>
      </c>
      <c r="N345" s="26">
        <v>0</v>
      </c>
      <c r="O345" s="26">
        <f t="shared" si="43"/>
        <v>-21772471</v>
      </c>
      <c r="P345" t="s">
        <v>1</v>
      </c>
      <c r="Q345" s="1" t="s">
        <v>1</v>
      </c>
      <c r="R345" s="13" t="s">
        <v>1</v>
      </c>
      <c r="S345" s="33" t="s">
        <v>1</v>
      </c>
    </row>
    <row r="346" spans="1:23">
      <c r="A346" s="38">
        <v>45992</v>
      </c>
      <c r="B346" s="31" t="s">
        <v>607</v>
      </c>
      <c r="C346" t="s">
        <v>571</v>
      </c>
      <c r="D346" t="s">
        <v>183</v>
      </c>
      <c r="E346" s="8" t="s">
        <v>572</v>
      </c>
      <c r="F346" s="8">
        <v>2025</v>
      </c>
      <c r="G346" s="8" t="s">
        <v>6</v>
      </c>
      <c r="H346" s="29">
        <v>8157672</v>
      </c>
      <c r="I346" s="26">
        <f>H346</f>
        <v>8157672</v>
      </c>
      <c r="J346" s="26">
        <v>0</v>
      </c>
      <c r="K346" s="26">
        <f>I346+J346</f>
        <v>8157672</v>
      </c>
      <c r="L346" s="26"/>
      <c r="M346" s="44">
        <v>0</v>
      </c>
      <c r="N346" s="26">
        <v>0</v>
      </c>
      <c r="O346" s="26">
        <f t="shared" si="43"/>
        <v>-21772471</v>
      </c>
      <c r="P346" t="s">
        <v>1</v>
      </c>
      <c r="Q346" s="1" t="s">
        <v>1</v>
      </c>
      <c r="R346" t="s">
        <v>1</v>
      </c>
      <c r="S346" s="4" t="s">
        <v>1</v>
      </c>
      <c r="V346"/>
      <c r="W346"/>
    </row>
    <row r="347" spans="1:23">
      <c r="A347" s="38">
        <v>45992</v>
      </c>
      <c r="B347" s="31" t="s">
        <v>607</v>
      </c>
      <c r="C347" t="s">
        <v>573</v>
      </c>
      <c r="D347" t="s">
        <v>183</v>
      </c>
      <c r="E347" s="8" t="s">
        <v>574</v>
      </c>
      <c r="F347" s="8">
        <v>2025</v>
      </c>
      <c r="G347" s="8" t="s">
        <v>6</v>
      </c>
      <c r="H347" s="29">
        <v>4735777</v>
      </c>
      <c r="I347" s="26">
        <f>H347</f>
        <v>4735777</v>
      </c>
      <c r="J347" s="26">
        <v>0</v>
      </c>
      <c r="K347" s="26">
        <f>I347+J347</f>
        <v>4735777</v>
      </c>
      <c r="L347" s="26"/>
      <c r="M347" s="44">
        <v>0</v>
      </c>
      <c r="N347" s="26">
        <v>0</v>
      </c>
      <c r="O347" s="26">
        <f t="shared" si="43"/>
        <v>-21772471</v>
      </c>
      <c r="P347" t="s">
        <v>1</v>
      </c>
      <c r="Q347" s="1" t="s">
        <v>1</v>
      </c>
      <c r="R347" t="s">
        <v>1</v>
      </c>
      <c r="S347" s="4" t="s">
        <v>1</v>
      </c>
      <c r="V347"/>
      <c r="W347"/>
    </row>
    <row r="348" spans="1:23">
      <c r="A348" s="38">
        <v>45992</v>
      </c>
      <c r="B348" s="31" t="s">
        <v>607</v>
      </c>
      <c r="C348" t="s">
        <v>575</v>
      </c>
      <c r="D348" t="s">
        <v>183</v>
      </c>
      <c r="E348" s="8" t="s">
        <v>576</v>
      </c>
      <c r="F348" s="8">
        <v>2025</v>
      </c>
      <c r="G348" s="8" t="s">
        <v>6</v>
      </c>
      <c r="H348" s="29">
        <v>6699034</v>
      </c>
      <c r="I348" s="26">
        <f>H348</f>
        <v>6699034</v>
      </c>
      <c r="J348" s="26">
        <v>0</v>
      </c>
      <c r="K348" s="26">
        <f>I348+J348</f>
        <v>6699034</v>
      </c>
      <c r="L348" s="26"/>
      <c r="M348" s="44">
        <v>0</v>
      </c>
      <c r="N348" s="26">
        <v>0</v>
      </c>
      <c r="O348" s="26">
        <f t="shared" si="43"/>
        <v>-21772471</v>
      </c>
      <c r="P348" t="s">
        <v>1</v>
      </c>
      <c r="Q348" s="1" t="s">
        <v>1</v>
      </c>
      <c r="R348" t="s">
        <v>1</v>
      </c>
      <c r="S348" s="4" t="s">
        <v>1</v>
      </c>
      <c r="V348"/>
      <c r="W348"/>
    </row>
    <row r="349" spans="1:23">
      <c r="A349" s="38">
        <v>45992</v>
      </c>
      <c r="B349" s="31" t="s">
        <v>607</v>
      </c>
      <c r="C349" t="s">
        <v>577</v>
      </c>
      <c r="D349" t="s">
        <v>68</v>
      </c>
      <c r="E349" s="8" t="s">
        <v>578</v>
      </c>
      <c r="F349" s="8">
        <v>2025</v>
      </c>
      <c r="G349" s="8" t="s">
        <v>6</v>
      </c>
      <c r="H349" s="29">
        <v>34729981</v>
      </c>
      <c r="I349" s="26">
        <f>H349</f>
        <v>34729981</v>
      </c>
      <c r="J349" s="26">
        <v>0</v>
      </c>
      <c r="K349" s="26">
        <f>I349+J349</f>
        <v>34729981</v>
      </c>
      <c r="L349" s="26"/>
      <c r="M349" s="44">
        <v>0</v>
      </c>
      <c r="N349" s="26">
        <v>0</v>
      </c>
      <c r="O349" s="26">
        <f t="shared" si="43"/>
        <v>-21772471</v>
      </c>
      <c r="P349" t="s">
        <v>1</v>
      </c>
      <c r="Q349" s="1" t="s">
        <v>1</v>
      </c>
      <c r="R349" t="s">
        <v>1</v>
      </c>
      <c r="S349" s="4" t="s">
        <v>1</v>
      </c>
      <c r="V349"/>
      <c r="W349"/>
    </row>
    <row r="350" spans="1:23" s="1" customFormat="1">
      <c r="A350" s="42">
        <v>45992</v>
      </c>
      <c r="B350" s="42" t="s">
        <v>607</v>
      </c>
      <c r="C350" s="1" t="s">
        <v>579</v>
      </c>
      <c r="D350" s="1" t="s">
        <v>51</v>
      </c>
      <c r="E350" s="22" t="s">
        <v>580</v>
      </c>
      <c r="F350" s="8">
        <v>2025</v>
      </c>
      <c r="G350" s="22" t="s">
        <v>7</v>
      </c>
      <c r="H350" s="46">
        <v>529650</v>
      </c>
      <c r="I350" s="26">
        <v>0</v>
      </c>
      <c r="J350" s="26">
        <v>0</v>
      </c>
      <c r="K350" s="26">
        <f t="shared" si="44"/>
        <v>0</v>
      </c>
      <c r="L350" s="26"/>
      <c r="M350" s="21">
        <f>H350</f>
        <v>529650</v>
      </c>
      <c r="N350" s="26">
        <v>0</v>
      </c>
      <c r="O350" s="26">
        <f t="shared" si="43"/>
        <v>-22302121</v>
      </c>
      <c r="P350" s="1" t="s">
        <v>0</v>
      </c>
      <c r="Q350" s="1" t="s">
        <v>604</v>
      </c>
      <c r="R350" s="1" t="s">
        <v>605</v>
      </c>
      <c r="S350" s="1" t="s">
        <v>1</v>
      </c>
      <c r="V350" s="14"/>
      <c r="W350" s="14"/>
    </row>
    <row r="351" spans="1:23">
      <c r="A351" s="38">
        <v>45992</v>
      </c>
      <c r="B351" s="31" t="s">
        <v>607</v>
      </c>
      <c r="C351" t="s">
        <v>581</v>
      </c>
      <c r="D351" t="s">
        <v>95</v>
      </c>
      <c r="E351" s="8" t="s">
        <v>582</v>
      </c>
      <c r="F351" s="8">
        <v>2025</v>
      </c>
      <c r="G351" s="8" t="s">
        <v>6</v>
      </c>
      <c r="H351" s="29">
        <v>64414415</v>
      </c>
      <c r="I351" s="26">
        <f>H351</f>
        <v>64414415</v>
      </c>
      <c r="J351" s="26">
        <f>-I351</f>
        <v>-64414415</v>
      </c>
      <c r="K351" s="26">
        <f>I351+J351</f>
        <v>0</v>
      </c>
      <c r="L351" s="26"/>
      <c r="M351" s="44">
        <v>0</v>
      </c>
      <c r="N351" s="26">
        <v>0</v>
      </c>
      <c r="O351" s="26">
        <f t="shared" si="43"/>
        <v>-22302121</v>
      </c>
      <c r="P351" t="s">
        <v>18</v>
      </c>
      <c r="Q351" s="1" t="s">
        <v>626</v>
      </c>
      <c r="R351" t="s">
        <v>631</v>
      </c>
      <c r="S351" s="4" t="s">
        <v>25</v>
      </c>
      <c r="V351"/>
      <c r="W351"/>
    </row>
    <row r="352" spans="1:23">
      <c r="A352" s="38">
        <v>45992</v>
      </c>
      <c r="B352" s="31" t="s">
        <v>607</v>
      </c>
      <c r="C352" t="s">
        <v>583</v>
      </c>
      <c r="D352" t="s">
        <v>95</v>
      </c>
      <c r="E352" s="8" t="s">
        <v>584</v>
      </c>
      <c r="F352" s="8">
        <v>2025</v>
      </c>
      <c r="G352" s="8" t="s">
        <v>6</v>
      </c>
      <c r="H352" s="29">
        <v>79279279</v>
      </c>
      <c r="I352" s="26">
        <f>H352</f>
        <v>79279279</v>
      </c>
      <c r="J352" s="26">
        <f>-I352</f>
        <v>-79279279</v>
      </c>
      <c r="K352" s="26">
        <f>I352+J352</f>
        <v>0</v>
      </c>
      <c r="L352" s="26"/>
      <c r="M352" s="44">
        <v>0</v>
      </c>
      <c r="N352" s="26">
        <v>0</v>
      </c>
      <c r="O352" s="26">
        <f t="shared" si="43"/>
        <v>-22302121</v>
      </c>
      <c r="P352" t="s">
        <v>18</v>
      </c>
      <c r="Q352" s="1" t="s">
        <v>626</v>
      </c>
      <c r="R352" t="s">
        <v>631</v>
      </c>
      <c r="S352" s="4" t="s">
        <v>25</v>
      </c>
      <c r="V352"/>
      <c r="W352"/>
    </row>
    <row r="353" spans="1:23">
      <c r="A353" s="38">
        <v>45992</v>
      </c>
      <c r="B353" s="31" t="s">
        <v>607</v>
      </c>
      <c r="C353" t="s">
        <v>585</v>
      </c>
      <c r="D353" t="s">
        <v>95</v>
      </c>
      <c r="E353" s="8" t="s">
        <v>586</v>
      </c>
      <c r="F353" s="8">
        <v>2025</v>
      </c>
      <c r="G353" s="8" t="s">
        <v>6</v>
      </c>
      <c r="H353" s="29">
        <v>49549550</v>
      </c>
      <c r="I353" s="26">
        <f>H353</f>
        <v>49549550</v>
      </c>
      <c r="J353" s="26">
        <f>-I353</f>
        <v>-49549550</v>
      </c>
      <c r="K353" s="26">
        <f>I353+J353</f>
        <v>0</v>
      </c>
      <c r="L353" s="26"/>
      <c r="M353" s="44">
        <v>0</v>
      </c>
      <c r="N353" s="26">
        <v>0</v>
      </c>
      <c r="O353" s="26">
        <f t="shared" si="43"/>
        <v>-22302121</v>
      </c>
      <c r="P353" t="s">
        <v>18</v>
      </c>
      <c r="Q353" s="1" t="s">
        <v>626</v>
      </c>
      <c r="R353" t="s">
        <v>631</v>
      </c>
      <c r="S353" s="4" t="s">
        <v>25</v>
      </c>
      <c r="V353"/>
      <c r="W353"/>
    </row>
    <row r="354" spans="1:23">
      <c r="A354" s="38">
        <v>45992</v>
      </c>
      <c r="B354" s="31" t="s">
        <v>607</v>
      </c>
      <c r="C354" t="s">
        <v>587</v>
      </c>
      <c r="D354" t="s">
        <v>588</v>
      </c>
      <c r="E354" s="8" t="s">
        <v>589</v>
      </c>
      <c r="F354" s="8">
        <v>2025</v>
      </c>
      <c r="G354" s="8" t="s">
        <v>7</v>
      </c>
      <c r="H354" s="21">
        <v>4929375</v>
      </c>
      <c r="I354" s="26">
        <v>0</v>
      </c>
      <c r="J354" s="26">
        <v>0</v>
      </c>
      <c r="K354" s="26">
        <f t="shared" si="44"/>
        <v>0</v>
      </c>
      <c r="L354" s="26"/>
      <c r="M354" s="21">
        <f>H354</f>
        <v>4929375</v>
      </c>
      <c r="N354" s="26">
        <v>0</v>
      </c>
      <c r="O354" s="26">
        <f t="shared" si="43"/>
        <v>-27231496</v>
      </c>
      <c r="P354" s="13" t="s">
        <v>0</v>
      </c>
      <c r="Q354" s="13" t="s">
        <v>604</v>
      </c>
      <c r="R354" s="13" t="s">
        <v>605</v>
      </c>
    </row>
    <row r="355" spans="1:23">
      <c r="A355" s="38">
        <v>45992</v>
      </c>
      <c r="B355" s="31" t="s">
        <v>607</v>
      </c>
      <c r="C355" t="s">
        <v>590</v>
      </c>
      <c r="D355" t="s">
        <v>26</v>
      </c>
      <c r="E355" s="8" t="s">
        <v>591</v>
      </c>
      <c r="F355" s="8">
        <v>2025</v>
      </c>
      <c r="G355" s="8" t="s">
        <v>7</v>
      </c>
      <c r="H355" s="21">
        <v>3949954</v>
      </c>
      <c r="I355" s="26">
        <v>0</v>
      </c>
      <c r="J355" s="26">
        <v>0</v>
      </c>
      <c r="K355" s="26">
        <f t="shared" si="44"/>
        <v>0</v>
      </c>
      <c r="L355" s="26"/>
      <c r="M355" s="21">
        <f>H355</f>
        <v>3949954</v>
      </c>
      <c r="N355" s="26">
        <v>0</v>
      </c>
      <c r="O355" s="26">
        <f t="shared" si="43"/>
        <v>-31181450</v>
      </c>
      <c r="P355" s="13" t="s">
        <v>0</v>
      </c>
      <c r="Q355" s="13" t="s">
        <v>604</v>
      </c>
      <c r="R355" s="13" t="s">
        <v>605</v>
      </c>
    </row>
    <row r="356" spans="1:23">
      <c r="A356" s="38">
        <v>45992</v>
      </c>
      <c r="B356" s="31" t="s">
        <v>607</v>
      </c>
      <c r="C356" t="s">
        <v>592</v>
      </c>
      <c r="D356" t="s">
        <v>95</v>
      </c>
      <c r="E356" s="8" t="s">
        <v>593</v>
      </c>
      <c r="F356" s="8">
        <v>2025</v>
      </c>
      <c r="G356" s="8" t="s">
        <v>6</v>
      </c>
      <c r="H356" s="29">
        <v>17024700</v>
      </c>
      <c r="I356" s="26">
        <f>H356</f>
        <v>17024700</v>
      </c>
      <c r="J356" s="26">
        <v>0</v>
      </c>
      <c r="K356" s="26">
        <f>I356+J356</f>
        <v>17024700</v>
      </c>
      <c r="L356" s="26"/>
      <c r="M356" s="44">
        <v>0</v>
      </c>
      <c r="N356" s="26">
        <v>0</v>
      </c>
      <c r="O356" s="26">
        <f t="shared" si="43"/>
        <v>-31181450</v>
      </c>
      <c r="P356" t="s">
        <v>1</v>
      </c>
      <c r="Q356" s="1" t="s">
        <v>1</v>
      </c>
      <c r="R356" s="13" t="s">
        <v>1</v>
      </c>
      <c r="S356" s="33" t="s">
        <v>1</v>
      </c>
      <c r="V356"/>
      <c r="W356"/>
    </row>
    <row r="357" spans="1:23">
      <c r="A357" s="38">
        <v>45992</v>
      </c>
      <c r="B357" s="31" t="s">
        <v>607</v>
      </c>
      <c r="C357" t="s">
        <v>594</v>
      </c>
      <c r="D357" t="s">
        <v>183</v>
      </c>
      <c r="E357" s="8" t="s">
        <v>595</v>
      </c>
      <c r="F357" s="8">
        <v>2025</v>
      </c>
      <c r="G357" s="8" t="s">
        <v>6</v>
      </c>
      <c r="H357" s="29">
        <v>3085500</v>
      </c>
      <c r="I357" s="26">
        <f>H357</f>
        <v>3085500</v>
      </c>
      <c r="J357" s="26">
        <v>0</v>
      </c>
      <c r="K357" s="26">
        <f>I357+J357</f>
        <v>3085500</v>
      </c>
      <c r="L357" s="26"/>
      <c r="M357" s="44">
        <v>0</v>
      </c>
      <c r="N357" s="26">
        <v>0</v>
      </c>
      <c r="O357" s="26">
        <f t="shared" si="43"/>
        <v>-31181450</v>
      </c>
      <c r="P357" t="s">
        <v>1</v>
      </c>
      <c r="Q357" s="1" t="s">
        <v>1</v>
      </c>
      <c r="R357" s="13" t="s">
        <v>1</v>
      </c>
      <c r="S357" s="33" t="s">
        <v>1</v>
      </c>
      <c r="V357"/>
      <c r="W357"/>
    </row>
    <row r="358" spans="1:23" s="5" customFormat="1">
      <c r="A358" s="31">
        <v>45992</v>
      </c>
      <c r="B358" s="31" t="s">
        <v>607</v>
      </c>
      <c r="C358" s="5" t="s">
        <v>596</v>
      </c>
      <c r="D358" s="5" t="s">
        <v>68</v>
      </c>
      <c r="E358" s="10" t="s">
        <v>597</v>
      </c>
      <c r="F358" s="10">
        <v>2024</v>
      </c>
      <c r="G358" s="10" t="s">
        <v>6</v>
      </c>
      <c r="H358" s="11">
        <v>9603770</v>
      </c>
      <c r="I358" s="26">
        <f>H358</f>
        <v>9603770</v>
      </c>
      <c r="J358" s="26">
        <v>0</v>
      </c>
      <c r="K358" s="26">
        <f>I358+J358</f>
        <v>9603770</v>
      </c>
      <c r="L358" s="26"/>
      <c r="M358" s="14">
        <v>0</v>
      </c>
      <c r="N358" s="26">
        <v>0</v>
      </c>
      <c r="O358" s="26">
        <f t="shared" si="43"/>
        <v>-31181450</v>
      </c>
      <c r="P358" t="s">
        <v>1</v>
      </c>
      <c r="Q358" s="1" t="s">
        <v>1</v>
      </c>
      <c r="R358" s="13" t="s">
        <v>1</v>
      </c>
      <c r="S358" s="33" t="s">
        <v>1</v>
      </c>
    </row>
    <row r="359" spans="1:23" s="5" customFormat="1">
      <c r="A359" s="31">
        <v>45992</v>
      </c>
      <c r="B359" s="31" t="s">
        <v>607</v>
      </c>
      <c r="C359" s="5" t="s">
        <v>598</v>
      </c>
      <c r="D359" s="5" t="s">
        <v>68</v>
      </c>
      <c r="E359" s="10" t="s">
        <v>599</v>
      </c>
      <c r="F359" s="10">
        <v>2024</v>
      </c>
      <c r="G359" s="10" t="s">
        <v>6</v>
      </c>
      <c r="H359" s="11">
        <v>9849400</v>
      </c>
      <c r="I359" s="26">
        <f>H359</f>
        <v>9849400</v>
      </c>
      <c r="J359" s="26">
        <v>0</v>
      </c>
      <c r="K359" s="26">
        <f>I359+J359</f>
        <v>9849400</v>
      </c>
      <c r="L359" s="26"/>
      <c r="M359" s="14">
        <v>0</v>
      </c>
      <c r="N359" s="26">
        <v>0</v>
      </c>
      <c r="O359" s="26">
        <f t="shared" si="43"/>
        <v>-31181450</v>
      </c>
      <c r="P359" t="s">
        <v>1</v>
      </c>
      <c r="Q359" s="1" t="s">
        <v>1</v>
      </c>
      <c r="R359" s="13" t="s">
        <v>1</v>
      </c>
      <c r="S359" s="33" t="s">
        <v>1</v>
      </c>
    </row>
    <row r="360" spans="1:23" s="59" customFormat="1">
      <c r="A360" s="58"/>
      <c r="B360" s="58" t="s">
        <v>71</v>
      </c>
      <c r="C360" s="59" t="s">
        <v>628</v>
      </c>
      <c r="E360" s="60"/>
      <c r="F360" s="60" t="s">
        <v>632</v>
      </c>
      <c r="G360" s="60" t="s">
        <v>7</v>
      </c>
      <c r="H360" s="61">
        <v>14427195</v>
      </c>
      <c r="I360" s="62">
        <v>0</v>
      </c>
      <c r="J360" s="62">
        <v>0</v>
      </c>
      <c r="K360" s="62">
        <f t="shared" si="44"/>
        <v>0</v>
      </c>
      <c r="L360" s="62"/>
      <c r="M360" s="61">
        <v>0</v>
      </c>
      <c r="N360" s="62">
        <f>M360</f>
        <v>0</v>
      </c>
      <c r="O360" s="62">
        <f t="shared" si="43"/>
        <v>-31181450</v>
      </c>
      <c r="P360" s="59" t="s">
        <v>0</v>
      </c>
      <c r="Q360" s="59" t="s">
        <v>2</v>
      </c>
      <c r="R360" s="59" t="s">
        <v>603</v>
      </c>
      <c r="S360" s="63" t="s">
        <v>69</v>
      </c>
    </row>
    <row r="362" spans="1:23">
      <c r="H362" s="15">
        <f>SUBTOTAL(9,H5:H361)</f>
        <v>4808827126</v>
      </c>
      <c r="I362" s="15">
        <f>SUBTOTAL(9,I5:I361)</f>
        <v>3574506259</v>
      </c>
      <c r="J362" s="15">
        <f>SUBTOTAL(9,J5:J361)</f>
        <v>-3355540228</v>
      </c>
      <c r="K362" s="15">
        <f>SUBTOTAL(9,K5:K361)</f>
        <v>218966031</v>
      </c>
      <c r="L362" s="15"/>
      <c r="M362" s="7">
        <f>SUBTOTAL(9,M5:M361)</f>
        <v>616526199</v>
      </c>
      <c r="N362" s="15">
        <f>SUBTOTAL(9,N5:N361)</f>
        <v>585344749</v>
      </c>
      <c r="O362" s="7" t="s">
        <v>1</v>
      </c>
    </row>
    <row r="363" spans="1:23">
      <c r="N363" s="14" t="s">
        <v>1</v>
      </c>
    </row>
  </sheetData>
  <autoFilter ref="A4:S360">
    <filterColumn colId="15">
      <filters>
        <filter val="Inter Accounts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PPN In and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ATI-Administrator</cp:lastModifiedBy>
  <cp:lastPrinted>2026-02-11T07:29:25Z</cp:lastPrinted>
  <dcterms:created xsi:type="dcterms:W3CDTF">2022-01-08T11:05:28Z</dcterms:created>
  <dcterms:modified xsi:type="dcterms:W3CDTF">2026-06-18T11:08:43Z</dcterms:modified>
</cp:coreProperties>
</file>